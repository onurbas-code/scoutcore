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onurbas/Desktop/"/>
    </mc:Choice>
  </mc:AlternateContent>
  <xr:revisionPtr revIDLastSave="0" documentId="13_ncr:1_{9EDAAC93-645C-9E46-B07B-AA4017180BC7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Dashboard" sheetId="1" r:id="rId1"/>
    <sheet name="A Liste" sheetId="2" r:id="rId2"/>
    <sheet name="B Liste" sheetId="3" r:id="rId3"/>
    <sheet name="Takip Edilecekler" sheetId="4" r:id="rId4"/>
    <sheet name="Yeniden İzlenecekler" sheetId="5" r:id="rId5"/>
    <sheet name="Kontenjan Futbolcular" sheetId="6" r:id="rId6"/>
    <sheet name="Sözleşmesi Bitenler" sheetId="7" r:id="rId7"/>
    <sheet name="Kaleciler" sheetId="8" r:id="rId8"/>
    <sheet name="Stoperler" sheetId="9" r:id="rId9"/>
    <sheet name="Sağ Bekler" sheetId="10" r:id="rId10"/>
    <sheet name="Sol Bekler" sheetId="11" r:id="rId11"/>
    <sheet name="6 Numaralar" sheetId="12" r:id="rId12"/>
    <sheet name="8 Numaralar" sheetId="13" r:id="rId13"/>
    <sheet name="10 Numaralar" sheetId="14" r:id="rId14"/>
    <sheet name="Kanatlar" sheetId="15" r:id="rId15"/>
    <sheet name="Forvetler" sheetId="16" r:id="rId16"/>
    <sheet name="Takip Edilen Türk Futbolcular" sheetId="17" r:id="rId17"/>
    <sheet name="Veri Merkezi" sheetId="18" r:id="rId18"/>
    <sheet name="Mevcut Kadro" sheetId="19" r:id="rId19"/>
    <sheet name="Canlı İzlenen Maçlar" sheetId="20" r:id="rId20"/>
  </sheets>
  <definedNames>
    <definedName name="_xlnm._FilterDatabase" localSheetId="6" hidden="1">'Sözleşmesi Bitenler'!$A$3:$K$503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3" i="19" l="1"/>
  <c r="M63" i="19"/>
  <c r="L63" i="19"/>
  <c r="A63" i="19"/>
  <c r="N62" i="19"/>
  <c r="M62" i="19"/>
  <c r="L62" i="19"/>
  <c r="A62" i="19"/>
  <c r="N61" i="19"/>
  <c r="M61" i="19"/>
  <c r="L61" i="19"/>
  <c r="A61" i="19"/>
  <c r="N60" i="19"/>
  <c r="M60" i="19"/>
  <c r="L60" i="19"/>
  <c r="A60" i="19"/>
  <c r="N59" i="19"/>
  <c r="M59" i="19"/>
  <c r="L59" i="19"/>
  <c r="A59" i="19"/>
  <c r="N58" i="19"/>
  <c r="M58" i="19"/>
  <c r="L58" i="19"/>
  <c r="A58" i="19"/>
  <c r="N57" i="19"/>
  <c r="M57" i="19"/>
  <c r="L57" i="19"/>
  <c r="A57" i="19"/>
  <c r="N56" i="19"/>
  <c r="M56" i="19"/>
  <c r="L56" i="19"/>
  <c r="A56" i="19"/>
  <c r="N55" i="19"/>
  <c r="M55" i="19"/>
  <c r="L55" i="19"/>
  <c r="A55" i="19"/>
  <c r="N54" i="19"/>
  <c r="M54" i="19"/>
  <c r="L54" i="19"/>
  <c r="A54" i="19"/>
  <c r="N53" i="19"/>
  <c r="M53" i="19"/>
  <c r="L53" i="19"/>
  <c r="A53" i="19"/>
  <c r="N52" i="19"/>
  <c r="M52" i="19"/>
  <c r="L52" i="19"/>
  <c r="A52" i="19"/>
  <c r="N51" i="19"/>
  <c r="M51" i="19"/>
  <c r="L51" i="19"/>
  <c r="A51" i="19"/>
  <c r="N50" i="19"/>
  <c r="M50" i="19"/>
  <c r="L50" i="19"/>
  <c r="A50" i="19"/>
  <c r="N49" i="19"/>
  <c r="M49" i="19"/>
  <c r="L49" i="19"/>
  <c r="A49" i="19"/>
  <c r="N48" i="19"/>
  <c r="M48" i="19"/>
  <c r="L48" i="19"/>
  <c r="A48" i="19"/>
  <c r="N47" i="19"/>
  <c r="M47" i="19"/>
  <c r="L47" i="19"/>
  <c r="A47" i="19"/>
  <c r="N46" i="19"/>
  <c r="M46" i="19"/>
  <c r="L46" i="19"/>
  <c r="A46" i="19"/>
  <c r="N45" i="19"/>
  <c r="M45" i="19"/>
  <c r="L45" i="19"/>
  <c r="A45" i="19"/>
  <c r="N44" i="19"/>
  <c r="M44" i="19"/>
  <c r="L44" i="19"/>
  <c r="A44" i="19"/>
  <c r="N43" i="19"/>
  <c r="M43" i="19"/>
  <c r="L43" i="19"/>
  <c r="A43" i="19"/>
  <c r="N42" i="19"/>
  <c r="M42" i="19"/>
  <c r="L42" i="19"/>
  <c r="A42" i="19"/>
  <c r="N41" i="19"/>
  <c r="M41" i="19"/>
  <c r="L41" i="19"/>
  <c r="A41" i="19"/>
  <c r="N40" i="19"/>
  <c r="M40" i="19"/>
  <c r="L40" i="19"/>
  <c r="A40" i="19"/>
  <c r="N39" i="19"/>
  <c r="M39" i="19"/>
  <c r="L39" i="19"/>
  <c r="A39" i="19"/>
  <c r="N38" i="19"/>
  <c r="M38" i="19"/>
  <c r="L38" i="19"/>
  <c r="A38" i="19"/>
  <c r="N37" i="19"/>
  <c r="M37" i="19"/>
  <c r="L37" i="19"/>
  <c r="A37" i="19"/>
  <c r="N36" i="19"/>
  <c r="M36" i="19"/>
  <c r="L36" i="19"/>
  <c r="A36" i="19"/>
  <c r="N35" i="19"/>
  <c r="M35" i="19"/>
  <c r="L35" i="19"/>
  <c r="A35" i="19"/>
  <c r="N34" i="19"/>
  <c r="M34" i="19"/>
  <c r="L34" i="19"/>
  <c r="A34" i="19"/>
  <c r="N33" i="19"/>
  <c r="M33" i="19"/>
  <c r="L33" i="19"/>
  <c r="A33" i="19"/>
  <c r="N32" i="19"/>
  <c r="M32" i="19"/>
  <c r="L32" i="19"/>
  <c r="A32" i="19"/>
  <c r="N31" i="19"/>
  <c r="M31" i="19"/>
  <c r="L31" i="19"/>
  <c r="A31" i="19"/>
  <c r="N30" i="19"/>
  <c r="M30" i="19"/>
  <c r="L30" i="19"/>
  <c r="A30" i="19"/>
  <c r="N29" i="19"/>
  <c r="M29" i="19"/>
  <c r="L29" i="19"/>
  <c r="A29" i="19"/>
  <c r="N28" i="19"/>
  <c r="M28" i="19"/>
  <c r="L28" i="19"/>
  <c r="A28" i="19"/>
  <c r="N27" i="19"/>
  <c r="M27" i="19"/>
  <c r="L27" i="19"/>
  <c r="A27" i="19"/>
  <c r="N26" i="19"/>
  <c r="M26" i="19"/>
  <c r="L26" i="19"/>
  <c r="A26" i="19"/>
  <c r="N25" i="19"/>
  <c r="M25" i="19"/>
  <c r="L25" i="19"/>
  <c r="A25" i="19"/>
  <c r="N24" i="19"/>
  <c r="M24" i="19"/>
  <c r="L24" i="19"/>
  <c r="A24" i="19"/>
  <c r="N23" i="19"/>
  <c r="M23" i="19"/>
  <c r="L23" i="19"/>
  <c r="A23" i="19"/>
  <c r="N22" i="19"/>
  <c r="M22" i="19"/>
  <c r="L22" i="19"/>
  <c r="A22" i="19"/>
  <c r="N21" i="19"/>
  <c r="M21" i="19"/>
  <c r="L21" i="19"/>
  <c r="A21" i="19"/>
  <c r="N20" i="19"/>
  <c r="M20" i="19"/>
  <c r="L20" i="19"/>
  <c r="A20" i="19"/>
  <c r="N19" i="19"/>
  <c r="M19" i="19"/>
  <c r="L19" i="19"/>
  <c r="A19" i="19"/>
  <c r="N18" i="19"/>
  <c r="M18" i="19"/>
  <c r="L18" i="19"/>
  <c r="A18" i="19"/>
  <c r="N17" i="19"/>
  <c r="M17" i="19"/>
  <c r="L17" i="19"/>
  <c r="A17" i="19"/>
  <c r="N16" i="19"/>
  <c r="M16" i="19"/>
  <c r="L16" i="19"/>
  <c r="A16" i="19"/>
  <c r="N15" i="19"/>
  <c r="M15" i="19"/>
  <c r="L15" i="19"/>
  <c r="A15" i="19"/>
  <c r="N14" i="19"/>
  <c r="M14" i="19"/>
  <c r="L14" i="19"/>
  <c r="A14" i="19"/>
  <c r="N13" i="19"/>
  <c r="M13" i="19"/>
  <c r="L13" i="19"/>
  <c r="A13" i="19"/>
  <c r="N12" i="19"/>
  <c r="M12" i="19"/>
  <c r="L12" i="19"/>
  <c r="A12" i="19"/>
  <c r="N11" i="19"/>
  <c r="M11" i="19"/>
  <c r="L11" i="19"/>
  <c r="A11" i="19"/>
  <c r="N10" i="19"/>
  <c r="M10" i="19"/>
  <c r="L10" i="19"/>
  <c r="A10" i="19"/>
  <c r="N9" i="19"/>
  <c r="M9" i="19"/>
  <c r="L9" i="19"/>
  <c r="A9" i="19"/>
  <c r="N8" i="19"/>
  <c r="M8" i="19"/>
  <c r="L8" i="19"/>
  <c r="A8" i="19"/>
  <c r="N7" i="19"/>
  <c r="M7" i="19"/>
  <c r="L7" i="19"/>
  <c r="A7" i="19"/>
  <c r="N6" i="19"/>
  <c r="M6" i="19"/>
  <c r="L6" i="19"/>
  <c r="A6" i="19"/>
  <c r="N5" i="19"/>
  <c r="M5" i="19"/>
  <c r="L5" i="19"/>
  <c r="A5" i="19"/>
  <c r="N4" i="19"/>
  <c r="M4" i="19"/>
  <c r="L4" i="19"/>
  <c r="A4" i="19"/>
  <c r="T1001" i="18"/>
  <c r="S1001" i="18"/>
  <c r="Q1001" i="18"/>
  <c r="P1001" i="18"/>
  <c r="O1001" i="18"/>
  <c r="N1001" i="18"/>
  <c r="M1001" i="18"/>
  <c r="L1001" i="18"/>
  <c r="K1001" i="18"/>
  <c r="J1001" i="18"/>
  <c r="I1001" i="18"/>
  <c r="H1001" i="18"/>
  <c r="G1001" i="18"/>
  <c r="F1001" i="18"/>
  <c r="E1001" i="18"/>
  <c r="C1001" i="18"/>
  <c r="B1001" i="18"/>
  <c r="A1001" i="18"/>
  <c r="T1000" i="18"/>
  <c r="S1000" i="18"/>
  <c r="Q1000" i="18"/>
  <c r="P1000" i="18"/>
  <c r="O1000" i="18"/>
  <c r="N1000" i="18"/>
  <c r="M1000" i="18"/>
  <c r="L1000" i="18"/>
  <c r="K1000" i="18"/>
  <c r="J1000" i="18"/>
  <c r="I1000" i="18"/>
  <c r="H1000" i="18"/>
  <c r="G1000" i="18"/>
  <c r="F1000" i="18"/>
  <c r="E1000" i="18"/>
  <c r="C1000" i="18"/>
  <c r="B1000" i="18"/>
  <c r="A1000" i="18"/>
  <c r="T999" i="18"/>
  <c r="S999" i="18"/>
  <c r="Q999" i="18"/>
  <c r="P999" i="18"/>
  <c r="O999" i="18"/>
  <c r="N999" i="18"/>
  <c r="M999" i="18"/>
  <c r="L999" i="18"/>
  <c r="K999" i="18"/>
  <c r="J999" i="18"/>
  <c r="I999" i="18"/>
  <c r="H999" i="18"/>
  <c r="G999" i="18"/>
  <c r="F999" i="18"/>
  <c r="E999" i="18"/>
  <c r="C999" i="18"/>
  <c r="B999" i="18"/>
  <c r="A999" i="18"/>
  <c r="T998" i="18"/>
  <c r="S998" i="18"/>
  <c r="Q998" i="18"/>
  <c r="P998" i="18"/>
  <c r="O998" i="18"/>
  <c r="N998" i="18"/>
  <c r="M998" i="18"/>
  <c r="L998" i="18"/>
  <c r="K998" i="18"/>
  <c r="J998" i="18"/>
  <c r="I998" i="18"/>
  <c r="H998" i="18"/>
  <c r="G998" i="18"/>
  <c r="F998" i="18"/>
  <c r="E998" i="18"/>
  <c r="C998" i="18"/>
  <c r="B998" i="18"/>
  <c r="A998" i="18"/>
  <c r="T997" i="18"/>
  <c r="S997" i="18"/>
  <c r="Q997" i="18"/>
  <c r="P997" i="18"/>
  <c r="O997" i="18"/>
  <c r="N997" i="18"/>
  <c r="M997" i="18"/>
  <c r="L997" i="18"/>
  <c r="K997" i="18"/>
  <c r="J997" i="18"/>
  <c r="I997" i="18"/>
  <c r="H997" i="18"/>
  <c r="G997" i="18"/>
  <c r="F997" i="18"/>
  <c r="E997" i="18"/>
  <c r="C997" i="18"/>
  <c r="B997" i="18"/>
  <c r="A997" i="18"/>
  <c r="T996" i="18"/>
  <c r="S996" i="18"/>
  <c r="Q996" i="18"/>
  <c r="P996" i="18"/>
  <c r="O996" i="18"/>
  <c r="N996" i="18"/>
  <c r="M996" i="18"/>
  <c r="L996" i="18"/>
  <c r="K996" i="18"/>
  <c r="J996" i="18"/>
  <c r="I996" i="18"/>
  <c r="H996" i="18"/>
  <c r="G996" i="18"/>
  <c r="F996" i="18"/>
  <c r="E996" i="18"/>
  <c r="C996" i="18"/>
  <c r="B996" i="18"/>
  <c r="A996" i="18"/>
  <c r="T995" i="18"/>
  <c r="S995" i="18"/>
  <c r="Q995" i="18"/>
  <c r="P995" i="18"/>
  <c r="O995" i="18"/>
  <c r="N995" i="18"/>
  <c r="M995" i="18"/>
  <c r="L995" i="18"/>
  <c r="K995" i="18"/>
  <c r="J995" i="18"/>
  <c r="I995" i="18"/>
  <c r="H995" i="18"/>
  <c r="G995" i="18"/>
  <c r="F995" i="18"/>
  <c r="E995" i="18"/>
  <c r="C995" i="18"/>
  <c r="B995" i="18"/>
  <c r="A995" i="18"/>
  <c r="T994" i="18"/>
  <c r="S994" i="18"/>
  <c r="Q994" i="18"/>
  <c r="P994" i="18"/>
  <c r="O994" i="18"/>
  <c r="N994" i="18"/>
  <c r="M994" i="18"/>
  <c r="L994" i="18"/>
  <c r="K994" i="18"/>
  <c r="J994" i="18"/>
  <c r="I994" i="18"/>
  <c r="H994" i="18"/>
  <c r="G994" i="18"/>
  <c r="F994" i="18"/>
  <c r="E994" i="18"/>
  <c r="C994" i="18"/>
  <c r="B994" i="18"/>
  <c r="A994" i="18"/>
  <c r="T993" i="18"/>
  <c r="S993" i="18"/>
  <c r="Q993" i="18"/>
  <c r="P993" i="18"/>
  <c r="O993" i="18"/>
  <c r="N993" i="18"/>
  <c r="M993" i="18"/>
  <c r="L993" i="18"/>
  <c r="K993" i="18"/>
  <c r="J993" i="18"/>
  <c r="I993" i="18"/>
  <c r="H993" i="18"/>
  <c r="G993" i="18"/>
  <c r="F993" i="18"/>
  <c r="E993" i="18"/>
  <c r="C993" i="18"/>
  <c r="B993" i="18"/>
  <c r="A993" i="18"/>
  <c r="T992" i="18"/>
  <c r="S992" i="18"/>
  <c r="Q992" i="18"/>
  <c r="P992" i="18"/>
  <c r="O992" i="18"/>
  <c r="N992" i="18"/>
  <c r="M992" i="18"/>
  <c r="L992" i="18"/>
  <c r="K992" i="18"/>
  <c r="J992" i="18"/>
  <c r="I992" i="18"/>
  <c r="H992" i="18"/>
  <c r="G992" i="18"/>
  <c r="F992" i="18"/>
  <c r="E992" i="18"/>
  <c r="C992" i="18"/>
  <c r="B992" i="18"/>
  <c r="A992" i="18"/>
  <c r="T991" i="18"/>
  <c r="S991" i="18"/>
  <c r="Q991" i="18"/>
  <c r="P991" i="18"/>
  <c r="O991" i="18"/>
  <c r="N991" i="18"/>
  <c r="M991" i="18"/>
  <c r="L991" i="18"/>
  <c r="K991" i="18"/>
  <c r="J991" i="18"/>
  <c r="I991" i="18"/>
  <c r="H991" i="18"/>
  <c r="G991" i="18"/>
  <c r="F991" i="18"/>
  <c r="E991" i="18"/>
  <c r="C991" i="18"/>
  <c r="B991" i="18"/>
  <c r="A991" i="18"/>
  <c r="T990" i="18"/>
  <c r="S990" i="18"/>
  <c r="Q990" i="18"/>
  <c r="P990" i="18"/>
  <c r="O990" i="18"/>
  <c r="N990" i="18"/>
  <c r="M990" i="18"/>
  <c r="L990" i="18"/>
  <c r="K990" i="18"/>
  <c r="J990" i="18"/>
  <c r="I990" i="18"/>
  <c r="H990" i="18"/>
  <c r="G990" i="18"/>
  <c r="F990" i="18"/>
  <c r="E990" i="18"/>
  <c r="C990" i="18"/>
  <c r="B990" i="18"/>
  <c r="A990" i="18"/>
  <c r="T989" i="18"/>
  <c r="S989" i="18"/>
  <c r="Q989" i="18"/>
  <c r="P989" i="18"/>
  <c r="O989" i="18"/>
  <c r="N989" i="18"/>
  <c r="M989" i="18"/>
  <c r="L989" i="18"/>
  <c r="K989" i="18"/>
  <c r="J989" i="18"/>
  <c r="I989" i="18"/>
  <c r="H989" i="18"/>
  <c r="G989" i="18"/>
  <c r="F989" i="18"/>
  <c r="E989" i="18"/>
  <c r="C989" i="18"/>
  <c r="B989" i="18"/>
  <c r="A989" i="18"/>
  <c r="T988" i="18"/>
  <c r="S988" i="18"/>
  <c r="Q988" i="18"/>
  <c r="P988" i="18"/>
  <c r="O988" i="18"/>
  <c r="N988" i="18"/>
  <c r="M988" i="18"/>
  <c r="L988" i="18"/>
  <c r="K988" i="18"/>
  <c r="J988" i="18"/>
  <c r="I988" i="18"/>
  <c r="H988" i="18"/>
  <c r="G988" i="18"/>
  <c r="F988" i="18"/>
  <c r="E988" i="18"/>
  <c r="C988" i="18"/>
  <c r="B988" i="18"/>
  <c r="A988" i="18"/>
  <c r="T987" i="18"/>
  <c r="S987" i="18"/>
  <c r="Q987" i="18"/>
  <c r="P987" i="18"/>
  <c r="O987" i="18"/>
  <c r="N987" i="18"/>
  <c r="M987" i="18"/>
  <c r="L987" i="18"/>
  <c r="K987" i="18"/>
  <c r="J987" i="18"/>
  <c r="I987" i="18"/>
  <c r="H987" i="18"/>
  <c r="G987" i="18"/>
  <c r="F987" i="18"/>
  <c r="E987" i="18"/>
  <c r="C987" i="18"/>
  <c r="B987" i="18"/>
  <c r="A987" i="18"/>
  <c r="T986" i="18"/>
  <c r="S986" i="18"/>
  <c r="Q986" i="18"/>
  <c r="P986" i="18"/>
  <c r="O986" i="18"/>
  <c r="N986" i="18"/>
  <c r="M986" i="18"/>
  <c r="L986" i="18"/>
  <c r="K986" i="18"/>
  <c r="J986" i="18"/>
  <c r="I986" i="18"/>
  <c r="H986" i="18"/>
  <c r="G986" i="18"/>
  <c r="F986" i="18"/>
  <c r="E986" i="18"/>
  <c r="C986" i="18"/>
  <c r="B986" i="18"/>
  <c r="A986" i="18"/>
  <c r="T985" i="18"/>
  <c r="S985" i="18"/>
  <c r="Q985" i="18"/>
  <c r="P985" i="18"/>
  <c r="O985" i="18"/>
  <c r="N985" i="18"/>
  <c r="M985" i="18"/>
  <c r="L985" i="18"/>
  <c r="K985" i="18"/>
  <c r="J985" i="18"/>
  <c r="I985" i="18"/>
  <c r="H985" i="18"/>
  <c r="G985" i="18"/>
  <c r="F985" i="18"/>
  <c r="E985" i="18"/>
  <c r="C985" i="18"/>
  <c r="B985" i="18"/>
  <c r="A985" i="18"/>
  <c r="T984" i="18"/>
  <c r="S984" i="18"/>
  <c r="Q984" i="18"/>
  <c r="P984" i="18"/>
  <c r="O984" i="18"/>
  <c r="N984" i="18"/>
  <c r="M984" i="18"/>
  <c r="L984" i="18"/>
  <c r="K984" i="18"/>
  <c r="J984" i="18"/>
  <c r="I984" i="18"/>
  <c r="H984" i="18"/>
  <c r="G984" i="18"/>
  <c r="F984" i="18"/>
  <c r="E984" i="18"/>
  <c r="C984" i="18"/>
  <c r="B984" i="18"/>
  <c r="A984" i="18"/>
  <c r="T983" i="18"/>
  <c r="S983" i="18"/>
  <c r="Q983" i="18"/>
  <c r="P983" i="18"/>
  <c r="O983" i="18"/>
  <c r="N983" i="18"/>
  <c r="M983" i="18"/>
  <c r="L983" i="18"/>
  <c r="K983" i="18"/>
  <c r="J983" i="18"/>
  <c r="I983" i="18"/>
  <c r="H983" i="18"/>
  <c r="G983" i="18"/>
  <c r="F983" i="18"/>
  <c r="E983" i="18"/>
  <c r="C983" i="18"/>
  <c r="B983" i="18"/>
  <c r="A983" i="18"/>
  <c r="T982" i="18"/>
  <c r="S982" i="18"/>
  <c r="Q982" i="18"/>
  <c r="P982" i="18"/>
  <c r="O982" i="18"/>
  <c r="N982" i="18"/>
  <c r="M982" i="18"/>
  <c r="L982" i="18"/>
  <c r="K982" i="18"/>
  <c r="J982" i="18"/>
  <c r="I982" i="18"/>
  <c r="H982" i="18"/>
  <c r="G982" i="18"/>
  <c r="F982" i="18"/>
  <c r="E982" i="18"/>
  <c r="C982" i="18"/>
  <c r="B982" i="18"/>
  <c r="A982" i="18"/>
  <c r="T981" i="18"/>
  <c r="S981" i="18"/>
  <c r="Q981" i="18"/>
  <c r="P981" i="18"/>
  <c r="O981" i="18"/>
  <c r="N981" i="18"/>
  <c r="M981" i="18"/>
  <c r="L981" i="18"/>
  <c r="K981" i="18"/>
  <c r="J981" i="18"/>
  <c r="I981" i="18"/>
  <c r="H981" i="18"/>
  <c r="G981" i="18"/>
  <c r="F981" i="18"/>
  <c r="E981" i="18"/>
  <c r="C981" i="18"/>
  <c r="B981" i="18"/>
  <c r="A981" i="18"/>
  <c r="T980" i="18"/>
  <c r="S980" i="18"/>
  <c r="Q980" i="18"/>
  <c r="P980" i="18"/>
  <c r="O980" i="18"/>
  <c r="N980" i="18"/>
  <c r="M980" i="18"/>
  <c r="L980" i="18"/>
  <c r="K980" i="18"/>
  <c r="J980" i="18"/>
  <c r="I980" i="18"/>
  <c r="H980" i="18"/>
  <c r="G980" i="18"/>
  <c r="F980" i="18"/>
  <c r="E980" i="18"/>
  <c r="C980" i="18"/>
  <c r="B980" i="18"/>
  <c r="A980" i="18"/>
  <c r="T979" i="18"/>
  <c r="S979" i="18"/>
  <c r="Q979" i="18"/>
  <c r="P979" i="18"/>
  <c r="O979" i="18"/>
  <c r="N979" i="18"/>
  <c r="M979" i="18"/>
  <c r="L979" i="18"/>
  <c r="K979" i="18"/>
  <c r="J979" i="18"/>
  <c r="I979" i="18"/>
  <c r="H979" i="18"/>
  <c r="G979" i="18"/>
  <c r="F979" i="18"/>
  <c r="E979" i="18"/>
  <c r="C979" i="18"/>
  <c r="B979" i="18"/>
  <c r="A979" i="18"/>
  <c r="T978" i="18"/>
  <c r="S978" i="18"/>
  <c r="Q978" i="18"/>
  <c r="P978" i="18"/>
  <c r="O978" i="18"/>
  <c r="N978" i="18"/>
  <c r="M978" i="18"/>
  <c r="L978" i="18"/>
  <c r="K978" i="18"/>
  <c r="J978" i="18"/>
  <c r="I978" i="18"/>
  <c r="H978" i="18"/>
  <c r="G978" i="18"/>
  <c r="F978" i="18"/>
  <c r="E978" i="18"/>
  <c r="C978" i="18"/>
  <c r="B978" i="18"/>
  <c r="A978" i="18"/>
  <c r="T977" i="18"/>
  <c r="S977" i="18"/>
  <c r="Q977" i="18"/>
  <c r="P977" i="18"/>
  <c r="O977" i="18"/>
  <c r="N977" i="18"/>
  <c r="M977" i="18"/>
  <c r="L977" i="18"/>
  <c r="K977" i="18"/>
  <c r="J977" i="18"/>
  <c r="I977" i="18"/>
  <c r="H977" i="18"/>
  <c r="G977" i="18"/>
  <c r="F977" i="18"/>
  <c r="E977" i="18"/>
  <c r="C977" i="18"/>
  <c r="B977" i="18"/>
  <c r="A977" i="18"/>
  <c r="T976" i="18"/>
  <c r="S976" i="18"/>
  <c r="Q976" i="18"/>
  <c r="P976" i="18"/>
  <c r="O976" i="18"/>
  <c r="N976" i="18"/>
  <c r="M976" i="18"/>
  <c r="L976" i="18"/>
  <c r="K976" i="18"/>
  <c r="J976" i="18"/>
  <c r="I976" i="18"/>
  <c r="H976" i="18"/>
  <c r="G976" i="18"/>
  <c r="F976" i="18"/>
  <c r="E976" i="18"/>
  <c r="C976" i="18"/>
  <c r="B976" i="18"/>
  <c r="A976" i="18"/>
  <c r="T975" i="18"/>
  <c r="S975" i="18"/>
  <c r="Q975" i="18"/>
  <c r="P975" i="18"/>
  <c r="O975" i="18"/>
  <c r="N975" i="18"/>
  <c r="M975" i="18"/>
  <c r="L975" i="18"/>
  <c r="K975" i="18"/>
  <c r="J975" i="18"/>
  <c r="I975" i="18"/>
  <c r="H975" i="18"/>
  <c r="G975" i="18"/>
  <c r="F975" i="18"/>
  <c r="E975" i="18"/>
  <c r="C975" i="18"/>
  <c r="B975" i="18"/>
  <c r="A975" i="18"/>
  <c r="T974" i="18"/>
  <c r="S974" i="18"/>
  <c r="Q974" i="18"/>
  <c r="P974" i="18"/>
  <c r="O974" i="18"/>
  <c r="N974" i="18"/>
  <c r="M974" i="18"/>
  <c r="L974" i="18"/>
  <c r="K974" i="18"/>
  <c r="J974" i="18"/>
  <c r="I974" i="18"/>
  <c r="H974" i="18"/>
  <c r="G974" i="18"/>
  <c r="F974" i="18"/>
  <c r="E974" i="18"/>
  <c r="C974" i="18"/>
  <c r="B974" i="18"/>
  <c r="A974" i="18"/>
  <c r="T973" i="18"/>
  <c r="S973" i="18"/>
  <c r="Q973" i="18"/>
  <c r="P973" i="18"/>
  <c r="O973" i="18"/>
  <c r="N973" i="18"/>
  <c r="M973" i="18"/>
  <c r="L973" i="18"/>
  <c r="K973" i="18"/>
  <c r="J973" i="18"/>
  <c r="I973" i="18"/>
  <c r="H973" i="18"/>
  <c r="G973" i="18"/>
  <c r="F973" i="18"/>
  <c r="E973" i="18"/>
  <c r="C973" i="18"/>
  <c r="B973" i="18"/>
  <c r="A973" i="18"/>
  <c r="T972" i="18"/>
  <c r="S972" i="18"/>
  <c r="Q972" i="18"/>
  <c r="P972" i="18"/>
  <c r="O972" i="18"/>
  <c r="N972" i="18"/>
  <c r="M972" i="18"/>
  <c r="L972" i="18"/>
  <c r="K972" i="18"/>
  <c r="J972" i="18"/>
  <c r="I972" i="18"/>
  <c r="H972" i="18"/>
  <c r="G972" i="18"/>
  <c r="F972" i="18"/>
  <c r="E972" i="18"/>
  <c r="C972" i="18"/>
  <c r="B972" i="18"/>
  <c r="A972" i="18"/>
  <c r="T971" i="18"/>
  <c r="S971" i="18"/>
  <c r="Q971" i="18"/>
  <c r="P971" i="18"/>
  <c r="O971" i="18"/>
  <c r="N971" i="18"/>
  <c r="M971" i="18"/>
  <c r="L971" i="18"/>
  <c r="K971" i="18"/>
  <c r="J971" i="18"/>
  <c r="I971" i="18"/>
  <c r="H971" i="18"/>
  <c r="G971" i="18"/>
  <c r="F971" i="18"/>
  <c r="E971" i="18"/>
  <c r="C971" i="18"/>
  <c r="B971" i="18"/>
  <c r="A971" i="18"/>
  <c r="T970" i="18"/>
  <c r="S970" i="18"/>
  <c r="Q970" i="18"/>
  <c r="P970" i="18"/>
  <c r="O970" i="18"/>
  <c r="N970" i="18"/>
  <c r="M970" i="18"/>
  <c r="L970" i="18"/>
  <c r="K970" i="18"/>
  <c r="J970" i="18"/>
  <c r="I970" i="18"/>
  <c r="H970" i="18"/>
  <c r="G970" i="18"/>
  <c r="F970" i="18"/>
  <c r="E970" i="18"/>
  <c r="C970" i="18"/>
  <c r="B970" i="18"/>
  <c r="A970" i="18"/>
  <c r="T969" i="18"/>
  <c r="S969" i="18"/>
  <c r="Q969" i="18"/>
  <c r="P969" i="18"/>
  <c r="O969" i="18"/>
  <c r="N969" i="18"/>
  <c r="M969" i="18"/>
  <c r="L969" i="18"/>
  <c r="K969" i="18"/>
  <c r="J969" i="18"/>
  <c r="I969" i="18"/>
  <c r="H969" i="18"/>
  <c r="G969" i="18"/>
  <c r="F969" i="18"/>
  <c r="E969" i="18"/>
  <c r="C969" i="18"/>
  <c r="B969" i="18"/>
  <c r="A969" i="18"/>
  <c r="T968" i="18"/>
  <c r="S968" i="18"/>
  <c r="Q968" i="18"/>
  <c r="P968" i="18"/>
  <c r="O968" i="18"/>
  <c r="N968" i="18"/>
  <c r="M968" i="18"/>
  <c r="L968" i="18"/>
  <c r="K968" i="18"/>
  <c r="J968" i="18"/>
  <c r="I968" i="18"/>
  <c r="H968" i="18"/>
  <c r="G968" i="18"/>
  <c r="F968" i="18"/>
  <c r="E968" i="18"/>
  <c r="C968" i="18"/>
  <c r="B968" i="18"/>
  <c r="A968" i="18"/>
  <c r="T967" i="18"/>
  <c r="S967" i="18"/>
  <c r="Q967" i="18"/>
  <c r="P967" i="18"/>
  <c r="O967" i="18"/>
  <c r="N967" i="18"/>
  <c r="M967" i="18"/>
  <c r="L967" i="18"/>
  <c r="K967" i="18"/>
  <c r="J967" i="18"/>
  <c r="I967" i="18"/>
  <c r="H967" i="18"/>
  <c r="G967" i="18"/>
  <c r="F967" i="18"/>
  <c r="E967" i="18"/>
  <c r="C967" i="18"/>
  <c r="B967" i="18"/>
  <c r="A967" i="18"/>
  <c r="T966" i="18"/>
  <c r="S966" i="18"/>
  <c r="Q966" i="18"/>
  <c r="P966" i="18"/>
  <c r="O966" i="18"/>
  <c r="N966" i="18"/>
  <c r="M966" i="18"/>
  <c r="L966" i="18"/>
  <c r="K966" i="18"/>
  <c r="J966" i="18"/>
  <c r="I966" i="18"/>
  <c r="H966" i="18"/>
  <c r="G966" i="18"/>
  <c r="F966" i="18"/>
  <c r="E966" i="18"/>
  <c r="C966" i="18"/>
  <c r="B966" i="18"/>
  <c r="A966" i="18"/>
  <c r="T965" i="18"/>
  <c r="S965" i="18"/>
  <c r="Q965" i="18"/>
  <c r="P965" i="18"/>
  <c r="O965" i="18"/>
  <c r="N965" i="18"/>
  <c r="M965" i="18"/>
  <c r="L965" i="18"/>
  <c r="K965" i="18"/>
  <c r="J965" i="18"/>
  <c r="I965" i="18"/>
  <c r="H965" i="18"/>
  <c r="G965" i="18"/>
  <c r="F965" i="18"/>
  <c r="E965" i="18"/>
  <c r="C965" i="18"/>
  <c r="B965" i="18"/>
  <c r="A965" i="18"/>
  <c r="T964" i="18"/>
  <c r="S964" i="18"/>
  <c r="Q964" i="18"/>
  <c r="P964" i="18"/>
  <c r="O964" i="18"/>
  <c r="N964" i="18"/>
  <c r="M964" i="18"/>
  <c r="L964" i="18"/>
  <c r="K964" i="18"/>
  <c r="J964" i="18"/>
  <c r="I964" i="18"/>
  <c r="H964" i="18"/>
  <c r="G964" i="18"/>
  <c r="F964" i="18"/>
  <c r="E964" i="18"/>
  <c r="C964" i="18"/>
  <c r="B964" i="18"/>
  <c r="A964" i="18"/>
  <c r="T963" i="18"/>
  <c r="S963" i="18"/>
  <c r="Q963" i="18"/>
  <c r="P963" i="18"/>
  <c r="O963" i="18"/>
  <c r="N963" i="18"/>
  <c r="M963" i="18"/>
  <c r="L963" i="18"/>
  <c r="K963" i="18"/>
  <c r="J963" i="18"/>
  <c r="I963" i="18"/>
  <c r="H963" i="18"/>
  <c r="G963" i="18"/>
  <c r="F963" i="18"/>
  <c r="E963" i="18"/>
  <c r="C963" i="18"/>
  <c r="B963" i="18"/>
  <c r="A963" i="18"/>
  <c r="T962" i="18"/>
  <c r="S962" i="18"/>
  <c r="Q962" i="18"/>
  <c r="P962" i="18"/>
  <c r="O962" i="18"/>
  <c r="N962" i="18"/>
  <c r="M962" i="18"/>
  <c r="L962" i="18"/>
  <c r="K962" i="18"/>
  <c r="J962" i="18"/>
  <c r="I962" i="18"/>
  <c r="H962" i="18"/>
  <c r="G962" i="18"/>
  <c r="F962" i="18"/>
  <c r="E962" i="18"/>
  <c r="C962" i="18"/>
  <c r="B962" i="18"/>
  <c r="A962" i="18"/>
  <c r="T961" i="18"/>
  <c r="S961" i="18"/>
  <c r="Q961" i="18"/>
  <c r="P961" i="18"/>
  <c r="O961" i="18"/>
  <c r="N961" i="18"/>
  <c r="M961" i="18"/>
  <c r="L961" i="18"/>
  <c r="K961" i="18"/>
  <c r="J961" i="18"/>
  <c r="I961" i="18"/>
  <c r="H961" i="18"/>
  <c r="G961" i="18"/>
  <c r="F961" i="18"/>
  <c r="E961" i="18"/>
  <c r="C961" i="18"/>
  <c r="B961" i="18"/>
  <c r="A961" i="18"/>
  <c r="T960" i="18"/>
  <c r="S960" i="18"/>
  <c r="Q960" i="18"/>
  <c r="P960" i="18"/>
  <c r="O960" i="18"/>
  <c r="N960" i="18"/>
  <c r="M960" i="18"/>
  <c r="L960" i="18"/>
  <c r="K960" i="18"/>
  <c r="J960" i="18"/>
  <c r="I960" i="18"/>
  <c r="H960" i="18"/>
  <c r="G960" i="18"/>
  <c r="F960" i="18"/>
  <c r="E960" i="18"/>
  <c r="C960" i="18"/>
  <c r="B960" i="18"/>
  <c r="A960" i="18"/>
  <c r="T959" i="18"/>
  <c r="S959" i="18"/>
  <c r="Q959" i="18"/>
  <c r="P959" i="18"/>
  <c r="O959" i="18"/>
  <c r="N959" i="18"/>
  <c r="M959" i="18"/>
  <c r="L959" i="18"/>
  <c r="K959" i="18"/>
  <c r="J959" i="18"/>
  <c r="I959" i="18"/>
  <c r="H959" i="18"/>
  <c r="G959" i="18"/>
  <c r="F959" i="18"/>
  <c r="E959" i="18"/>
  <c r="C959" i="18"/>
  <c r="B959" i="18"/>
  <c r="A959" i="18"/>
  <c r="T958" i="18"/>
  <c r="S958" i="18"/>
  <c r="Q958" i="18"/>
  <c r="P958" i="18"/>
  <c r="O958" i="18"/>
  <c r="N958" i="18"/>
  <c r="M958" i="18"/>
  <c r="L958" i="18"/>
  <c r="K958" i="18"/>
  <c r="J958" i="18"/>
  <c r="I958" i="18"/>
  <c r="H958" i="18"/>
  <c r="G958" i="18"/>
  <c r="F958" i="18"/>
  <c r="E958" i="18"/>
  <c r="C958" i="18"/>
  <c r="B958" i="18"/>
  <c r="A958" i="18"/>
  <c r="T957" i="18"/>
  <c r="S957" i="18"/>
  <c r="Q957" i="18"/>
  <c r="P957" i="18"/>
  <c r="O957" i="18"/>
  <c r="N957" i="18"/>
  <c r="M957" i="18"/>
  <c r="L957" i="18"/>
  <c r="K957" i="18"/>
  <c r="J957" i="18"/>
  <c r="I957" i="18"/>
  <c r="H957" i="18"/>
  <c r="G957" i="18"/>
  <c r="F957" i="18"/>
  <c r="E957" i="18"/>
  <c r="C957" i="18"/>
  <c r="B957" i="18"/>
  <c r="A957" i="18"/>
  <c r="T956" i="18"/>
  <c r="S956" i="18"/>
  <c r="Q956" i="18"/>
  <c r="P956" i="18"/>
  <c r="O956" i="18"/>
  <c r="N956" i="18"/>
  <c r="M956" i="18"/>
  <c r="L956" i="18"/>
  <c r="K956" i="18"/>
  <c r="J956" i="18"/>
  <c r="I956" i="18"/>
  <c r="H956" i="18"/>
  <c r="G956" i="18"/>
  <c r="F956" i="18"/>
  <c r="E956" i="18"/>
  <c r="C956" i="18"/>
  <c r="B956" i="18"/>
  <c r="A956" i="18"/>
  <c r="T955" i="18"/>
  <c r="S955" i="18"/>
  <c r="Q955" i="18"/>
  <c r="P955" i="18"/>
  <c r="O955" i="18"/>
  <c r="N955" i="18"/>
  <c r="M955" i="18"/>
  <c r="L955" i="18"/>
  <c r="K955" i="18"/>
  <c r="J955" i="18"/>
  <c r="I955" i="18"/>
  <c r="H955" i="18"/>
  <c r="G955" i="18"/>
  <c r="F955" i="18"/>
  <c r="E955" i="18"/>
  <c r="C955" i="18"/>
  <c r="B955" i="18"/>
  <c r="A955" i="18"/>
  <c r="T954" i="18"/>
  <c r="S954" i="18"/>
  <c r="Q954" i="18"/>
  <c r="P954" i="18"/>
  <c r="O954" i="18"/>
  <c r="N954" i="18"/>
  <c r="M954" i="18"/>
  <c r="L954" i="18"/>
  <c r="K954" i="18"/>
  <c r="J954" i="18"/>
  <c r="I954" i="18"/>
  <c r="H954" i="18"/>
  <c r="G954" i="18"/>
  <c r="F954" i="18"/>
  <c r="E954" i="18"/>
  <c r="C954" i="18"/>
  <c r="B954" i="18"/>
  <c r="A954" i="18"/>
  <c r="T953" i="18"/>
  <c r="S953" i="18"/>
  <c r="Q953" i="18"/>
  <c r="P953" i="18"/>
  <c r="O953" i="18"/>
  <c r="N953" i="18"/>
  <c r="M953" i="18"/>
  <c r="L953" i="18"/>
  <c r="K953" i="18"/>
  <c r="J953" i="18"/>
  <c r="I953" i="18"/>
  <c r="H953" i="18"/>
  <c r="G953" i="18"/>
  <c r="F953" i="18"/>
  <c r="E953" i="18"/>
  <c r="C953" i="18"/>
  <c r="B953" i="18"/>
  <c r="A953" i="18"/>
  <c r="T952" i="18"/>
  <c r="S952" i="18"/>
  <c r="Q952" i="18"/>
  <c r="P952" i="18"/>
  <c r="O952" i="18"/>
  <c r="N952" i="18"/>
  <c r="M952" i="18"/>
  <c r="L952" i="18"/>
  <c r="K952" i="18"/>
  <c r="J952" i="18"/>
  <c r="I952" i="18"/>
  <c r="H952" i="18"/>
  <c r="G952" i="18"/>
  <c r="F952" i="18"/>
  <c r="E952" i="18"/>
  <c r="C952" i="18"/>
  <c r="B952" i="18"/>
  <c r="A952" i="18"/>
  <c r="T951" i="18"/>
  <c r="S951" i="18"/>
  <c r="Q951" i="18"/>
  <c r="P951" i="18"/>
  <c r="O951" i="18"/>
  <c r="N951" i="18"/>
  <c r="M951" i="18"/>
  <c r="L951" i="18"/>
  <c r="K951" i="18"/>
  <c r="J951" i="18"/>
  <c r="I951" i="18"/>
  <c r="H951" i="18"/>
  <c r="G951" i="18"/>
  <c r="F951" i="18"/>
  <c r="E951" i="18"/>
  <c r="C951" i="18"/>
  <c r="B951" i="18"/>
  <c r="A951" i="18"/>
  <c r="T950" i="18"/>
  <c r="S950" i="18"/>
  <c r="Q950" i="18"/>
  <c r="P950" i="18"/>
  <c r="O950" i="18"/>
  <c r="N950" i="18"/>
  <c r="M950" i="18"/>
  <c r="L950" i="18"/>
  <c r="K950" i="18"/>
  <c r="J950" i="18"/>
  <c r="I950" i="18"/>
  <c r="H950" i="18"/>
  <c r="G950" i="18"/>
  <c r="F950" i="18"/>
  <c r="E950" i="18"/>
  <c r="C950" i="18"/>
  <c r="B950" i="18"/>
  <c r="A950" i="18"/>
  <c r="T949" i="18"/>
  <c r="S949" i="18"/>
  <c r="Q949" i="18"/>
  <c r="P949" i="18"/>
  <c r="O949" i="18"/>
  <c r="N949" i="18"/>
  <c r="M949" i="18"/>
  <c r="L949" i="18"/>
  <c r="K949" i="18"/>
  <c r="J949" i="18"/>
  <c r="I949" i="18"/>
  <c r="H949" i="18"/>
  <c r="G949" i="18"/>
  <c r="F949" i="18"/>
  <c r="E949" i="18"/>
  <c r="C949" i="18"/>
  <c r="B949" i="18"/>
  <c r="A949" i="18"/>
  <c r="T948" i="18"/>
  <c r="S948" i="18"/>
  <c r="Q948" i="18"/>
  <c r="P948" i="18"/>
  <c r="O948" i="18"/>
  <c r="N948" i="18"/>
  <c r="M948" i="18"/>
  <c r="L948" i="18"/>
  <c r="K948" i="18"/>
  <c r="J948" i="18"/>
  <c r="I948" i="18"/>
  <c r="H948" i="18"/>
  <c r="G948" i="18"/>
  <c r="F948" i="18"/>
  <c r="E948" i="18"/>
  <c r="C948" i="18"/>
  <c r="B948" i="18"/>
  <c r="A948" i="18"/>
  <c r="T947" i="18"/>
  <c r="S947" i="18"/>
  <c r="Q947" i="18"/>
  <c r="P947" i="18"/>
  <c r="O947" i="18"/>
  <c r="N947" i="18"/>
  <c r="M947" i="18"/>
  <c r="L947" i="18"/>
  <c r="K947" i="18"/>
  <c r="J947" i="18"/>
  <c r="I947" i="18"/>
  <c r="H947" i="18"/>
  <c r="G947" i="18"/>
  <c r="F947" i="18"/>
  <c r="E947" i="18"/>
  <c r="C947" i="18"/>
  <c r="B947" i="18"/>
  <c r="A947" i="18"/>
  <c r="T946" i="18"/>
  <c r="S946" i="18"/>
  <c r="Q946" i="18"/>
  <c r="P946" i="18"/>
  <c r="O946" i="18"/>
  <c r="N946" i="18"/>
  <c r="M946" i="18"/>
  <c r="L946" i="18"/>
  <c r="K946" i="18"/>
  <c r="J946" i="18"/>
  <c r="I946" i="18"/>
  <c r="H946" i="18"/>
  <c r="G946" i="18"/>
  <c r="F946" i="18"/>
  <c r="E946" i="18"/>
  <c r="C946" i="18"/>
  <c r="B946" i="18"/>
  <c r="A946" i="18"/>
  <c r="T945" i="18"/>
  <c r="S945" i="18"/>
  <c r="Q945" i="18"/>
  <c r="P945" i="18"/>
  <c r="O945" i="18"/>
  <c r="N945" i="18"/>
  <c r="M945" i="18"/>
  <c r="L945" i="18"/>
  <c r="K945" i="18"/>
  <c r="J945" i="18"/>
  <c r="I945" i="18"/>
  <c r="H945" i="18"/>
  <c r="G945" i="18"/>
  <c r="F945" i="18"/>
  <c r="E945" i="18"/>
  <c r="C945" i="18"/>
  <c r="B945" i="18"/>
  <c r="A945" i="18"/>
  <c r="T944" i="18"/>
  <c r="S944" i="18"/>
  <c r="Q944" i="18"/>
  <c r="P944" i="18"/>
  <c r="O944" i="18"/>
  <c r="N944" i="18"/>
  <c r="M944" i="18"/>
  <c r="L944" i="18"/>
  <c r="K944" i="18"/>
  <c r="J944" i="18"/>
  <c r="I944" i="18"/>
  <c r="H944" i="18"/>
  <c r="G944" i="18"/>
  <c r="F944" i="18"/>
  <c r="E944" i="18"/>
  <c r="C944" i="18"/>
  <c r="B944" i="18"/>
  <c r="A944" i="18"/>
  <c r="T943" i="18"/>
  <c r="S943" i="18"/>
  <c r="Q943" i="18"/>
  <c r="P943" i="18"/>
  <c r="O943" i="18"/>
  <c r="N943" i="18"/>
  <c r="M943" i="18"/>
  <c r="L943" i="18"/>
  <c r="K943" i="18"/>
  <c r="J943" i="18"/>
  <c r="I943" i="18"/>
  <c r="H943" i="18"/>
  <c r="G943" i="18"/>
  <c r="F943" i="18"/>
  <c r="E943" i="18"/>
  <c r="C943" i="18"/>
  <c r="B943" i="18"/>
  <c r="A943" i="18"/>
  <c r="T942" i="18"/>
  <c r="S942" i="18"/>
  <c r="Q942" i="18"/>
  <c r="P942" i="18"/>
  <c r="O942" i="18"/>
  <c r="N942" i="18"/>
  <c r="M942" i="18"/>
  <c r="L942" i="18"/>
  <c r="K942" i="18"/>
  <c r="J942" i="18"/>
  <c r="I942" i="18"/>
  <c r="H942" i="18"/>
  <c r="G942" i="18"/>
  <c r="F942" i="18"/>
  <c r="E942" i="18"/>
  <c r="C942" i="18"/>
  <c r="B942" i="18"/>
  <c r="A942" i="18"/>
  <c r="T941" i="18"/>
  <c r="S941" i="18"/>
  <c r="Q941" i="18"/>
  <c r="P941" i="18"/>
  <c r="O941" i="18"/>
  <c r="N941" i="18"/>
  <c r="M941" i="18"/>
  <c r="L941" i="18"/>
  <c r="K941" i="18"/>
  <c r="J941" i="18"/>
  <c r="I941" i="18"/>
  <c r="H941" i="18"/>
  <c r="G941" i="18"/>
  <c r="F941" i="18"/>
  <c r="E941" i="18"/>
  <c r="C941" i="18"/>
  <c r="B941" i="18"/>
  <c r="A941" i="18"/>
  <c r="T940" i="18"/>
  <c r="S940" i="18"/>
  <c r="Q940" i="18"/>
  <c r="P940" i="18"/>
  <c r="O940" i="18"/>
  <c r="N940" i="18"/>
  <c r="M940" i="18"/>
  <c r="L940" i="18"/>
  <c r="K940" i="18"/>
  <c r="J940" i="18"/>
  <c r="I940" i="18"/>
  <c r="H940" i="18"/>
  <c r="G940" i="18"/>
  <c r="F940" i="18"/>
  <c r="E940" i="18"/>
  <c r="C940" i="18"/>
  <c r="B940" i="18"/>
  <c r="A940" i="18"/>
  <c r="T939" i="18"/>
  <c r="S939" i="18"/>
  <c r="Q939" i="18"/>
  <c r="P939" i="18"/>
  <c r="O939" i="18"/>
  <c r="N939" i="18"/>
  <c r="M939" i="18"/>
  <c r="L939" i="18"/>
  <c r="K939" i="18"/>
  <c r="J939" i="18"/>
  <c r="I939" i="18"/>
  <c r="H939" i="18"/>
  <c r="G939" i="18"/>
  <c r="F939" i="18"/>
  <c r="E939" i="18"/>
  <c r="C939" i="18"/>
  <c r="B939" i="18"/>
  <c r="A939" i="18"/>
  <c r="T938" i="18"/>
  <c r="S938" i="18"/>
  <c r="Q938" i="18"/>
  <c r="P938" i="18"/>
  <c r="O938" i="18"/>
  <c r="N938" i="18"/>
  <c r="M938" i="18"/>
  <c r="L938" i="18"/>
  <c r="K938" i="18"/>
  <c r="J938" i="18"/>
  <c r="I938" i="18"/>
  <c r="H938" i="18"/>
  <c r="G938" i="18"/>
  <c r="F938" i="18"/>
  <c r="E938" i="18"/>
  <c r="C938" i="18"/>
  <c r="B938" i="18"/>
  <c r="A938" i="18"/>
  <c r="T937" i="18"/>
  <c r="S937" i="18"/>
  <c r="Q937" i="18"/>
  <c r="P937" i="18"/>
  <c r="O937" i="18"/>
  <c r="N937" i="18"/>
  <c r="M937" i="18"/>
  <c r="L937" i="18"/>
  <c r="K937" i="18"/>
  <c r="J937" i="18"/>
  <c r="I937" i="18"/>
  <c r="H937" i="18"/>
  <c r="G937" i="18"/>
  <c r="F937" i="18"/>
  <c r="E937" i="18"/>
  <c r="C937" i="18"/>
  <c r="B937" i="18"/>
  <c r="A937" i="18"/>
  <c r="T936" i="18"/>
  <c r="S936" i="18"/>
  <c r="Q936" i="18"/>
  <c r="P936" i="18"/>
  <c r="O936" i="18"/>
  <c r="N936" i="18"/>
  <c r="M936" i="18"/>
  <c r="L936" i="18"/>
  <c r="K936" i="18"/>
  <c r="J936" i="18"/>
  <c r="I936" i="18"/>
  <c r="H936" i="18"/>
  <c r="G936" i="18"/>
  <c r="F936" i="18"/>
  <c r="E936" i="18"/>
  <c r="C936" i="18"/>
  <c r="B936" i="18"/>
  <c r="A936" i="18"/>
  <c r="T935" i="18"/>
  <c r="S935" i="18"/>
  <c r="Q935" i="18"/>
  <c r="P935" i="18"/>
  <c r="O935" i="18"/>
  <c r="N935" i="18"/>
  <c r="M935" i="18"/>
  <c r="L935" i="18"/>
  <c r="K935" i="18"/>
  <c r="J935" i="18"/>
  <c r="I935" i="18"/>
  <c r="H935" i="18"/>
  <c r="G935" i="18"/>
  <c r="F935" i="18"/>
  <c r="E935" i="18"/>
  <c r="C935" i="18"/>
  <c r="B935" i="18"/>
  <c r="A935" i="18"/>
  <c r="T934" i="18"/>
  <c r="S934" i="18"/>
  <c r="Q934" i="18"/>
  <c r="P934" i="18"/>
  <c r="O934" i="18"/>
  <c r="N934" i="18"/>
  <c r="M934" i="18"/>
  <c r="L934" i="18"/>
  <c r="K934" i="18"/>
  <c r="J934" i="18"/>
  <c r="I934" i="18"/>
  <c r="H934" i="18"/>
  <c r="G934" i="18"/>
  <c r="F934" i="18"/>
  <c r="E934" i="18"/>
  <c r="C934" i="18"/>
  <c r="B934" i="18"/>
  <c r="A934" i="18"/>
  <c r="T933" i="18"/>
  <c r="S933" i="18"/>
  <c r="Q933" i="18"/>
  <c r="P933" i="18"/>
  <c r="O933" i="18"/>
  <c r="N933" i="18"/>
  <c r="M933" i="18"/>
  <c r="L933" i="18"/>
  <c r="K933" i="18"/>
  <c r="J933" i="18"/>
  <c r="I933" i="18"/>
  <c r="H933" i="18"/>
  <c r="G933" i="18"/>
  <c r="F933" i="18"/>
  <c r="E933" i="18"/>
  <c r="C933" i="18"/>
  <c r="B933" i="18"/>
  <c r="A933" i="18"/>
  <c r="T932" i="18"/>
  <c r="S932" i="18"/>
  <c r="Q932" i="18"/>
  <c r="P932" i="18"/>
  <c r="O932" i="18"/>
  <c r="N932" i="18"/>
  <c r="M932" i="18"/>
  <c r="L932" i="18"/>
  <c r="K932" i="18"/>
  <c r="J932" i="18"/>
  <c r="I932" i="18"/>
  <c r="H932" i="18"/>
  <c r="G932" i="18"/>
  <c r="F932" i="18"/>
  <c r="E932" i="18"/>
  <c r="C932" i="18"/>
  <c r="B932" i="18"/>
  <c r="A932" i="18"/>
  <c r="T931" i="18"/>
  <c r="S931" i="18"/>
  <c r="Q931" i="18"/>
  <c r="P931" i="18"/>
  <c r="O931" i="18"/>
  <c r="N931" i="18"/>
  <c r="M931" i="18"/>
  <c r="L931" i="18"/>
  <c r="K931" i="18"/>
  <c r="J931" i="18"/>
  <c r="I931" i="18"/>
  <c r="H931" i="18"/>
  <c r="G931" i="18"/>
  <c r="F931" i="18"/>
  <c r="E931" i="18"/>
  <c r="C931" i="18"/>
  <c r="B931" i="18"/>
  <c r="A931" i="18"/>
  <c r="T930" i="18"/>
  <c r="S930" i="18"/>
  <c r="Q930" i="18"/>
  <c r="P930" i="18"/>
  <c r="O930" i="18"/>
  <c r="N930" i="18"/>
  <c r="M930" i="18"/>
  <c r="L930" i="18"/>
  <c r="K930" i="18"/>
  <c r="J930" i="18"/>
  <c r="I930" i="18"/>
  <c r="H930" i="18"/>
  <c r="G930" i="18"/>
  <c r="F930" i="18"/>
  <c r="E930" i="18"/>
  <c r="C930" i="18"/>
  <c r="B930" i="18"/>
  <c r="A930" i="18"/>
  <c r="T929" i="18"/>
  <c r="S929" i="18"/>
  <c r="Q929" i="18"/>
  <c r="P929" i="18"/>
  <c r="O929" i="18"/>
  <c r="N929" i="18"/>
  <c r="M929" i="18"/>
  <c r="L929" i="18"/>
  <c r="K929" i="18"/>
  <c r="J929" i="18"/>
  <c r="I929" i="18"/>
  <c r="H929" i="18"/>
  <c r="G929" i="18"/>
  <c r="F929" i="18"/>
  <c r="E929" i="18"/>
  <c r="C929" i="18"/>
  <c r="B929" i="18"/>
  <c r="A929" i="18"/>
  <c r="T928" i="18"/>
  <c r="S928" i="18"/>
  <c r="Q928" i="18"/>
  <c r="P928" i="18"/>
  <c r="O928" i="18"/>
  <c r="N928" i="18"/>
  <c r="M928" i="18"/>
  <c r="L928" i="18"/>
  <c r="K928" i="18"/>
  <c r="J928" i="18"/>
  <c r="I928" i="18"/>
  <c r="H928" i="18"/>
  <c r="G928" i="18"/>
  <c r="F928" i="18"/>
  <c r="E928" i="18"/>
  <c r="C928" i="18"/>
  <c r="B928" i="18"/>
  <c r="A928" i="18"/>
  <c r="T927" i="18"/>
  <c r="S927" i="18"/>
  <c r="Q927" i="18"/>
  <c r="P927" i="18"/>
  <c r="O927" i="18"/>
  <c r="N927" i="18"/>
  <c r="M927" i="18"/>
  <c r="L927" i="18"/>
  <c r="K927" i="18"/>
  <c r="J927" i="18"/>
  <c r="I927" i="18"/>
  <c r="H927" i="18"/>
  <c r="G927" i="18"/>
  <c r="F927" i="18"/>
  <c r="E927" i="18"/>
  <c r="C927" i="18"/>
  <c r="B927" i="18"/>
  <c r="A927" i="18"/>
  <c r="T926" i="18"/>
  <c r="S926" i="18"/>
  <c r="Q926" i="18"/>
  <c r="P926" i="18"/>
  <c r="O926" i="18"/>
  <c r="N926" i="18"/>
  <c r="M926" i="18"/>
  <c r="L926" i="18"/>
  <c r="K926" i="18"/>
  <c r="J926" i="18"/>
  <c r="I926" i="18"/>
  <c r="H926" i="18"/>
  <c r="G926" i="18"/>
  <c r="F926" i="18"/>
  <c r="E926" i="18"/>
  <c r="C926" i="18"/>
  <c r="B926" i="18"/>
  <c r="A926" i="18"/>
  <c r="T925" i="18"/>
  <c r="S925" i="18"/>
  <c r="Q925" i="18"/>
  <c r="P925" i="18"/>
  <c r="O925" i="18"/>
  <c r="N925" i="18"/>
  <c r="M925" i="18"/>
  <c r="L925" i="18"/>
  <c r="K925" i="18"/>
  <c r="J925" i="18"/>
  <c r="I925" i="18"/>
  <c r="H925" i="18"/>
  <c r="G925" i="18"/>
  <c r="F925" i="18"/>
  <c r="E925" i="18"/>
  <c r="C925" i="18"/>
  <c r="B925" i="18"/>
  <c r="A925" i="18"/>
  <c r="T924" i="18"/>
  <c r="S924" i="18"/>
  <c r="Q924" i="18"/>
  <c r="P924" i="18"/>
  <c r="O924" i="18"/>
  <c r="N924" i="18"/>
  <c r="M924" i="18"/>
  <c r="L924" i="18"/>
  <c r="K924" i="18"/>
  <c r="J924" i="18"/>
  <c r="I924" i="18"/>
  <c r="H924" i="18"/>
  <c r="G924" i="18"/>
  <c r="F924" i="18"/>
  <c r="E924" i="18"/>
  <c r="C924" i="18"/>
  <c r="B924" i="18"/>
  <c r="A924" i="18"/>
  <c r="T923" i="18"/>
  <c r="S923" i="18"/>
  <c r="Q923" i="18"/>
  <c r="P923" i="18"/>
  <c r="O923" i="18"/>
  <c r="N923" i="18"/>
  <c r="M923" i="18"/>
  <c r="L923" i="18"/>
  <c r="K923" i="18"/>
  <c r="J923" i="18"/>
  <c r="I923" i="18"/>
  <c r="H923" i="18"/>
  <c r="G923" i="18"/>
  <c r="F923" i="18"/>
  <c r="E923" i="18"/>
  <c r="C923" i="18"/>
  <c r="B923" i="18"/>
  <c r="A923" i="18"/>
  <c r="T922" i="18"/>
  <c r="S922" i="18"/>
  <c r="Q922" i="18"/>
  <c r="P922" i="18"/>
  <c r="O922" i="18"/>
  <c r="N922" i="18"/>
  <c r="M922" i="18"/>
  <c r="L922" i="18"/>
  <c r="K922" i="18"/>
  <c r="J922" i="18"/>
  <c r="I922" i="18"/>
  <c r="H922" i="18"/>
  <c r="G922" i="18"/>
  <c r="F922" i="18"/>
  <c r="E922" i="18"/>
  <c r="C922" i="18"/>
  <c r="B922" i="18"/>
  <c r="A922" i="18"/>
  <c r="T921" i="18"/>
  <c r="S921" i="18"/>
  <c r="Q921" i="18"/>
  <c r="P921" i="18"/>
  <c r="O921" i="18"/>
  <c r="N921" i="18"/>
  <c r="M921" i="18"/>
  <c r="L921" i="18"/>
  <c r="K921" i="18"/>
  <c r="J921" i="18"/>
  <c r="I921" i="18"/>
  <c r="H921" i="18"/>
  <c r="G921" i="18"/>
  <c r="F921" i="18"/>
  <c r="E921" i="18"/>
  <c r="C921" i="18"/>
  <c r="B921" i="18"/>
  <c r="A921" i="18"/>
  <c r="T920" i="18"/>
  <c r="S920" i="18"/>
  <c r="Q920" i="18"/>
  <c r="P920" i="18"/>
  <c r="O920" i="18"/>
  <c r="N920" i="18"/>
  <c r="M920" i="18"/>
  <c r="L920" i="18"/>
  <c r="K920" i="18"/>
  <c r="J920" i="18"/>
  <c r="I920" i="18"/>
  <c r="H920" i="18"/>
  <c r="G920" i="18"/>
  <c r="F920" i="18"/>
  <c r="E920" i="18"/>
  <c r="C920" i="18"/>
  <c r="B920" i="18"/>
  <c r="A920" i="18"/>
  <c r="T919" i="18"/>
  <c r="S919" i="18"/>
  <c r="Q919" i="18"/>
  <c r="P919" i="18"/>
  <c r="O919" i="18"/>
  <c r="N919" i="18"/>
  <c r="M919" i="18"/>
  <c r="L919" i="18"/>
  <c r="K919" i="18"/>
  <c r="J919" i="18"/>
  <c r="I919" i="18"/>
  <c r="H919" i="18"/>
  <c r="G919" i="18"/>
  <c r="F919" i="18"/>
  <c r="E919" i="18"/>
  <c r="C919" i="18"/>
  <c r="B919" i="18"/>
  <c r="A919" i="18"/>
  <c r="T918" i="18"/>
  <c r="S918" i="18"/>
  <c r="Q918" i="18"/>
  <c r="P918" i="18"/>
  <c r="O918" i="18"/>
  <c r="N918" i="18"/>
  <c r="M918" i="18"/>
  <c r="L918" i="18"/>
  <c r="K918" i="18"/>
  <c r="J918" i="18"/>
  <c r="I918" i="18"/>
  <c r="H918" i="18"/>
  <c r="G918" i="18"/>
  <c r="F918" i="18"/>
  <c r="E918" i="18"/>
  <c r="C918" i="18"/>
  <c r="B918" i="18"/>
  <c r="A918" i="18"/>
  <c r="T917" i="18"/>
  <c r="S917" i="18"/>
  <c r="Q917" i="18"/>
  <c r="P917" i="18"/>
  <c r="O917" i="18"/>
  <c r="N917" i="18"/>
  <c r="M917" i="18"/>
  <c r="L917" i="18"/>
  <c r="K917" i="18"/>
  <c r="J917" i="18"/>
  <c r="I917" i="18"/>
  <c r="H917" i="18"/>
  <c r="G917" i="18"/>
  <c r="F917" i="18"/>
  <c r="E917" i="18"/>
  <c r="C917" i="18"/>
  <c r="B917" i="18"/>
  <c r="A917" i="18"/>
  <c r="T916" i="18"/>
  <c r="S916" i="18"/>
  <c r="Q916" i="18"/>
  <c r="P916" i="18"/>
  <c r="O916" i="18"/>
  <c r="N916" i="18"/>
  <c r="M916" i="18"/>
  <c r="L916" i="18"/>
  <c r="K916" i="18"/>
  <c r="J916" i="18"/>
  <c r="I916" i="18"/>
  <c r="H916" i="18"/>
  <c r="G916" i="18"/>
  <c r="F916" i="18"/>
  <c r="E916" i="18"/>
  <c r="C916" i="18"/>
  <c r="B916" i="18"/>
  <c r="A916" i="18"/>
  <c r="T915" i="18"/>
  <c r="S915" i="18"/>
  <c r="Q915" i="18"/>
  <c r="P915" i="18"/>
  <c r="O915" i="18"/>
  <c r="N915" i="18"/>
  <c r="M915" i="18"/>
  <c r="L915" i="18"/>
  <c r="K915" i="18"/>
  <c r="J915" i="18"/>
  <c r="I915" i="18"/>
  <c r="H915" i="18"/>
  <c r="G915" i="18"/>
  <c r="F915" i="18"/>
  <c r="E915" i="18"/>
  <c r="C915" i="18"/>
  <c r="B915" i="18"/>
  <c r="A915" i="18"/>
  <c r="T914" i="18"/>
  <c r="S914" i="18"/>
  <c r="Q914" i="18"/>
  <c r="P914" i="18"/>
  <c r="O914" i="18"/>
  <c r="N914" i="18"/>
  <c r="M914" i="18"/>
  <c r="L914" i="18"/>
  <c r="K914" i="18"/>
  <c r="J914" i="18"/>
  <c r="I914" i="18"/>
  <c r="H914" i="18"/>
  <c r="G914" i="18"/>
  <c r="F914" i="18"/>
  <c r="E914" i="18"/>
  <c r="C914" i="18"/>
  <c r="B914" i="18"/>
  <c r="A914" i="18"/>
  <c r="T913" i="18"/>
  <c r="S913" i="18"/>
  <c r="Q913" i="18"/>
  <c r="P913" i="18"/>
  <c r="O913" i="18"/>
  <c r="N913" i="18"/>
  <c r="M913" i="18"/>
  <c r="L913" i="18"/>
  <c r="K913" i="18"/>
  <c r="J913" i="18"/>
  <c r="I913" i="18"/>
  <c r="H913" i="18"/>
  <c r="G913" i="18"/>
  <c r="F913" i="18"/>
  <c r="E913" i="18"/>
  <c r="C913" i="18"/>
  <c r="B913" i="18"/>
  <c r="A913" i="18"/>
  <c r="T912" i="18"/>
  <c r="S912" i="18"/>
  <c r="Q912" i="18"/>
  <c r="P912" i="18"/>
  <c r="O912" i="18"/>
  <c r="N912" i="18"/>
  <c r="M912" i="18"/>
  <c r="L912" i="18"/>
  <c r="K912" i="18"/>
  <c r="J912" i="18"/>
  <c r="I912" i="18"/>
  <c r="H912" i="18"/>
  <c r="G912" i="18"/>
  <c r="F912" i="18"/>
  <c r="E912" i="18"/>
  <c r="C912" i="18"/>
  <c r="B912" i="18"/>
  <c r="A912" i="18"/>
  <c r="T911" i="18"/>
  <c r="S911" i="18"/>
  <c r="Q911" i="18"/>
  <c r="P911" i="18"/>
  <c r="O911" i="18"/>
  <c r="N911" i="18"/>
  <c r="M911" i="18"/>
  <c r="L911" i="18"/>
  <c r="K911" i="18"/>
  <c r="J911" i="18"/>
  <c r="I911" i="18"/>
  <c r="H911" i="18"/>
  <c r="G911" i="18"/>
  <c r="F911" i="18"/>
  <c r="E911" i="18"/>
  <c r="C911" i="18"/>
  <c r="B911" i="18"/>
  <c r="A911" i="18"/>
  <c r="T910" i="18"/>
  <c r="S910" i="18"/>
  <c r="Q910" i="18"/>
  <c r="P910" i="18"/>
  <c r="O910" i="18"/>
  <c r="N910" i="18"/>
  <c r="M910" i="18"/>
  <c r="L910" i="18"/>
  <c r="K910" i="18"/>
  <c r="J910" i="18"/>
  <c r="I910" i="18"/>
  <c r="H910" i="18"/>
  <c r="G910" i="18"/>
  <c r="F910" i="18"/>
  <c r="E910" i="18"/>
  <c r="C910" i="18"/>
  <c r="B910" i="18"/>
  <c r="A910" i="18"/>
  <c r="T909" i="18"/>
  <c r="S909" i="18"/>
  <c r="Q909" i="18"/>
  <c r="P909" i="18"/>
  <c r="O909" i="18"/>
  <c r="N909" i="18"/>
  <c r="M909" i="18"/>
  <c r="L909" i="18"/>
  <c r="K909" i="18"/>
  <c r="J909" i="18"/>
  <c r="I909" i="18"/>
  <c r="H909" i="18"/>
  <c r="G909" i="18"/>
  <c r="F909" i="18"/>
  <c r="E909" i="18"/>
  <c r="C909" i="18"/>
  <c r="B909" i="18"/>
  <c r="A909" i="18"/>
  <c r="T908" i="18"/>
  <c r="S908" i="18"/>
  <c r="Q908" i="18"/>
  <c r="P908" i="18"/>
  <c r="O908" i="18"/>
  <c r="N908" i="18"/>
  <c r="M908" i="18"/>
  <c r="L908" i="18"/>
  <c r="K908" i="18"/>
  <c r="J908" i="18"/>
  <c r="I908" i="18"/>
  <c r="H908" i="18"/>
  <c r="G908" i="18"/>
  <c r="F908" i="18"/>
  <c r="E908" i="18"/>
  <c r="C908" i="18"/>
  <c r="B908" i="18"/>
  <c r="A908" i="18"/>
  <c r="T907" i="18"/>
  <c r="S907" i="18"/>
  <c r="Q907" i="18"/>
  <c r="P907" i="18"/>
  <c r="O907" i="18"/>
  <c r="N907" i="18"/>
  <c r="M907" i="18"/>
  <c r="L907" i="18"/>
  <c r="K907" i="18"/>
  <c r="J907" i="18"/>
  <c r="I907" i="18"/>
  <c r="H907" i="18"/>
  <c r="G907" i="18"/>
  <c r="F907" i="18"/>
  <c r="E907" i="18"/>
  <c r="C907" i="18"/>
  <c r="B907" i="18"/>
  <c r="A907" i="18"/>
  <c r="T906" i="18"/>
  <c r="S906" i="18"/>
  <c r="Q906" i="18"/>
  <c r="P906" i="18"/>
  <c r="O906" i="18"/>
  <c r="N906" i="18"/>
  <c r="M906" i="18"/>
  <c r="L906" i="18"/>
  <c r="K906" i="18"/>
  <c r="J906" i="18"/>
  <c r="I906" i="18"/>
  <c r="H906" i="18"/>
  <c r="G906" i="18"/>
  <c r="F906" i="18"/>
  <c r="E906" i="18"/>
  <c r="C906" i="18"/>
  <c r="B906" i="18"/>
  <c r="A906" i="18"/>
  <c r="T905" i="18"/>
  <c r="S905" i="18"/>
  <c r="Q905" i="18"/>
  <c r="P905" i="18"/>
  <c r="O905" i="18"/>
  <c r="N905" i="18"/>
  <c r="M905" i="18"/>
  <c r="L905" i="18"/>
  <c r="K905" i="18"/>
  <c r="J905" i="18"/>
  <c r="I905" i="18"/>
  <c r="H905" i="18"/>
  <c r="G905" i="18"/>
  <c r="F905" i="18"/>
  <c r="E905" i="18"/>
  <c r="C905" i="18"/>
  <c r="B905" i="18"/>
  <c r="A905" i="18"/>
  <c r="T904" i="18"/>
  <c r="S904" i="18"/>
  <c r="Q904" i="18"/>
  <c r="P904" i="18"/>
  <c r="O904" i="18"/>
  <c r="N904" i="18"/>
  <c r="M904" i="18"/>
  <c r="L904" i="18"/>
  <c r="K904" i="18"/>
  <c r="J904" i="18"/>
  <c r="I904" i="18"/>
  <c r="H904" i="18"/>
  <c r="G904" i="18"/>
  <c r="F904" i="18"/>
  <c r="E904" i="18"/>
  <c r="C904" i="18"/>
  <c r="B904" i="18"/>
  <c r="A904" i="18"/>
  <c r="T903" i="18"/>
  <c r="S903" i="18"/>
  <c r="Q903" i="18"/>
  <c r="P903" i="18"/>
  <c r="O903" i="18"/>
  <c r="N903" i="18"/>
  <c r="M903" i="18"/>
  <c r="L903" i="18"/>
  <c r="K903" i="18"/>
  <c r="J903" i="18"/>
  <c r="I903" i="18"/>
  <c r="H903" i="18"/>
  <c r="G903" i="18"/>
  <c r="F903" i="18"/>
  <c r="E903" i="18"/>
  <c r="C903" i="18"/>
  <c r="B903" i="18"/>
  <c r="A903" i="18"/>
  <c r="T902" i="18"/>
  <c r="S902" i="18"/>
  <c r="Q902" i="18"/>
  <c r="P902" i="18"/>
  <c r="O902" i="18"/>
  <c r="N902" i="18"/>
  <c r="M902" i="18"/>
  <c r="L902" i="18"/>
  <c r="K902" i="18"/>
  <c r="J902" i="18"/>
  <c r="I902" i="18"/>
  <c r="H902" i="18"/>
  <c r="G902" i="18"/>
  <c r="F902" i="18"/>
  <c r="E902" i="18"/>
  <c r="C902" i="18"/>
  <c r="B902" i="18"/>
  <c r="A902" i="18"/>
  <c r="T901" i="18"/>
  <c r="S901" i="18"/>
  <c r="R901" i="18"/>
  <c r="Q901" i="18"/>
  <c r="P901" i="18"/>
  <c r="O901" i="18"/>
  <c r="N901" i="18"/>
  <c r="M901" i="18"/>
  <c r="L901" i="18"/>
  <c r="K901" i="18"/>
  <c r="J901" i="18"/>
  <c r="I901" i="18"/>
  <c r="H901" i="18"/>
  <c r="G901" i="18"/>
  <c r="F901" i="18"/>
  <c r="E901" i="18"/>
  <c r="C901" i="18"/>
  <c r="B901" i="18"/>
  <c r="A901" i="18"/>
  <c r="T900" i="18"/>
  <c r="S900" i="18"/>
  <c r="R900" i="18"/>
  <c r="Q900" i="18"/>
  <c r="P900" i="18"/>
  <c r="O900" i="18"/>
  <c r="N900" i="18"/>
  <c r="M900" i="18"/>
  <c r="L900" i="18"/>
  <c r="K900" i="18"/>
  <c r="J900" i="18"/>
  <c r="I900" i="18"/>
  <c r="H900" i="18"/>
  <c r="G900" i="18"/>
  <c r="F900" i="18"/>
  <c r="E900" i="18"/>
  <c r="C900" i="18"/>
  <c r="B900" i="18"/>
  <c r="A900" i="18"/>
  <c r="T899" i="18"/>
  <c r="S899" i="18"/>
  <c r="R899" i="18"/>
  <c r="Q899" i="18"/>
  <c r="P899" i="18"/>
  <c r="O899" i="18"/>
  <c r="N899" i="18"/>
  <c r="M899" i="18"/>
  <c r="L899" i="18"/>
  <c r="K899" i="18"/>
  <c r="J899" i="18"/>
  <c r="I899" i="18"/>
  <c r="H899" i="18"/>
  <c r="G899" i="18"/>
  <c r="F899" i="18"/>
  <c r="E899" i="18"/>
  <c r="C899" i="18"/>
  <c r="B899" i="18"/>
  <c r="A899" i="18"/>
  <c r="T898" i="18"/>
  <c r="S898" i="18"/>
  <c r="R898" i="18"/>
  <c r="Q898" i="18"/>
  <c r="P898" i="18"/>
  <c r="O898" i="18"/>
  <c r="N898" i="18"/>
  <c r="M898" i="18"/>
  <c r="L898" i="18"/>
  <c r="K898" i="18"/>
  <c r="J898" i="18"/>
  <c r="I898" i="18"/>
  <c r="H898" i="18"/>
  <c r="G898" i="18"/>
  <c r="F898" i="18"/>
  <c r="E898" i="18"/>
  <c r="C898" i="18"/>
  <c r="B898" i="18"/>
  <c r="A898" i="18"/>
  <c r="T897" i="18"/>
  <c r="S897" i="18"/>
  <c r="R897" i="18"/>
  <c r="Q897" i="18"/>
  <c r="P897" i="18"/>
  <c r="O897" i="18"/>
  <c r="N897" i="18"/>
  <c r="M897" i="18"/>
  <c r="L897" i="18"/>
  <c r="K897" i="18"/>
  <c r="J897" i="18"/>
  <c r="I897" i="18"/>
  <c r="H897" i="18"/>
  <c r="G897" i="18"/>
  <c r="F897" i="18"/>
  <c r="E897" i="18"/>
  <c r="C897" i="18"/>
  <c r="B897" i="18"/>
  <c r="A897" i="18"/>
  <c r="T896" i="18"/>
  <c r="S896" i="18"/>
  <c r="R896" i="18"/>
  <c r="Q896" i="18"/>
  <c r="P896" i="18"/>
  <c r="O896" i="18"/>
  <c r="N896" i="18"/>
  <c r="M896" i="18"/>
  <c r="L896" i="18"/>
  <c r="K896" i="18"/>
  <c r="J896" i="18"/>
  <c r="I896" i="18"/>
  <c r="H896" i="18"/>
  <c r="G896" i="18"/>
  <c r="F896" i="18"/>
  <c r="E896" i="18"/>
  <c r="C896" i="18"/>
  <c r="B896" i="18"/>
  <c r="A896" i="18"/>
  <c r="T895" i="18"/>
  <c r="S895" i="18"/>
  <c r="R895" i="18"/>
  <c r="Q895" i="18"/>
  <c r="P895" i="18"/>
  <c r="O895" i="18"/>
  <c r="N895" i="18"/>
  <c r="M895" i="18"/>
  <c r="L895" i="18"/>
  <c r="K895" i="18"/>
  <c r="J895" i="18"/>
  <c r="I895" i="18"/>
  <c r="H895" i="18"/>
  <c r="G895" i="18"/>
  <c r="F895" i="18"/>
  <c r="E895" i="18"/>
  <c r="C895" i="18"/>
  <c r="B895" i="18"/>
  <c r="A895" i="18"/>
  <c r="T894" i="18"/>
  <c r="S894" i="18"/>
  <c r="R894" i="18"/>
  <c r="Q894" i="18"/>
  <c r="P894" i="18"/>
  <c r="O894" i="18"/>
  <c r="N894" i="18"/>
  <c r="M894" i="18"/>
  <c r="L894" i="18"/>
  <c r="K894" i="18"/>
  <c r="J894" i="18"/>
  <c r="I894" i="18"/>
  <c r="H894" i="18"/>
  <c r="G894" i="18"/>
  <c r="F894" i="18"/>
  <c r="E894" i="18"/>
  <c r="C894" i="18"/>
  <c r="B894" i="18"/>
  <c r="A894" i="18"/>
  <c r="T893" i="18"/>
  <c r="S893" i="18"/>
  <c r="R893" i="18"/>
  <c r="Q893" i="18"/>
  <c r="P893" i="18"/>
  <c r="O893" i="18"/>
  <c r="N893" i="18"/>
  <c r="M893" i="18"/>
  <c r="L893" i="18"/>
  <c r="K893" i="18"/>
  <c r="J893" i="18"/>
  <c r="I893" i="18"/>
  <c r="H893" i="18"/>
  <c r="G893" i="18"/>
  <c r="F893" i="18"/>
  <c r="E893" i="18"/>
  <c r="C893" i="18"/>
  <c r="B893" i="18"/>
  <c r="A893" i="18"/>
  <c r="T892" i="18"/>
  <c r="S892" i="18"/>
  <c r="R892" i="18"/>
  <c r="Q892" i="18"/>
  <c r="P892" i="18"/>
  <c r="O892" i="18"/>
  <c r="N892" i="18"/>
  <c r="M892" i="18"/>
  <c r="L892" i="18"/>
  <c r="K892" i="18"/>
  <c r="J892" i="18"/>
  <c r="I892" i="18"/>
  <c r="H892" i="18"/>
  <c r="G892" i="18"/>
  <c r="F892" i="18"/>
  <c r="E892" i="18"/>
  <c r="C892" i="18"/>
  <c r="B892" i="18"/>
  <c r="A892" i="18"/>
  <c r="T891" i="18"/>
  <c r="S891" i="18"/>
  <c r="R891" i="18"/>
  <c r="Q891" i="18"/>
  <c r="P891" i="18"/>
  <c r="O891" i="18"/>
  <c r="N891" i="18"/>
  <c r="M891" i="18"/>
  <c r="L891" i="18"/>
  <c r="K891" i="18"/>
  <c r="J891" i="18"/>
  <c r="I891" i="18"/>
  <c r="H891" i="18"/>
  <c r="G891" i="18"/>
  <c r="F891" i="18"/>
  <c r="E891" i="18"/>
  <c r="C891" i="18"/>
  <c r="B891" i="18"/>
  <c r="A891" i="18"/>
  <c r="T890" i="18"/>
  <c r="S890" i="18"/>
  <c r="R890" i="18"/>
  <c r="Q890" i="18"/>
  <c r="P890" i="18"/>
  <c r="O890" i="18"/>
  <c r="N890" i="18"/>
  <c r="M890" i="18"/>
  <c r="L890" i="18"/>
  <c r="K890" i="18"/>
  <c r="J890" i="18"/>
  <c r="I890" i="18"/>
  <c r="H890" i="18"/>
  <c r="G890" i="18"/>
  <c r="F890" i="18"/>
  <c r="E890" i="18"/>
  <c r="C890" i="18"/>
  <c r="B890" i="18"/>
  <c r="A890" i="18"/>
  <c r="T889" i="18"/>
  <c r="S889" i="18"/>
  <c r="R889" i="18"/>
  <c r="Q889" i="18"/>
  <c r="P889" i="18"/>
  <c r="O889" i="18"/>
  <c r="N889" i="18"/>
  <c r="M889" i="18"/>
  <c r="L889" i="18"/>
  <c r="K889" i="18"/>
  <c r="J889" i="18"/>
  <c r="I889" i="18"/>
  <c r="H889" i="18"/>
  <c r="G889" i="18"/>
  <c r="F889" i="18"/>
  <c r="E889" i="18"/>
  <c r="C889" i="18"/>
  <c r="B889" i="18"/>
  <c r="A889" i="18"/>
  <c r="T888" i="18"/>
  <c r="S888" i="18"/>
  <c r="R888" i="18"/>
  <c r="Q888" i="18"/>
  <c r="P888" i="18"/>
  <c r="O888" i="18"/>
  <c r="N888" i="18"/>
  <c r="M888" i="18"/>
  <c r="L888" i="18"/>
  <c r="K888" i="18"/>
  <c r="J888" i="18"/>
  <c r="I888" i="18"/>
  <c r="H888" i="18"/>
  <c r="G888" i="18"/>
  <c r="F888" i="18"/>
  <c r="E888" i="18"/>
  <c r="C888" i="18"/>
  <c r="B888" i="18"/>
  <c r="A888" i="18"/>
  <c r="T887" i="18"/>
  <c r="S887" i="18"/>
  <c r="R887" i="18"/>
  <c r="Q887" i="18"/>
  <c r="P887" i="18"/>
  <c r="O887" i="18"/>
  <c r="N887" i="18"/>
  <c r="M887" i="18"/>
  <c r="L887" i="18"/>
  <c r="K887" i="18"/>
  <c r="J887" i="18"/>
  <c r="I887" i="18"/>
  <c r="H887" i="18"/>
  <c r="G887" i="18"/>
  <c r="F887" i="18"/>
  <c r="E887" i="18"/>
  <c r="C887" i="18"/>
  <c r="B887" i="18"/>
  <c r="A887" i="18"/>
  <c r="T886" i="18"/>
  <c r="S886" i="18"/>
  <c r="R886" i="18"/>
  <c r="Q886" i="18"/>
  <c r="P886" i="18"/>
  <c r="O886" i="18"/>
  <c r="N886" i="18"/>
  <c r="M886" i="18"/>
  <c r="L886" i="18"/>
  <c r="K886" i="18"/>
  <c r="J886" i="18"/>
  <c r="I886" i="18"/>
  <c r="H886" i="18"/>
  <c r="G886" i="18"/>
  <c r="F886" i="18"/>
  <c r="E886" i="18"/>
  <c r="C886" i="18"/>
  <c r="B886" i="18"/>
  <c r="A886" i="18"/>
  <c r="T885" i="18"/>
  <c r="S885" i="18"/>
  <c r="R885" i="18"/>
  <c r="Q885" i="18"/>
  <c r="P885" i="18"/>
  <c r="O885" i="18"/>
  <c r="N885" i="18"/>
  <c r="M885" i="18"/>
  <c r="L885" i="18"/>
  <c r="K885" i="18"/>
  <c r="J885" i="18"/>
  <c r="I885" i="18"/>
  <c r="H885" i="18"/>
  <c r="G885" i="18"/>
  <c r="F885" i="18"/>
  <c r="E885" i="18"/>
  <c r="C885" i="18"/>
  <c r="B885" i="18"/>
  <c r="A885" i="18"/>
  <c r="T884" i="18"/>
  <c r="S884" i="18"/>
  <c r="R884" i="18"/>
  <c r="Q884" i="18"/>
  <c r="P884" i="18"/>
  <c r="O884" i="18"/>
  <c r="N884" i="18"/>
  <c r="M884" i="18"/>
  <c r="L884" i="18"/>
  <c r="K884" i="18"/>
  <c r="J884" i="18"/>
  <c r="I884" i="18"/>
  <c r="H884" i="18"/>
  <c r="G884" i="18"/>
  <c r="F884" i="18"/>
  <c r="E884" i="18"/>
  <c r="C884" i="18"/>
  <c r="B884" i="18"/>
  <c r="A884" i="18"/>
  <c r="T883" i="18"/>
  <c r="S883" i="18"/>
  <c r="R883" i="18"/>
  <c r="Q883" i="18"/>
  <c r="P883" i="18"/>
  <c r="O883" i="18"/>
  <c r="N883" i="18"/>
  <c r="M883" i="18"/>
  <c r="L883" i="18"/>
  <c r="K883" i="18"/>
  <c r="J883" i="18"/>
  <c r="I883" i="18"/>
  <c r="H883" i="18"/>
  <c r="G883" i="18"/>
  <c r="F883" i="18"/>
  <c r="E883" i="18"/>
  <c r="C883" i="18"/>
  <c r="B883" i="18"/>
  <c r="A883" i="18"/>
  <c r="T882" i="18"/>
  <c r="S882" i="18"/>
  <c r="R882" i="18"/>
  <c r="Q882" i="18"/>
  <c r="P882" i="18"/>
  <c r="O882" i="18"/>
  <c r="N882" i="18"/>
  <c r="M882" i="18"/>
  <c r="L882" i="18"/>
  <c r="K882" i="18"/>
  <c r="J882" i="18"/>
  <c r="I882" i="18"/>
  <c r="H882" i="18"/>
  <c r="G882" i="18"/>
  <c r="F882" i="18"/>
  <c r="E882" i="18"/>
  <c r="C882" i="18"/>
  <c r="B882" i="18"/>
  <c r="A882" i="18"/>
  <c r="T881" i="18"/>
  <c r="S881" i="18"/>
  <c r="R881" i="18"/>
  <c r="Q881" i="18"/>
  <c r="P881" i="18"/>
  <c r="O881" i="18"/>
  <c r="N881" i="18"/>
  <c r="M881" i="18"/>
  <c r="L881" i="18"/>
  <c r="K881" i="18"/>
  <c r="J881" i="18"/>
  <c r="I881" i="18"/>
  <c r="H881" i="18"/>
  <c r="G881" i="18"/>
  <c r="F881" i="18"/>
  <c r="E881" i="18"/>
  <c r="C881" i="18"/>
  <c r="B881" i="18"/>
  <c r="A881" i="18"/>
  <c r="T880" i="18"/>
  <c r="S880" i="18"/>
  <c r="R880" i="18"/>
  <c r="Q880" i="18"/>
  <c r="P880" i="18"/>
  <c r="O880" i="18"/>
  <c r="N880" i="18"/>
  <c r="M880" i="18"/>
  <c r="L880" i="18"/>
  <c r="K880" i="18"/>
  <c r="J880" i="18"/>
  <c r="I880" i="18"/>
  <c r="H880" i="18"/>
  <c r="G880" i="18"/>
  <c r="F880" i="18"/>
  <c r="E880" i="18"/>
  <c r="C880" i="18"/>
  <c r="B880" i="18"/>
  <c r="A880" i="18"/>
  <c r="T879" i="18"/>
  <c r="S879" i="18"/>
  <c r="R879" i="18"/>
  <c r="Q879" i="18"/>
  <c r="P879" i="18"/>
  <c r="O879" i="18"/>
  <c r="N879" i="18"/>
  <c r="M879" i="18"/>
  <c r="L879" i="18"/>
  <c r="K879" i="18"/>
  <c r="J879" i="18"/>
  <c r="I879" i="18"/>
  <c r="H879" i="18"/>
  <c r="G879" i="18"/>
  <c r="F879" i="18"/>
  <c r="E879" i="18"/>
  <c r="C879" i="18"/>
  <c r="B879" i="18"/>
  <c r="A879" i="18"/>
  <c r="T878" i="18"/>
  <c r="S878" i="18"/>
  <c r="R878" i="18"/>
  <c r="Q878" i="18"/>
  <c r="P878" i="18"/>
  <c r="O878" i="18"/>
  <c r="N878" i="18"/>
  <c r="M878" i="18"/>
  <c r="L878" i="18"/>
  <c r="K878" i="18"/>
  <c r="J878" i="18"/>
  <c r="I878" i="18"/>
  <c r="H878" i="18"/>
  <c r="G878" i="18"/>
  <c r="F878" i="18"/>
  <c r="E878" i="18"/>
  <c r="C878" i="18"/>
  <c r="B878" i="18"/>
  <c r="A878" i="18"/>
  <c r="T877" i="18"/>
  <c r="S877" i="18"/>
  <c r="R877" i="18"/>
  <c r="Q877" i="18"/>
  <c r="P877" i="18"/>
  <c r="O877" i="18"/>
  <c r="N877" i="18"/>
  <c r="M877" i="18"/>
  <c r="L877" i="18"/>
  <c r="K877" i="18"/>
  <c r="J877" i="18"/>
  <c r="I877" i="18"/>
  <c r="H877" i="18"/>
  <c r="G877" i="18"/>
  <c r="F877" i="18"/>
  <c r="E877" i="18"/>
  <c r="C877" i="18"/>
  <c r="B877" i="18"/>
  <c r="A877" i="18"/>
  <c r="T876" i="18"/>
  <c r="S876" i="18"/>
  <c r="R876" i="18"/>
  <c r="Q876" i="18"/>
  <c r="P876" i="18"/>
  <c r="O876" i="18"/>
  <c r="N876" i="18"/>
  <c r="M876" i="18"/>
  <c r="L876" i="18"/>
  <c r="K876" i="18"/>
  <c r="J876" i="18"/>
  <c r="I876" i="18"/>
  <c r="H876" i="18"/>
  <c r="G876" i="18"/>
  <c r="F876" i="18"/>
  <c r="E876" i="18"/>
  <c r="C876" i="18"/>
  <c r="B876" i="18"/>
  <c r="A876" i="18"/>
  <c r="T875" i="18"/>
  <c r="S875" i="18"/>
  <c r="R875" i="18"/>
  <c r="Q875" i="18"/>
  <c r="P875" i="18"/>
  <c r="O875" i="18"/>
  <c r="N875" i="18"/>
  <c r="M875" i="18"/>
  <c r="L875" i="18"/>
  <c r="K875" i="18"/>
  <c r="J875" i="18"/>
  <c r="I875" i="18"/>
  <c r="H875" i="18"/>
  <c r="G875" i="18"/>
  <c r="F875" i="18"/>
  <c r="E875" i="18"/>
  <c r="C875" i="18"/>
  <c r="B875" i="18"/>
  <c r="A875" i="18"/>
  <c r="T874" i="18"/>
  <c r="S874" i="18"/>
  <c r="R874" i="18"/>
  <c r="Q874" i="18"/>
  <c r="P874" i="18"/>
  <c r="O874" i="18"/>
  <c r="N874" i="18"/>
  <c r="M874" i="18"/>
  <c r="L874" i="18"/>
  <c r="K874" i="18"/>
  <c r="J874" i="18"/>
  <c r="I874" i="18"/>
  <c r="H874" i="18"/>
  <c r="G874" i="18"/>
  <c r="F874" i="18"/>
  <c r="E874" i="18"/>
  <c r="C874" i="18"/>
  <c r="B874" i="18"/>
  <c r="A874" i="18"/>
  <c r="T873" i="18"/>
  <c r="S873" i="18"/>
  <c r="R873" i="18"/>
  <c r="Q873" i="18"/>
  <c r="P873" i="18"/>
  <c r="O873" i="18"/>
  <c r="N873" i="18"/>
  <c r="M873" i="18"/>
  <c r="L873" i="18"/>
  <c r="K873" i="18"/>
  <c r="J873" i="18"/>
  <c r="I873" i="18"/>
  <c r="H873" i="18"/>
  <c r="G873" i="18"/>
  <c r="F873" i="18"/>
  <c r="E873" i="18"/>
  <c r="C873" i="18"/>
  <c r="B873" i="18"/>
  <c r="A873" i="18"/>
  <c r="T872" i="18"/>
  <c r="S872" i="18"/>
  <c r="R872" i="18"/>
  <c r="Q872" i="18"/>
  <c r="P872" i="18"/>
  <c r="O872" i="18"/>
  <c r="N872" i="18"/>
  <c r="M872" i="18"/>
  <c r="L872" i="18"/>
  <c r="K872" i="18"/>
  <c r="J872" i="18"/>
  <c r="I872" i="18"/>
  <c r="H872" i="18"/>
  <c r="G872" i="18"/>
  <c r="F872" i="18"/>
  <c r="E872" i="18"/>
  <c r="C872" i="18"/>
  <c r="B872" i="18"/>
  <c r="A872" i="18"/>
  <c r="T871" i="18"/>
  <c r="S871" i="18"/>
  <c r="R871" i="18"/>
  <c r="Q871" i="18"/>
  <c r="P871" i="18"/>
  <c r="O871" i="18"/>
  <c r="N871" i="18"/>
  <c r="M871" i="18"/>
  <c r="L871" i="18"/>
  <c r="K871" i="18"/>
  <c r="J871" i="18"/>
  <c r="I871" i="18"/>
  <c r="H871" i="18"/>
  <c r="G871" i="18"/>
  <c r="F871" i="18"/>
  <c r="E871" i="18"/>
  <c r="C871" i="18"/>
  <c r="B871" i="18"/>
  <c r="A871" i="18"/>
  <c r="T870" i="18"/>
  <c r="S870" i="18"/>
  <c r="R870" i="18"/>
  <c r="Q870" i="18"/>
  <c r="P870" i="18"/>
  <c r="O870" i="18"/>
  <c r="N870" i="18"/>
  <c r="M870" i="18"/>
  <c r="L870" i="18"/>
  <c r="K870" i="18"/>
  <c r="J870" i="18"/>
  <c r="I870" i="18"/>
  <c r="H870" i="18"/>
  <c r="G870" i="18"/>
  <c r="F870" i="18"/>
  <c r="E870" i="18"/>
  <c r="C870" i="18"/>
  <c r="B870" i="18"/>
  <c r="A870" i="18"/>
  <c r="T869" i="18"/>
  <c r="S869" i="18"/>
  <c r="R869" i="18"/>
  <c r="Q869" i="18"/>
  <c r="P869" i="18"/>
  <c r="O869" i="18"/>
  <c r="N869" i="18"/>
  <c r="M869" i="18"/>
  <c r="L869" i="18"/>
  <c r="K869" i="18"/>
  <c r="J869" i="18"/>
  <c r="I869" i="18"/>
  <c r="H869" i="18"/>
  <c r="G869" i="18"/>
  <c r="F869" i="18"/>
  <c r="E869" i="18"/>
  <c r="C869" i="18"/>
  <c r="B869" i="18"/>
  <c r="A869" i="18"/>
  <c r="T868" i="18"/>
  <c r="S868" i="18"/>
  <c r="R868" i="18"/>
  <c r="Q868" i="18"/>
  <c r="P868" i="18"/>
  <c r="O868" i="18"/>
  <c r="N868" i="18"/>
  <c r="M868" i="18"/>
  <c r="L868" i="18"/>
  <c r="K868" i="18"/>
  <c r="J868" i="18"/>
  <c r="I868" i="18"/>
  <c r="H868" i="18"/>
  <c r="G868" i="18"/>
  <c r="F868" i="18"/>
  <c r="E868" i="18"/>
  <c r="C868" i="18"/>
  <c r="B868" i="18"/>
  <c r="A868" i="18"/>
  <c r="T867" i="18"/>
  <c r="S867" i="18"/>
  <c r="R867" i="18"/>
  <c r="Q867" i="18"/>
  <c r="P867" i="18"/>
  <c r="O867" i="18"/>
  <c r="N867" i="18"/>
  <c r="M867" i="18"/>
  <c r="L867" i="18"/>
  <c r="K867" i="18"/>
  <c r="J867" i="18"/>
  <c r="I867" i="18"/>
  <c r="H867" i="18"/>
  <c r="G867" i="18"/>
  <c r="F867" i="18"/>
  <c r="E867" i="18"/>
  <c r="C867" i="18"/>
  <c r="B867" i="18"/>
  <c r="A867" i="18"/>
  <c r="T866" i="18"/>
  <c r="S866" i="18"/>
  <c r="R866" i="18"/>
  <c r="Q866" i="18"/>
  <c r="P866" i="18"/>
  <c r="O866" i="18"/>
  <c r="N866" i="18"/>
  <c r="M866" i="18"/>
  <c r="L866" i="18"/>
  <c r="K866" i="18"/>
  <c r="J866" i="18"/>
  <c r="I866" i="18"/>
  <c r="H866" i="18"/>
  <c r="G866" i="18"/>
  <c r="F866" i="18"/>
  <c r="E866" i="18"/>
  <c r="C866" i="18"/>
  <c r="B866" i="18"/>
  <c r="A866" i="18"/>
  <c r="T865" i="18"/>
  <c r="S865" i="18"/>
  <c r="R865" i="18"/>
  <c r="Q865" i="18"/>
  <c r="P865" i="18"/>
  <c r="O865" i="18"/>
  <c r="N865" i="18"/>
  <c r="M865" i="18"/>
  <c r="L865" i="18"/>
  <c r="K865" i="18"/>
  <c r="J865" i="18"/>
  <c r="I865" i="18"/>
  <c r="H865" i="18"/>
  <c r="G865" i="18"/>
  <c r="F865" i="18"/>
  <c r="E865" i="18"/>
  <c r="C865" i="18"/>
  <c r="B865" i="18"/>
  <c r="A865" i="18"/>
  <c r="T864" i="18"/>
  <c r="S864" i="18"/>
  <c r="R864" i="18"/>
  <c r="Q864" i="18"/>
  <c r="P864" i="18"/>
  <c r="O864" i="18"/>
  <c r="N864" i="18"/>
  <c r="M864" i="18"/>
  <c r="L864" i="18"/>
  <c r="K864" i="18"/>
  <c r="J864" i="18"/>
  <c r="I864" i="18"/>
  <c r="H864" i="18"/>
  <c r="G864" i="18"/>
  <c r="F864" i="18"/>
  <c r="E864" i="18"/>
  <c r="C864" i="18"/>
  <c r="B864" i="18"/>
  <c r="A864" i="18"/>
  <c r="T863" i="18"/>
  <c r="S863" i="18"/>
  <c r="R863" i="18"/>
  <c r="Q863" i="18"/>
  <c r="P863" i="18"/>
  <c r="O863" i="18"/>
  <c r="N863" i="18"/>
  <c r="M863" i="18"/>
  <c r="L863" i="18"/>
  <c r="K863" i="18"/>
  <c r="J863" i="18"/>
  <c r="I863" i="18"/>
  <c r="H863" i="18"/>
  <c r="G863" i="18"/>
  <c r="F863" i="18"/>
  <c r="E863" i="18"/>
  <c r="C863" i="18"/>
  <c r="B863" i="18"/>
  <c r="A863" i="18"/>
  <c r="T862" i="18"/>
  <c r="S862" i="18"/>
  <c r="R862" i="18"/>
  <c r="Q862" i="18"/>
  <c r="P862" i="18"/>
  <c r="O862" i="18"/>
  <c r="N862" i="18"/>
  <c r="M862" i="18"/>
  <c r="L862" i="18"/>
  <c r="K862" i="18"/>
  <c r="J862" i="18"/>
  <c r="I862" i="18"/>
  <c r="H862" i="18"/>
  <c r="G862" i="18"/>
  <c r="F862" i="18"/>
  <c r="E862" i="18"/>
  <c r="C862" i="18"/>
  <c r="B862" i="18"/>
  <c r="A862" i="18"/>
  <c r="T861" i="18"/>
  <c r="S861" i="18"/>
  <c r="R861" i="18"/>
  <c r="Q861" i="18"/>
  <c r="P861" i="18"/>
  <c r="O861" i="18"/>
  <c r="N861" i="18"/>
  <c r="M861" i="18"/>
  <c r="L861" i="18"/>
  <c r="K861" i="18"/>
  <c r="J861" i="18"/>
  <c r="I861" i="18"/>
  <c r="H861" i="18"/>
  <c r="G861" i="18"/>
  <c r="F861" i="18"/>
  <c r="E861" i="18"/>
  <c r="C861" i="18"/>
  <c r="B861" i="18"/>
  <c r="A861" i="18"/>
  <c r="T860" i="18"/>
  <c r="S860" i="18"/>
  <c r="R860" i="18"/>
  <c r="Q860" i="18"/>
  <c r="P860" i="18"/>
  <c r="O860" i="18"/>
  <c r="N860" i="18"/>
  <c r="M860" i="18"/>
  <c r="L860" i="18"/>
  <c r="K860" i="18"/>
  <c r="J860" i="18"/>
  <c r="I860" i="18"/>
  <c r="H860" i="18"/>
  <c r="G860" i="18"/>
  <c r="F860" i="18"/>
  <c r="E860" i="18"/>
  <c r="C860" i="18"/>
  <c r="B860" i="18"/>
  <c r="A860" i="18"/>
  <c r="T859" i="18"/>
  <c r="S859" i="18"/>
  <c r="R859" i="18"/>
  <c r="Q859" i="18"/>
  <c r="P859" i="18"/>
  <c r="O859" i="18"/>
  <c r="N859" i="18"/>
  <c r="M859" i="18"/>
  <c r="L859" i="18"/>
  <c r="K859" i="18"/>
  <c r="J859" i="18"/>
  <c r="I859" i="18"/>
  <c r="H859" i="18"/>
  <c r="G859" i="18"/>
  <c r="F859" i="18"/>
  <c r="E859" i="18"/>
  <c r="C859" i="18"/>
  <c r="B859" i="18"/>
  <c r="A859" i="18"/>
  <c r="T858" i="18"/>
  <c r="S858" i="18"/>
  <c r="R858" i="18"/>
  <c r="Q858" i="18"/>
  <c r="P858" i="18"/>
  <c r="O858" i="18"/>
  <c r="N858" i="18"/>
  <c r="M858" i="18"/>
  <c r="L858" i="18"/>
  <c r="K858" i="18"/>
  <c r="J858" i="18"/>
  <c r="I858" i="18"/>
  <c r="H858" i="18"/>
  <c r="G858" i="18"/>
  <c r="F858" i="18"/>
  <c r="E858" i="18"/>
  <c r="C858" i="18"/>
  <c r="B858" i="18"/>
  <c r="A858" i="18"/>
  <c r="T857" i="18"/>
  <c r="S857" i="18"/>
  <c r="R857" i="18"/>
  <c r="Q857" i="18"/>
  <c r="P857" i="18"/>
  <c r="O857" i="18"/>
  <c r="N857" i="18"/>
  <c r="M857" i="18"/>
  <c r="L857" i="18"/>
  <c r="K857" i="18"/>
  <c r="J857" i="18"/>
  <c r="I857" i="18"/>
  <c r="H857" i="18"/>
  <c r="G857" i="18"/>
  <c r="F857" i="18"/>
  <c r="E857" i="18"/>
  <c r="C857" i="18"/>
  <c r="B857" i="18"/>
  <c r="A857" i="18"/>
  <c r="T856" i="18"/>
  <c r="S856" i="18"/>
  <c r="R856" i="18"/>
  <c r="Q856" i="18"/>
  <c r="P856" i="18"/>
  <c r="O856" i="18"/>
  <c r="N856" i="18"/>
  <c r="M856" i="18"/>
  <c r="L856" i="18"/>
  <c r="K856" i="18"/>
  <c r="J856" i="18"/>
  <c r="I856" i="18"/>
  <c r="H856" i="18"/>
  <c r="G856" i="18"/>
  <c r="F856" i="18"/>
  <c r="E856" i="18"/>
  <c r="C856" i="18"/>
  <c r="B856" i="18"/>
  <c r="A856" i="18"/>
  <c r="T855" i="18"/>
  <c r="S855" i="18"/>
  <c r="R855" i="18"/>
  <c r="Q855" i="18"/>
  <c r="P855" i="18"/>
  <c r="O855" i="18"/>
  <c r="N855" i="18"/>
  <c r="M855" i="18"/>
  <c r="L855" i="18"/>
  <c r="K855" i="18"/>
  <c r="J855" i="18"/>
  <c r="I855" i="18"/>
  <c r="H855" i="18"/>
  <c r="G855" i="18"/>
  <c r="F855" i="18"/>
  <c r="E855" i="18"/>
  <c r="C855" i="18"/>
  <c r="B855" i="18"/>
  <c r="A855" i="18"/>
  <c r="T854" i="18"/>
  <c r="S854" i="18"/>
  <c r="R854" i="18"/>
  <c r="Q854" i="18"/>
  <c r="P854" i="18"/>
  <c r="O854" i="18"/>
  <c r="N854" i="18"/>
  <c r="M854" i="18"/>
  <c r="L854" i="18"/>
  <c r="K854" i="18"/>
  <c r="J854" i="18"/>
  <c r="I854" i="18"/>
  <c r="H854" i="18"/>
  <c r="G854" i="18"/>
  <c r="F854" i="18"/>
  <c r="E854" i="18"/>
  <c r="C854" i="18"/>
  <c r="B854" i="18"/>
  <c r="A854" i="18"/>
  <c r="T853" i="18"/>
  <c r="S853" i="18"/>
  <c r="R853" i="18"/>
  <c r="Q853" i="18"/>
  <c r="P853" i="18"/>
  <c r="O853" i="18"/>
  <c r="N853" i="18"/>
  <c r="M853" i="18"/>
  <c r="L853" i="18"/>
  <c r="K853" i="18"/>
  <c r="J853" i="18"/>
  <c r="I853" i="18"/>
  <c r="H853" i="18"/>
  <c r="G853" i="18"/>
  <c r="F853" i="18"/>
  <c r="E853" i="18"/>
  <c r="C853" i="18"/>
  <c r="B853" i="18"/>
  <c r="A853" i="18"/>
  <c r="T852" i="18"/>
  <c r="S852" i="18"/>
  <c r="R852" i="18"/>
  <c r="Q852" i="18"/>
  <c r="P852" i="18"/>
  <c r="O852" i="18"/>
  <c r="N852" i="18"/>
  <c r="M852" i="18"/>
  <c r="L852" i="18"/>
  <c r="K852" i="18"/>
  <c r="J852" i="18"/>
  <c r="I852" i="18"/>
  <c r="H852" i="18"/>
  <c r="G852" i="18"/>
  <c r="F852" i="18"/>
  <c r="E852" i="18"/>
  <c r="C852" i="18"/>
  <c r="B852" i="18"/>
  <c r="A852" i="18"/>
  <c r="T851" i="18"/>
  <c r="S851" i="18"/>
  <c r="R851" i="18"/>
  <c r="Q851" i="18"/>
  <c r="P851" i="18"/>
  <c r="O851" i="18"/>
  <c r="N851" i="18"/>
  <c r="M851" i="18"/>
  <c r="L851" i="18"/>
  <c r="K851" i="18"/>
  <c r="J851" i="18"/>
  <c r="I851" i="18"/>
  <c r="H851" i="18"/>
  <c r="G851" i="18"/>
  <c r="F851" i="18"/>
  <c r="E851" i="18"/>
  <c r="C851" i="18"/>
  <c r="B851" i="18"/>
  <c r="A851" i="18"/>
  <c r="T850" i="18"/>
  <c r="S850" i="18"/>
  <c r="R850" i="18"/>
  <c r="Q850" i="18"/>
  <c r="P850" i="18"/>
  <c r="O850" i="18"/>
  <c r="N850" i="18"/>
  <c r="M850" i="18"/>
  <c r="L850" i="18"/>
  <c r="K850" i="18"/>
  <c r="J850" i="18"/>
  <c r="I850" i="18"/>
  <c r="H850" i="18"/>
  <c r="G850" i="18"/>
  <c r="F850" i="18"/>
  <c r="E850" i="18"/>
  <c r="C850" i="18"/>
  <c r="B850" i="18"/>
  <c r="A850" i="18"/>
  <c r="T849" i="18"/>
  <c r="S849" i="18"/>
  <c r="R849" i="18"/>
  <c r="Q849" i="18"/>
  <c r="P849" i="18"/>
  <c r="O849" i="18"/>
  <c r="N849" i="18"/>
  <c r="M849" i="18"/>
  <c r="L849" i="18"/>
  <c r="K849" i="18"/>
  <c r="J849" i="18"/>
  <c r="I849" i="18"/>
  <c r="H849" i="18"/>
  <c r="G849" i="18"/>
  <c r="F849" i="18"/>
  <c r="E849" i="18"/>
  <c r="C849" i="18"/>
  <c r="B849" i="18"/>
  <c r="A849" i="18"/>
  <c r="T848" i="18"/>
  <c r="S848" i="18"/>
  <c r="R848" i="18"/>
  <c r="Q848" i="18"/>
  <c r="P848" i="18"/>
  <c r="O848" i="18"/>
  <c r="N848" i="18"/>
  <c r="M848" i="18"/>
  <c r="L848" i="18"/>
  <c r="K848" i="18"/>
  <c r="J848" i="18"/>
  <c r="I848" i="18"/>
  <c r="H848" i="18"/>
  <c r="G848" i="18"/>
  <c r="F848" i="18"/>
  <c r="E848" i="18"/>
  <c r="C848" i="18"/>
  <c r="B848" i="18"/>
  <c r="A848" i="18"/>
  <c r="T847" i="18"/>
  <c r="S847" i="18"/>
  <c r="R847" i="18"/>
  <c r="Q847" i="18"/>
  <c r="P847" i="18"/>
  <c r="O847" i="18"/>
  <c r="N847" i="18"/>
  <c r="M847" i="18"/>
  <c r="L847" i="18"/>
  <c r="K847" i="18"/>
  <c r="J847" i="18"/>
  <c r="I847" i="18"/>
  <c r="H847" i="18"/>
  <c r="G847" i="18"/>
  <c r="F847" i="18"/>
  <c r="E847" i="18"/>
  <c r="C847" i="18"/>
  <c r="B847" i="18"/>
  <c r="A847" i="18"/>
  <c r="T846" i="18"/>
  <c r="S846" i="18"/>
  <c r="R846" i="18"/>
  <c r="Q846" i="18"/>
  <c r="P846" i="18"/>
  <c r="O846" i="18"/>
  <c r="N846" i="18"/>
  <c r="M846" i="18"/>
  <c r="L846" i="18"/>
  <c r="K846" i="18"/>
  <c r="J846" i="18"/>
  <c r="I846" i="18"/>
  <c r="H846" i="18"/>
  <c r="G846" i="18"/>
  <c r="F846" i="18"/>
  <c r="E846" i="18"/>
  <c r="C846" i="18"/>
  <c r="B846" i="18"/>
  <c r="A846" i="18"/>
  <c r="T845" i="18"/>
  <c r="S845" i="18"/>
  <c r="R845" i="18"/>
  <c r="Q845" i="18"/>
  <c r="P845" i="18"/>
  <c r="O845" i="18"/>
  <c r="N845" i="18"/>
  <c r="M845" i="18"/>
  <c r="L845" i="18"/>
  <c r="K845" i="18"/>
  <c r="J845" i="18"/>
  <c r="I845" i="18"/>
  <c r="H845" i="18"/>
  <c r="G845" i="18"/>
  <c r="F845" i="18"/>
  <c r="E845" i="18"/>
  <c r="C845" i="18"/>
  <c r="B845" i="18"/>
  <c r="A845" i="18"/>
  <c r="T844" i="18"/>
  <c r="S844" i="18"/>
  <c r="R844" i="18"/>
  <c r="Q844" i="18"/>
  <c r="P844" i="18"/>
  <c r="O844" i="18"/>
  <c r="N844" i="18"/>
  <c r="M844" i="18"/>
  <c r="L844" i="18"/>
  <c r="K844" i="18"/>
  <c r="J844" i="18"/>
  <c r="I844" i="18"/>
  <c r="H844" i="18"/>
  <c r="G844" i="18"/>
  <c r="F844" i="18"/>
  <c r="E844" i="18"/>
  <c r="C844" i="18"/>
  <c r="B844" i="18"/>
  <c r="A844" i="18"/>
  <c r="T843" i="18"/>
  <c r="S843" i="18"/>
  <c r="R843" i="18"/>
  <c r="Q843" i="18"/>
  <c r="P843" i="18"/>
  <c r="O843" i="18"/>
  <c r="N843" i="18"/>
  <c r="M843" i="18"/>
  <c r="L843" i="18"/>
  <c r="K843" i="18"/>
  <c r="J843" i="18"/>
  <c r="I843" i="18"/>
  <c r="H843" i="18"/>
  <c r="G843" i="18"/>
  <c r="F843" i="18"/>
  <c r="E843" i="18"/>
  <c r="C843" i="18"/>
  <c r="B843" i="18"/>
  <c r="A843" i="18"/>
  <c r="T842" i="18"/>
  <c r="S842" i="18"/>
  <c r="R842" i="18"/>
  <c r="Q842" i="18"/>
  <c r="P842" i="18"/>
  <c r="O842" i="18"/>
  <c r="N842" i="18"/>
  <c r="M842" i="18"/>
  <c r="L842" i="18"/>
  <c r="K842" i="18"/>
  <c r="J842" i="18"/>
  <c r="I842" i="18"/>
  <c r="H842" i="18"/>
  <c r="G842" i="18"/>
  <c r="F842" i="18"/>
  <c r="E842" i="18"/>
  <c r="C842" i="18"/>
  <c r="B842" i="18"/>
  <c r="A842" i="18"/>
  <c r="T841" i="18"/>
  <c r="S841" i="18"/>
  <c r="R841" i="18"/>
  <c r="Q841" i="18"/>
  <c r="P841" i="18"/>
  <c r="O841" i="18"/>
  <c r="N841" i="18"/>
  <c r="M841" i="18"/>
  <c r="L841" i="18"/>
  <c r="K841" i="18"/>
  <c r="J841" i="18"/>
  <c r="I841" i="18"/>
  <c r="H841" i="18"/>
  <c r="G841" i="18"/>
  <c r="F841" i="18"/>
  <c r="E841" i="18"/>
  <c r="C841" i="18"/>
  <c r="B841" i="18"/>
  <c r="A841" i="18"/>
  <c r="T840" i="18"/>
  <c r="S840" i="18"/>
  <c r="R840" i="18"/>
  <c r="Q840" i="18"/>
  <c r="P840" i="18"/>
  <c r="O840" i="18"/>
  <c r="N840" i="18"/>
  <c r="M840" i="18"/>
  <c r="L840" i="18"/>
  <c r="K840" i="18"/>
  <c r="J840" i="18"/>
  <c r="I840" i="18"/>
  <c r="H840" i="18"/>
  <c r="G840" i="18"/>
  <c r="F840" i="18"/>
  <c r="E840" i="18"/>
  <c r="C840" i="18"/>
  <c r="B840" i="18"/>
  <c r="A840" i="18"/>
  <c r="T839" i="18"/>
  <c r="S839" i="18"/>
  <c r="R839" i="18"/>
  <c r="Q839" i="18"/>
  <c r="P839" i="18"/>
  <c r="O839" i="18"/>
  <c r="N839" i="18"/>
  <c r="M839" i="18"/>
  <c r="L839" i="18"/>
  <c r="K839" i="18"/>
  <c r="J839" i="18"/>
  <c r="I839" i="18"/>
  <c r="H839" i="18"/>
  <c r="G839" i="18"/>
  <c r="F839" i="18"/>
  <c r="E839" i="18"/>
  <c r="C839" i="18"/>
  <c r="B839" i="18"/>
  <c r="A839" i="18"/>
  <c r="T838" i="18"/>
  <c r="S838" i="18"/>
  <c r="R838" i="18"/>
  <c r="Q838" i="18"/>
  <c r="P838" i="18"/>
  <c r="O838" i="18"/>
  <c r="N838" i="18"/>
  <c r="M838" i="18"/>
  <c r="L838" i="18"/>
  <c r="K838" i="18"/>
  <c r="J838" i="18"/>
  <c r="I838" i="18"/>
  <c r="H838" i="18"/>
  <c r="G838" i="18"/>
  <c r="F838" i="18"/>
  <c r="E838" i="18"/>
  <c r="C838" i="18"/>
  <c r="B838" i="18"/>
  <c r="A838" i="18"/>
  <c r="T837" i="18"/>
  <c r="S837" i="18"/>
  <c r="R837" i="18"/>
  <c r="Q837" i="18"/>
  <c r="P837" i="18"/>
  <c r="O837" i="18"/>
  <c r="N837" i="18"/>
  <c r="M837" i="18"/>
  <c r="L837" i="18"/>
  <c r="K837" i="18"/>
  <c r="J837" i="18"/>
  <c r="I837" i="18"/>
  <c r="H837" i="18"/>
  <c r="G837" i="18"/>
  <c r="F837" i="18"/>
  <c r="E837" i="18"/>
  <c r="C837" i="18"/>
  <c r="B837" i="18"/>
  <c r="A837" i="18"/>
  <c r="T836" i="18"/>
  <c r="S836" i="18"/>
  <c r="R836" i="18"/>
  <c r="Q836" i="18"/>
  <c r="P836" i="18"/>
  <c r="O836" i="18"/>
  <c r="N836" i="18"/>
  <c r="M836" i="18"/>
  <c r="L836" i="18"/>
  <c r="K836" i="18"/>
  <c r="J836" i="18"/>
  <c r="I836" i="18"/>
  <c r="H836" i="18"/>
  <c r="G836" i="18"/>
  <c r="F836" i="18"/>
  <c r="E836" i="18"/>
  <c r="C836" i="18"/>
  <c r="B836" i="18"/>
  <c r="A836" i="18"/>
  <c r="T835" i="18"/>
  <c r="S835" i="18"/>
  <c r="R835" i="18"/>
  <c r="Q835" i="18"/>
  <c r="P835" i="18"/>
  <c r="O835" i="18"/>
  <c r="N835" i="18"/>
  <c r="M835" i="18"/>
  <c r="L835" i="18"/>
  <c r="K835" i="18"/>
  <c r="J835" i="18"/>
  <c r="I835" i="18"/>
  <c r="H835" i="18"/>
  <c r="G835" i="18"/>
  <c r="F835" i="18"/>
  <c r="E835" i="18"/>
  <c r="C835" i="18"/>
  <c r="B835" i="18"/>
  <c r="A835" i="18"/>
  <c r="T834" i="18"/>
  <c r="S834" i="18"/>
  <c r="R834" i="18"/>
  <c r="Q834" i="18"/>
  <c r="P834" i="18"/>
  <c r="O834" i="18"/>
  <c r="N834" i="18"/>
  <c r="M834" i="18"/>
  <c r="L834" i="18"/>
  <c r="K834" i="18"/>
  <c r="J834" i="18"/>
  <c r="I834" i="18"/>
  <c r="H834" i="18"/>
  <c r="G834" i="18"/>
  <c r="F834" i="18"/>
  <c r="E834" i="18"/>
  <c r="C834" i="18"/>
  <c r="B834" i="18"/>
  <c r="A834" i="18"/>
  <c r="T833" i="18"/>
  <c r="S833" i="18"/>
  <c r="R833" i="18"/>
  <c r="Q833" i="18"/>
  <c r="P833" i="18"/>
  <c r="O833" i="18"/>
  <c r="N833" i="18"/>
  <c r="M833" i="18"/>
  <c r="L833" i="18"/>
  <c r="K833" i="18"/>
  <c r="J833" i="18"/>
  <c r="I833" i="18"/>
  <c r="H833" i="18"/>
  <c r="G833" i="18"/>
  <c r="F833" i="18"/>
  <c r="E833" i="18"/>
  <c r="C833" i="18"/>
  <c r="B833" i="18"/>
  <c r="A833" i="18"/>
  <c r="T832" i="18"/>
  <c r="S832" i="18"/>
  <c r="R832" i="18"/>
  <c r="Q832" i="18"/>
  <c r="P832" i="18"/>
  <c r="O832" i="18"/>
  <c r="N832" i="18"/>
  <c r="M832" i="18"/>
  <c r="L832" i="18"/>
  <c r="K832" i="18"/>
  <c r="J832" i="18"/>
  <c r="I832" i="18"/>
  <c r="H832" i="18"/>
  <c r="G832" i="18"/>
  <c r="F832" i="18"/>
  <c r="E832" i="18"/>
  <c r="C832" i="18"/>
  <c r="B832" i="18"/>
  <c r="A832" i="18"/>
  <c r="T831" i="18"/>
  <c r="S831" i="18"/>
  <c r="R831" i="18"/>
  <c r="Q831" i="18"/>
  <c r="P831" i="18"/>
  <c r="O831" i="18"/>
  <c r="N831" i="18"/>
  <c r="M831" i="18"/>
  <c r="L831" i="18"/>
  <c r="K831" i="18"/>
  <c r="J831" i="18"/>
  <c r="I831" i="18"/>
  <c r="H831" i="18"/>
  <c r="G831" i="18"/>
  <c r="F831" i="18"/>
  <c r="E831" i="18"/>
  <c r="C831" i="18"/>
  <c r="B831" i="18"/>
  <c r="A831" i="18"/>
  <c r="T830" i="18"/>
  <c r="S830" i="18"/>
  <c r="R830" i="18"/>
  <c r="Q830" i="18"/>
  <c r="P830" i="18"/>
  <c r="O830" i="18"/>
  <c r="N830" i="18"/>
  <c r="M830" i="18"/>
  <c r="L830" i="18"/>
  <c r="K830" i="18"/>
  <c r="J830" i="18"/>
  <c r="I830" i="18"/>
  <c r="H830" i="18"/>
  <c r="G830" i="18"/>
  <c r="F830" i="18"/>
  <c r="E830" i="18"/>
  <c r="C830" i="18"/>
  <c r="B830" i="18"/>
  <c r="A830" i="18"/>
  <c r="T829" i="18"/>
  <c r="S829" i="18"/>
  <c r="R829" i="18"/>
  <c r="Q829" i="18"/>
  <c r="P829" i="18"/>
  <c r="O829" i="18"/>
  <c r="N829" i="18"/>
  <c r="M829" i="18"/>
  <c r="L829" i="18"/>
  <c r="K829" i="18"/>
  <c r="J829" i="18"/>
  <c r="I829" i="18"/>
  <c r="H829" i="18"/>
  <c r="G829" i="18"/>
  <c r="F829" i="18"/>
  <c r="E829" i="18"/>
  <c r="C829" i="18"/>
  <c r="B829" i="18"/>
  <c r="A829" i="18"/>
  <c r="T828" i="18"/>
  <c r="S828" i="18"/>
  <c r="R828" i="18"/>
  <c r="Q828" i="18"/>
  <c r="P828" i="18"/>
  <c r="O828" i="18"/>
  <c r="N828" i="18"/>
  <c r="M828" i="18"/>
  <c r="L828" i="18"/>
  <c r="K828" i="18"/>
  <c r="J828" i="18"/>
  <c r="I828" i="18"/>
  <c r="H828" i="18"/>
  <c r="G828" i="18"/>
  <c r="F828" i="18"/>
  <c r="E828" i="18"/>
  <c r="C828" i="18"/>
  <c r="B828" i="18"/>
  <c r="A828" i="18"/>
  <c r="T827" i="18"/>
  <c r="S827" i="18"/>
  <c r="R827" i="18"/>
  <c r="Q827" i="18"/>
  <c r="P827" i="18"/>
  <c r="O827" i="18"/>
  <c r="N827" i="18"/>
  <c r="M827" i="18"/>
  <c r="L827" i="18"/>
  <c r="K827" i="18"/>
  <c r="J827" i="18"/>
  <c r="I827" i="18"/>
  <c r="H827" i="18"/>
  <c r="G827" i="18"/>
  <c r="F827" i="18"/>
  <c r="E827" i="18"/>
  <c r="C827" i="18"/>
  <c r="B827" i="18"/>
  <c r="A827" i="18"/>
  <c r="T826" i="18"/>
  <c r="S826" i="18"/>
  <c r="R826" i="18"/>
  <c r="Q826" i="18"/>
  <c r="P826" i="18"/>
  <c r="O826" i="18"/>
  <c r="N826" i="18"/>
  <c r="M826" i="18"/>
  <c r="L826" i="18"/>
  <c r="K826" i="18"/>
  <c r="J826" i="18"/>
  <c r="I826" i="18"/>
  <c r="H826" i="18"/>
  <c r="G826" i="18"/>
  <c r="F826" i="18"/>
  <c r="E826" i="18"/>
  <c r="C826" i="18"/>
  <c r="B826" i="18"/>
  <c r="A826" i="18"/>
  <c r="T825" i="18"/>
  <c r="S825" i="18"/>
  <c r="R825" i="18"/>
  <c r="Q825" i="18"/>
  <c r="P825" i="18"/>
  <c r="O825" i="18"/>
  <c r="N825" i="18"/>
  <c r="M825" i="18"/>
  <c r="L825" i="18"/>
  <c r="K825" i="18"/>
  <c r="J825" i="18"/>
  <c r="I825" i="18"/>
  <c r="H825" i="18"/>
  <c r="G825" i="18"/>
  <c r="F825" i="18"/>
  <c r="E825" i="18"/>
  <c r="C825" i="18"/>
  <c r="B825" i="18"/>
  <c r="A825" i="18"/>
  <c r="T824" i="18"/>
  <c r="S824" i="18"/>
  <c r="R824" i="18"/>
  <c r="Q824" i="18"/>
  <c r="P824" i="18"/>
  <c r="O824" i="18"/>
  <c r="N824" i="18"/>
  <c r="M824" i="18"/>
  <c r="L824" i="18"/>
  <c r="K824" i="18"/>
  <c r="J824" i="18"/>
  <c r="I824" i="18"/>
  <c r="H824" i="18"/>
  <c r="G824" i="18"/>
  <c r="F824" i="18"/>
  <c r="E824" i="18"/>
  <c r="C824" i="18"/>
  <c r="B824" i="18"/>
  <c r="A824" i="18"/>
  <c r="T823" i="18"/>
  <c r="S823" i="18"/>
  <c r="R823" i="18"/>
  <c r="Q823" i="18"/>
  <c r="P823" i="18"/>
  <c r="O823" i="18"/>
  <c r="N823" i="18"/>
  <c r="M823" i="18"/>
  <c r="L823" i="18"/>
  <c r="K823" i="18"/>
  <c r="J823" i="18"/>
  <c r="I823" i="18"/>
  <c r="H823" i="18"/>
  <c r="G823" i="18"/>
  <c r="F823" i="18"/>
  <c r="E823" i="18"/>
  <c r="C823" i="18"/>
  <c r="B823" i="18"/>
  <c r="A823" i="18"/>
  <c r="T822" i="18"/>
  <c r="S822" i="18"/>
  <c r="R822" i="18"/>
  <c r="Q822" i="18"/>
  <c r="P822" i="18"/>
  <c r="O822" i="18"/>
  <c r="N822" i="18"/>
  <c r="M822" i="18"/>
  <c r="L822" i="18"/>
  <c r="K822" i="18"/>
  <c r="J822" i="18"/>
  <c r="I822" i="18"/>
  <c r="H822" i="18"/>
  <c r="G822" i="18"/>
  <c r="F822" i="18"/>
  <c r="E822" i="18"/>
  <c r="C822" i="18"/>
  <c r="B822" i="18"/>
  <c r="A822" i="18"/>
  <c r="T821" i="18"/>
  <c r="S821" i="18"/>
  <c r="R821" i="18"/>
  <c r="Q821" i="18"/>
  <c r="P821" i="18"/>
  <c r="O821" i="18"/>
  <c r="N821" i="18"/>
  <c r="M821" i="18"/>
  <c r="L821" i="18"/>
  <c r="K821" i="18"/>
  <c r="J821" i="18"/>
  <c r="I821" i="18"/>
  <c r="H821" i="18"/>
  <c r="G821" i="18"/>
  <c r="F821" i="18"/>
  <c r="E821" i="18"/>
  <c r="C821" i="18"/>
  <c r="B821" i="18"/>
  <c r="A821" i="18"/>
  <c r="T820" i="18"/>
  <c r="S820" i="18"/>
  <c r="R820" i="18"/>
  <c r="Q820" i="18"/>
  <c r="P820" i="18"/>
  <c r="O820" i="18"/>
  <c r="N820" i="18"/>
  <c r="M820" i="18"/>
  <c r="L820" i="18"/>
  <c r="K820" i="18"/>
  <c r="J820" i="18"/>
  <c r="I820" i="18"/>
  <c r="H820" i="18"/>
  <c r="G820" i="18"/>
  <c r="F820" i="18"/>
  <c r="E820" i="18"/>
  <c r="C820" i="18"/>
  <c r="B820" i="18"/>
  <c r="A820" i="18"/>
  <c r="T819" i="18"/>
  <c r="S819" i="18"/>
  <c r="R819" i="18"/>
  <c r="Q819" i="18"/>
  <c r="P819" i="18"/>
  <c r="O819" i="18"/>
  <c r="N819" i="18"/>
  <c r="M819" i="18"/>
  <c r="L819" i="18"/>
  <c r="K819" i="18"/>
  <c r="J819" i="18"/>
  <c r="I819" i="18"/>
  <c r="H819" i="18"/>
  <c r="G819" i="18"/>
  <c r="F819" i="18"/>
  <c r="E819" i="18"/>
  <c r="C819" i="18"/>
  <c r="B819" i="18"/>
  <c r="A819" i="18"/>
  <c r="T818" i="18"/>
  <c r="S818" i="18"/>
  <c r="R818" i="18"/>
  <c r="Q818" i="18"/>
  <c r="P818" i="18"/>
  <c r="O818" i="18"/>
  <c r="N818" i="18"/>
  <c r="M818" i="18"/>
  <c r="L818" i="18"/>
  <c r="K818" i="18"/>
  <c r="J818" i="18"/>
  <c r="I818" i="18"/>
  <c r="H818" i="18"/>
  <c r="G818" i="18"/>
  <c r="F818" i="18"/>
  <c r="E818" i="18"/>
  <c r="C818" i="18"/>
  <c r="B818" i="18"/>
  <c r="A818" i="18"/>
  <c r="T817" i="18"/>
  <c r="S817" i="18"/>
  <c r="R817" i="18"/>
  <c r="Q817" i="18"/>
  <c r="P817" i="18"/>
  <c r="O817" i="18"/>
  <c r="N817" i="18"/>
  <c r="M817" i="18"/>
  <c r="L817" i="18"/>
  <c r="K817" i="18"/>
  <c r="J817" i="18"/>
  <c r="I817" i="18"/>
  <c r="H817" i="18"/>
  <c r="G817" i="18"/>
  <c r="F817" i="18"/>
  <c r="E817" i="18"/>
  <c r="C817" i="18"/>
  <c r="B817" i="18"/>
  <c r="A817" i="18"/>
  <c r="T816" i="18"/>
  <c r="S816" i="18"/>
  <c r="R816" i="18"/>
  <c r="Q816" i="18"/>
  <c r="P816" i="18"/>
  <c r="O816" i="18"/>
  <c r="N816" i="18"/>
  <c r="M816" i="18"/>
  <c r="L816" i="18"/>
  <c r="K816" i="18"/>
  <c r="J816" i="18"/>
  <c r="I816" i="18"/>
  <c r="H816" i="18"/>
  <c r="G816" i="18"/>
  <c r="F816" i="18"/>
  <c r="E816" i="18"/>
  <c r="C816" i="18"/>
  <c r="B816" i="18"/>
  <c r="A816" i="18"/>
  <c r="T815" i="18"/>
  <c r="S815" i="18"/>
  <c r="R815" i="18"/>
  <c r="Q815" i="18"/>
  <c r="P815" i="18"/>
  <c r="O815" i="18"/>
  <c r="N815" i="18"/>
  <c r="M815" i="18"/>
  <c r="L815" i="18"/>
  <c r="K815" i="18"/>
  <c r="J815" i="18"/>
  <c r="I815" i="18"/>
  <c r="H815" i="18"/>
  <c r="G815" i="18"/>
  <c r="F815" i="18"/>
  <c r="E815" i="18"/>
  <c r="C815" i="18"/>
  <c r="B815" i="18"/>
  <c r="A815" i="18"/>
  <c r="T814" i="18"/>
  <c r="S814" i="18"/>
  <c r="R814" i="18"/>
  <c r="Q814" i="18"/>
  <c r="P814" i="18"/>
  <c r="O814" i="18"/>
  <c r="N814" i="18"/>
  <c r="M814" i="18"/>
  <c r="L814" i="18"/>
  <c r="K814" i="18"/>
  <c r="J814" i="18"/>
  <c r="I814" i="18"/>
  <c r="H814" i="18"/>
  <c r="G814" i="18"/>
  <c r="F814" i="18"/>
  <c r="E814" i="18"/>
  <c r="C814" i="18"/>
  <c r="B814" i="18"/>
  <c r="A814" i="18"/>
  <c r="T813" i="18"/>
  <c r="S813" i="18"/>
  <c r="R813" i="18"/>
  <c r="Q813" i="18"/>
  <c r="P813" i="18"/>
  <c r="O813" i="18"/>
  <c r="N813" i="18"/>
  <c r="M813" i="18"/>
  <c r="L813" i="18"/>
  <c r="K813" i="18"/>
  <c r="J813" i="18"/>
  <c r="I813" i="18"/>
  <c r="H813" i="18"/>
  <c r="G813" i="18"/>
  <c r="F813" i="18"/>
  <c r="E813" i="18"/>
  <c r="C813" i="18"/>
  <c r="B813" i="18"/>
  <c r="A813" i="18"/>
  <c r="T812" i="18"/>
  <c r="S812" i="18"/>
  <c r="R812" i="18"/>
  <c r="Q812" i="18"/>
  <c r="P812" i="18"/>
  <c r="O812" i="18"/>
  <c r="N812" i="18"/>
  <c r="M812" i="18"/>
  <c r="L812" i="18"/>
  <c r="K812" i="18"/>
  <c r="J812" i="18"/>
  <c r="I812" i="18"/>
  <c r="H812" i="18"/>
  <c r="G812" i="18"/>
  <c r="F812" i="18"/>
  <c r="E812" i="18"/>
  <c r="C812" i="18"/>
  <c r="B812" i="18"/>
  <c r="A812" i="18"/>
  <c r="T811" i="18"/>
  <c r="S811" i="18"/>
  <c r="R811" i="18"/>
  <c r="Q811" i="18"/>
  <c r="P811" i="18"/>
  <c r="O811" i="18"/>
  <c r="N811" i="18"/>
  <c r="M811" i="18"/>
  <c r="L811" i="18"/>
  <c r="K811" i="18"/>
  <c r="J811" i="18"/>
  <c r="I811" i="18"/>
  <c r="H811" i="18"/>
  <c r="G811" i="18"/>
  <c r="F811" i="18"/>
  <c r="E811" i="18"/>
  <c r="C811" i="18"/>
  <c r="B811" i="18"/>
  <c r="A811" i="18"/>
  <c r="T810" i="18"/>
  <c r="S810" i="18"/>
  <c r="R810" i="18"/>
  <c r="Q810" i="18"/>
  <c r="P810" i="18"/>
  <c r="O810" i="18"/>
  <c r="N810" i="18"/>
  <c r="M810" i="18"/>
  <c r="L810" i="18"/>
  <c r="K810" i="18"/>
  <c r="J810" i="18"/>
  <c r="I810" i="18"/>
  <c r="H810" i="18"/>
  <c r="G810" i="18"/>
  <c r="F810" i="18"/>
  <c r="E810" i="18"/>
  <c r="C810" i="18"/>
  <c r="B810" i="18"/>
  <c r="A810" i="18"/>
  <c r="T809" i="18"/>
  <c r="S809" i="18"/>
  <c r="R809" i="18"/>
  <c r="Q809" i="18"/>
  <c r="P809" i="18"/>
  <c r="O809" i="18"/>
  <c r="N809" i="18"/>
  <c r="M809" i="18"/>
  <c r="L809" i="18"/>
  <c r="K809" i="18"/>
  <c r="J809" i="18"/>
  <c r="I809" i="18"/>
  <c r="H809" i="18"/>
  <c r="G809" i="18"/>
  <c r="F809" i="18"/>
  <c r="E809" i="18"/>
  <c r="C809" i="18"/>
  <c r="B809" i="18"/>
  <c r="A809" i="18"/>
  <c r="T808" i="18"/>
  <c r="S808" i="18"/>
  <c r="R808" i="18"/>
  <c r="Q808" i="18"/>
  <c r="P808" i="18"/>
  <c r="O808" i="18"/>
  <c r="N808" i="18"/>
  <c r="M808" i="18"/>
  <c r="L808" i="18"/>
  <c r="K808" i="18"/>
  <c r="J808" i="18"/>
  <c r="I808" i="18"/>
  <c r="H808" i="18"/>
  <c r="G808" i="18"/>
  <c r="F808" i="18"/>
  <c r="E808" i="18"/>
  <c r="C808" i="18"/>
  <c r="B808" i="18"/>
  <c r="A808" i="18"/>
  <c r="T807" i="18"/>
  <c r="S807" i="18"/>
  <c r="R807" i="18"/>
  <c r="Q807" i="18"/>
  <c r="P807" i="18"/>
  <c r="O807" i="18"/>
  <c r="N807" i="18"/>
  <c r="M807" i="18"/>
  <c r="L807" i="18"/>
  <c r="K807" i="18"/>
  <c r="J807" i="18"/>
  <c r="I807" i="18"/>
  <c r="H807" i="18"/>
  <c r="G807" i="18"/>
  <c r="F807" i="18"/>
  <c r="E807" i="18"/>
  <c r="C807" i="18"/>
  <c r="B807" i="18"/>
  <c r="A807" i="18"/>
  <c r="T806" i="18"/>
  <c r="S806" i="18"/>
  <c r="R806" i="18"/>
  <c r="Q806" i="18"/>
  <c r="P806" i="18"/>
  <c r="O806" i="18"/>
  <c r="N806" i="18"/>
  <c r="M806" i="18"/>
  <c r="L806" i="18"/>
  <c r="K806" i="18"/>
  <c r="J806" i="18"/>
  <c r="I806" i="18"/>
  <c r="H806" i="18"/>
  <c r="G806" i="18"/>
  <c r="F806" i="18"/>
  <c r="E806" i="18"/>
  <c r="C806" i="18"/>
  <c r="B806" i="18"/>
  <c r="A806" i="18"/>
  <c r="T805" i="18"/>
  <c r="S805" i="18"/>
  <c r="R805" i="18"/>
  <c r="Q805" i="18"/>
  <c r="P805" i="18"/>
  <c r="O805" i="18"/>
  <c r="N805" i="18"/>
  <c r="M805" i="18"/>
  <c r="L805" i="18"/>
  <c r="K805" i="18"/>
  <c r="J805" i="18"/>
  <c r="I805" i="18"/>
  <c r="H805" i="18"/>
  <c r="G805" i="18"/>
  <c r="F805" i="18"/>
  <c r="E805" i="18"/>
  <c r="C805" i="18"/>
  <c r="B805" i="18"/>
  <c r="A805" i="18"/>
  <c r="T804" i="18"/>
  <c r="S804" i="18"/>
  <c r="R804" i="18"/>
  <c r="Q804" i="18"/>
  <c r="P804" i="18"/>
  <c r="O804" i="18"/>
  <c r="N804" i="18"/>
  <c r="M804" i="18"/>
  <c r="L804" i="18"/>
  <c r="K804" i="18"/>
  <c r="J804" i="18"/>
  <c r="I804" i="18"/>
  <c r="H804" i="18"/>
  <c r="G804" i="18"/>
  <c r="F804" i="18"/>
  <c r="E804" i="18"/>
  <c r="C804" i="18"/>
  <c r="B804" i="18"/>
  <c r="A804" i="18"/>
  <c r="T803" i="18"/>
  <c r="S803" i="18"/>
  <c r="R803" i="18"/>
  <c r="Q803" i="18"/>
  <c r="P803" i="18"/>
  <c r="O803" i="18"/>
  <c r="N803" i="18"/>
  <c r="M803" i="18"/>
  <c r="L803" i="18"/>
  <c r="K803" i="18"/>
  <c r="J803" i="18"/>
  <c r="I803" i="18"/>
  <c r="H803" i="18"/>
  <c r="G803" i="18"/>
  <c r="F803" i="18"/>
  <c r="E803" i="18"/>
  <c r="C803" i="18"/>
  <c r="B803" i="18"/>
  <c r="A803" i="18"/>
  <c r="T802" i="18"/>
  <c r="S802" i="18"/>
  <c r="R802" i="18"/>
  <c r="Q802" i="18"/>
  <c r="P802" i="18"/>
  <c r="O802" i="18"/>
  <c r="N802" i="18"/>
  <c r="M802" i="18"/>
  <c r="L802" i="18"/>
  <c r="K802" i="18"/>
  <c r="J802" i="18"/>
  <c r="I802" i="18"/>
  <c r="H802" i="18"/>
  <c r="G802" i="18"/>
  <c r="F802" i="18"/>
  <c r="E802" i="18"/>
  <c r="C802" i="18"/>
  <c r="B802" i="18"/>
  <c r="A802" i="18"/>
  <c r="T801" i="18"/>
  <c r="S801" i="18"/>
  <c r="R801" i="18"/>
  <c r="Q801" i="18"/>
  <c r="P801" i="18"/>
  <c r="O801" i="18"/>
  <c r="N801" i="18"/>
  <c r="M801" i="18"/>
  <c r="L801" i="18"/>
  <c r="K801" i="18"/>
  <c r="J801" i="18"/>
  <c r="I801" i="18"/>
  <c r="H801" i="18"/>
  <c r="G801" i="18"/>
  <c r="F801" i="18"/>
  <c r="E801" i="18"/>
  <c r="C801" i="18"/>
  <c r="B801" i="18"/>
  <c r="A801" i="18"/>
  <c r="T800" i="18"/>
  <c r="S800" i="18"/>
  <c r="R800" i="18"/>
  <c r="Q800" i="18"/>
  <c r="P800" i="18"/>
  <c r="O800" i="18"/>
  <c r="N800" i="18"/>
  <c r="M800" i="18"/>
  <c r="L800" i="18"/>
  <c r="K800" i="18"/>
  <c r="J800" i="18"/>
  <c r="I800" i="18"/>
  <c r="H800" i="18"/>
  <c r="G800" i="18"/>
  <c r="F800" i="18"/>
  <c r="E800" i="18"/>
  <c r="C800" i="18"/>
  <c r="B800" i="18"/>
  <c r="A800" i="18"/>
  <c r="T799" i="18"/>
  <c r="S799" i="18"/>
  <c r="R799" i="18"/>
  <c r="Q799" i="18"/>
  <c r="P799" i="18"/>
  <c r="O799" i="18"/>
  <c r="N799" i="18"/>
  <c r="M799" i="18"/>
  <c r="L799" i="18"/>
  <c r="K799" i="18"/>
  <c r="J799" i="18"/>
  <c r="I799" i="18"/>
  <c r="H799" i="18"/>
  <c r="G799" i="18"/>
  <c r="F799" i="18"/>
  <c r="E799" i="18"/>
  <c r="C799" i="18"/>
  <c r="B799" i="18"/>
  <c r="A799" i="18"/>
  <c r="T798" i="18"/>
  <c r="S798" i="18"/>
  <c r="R798" i="18"/>
  <c r="Q798" i="18"/>
  <c r="P798" i="18"/>
  <c r="O798" i="18"/>
  <c r="N798" i="18"/>
  <c r="M798" i="18"/>
  <c r="L798" i="18"/>
  <c r="K798" i="18"/>
  <c r="J798" i="18"/>
  <c r="I798" i="18"/>
  <c r="H798" i="18"/>
  <c r="G798" i="18"/>
  <c r="F798" i="18"/>
  <c r="E798" i="18"/>
  <c r="C798" i="18"/>
  <c r="B798" i="18"/>
  <c r="A798" i="18"/>
  <c r="T797" i="18"/>
  <c r="S797" i="18"/>
  <c r="R797" i="18"/>
  <c r="Q797" i="18"/>
  <c r="P797" i="18"/>
  <c r="O797" i="18"/>
  <c r="N797" i="18"/>
  <c r="M797" i="18"/>
  <c r="L797" i="18"/>
  <c r="K797" i="18"/>
  <c r="J797" i="18"/>
  <c r="I797" i="18"/>
  <c r="H797" i="18"/>
  <c r="G797" i="18"/>
  <c r="F797" i="18"/>
  <c r="E797" i="18"/>
  <c r="C797" i="18"/>
  <c r="B797" i="18"/>
  <c r="A797" i="18"/>
  <c r="T796" i="18"/>
  <c r="S796" i="18"/>
  <c r="R796" i="18"/>
  <c r="Q796" i="18"/>
  <c r="P796" i="18"/>
  <c r="O796" i="18"/>
  <c r="N796" i="18"/>
  <c r="M796" i="18"/>
  <c r="L796" i="18"/>
  <c r="K796" i="18"/>
  <c r="J796" i="18"/>
  <c r="I796" i="18"/>
  <c r="H796" i="18"/>
  <c r="G796" i="18"/>
  <c r="F796" i="18"/>
  <c r="E796" i="18"/>
  <c r="C796" i="18"/>
  <c r="B796" i="18"/>
  <c r="A796" i="18"/>
  <c r="T795" i="18"/>
  <c r="S795" i="18"/>
  <c r="R795" i="18"/>
  <c r="Q795" i="18"/>
  <c r="P795" i="18"/>
  <c r="O795" i="18"/>
  <c r="N795" i="18"/>
  <c r="M795" i="18"/>
  <c r="L795" i="18"/>
  <c r="K795" i="18"/>
  <c r="J795" i="18"/>
  <c r="I795" i="18"/>
  <c r="H795" i="18"/>
  <c r="G795" i="18"/>
  <c r="F795" i="18"/>
  <c r="E795" i="18"/>
  <c r="C795" i="18"/>
  <c r="B795" i="18"/>
  <c r="A795" i="18"/>
  <c r="T794" i="18"/>
  <c r="S794" i="18"/>
  <c r="R794" i="18"/>
  <c r="Q794" i="18"/>
  <c r="P794" i="18"/>
  <c r="O794" i="18"/>
  <c r="N794" i="18"/>
  <c r="M794" i="18"/>
  <c r="L794" i="18"/>
  <c r="K794" i="18"/>
  <c r="J794" i="18"/>
  <c r="I794" i="18"/>
  <c r="H794" i="18"/>
  <c r="G794" i="18"/>
  <c r="F794" i="18"/>
  <c r="E794" i="18"/>
  <c r="C794" i="18"/>
  <c r="B794" i="18"/>
  <c r="A794" i="18"/>
  <c r="T793" i="18"/>
  <c r="S793" i="18"/>
  <c r="R793" i="18"/>
  <c r="Q793" i="18"/>
  <c r="P793" i="18"/>
  <c r="O793" i="18"/>
  <c r="N793" i="18"/>
  <c r="M793" i="18"/>
  <c r="L793" i="18"/>
  <c r="K793" i="18"/>
  <c r="J793" i="18"/>
  <c r="I793" i="18"/>
  <c r="H793" i="18"/>
  <c r="G793" i="18"/>
  <c r="F793" i="18"/>
  <c r="E793" i="18"/>
  <c r="C793" i="18"/>
  <c r="B793" i="18"/>
  <c r="A793" i="18"/>
  <c r="T792" i="18"/>
  <c r="S792" i="18"/>
  <c r="R792" i="18"/>
  <c r="Q792" i="18"/>
  <c r="P792" i="18"/>
  <c r="O792" i="18"/>
  <c r="N792" i="18"/>
  <c r="M792" i="18"/>
  <c r="L792" i="18"/>
  <c r="K792" i="18"/>
  <c r="J792" i="18"/>
  <c r="I792" i="18"/>
  <c r="H792" i="18"/>
  <c r="G792" i="18"/>
  <c r="F792" i="18"/>
  <c r="E792" i="18"/>
  <c r="C792" i="18"/>
  <c r="B792" i="18"/>
  <c r="A792" i="18"/>
  <c r="T791" i="18"/>
  <c r="S791" i="18"/>
  <c r="R791" i="18"/>
  <c r="Q791" i="18"/>
  <c r="P791" i="18"/>
  <c r="O791" i="18"/>
  <c r="N791" i="18"/>
  <c r="M791" i="18"/>
  <c r="L791" i="18"/>
  <c r="K791" i="18"/>
  <c r="J791" i="18"/>
  <c r="I791" i="18"/>
  <c r="H791" i="18"/>
  <c r="G791" i="18"/>
  <c r="F791" i="18"/>
  <c r="E791" i="18"/>
  <c r="C791" i="18"/>
  <c r="B791" i="18"/>
  <c r="A791" i="18"/>
  <c r="T790" i="18"/>
  <c r="S790" i="18"/>
  <c r="R790" i="18"/>
  <c r="Q790" i="18"/>
  <c r="P790" i="18"/>
  <c r="O790" i="18"/>
  <c r="N790" i="18"/>
  <c r="M790" i="18"/>
  <c r="L790" i="18"/>
  <c r="K790" i="18"/>
  <c r="J790" i="18"/>
  <c r="I790" i="18"/>
  <c r="H790" i="18"/>
  <c r="G790" i="18"/>
  <c r="F790" i="18"/>
  <c r="E790" i="18"/>
  <c r="C790" i="18"/>
  <c r="B790" i="18"/>
  <c r="A790" i="18"/>
  <c r="T789" i="18"/>
  <c r="S789" i="18"/>
  <c r="R789" i="18"/>
  <c r="Q789" i="18"/>
  <c r="P789" i="18"/>
  <c r="O789" i="18"/>
  <c r="N789" i="18"/>
  <c r="M789" i="18"/>
  <c r="L789" i="18"/>
  <c r="K789" i="18"/>
  <c r="J789" i="18"/>
  <c r="I789" i="18"/>
  <c r="H789" i="18"/>
  <c r="G789" i="18"/>
  <c r="F789" i="18"/>
  <c r="E789" i="18"/>
  <c r="C789" i="18"/>
  <c r="B789" i="18"/>
  <c r="A789" i="18"/>
  <c r="T788" i="18"/>
  <c r="S788" i="18"/>
  <c r="R788" i="18"/>
  <c r="Q788" i="18"/>
  <c r="P788" i="18"/>
  <c r="O788" i="18"/>
  <c r="N788" i="18"/>
  <c r="M788" i="18"/>
  <c r="L788" i="18"/>
  <c r="K788" i="18"/>
  <c r="J788" i="18"/>
  <c r="I788" i="18"/>
  <c r="H788" i="18"/>
  <c r="G788" i="18"/>
  <c r="F788" i="18"/>
  <c r="E788" i="18"/>
  <c r="C788" i="18"/>
  <c r="B788" i="18"/>
  <c r="A788" i="18"/>
  <c r="T787" i="18"/>
  <c r="S787" i="18"/>
  <c r="R787" i="18"/>
  <c r="Q787" i="18"/>
  <c r="P787" i="18"/>
  <c r="O787" i="18"/>
  <c r="N787" i="18"/>
  <c r="M787" i="18"/>
  <c r="L787" i="18"/>
  <c r="K787" i="18"/>
  <c r="J787" i="18"/>
  <c r="I787" i="18"/>
  <c r="H787" i="18"/>
  <c r="G787" i="18"/>
  <c r="F787" i="18"/>
  <c r="E787" i="18"/>
  <c r="C787" i="18"/>
  <c r="B787" i="18"/>
  <c r="A787" i="18"/>
  <c r="T786" i="18"/>
  <c r="S786" i="18"/>
  <c r="R786" i="18"/>
  <c r="Q786" i="18"/>
  <c r="P786" i="18"/>
  <c r="O786" i="18"/>
  <c r="N786" i="18"/>
  <c r="M786" i="18"/>
  <c r="L786" i="18"/>
  <c r="K786" i="18"/>
  <c r="J786" i="18"/>
  <c r="I786" i="18"/>
  <c r="H786" i="18"/>
  <c r="G786" i="18"/>
  <c r="F786" i="18"/>
  <c r="E786" i="18"/>
  <c r="C786" i="18"/>
  <c r="B786" i="18"/>
  <c r="A786" i="18"/>
  <c r="T785" i="18"/>
  <c r="S785" i="18"/>
  <c r="R785" i="18"/>
  <c r="Q785" i="18"/>
  <c r="P785" i="18"/>
  <c r="O785" i="18"/>
  <c r="N785" i="18"/>
  <c r="M785" i="18"/>
  <c r="L785" i="18"/>
  <c r="K785" i="18"/>
  <c r="J785" i="18"/>
  <c r="I785" i="18"/>
  <c r="H785" i="18"/>
  <c r="G785" i="18"/>
  <c r="F785" i="18"/>
  <c r="E785" i="18"/>
  <c r="C785" i="18"/>
  <c r="B785" i="18"/>
  <c r="A785" i="18"/>
  <c r="T784" i="18"/>
  <c r="S784" i="18"/>
  <c r="R784" i="18"/>
  <c r="Q784" i="18"/>
  <c r="P784" i="18"/>
  <c r="O784" i="18"/>
  <c r="N784" i="18"/>
  <c r="M784" i="18"/>
  <c r="L784" i="18"/>
  <c r="K784" i="18"/>
  <c r="J784" i="18"/>
  <c r="I784" i="18"/>
  <c r="H784" i="18"/>
  <c r="G784" i="18"/>
  <c r="F784" i="18"/>
  <c r="E784" i="18"/>
  <c r="C784" i="18"/>
  <c r="B784" i="18"/>
  <c r="A784" i="18"/>
  <c r="T783" i="18"/>
  <c r="S783" i="18"/>
  <c r="R783" i="18"/>
  <c r="Q783" i="18"/>
  <c r="P783" i="18"/>
  <c r="O783" i="18"/>
  <c r="N783" i="18"/>
  <c r="M783" i="18"/>
  <c r="L783" i="18"/>
  <c r="K783" i="18"/>
  <c r="J783" i="18"/>
  <c r="I783" i="18"/>
  <c r="H783" i="18"/>
  <c r="G783" i="18"/>
  <c r="F783" i="18"/>
  <c r="E783" i="18"/>
  <c r="C783" i="18"/>
  <c r="B783" i="18"/>
  <c r="A783" i="18"/>
  <c r="T782" i="18"/>
  <c r="S782" i="18"/>
  <c r="R782" i="18"/>
  <c r="Q782" i="18"/>
  <c r="P782" i="18"/>
  <c r="O782" i="18"/>
  <c r="N782" i="18"/>
  <c r="M782" i="18"/>
  <c r="L782" i="18"/>
  <c r="K782" i="18"/>
  <c r="J782" i="18"/>
  <c r="I782" i="18"/>
  <c r="H782" i="18"/>
  <c r="G782" i="18"/>
  <c r="F782" i="18"/>
  <c r="E782" i="18"/>
  <c r="C782" i="18"/>
  <c r="B782" i="18"/>
  <c r="A782" i="18"/>
  <c r="T781" i="18"/>
  <c r="S781" i="18"/>
  <c r="R781" i="18"/>
  <c r="Q781" i="18"/>
  <c r="P781" i="18"/>
  <c r="O781" i="18"/>
  <c r="N781" i="18"/>
  <c r="M781" i="18"/>
  <c r="L781" i="18"/>
  <c r="K781" i="18"/>
  <c r="J781" i="18"/>
  <c r="I781" i="18"/>
  <c r="H781" i="18"/>
  <c r="G781" i="18"/>
  <c r="F781" i="18"/>
  <c r="E781" i="18"/>
  <c r="C781" i="18"/>
  <c r="B781" i="18"/>
  <c r="A781" i="18"/>
  <c r="T780" i="18"/>
  <c r="S780" i="18"/>
  <c r="R780" i="18"/>
  <c r="Q780" i="18"/>
  <c r="P780" i="18"/>
  <c r="O780" i="18"/>
  <c r="N780" i="18"/>
  <c r="M780" i="18"/>
  <c r="L780" i="18"/>
  <c r="K780" i="18"/>
  <c r="J780" i="18"/>
  <c r="I780" i="18"/>
  <c r="H780" i="18"/>
  <c r="G780" i="18"/>
  <c r="F780" i="18"/>
  <c r="E780" i="18"/>
  <c r="C780" i="18"/>
  <c r="B780" i="18"/>
  <c r="A780" i="18"/>
  <c r="T779" i="18"/>
  <c r="S779" i="18"/>
  <c r="R779" i="18"/>
  <c r="Q779" i="18"/>
  <c r="P779" i="18"/>
  <c r="O779" i="18"/>
  <c r="N779" i="18"/>
  <c r="M779" i="18"/>
  <c r="L779" i="18"/>
  <c r="K779" i="18"/>
  <c r="J779" i="18"/>
  <c r="I779" i="18"/>
  <c r="H779" i="18"/>
  <c r="G779" i="18"/>
  <c r="F779" i="18"/>
  <c r="E779" i="18"/>
  <c r="C779" i="18"/>
  <c r="B779" i="18"/>
  <c r="A779" i="18"/>
  <c r="T778" i="18"/>
  <c r="S778" i="18"/>
  <c r="R778" i="18"/>
  <c r="Q778" i="18"/>
  <c r="P778" i="18"/>
  <c r="O778" i="18"/>
  <c r="N778" i="18"/>
  <c r="M778" i="18"/>
  <c r="L778" i="18"/>
  <c r="K778" i="18"/>
  <c r="J778" i="18"/>
  <c r="I778" i="18"/>
  <c r="H778" i="18"/>
  <c r="G778" i="18"/>
  <c r="F778" i="18"/>
  <c r="E778" i="18"/>
  <c r="C778" i="18"/>
  <c r="B778" i="18"/>
  <c r="A778" i="18"/>
  <c r="T777" i="18"/>
  <c r="S777" i="18"/>
  <c r="R777" i="18"/>
  <c r="Q777" i="18"/>
  <c r="P777" i="18"/>
  <c r="O777" i="18"/>
  <c r="N777" i="18"/>
  <c r="M777" i="18"/>
  <c r="L777" i="18"/>
  <c r="K777" i="18"/>
  <c r="J777" i="18"/>
  <c r="I777" i="18"/>
  <c r="H777" i="18"/>
  <c r="G777" i="18"/>
  <c r="F777" i="18"/>
  <c r="E777" i="18"/>
  <c r="C777" i="18"/>
  <c r="B777" i="18"/>
  <c r="A777" i="18"/>
  <c r="T776" i="18"/>
  <c r="S776" i="18"/>
  <c r="R776" i="18"/>
  <c r="Q776" i="18"/>
  <c r="P776" i="18"/>
  <c r="O776" i="18"/>
  <c r="N776" i="18"/>
  <c r="M776" i="18"/>
  <c r="L776" i="18"/>
  <c r="K776" i="18"/>
  <c r="J776" i="18"/>
  <c r="I776" i="18"/>
  <c r="H776" i="18"/>
  <c r="G776" i="18"/>
  <c r="F776" i="18"/>
  <c r="E776" i="18"/>
  <c r="C776" i="18"/>
  <c r="B776" i="18"/>
  <c r="A776" i="18"/>
  <c r="T775" i="18"/>
  <c r="S775" i="18"/>
  <c r="R775" i="18"/>
  <c r="Q775" i="18"/>
  <c r="P775" i="18"/>
  <c r="O775" i="18"/>
  <c r="N775" i="18"/>
  <c r="M775" i="18"/>
  <c r="L775" i="18"/>
  <c r="K775" i="18"/>
  <c r="J775" i="18"/>
  <c r="I775" i="18"/>
  <c r="H775" i="18"/>
  <c r="G775" i="18"/>
  <c r="F775" i="18"/>
  <c r="E775" i="18"/>
  <c r="C775" i="18"/>
  <c r="B775" i="18"/>
  <c r="A775" i="18"/>
  <c r="T774" i="18"/>
  <c r="S774" i="18"/>
  <c r="R774" i="18"/>
  <c r="Q774" i="18"/>
  <c r="P774" i="18"/>
  <c r="O774" i="18"/>
  <c r="N774" i="18"/>
  <c r="M774" i="18"/>
  <c r="L774" i="18"/>
  <c r="K774" i="18"/>
  <c r="J774" i="18"/>
  <c r="I774" i="18"/>
  <c r="H774" i="18"/>
  <c r="G774" i="18"/>
  <c r="F774" i="18"/>
  <c r="E774" i="18"/>
  <c r="C774" i="18"/>
  <c r="B774" i="18"/>
  <c r="A774" i="18"/>
  <c r="T773" i="18"/>
  <c r="S773" i="18"/>
  <c r="R773" i="18"/>
  <c r="Q773" i="18"/>
  <c r="P773" i="18"/>
  <c r="O773" i="18"/>
  <c r="N773" i="18"/>
  <c r="M773" i="18"/>
  <c r="L773" i="18"/>
  <c r="K773" i="18"/>
  <c r="J773" i="18"/>
  <c r="I773" i="18"/>
  <c r="H773" i="18"/>
  <c r="G773" i="18"/>
  <c r="F773" i="18"/>
  <c r="E773" i="18"/>
  <c r="C773" i="18"/>
  <c r="B773" i="18"/>
  <c r="A773" i="18"/>
  <c r="T772" i="18"/>
  <c r="S772" i="18"/>
  <c r="R772" i="18"/>
  <c r="Q772" i="18"/>
  <c r="P772" i="18"/>
  <c r="O772" i="18"/>
  <c r="N772" i="18"/>
  <c r="M772" i="18"/>
  <c r="L772" i="18"/>
  <c r="K772" i="18"/>
  <c r="J772" i="18"/>
  <c r="I772" i="18"/>
  <c r="H772" i="18"/>
  <c r="G772" i="18"/>
  <c r="F772" i="18"/>
  <c r="E772" i="18"/>
  <c r="C772" i="18"/>
  <c r="B772" i="18"/>
  <c r="A772" i="18"/>
  <c r="T771" i="18"/>
  <c r="S771" i="18"/>
  <c r="R771" i="18"/>
  <c r="Q771" i="18"/>
  <c r="P771" i="18"/>
  <c r="O771" i="18"/>
  <c r="N771" i="18"/>
  <c r="M771" i="18"/>
  <c r="L771" i="18"/>
  <c r="K771" i="18"/>
  <c r="J771" i="18"/>
  <c r="I771" i="18"/>
  <c r="H771" i="18"/>
  <c r="G771" i="18"/>
  <c r="F771" i="18"/>
  <c r="E771" i="18"/>
  <c r="C771" i="18"/>
  <c r="B771" i="18"/>
  <c r="A771" i="18"/>
  <c r="T770" i="18"/>
  <c r="S770" i="18"/>
  <c r="R770" i="18"/>
  <c r="Q770" i="18"/>
  <c r="P770" i="18"/>
  <c r="O770" i="18"/>
  <c r="N770" i="18"/>
  <c r="M770" i="18"/>
  <c r="L770" i="18"/>
  <c r="K770" i="18"/>
  <c r="J770" i="18"/>
  <c r="I770" i="18"/>
  <c r="H770" i="18"/>
  <c r="G770" i="18"/>
  <c r="F770" i="18"/>
  <c r="E770" i="18"/>
  <c r="C770" i="18"/>
  <c r="B770" i="18"/>
  <c r="A770" i="18"/>
  <c r="T769" i="18"/>
  <c r="S769" i="18"/>
  <c r="R769" i="18"/>
  <c r="Q769" i="18"/>
  <c r="P769" i="18"/>
  <c r="O769" i="18"/>
  <c r="N769" i="18"/>
  <c r="M769" i="18"/>
  <c r="L769" i="18"/>
  <c r="K769" i="18"/>
  <c r="J769" i="18"/>
  <c r="I769" i="18"/>
  <c r="H769" i="18"/>
  <c r="G769" i="18"/>
  <c r="F769" i="18"/>
  <c r="E769" i="18"/>
  <c r="C769" i="18"/>
  <c r="B769" i="18"/>
  <c r="A769" i="18"/>
  <c r="T768" i="18"/>
  <c r="S768" i="18"/>
  <c r="R768" i="18"/>
  <c r="Q768" i="18"/>
  <c r="P768" i="18"/>
  <c r="O768" i="18"/>
  <c r="N768" i="18"/>
  <c r="M768" i="18"/>
  <c r="L768" i="18"/>
  <c r="K768" i="18"/>
  <c r="J768" i="18"/>
  <c r="I768" i="18"/>
  <c r="H768" i="18"/>
  <c r="G768" i="18"/>
  <c r="F768" i="18"/>
  <c r="E768" i="18"/>
  <c r="C768" i="18"/>
  <c r="B768" i="18"/>
  <c r="A768" i="18"/>
  <c r="T767" i="18"/>
  <c r="S767" i="18"/>
  <c r="R767" i="18"/>
  <c r="Q767" i="18"/>
  <c r="P767" i="18"/>
  <c r="O767" i="18"/>
  <c r="N767" i="18"/>
  <c r="M767" i="18"/>
  <c r="L767" i="18"/>
  <c r="K767" i="18"/>
  <c r="J767" i="18"/>
  <c r="I767" i="18"/>
  <c r="H767" i="18"/>
  <c r="G767" i="18"/>
  <c r="F767" i="18"/>
  <c r="E767" i="18"/>
  <c r="C767" i="18"/>
  <c r="B767" i="18"/>
  <c r="A767" i="18"/>
  <c r="T766" i="18"/>
  <c r="S766" i="18"/>
  <c r="R766" i="18"/>
  <c r="Q766" i="18"/>
  <c r="P766" i="18"/>
  <c r="O766" i="18"/>
  <c r="N766" i="18"/>
  <c r="M766" i="18"/>
  <c r="L766" i="18"/>
  <c r="K766" i="18"/>
  <c r="J766" i="18"/>
  <c r="I766" i="18"/>
  <c r="H766" i="18"/>
  <c r="G766" i="18"/>
  <c r="F766" i="18"/>
  <c r="E766" i="18"/>
  <c r="C766" i="18"/>
  <c r="B766" i="18"/>
  <c r="A766" i="18"/>
  <c r="T765" i="18"/>
  <c r="S765" i="18"/>
  <c r="R765" i="18"/>
  <c r="Q765" i="18"/>
  <c r="P765" i="18"/>
  <c r="O765" i="18"/>
  <c r="N765" i="18"/>
  <c r="M765" i="18"/>
  <c r="L765" i="18"/>
  <c r="K765" i="18"/>
  <c r="J765" i="18"/>
  <c r="I765" i="18"/>
  <c r="H765" i="18"/>
  <c r="G765" i="18"/>
  <c r="F765" i="18"/>
  <c r="E765" i="18"/>
  <c r="C765" i="18"/>
  <c r="B765" i="18"/>
  <c r="A765" i="18"/>
  <c r="T764" i="18"/>
  <c r="S764" i="18"/>
  <c r="R764" i="18"/>
  <c r="Q764" i="18"/>
  <c r="P764" i="18"/>
  <c r="O764" i="18"/>
  <c r="N764" i="18"/>
  <c r="M764" i="18"/>
  <c r="L764" i="18"/>
  <c r="K764" i="18"/>
  <c r="J764" i="18"/>
  <c r="I764" i="18"/>
  <c r="H764" i="18"/>
  <c r="G764" i="18"/>
  <c r="F764" i="18"/>
  <c r="E764" i="18"/>
  <c r="C764" i="18"/>
  <c r="B764" i="18"/>
  <c r="A764" i="18"/>
  <c r="T763" i="18"/>
  <c r="S763" i="18"/>
  <c r="R763" i="18"/>
  <c r="Q763" i="18"/>
  <c r="P763" i="18"/>
  <c r="O763" i="18"/>
  <c r="N763" i="18"/>
  <c r="M763" i="18"/>
  <c r="L763" i="18"/>
  <c r="K763" i="18"/>
  <c r="J763" i="18"/>
  <c r="I763" i="18"/>
  <c r="H763" i="18"/>
  <c r="G763" i="18"/>
  <c r="F763" i="18"/>
  <c r="E763" i="18"/>
  <c r="C763" i="18"/>
  <c r="B763" i="18"/>
  <c r="A763" i="18"/>
  <c r="T762" i="18"/>
  <c r="S762" i="18"/>
  <c r="R762" i="18"/>
  <c r="Q762" i="18"/>
  <c r="P762" i="18"/>
  <c r="O762" i="18"/>
  <c r="N762" i="18"/>
  <c r="M762" i="18"/>
  <c r="L762" i="18"/>
  <c r="K762" i="18"/>
  <c r="J762" i="18"/>
  <c r="I762" i="18"/>
  <c r="H762" i="18"/>
  <c r="G762" i="18"/>
  <c r="F762" i="18"/>
  <c r="E762" i="18"/>
  <c r="C762" i="18"/>
  <c r="B762" i="18"/>
  <c r="A762" i="18"/>
  <c r="T761" i="18"/>
  <c r="S761" i="18"/>
  <c r="R761" i="18"/>
  <c r="Q761" i="18"/>
  <c r="P761" i="18"/>
  <c r="O761" i="18"/>
  <c r="N761" i="18"/>
  <c r="M761" i="18"/>
  <c r="L761" i="18"/>
  <c r="K761" i="18"/>
  <c r="J761" i="18"/>
  <c r="I761" i="18"/>
  <c r="H761" i="18"/>
  <c r="G761" i="18"/>
  <c r="F761" i="18"/>
  <c r="E761" i="18"/>
  <c r="C761" i="18"/>
  <c r="B761" i="18"/>
  <c r="A761" i="18"/>
  <c r="T760" i="18"/>
  <c r="S760" i="18"/>
  <c r="R760" i="18"/>
  <c r="Q760" i="18"/>
  <c r="P760" i="18"/>
  <c r="O760" i="18"/>
  <c r="N760" i="18"/>
  <c r="M760" i="18"/>
  <c r="L760" i="18"/>
  <c r="K760" i="18"/>
  <c r="J760" i="18"/>
  <c r="I760" i="18"/>
  <c r="H760" i="18"/>
  <c r="G760" i="18"/>
  <c r="F760" i="18"/>
  <c r="E760" i="18"/>
  <c r="C760" i="18"/>
  <c r="B760" i="18"/>
  <c r="A760" i="18"/>
  <c r="T759" i="18"/>
  <c r="S759" i="18"/>
  <c r="R759" i="18"/>
  <c r="Q759" i="18"/>
  <c r="P759" i="18"/>
  <c r="O759" i="18"/>
  <c r="N759" i="18"/>
  <c r="M759" i="18"/>
  <c r="L759" i="18"/>
  <c r="K759" i="18"/>
  <c r="J759" i="18"/>
  <c r="I759" i="18"/>
  <c r="H759" i="18"/>
  <c r="G759" i="18"/>
  <c r="F759" i="18"/>
  <c r="E759" i="18"/>
  <c r="C759" i="18"/>
  <c r="B759" i="18"/>
  <c r="A759" i="18"/>
  <c r="T758" i="18"/>
  <c r="S758" i="18"/>
  <c r="R758" i="18"/>
  <c r="Q758" i="18"/>
  <c r="P758" i="18"/>
  <c r="O758" i="18"/>
  <c r="N758" i="18"/>
  <c r="M758" i="18"/>
  <c r="L758" i="18"/>
  <c r="K758" i="18"/>
  <c r="J758" i="18"/>
  <c r="I758" i="18"/>
  <c r="H758" i="18"/>
  <c r="G758" i="18"/>
  <c r="F758" i="18"/>
  <c r="E758" i="18"/>
  <c r="C758" i="18"/>
  <c r="B758" i="18"/>
  <c r="A758" i="18"/>
  <c r="T757" i="18"/>
  <c r="S757" i="18"/>
  <c r="R757" i="18"/>
  <c r="Q757" i="18"/>
  <c r="P757" i="18"/>
  <c r="O757" i="18"/>
  <c r="N757" i="18"/>
  <c r="M757" i="18"/>
  <c r="L757" i="18"/>
  <c r="K757" i="18"/>
  <c r="J757" i="18"/>
  <c r="I757" i="18"/>
  <c r="H757" i="18"/>
  <c r="G757" i="18"/>
  <c r="F757" i="18"/>
  <c r="E757" i="18"/>
  <c r="C757" i="18"/>
  <c r="B757" i="18"/>
  <c r="A757" i="18"/>
  <c r="T756" i="18"/>
  <c r="S756" i="18"/>
  <c r="R756" i="18"/>
  <c r="Q756" i="18"/>
  <c r="P756" i="18"/>
  <c r="O756" i="18"/>
  <c r="N756" i="18"/>
  <c r="M756" i="18"/>
  <c r="L756" i="18"/>
  <c r="K756" i="18"/>
  <c r="J756" i="18"/>
  <c r="I756" i="18"/>
  <c r="H756" i="18"/>
  <c r="G756" i="18"/>
  <c r="F756" i="18"/>
  <c r="E756" i="18"/>
  <c r="C756" i="18"/>
  <c r="B756" i="18"/>
  <c r="A756" i="18"/>
  <c r="T755" i="18"/>
  <c r="S755" i="18"/>
  <c r="R755" i="18"/>
  <c r="Q755" i="18"/>
  <c r="P755" i="18"/>
  <c r="O755" i="18"/>
  <c r="N755" i="18"/>
  <c r="M755" i="18"/>
  <c r="L755" i="18"/>
  <c r="K755" i="18"/>
  <c r="J755" i="18"/>
  <c r="I755" i="18"/>
  <c r="H755" i="18"/>
  <c r="G755" i="18"/>
  <c r="F755" i="18"/>
  <c r="E755" i="18"/>
  <c r="C755" i="18"/>
  <c r="B755" i="18"/>
  <c r="A755" i="18"/>
  <c r="T754" i="18"/>
  <c r="S754" i="18"/>
  <c r="R754" i="18"/>
  <c r="Q754" i="18"/>
  <c r="P754" i="18"/>
  <c r="O754" i="18"/>
  <c r="N754" i="18"/>
  <c r="M754" i="18"/>
  <c r="L754" i="18"/>
  <c r="K754" i="18"/>
  <c r="J754" i="18"/>
  <c r="I754" i="18"/>
  <c r="H754" i="18"/>
  <c r="G754" i="18"/>
  <c r="F754" i="18"/>
  <c r="E754" i="18"/>
  <c r="C754" i="18"/>
  <c r="B754" i="18"/>
  <c r="A754" i="18"/>
  <c r="T753" i="18"/>
  <c r="S753" i="18"/>
  <c r="R753" i="18"/>
  <c r="Q753" i="18"/>
  <c r="P753" i="18"/>
  <c r="O753" i="18"/>
  <c r="N753" i="18"/>
  <c r="M753" i="18"/>
  <c r="L753" i="18"/>
  <c r="K753" i="18"/>
  <c r="J753" i="18"/>
  <c r="I753" i="18"/>
  <c r="H753" i="18"/>
  <c r="G753" i="18"/>
  <c r="F753" i="18"/>
  <c r="E753" i="18"/>
  <c r="C753" i="18"/>
  <c r="B753" i="18"/>
  <c r="A753" i="18"/>
  <c r="T752" i="18"/>
  <c r="S752" i="18"/>
  <c r="R752" i="18"/>
  <c r="Q752" i="18"/>
  <c r="P752" i="18"/>
  <c r="O752" i="18"/>
  <c r="N752" i="18"/>
  <c r="M752" i="18"/>
  <c r="L752" i="18"/>
  <c r="K752" i="18"/>
  <c r="J752" i="18"/>
  <c r="I752" i="18"/>
  <c r="H752" i="18"/>
  <c r="G752" i="18"/>
  <c r="F752" i="18"/>
  <c r="E752" i="18"/>
  <c r="C752" i="18"/>
  <c r="B752" i="18"/>
  <c r="A752" i="18"/>
  <c r="T751" i="18"/>
  <c r="S751" i="18"/>
  <c r="R751" i="18"/>
  <c r="Q751" i="18"/>
  <c r="P751" i="18"/>
  <c r="O751" i="18"/>
  <c r="N751" i="18"/>
  <c r="M751" i="18"/>
  <c r="L751" i="18"/>
  <c r="K751" i="18"/>
  <c r="J751" i="18"/>
  <c r="I751" i="18"/>
  <c r="H751" i="18"/>
  <c r="G751" i="18"/>
  <c r="F751" i="18"/>
  <c r="E751" i="18"/>
  <c r="C751" i="18"/>
  <c r="B751" i="18"/>
  <c r="A751" i="18"/>
  <c r="T750" i="18"/>
  <c r="S750" i="18"/>
  <c r="R750" i="18"/>
  <c r="Q750" i="18"/>
  <c r="P750" i="18"/>
  <c r="O750" i="18"/>
  <c r="N750" i="18"/>
  <c r="M750" i="18"/>
  <c r="L750" i="18"/>
  <c r="K750" i="18"/>
  <c r="J750" i="18"/>
  <c r="I750" i="18"/>
  <c r="H750" i="18"/>
  <c r="G750" i="18"/>
  <c r="F750" i="18"/>
  <c r="E750" i="18"/>
  <c r="C750" i="18"/>
  <c r="B750" i="18"/>
  <c r="A750" i="18"/>
  <c r="T749" i="18"/>
  <c r="S749" i="18"/>
  <c r="R749" i="18"/>
  <c r="Q749" i="18"/>
  <c r="P749" i="18"/>
  <c r="O749" i="18"/>
  <c r="N749" i="18"/>
  <c r="M749" i="18"/>
  <c r="L749" i="18"/>
  <c r="K749" i="18"/>
  <c r="J749" i="18"/>
  <c r="I749" i="18"/>
  <c r="H749" i="18"/>
  <c r="G749" i="18"/>
  <c r="F749" i="18"/>
  <c r="E749" i="18"/>
  <c r="C749" i="18"/>
  <c r="B749" i="18"/>
  <c r="A749" i="18"/>
  <c r="T748" i="18"/>
  <c r="S748" i="18"/>
  <c r="R748" i="18"/>
  <c r="Q748" i="18"/>
  <c r="P748" i="18"/>
  <c r="O748" i="18"/>
  <c r="N748" i="18"/>
  <c r="M748" i="18"/>
  <c r="L748" i="18"/>
  <c r="K748" i="18"/>
  <c r="J748" i="18"/>
  <c r="I748" i="18"/>
  <c r="H748" i="18"/>
  <c r="G748" i="18"/>
  <c r="F748" i="18"/>
  <c r="E748" i="18"/>
  <c r="C748" i="18"/>
  <c r="B748" i="18"/>
  <c r="A748" i="18"/>
  <c r="T747" i="18"/>
  <c r="S747" i="18"/>
  <c r="R747" i="18"/>
  <c r="Q747" i="18"/>
  <c r="P747" i="18"/>
  <c r="O747" i="18"/>
  <c r="N747" i="18"/>
  <c r="M747" i="18"/>
  <c r="L747" i="18"/>
  <c r="K747" i="18"/>
  <c r="J747" i="18"/>
  <c r="I747" i="18"/>
  <c r="H747" i="18"/>
  <c r="G747" i="18"/>
  <c r="F747" i="18"/>
  <c r="E747" i="18"/>
  <c r="C747" i="18"/>
  <c r="B747" i="18"/>
  <c r="A747" i="18"/>
  <c r="T746" i="18"/>
  <c r="S746" i="18"/>
  <c r="R746" i="18"/>
  <c r="Q746" i="18"/>
  <c r="P746" i="18"/>
  <c r="O746" i="18"/>
  <c r="N746" i="18"/>
  <c r="M746" i="18"/>
  <c r="L746" i="18"/>
  <c r="K746" i="18"/>
  <c r="J746" i="18"/>
  <c r="I746" i="18"/>
  <c r="H746" i="18"/>
  <c r="G746" i="18"/>
  <c r="F746" i="18"/>
  <c r="E746" i="18"/>
  <c r="C746" i="18"/>
  <c r="B746" i="18"/>
  <c r="A746" i="18"/>
  <c r="T745" i="18"/>
  <c r="S745" i="18"/>
  <c r="R745" i="18"/>
  <c r="Q745" i="18"/>
  <c r="P745" i="18"/>
  <c r="O745" i="18"/>
  <c r="N745" i="18"/>
  <c r="M745" i="18"/>
  <c r="L745" i="18"/>
  <c r="K745" i="18"/>
  <c r="J745" i="18"/>
  <c r="I745" i="18"/>
  <c r="H745" i="18"/>
  <c r="G745" i="18"/>
  <c r="F745" i="18"/>
  <c r="E745" i="18"/>
  <c r="C745" i="18"/>
  <c r="B745" i="18"/>
  <c r="A745" i="18"/>
  <c r="T744" i="18"/>
  <c r="S744" i="18"/>
  <c r="R744" i="18"/>
  <c r="Q744" i="18"/>
  <c r="P744" i="18"/>
  <c r="O744" i="18"/>
  <c r="N744" i="18"/>
  <c r="M744" i="18"/>
  <c r="L744" i="18"/>
  <c r="K744" i="18"/>
  <c r="J744" i="18"/>
  <c r="I744" i="18"/>
  <c r="H744" i="18"/>
  <c r="G744" i="18"/>
  <c r="F744" i="18"/>
  <c r="E744" i="18"/>
  <c r="C744" i="18"/>
  <c r="B744" i="18"/>
  <c r="A744" i="18"/>
  <c r="T743" i="18"/>
  <c r="S743" i="18"/>
  <c r="R743" i="18"/>
  <c r="Q743" i="18"/>
  <c r="P743" i="18"/>
  <c r="O743" i="18"/>
  <c r="N743" i="18"/>
  <c r="M743" i="18"/>
  <c r="L743" i="18"/>
  <c r="K743" i="18"/>
  <c r="J743" i="18"/>
  <c r="I743" i="18"/>
  <c r="H743" i="18"/>
  <c r="G743" i="18"/>
  <c r="F743" i="18"/>
  <c r="E743" i="18"/>
  <c r="C743" i="18"/>
  <c r="B743" i="18"/>
  <c r="A743" i="18"/>
  <c r="T742" i="18"/>
  <c r="S742" i="18"/>
  <c r="R742" i="18"/>
  <c r="Q742" i="18"/>
  <c r="P742" i="18"/>
  <c r="O742" i="18"/>
  <c r="N742" i="18"/>
  <c r="M742" i="18"/>
  <c r="L742" i="18"/>
  <c r="K742" i="18"/>
  <c r="J742" i="18"/>
  <c r="I742" i="18"/>
  <c r="H742" i="18"/>
  <c r="G742" i="18"/>
  <c r="F742" i="18"/>
  <c r="E742" i="18"/>
  <c r="C742" i="18"/>
  <c r="B742" i="18"/>
  <c r="A742" i="18"/>
  <c r="T741" i="18"/>
  <c r="S741" i="18"/>
  <c r="R741" i="18"/>
  <c r="Q741" i="18"/>
  <c r="P741" i="18"/>
  <c r="O741" i="18"/>
  <c r="N741" i="18"/>
  <c r="M741" i="18"/>
  <c r="L741" i="18"/>
  <c r="K741" i="18"/>
  <c r="J741" i="18"/>
  <c r="I741" i="18"/>
  <c r="H741" i="18"/>
  <c r="G741" i="18"/>
  <c r="F741" i="18"/>
  <c r="E741" i="18"/>
  <c r="C741" i="18"/>
  <c r="B741" i="18"/>
  <c r="A741" i="18"/>
  <c r="T740" i="18"/>
  <c r="S740" i="18"/>
  <c r="R740" i="18"/>
  <c r="Q740" i="18"/>
  <c r="P740" i="18"/>
  <c r="O740" i="18"/>
  <c r="N740" i="18"/>
  <c r="M740" i="18"/>
  <c r="L740" i="18"/>
  <c r="K740" i="18"/>
  <c r="J740" i="18"/>
  <c r="I740" i="18"/>
  <c r="H740" i="18"/>
  <c r="G740" i="18"/>
  <c r="F740" i="18"/>
  <c r="E740" i="18"/>
  <c r="C740" i="18"/>
  <c r="B740" i="18"/>
  <c r="A740" i="18"/>
  <c r="T739" i="18"/>
  <c r="S739" i="18"/>
  <c r="R739" i="18"/>
  <c r="Q739" i="18"/>
  <c r="P739" i="18"/>
  <c r="O739" i="18"/>
  <c r="N739" i="18"/>
  <c r="M739" i="18"/>
  <c r="L739" i="18"/>
  <c r="K739" i="18"/>
  <c r="J739" i="18"/>
  <c r="I739" i="18"/>
  <c r="H739" i="18"/>
  <c r="G739" i="18"/>
  <c r="F739" i="18"/>
  <c r="E739" i="18"/>
  <c r="C739" i="18"/>
  <c r="B739" i="18"/>
  <c r="A739" i="18"/>
  <c r="T738" i="18"/>
  <c r="S738" i="18"/>
  <c r="R738" i="18"/>
  <c r="Q738" i="18"/>
  <c r="P738" i="18"/>
  <c r="O738" i="18"/>
  <c r="N738" i="18"/>
  <c r="M738" i="18"/>
  <c r="L738" i="18"/>
  <c r="K738" i="18"/>
  <c r="J738" i="18"/>
  <c r="I738" i="18"/>
  <c r="H738" i="18"/>
  <c r="G738" i="18"/>
  <c r="F738" i="18"/>
  <c r="E738" i="18"/>
  <c r="C738" i="18"/>
  <c r="B738" i="18"/>
  <c r="A738" i="18"/>
  <c r="T737" i="18"/>
  <c r="S737" i="18"/>
  <c r="R737" i="18"/>
  <c r="Q737" i="18"/>
  <c r="P737" i="18"/>
  <c r="O737" i="18"/>
  <c r="N737" i="18"/>
  <c r="M737" i="18"/>
  <c r="L737" i="18"/>
  <c r="K737" i="18"/>
  <c r="J737" i="18"/>
  <c r="I737" i="18"/>
  <c r="H737" i="18"/>
  <c r="G737" i="18"/>
  <c r="F737" i="18"/>
  <c r="E737" i="18"/>
  <c r="C737" i="18"/>
  <c r="B737" i="18"/>
  <c r="A737" i="18"/>
  <c r="T736" i="18"/>
  <c r="S736" i="18"/>
  <c r="R736" i="18"/>
  <c r="Q736" i="18"/>
  <c r="P736" i="18"/>
  <c r="O736" i="18"/>
  <c r="N736" i="18"/>
  <c r="M736" i="18"/>
  <c r="L736" i="18"/>
  <c r="K736" i="18"/>
  <c r="J736" i="18"/>
  <c r="I736" i="18"/>
  <c r="H736" i="18"/>
  <c r="G736" i="18"/>
  <c r="F736" i="18"/>
  <c r="E736" i="18"/>
  <c r="C736" i="18"/>
  <c r="B736" i="18"/>
  <c r="A736" i="18"/>
  <c r="T735" i="18"/>
  <c r="S735" i="18"/>
  <c r="R735" i="18"/>
  <c r="Q735" i="18"/>
  <c r="P735" i="18"/>
  <c r="O735" i="18"/>
  <c r="N735" i="18"/>
  <c r="M735" i="18"/>
  <c r="L735" i="18"/>
  <c r="K735" i="18"/>
  <c r="J735" i="18"/>
  <c r="I735" i="18"/>
  <c r="H735" i="18"/>
  <c r="G735" i="18"/>
  <c r="F735" i="18"/>
  <c r="E735" i="18"/>
  <c r="C735" i="18"/>
  <c r="B735" i="18"/>
  <c r="A735" i="18"/>
  <c r="T734" i="18"/>
  <c r="S734" i="18"/>
  <c r="R734" i="18"/>
  <c r="Q734" i="18"/>
  <c r="P734" i="18"/>
  <c r="O734" i="18"/>
  <c r="N734" i="18"/>
  <c r="M734" i="18"/>
  <c r="L734" i="18"/>
  <c r="K734" i="18"/>
  <c r="J734" i="18"/>
  <c r="I734" i="18"/>
  <c r="H734" i="18"/>
  <c r="G734" i="18"/>
  <c r="F734" i="18"/>
  <c r="E734" i="18"/>
  <c r="C734" i="18"/>
  <c r="B734" i="18"/>
  <c r="A734" i="18"/>
  <c r="T733" i="18"/>
  <c r="S733" i="18"/>
  <c r="R733" i="18"/>
  <c r="Q733" i="18"/>
  <c r="P733" i="18"/>
  <c r="O733" i="18"/>
  <c r="N733" i="18"/>
  <c r="M733" i="18"/>
  <c r="L733" i="18"/>
  <c r="K733" i="18"/>
  <c r="J733" i="18"/>
  <c r="I733" i="18"/>
  <c r="H733" i="18"/>
  <c r="G733" i="18"/>
  <c r="F733" i="18"/>
  <c r="E733" i="18"/>
  <c r="C733" i="18"/>
  <c r="B733" i="18"/>
  <c r="A733" i="18"/>
  <c r="T732" i="18"/>
  <c r="S732" i="18"/>
  <c r="R732" i="18"/>
  <c r="Q732" i="18"/>
  <c r="P732" i="18"/>
  <c r="O732" i="18"/>
  <c r="N732" i="18"/>
  <c r="M732" i="18"/>
  <c r="L732" i="18"/>
  <c r="K732" i="18"/>
  <c r="J732" i="18"/>
  <c r="I732" i="18"/>
  <c r="H732" i="18"/>
  <c r="G732" i="18"/>
  <c r="F732" i="18"/>
  <c r="E732" i="18"/>
  <c r="C732" i="18"/>
  <c r="B732" i="18"/>
  <c r="A732" i="18"/>
  <c r="T731" i="18"/>
  <c r="S731" i="18"/>
  <c r="R731" i="18"/>
  <c r="Q731" i="18"/>
  <c r="P731" i="18"/>
  <c r="O731" i="18"/>
  <c r="N731" i="18"/>
  <c r="M731" i="18"/>
  <c r="L731" i="18"/>
  <c r="K731" i="18"/>
  <c r="J731" i="18"/>
  <c r="I731" i="18"/>
  <c r="H731" i="18"/>
  <c r="G731" i="18"/>
  <c r="F731" i="18"/>
  <c r="E731" i="18"/>
  <c r="C731" i="18"/>
  <c r="B731" i="18"/>
  <c r="A731" i="18"/>
  <c r="T730" i="18"/>
  <c r="S730" i="18"/>
  <c r="R730" i="18"/>
  <c r="Q730" i="18"/>
  <c r="P730" i="18"/>
  <c r="O730" i="18"/>
  <c r="N730" i="18"/>
  <c r="M730" i="18"/>
  <c r="L730" i="18"/>
  <c r="K730" i="18"/>
  <c r="J730" i="18"/>
  <c r="I730" i="18"/>
  <c r="H730" i="18"/>
  <c r="G730" i="18"/>
  <c r="F730" i="18"/>
  <c r="E730" i="18"/>
  <c r="C730" i="18"/>
  <c r="B730" i="18"/>
  <c r="A730" i="18"/>
  <c r="T729" i="18"/>
  <c r="S729" i="18"/>
  <c r="R729" i="18"/>
  <c r="Q729" i="18"/>
  <c r="P729" i="18"/>
  <c r="O729" i="18"/>
  <c r="N729" i="18"/>
  <c r="M729" i="18"/>
  <c r="L729" i="18"/>
  <c r="K729" i="18"/>
  <c r="J729" i="18"/>
  <c r="I729" i="18"/>
  <c r="H729" i="18"/>
  <c r="G729" i="18"/>
  <c r="F729" i="18"/>
  <c r="E729" i="18"/>
  <c r="C729" i="18"/>
  <c r="B729" i="18"/>
  <c r="A729" i="18"/>
  <c r="T728" i="18"/>
  <c r="S728" i="18"/>
  <c r="R728" i="18"/>
  <c r="Q728" i="18"/>
  <c r="P728" i="18"/>
  <c r="O728" i="18"/>
  <c r="N728" i="18"/>
  <c r="M728" i="18"/>
  <c r="L728" i="18"/>
  <c r="K728" i="18"/>
  <c r="J728" i="18"/>
  <c r="I728" i="18"/>
  <c r="H728" i="18"/>
  <c r="G728" i="18"/>
  <c r="F728" i="18"/>
  <c r="E728" i="18"/>
  <c r="C728" i="18"/>
  <c r="B728" i="18"/>
  <c r="A728" i="18"/>
  <c r="T727" i="18"/>
  <c r="S727" i="18"/>
  <c r="R727" i="18"/>
  <c r="Q727" i="18"/>
  <c r="P727" i="18"/>
  <c r="O727" i="18"/>
  <c r="N727" i="18"/>
  <c r="M727" i="18"/>
  <c r="L727" i="18"/>
  <c r="K727" i="18"/>
  <c r="J727" i="18"/>
  <c r="I727" i="18"/>
  <c r="H727" i="18"/>
  <c r="G727" i="18"/>
  <c r="F727" i="18"/>
  <c r="E727" i="18"/>
  <c r="C727" i="18"/>
  <c r="B727" i="18"/>
  <c r="A727" i="18"/>
  <c r="T726" i="18"/>
  <c r="S726" i="18"/>
  <c r="R726" i="18"/>
  <c r="Q726" i="18"/>
  <c r="P726" i="18"/>
  <c r="O726" i="18"/>
  <c r="N726" i="18"/>
  <c r="M726" i="18"/>
  <c r="L726" i="18"/>
  <c r="K726" i="18"/>
  <c r="J726" i="18"/>
  <c r="I726" i="18"/>
  <c r="H726" i="18"/>
  <c r="G726" i="18"/>
  <c r="F726" i="18"/>
  <c r="E726" i="18"/>
  <c r="C726" i="18"/>
  <c r="B726" i="18"/>
  <c r="A726" i="18"/>
  <c r="T725" i="18"/>
  <c r="S725" i="18"/>
  <c r="R725" i="18"/>
  <c r="Q725" i="18"/>
  <c r="P725" i="18"/>
  <c r="O725" i="18"/>
  <c r="N725" i="18"/>
  <c r="M725" i="18"/>
  <c r="L725" i="18"/>
  <c r="K725" i="18"/>
  <c r="J725" i="18"/>
  <c r="I725" i="18"/>
  <c r="H725" i="18"/>
  <c r="G725" i="18"/>
  <c r="F725" i="18"/>
  <c r="E725" i="18"/>
  <c r="C725" i="18"/>
  <c r="B725" i="18"/>
  <c r="A725" i="18"/>
  <c r="T724" i="18"/>
  <c r="S724" i="18"/>
  <c r="R724" i="18"/>
  <c r="Q724" i="18"/>
  <c r="P724" i="18"/>
  <c r="O724" i="18"/>
  <c r="N724" i="18"/>
  <c r="M724" i="18"/>
  <c r="L724" i="18"/>
  <c r="K724" i="18"/>
  <c r="J724" i="18"/>
  <c r="I724" i="18"/>
  <c r="H724" i="18"/>
  <c r="G724" i="18"/>
  <c r="F724" i="18"/>
  <c r="E724" i="18"/>
  <c r="C724" i="18"/>
  <c r="B724" i="18"/>
  <c r="A724" i="18"/>
  <c r="T723" i="18"/>
  <c r="S723" i="18"/>
  <c r="R723" i="18"/>
  <c r="Q723" i="18"/>
  <c r="P723" i="18"/>
  <c r="O723" i="18"/>
  <c r="N723" i="18"/>
  <c r="M723" i="18"/>
  <c r="L723" i="18"/>
  <c r="K723" i="18"/>
  <c r="J723" i="18"/>
  <c r="I723" i="18"/>
  <c r="H723" i="18"/>
  <c r="G723" i="18"/>
  <c r="F723" i="18"/>
  <c r="E723" i="18"/>
  <c r="C723" i="18"/>
  <c r="B723" i="18"/>
  <c r="A723" i="18"/>
  <c r="T722" i="18"/>
  <c r="S722" i="18"/>
  <c r="R722" i="18"/>
  <c r="Q722" i="18"/>
  <c r="P722" i="18"/>
  <c r="O722" i="18"/>
  <c r="N722" i="18"/>
  <c r="M722" i="18"/>
  <c r="L722" i="18"/>
  <c r="K722" i="18"/>
  <c r="J722" i="18"/>
  <c r="I722" i="18"/>
  <c r="H722" i="18"/>
  <c r="G722" i="18"/>
  <c r="F722" i="18"/>
  <c r="E722" i="18"/>
  <c r="C722" i="18"/>
  <c r="B722" i="18"/>
  <c r="A722" i="18"/>
  <c r="T721" i="18"/>
  <c r="S721" i="18"/>
  <c r="R721" i="18"/>
  <c r="Q721" i="18"/>
  <c r="P721" i="18"/>
  <c r="O721" i="18"/>
  <c r="N721" i="18"/>
  <c r="M721" i="18"/>
  <c r="L721" i="18"/>
  <c r="K721" i="18"/>
  <c r="J721" i="18"/>
  <c r="I721" i="18"/>
  <c r="H721" i="18"/>
  <c r="G721" i="18"/>
  <c r="F721" i="18"/>
  <c r="E721" i="18"/>
  <c r="C721" i="18"/>
  <c r="B721" i="18"/>
  <c r="A721" i="18"/>
  <c r="T720" i="18"/>
  <c r="S720" i="18"/>
  <c r="R720" i="18"/>
  <c r="Q720" i="18"/>
  <c r="P720" i="18"/>
  <c r="O720" i="18"/>
  <c r="N720" i="18"/>
  <c r="M720" i="18"/>
  <c r="L720" i="18"/>
  <c r="K720" i="18"/>
  <c r="J720" i="18"/>
  <c r="I720" i="18"/>
  <c r="H720" i="18"/>
  <c r="G720" i="18"/>
  <c r="F720" i="18"/>
  <c r="E720" i="18"/>
  <c r="C720" i="18"/>
  <c r="B720" i="18"/>
  <c r="A720" i="18"/>
  <c r="T719" i="18"/>
  <c r="S719" i="18"/>
  <c r="R719" i="18"/>
  <c r="Q719" i="18"/>
  <c r="P719" i="18"/>
  <c r="O719" i="18"/>
  <c r="N719" i="18"/>
  <c r="M719" i="18"/>
  <c r="L719" i="18"/>
  <c r="K719" i="18"/>
  <c r="J719" i="18"/>
  <c r="I719" i="18"/>
  <c r="H719" i="18"/>
  <c r="G719" i="18"/>
  <c r="F719" i="18"/>
  <c r="E719" i="18"/>
  <c r="C719" i="18"/>
  <c r="B719" i="18"/>
  <c r="A719" i="18"/>
  <c r="T718" i="18"/>
  <c r="S718" i="18"/>
  <c r="R718" i="18"/>
  <c r="Q718" i="18"/>
  <c r="P718" i="18"/>
  <c r="O718" i="18"/>
  <c r="N718" i="18"/>
  <c r="M718" i="18"/>
  <c r="L718" i="18"/>
  <c r="K718" i="18"/>
  <c r="J718" i="18"/>
  <c r="I718" i="18"/>
  <c r="H718" i="18"/>
  <c r="G718" i="18"/>
  <c r="F718" i="18"/>
  <c r="E718" i="18"/>
  <c r="C718" i="18"/>
  <c r="B718" i="18"/>
  <c r="A718" i="18"/>
  <c r="T717" i="18"/>
  <c r="S717" i="18"/>
  <c r="R717" i="18"/>
  <c r="Q717" i="18"/>
  <c r="P717" i="18"/>
  <c r="O717" i="18"/>
  <c r="N717" i="18"/>
  <c r="M717" i="18"/>
  <c r="L717" i="18"/>
  <c r="K717" i="18"/>
  <c r="J717" i="18"/>
  <c r="I717" i="18"/>
  <c r="H717" i="18"/>
  <c r="G717" i="18"/>
  <c r="F717" i="18"/>
  <c r="E717" i="18"/>
  <c r="C717" i="18"/>
  <c r="B717" i="18"/>
  <c r="A717" i="18"/>
  <c r="T716" i="18"/>
  <c r="S716" i="18"/>
  <c r="R716" i="18"/>
  <c r="Q716" i="18"/>
  <c r="P716" i="18"/>
  <c r="O716" i="18"/>
  <c r="N716" i="18"/>
  <c r="M716" i="18"/>
  <c r="L716" i="18"/>
  <c r="K716" i="18"/>
  <c r="J716" i="18"/>
  <c r="I716" i="18"/>
  <c r="H716" i="18"/>
  <c r="G716" i="18"/>
  <c r="F716" i="18"/>
  <c r="E716" i="18"/>
  <c r="C716" i="18"/>
  <c r="B716" i="18"/>
  <c r="A716" i="18"/>
  <c r="T715" i="18"/>
  <c r="S715" i="18"/>
  <c r="R715" i="18"/>
  <c r="Q715" i="18"/>
  <c r="P715" i="18"/>
  <c r="O715" i="18"/>
  <c r="N715" i="18"/>
  <c r="M715" i="18"/>
  <c r="L715" i="18"/>
  <c r="K715" i="18"/>
  <c r="J715" i="18"/>
  <c r="I715" i="18"/>
  <c r="H715" i="18"/>
  <c r="G715" i="18"/>
  <c r="F715" i="18"/>
  <c r="E715" i="18"/>
  <c r="C715" i="18"/>
  <c r="B715" i="18"/>
  <c r="A715" i="18"/>
  <c r="T714" i="18"/>
  <c r="S714" i="18"/>
  <c r="R714" i="18"/>
  <c r="Q714" i="18"/>
  <c r="P714" i="18"/>
  <c r="O714" i="18"/>
  <c r="N714" i="18"/>
  <c r="M714" i="18"/>
  <c r="L714" i="18"/>
  <c r="K714" i="18"/>
  <c r="J714" i="18"/>
  <c r="I714" i="18"/>
  <c r="H714" i="18"/>
  <c r="G714" i="18"/>
  <c r="F714" i="18"/>
  <c r="E714" i="18"/>
  <c r="C714" i="18"/>
  <c r="B714" i="18"/>
  <c r="A714" i="18"/>
  <c r="T713" i="18"/>
  <c r="S713" i="18"/>
  <c r="R713" i="18"/>
  <c r="Q713" i="18"/>
  <c r="P713" i="18"/>
  <c r="O713" i="18"/>
  <c r="N713" i="18"/>
  <c r="M713" i="18"/>
  <c r="L713" i="18"/>
  <c r="K713" i="18"/>
  <c r="J713" i="18"/>
  <c r="I713" i="18"/>
  <c r="H713" i="18"/>
  <c r="G713" i="18"/>
  <c r="F713" i="18"/>
  <c r="E713" i="18"/>
  <c r="C713" i="18"/>
  <c r="B713" i="18"/>
  <c r="A713" i="18"/>
  <c r="T712" i="18"/>
  <c r="S712" i="18"/>
  <c r="R712" i="18"/>
  <c r="Q712" i="18"/>
  <c r="P712" i="18"/>
  <c r="O712" i="18"/>
  <c r="N712" i="18"/>
  <c r="M712" i="18"/>
  <c r="L712" i="18"/>
  <c r="K712" i="18"/>
  <c r="J712" i="18"/>
  <c r="I712" i="18"/>
  <c r="H712" i="18"/>
  <c r="G712" i="18"/>
  <c r="F712" i="18"/>
  <c r="E712" i="18"/>
  <c r="C712" i="18"/>
  <c r="B712" i="18"/>
  <c r="A712" i="18"/>
  <c r="T711" i="18"/>
  <c r="S711" i="18"/>
  <c r="R711" i="18"/>
  <c r="Q711" i="18"/>
  <c r="P711" i="18"/>
  <c r="O711" i="18"/>
  <c r="N711" i="18"/>
  <c r="M711" i="18"/>
  <c r="L711" i="18"/>
  <c r="K711" i="18"/>
  <c r="J711" i="18"/>
  <c r="I711" i="18"/>
  <c r="H711" i="18"/>
  <c r="G711" i="18"/>
  <c r="F711" i="18"/>
  <c r="E711" i="18"/>
  <c r="C711" i="18"/>
  <c r="B711" i="18"/>
  <c r="A711" i="18"/>
  <c r="T710" i="18"/>
  <c r="S710" i="18"/>
  <c r="R710" i="18"/>
  <c r="Q710" i="18"/>
  <c r="P710" i="18"/>
  <c r="O710" i="18"/>
  <c r="N710" i="18"/>
  <c r="M710" i="18"/>
  <c r="L710" i="18"/>
  <c r="K710" i="18"/>
  <c r="J710" i="18"/>
  <c r="I710" i="18"/>
  <c r="H710" i="18"/>
  <c r="G710" i="18"/>
  <c r="F710" i="18"/>
  <c r="E710" i="18"/>
  <c r="C710" i="18"/>
  <c r="B710" i="18"/>
  <c r="A710" i="18"/>
  <c r="T709" i="18"/>
  <c r="S709" i="18"/>
  <c r="R709" i="18"/>
  <c r="Q709" i="18"/>
  <c r="P709" i="18"/>
  <c r="O709" i="18"/>
  <c r="N709" i="18"/>
  <c r="M709" i="18"/>
  <c r="L709" i="18"/>
  <c r="K709" i="18"/>
  <c r="J709" i="18"/>
  <c r="I709" i="18"/>
  <c r="H709" i="18"/>
  <c r="G709" i="18"/>
  <c r="F709" i="18"/>
  <c r="E709" i="18"/>
  <c r="C709" i="18"/>
  <c r="B709" i="18"/>
  <c r="A709" i="18"/>
  <c r="T708" i="18"/>
  <c r="S708" i="18"/>
  <c r="R708" i="18"/>
  <c r="Q708" i="18"/>
  <c r="P708" i="18"/>
  <c r="O708" i="18"/>
  <c r="N708" i="18"/>
  <c r="M708" i="18"/>
  <c r="L708" i="18"/>
  <c r="K708" i="18"/>
  <c r="J708" i="18"/>
  <c r="I708" i="18"/>
  <c r="H708" i="18"/>
  <c r="G708" i="18"/>
  <c r="F708" i="18"/>
  <c r="E708" i="18"/>
  <c r="C708" i="18"/>
  <c r="B708" i="18"/>
  <c r="A708" i="18"/>
  <c r="T707" i="18"/>
  <c r="S707" i="18"/>
  <c r="R707" i="18"/>
  <c r="Q707" i="18"/>
  <c r="P707" i="18"/>
  <c r="O707" i="18"/>
  <c r="N707" i="18"/>
  <c r="M707" i="18"/>
  <c r="L707" i="18"/>
  <c r="K707" i="18"/>
  <c r="J707" i="18"/>
  <c r="I707" i="18"/>
  <c r="H707" i="18"/>
  <c r="G707" i="18"/>
  <c r="F707" i="18"/>
  <c r="E707" i="18"/>
  <c r="C707" i="18"/>
  <c r="B707" i="18"/>
  <c r="A707" i="18"/>
  <c r="T706" i="18"/>
  <c r="S706" i="18"/>
  <c r="R706" i="18"/>
  <c r="Q706" i="18"/>
  <c r="P706" i="18"/>
  <c r="O706" i="18"/>
  <c r="N706" i="18"/>
  <c r="M706" i="18"/>
  <c r="L706" i="18"/>
  <c r="K706" i="18"/>
  <c r="J706" i="18"/>
  <c r="I706" i="18"/>
  <c r="H706" i="18"/>
  <c r="G706" i="18"/>
  <c r="F706" i="18"/>
  <c r="E706" i="18"/>
  <c r="C706" i="18"/>
  <c r="B706" i="18"/>
  <c r="A706" i="18"/>
  <c r="T705" i="18"/>
  <c r="S705" i="18"/>
  <c r="R705" i="18"/>
  <c r="Q705" i="18"/>
  <c r="P705" i="18"/>
  <c r="O705" i="18"/>
  <c r="N705" i="18"/>
  <c r="M705" i="18"/>
  <c r="L705" i="18"/>
  <c r="K705" i="18"/>
  <c r="J705" i="18"/>
  <c r="I705" i="18"/>
  <c r="H705" i="18"/>
  <c r="G705" i="18"/>
  <c r="F705" i="18"/>
  <c r="E705" i="18"/>
  <c r="C705" i="18"/>
  <c r="B705" i="18"/>
  <c r="A705" i="18"/>
  <c r="T704" i="18"/>
  <c r="S704" i="18"/>
  <c r="R704" i="18"/>
  <c r="Q704" i="18"/>
  <c r="P704" i="18"/>
  <c r="O704" i="18"/>
  <c r="N704" i="18"/>
  <c r="M704" i="18"/>
  <c r="L704" i="18"/>
  <c r="K704" i="18"/>
  <c r="J704" i="18"/>
  <c r="I704" i="18"/>
  <c r="H704" i="18"/>
  <c r="G704" i="18"/>
  <c r="F704" i="18"/>
  <c r="E704" i="18"/>
  <c r="C704" i="18"/>
  <c r="B704" i="18"/>
  <c r="A704" i="18"/>
  <c r="T703" i="18"/>
  <c r="S703" i="18"/>
  <c r="R703" i="18"/>
  <c r="Q703" i="18"/>
  <c r="P703" i="18"/>
  <c r="O703" i="18"/>
  <c r="N703" i="18"/>
  <c r="M703" i="18"/>
  <c r="L703" i="18"/>
  <c r="K703" i="18"/>
  <c r="J703" i="18"/>
  <c r="I703" i="18"/>
  <c r="H703" i="18"/>
  <c r="G703" i="18"/>
  <c r="F703" i="18"/>
  <c r="E703" i="18"/>
  <c r="C703" i="18"/>
  <c r="B703" i="18"/>
  <c r="A703" i="18"/>
  <c r="T702" i="18"/>
  <c r="S702" i="18"/>
  <c r="R702" i="18"/>
  <c r="Q702" i="18"/>
  <c r="P702" i="18"/>
  <c r="O702" i="18"/>
  <c r="N702" i="18"/>
  <c r="M702" i="18"/>
  <c r="L702" i="18"/>
  <c r="K702" i="18"/>
  <c r="J702" i="18"/>
  <c r="I702" i="18"/>
  <c r="H702" i="18"/>
  <c r="G702" i="18"/>
  <c r="F702" i="18"/>
  <c r="E702" i="18"/>
  <c r="C702" i="18"/>
  <c r="B702" i="18"/>
  <c r="A702" i="18"/>
  <c r="T701" i="18"/>
  <c r="S701" i="18"/>
  <c r="R701" i="18"/>
  <c r="Q701" i="18"/>
  <c r="P701" i="18"/>
  <c r="O701" i="18"/>
  <c r="N701" i="18"/>
  <c r="M701" i="18"/>
  <c r="L701" i="18"/>
  <c r="K701" i="18"/>
  <c r="J701" i="18"/>
  <c r="I701" i="18"/>
  <c r="H701" i="18"/>
  <c r="G701" i="18"/>
  <c r="F701" i="18"/>
  <c r="E701" i="18"/>
  <c r="C701" i="18"/>
  <c r="B701" i="18"/>
  <c r="A701" i="18"/>
  <c r="T700" i="18"/>
  <c r="S700" i="18"/>
  <c r="R700" i="18"/>
  <c r="Q700" i="18"/>
  <c r="P700" i="18"/>
  <c r="O700" i="18"/>
  <c r="N700" i="18"/>
  <c r="M700" i="18"/>
  <c r="L700" i="18"/>
  <c r="K700" i="18"/>
  <c r="J700" i="18"/>
  <c r="I700" i="18"/>
  <c r="H700" i="18"/>
  <c r="G700" i="18"/>
  <c r="F700" i="18"/>
  <c r="E700" i="18"/>
  <c r="C700" i="18"/>
  <c r="B700" i="18"/>
  <c r="A700" i="18"/>
  <c r="T699" i="18"/>
  <c r="S699" i="18"/>
  <c r="R699" i="18"/>
  <c r="Q699" i="18"/>
  <c r="P699" i="18"/>
  <c r="O699" i="18"/>
  <c r="N699" i="18"/>
  <c r="M699" i="18"/>
  <c r="L699" i="18"/>
  <c r="K699" i="18"/>
  <c r="J699" i="18"/>
  <c r="I699" i="18"/>
  <c r="H699" i="18"/>
  <c r="G699" i="18"/>
  <c r="F699" i="18"/>
  <c r="E699" i="18"/>
  <c r="C699" i="18"/>
  <c r="B699" i="18"/>
  <c r="A699" i="18"/>
  <c r="T698" i="18"/>
  <c r="S698" i="18"/>
  <c r="R698" i="18"/>
  <c r="Q698" i="18"/>
  <c r="P698" i="18"/>
  <c r="O698" i="18"/>
  <c r="N698" i="18"/>
  <c r="M698" i="18"/>
  <c r="L698" i="18"/>
  <c r="K698" i="18"/>
  <c r="J698" i="18"/>
  <c r="I698" i="18"/>
  <c r="H698" i="18"/>
  <c r="G698" i="18"/>
  <c r="F698" i="18"/>
  <c r="E698" i="18"/>
  <c r="C698" i="18"/>
  <c r="B698" i="18"/>
  <c r="A698" i="18"/>
  <c r="T697" i="18"/>
  <c r="S697" i="18"/>
  <c r="R697" i="18"/>
  <c r="Q697" i="18"/>
  <c r="P697" i="18"/>
  <c r="O697" i="18"/>
  <c r="N697" i="18"/>
  <c r="M697" i="18"/>
  <c r="L697" i="18"/>
  <c r="K697" i="18"/>
  <c r="J697" i="18"/>
  <c r="I697" i="18"/>
  <c r="H697" i="18"/>
  <c r="G697" i="18"/>
  <c r="F697" i="18"/>
  <c r="E697" i="18"/>
  <c r="C697" i="18"/>
  <c r="B697" i="18"/>
  <c r="A697" i="18"/>
  <c r="T696" i="18"/>
  <c r="S696" i="18"/>
  <c r="R696" i="18"/>
  <c r="Q696" i="18"/>
  <c r="P696" i="18"/>
  <c r="O696" i="18"/>
  <c r="N696" i="18"/>
  <c r="M696" i="18"/>
  <c r="L696" i="18"/>
  <c r="K696" i="18"/>
  <c r="J696" i="18"/>
  <c r="I696" i="18"/>
  <c r="H696" i="18"/>
  <c r="G696" i="18"/>
  <c r="F696" i="18"/>
  <c r="E696" i="18"/>
  <c r="C696" i="18"/>
  <c r="B696" i="18"/>
  <c r="A696" i="18"/>
  <c r="T695" i="18"/>
  <c r="S695" i="18"/>
  <c r="R695" i="18"/>
  <c r="Q695" i="18"/>
  <c r="P695" i="18"/>
  <c r="O695" i="18"/>
  <c r="N695" i="18"/>
  <c r="M695" i="18"/>
  <c r="L695" i="18"/>
  <c r="K695" i="18"/>
  <c r="J695" i="18"/>
  <c r="I695" i="18"/>
  <c r="H695" i="18"/>
  <c r="G695" i="18"/>
  <c r="F695" i="18"/>
  <c r="E695" i="18"/>
  <c r="C695" i="18"/>
  <c r="B695" i="18"/>
  <c r="A695" i="18"/>
  <c r="T694" i="18"/>
  <c r="S694" i="18"/>
  <c r="R694" i="18"/>
  <c r="Q694" i="18"/>
  <c r="P694" i="18"/>
  <c r="O694" i="18"/>
  <c r="N694" i="18"/>
  <c r="M694" i="18"/>
  <c r="L694" i="18"/>
  <c r="K694" i="18"/>
  <c r="J694" i="18"/>
  <c r="I694" i="18"/>
  <c r="H694" i="18"/>
  <c r="G694" i="18"/>
  <c r="F694" i="18"/>
  <c r="E694" i="18"/>
  <c r="C694" i="18"/>
  <c r="B694" i="18"/>
  <c r="A694" i="18"/>
  <c r="T693" i="18"/>
  <c r="S693" i="18"/>
  <c r="R693" i="18"/>
  <c r="Q693" i="18"/>
  <c r="P693" i="18"/>
  <c r="O693" i="18"/>
  <c r="N693" i="18"/>
  <c r="M693" i="18"/>
  <c r="L693" i="18"/>
  <c r="K693" i="18"/>
  <c r="J693" i="18"/>
  <c r="I693" i="18"/>
  <c r="H693" i="18"/>
  <c r="G693" i="18"/>
  <c r="F693" i="18"/>
  <c r="E693" i="18"/>
  <c r="C693" i="18"/>
  <c r="B693" i="18"/>
  <c r="A693" i="18"/>
  <c r="T692" i="18"/>
  <c r="S692" i="18"/>
  <c r="R692" i="18"/>
  <c r="Q692" i="18"/>
  <c r="P692" i="18"/>
  <c r="O692" i="18"/>
  <c r="N692" i="18"/>
  <c r="M692" i="18"/>
  <c r="L692" i="18"/>
  <c r="K692" i="18"/>
  <c r="J692" i="18"/>
  <c r="I692" i="18"/>
  <c r="H692" i="18"/>
  <c r="G692" i="18"/>
  <c r="F692" i="18"/>
  <c r="E692" i="18"/>
  <c r="C692" i="18"/>
  <c r="B692" i="18"/>
  <c r="A692" i="18"/>
  <c r="T691" i="18"/>
  <c r="S691" i="18"/>
  <c r="R691" i="18"/>
  <c r="Q691" i="18"/>
  <c r="P691" i="18"/>
  <c r="O691" i="18"/>
  <c r="N691" i="18"/>
  <c r="M691" i="18"/>
  <c r="L691" i="18"/>
  <c r="K691" i="18"/>
  <c r="J691" i="18"/>
  <c r="I691" i="18"/>
  <c r="H691" i="18"/>
  <c r="G691" i="18"/>
  <c r="F691" i="18"/>
  <c r="E691" i="18"/>
  <c r="C691" i="18"/>
  <c r="B691" i="18"/>
  <c r="A691" i="18"/>
  <c r="T690" i="18"/>
  <c r="S690" i="18"/>
  <c r="R690" i="18"/>
  <c r="Q690" i="18"/>
  <c r="P690" i="18"/>
  <c r="O690" i="18"/>
  <c r="N690" i="18"/>
  <c r="M690" i="18"/>
  <c r="L690" i="18"/>
  <c r="K690" i="18"/>
  <c r="J690" i="18"/>
  <c r="I690" i="18"/>
  <c r="H690" i="18"/>
  <c r="G690" i="18"/>
  <c r="F690" i="18"/>
  <c r="E690" i="18"/>
  <c r="C690" i="18"/>
  <c r="B690" i="18"/>
  <c r="A690" i="18"/>
  <c r="T689" i="18"/>
  <c r="S689" i="18"/>
  <c r="R689" i="18"/>
  <c r="Q689" i="18"/>
  <c r="P689" i="18"/>
  <c r="O689" i="18"/>
  <c r="N689" i="18"/>
  <c r="M689" i="18"/>
  <c r="L689" i="18"/>
  <c r="K689" i="18"/>
  <c r="J689" i="18"/>
  <c r="I689" i="18"/>
  <c r="H689" i="18"/>
  <c r="G689" i="18"/>
  <c r="F689" i="18"/>
  <c r="E689" i="18"/>
  <c r="C689" i="18"/>
  <c r="B689" i="18"/>
  <c r="A689" i="18"/>
  <c r="T688" i="18"/>
  <c r="S688" i="18"/>
  <c r="R688" i="18"/>
  <c r="Q688" i="18"/>
  <c r="P688" i="18"/>
  <c r="O688" i="18"/>
  <c r="N688" i="18"/>
  <c r="M688" i="18"/>
  <c r="L688" i="18"/>
  <c r="K688" i="18"/>
  <c r="J688" i="18"/>
  <c r="I688" i="18"/>
  <c r="H688" i="18"/>
  <c r="G688" i="18"/>
  <c r="F688" i="18"/>
  <c r="E688" i="18"/>
  <c r="C688" i="18"/>
  <c r="B688" i="18"/>
  <c r="A688" i="18"/>
  <c r="T687" i="18"/>
  <c r="S687" i="18"/>
  <c r="R687" i="18"/>
  <c r="Q687" i="18"/>
  <c r="P687" i="18"/>
  <c r="O687" i="18"/>
  <c r="N687" i="18"/>
  <c r="M687" i="18"/>
  <c r="L687" i="18"/>
  <c r="K687" i="18"/>
  <c r="J687" i="18"/>
  <c r="I687" i="18"/>
  <c r="H687" i="18"/>
  <c r="G687" i="18"/>
  <c r="F687" i="18"/>
  <c r="E687" i="18"/>
  <c r="C687" i="18"/>
  <c r="B687" i="18"/>
  <c r="A687" i="18"/>
  <c r="T686" i="18"/>
  <c r="S686" i="18"/>
  <c r="R686" i="18"/>
  <c r="Q686" i="18"/>
  <c r="P686" i="18"/>
  <c r="O686" i="18"/>
  <c r="N686" i="18"/>
  <c r="M686" i="18"/>
  <c r="L686" i="18"/>
  <c r="K686" i="18"/>
  <c r="J686" i="18"/>
  <c r="I686" i="18"/>
  <c r="H686" i="18"/>
  <c r="G686" i="18"/>
  <c r="F686" i="18"/>
  <c r="E686" i="18"/>
  <c r="C686" i="18"/>
  <c r="B686" i="18"/>
  <c r="A686" i="18"/>
  <c r="T685" i="18"/>
  <c r="S685" i="18"/>
  <c r="R685" i="18"/>
  <c r="Q685" i="18"/>
  <c r="P685" i="18"/>
  <c r="O685" i="18"/>
  <c r="N685" i="18"/>
  <c r="M685" i="18"/>
  <c r="L685" i="18"/>
  <c r="K685" i="18"/>
  <c r="J685" i="18"/>
  <c r="I685" i="18"/>
  <c r="H685" i="18"/>
  <c r="G685" i="18"/>
  <c r="F685" i="18"/>
  <c r="E685" i="18"/>
  <c r="C685" i="18"/>
  <c r="B685" i="18"/>
  <c r="A685" i="18"/>
  <c r="T684" i="18"/>
  <c r="S684" i="18"/>
  <c r="R684" i="18"/>
  <c r="Q684" i="18"/>
  <c r="P684" i="18"/>
  <c r="O684" i="18"/>
  <c r="N684" i="18"/>
  <c r="M684" i="18"/>
  <c r="L684" i="18"/>
  <c r="K684" i="18"/>
  <c r="J684" i="18"/>
  <c r="I684" i="18"/>
  <c r="H684" i="18"/>
  <c r="G684" i="18"/>
  <c r="F684" i="18"/>
  <c r="E684" i="18"/>
  <c r="C684" i="18"/>
  <c r="B684" i="18"/>
  <c r="A684" i="18"/>
  <c r="T683" i="18"/>
  <c r="S683" i="18"/>
  <c r="R683" i="18"/>
  <c r="Q683" i="18"/>
  <c r="P683" i="18"/>
  <c r="O683" i="18"/>
  <c r="N683" i="18"/>
  <c r="M683" i="18"/>
  <c r="L683" i="18"/>
  <c r="K683" i="18"/>
  <c r="J683" i="18"/>
  <c r="I683" i="18"/>
  <c r="H683" i="18"/>
  <c r="G683" i="18"/>
  <c r="F683" i="18"/>
  <c r="E683" i="18"/>
  <c r="C683" i="18"/>
  <c r="B683" i="18"/>
  <c r="A683" i="18"/>
  <c r="T682" i="18"/>
  <c r="S682" i="18"/>
  <c r="R682" i="18"/>
  <c r="Q682" i="18"/>
  <c r="P682" i="18"/>
  <c r="O682" i="18"/>
  <c r="N682" i="18"/>
  <c r="M682" i="18"/>
  <c r="L682" i="18"/>
  <c r="K682" i="18"/>
  <c r="J682" i="18"/>
  <c r="I682" i="18"/>
  <c r="H682" i="18"/>
  <c r="G682" i="18"/>
  <c r="F682" i="18"/>
  <c r="E682" i="18"/>
  <c r="C682" i="18"/>
  <c r="B682" i="18"/>
  <c r="A682" i="18"/>
  <c r="T681" i="18"/>
  <c r="S681" i="18"/>
  <c r="R681" i="18"/>
  <c r="Q681" i="18"/>
  <c r="P681" i="18"/>
  <c r="O681" i="18"/>
  <c r="N681" i="18"/>
  <c r="M681" i="18"/>
  <c r="L681" i="18"/>
  <c r="K681" i="18"/>
  <c r="J681" i="18"/>
  <c r="I681" i="18"/>
  <c r="H681" i="18"/>
  <c r="G681" i="18"/>
  <c r="F681" i="18"/>
  <c r="E681" i="18"/>
  <c r="C681" i="18"/>
  <c r="B681" i="18"/>
  <c r="A681" i="18"/>
  <c r="T680" i="18"/>
  <c r="S680" i="18"/>
  <c r="R680" i="18"/>
  <c r="Q680" i="18"/>
  <c r="P680" i="18"/>
  <c r="O680" i="18"/>
  <c r="N680" i="18"/>
  <c r="M680" i="18"/>
  <c r="L680" i="18"/>
  <c r="K680" i="18"/>
  <c r="J680" i="18"/>
  <c r="I680" i="18"/>
  <c r="H680" i="18"/>
  <c r="G680" i="18"/>
  <c r="F680" i="18"/>
  <c r="E680" i="18"/>
  <c r="C680" i="18"/>
  <c r="B680" i="18"/>
  <c r="A680" i="18"/>
  <c r="T679" i="18"/>
  <c r="S679" i="18"/>
  <c r="R679" i="18"/>
  <c r="Q679" i="18"/>
  <c r="P679" i="18"/>
  <c r="O679" i="18"/>
  <c r="N679" i="18"/>
  <c r="M679" i="18"/>
  <c r="L679" i="18"/>
  <c r="K679" i="18"/>
  <c r="J679" i="18"/>
  <c r="I679" i="18"/>
  <c r="H679" i="18"/>
  <c r="G679" i="18"/>
  <c r="F679" i="18"/>
  <c r="E679" i="18"/>
  <c r="C679" i="18"/>
  <c r="B679" i="18"/>
  <c r="A679" i="18"/>
  <c r="T678" i="18"/>
  <c r="S678" i="18"/>
  <c r="R678" i="18"/>
  <c r="Q678" i="18"/>
  <c r="P678" i="18"/>
  <c r="O678" i="18"/>
  <c r="N678" i="18"/>
  <c r="M678" i="18"/>
  <c r="L678" i="18"/>
  <c r="K678" i="18"/>
  <c r="J678" i="18"/>
  <c r="I678" i="18"/>
  <c r="H678" i="18"/>
  <c r="G678" i="18"/>
  <c r="F678" i="18"/>
  <c r="E678" i="18"/>
  <c r="C678" i="18"/>
  <c r="B678" i="18"/>
  <c r="A678" i="18"/>
  <c r="T677" i="18"/>
  <c r="S677" i="18"/>
  <c r="R677" i="18"/>
  <c r="Q677" i="18"/>
  <c r="P677" i="18"/>
  <c r="O677" i="18"/>
  <c r="N677" i="18"/>
  <c r="M677" i="18"/>
  <c r="L677" i="18"/>
  <c r="K677" i="18"/>
  <c r="J677" i="18"/>
  <c r="I677" i="18"/>
  <c r="H677" i="18"/>
  <c r="G677" i="18"/>
  <c r="F677" i="18"/>
  <c r="E677" i="18"/>
  <c r="C677" i="18"/>
  <c r="B677" i="18"/>
  <c r="A677" i="18"/>
  <c r="T676" i="18"/>
  <c r="S676" i="18"/>
  <c r="R676" i="18"/>
  <c r="Q676" i="18"/>
  <c r="P676" i="18"/>
  <c r="O676" i="18"/>
  <c r="N676" i="18"/>
  <c r="M676" i="18"/>
  <c r="L676" i="18"/>
  <c r="K676" i="18"/>
  <c r="J676" i="18"/>
  <c r="I676" i="18"/>
  <c r="H676" i="18"/>
  <c r="G676" i="18"/>
  <c r="F676" i="18"/>
  <c r="E676" i="18"/>
  <c r="C676" i="18"/>
  <c r="B676" i="18"/>
  <c r="A676" i="18"/>
  <c r="T675" i="18"/>
  <c r="S675" i="18"/>
  <c r="R675" i="18"/>
  <c r="Q675" i="18"/>
  <c r="P675" i="18"/>
  <c r="O675" i="18"/>
  <c r="N675" i="18"/>
  <c r="M675" i="18"/>
  <c r="L675" i="18"/>
  <c r="K675" i="18"/>
  <c r="J675" i="18"/>
  <c r="I675" i="18"/>
  <c r="H675" i="18"/>
  <c r="G675" i="18"/>
  <c r="F675" i="18"/>
  <c r="E675" i="18"/>
  <c r="C675" i="18"/>
  <c r="B675" i="18"/>
  <c r="A675" i="18"/>
  <c r="T674" i="18"/>
  <c r="S674" i="18"/>
  <c r="R674" i="18"/>
  <c r="Q674" i="18"/>
  <c r="P674" i="18"/>
  <c r="O674" i="18"/>
  <c r="N674" i="18"/>
  <c r="M674" i="18"/>
  <c r="L674" i="18"/>
  <c r="K674" i="18"/>
  <c r="J674" i="18"/>
  <c r="I674" i="18"/>
  <c r="H674" i="18"/>
  <c r="G674" i="18"/>
  <c r="F674" i="18"/>
  <c r="E674" i="18"/>
  <c r="C674" i="18"/>
  <c r="B674" i="18"/>
  <c r="A674" i="18"/>
  <c r="T673" i="18"/>
  <c r="S673" i="18"/>
  <c r="R673" i="18"/>
  <c r="Q673" i="18"/>
  <c r="P673" i="18"/>
  <c r="O673" i="18"/>
  <c r="N673" i="18"/>
  <c r="M673" i="18"/>
  <c r="L673" i="18"/>
  <c r="K673" i="18"/>
  <c r="J673" i="18"/>
  <c r="I673" i="18"/>
  <c r="H673" i="18"/>
  <c r="G673" i="18"/>
  <c r="F673" i="18"/>
  <c r="E673" i="18"/>
  <c r="C673" i="18"/>
  <c r="B673" i="18"/>
  <c r="A673" i="18"/>
  <c r="T672" i="18"/>
  <c r="S672" i="18"/>
  <c r="R672" i="18"/>
  <c r="Q672" i="18"/>
  <c r="P672" i="18"/>
  <c r="O672" i="18"/>
  <c r="N672" i="18"/>
  <c r="M672" i="18"/>
  <c r="L672" i="18"/>
  <c r="K672" i="18"/>
  <c r="J672" i="18"/>
  <c r="I672" i="18"/>
  <c r="H672" i="18"/>
  <c r="G672" i="18"/>
  <c r="F672" i="18"/>
  <c r="E672" i="18"/>
  <c r="C672" i="18"/>
  <c r="B672" i="18"/>
  <c r="A672" i="18"/>
  <c r="T671" i="18"/>
  <c r="S671" i="18"/>
  <c r="R671" i="18"/>
  <c r="Q671" i="18"/>
  <c r="P671" i="18"/>
  <c r="O671" i="18"/>
  <c r="N671" i="18"/>
  <c r="M671" i="18"/>
  <c r="L671" i="18"/>
  <c r="K671" i="18"/>
  <c r="J671" i="18"/>
  <c r="I671" i="18"/>
  <c r="H671" i="18"/>
  <c r="G671" i="18"/>
  <c r="F671" i="18"/>
  <c r="E671" i="18"/>
  <c r="C671" i="18"/>
  <c r="B671" i="18"/>
  <c r="A671" i="18"/>
  <c r="T670" i="18"/>
  <c r="S670" i="18"/>
  <c r="R670" i="18"/>
  <c r="Q670" i="18"/>
  <c r="P670" i="18"/>
  <c r="O670" i="18"/>
  <c r="N670" i="18"/>
  <c r="M670" i="18"/>
  <c r="L670" i="18"/>
  <c r="K670" i="18"/>
  <c r="J670" i="18"/>
  <c r="I670" i="18"/>
  <c r="H670" i="18"/>
  <c r="G670" i="18"/>
  <c r="F670" i="18"/>
  <c r="E670" i="18"/>
  <c r="C670" i="18"/>
  <c r="B670" i="18"/>
  <c r="A670" i="18"/>
  <c r="T669" i="18"/>
  <c r="S669" i="18"/>
  <c r="R669" i="18"/>
  <c r="Q669" i="18"/>
  <c r="P669" i="18"/>
  <c r="O669" i="18"/>
  <c r="N669" i="18"/>
  <c r="M669" i="18"/>
  <c r="L669" i="18"/>
  <c r="K669" i="18"/>
  <c r="J669" i="18"/>
  <c r="I669" i="18"/>
  <c r="H669" i="18"/>
  <c r="G669" i="18"/>
  <c r="F669" i="18"/>
  <c r="E669" i="18"/>
  <c r="C669" i="18"/>
  <c r="B669" i="18"/>
  <c r="A669" i="18"/>
  <c r="T668" i="18"/>
  <c r="S668" i="18"/>
  <c r="R668" i="18"/>
  <c r="Q668" i="18"/>
  <c r="P668" i="18"/>
  <c r="O668" i="18"/>
  <c r="N668" i="18"/>
  <c r="M668" i="18"/>
  <c r="L668" i="18"/>
  <c r="K668" i="18"/>
  <c r="J668" i="18"/>
  <c r="I668" i="18"/>
  <c r="H668" i="18"/>
  <c r="G668" i="18"/>
  <c r="F668" i="18"/>
  <c r="E668" i="18"/>
  <c r="C668" i="18"/>
  <c r="B668" i="18"/>
  <c r="A668" i="18"/>
  <c r="T667" i="18"/>
  <c r="S667" i="18"/>
  <c r="R667" i="18"/>
  <c r="Q667" i="18"/>
  <c r="P667" i="18"/>
  <c r="O667" i="18"/>
  <c r="N667" i="18"/>
  <c r="M667" i="18"/>
  <c r="L667" i="18"/>
  <c r="K667" i="18"/>
  <c r="J667" i="18"/>
  <c r="I667" i="18"/>
  <c r="H667" i="18"/>
  <c r="G667" i="18"/>
  <c r="F667" i="18"/>
  <c r="E667" i="18"/>
  <c r="C667" i="18"/>
  <c r="B667" i="18"/>
  <c r="A667" i="18"/>
  <c r="T666" i="18"/>
  <c r="S666" i="18"/>
  <c r="R666" i="18"/>
  <c r="Q666" i="18"/>
  <c r="P666" i="18"/>
  <c r="O666" i="18"/>
  <c r="N666" i="18"/>
  <c r="M666" i="18"/>
  <c r="L666" i="18"/>
  <c r="K666" i="18"/>
  <c r="J666" i="18"/>
  <c r="I666" i="18"/>
  <c r="H666" i="18"/>
  <c r="G666" i="18"/>
  <c r="F666" i="18"/>
  <c r="E666" i="18"/>
  <c r="C666" i="18"/>
  <c r="B666" i="18"/>
  <c r="A666" i="18"/>
  <c r="T665" i="18"/>
  <c r="S665" i="18"/>
  <c r="R665" i="18"/>
  <c r="Q665" i="18"/>
  <c r="P665" i="18"/>
  <c r="O665" i="18"/>
  <c r="N665" i="18"/>
  <c r="M665" i="18"/>
  <c r="L665" i="18"/>
  <c r="K665" i="18"/>
  <c r="J665" i="18"/>
  <c r="I665" i="18"/>
  <c r="H665" i="18"/>
  <c r="G665" i="18"/>
  <c r="F665" i="18"/>
  <c r="E665" i="18"/>
  <c r="C665" i="18"/>
  <c r="B665" i="18"/>
  <c r="A665" i="18"/>
  <c r="T664" i="18"/>
  <c r="S664" i="18"/>
  <c r="R664" i="18"/>
  <c r="Q664" i="18"/>
  <c r="P664" i="18"/>
  <c r="O664" i="18"/>
  <c r="N664" i="18"/>
  <c r="M664" i="18"/>
  <c r="L664" i="18"/>
  <c r="K664" i="18"/>
  <c r="J664" i="18"/>
  <c r="I664" i="18"/>
  <c r="H664" i="18"/>
  <c r="G664" i="18"/>
  <c r="F664" i="18"/>
  <c r="E664" i="18"/>
  <c r="C664" i="18"/>
  <c r="B664" i="18"/>
  <c r="A664" i="18"/>
  <c r="T663" i="18"/>
  <c r="S663" i="18"/>
  <c r="R663" i="18"/>
  <c r="Q663" i="18"/>
  <c r="P663" i="18"/>
  <c r="O663" i="18"/>
  <c r="N663" i="18"/>
  <c r="M663" i="18"/>
  <c r="L663" i="18"/>
  <c r="K663" i="18"/>
  <c r="J663" i="18"/>
  <c r="I663" i="18"/>
  <c r="H663" i="18"/>
  <c r="G663" i="18"/>
  <c r="F663" i="18"/>
  <c r="E663" i="18"/>
  <c r="C663" i="18"/>
  <c r="B663" i="18"/>
  <c r="A663" i="18"/>
  <c r="T662" i="18"/>
  <c r="S662" i="18"/>
  <c r="R662" i="18"/>
  <c r="Q662" i="18"/>
  <c r="P662" i="18"/>
  <c r="O662" i="18"/>
  <c r="N662" i="18"/>
  <c r="M662" i="18"/>
  <c r="L662" i="18"/>
  <c r="K662" i="18"/>
  <c r="J662" i="18"/>
  <c r="I662" i="18"/>
  <c r="H662" i="18"/>
  <c r="G662" i="18"/>
  <c r="F662" i="18"/>
  <c r="E662" i="18"/>
  <c r="C662" i="18"/>
  <c r="B662" i="18"/>
  <c r="A662" i="18"/>
  <c r="T661" i="18"/>
  <c r="S661" i="18"/>
  <c r="R661" i="18"/>
  <c r="Q661" i="18"/>
  <c r="P661" i="18"/>
  <c r="O661" i="18"/>
  <c r="N661" i="18"/>
  <c r="M661" i="18"/>
  <c r="L661" i="18"/>
  <c r="K661" i="18"/>
  <c r="J661" i="18"/>
  <c r="I661" i="18"/>
  <c r="H661" i="18"/>
  <c r="G661" i="18"/>
  <c r="F661" i="18"/>
  <c r="E661" i="18"/>
  <c r="C661" i="18"/>
  <c r="B661" i="18"/>
  <c r="A661" i="18"/>
  <c r="T660" i="18"/>
  <c r="S660" i="18"/>
  <c r="R660" i="18"/>
  <c r="Q660" i="18"/>
  <c r="P660" i="18"/>
  <c r="O660" i="18"/>
  <c r="N660" i="18"/>
  <c r="M660" i="18"/>
  <c r="L660" i="18"/>
  <c r="K660" i="18"/>
  <c r="J660" i="18"/>
  <c r="I660" i="18"/>
  <c r="H660" i="18"/>
  <c r="G660" i="18"/>
  <c r="F660" i="18"/>
  <c r="E660" i="18"/>
  <c r="C660" i="18"/>
  <c r="B660" i="18"/>
  <c r="A660" i="18"/>
  <c r="T659" i="18"/>
  <c r="S659" i="18"/>
  <c r="R659" i="18"/>
  <c r="Q659" i="18"/>
  <c r="P659" i="18"/>
  <c r="O659" i="18"/>
  <c r="N659" i="18"/>
  <c r="M659" i="18"/>
  <c r="L659" i="18"/>
  <c r="K659" i="18"/>
  <c r="J659" i="18"/>
  <c r="I659" i="18"/>
  <c r="H659" i="18"/>
  <c r="G659" i="18"/>
  <c r="F659" i="18"/>
  <c r="E659" i="18"/>
  <c r="C659" i="18"/>
  <c r="B659" i="18"/>
  <c r="A659" i="18"/>
  <c r="T658" i="18"/>
  <c r="S658" i="18"/>
  <c r="R658" i="18"/>
  <c r="Q658" i="18"/>
  <c r="P658" i="18"/>
  <c r="O658" i="18"/>
  <c r="N658" i="18"/>
  <c r="M658" i="18"/>
  <c r="L658" i="18"/>
  <c r="K658" i="18"/>
  <c r="J658" i="18"/>
  <c r="I658" i="18"/>
  <c r="H658" i="18"/>
  <c r="G658" i="18"/>
  <c r="F658" i="18"/>
  <c r="E658" i="18"/>
  <c r="C658" i="18"/>
  <c r="B658" i="18"/>
  <c r="A658" i="18"/>
  <c r="T657" i="18"/>
  <c r="S657" i="18"/>
  <c r="R657" i="18"/>
  <c r="Q657" i="18"/>
  <c r="P657" i="18"/>
  <c r="O657" i="18"/>
  <c r="N657" i="18"/>
  <c r="M657" i="18"/>
  <c r="L657" i="18"/>
  <c r="K657" i="18"/>
  <c r="J657" i="18"/>
  <c r="I657" i="18"/>
  <c r="H657" i="18"/>
  <c r="G657" i="18"/>
  <c r="F657" i="18"/>
  <c r="E657" i="18"/>
  <c r="C657" i="18"/>
  <c r="B657" i="18"/>
  <c r="A657" i="18"/>
  <c r="T656" i="18"/>
  <c r="S656" i="18"/>
  <c r="R656" i="18"/>
  <c r="Q656" i="18"/>
  <c r="P656" i="18"/>
  <c r="O656" i="18"/>
  <c r="N656" i="18"/>
  <c r="M656" i="18"/>
  <c r="L656" i="18"/>
  <c r="K656" i="18"/>
  <c r="J656" i="18"/>
  <c r="I656" i="18"/>
  <c r="H656" i="18"/>
  <c r="G656" i="18"/>
  <c r="F656" i="18"/>
  <c r="E656" i="18"/>
  <c r="C656" i="18"/>
  <c r="B656" i="18"/>
  <c r="A656" i="18"/>
  <c r="T655" i="18"/>
  <c r="S655" i="18"/>
  <c r="R655" i="18"/>
  <c r="Q655" i="18"/>
  <c r="P655" i="18"/>
  <c r="O655" i="18"/>
  <c r="N655" i="18"/>
  <c r="M655" i="18"/>
  <c r="L655" i="18"/>
  <c r="K655" i="18"/>
  <c r="J655" i="18"/>
  <c r="I655" i="18"/>
  <c r="H655" i="18"/>
  <c r="G655" i="18"/>
  <c r="F655" i="18"/>
  <c r="E655" i="18"/>
  <c r="C655" i="18"/>
  <c r="B655" i="18"/>
  <c r="A655" i="18"/>
  <c r="T654" i="18"/>
  <c r="S654" i="18"/>
  <c r="R654" i="18"/>
  <c r="Q654" i="18"/>
  <c r="P654" i="18"/>
  <c r="O654" i="18"/>
  <c r="N654" i="18"/>
  <c r="M654" i="18"/>
  <c r="L654" i="18"/>
  <c r="K654" i="18"/>
  <c r="J654" i="18"/>
  <c r="I654" i="18"/>
  <c r="H654" i="18"/>
  <c r="G654" i="18"/>
  <c r="F654" i="18"/>
  <c r="E654" i="18"/>
  <c r="C654" i="18"/>
  <c r="B654" i="18"/>
  <c r="A654" i="18"/>
  <c r="T653" i="18"/>
  <c r="S653" i="18"/>
  <c r="R653" i="18"/>
  <c r="Q653" i="18"/>
  <c r="P653" i="18"/>
  <c r="O653" i="18"/>
  <c r="N653" i="18"/>
  <c r="M653" i="18"/>
  <c r="L653" i="18"/>
  <c r="K653" i="18"/>
  <c r="J653" i="18"/>
  <c r="I653" i="18"/>
  <c r="H653" i="18"/>
  <c r="G653" i="18"/>
  <c r="F653" i="18"/>
  <c r="E653" i="18"/>
  <c r="C653" i="18"/>
  <c r="B653" i="18"/>
  <c r="A653" i="18"/>
  <c r="T652" i="18"/>
  <c r="S652" i="18"/>
  <c r="R652" i="18"/>
  <c r="Q652" i="18"/>
  <c r="P652" i="18"/>
  <c r="O652" i="18"/>
  <c r="N652" i="18"/>
  <c r="M652" i="18"/>
  <c r="L652" i="18"/>
  <c r="K652" i="18"/>
  <c r="J652" i="18"/>
  <c r="I652" i="18"/>
  <c r="H652" i="18"/>
  <c r="G652" i="18"/>
  <c r="F652" i="18"/>
  <c r="E652" i="18"/>
  <c r="C652" i="18"/>
  <c r="B652" i="18"/>
  <c r="A652" i="18"/>
  <c r="T651" i="18"/>
  <c r="S651" i="18"/>
  <c r="R651" i="18"/>
  <c r="Q651" i="18"/>
  <c r="P651" i="18"/>
  <c r="O651" i="18"/>
  <c r="N651" i="18"/>
  <c r="M651" i="18"/>
  <c r="L651" i="18"/>
  <c r="K651" i="18"/>
  <c r="J651" i="18"/>
  <c r="I651" i="18"/>
  <c r="H651" i="18"/>
  <c r="G651" i="18"/>
  <c r="F651" i="18"/>
  <c r="E651" i="18"/>
  <c r="C651" i="18"/>
  <c r="B651" i="18"/>
  <c r="A651" i="18"/>
  <c r="T650" i="18"/>
  <c r="S650" i="18"/>
  <c r="R650" i="18"/>
  <c r="Q650" i="18"/>
  <c r="P650" i="18"/>
  <c r="O650" i="18"/>
  <c r="N650" i="18"/>
  <c r="M650" i="18"/>
  <c r="L650" i="18"/>
  <c r="K650" i="18"/>
  <c r="J650" i="18"/>
  <c r="I650" i="18"/>
  <c r="H650" i="18"/>
  <c r="G650" i="18"/>
  <c r="F650" i="18"/>
  <c r="E650" i="18"/>
  <c r="C650" i="18"/>
  <c r="B650" i="18"/>
  <c r="A650" i="18"/>
  <c r="T649" i="18"/>
  <c r="S649" i="18"/>
  <c r="R649" i="18"/>
  <c r="Q649" i="18"/>
  <c r="P649" i="18"/>
  <c r="O649" i="18"/>
  <c r="N649" i="18"/>
  <c r="M649" i="18"/>
  <c r="L649" i="18"/>
  <c r="K649" i="18"/>
  <c r="J649" i="18"/>
  <c r="I649" i="18"/>
  <c r="H649" i="18"/>
  <c r="G649" i="18"/>
  <c r="F649" i="18"/>
  <c r="E649" i="18"/>
  <c r="C649" i="18"/>
  <c r="B649" i="18"/>
  <c r="A649" i="18"/>
  <c r="T648" i="18"/>
  <c r="S648" i="18"/>
  <c r="R648" i="18"/>
  <c r="Q648" i="18"/>
  <c r="P648" i="18"/>
  <c r="O648" i="18"/>
  <c r="N648" i="18"/>
  <c r="M648" i="18"/>
  <c r="L648" i="18"/>
  <c r="K648" i="18"/>
  <c r="J648" i="18"/>
  <c r="I648" i="18"/>
  <c r="H648" i="18"/>
  <c r="G648" i="18"/>
  <c r="F648" i="18"/>
  <c r="E648" i="18"/>
  <c r="C648" i="18"/>
  <c r="B648" i="18"/>
  <c r="A648" i="18"/>
  <c r="T647" i="18"/>
  <c r="S647" i="18"/>
  <c r="R647" i="18"/>
  <c r="Q647" i="18"/>
  <c r="P647" i="18"/>
  <c r="O647" i="18"/>
  <c r="N647" i="18"/>
  <c r="M647" i="18"/>
  <c r="L647" i="18"/>
  <c r="K647" i="18"/>
  <c r="J647" i="18"/>
  <c r="I647" i="18"/>
  <c r="H647" i="18"/>
  <c r="G647" i="18"/>
  <c r="F647" i="18"/>
  <c r="E647" i="18"/>
  <c r="C647" i="18"/>
  <c r="B647" i="18"/>
  <c r="A647" i="18"/>
  <c r="T646" i="18"/>
  <c r="S646" i="18"/>
  <c r="R646" i="18"/>
  <c r="Q646" i="18"/>
  <c r="P646" i="18"/>
  <c r="O646" i="18"/>
  <c r="N646" i="18"/>
  <c r="M646" i="18"/>
  <c r="L646" i="18"/>
  <c r="K646" i="18"/>
  <c r="J646" i="18"/>
  <c r="I646" i="18"/>
  <c r="H646" i="18"/>
  <c r="G646" i="18"/>
  <c r="F646" i="18"/>
  <c r="E646" i="18"/>
  <c r="C646" i="18"/>
  <c r="B646" i="18"/>
  <c r="A646" i="18"/>
  <c r="T645" i="18"/>
  <c r="S645" i="18"/>
  <c r="R645" i="18"/>
  <c r="Q645" i="18"/>
  <c r="P645" i="18"/>
  <c r="O645" i="18"/>
  <c r="N645" i="18"/>
  <c r="M645" i="18"/>
  <c r="L645" i="18"/>
  <c r="K645" i="18"/>
  <c r="J645" i="18"/>
  <c r="I645" i="18"/>
  <c r="H645" i="18"/>
  <c r="G645" i="18"/>
  <c r="F645" i="18"/>
  <c r="E645" i="18"/>
  <c r="C645" i="18"/>
  <c r="B645" i="18"/>
  <c r="A645" i="18"/>
  <c r="T644" i="18"/>
  <c r="S644" i="18"/>
  <c r="R644" i="18"/>
  <c r="Q644" i="18"/>
  <c r="P644" i="18"/>
  <c r="O644" i="18"/>
  <c r="N644" i="18"/>
  <c r="M644" i="18"/>
  <c r="L644" i="18"/>
  <c r="K644" i="18"/>
  <c r="J644" i="18"/>
  <c r="I644" i="18"/>
  <c r="H644" i="18"/>
  <c r="G644" i="18"/>
  <c r="F644" i="18"/>
  <c r="E644" i="18"/>
  <c r="C644" i="18"/>
  <c r="B644" i="18"/>
  <c r="A644" i="18"/>
  <c r="T643" i="18"/>
  <c r="S643" i="18"/>
  <c r="R643" i="18"/>
  <c r="Q643" i="18"/>
  <c r="P643" i="18"/>
  <c r="O643" i="18"/>
  <c r="N643" i="18"/>
  <c r="M643" i="18"/>
  <c r="L643" i="18"/>
  <c r="K643" i="18"/>
  <c r="J643" i="18"/>
  <c r="I643" i="18"/>
  <c r="H643" i="18"/>
  <c r="G643" i="18"/>
  <c r="F643" i="18"/>
  <c r="E643" i="18"/>
  <c r="C643" i="18"/>
  <c r="B643" i="18"/>
  <c r="A643" i="18"/>
  <c r="T642" i="18"/>
  <c r="S642" i="18"/>
  <c r="R642" i="18"/>
  <c r="Q642" i="18"/>
  <c r="P642" i="18"/>
  <c r="O642" i="18"/>
  <c r="N642" i="18"/>
  <c r="M642" i="18"/>
  <c r="L642" i="18"/>
  <c r="K642" i="18"/>
  <c r="J642" i="18"/>
  <c r="I642" i="18"/>
  <c r="H642" i="18"/>
  <c r="G642" i="18"/>
  <c r="F642" i="18"/>
  <c r="E642" i="18"/>
  <c r="C642" i="18"/>
  <c r="B642" i="18"/>
  <c r="A642" i="18"/>
  <c r="T641" i="18"/>
  <c r="S641" i="18"/>
  <c r="R641" i="18"/>
  <c r="Q641" i="18"/>
  <c r="P641" i="18"/>
  <c r="O641" i="18"/>
  <c r="N641" i="18"/>
  <c r="M641" i="18"/>
  <c r="L641" i="18"/>
  <c r="K641" i="18"/>
  <c r="J641" i="18"/>
  <c r="I641" i="18"/>
  <c r="H641" i="18"/>
  <c r="G641" i="18"/>
  <c r="F641" i="18"/>
  <c r="E641" i="18"/>
  <c r="C641" i="18"/>
  <c r="B641" i="18"/>
  <c r="A641" i="18"/>
  <c r="T640" i="18"/>
  <c r="S640" i="18"/>
  <c r="R640" i="18"/>
  <c r="Q640" i="18"/>
  <c r="P640" i="18"/>
  <c r="O640" i="18"/>
  <c r="N640" i="18"/>
  <c r="M640" i="18"/>
  <c r="L640" i="18"/>
  <c r="K640" i="18"/>
  <c r="J640" i="18"/>
  <c r="I640" i="18"/>
  <c r="H640" i="18"/>
  <c r="G640" i="18"/>
  <c r="F640" i="18"/>
  <c r="E640" i="18"/>
  <c r="C640" i="18"/>
  <c r="B640" i="18"/>
  <c r="A640" i="18"/>
  <c r="T639" i="18"/>
  <c r="S639" i="18"/>
  <c r="R639" i="18"/>
  <c r="Q639" i="18"/>
  <c r="P639" i="18"/>
  <c r="O639" i="18"/>
  <c r="N639" i="18"/>
  <c r="M639" i="18"/>
  <c r="L639" i="18"/>
  <c r="K639" i="18"/>
  <c r="J639" i="18"/>
  <c r="I639" i="18"/>
  <c r="H639" i="18"/>
  <c r="G639" i="18"/>
  <c r="F639" i="18"/>
  <c r="E639" i="18"/>
  <c r="C639" i="18"/>
  <c r="B639" i="18"/>
  <c r="A639" i="18"/>
  <c r="T638" i="18"/>
  <c r="S638" i="18"/>
  <c r="R638" i="18"/>
  <c r="Q638" i="18"/>
  <c r="P638" i="18"/>
  <c r="O638" i="18"/>
  <c r="N638" i="18"/>
  <c r="M638" i="18"/>
  <c r="L638" i="18"/>
  <c r="K638" i="18"/>
  <c r="J638" i="18"/>
  <c r="I638" i="18"/>
  <c r="H638" i="18"/>
  <c r="G638" i="18"/>
  <c r="F638" i="18"/>
  <c r="E638" i="18"/>
  <c r="C638" i="18"/>
  <c r="B638" i="18"/>
  <c r="A638" i="18"/>
  <c r="T637" i="18"/>
  <c r="S637" i="18"/>
  <c r="R637" i="18"/>
  <c r="Q637" i="18"/>
  <c r="P637" i="18"/>
  <c r="O637" i="18"/>
  <c r="N637" i="18"/>
  <c r="M637" i="18"/>
  <c r="L637" i="18"/>
  <c r="K637" i="18"/>
  <c r="J637" i="18"/>
  <c r="I637" i="18"/>
  <c r="H637" i="18"/>
  <c r="G637" i="18"/>
  <c r="F637" i="18"/>
  <c r="E637" i="18"/>
  <c r="C637" i="18"/>
  <c r="B637" i="18"/>
  <c r="A637" i="18"/>
  <c r="T636" i="18"/>
  <c r="S636" i="18"/>
  <c r="R636" i="18"/>
  <c r="Q636" i="18"/>
  <c r="P636" i="18"/>
  <c r="O636" i="18"/>
  <c r="N636" i="18"/>
  <c r="M636" i="18"/>
  <c r="L636" i="18"/>
  <c r="K636" i="18"/>
  <c r="J636" i="18"/>
  <c r="I636" i="18"/>
  <c r="H636" i="18"/>
  <c r="G636" i="18"/>
  <c r="F636" i="18"/>
  <c r="E636" i="18"/>
  <c r="C636" i="18"/>
  <c r="B636" i="18"/>
  <c r="A636" i="18"/>
  <c r="T635" i="18"/>
  <c r="S635" i="18"/>
  <c r="R635" i="18"/>
  <c r="Q635" i="18"/>
  <c r="P635" i="18"/>
  <c r="O635" i="18"/>
  <c r="N635" i="18"/>
  <c r="M635" i="18"/>
  <c r="L635" i="18"/>
  <c r="K635" i="18"/>
  <c r="J635" i="18"/>
  <c r="I635" i="18"/>
  <c r="H635" i="18"/>
  <c r="G635" i="18"/>
  <c r="F635" i="18"/>
  <c r="E635" i="18"/>
  <c r="C635" i="18"/>
  <c r="B635" i="18"/>
  <c r="A635" i="18"/>
  <c r="T634" i="18"/>
  <c r="S634" i="18"/>
  <c r="R634" i="18"/>
  <c r="Q634" i="18"/>
  <c r="P634" i="18"/>
  <c r="O634" i="18"/>
  <c r="N634" i="18"/>
  <c r="M634" i="18"/>
  <c r="L634" i="18"/>
  <c r="K634" i="18"/>
  <c r="J634" i="18"/>
  <c r="I634" i="18"/>
  <c r="H634" i="18"/>
  <c r="G634" i="18"/>
  <c r="F634" i="18"/>
  <c r="E634" i="18"/>
  <c r="C634" i="18"/>
  <c r="B634" i="18"/>
  <c r="A634" i="18"/>
  <c r="T633" i="18"/>
  <c r="S633" i="18"/>
  <c r="R633" i="18"/>
  <c r="Q633" i="18"/>
  <c r="P633" i="18"/>
  <c r="O633" i="18"/>
  <c r="N633" i="18"/>
  <c r="M633" i="18"/>
  <c r="L633" i="18"/>
  <c r="K633" i="18"/>
  <c r="J633" i="18"/>
  <c r="I633" i="18"/>
  <c r="H633" i="18"/>
  <c r="G633" i="18"/>
  <c r="F633" i="18"/>
  <c r="E633" i="18"/>
  <c r="C633" i="18"/>
  <c r="B633" i="18"/>
  <c r="A633" i="18"/>
  <c r="T632" i="18"/>
  <c r="S632" i="18"/>
  <c r="R632" i="18"/>
  <c r="Q632" i="18"/>
  <c r="P632" i="18"/>
  <c r="O632" i="18"/>
  <c r="N632" i="18"/>
  <c r="M632" i="18"/>
  <c r="L632" i="18"/>
  <c r="K632" i="18"/>
  <c r="J632" i="18"/>
  <c r="I632" i="18"/>
  <c r="H632" i="18"/>
  <c r="G632" i="18"/>
  <c r="F632" i="18"/>
  <c r="E632" i="18"/>
  <c r="C632" i="18"/>
  <c r="B632" i="18"/>
  <c r="A632" i="18"/>
  <c r="T631" i="18"/>
  <c r="S631" i="18"/>
  <c r="R631" i="18"/>
  <c r="Q631" i="18"/>
  <c r="P631" i="18"/>
  <c r="O631" i="18"/>
  <c r="N631" i="18"/>
  <c r="M631" i="18"/>
  <c r="L631" i="18"/>
  <c r="K631" i="18"/>
  <c r="J631" i="18"/>
  <c r="I631" i="18"/>
  <c r="H631" i="18"/>
  <c r="G631" i="18"/>
  <c r="F631" i="18"/>
  <c r="E631" i="18"/>
  <c r="C631" i="18"/>
  <c r="B631" i="18"/>
  <c r="A631" i="18"/>
  <c r="T630" i="18"/>
  <c r="S630" i="18"/>
  <c r="R630" i="18"/>
  <c r="Q630" i="18"/>
  <c r="P630" i="18"/>
  <c r="O630" i="18"/>
  <c r="N630" i="18"/>
  <c r="M630" i="18"/>
  <c r="L630" i="18"/>
  <c r="K630" i="18"/>
  <c r="J630" i="18"/>
  <c r="I630" i="18"/>
  <c r="H630" i="18"/>
  <c r="G630" i="18"/>
  <c r="F630" i="18"/>
  <c r="E630" i="18"/>
  <c r="C630" i="18"/>
  <c r="B630" i="18"/>
  <c r="A630" i="18"/>
  <c r="T629" i="18"/>
  <c r="S629" i="18"/>
  <c r="R629" i="18"/>
  <c r="Q629" i="18"/>
  <c r="P629" i="18"/>
  <c r="O629" i="18"/>
  <c r="N629" i="18"/>
  <c r="M629" i="18"/>
  <c r="L629" i="18"/>
  <c r="K629" i="18"/>
  <c r="J629" i="18"/>
  <c r="I629" i="18"/>
  <c r="H629" i="18"/>
  <c r="G629" i="18"/>
  <c r="F629" i="18"/>
  <c r="E629" i="18"/>
  <c r="C629" i="18"/>
  <c r="B629" i="18"/>
  <c r="A629" i="18"/>
  <c r="T628" i="18"/>
  <c r="S628" i="18"/>
  <c r="R628" i="18"/>
  <c r="Q628" i="18"/>
  <c r="P628" i="18"/>
  <c r="O628" i="18"/>
  <c r="N628" i="18"/>
  <c r="M628" i="18"/>
  <c r="L628" i="18"/>
  <c r="K628" i="18"/>
  <c r="J628" i="18"/>
  <c r="I628" i="18"/>
  <c r="H628" i="18"/>
  <c r="G628" i="18"/>
  <c r="F628" i="18"/>
  <c r="E628" i="18"/>
  <c r="C628" i="18"/>
  <c r="B628" i="18"/>
  <c r="A628" i="18"/>
  <c r="T627" i="18"/>
  <c r="S627" i="18"/>
  <c r="R627" i="18"/>
  <c r="Q627" i="18"/>
  <c r="P627" i="18"/>
  <c r="O627" i="18"/>
  <c r="N627" i="18"/>
  <c r="M627" i="18"/>
  <c r="L627" i="18"/>
  <c r="K627" i="18"/>
  <c r="J627" i="18"/>
  <c r="I627" i="18"/>
  <c r="H627" i="18"/>
  <c r="G627" i="18"/>
  <c r="F627" i="18"/>
  <c r="E627" i="18"/>
  <c r="C627" i="18"/>
  <c r="B627" i="18"/>
  <c r="A627" i="18"/>
  <c r="T626" i="18"/>
  <c r="S626" i="18"/>
  <c r="R626" i="18"/>
  <c r="Q626" i="18"/>
  <c r="P626" i="18"/>
  <c r="O626" i="18"/>
  <c r="N626" i="18"/>
  <c r="M626" i="18"/>
  <c r="L626" i="18"/>
  <c r="K626" i="18"/>
  <c r="J626" i="18"/>
  <c r="I626" i="18"/>
  <c r="H626" i="18"/>
  <c r="G626" i="18"/>
  <c r="F626" i="18"/>
  <c r="E626" i="18"/>
  <c r="C626" i="18"/>
  <c r="B626" i="18"/>
  <c r="A626" i="18"/>
  <c r="T625" i="18"/>
  <c r="S625" i="18"/>
  <c r="R625" i="18"/>
  <c r="Q625" i="18"/>
  <c r="P625" i="18"/>
  <c r="O625" i="18"/>
  <c r="N625" i="18"/>
  <c r="M625" i="18"/>
  <c r="L625" i="18"/>
  <c r="K625" i="18"/>
  <c r="J625" i="18"/>
  <c r="I625" i="18"/>
  <c r="H625" i="18"/>
  <c r="G625" i="18"/>
  <c r="F625" i="18"/>
  <c r="E625" i="18"/>
  <c r="C625" i="18"/>
  <c r="B625" i="18"/>
  <c r="A625" i="18"/>
  <c r="T624" i="18"/>
  <c r="S624" i="18"/>
  <c r="R624" i="18"/>
  <c r="Q624" i="18"/>
  <c r="P624" i="18"/>
  <c r="O624" i="18"/>
  <c r="N624" i="18"/>
  <c r="M624" i="18"/>
  <c r="L624" i="18"/>
  <c r="K624" i="18"/>
  <c r="J624" i="18"/>
  <c r="I624" i="18"/>
  <c r="H624" i="18"/>
  <c r="G624" i="18"/>
  <c r="F624" i="18"/>
  <c r="E624" i="18"/>
  <c r="C624" i="18"/>
  <c r="B624" i="18"/>
  <c r="A624" i="18"/>
  <c r="T623" i="18"/>
  <c r="S623" i="18"/>
  <c r="R623" i="18"/>
  <c r="Q623" i="18"/>
  <c r="P623" i="18"/>
  <c r="O623" i="18"/>
  <c r="N623" i="18"/>
  <c r="M623" i="18"/>
  <c r="L623" i="18"/>
  <c r="K623" i="18"/>
  <c r="J623" i="18"/>
  <c r="I623" i="18"/>
  <c r="H623" i="18"/>
  <c r="G623" i="18"/>
  <c r="F623" i="18"/>
  <c r="E623" i="18"/>
  <c r="C623" i="18"/>
  <c r="B623" i="18"/>
  <c r="A623" i="18"/>
  <c r="T622" i="18"/>
  <c r="S622" i="18"/>
  <c r="R622" i="18"/>
  <c r="Q622" i="18"/>
  <c r="P622" i="18"/>
  <c r="O622" i="18"/>
  <c r="N622" i="18"/>
  <c r="M622" i="18"/>
  <c r="L622" i="18"/>
  <c r="K622" i="18"/>
  <c r="J622" i="18"/>
  <c r="I622" i="18"/>
  <c r="H622" i="18"/>
  <c r="G622" i="18"/>
  <c r="F622" i="18"/>
  <c r="E622" i="18"/>
  <c r="C622" i="18"/>
  <c r="B622" i="18"/>
  <c r="A622" i="18"/>
  <c r="T621" i="18"/>
  <c r="S621" i="18"/>
  <c r="R621" i="18"/>
  <c r="Q621" i="18"/>
  <c r="P621" i="18"/>
  <c r="O621" i="18"/>
  <c r="N621" i="18"/>
  <c r="M621" i="18"/>
  <c r="L621" i="18"/>
  <c r="K621" i="18"/>
  <c r="J621" i="18"/>
  <c r="I621" i="18"/>
  <c r="H621" i="18"/>
  <c r="G621" i="18"/>
  <c r="F621" i="18"/>
  <c r="E621" i="18"/>
  <c r="C621" i="18"/>
  <c r="B621" i="18"/>
  <c r="A621" i="18"/>
  <c r="T620" i="18"/>
  <c r="S620" i="18"/>
  <c r="R620" i="18"/>
  <c r="Q620" i="18"/>
  <c r="P620" i="18"/>
  <c r="O620" i="18"/>
  <c r="N620" i="18"/>
  <c r="M620" i="18"/>
  <c r="L620" i="18"/>
  <c r="K620" i="18"/>
  <c r="J620" i="18"/>
  <c r="I620" i="18"/>
  <c r="H620" i="18"/>
  <c r="G620" i="18"/>
  <c r="F620" i="18"/>
  <c r="E620" i="18"/>
  <c r="C620" i="18"/>
  <c r="B620" i="18"/>
  <c r="A620" i="18"/>
  <c r="T619" i="18"/>
  <c r="S619" i="18"/>
  <c r="R619" i="18"/>
  <c r="Q619" i="18"/>
  <c r="P619" i="18"/>
  <c r="O619" i="18"/>
  <c r="N619" i="18"/>
  <c r="M619" i="18"/>
  <c r="L619" i="18"/>
  <c r="K619" i="18"/>
  <c r="J619" i="18"/>
  <c r="I619" i="18"/>
  <c r="H619" i="18"/>
  <c r="G619" i="18"/>
  <c r="F619" i="18"/>
  <c r="E619" i="18"/>
  <c r="C619" i="18"/>
  <c r="B619" i="18"/>
  <c r="A619" i="18"/>
  <c r="T618" i="18"/>
  <c r="S618" i="18"/>
  <c r="R618" i="18"/>
  <c r="Q618" i="18"/>
  <c r="P618" i="18"/>
  <c r="O618" i="18"/>
  <c r="N618" i="18"/>
  <c r="M618" i="18"/>
  <c r="L618" i="18"/>
  <c r="K618" i="18"/>
  <c r="J618" i="18"/>
  <c r="I618" i="18"/>
  <c r="H618" i="18"/>
  <c r="G618" i="18"/>
  <c r="F618" i="18"/>
  <c r="E618" i="18"/>
  <c r="C618" i="18"/>
  <c r="B618" i="18"/>
  <c r="A618" i="18"/>
  <c r="T617" i="18"/>
  <c r="S617" i="18"/>
  <c r="R617" i="18"/>
  <c r="Q617" i="18"/>
  <c r="P617" i="18"/>
  <c r="O617" i="18"/>
  <c r="N617" i="18"/>
  <c r="M617" i="18"/>
  <c r="L617" i="18"/>
  <c r="K617" i="18"/>
  <c r="J617" i="18"/>
  <c r="I617" i="18"/>
  <c r="H617" i="18"/>
  <c r="G617" i="18"/>
  <c r="F617" i="18"/>
  <c r="E617" i="18"/>
  <c r="C617" i="18"/>
  <c r="B617" i="18"/>
  <c r="A617" i="18"/>
  <c r="T616" i="18"/>
  <c r="S616" i="18"/>
  <c r="R616" i="18"/>
  <c r="Q616" i="18"/>
  <c r="P616" i="18"/>
  <c r="O616" i="18"/>
  <c r="N616" i="18"/>
  <c r="M616" i="18"/>
  <c r="L616" i="18"/>
  <c r="K616" i="18"/>
  <c r="J616" i="18"/>
  <c r="I616" i="18"/>
  <c r="H616" i="18"/>
  <c r="G616" i="18"/>
  <c r="F616" i="18"/>
  <c r="E616" i="18"/>
  <c r="C616" i="18"/>
  <c r="B616" i="18"/>
  <c r="A616" i="18"/>
  <c r="T615" i="18"/>
  <c r="S615" i="18"/>
  <c r="R615" i="18"/>
  <c r="Q615" i="18"/>
  <c r="P615" i="18"/>
  <c r="O615" i="18"/>
  <c r="N615" i="18"/>
  <c r="M615" i="18"/>
  <c r="L615" i="18"/>
  <c r="K615" i="18"/>
  <c r="J615" i="18"/>
  <c r="I615" i="18"/>
  <c r="H615" i="18"/>
  <c r="G615" i="18"/>
  <c r="F615" i="18"/>
  <c r="E615" i="18"/>
  <c r="C615" i="18"/>
  <c r="B615" i="18"/>
  <c r="A615" i="18"/>
  <c r="T614" i="18"/>
  <c r="S614" i="18"/>
  <c r="R614" i="18"/>
  <c r="Q614" i="18"/>
  <c r="P614" i="18"/>
  <c r="O614" i="18"/>
  <c r="N614" i="18"/>
  <c r="M614" i="18"/>
  <c r="L614" i="18"/>
  <c r="K614" i="18"/>
  <c r="J614" i="18"/>
  <c r="I614" i="18"/>
  <c r="H614" i="18"/>
  <c r="G614" i="18"/>
  <c r="F614" i="18"/>
  <c r="E614" i="18"/>
  <c r="C614" i="18"/>
  <c r="B614" i="18"/>
  <c r="A614" i="18"/>
  <c r="T613" i="18"/>
  <c r="S613" i="18"/>
  <c r="R613" i="18"/>
  <c r="Q613" i="18"/>
  <c r="P613" i="18"/>
  <c r="O613" i="18"/>
  <c r="N613" i="18"/>
  <c r="M613" i="18"/>
  <c r="L613" i="18"/>
  <c r="K613" i="18"/>
  <c r="J613" i="18"/>
  <c r="I613" i="18"/>
  <c r="H613" i="18"/>
  <c r="G613" i="18"/>
  <c r="F613" i="18"/>
  <c r="E613" i="18"/>
  <c r="C613" i="18"/>
  <c r="B613" i="18"/>
  <c r="A613" i="18"/>
  <c r="T612" i="18"/>
  <c r="S612" i="18"/>
  <c r="R612" i="18"/>
  <c r="Q612" i="18"/>
  <c r="P612" i="18"/>
  <c r="O612" i="18"/>
  <c r="N612" i="18"/>
  <c r="M612" i="18"/>
  <c r="L612" i="18"/>
  <c r="K612" i="18"/>
  <c r="J612" i="18"/>
  <c r="I612" i="18"/>
  <c r="H612" i="18"/>
  <c r="G612" i="18"/>
  <c r="F612" i="18"/>
  <c r="E612" i="18"/>
  <c r="C612" i="18"/>
  <c r="B612" i="18"/>
  <c r="A612" i="18"/>
  <c r="T611" i="18"/>
  <c r="S611" i="18"/>
  <c r="R611" i="18"/>
  <c r="Q611" i="18"/>
  <c r="P611" i="18"/>
  <c r="O611" i="18"/>
  <c r="N611" i="18"/>
  <c r="M611" i="18"/>
  <c r="L611" i="18"/>
  <c r="K611" i="18"/>
  <c r="J611" i="18"/>
  <c r="I611" i="18"/>
  <c r="H611" i="18"/>
  <c r="G611" i="18"/>
  <c r="F611" i="18"/>
  <c r="E611" i="18"/>
  <c r="C611" i="18"/>
  <c r="B611" i="18"/>
  <c r="A611" i="18"/>
  <c r="T610" i="18"/>
  <c r="S610" i="18"/>
  <c r="R610" i="18"/>
  <c r="Q610" i="18"/>
  <c r="P610" i="18"/>
  <c r="O610" i="18"/>
  <c r="N610" i="18"/>
  <c r="M610" i="18"/>
  <c r="L610" i="18"/>
  <c r="K610" i="18"/>
  <c r="J610" i="18"/>
  <c r="I610" i="18"/>
  <c r="H610" i="18"/>
  <c r="G610" i="18"/>
  <c r="F610" i="18"/>
  <c r="E610" i="18"/>
  <c r="C610" i="18"/>
  <c r="B610" i="18"/>
  <c r="A610" i="18"/>
  <c r="T609" i="18"/>
  <c r="S609" i="18"/>
  <c r="R609" i="18"/>
  <c r="Q609" i="18"/>
  <c r="P609" i="18"/>
  <c r="O609" i="18"/>
  <c r="N609" i="18"/>
  <c r="M609" i="18"/>
  <c r="L609" i="18"/>
  <c r="K609" i="18"/>
  <c r="J609" i="18"/>
  <c r="I609" i="18"/>
  <c r="H609" i="18"/>
  <c r="G609" i="18"/>
  <c r="F609" i="18"/>
  <c r="E609" i="18"/>
  <c r="C609" i="18"/>
  <c r="B609" i="18"/>
  <c r="A609" i="18"/>
  <c r="T608" i="18"/>
  <c r="S608" i="18"/>
  <c r="R608" i="18"/>
  <c r="Q608" i="18"/>
  <c r="P608" i="18"/>
  <c r="O608" i="18"/>
  <c r="N608" i="18"/>
  <c r="M608" i="18"/>
  <c r="L608" i="18"/>
  <c r="K608" i="18"/>
  <c r="J608" i="18"/>
  <c r="I608" i="18"/>
  <c r="H608" i="18"/>
  <c r="G608" i="18"/>
  <c r="F608" i="18"/>
  <c r="E608" i="18"/>
  <c r="C608" i="18"/>
  <c r="B608" i="18"/>
  <c r="A608" i="18"/>
  <c r="T607" i="18"/>
  <c r="S607" i="18"/>
  <c r="R607" i="18"/>
  <c r="Q607" i="18"/>
  <c r="P607" i="18"/>
  <c r="O607" i="18"/>
  <c r="N607" i="18"/>
  <c r="M607" i="18"/>
  <c r="L607" i="18"/>
  <c r="K607" i="18"/>
  <c r="J607" i="18"/>
  <c r="I607" i="18"/>
  <c r="H607" i="18"/>
  <c r="G607" i="18"/>
  <c r="F607" i="18"/>
  <c r="E607" i="18"/>
  <c r="C607" i="18"/>
  <c r="B607" i="18"/>
  <c r="A607" i="18"/>
  <c r="T606" i="18"/>
  <c r="S606" i="18"/>
  <c r="R606" i="18"/>
  <c r="Q606" i="18"/>
  <c r="P606" i="18"/>
  <c r="O606" i="18"/>
  <c r="N606" i="18"/>
  <c r="M606" i="18"/>
  <c r="L606" i="18"/>
  <c r="K606" i="18"/>
  <c r="J606" i="18"/>
  <c r="I606" i="18"/>
  <c r="H606" i="18"/>
  <c r="G606" i="18"/>
  <c r="F606" i="18"/>
  <c r="E606" i="18"/>
  <c r="C606" i="18"/>
  <c r="B606" i="18"/>
  <c r="A606" i="18"/>
  <c r="T605" i="18"/>
  <c r="S605" i="18"/>
  <c r="R605" i="18"/>
  <c r="Q605" i="18"/>
  <c r="P605" i="18"/>
  <c r="O605" i="18"/>
  <c r="N605" i="18"/>
  <c r="M605" i="18"/>
  <c r="L605" i="18"/>
  <c r="K605" i="18"/>
  <c r="J605" i="18"/>
  <c r="I605" i="18"/>
  <c r="H605" i="18"/>
  <c r="G605" i="18"/>
  <c r="F605" i="18"/>
  <c r="E605" i="18"/>
  <c r="C605" i="18"/>
  <c r="B605" i="18"/>
  <c r="A605" i="18"/>
  <c r="T604" i="18"/>
  <c r="S604" i="18"/>
  <c r="R604" i="18"/>
  <c r="Q604" i="18"/>
  <c r="P604" i="18"/>
  <c r="O604" i="18"/>
  <c r="N604" i="18"/>
  <c r="M604" i="18"/>
  <c r="L604" i="18"/>
  <c r="K604" i="18"/>
  <c r="J604" i="18"/>
  <c r="I604" i="18"/>
  <c r="H604" i="18"/>
  <c r="G604" i="18"/>
  <c r="F604" i="18"/>
  <c r="E604" i="18"/>
  <c r="C604" i="18"/>
  <c r="B604" i="18"/>
  <c r="A604" i="18"/>
  <c r="T603" i="18"/>
  <c r="S603" i="18"/>
  <c r="R603" i="18"/>
  <c r="Q603" i="18"/>
  <c r="P603" i="18"/>
  <c r="O603" i="18"/>
  <c r="N603" i="18"/>
  <c r="M603" i="18"/>
  <c r="L603" i="18"/>
  <c r="K603" i="18"/>
  <c r="J603" i="18"/>
  <c r="I603" i="18"/>
  <c r="H603" i="18"/>
  <c r="G603" i="18"/>
  <c r="F603" i="18"/>
  <c r="E603" i="18"/>
  <c r="C603" i="18"/>
  <c r="B603" i="18"/>
  <c r="A603" i="18"/>
  <c r="T602" i="18"/>
  <c r="S602" i="18"/>
  <c r="R602" i="18"/>
  <c r="Q602" i="18"/>
  <c r="P602" i="18"/>
  <c r="O602" i="18"/>
  <c r="N602" i="18"/>
  <c r="M602" i="18"/>
  <c r="L602" i="18"/>
  <c r="K602" i="18"/>
  <c r="J602" i="18"/>
  <c r="I602" i="18"/>
  <c r="H602" i="18"/>
  <c r="G602" i="18"/>
  <c r="F602" i="18"/>
  <c r="E602" i="18"/>
  <c r="C602" i="18"/>
  <c r="B602" i="18"/>
  <c r="A602" i="18"/>
  <c r="T601" i="18"/>
  <c r="S601" i="18"/>
  <c r="R601" i="18"/>
  <c r="Q601" i="18"/>
  <c r="P601" i="18"/>
  <c r="O601" i="18"/>
  <c r="N601" i="18"/>
  <c r="M601" i="18"/>
  <c r="L601" i="18"/>
  <c r="K601" i="18"/>
  <c r="J601" i="18"/>
  <c r="I601" i="18"/>
  <c r="H601" i="18"/>
  <c r="G601" i="18"/>
  <c r="F601" i="18"/>
  <c r="E601" i="18"/>
  <c r="C601" i="18"/>
  <c r="B601" i="18"/>
  <c r="A601" i="18"/>
  <c r="T600" i="18"/>
  <c r="S600" i="18"/>
  <c r="R600" i="18"/>
  <c r="Q600" i="18"/>
  <c r="P600" i="18"/>
  <c r="O600" i="18"/>
  <c r="N600" i="18"/>
  <c r="M600" i="18"/>
  <c r="L600" i="18"/>
  <c r="K600" i="18"/>
  <c r="J600" i="18"/>
  <c r="I600" i="18"/>
  <c r="H600" i="18"/>
  <c r="G600" i="18"/>
  <c r="F600" i="18"/>
  <c r="E600" i="18"/>
  <c r="C600" i="18"/>
  <c r="B600" i="18"/>
  <c r="A600" i="18"/>
  <c r="T599" i="18"/>
  <c r="S599" i="18"/>
  <c r="R599" i="18"/>
  <c r="Q599" i="18"/>
  <c r="P599" i="18"/>
  <c r="O599" i="18"/>
  <c r="N599" i="18"/>
  <c r="M599" i="18"/>
  <c r="L599" i="18"/>
  <c r="K599" i="18"/>
  <c r="J599" i="18"/>
  <c r="I599" i="18"/>
  <c r="H599" i="18"/>
  <c r="G599" i="18"/>
  <c r="F599" i="18"/>
  <c r="E599" i="18"/>
  <c r="C599" i="18"/>
  <c r="B599" i="18"/>
  <c r="A599" i="18"/>
  <c r="T598" i="18"/>
  <c r="S598" i="18"/>
  <c r="R598" i="18"/>
  <c r="Q598" i="18"/>
  <c r="P598" i="18"/>
  <c r="O598" i="18"/>
  <c r="N598" i="18"/>
  <c r="M598" i="18"/>
  <c r="L598" i="18"/>
  <c r="K598" i="18"/>
  <c r="J598" i="18"/>
  <c r="I598" i="18"/>
  <c r="H598" i="18"/>
  <c r="G598" i="18"/>
  <c r="F598" i="18"/>
  <c r="E598" i="18"/>
  <c r="C598" i="18"/>
  <c r="B598" i="18"/>
  <c r="A598" i="18"/>
  <c r="T597" i="18"/>
  <c r="S597" i="18"/>
  <c r="R597" i="18"/>
  <c r="Q597" i="18"/>
  <c r="P597" i="18"/>
  <c r="O597" i="18"/>
  <c r="N597" i="18"/>
  <c r="M597" i="18"/>
  <c r="L597" i="18"/>
  <c r="K597" i="18"/>
  <c r="J597" i="18"/>
  <c r="I597" i="18"/>
  <c r="H597" i="18"/>
  <c r="G597" i="18"/>
  <c r="F597" i="18"/>
  <c r="E597" i="18"/>
  <c r="C597" i="18"/>
  <c r="B597" i="18"/>
  <c r="A597" i="18"/>
  <c r="T596" i="18"/>
  <c r="S596" i="18"/>
  <c r="R596" i="18"/>
  <c r="Q596" i="18"/>
  <c r="P596" i="18"/>
  <c r="O596" i="18"/>
  <c r="N596" i="18"/>
  <c r="M596" i="18"/>
  <c r="L596" i="18"/>
  <c r="K596" i="18"/>
  <c r="J596" i="18"/>
  <c r="I596" i="18"/>
  <c r="H596" i="18"/>
  <c r="G596" i="18"/>
  <c r="F596" i="18"/>
  <c r="E596" i="18"/>
  <c r="C596" i="18"/>
  <c r="B596" i="18"/>
  <c r="A596" i="18"/>
  <c r="T595" i="18"/>
  <c r="S595" i="18"/>
  <c r="R595" i="18"/>
  <c r="Q595" i="18"/>
  <c r="P595" i="18"/>
  <c r="O595" i="18"/>
  <c r="N595" i="18"/>
  <c r="M595" i="18"/>
  <c r="L595" i="18"/>
  <c r="K595" i="18"/>
  <c r="J595" i="18"/>
  <c r="I595" i="18"/>
  <c r="H595" i="18"/>
  <c r="G595" i="18"/>
  <c r="F595" i="18"/>
  <c r="E595" i="18"/>
  <c r="C595" i="18"/>
  <c r="B595" i="18"/>
  <c r="A595" i="18"/>
  <c r="T594" i="18"/>
  <c r="S594" i="18"/>
  <c r="R594" i="18"/>
  <c r="Q594" i="18"/>
  <c r="P594" i="18"/>
  <c r="O594" i="18"/>
  <c r="N594" i="18"/>
  <c r="M594" i="18"/>
  <c r="L594" i="18"/>
  <c r="K594" i="18"/>
  <c r="J594" i="18"/>
  <c r="I594" i="18"/>
  <c r="H594" i="18"/>
  <c r="G594" i="18"/>
  <c r="F594" i="18"/>
  <c r="E594" i="18"/>
  <c r="C594" i="18"/>
  <c r="B594" i="18"/>
  <c r="A594" i="18"/>
  <c r="T593" i="18"/>
  <c r="S593" i="18"/>
  <c r="R593" i="18"/>
  <c r="Q593" i="18"/>
  <c r="P593" i="18"/>
  <c r="O593" i="18"/>
  <c r="N593" i="18"/>
  <c r="M593" i="18"/>
  <c r="L593" i="18"/>
  <c r="K593" i="18"/>
  <c r="J593" i="18"/>
  <c r="I593" i="18"/>
  <c r="H593" i="18"/>
  <c r="G593" i="18"/>
  <c r="F593" i="18"/>
  <c r="E593" i="18"/>
  <c r="C593" i="18"/>
  <c r="B593" i="18"/>
  <c r="A593" i="18"/>
  <c r="T592" i="18"/>
  <c r="S592" i="18"/>
  <c r="R592" i="18"/>
  <c r="Q592" i="18"/>
  <c r="P592" i="18"/>
  <c r="O592" i="18"/>
  <c r="N592" i="18"/>
  <c r="M592" i="18"/>
  <c r="L592" i="18"/>
  <c r="K592" i="18"/>
  <c r="J592" i="18"/>
  <c r="I592" i="18"/>
  <c r="H592" i="18"/>
  <c r="G592" i="18"/>
  <c r="F592" i="18"/>
  <c r="E592" i="18"/>
  <c r="C592" i="18"/>
  <c r="B592" i="18"/>
  <c r="A592" i="18"/>
  <c r="T591" i="18"/>
  <c r="S591" i="18"/>
  <c r="R591" i="18"/>
  <c r="Q591" i="18"/>
  <c r="P591" i="18"/>
  <c r="O591" i="18"/>
  <c r="N591" i="18"/>
  <c r="M591" i="18"/>
  <c r="L591" i="18"/>
  <c r="K591" i="18"/>
  <c r="J591" i="18"/>
  <c r="I591" i="18"/>
  <c r="H591" i="18"/>
  <c r="G591" i="18"/>
  <c r="F591" i="18"/>
  <c r="E591" i="18"/>
  <c r="C591" i="18"/>
  <c r="B591" i="18"/>
  <c r="A591" i="18"/>
  <c r="T590" i="18"/>
  <c r="S590" i="18"/>
  <c r="R590" i="18"/>
  <c r="Q590" i="18"/>
  <c r="P590" i="18"/>
  <c r="O590" i="18"/>
  <c r="N590" i="18"/>
  <c r="M590" i="18"/>
  <c r="L590" i="18"/>
  <c r="K590" i="18"/>
  <c r="J590" i="18"/>
  <c r="I590" i="18"/>
  <c r="H590" i="18"/>
  <c r="G590" i="18"/>
  <c r="F590" i="18"/>
  <c r="E590" i="18"/>
  <c r="C590" i="18"/>
  <c r="B590" i="18"/>
  <c r="A590" i="18"/>
  <c r="T589" i="18"/>
  <c r="S589" i="18"/>
  <c r="R589" i="18"/>
  <c r="Q589" i="18"/>
  <c r="P589" i="18"/>
  <c r="O589" i="18"/>
  <c r="N589" i="18"/>
  <c r="M589" i="18"/>
  <c r="L589" i="18"/>
  <c r="K589" i="18"/>
  <c r="J589" i="18"/>
  <c r="I589" i="18"/>
  <c r="H589" i="18"/>
  <c r="G589" i="18"/>
  <c r="F589" i="18"/>
  <c r="E589" i="18"/>
  <c r="C589" i="18"/>
  <c r="B589" i="18"/>
  <c r="A589" i="18"/>
  <c r="T588" i="18"/>
  <c r="S588" i="18"/>
  <c r="R588" i="18"/>
  <c r="Q588" i="18"/>
  <c r="P588" i="18"/>
  <c r="O588" i="18"/>
  <c r="N588" i="18"/>
  <c r="M588" i="18"/>
  <c r="L588" i="18"/>
  <c r="K588" i="18"/>
  <c r="J588" i="18"/>
  <c r="I588" i="18"/>
  <c r="H588" i="18"/>
  <c r="G588" i="18"/>
  <c r="F588" i="18"/>
  <c r="E588" i="18"/>
  <c r="C588" i="18"/>
  <c r="B588" i="18"/>
  <c r="A588" i="18"/>
  <c r="T587" i="18"/>
  <c r="S587" i="18"/>
  <c r="R587" i="18"/>
  <c r="Q587" i="18"/>
  <c r="P587" i="18"/>
  <c r="O587" i="18"/>
  <c r="N587" i="18"/>
  <c r="M587" i="18"/>
  <c r="L587" i="18"/>
  <c r="K587" i="18"/>
  <c r="J587" i="18"/>
  <c r="I587" i="18"/>
  <c r="H587" i="18"/>
  <c r="G587" i="18"/>
  <c r="F587" i="18"/>
  <c r="E587" i="18"/>
  <c r="C587" i="18"/>
  <c r="B587" i="18"/>
  <c r="A587" i="18"/>
  <c r="T586" i="18"/>
  <c r="S586" i="18"/>
  <c r="R586" i="18"/>
  <c r="Q586" i="18"/>
  <c r="P586" i="18"/>
  <c r="O586" i="18"/>
  <c r="N586" i="18"/>
  <c r="M586" i="18"/>
  <c r="L586" i="18"/>
  <c r="K586" i="18"/>
  <c r="J586" i="18"/>
  <c r="I586" i="18"/>
  <c r="H586" i="18"/>
  <c r="G586" i="18"/>
  <c r="F586" i="18"/>
  <c r="E586" i="18"/>
  <c r="C586" i="18"/>
  <c r="B586" i="18"/>
  <c r="A586" i="18"/>
  <c r="T585" i="18"/>
  <c r="S585" i="18"/>
  <c r="R585" i="18"/>
  <c r="Q585" i="18"/>
  <c r="P585" i="18"/>
  <c r="O585" i="18"/>
  <c r="N585" i="18"/>
  <c r="M585" i="18"/>
  <c r="L585" i="18"/>
  <c r="K585" i="18"/>
  <c r="J585" i="18"/>
  <c r="I585" i="18"/>
  <c r="H585" i="18"/>
  <c r="G585" i="18"/>
  <c r="F585" i="18"/>
  <c r="E585" i="18"/>
  <c r="C585" i="18"/>
  <c r="B585" i="18"/>
  <c r="A585" i="18"/>
  <c r="T584" i="18"/>
  <c r="S584" i="18"/>
  <c r="R584" i="18"/>
  <c r="Q584" i="18"/>
  <c r="P584" i="18"/>
  <c r="O584" i="18"/>
  <c r="N584" i="18"/>
  <c r="M584" i="18"/>
  <c r="L584" i="18"/>
  <c r="K584" i="18"/>
  <c r="J584" i="18"/>
  <c r="I584" i="18"/>
  <c r="H584" i="18"/>
  <c r="G584" i="18"/>
  <c r="F584" i="18"/>
  <c r="E584" i="18"/>
  <c r="C584" i="18"/>
  <c r="B584" i="18"/>
  <c r="A584" i="18"/>
  <c r="T583" i="18"/>
  <c r="S583" i="18"/>
  <c r="R583" i="18"/>
  <c r="Q583" i="18"/>
  <c r="P583" i="18"/>
  <c r="O583" i="18"/>
  <c r="N583" i="18"/>
  <c r="M583" i="18"/>
  <c r="L583" i="18"/>
  <c r="K583" i="18"/>
  <c r="J583" i="18"/>
  <c r="I583" i="18"/>
  <c r="H583" i="18"/>
  <c r="G583" i="18"/>
  <c r="F583" i="18"/>
  <c r="E583" i="18"/>
  <c r="C583" i="18"/>
  <c r="B583" i="18"/>
  <c r="A583" i="18"/>
  <c r="T582" i="18"/>
  <c r="S582" i="18"/>
  <c r="R582" i="18"/>
  <c r="Q582" i="18"/>
  <c r="P582" i="18"/>
  <c r="O582" i="18"/>
  <c r="N582" i="18"/>
  <c r="M582" i="18"/>
  <c r="L582" i="18"/>
  <c r="K582" i="18"/>
  <c r="J582" i="18"/>
  <c r="I582" i="18"/>
  <c r="H582" i="18"/>
  <c r="G582" i="18"/>
  <c r="F582" i="18"/>
  <c r="E582" i="18"/>
  <c r="C582" i="18"/>
  <c r="B582" i="18"/>
  <c r="A582" i="18"/>
  <c r="T581" i="18"/>
  <c r="S581" i="18"/>
  <c r="R581" i="18"/>
  <c r="Q581" i="18"/>
  <c r="P581" i="18"/>
  <c r="O581" i="18"/>
  <c r="N581" i="18"/>
  <c r="M581" i="18"/>
  <c r="L581" i="18"/>
  <c r="K581" i="18"/>
  <c r="J581" i="18"/>
  <c r="I581" i="18"/>
  <c r="H581" i="18"/>
  <c r="G581" i="18"/>
  <c r="F581" i="18"/>
  <c r="E581" i="18"/>
  <c r="C581" i="18"/>
  <c r="B581" i="18"/>
  <c r="A581" i="18"/>
  <c r="T580" i="18"/>
  <c r="S580" i="18"/>
  <c r="R580" i="18"/>
  <c r="Q580" i="18"/>
  <c r="P580" i="18"/>
  <c r="O580" i="18"/>
  <c r="N580" i="18"/>
  <c r="M580" i="18"/>
  <c r="L580" i="18"/>
  <c r="K580" i="18"/>
  <c r="J580" i="18"/>
  <c r="I580" i="18"/>
  <c r="H580" i="18"/>
  <c r="G580" i="18"/>
  <c r="F580" i="18"/>
  <c r="E580" i="18"/>
  <c r="C580" i="18"/>
  <c r="B580" i="18"/>
  <c r="A580" i="18"/>
  <c r="T579" i="18"/>
  <c r="S579" i="18"/>
  <c r="R579" i="18"/>
  <c r="Q579" i="18"/>
  <c r="P579" i="18"/>
  <c r="O579" i="18"/>
  <c r="N579" i="18"/>
  <c r="M579" i="18"/>
  <c r="L579" i="18"/>
  <c r="K579" i="18"/>
  <c r="J579" i="18"/>
  <c r="I579" i="18"/>
  <c r="H579" i="18"/>
  <c r="G579" i="18"/>
  <c r="F579" i="18"/>
  <c r="E579" i="18"/>
  <c r="C579" i="18"/>
  <c r="B579" i="18"/>
  <c r="A579" i="18"/>
  <c r="T578" i="18"/>
  <c r="S578" i="18"/>
  <c r="R578" i="18"/>
  <c r="Q578" i="18"/>
  <c r="P578" i="18"/>
  <c r="O578" i="18"/>
  <c r="N578" i="18"/>
  <c r="M578" i="18"/>
  <c r="L578" i="18"/>
  <c r="K578" i="18"/>
  <c r="J578" i="18"/>
  <c r="I578" i="18"/>
  <c r="H578" i="18"/>
  <c r="G578" i="18"/>
  <c r="F578" i="18"/>
  <c r="E578" i="18"/>
  <c r="C578" i="18"/>
  <c r="B578" i="18"/>
  <c r="A578" i="18"/>
  <c r="T577" i="18"/>
  <c r="S577" i="18"/>
  <c r="R577" i="18"/>
  <c r="Q577" i="18"/>
  <c r="P577" i="18"/>
  <c r="O577" i="18"/>
  <c r="N577" i="18"/>
  <c r="M577" i="18"/>
  <c r="L577" i="18"/>
  <c r="K577" i="18"/>
  <c r="J577" i="18"/>
  <c r="I577" i="18"/>
  <c r="H577" i="18"/>
  <c r="G577" i="18"/>
  <c r="F577" i="18"/>
  <c r="E577" i="18"/>
  <c r="C577" i="18"/>
  <c r="B577" i="18"/>
  <c r="A577" i="18"/>
  <c r="T576" i="18"/>
  <c r="S576" i="18"/>
  <c r="R576" i="18"/>
  <c r="Q576" i="18"/>
  <c r="P576" i="18"/>
  <c r="O576" i="18"/>
  <c r="N576" i="18"/>
  <c r="M576" i="18"/>
  <c r="L576" i="18"/>
  <c r="K576" i="18"/>
  <c r="J576" i="18"/>
  <c r="I576" i="18"/>
  <c r="H576" i="18"/>
  <c r="G576" i="18"/>
  <c r="F576" i="18"/>
  <c r="E576" i="18"/>
  <c r="C576" i="18"/>
  <c r="B576" i="18"/>
  <c r="A576" i="18"/>
  <c r="T575" i="18"/>
  <c r="S575" i="18"/>
  <c r="R575" i="18"/>
  <c r="Q575" i="18"/>
  <c r="P575" i="18"/>
  <c r="O575" i="18"/>
  <c r="N575" i="18"/>
  <c r="M575" i="18"/>
  <c r="L575" i="18"/>
  <c r="K575" i="18"/>
  <c r="J575" i="18"/>
  <c r="I575" i="18"/>
  <c r="H575" i="18"/>
  <c r="G575" i="18"/>
  <c r="F575" i="18"/>
  <c r="E575" i="18"/>
  <c r="C575" i="18"/>
  <c r="B575" i="18"/>
  <c r="A575" i="18"/>
  <c r="T574" i="18"/>
  <c r="S574" i="18"/>
  <c r="R574" i="18"/>
  <c r="Q574" i="18"/>
  <c r="P574" i="18"/>
  <c r="O574" i="18"/>
  <c r="N574" i="18"/>
  <c r="M574" i="18"/>
  <c r="L574" i="18"/>
  <c r="K574" i="18"/>
  <c r="J574" i="18"/>
  <c r="I574" i="18"/>
  <c r="H574" i="18"/>
  <c r="G574" i="18"/>
  <c r="F574" i="18"/>
  <c r="E574" i="18"/>
  <c r="C574" i="18"/>
  <c r="B574" i="18"/>
  <c r="A574" i="18"/>
  <c r="T573" i="18"/>
  <c r="S573" i="18"/>
  <c r="R573" i="18"/>
  <c r="Q573" i="18"/>
  <c r="P573" i="18"/>
  <c r="O573" i="18"/>
  <c r="N573" i="18"/>
  <c r="M573" i="18"/>
  <c r="L573" i="18"/>
  <c r="K573" i="18"/>
  <c r="J573" i="18"/>
  <c r="I573" i="18"/>
  <c r="H573" i="18"/>
  <c r="G573" i="18"/>
  <c r="F573" i="18"/>
  <c r="E573" i="18"/>
  <c r="C573" i="18"/>
  <c r="B573" i="18"/>
  <c r="A573" i="18"/>
  <c r="T572" i="18"/>
  <c r="S572" i="18"/>
  <c r="R572" i="18"/>
  <c r="Q572" i="18"/>
  <c r="P572" i="18"/>
  <c r="O572" i="18"/>
  <c r="N572" i="18"/>
  <c r="M572" i="18"/>
  <c r="L572" i="18"/>
  <c r="K572" i="18"/>
  <c r="J572" i="18"/>
  <c r="I572" i="18"/>
  <c r="H572" i="18"/>
  <c r="G572" i="18"/>
  <c r="F572" i="18"/>
  <c r="E572" i="18"/>
  <c r="C572" i="18"/>
  <c r="B572" i="18"/>
  <c r="A572" i="18"/>
  <c r="T571" i="18"/>
  <c r="S571" i="18"/>
  <c r="R571" i="18"/>
  <c r="Q571" i="18"/>
  <c r="P571" i="18"/>
  <c r="O571" i="18"/>
  <c r="N571" i="18"/>
  <c r="M571" i="18"/>
  <c r="L571" i="18"/>
  <c r="K571" i="18"/>
  <c r="J571" i="18"/>
  <c r="I571" i="18"/>
  <c r="H571" i="18"/>
  <c r="G571" i="18"/>
  <c r="F571" i="18"/>
  <c r="E571" i="18"/>
  <c r="C571" i="18"/>
  <c r="B571" i="18"/>
  <c r="A571" i="18"/>
  <c r="T570" i="18"/>
  <c r="S570" i="18"/>
  <c r="R570" i="18"/>
  <c r="Q570" i="18"/>
  <c r="P570" i="18"/>
  <c r="O570" i="18"/>
  <c r="N570" i="18"/>
  <c r="M570" i="18"/>
  <c r="L570" i="18"/>
  <c r="K570" i="18"/>
  <c r="J570" i="18"/>
  <c r="I570" i="18"/>
  <c r="H570" i="18"/>
  <c r="G570" i="18"/>
  <c r="F570" i="18"/>
  <c r="E570" i="18"/>
  <c r="C570" i="18"/>
  <c r="B570" i="18"/>
  <c r="A570" i="18"/>
  <c r="T569" i="18"/>
  <c r="S569" i="18"/>
  <c r="R569" i="18"/>
  <c r="Q569" i="18"/>
  <c r="P569" i="18"/>
  <c r="O569" i="18"/>
  <c r="N569" i="18"/>
  <c r="M569" i="18"/>
  <c r="L569" i="18"/>
  <c r="K569" i="18"/>
  <c r="J569" i="18"/>
  <c r="I569" i="18"/>
  <c r="H569" i="18"/>
  <c r="G569" i="18"/>
  <c r="F569" i="18"/>
  <c r="E569" i="18"/>
  <c r="C569" i="18"/>
  <c r="B569" i="18"/>
  <c r="A569" i="18"/>
  <c r="T568" i="18"/>
  <c r="S568" i="18"/>
  <c r="R568" i="18"/>
  <c r="Q568" i="18"/>
  <c r="P568" i="18"/>
  <c r="O568" i="18"/>
  <c r="N568" i="18"/>
  <c r="M568" i="18"/>
  <c r="L568" i="18"/>
  <c r="K568" i="18"/>
  <c r="J568" i="18"/>
  <c r="I568" i="18"/>
  <c r="H568" i="18"/>
  <c r="G568" i="18"/>
  <c r="F568" i="18"/>
  <c r="E568" i="18"/>
  <c r="C568" i="18"/>
  <c r="B568" i="18"/>
  <c r="A568" i="18"/>
  <c r="T567" i="18"/>
  <c r="S567" i="18"/>
  <c r="R567" i="18"/>
  <c r="Q567" i="18"/>
  <c r="P567" i="18"/>
  <c r="O567" i="18"/>
  <c r="N567" i="18"/>
  <c r="M567" i="18"/>
  <c r="L567" i="18"/>
  <c r="K567" i="18"/>
  <c r="J567" i="18"/>
  <c r="I567" i="18"/>
  <c r="H567" i="18"/>
  <c r="G567" i="18"/>
  <c r="F567" i="18"/>
  <c r="E567" i="18"/>
  <c r="C567" i="18"/>
  <c r="B567" i="18"/>
  <c r="A567" i="18"/>
  <c r="T566" i="18"/>
  <c r="S566" i="18"/>
  <c r="R566" i="18"/>
  <c r="Q566" i="18"/>
  <c r="P566" i="18"/>
  <c r="O566" i="18"/>
  <c r="N566" i="18"/>
  <c r="M566" i="18"/>
  <c r="L566" i="18"/>
  <c r="K566" i="18"/>
  <c r="J566" i="18"/>
  <c r="I566" i="18"/>
  <c r="H566" i="18"/>
  <c r="G566" i="18"/>
  <c r="F566" i="18"/>
  <c r="E566" i="18"/>
  <c r="C566" i="18"/>
  <c r="B566" i="18"/>
  <c r="A566" i="18"/>
  <c r="T565" i="18"/>
  <c r="S565" i="18"/>
  <c r="R565" i="18"/>
  <c r="Q565" i="18"/>
  <c r="P565" i="18"/>
  <c r="O565" i="18"/>
  <c r="N565" i="18"/>
  <c r="M565" i="18"/>
  <c r="L565" i="18"/>
  <c r="K565" i="18"/>
  <c r="J565" i="18"/>
  <c r="I565" i="18"/>
  <c r="H565" i="18"/>
  <c r="G565" i="18"/>
  <c r="F565" i="18"/>
  <c r="E565" i="18"/>
  <c r="C565" i="18"/>
  <c r="B565" i="18"/>
  <c r="A565" i="18"/>
  <c r="T564" i="18"/>
  <c r="S564" i="18"/>
  <c r="R564" i="18"/>
  <c r="Q564" i="18"/>
  <c r="P564" i="18"/>
  <c r="O564" i="18"/>
  <c r="N564" i="18"/>
  <c r="M564" i="18"/>
  <c r="L564" i="18"/>
  <c r="K564" i="18"/>
  <c r="J564" i="18"/>
  <c r="I564" i="18"/>
  <c r="H564" i="18"/>
  <c r="G564" i="18"/>
  <c r="F564" i="18"/>
  <c r="E564" i="18"/>
  <c r="C564" i="18"/>
  <c r="B564" i="18"/>
  <c r="A564" i="18"/>
  <c r="T563" i="18"/>
  <c r="S563" i="18"/>
  <c r="R563" i="18"/>
  <c r="Q563" i="18"/>
  <c r="P563" i="18"/>
  <c r="O563" i="18"/>
  <c r="N563" i="18"/>
  <c r="M563" i="18"/>
  <c r="L563" i="18"/>
  <c r="K563" i="18"/>
  <c r="J563" i="18"/>
  <c r="I563" i="18"/>
  <c r="H563" i="18"/>
  <c r="G563" i="18"/>
  <c r="F563" i="18"/>
  <c r="E563" i="18"/>
  <c r="C563" i="18"/>
  <c r="B563" i="18"/>
  <c r="A563" i="18"/>
  <c r="T562" i="18"/>
  <c r="S562" i="18"/>
  <c r="R562" i="18"/>
  <c r="Q562" i="18"/>
  <c r="P562" i="18"/>
  <c r="O562" i="18"/>
  <c r="N562" i="18"/>
  <c r="M562" i="18"/>
  <c r="L562" i="18"/>
  <c r="K562" i="18"/>
  <c r="J562" i="18"/>
  <c r="I562" i="18"/>
  <c r="H562" i="18"/>
  <c r="G562" i="18"/>
  <c r="F562" i="18"/>
  <c r="E562" i="18"/>
  <c r="C562" i="18"/>
  <c r="B562" i="18"/>
  <c r="A562" i="18"/>
  <c r="T561" i="18"/>
  <c r="S561" i="18"/>
  <c r="R561" i="18"/>
  <c r="Q561" i="18"/>
  <c r="P561" i="18"/>
  <c r="O561" i="18"/>
  <c r="N561" i="18"/>
  <c r="M561" i="18"/>
  <c r="L561" i="18"/>
  <c r="K561" i="18"/>
  <c r="J561" i="18"/>
  <c r="I561" i="18"/>
  <c r="H561" i="18"/>
  <c r="G561" i="18"/>
  <c r="F561" i="18"/>
  <c r="E561" i="18"/>
  <c r="C561" i="18"/>
  <c r="B561" i="18"/>
  <c r="A561" i="18"/>
  <c r="T560" i="18"/>
  <c r="S560" i="18"/>
  <c r="R560" i="18"/>
  <c r="Q560" i="18"/>
  <c r="P560" i="18"/>
  <c r="O560" i="18"/>
  <c r="N560" i="18"/>
  <c r="M560" i="18"/>
  <c r="L560" i="18"/>
  <c r="K560" i="18"/>
  <c r="J560" i="18"/>
  <c r="I560" i="18"/>
  <c r="H560" i="18"/>
  <c r="G560" i="18"/>
  <c r="F560" i="18"/>
  <c r="E560" i="18"/>
  <c r="C560" i="18"/>
  <c r="B560" i="18"/>
  <c r="A560" i="18"/>
  <c r="T559" i="18"/>
  <c r="S559" i="18"/>
  <c r="R559" i="18"/>
  <c r="Q559" i="18"/>
  <c r="P559" i="18"/>
  <c r="O559" i="18"/>
  <c r="N559" i="18"/>
  <c r="M559" i="18"/>
  <c r="L559" i="18"/>
  <c r="K559" i="18"/>
  <c r="J559" i="18"/>
  <c r="I559" i="18"/>
  <c r="H559" i="18"/>
  <c r="G559" i="18"/>
  <c r="F559" i="18"/>
  <c r="E559" i="18"/>
  <c r="C559" i="18"/>
  <c r="B559" i="18"/>
  <c r="A559" i="18"/>
  <c r="T558" i="18"/>
  <c r="S558" i="18"/>
  <c r="R558" i="18"/>
  <c r="Q558" i="18"/>
  <c r="P558" i="18"/>
  <c r="O558" i="18"/>
  <c r="N558" i="18"/>
  <c r="M558" i="18"/>
  <c r="L558" i="18"/>
  <c r="K558" i="18"/>
  <c r="J558" i="18"/>
  <c r="I558" i="18"/>
  <c r="H558" i="18"/>
  <c r="G558" i="18"/>
  <c r="F558" i="18"/>
  <c r="E558" i="18"/>
  <c r="C558" i="18"/>
  <c r="B558" i="18"/>
  <c r="A558" i="18"/>
  <c r="T557" i="18"/>
  <c r="S557" i="18"/>
  <c r="R557" i="18"/>
  <c r="Q557" i="18"/>
  <c r="P557" i="18"/>
  <c r="O557" i="18"/>
  <c r="N557" i="18"/>
  <c r="M557" i="18"/>
  <c r="L557" i="18"/>
  <c r="K557" i="18"/>
  <c r="J557" i="18"/>
  <c r="I557" i="18"/>
  <c r="H557" i="18"/>
  <c r="G557" i="18"/>
  <c r="F557" i="18"/>
  <c r="E557" i="18"/>
  <c r="C557" i="18"/>
  <c r="B557" i="18"/>
  <c r="A557" i="18"/>
  <c r="T556" i="18"/>
  <c r="S556" i="18"/>
  <c r="R556" i="18"/>
  <c r="Q556" i="18"/>
  <c r="P556" i="18"/>
  <c r="O556" i="18"/>
  <c r="N556" i="18"/>
  <c r="M556" i="18"/>
  <c r="L556" i="18"/>
  <c r="K556" i="18"/>
  <c r="J556" i="18"/>
  <c r="I556" i="18"/>
  <c r="H556" i="18"/>
  <c r="G556" i="18"/>
  <c r="F556" i="18"/>
  <c r="E556" i="18"/>
  <c r="C556" i="18"/>
  <c r="B556" i="18"/>
  <c r="A556" i="18"/>
  <c r="T555" i="18"/>
  <c r="S555" i="18"/>
  <c r="R555" i="18"/>
  <c r="Q555" i="18"/>
  <c r="P555" i="18"/>
  <c r="O555" i="18"/>
  <c r="N555" i="18"/>
  <c r="M555" i="18"/>
  <c r="L555" i="18"/>
  <c r="K555" i="18"/>
  <c r="J555" i="18"/>
  <c r="I555" i="18"/>
  <c r="H555" i="18"/>
  <c r="G555" i="18"/>
  <c r="F555" i="18"/>
  <c r="E555" i="18"/>
  <c r="C555" i="18"/>
  <c r="B555" i="18"/>
  <c r="A555" i="18"/>
  <c r="T554" i="18"/>
  <c r="S554" i="18"/>
  <c r="R554" i="18"/>
  <c r="Q554" i="18"/>
  <c r="P554" i="18"/>
  <c r="O554" i="18"/>
  <c r="N554" i="18"/>
  <c r="M554" i="18"/>
  <c r="L554" i="18"/>
  <c r="K554" i="18"/>
  <c r="J554" i="18"/>
  <c r="I554" i="18"/>
  <c r="H554" i="18"/>
  <c r="G554" i="18"/>
  <c r="F554" i="18"/>
  <c r="E554" i="18"/>
  <c r="C554" i="18"/>
  <c r="B554" i="18"/>
  <c r="A554" i="18"/>
  <c r="T553" i="18"/>
  <c r="S553" i="18"/>
  <c r="R553" i="18"/>
  <c r="Q553" i="18"/>
  <c r="P553" i="18"/>
  <c r="O553" i="18"/>
  <c r="N553" i="18"/>
  <c r="M553" i="18"/>
  <c r="L553" i="18"/>
  <c r="K553" i="18"/>
  <c r="J553" i="18"/>
  <c r="I553" i="18"/>
  <c r="H553" i="18"/>
  <c r="G553" i="18"/>
  <c r="F553" i="18"/>
  <c r="E553" i="18"/>
  <c r="C553" i="18"/>
  <c r="B553" i="18"/>
  <c r="A553" i="18"/>
  <c r="T552" i="18"/>
  <c r="S552" i="18"/>
  <c r="R552" i="18"/>
  <c r="Q552" i="18"/>
  <c r="P552" i="18"/>
  <c r="O552" i="18"/>
  <c r="N552" i="18"/>
  <c r="M552" i="18"/>
  <c r="L552" i="18"/>
  <c r="K552" i="18"/>
  <c r="J552" i="18"/>
  <c r="I552" i="18"/>
  <c r="H552" i="18"/>
  <c r="G552" i="18"/>
  <c r="F552" i="18"/>
  <c r="E552" i="18"/>
  <c r="C552" i="18"/>
  <c r="B552" i="18"/>
  <c r="A552" i="18"/>
  <c r="T551" i="18"/>
  <c r="S551" i="18"/>
  <c r="R551" i="18"/>
  <c r="Q551" i="18"/>
  <c r="P551" i="18"/>
  <c r="O551" i="18"/>
  <c r="N551" i="18"/>
  <c r="M551" i="18"/>
  <c r="L551" i="18"/>
  <c r="K551" i="18"/>
  <c r="J551" i="18"/>
  <c r="I551" i="18"/>
  <c r="H551" i="18"/>
  <c r="G551" i="18"/>
  <c r="F551" i="18"/>
  <c r="E551" i="18"/>
  <c r="C551" i="18"/>
  <c r="B551" i="18"/>
  <c r="A551" i="18"/>
  <c r="T550" i="18"/>
  <c r="S550" i="18"/>
  <c r="R550" i="18"/>
  <c r="Q550" i="18"/>
  <c r="P550" i="18"/>
  <c r="O550" i="18"/>
  <c r="N550" i="18"/>
  <c r="M550" i="18"/>
  <c r="L550" i="18"/>
  <c r="K550" i="18"/>
  <c r="J550" i="18"/>
  <c r="I550" i="18"/>
  <c r="H550" i="18"/>
  <c r="G550" i="18"/>
  <c r="F550" i="18"/>
  <c r="E550" i="18"/>
  <c r="C550" i="18"/>
  <c r="B550" i="18"/>
  <c r="A550" i="18"/>
  <c r="T549" i="18"/>
  <c r="S549" i="18"/>
  <c r="R549" i="18"/>
  <c r="Q549" i="18"/>
  <c r="P549" i="18"/>
  <c r="O549" i="18"/>
  <c r="N549" i="18"/>
  <c r="M549" i="18"/>
  <c r="L549" i="18"/>
  <c r="K549" i="18"/>
  <c r="J549" i="18"/>
  <c r="I549" i="18"/>
  <c r="H549" i="18"/>
  <c r="G549" i="18"/>
  <c r="F549" i="18"/>
  <c r="E549" i="18"/>
  <c r="C549" i="18"/>
  <c r="B549" i="18"/>
  <c r="A549" i="18"/>
  <c r="T548" i="18"/>
  <c r="S548" i="18"/>
  <c r="R548" i="18"/>
  <c r="Q548" i="18"/>
  <c r="P548" i="18"/>
  <c r="O548" i="18"/>
  <c r="N548" i="18"/>
  <c r="M548" i="18"/>
  <c r="L548" i="18"/>
  <c r="K548" i="18"/>
  <c r="J548" i="18"/>
  <c r="I548" i="18"/>
  <c r="H548" i="18"/>
  <c r="G548" i="18"/>
  <c r="F548" i="18"/>
  <c r="E548" i="18"/>
  <c r="C548" i="18"/>
  <c r="B548" i="18"/>
  <c r="A548" i="18"/>
  <c r="T547" i="18"/>
  <c r="S547" i="18"/>
  <c r="R547" i="18"/>
  <c r="Q547" i="18"/>
  <c r="P547" i="18"/>
  <c r="O547" i="18"/>
  <c r="N547" i="18"/>
  <c r="M547" i="18"/>
  <c r="L547" i="18"/>
  <c r="K547" i="18"/>
  <c r="J547" i="18"/>
  <c r="I547" i="18"/>
  <c r="H547" i="18"/>
  <c r="G547" i="18"/>
  <c r="F547" i="18"/>
  <c r="E547" i="18"/>
  <c r="C547" i="18"/>
  <c r="B547" i="18"/>
  <c r="A547" i="18"/>
  <c r="T546" i="18"/>
  <c r="S546" i="18"/>
  <c r="R546" i="18"/>
  <c r="Q546" i="18"/>
  <c r="P546" i="18"/>
  <c r="O546" i="18"/>
  <c r="N546" i="18"/>
  <c r="M546" i="18"/>
  <c r="L546" i="18"/>
  <c r="K546" i="18"/>
  <c r="J546" i="18"/>
  <c r="I546" i="18"/>
  <c r="H546" i="18"/>
  <c r="G546" i="18"/>
  <c r="F546" i="18"/>
  <c r="E546" i="18"/>
  <c r="C546" i="18"/>
  <c r="B546" i="18"/>
  <c r="A546" i="18"/>
  <c r="T545" i="18"/>
  <c r="S545" i="18"/>
  <c r="R545" i="18"/>
  <c r="Q545" i="18"/>
  <c r="P545" i="18"/>
  <c r="O545" i="18"/>
  <c r="N545" i="18"/>
  <c r="M545" i="18"/>
  <c r="L545" i="18"/>
  <c r="K545" i="18"/>
  <c r="J545" i="18"/>
  <c r="I545" i="18"/>
  <c r="H545" i="18"/>
  <c r="G545" i="18"/>
  <c r="F545" i="18"/>
  <c r="E545" i="18"/>
  <c r="C545" i="18"/>
  <c r="B545" i="18"/>
  <c r="A545" i="18"/>
  <c r="T544" i="18"/>
  <c r="S544" i="18"/>
  <c r="R544" i="18"/>
  <c r="Q544" i="18"/>
  <c r="P544" i="18"/>
  <c r="O544" i="18"/>
  <c r="N544" i="18"/>
  <c r="M544" i="18"/>
  <c r="L544" i="18"/>
  <c r="K544" i="18"/>
  <c r="J544" i="18"/>
  <c r="I544" i="18"/>
  <c r="H544" i="18"/>
  <c r="G544" i="18"/>
  <c r="F544" i="18"/>
  <c r="E544" i="18"/>
  <c r="C544" i="18"/>
  <c r="B544" i="18"/>
  <c r="A544" i="18"/>
  <c r="T543" i="18"/>
  <c r="S543" i="18"/>
  <c r="R543" i="18"/>
  <c r="Q543" i="18"/>
  <c r="P543" i="18"/>
  <c r="O543" i="18"/>
  <c r="N543" i="18"/>
  <c r="M543" i="18"/>
  <c r="L543" i="18"/>
  <c r="K543" i="18"/>
  <c r="J543" i="18"/>
  <c r="I543" i="18"/>
  <c r="H543" i="18"/>
  <c r="G543" i="18"/>
  <c r="F543" i="18"/>
  <c r="E543" i="18"/>
  <c r="C543" i="18"/>
  <c r="B543" i="18"/>
  <c r="A543" i="18"/>
  <c r="T542" i="18"/>
  <c r="S542" i="18"/>
  <c r="R542" i="18"/>
  <c r="Q542" i="18"/>
  <c r="P542" i="18"/>
  <c r="O542" i="18"/>
  <c r="N542" i="18"/>
  <c r="M542" i="18"/>
  <c r="L542" i="18"/>
  <c r="K542" i="18"/>
  <c r="J542" i="18"/>
  <c r="I542" i="18"/>
  <c r="H542" i="18"/>
  <c r="G542" i="18"/>
  <c r="F542" i="18"/>
  <c r="E542" i="18"/>
  <c r="C542" i="18"/>
  <c r="B542" i="18"/>
  <c r="A542" i="18"/>
  <c r="T541" i="18"/>
  <c r="S541" i="18"/>
  <c r="R541" i="18"/>
  <c r="Q541" i="18"/>
  <c r="P541" i="18"/>
  <c r="O541" i="18"/>
  <c r="N541" i="18"/>
  <c r="M541" i="18"/>
  <c r="L541" i="18"/>
  <c r="K541" i="18"/>
  <c r="J541" i="18"/>
  <c r="I541" i="18"/>
  <c r="H541" i="18"/>
  <c r="G541" i="18"/>
  <c r="F541" i="18"/>
  <c r="E541" i="18"/>
  <c r="C541" i="18"/>
  <c r="B541" i="18"/>
  <c r="A541" i="18"/>
  <c r="T540" i="18"/>
  <c r="S540" i="18"/>
  <c r="R540" i="18"/>
  <c r="Q540" i="18"/>
  <c r="P540" i="18"/>
  <c r="O540" i="18"/>
  <c r="N540" i="18"/>
  <c r="M540" i="18"/>
  <c r="L540" i="18"/>
  <c r="K540" i="18"/>
  <c r="J540" i="18"/>
  <c r="I540" i="18"/>
  <c r="H540" i="18"/>
  <c r="G540" i="18"/>
  <c r="F540" i="18"/>
  <c r="E540" i="18"/>
  <c r="C540" i="18"/>
  <c r="B540" i="18"/>
  <c r="A540" i="18"/>
  <c r="T539" i="18"/>
  <c r="S539" i="18"/>
  <c r="R539" i="18"/>
  <c r="Q539" i="18"/>
  <c r="P539" i="18"/>
  <c r="O539" i="18"/>
  <c r="N539" i="18"/>
  <c r="M539" i="18"/>
  <c r="L539" i="18"/>
  <c r="K539" i="18"/>
  <c r="J539" i="18"/>
  <c r="I539" i="18"/>
  <c r="H539" i="18"/>
  <c r="G539" i="18"/>
  <c r="F539" i="18"/>
  <c r="E539" i="18"/>
  <c r="C539" i="18"/>
  <c r="B539" i="18"/>
  <c r="A539" i="18"/>
  <c r="T538" i="18"/>
  <c r="S538" i="18"/>
  <c r="R538" i="18"/>
  <c r="Q538" i="18"/>
  <c r="P538" i="18"/>
  <c r="O538" i="18"/>
  <c r="N538" i="18"/>
  <c r="M538" i="18"/>
  <c r="L538" i="18"/>
  <c r="K538" i="18"/>
  <c r="J538" i="18"/>
  <c r="I538" i="18"/>
  <c r="H538" i="18"/>
  <c r="G538" i="18"/>
  <c r="F538" i="18"/>
  <c r="E538" i="18"/>
  <c r="C538" i="18"/>
  <c r="B538" i="18"/>
  <c r="A538" i="18"/>
  <c r="T537" i="18"/>
  <c r="S537" i="18"/>
  <c r="R537" i="18"/>
  <c r="Q537" i="18"/>
  <c r="P537" i="18"/>
  <c r="O537" i="18"/>
  <c r="N537" i="18"/>
  <c r="M537" i="18"/>
  <c r="L537" i="18"/>
  <c r="K537" i="18"/>
  <c r="J537" i="18"/>
  <c r="I537" i="18"/>
  <c r="H537" i="18"/>
  <c r="G537" i="18"/>
  <c r="F537" i="18"/>
  <c r="E537" i="18"/>
  <c r="C537" i="18"/>
  <c r="B537" i="18"/>
  <c r="A537" i="18"/>
  <c r="T536" i="18"/>
  <c r="S536" i="18"/>
  <c r="R536" i="18"/>
  <c r="Q536" i="18"/>
  <c r="P536" i="18"/>
  <c r="O536" i="18"/>
  <c r="N536" i="18"/>
  <c r="M536" i="18"/>
  <c r="L536" i="18"/>
  <c r="K536" i="18"/>
  <c r="J536" i="18"/>
  <c r="I536" i="18"/>
  <c r="H536" i="18"/>
  <c r="G536" i="18"/>
  <c r="F536" i="18"/>
  <c r="E536" i="18"/>
  <c r="C536" i="18"/>
  <c r="B536" i="18"/>
  <c r="A536" i="18"/>
  <c r="T535" i="18"/>
  <c r="S535" i="18"/>
  <c r="R535" i="18"/>
  <c r="Q535" i="18"/>
  <c r="P535" i="18"/>
  <c r="O535" i="18"/>
  <c r="N535" i="18"/>
  <c r="M535" i="18"/>
  <c r="L535" i="18"/>
  <c r="K535" i="18"/>
  <c r="J535" i="18"/>
  <c r="I535" i="18"/>
  <c r="H535" i="18"/>
  <c r="G535" i="18"/>
  <c r="F535" i="18"/>
  <c r="E535" i="18"/>
  <c r="C535" i="18"/>
  <c r="B535" i="18"/>
  <c r="A535" i="18"/>
  <c r="T534" i="18"/>
  <c r="S534" i="18"/>
  <c r="R534" i="18"/>
  <c r="Q534" i="18"/>
  <c r="P534" i="18"/>
  <c r="O534" i="18"/>
  <c r="N534" i="18"/>
  <c r="M534" i="18"/>
  <c r="L534" i="18"/>
  <c r="K534" i="18"/>
  <c r="J534" i="18"/>
  <c r="I534" i="18"/>
  <c r="H534" i="18"/>
  <c r="G534" i="18"/>
  <c r="F534" i="18"/>
  <c r="E534" i="18"/>
  <c r="C534" i="18"/>
  <c r="B534" i="18"/>
  <c r="A534" i="18"/>
  <c r="T533" i="18"/>
  <c r="S533" i="18"/>
  <c r="R533" i="18"/>
  <c r="Q533" i="18"/>
  <c r="P533" i="18"/>
  <c r="O533" i="18"/>
  <c r="N533" i="18"/>
  <c r="M533" i="18"/>
  <c r="L533" i="18"/>
  <c r="K533" i="18"/>
  <c r="J533" i="18"/>
  <c r="I533" i="18"/>
  <c r="H533" i="18"/>
  <c r="G533" i="18"/>
  <c r="F533" i="18"/>
  <c r="E533" i="18"/>
  <c r="C533" i="18"/>
  <c r="B533" i="18"/>
  <c r="A533" i="18"/>
  <c r="T532" i="18"/>
  <c r="S532" i="18"/>
  <c r="R532" i="18"/>
  <c r="Q532" i="18"/>
  <c r="P532" i="18"/>
  <c r="O532" i="18"/>
  <c r="N532" i="18"/>
  <c r="M532" i="18"/>
  <c r="L532" i="18"/>
  <c r="K532" i="18"/>
  <c r="J532" i="18"/>
  <c r="I532" i="18"/>
  <c r="H532" i="18"/>
  <c r="G532" i="18"/>
  <c r="F532" i="18"/>
  <c r="E532" i="18"/>
  <c r="C532" i="18"/>
  <c r="B532" i="18"/>
  <c r="A532" i="18"/>
  <c r="T531" i="18"/>
  <c r="S531" i="18"/>
  <c r="R531" i="18"/>
  <c r="Q531" i="18"/>
  <c r="P531" i="18"/>
  <c r="O531" i="18"/>
  <c r="N531" i="18"/>
  <c r="M531" i="18"/>
  <c r="L531" i="18"/>
  <c r="K531" i="18"/>
  <c r="J531" i="18"/>
  <c r="I531" i="18"/>
  <c r="H531" i="18"/>
  <c r="G531" i="18"/>
  <c r="F531" i="18"/>
  <c r="E531" i="18"/>
  <c r="C531" i="18"/>
  <c r="B531" i="18"/>
  <c r="A531" i="18"/>
  <c r="T530" i="18"/>
  <c r="S530" i="18"/>
  <c r="R530" i="18"/>
  <c r="Q530" i="18"/>
  <c r="P530" i="18"/>
  <c r="O530" i="18"/>
  <c r="N530" i="18"/>
  <c r="M530" i="18"/>
  <c r="L530" i="18"/>
  <c r="K530" i="18"/>
  <c r="J530" i="18"/>
  <c r="I530" i="18"/>
  <c r="H530" i="18"/>
  <c r="G530" i="18"/>
  <c r="F530" i="18"/>
  <c r="E530" i="18"/>
  <c r="C530" i="18"/>
  <c r="B530" i="18"/>
  <c r="A530" i="18"/>
  <c r="T529" i="18"/>
  <c r="S529" i="18"/>
  <c r="R529" i="18"/>
  <c r="Q529" i="18"/>
  <c r="P529" i="18"/>
  <c r="O529" i="18"/>
  <c r="N529" i="18"/>
  <c r="M529" i="18"/>
  <c r="L529" i="18"/>
  <c r="K529" i="18"/>
  <c r="J529" i="18"/>
  <c r="I529" i="18"/>
  <c r="H529" i="18"/>
  <c r="G529" i="18"/>
  <c r="F529" i="18"/>
  <c r="E529" i="18"/>
  <c r="C529" i="18"/>
  <c r="B529" i="18"/>
  <c r="A529" i="18"/>
  <c r="T528" i="18"/>
  <c r="S528" i="18"/>
  <c r="R528" i="18"/>
  <c r="Q528" i="18"/>
  <c r="P528" i="18"/>
  <c r="O528" i="18"/>
  <c r="N528" i="18"/>
  <c r="M528" i="18"/>
  <c r="L528" i="18"/>
  <c r="K528" i="18"/>
  <c r="J528" i="18"/>
  <c r="I528" i="18"/>
  <c r="H528" i="18"/>
  <c r="G528" i="18"/>
  <c r="F528" i="18"/>
  <c r="E528" i="18"/>
  <c r="C528" i="18"/>
  <c r="B528" i="18"/>
  <c r="A528" i="18"/>
  <c r="T527" i="18"/>
  <c r="S527" i="18"/>
  <c r="R527" i="18"/>
  <c r="Q527" i="18"/>
  <c r="P527" i="18"/>
  <c r="O527" i="18"/>
  <c r="N527" i="18"/>
  <c r="M527" i="18"/>
  <c r="L527" i="18"/>
  <c r="K527" i="18"/>
  <c r="J527" i="18"/>
  <c r="I527" i="18"/>
  <c r="H527" i="18"/>
  <c r="G527" i="18"/>
  <c r="F527" i="18"/>
  <c r="E527" i="18"/>
  <c r="C527" i="18"/>
  <c r="B527" i="18"/>
  <c r="A527" i="18"/>
  <c r="T526" i="18"/>
  <c r="S526" i="18"/>
  <c r="R526" i="18"/>
  <c r="Q526" i="18"/>
  <c r="P526" i="18"/>
  <c r="O526" i="18"/>
  <c r="N526" i="18"/>
  <c r="M526" i="18"/>
  <c r="L526" i="18"/>
  <c r="K526" i="18"/>
  <c r="J526" i="18"/>
  <c r="I526" i="18"/>
  <c r="H526" i="18"/>
  <c r="G526" i="18"/>
  <c r="F526" i="18"/>
  <c r="E526" i="18"/>
  <c r="C526" i="18"/>
  <c r="B526" i="18"/>
  <c r="A526" i="18"/>
  <c r="T525" i="18"/>
  <c r="S525" i="18"/>
  <c r="R525" i="18"/>
  <c r="Q525" i="18"/>
  <c r="P525" i="18"/>
  <c r="O525" i="18"/>
  <c r="N525" i="18"/>
  <c r="M525" i="18"/>
  <c r="L525" i="18"/>
  <c r="K525" i="18"/>
  <c r="J525" i="18"/>
  <c r="I525" i="18"/>
  <c r="H525" i="18"/>
  <c r="G525" i="18"/>
  <c r="F525" i="18"/>
  <c r="E525" i="18"/>
  <c r="C525" i="18"/>
  <c r="B525" i="18"/>
  <c r="A525" i="18"/>
  <c r="T524" i="18"/>
  <c r="S524" i="18"/>
  <c r="R524" i="18"/>
  <c r="Q524" i="18"/>
  <c r="P524" i="18"/>
  <c r="O524" i="18"/>
  <c r="N524" i="18"/>
  <c r="M524" i="18"/>
  <c r="L524" i="18"/>
  <c r="K524" i="18"/>
  <c r="J524" i="18"/>
  <c r="I524" i="18"/>
  <c r="H524" i="18"/>
  <c r="G524" i="18"/>
  <c r="F524" i="18"/>
  <c r="E524" i="18"/>
  <c r="C524" i="18"/>
  <c r="B524" i="18"/>
  <c r="A524" i="18"/>
  <c r="T523" i="18"/>
  <c r="S523" i="18"/>
  <c r="R523" i="18"/>
  <c r="Q523" i="18"/>
  <c r="P523" i="18"/>
  <c r="O523" i="18"/>
  <c r="N523" i="18"/>
  <c r="M523" i="18"/>
  <c r="L523" i="18"/>
  <c r="K523" i="18"/>
  <c r="J523" i="18"/>
  <c r="I523" i="18"/>
  <c r="H523" i="18"/>
  <c r="G523" i="18"/>
  <c r="F523" i="18"/>
  <c r="E523" i="18"/>
  <c r="C523" i="18"/>
  <c r="B523" i="18"/>
  <c r="A523" i="18"/>
  <c r="T522" i="18"/>
  <c r="S522" i="18"/>
  <c r="R522" i="18"/>
  <c r="Q522" i="18"/>
  <c r="P522" i="18"/>
  <c r="O522" i="18"/>
  <c r="N522" i="18"/>
  <c r="M522" i="18"/>
  <c r="L522" i="18"/>
  <c r="K522" i="18"/>
  <c r="J522" i="18"/>
  <c r="I522" i="18"/>
  <c r="H522" i="18"/>
  <c r="G522" i="18"/>
  <c r="F522" i="18"/>
  <c r="E522" i="18"/>
  <c r="C522" i="18"/>
  <c r="B522" i="18"/>
  <c r="A522" i="18"/>
  <c r="T521" i="18"/>
  <c r="S521" i="18"/>
  <c r="R521" i="18"/>
  <c r="Q521" i="18"/>
  <c r="P521" i="18"/>
  <c r="O521" i="18"/>
  <c r="N521" i="18"/>
  <c r="M521" i="18"/>
  <c r="L521" i="18"/>
  <c r="K521" i="18"/>
  <c r="J521" i="18"/>
  <c r="I521" i="18"/>
  <c r="H521" i="18"/>
  <c r="G521" i="18"/>
  <c r="F521" i="18"/>
  <c r="E521" i="18"/>
  <c r="C521" i="18"/>
  <c r="B521" i="18"/>
  <c r="A521" i="18"/>
  <c r="T520" i="18"/>
  <c r="S520" i="18"/>
  <c r="R520" i="18"/>
  <c r="Q520" i="18"/>
  <c r="P520" i="18"/>
  <c r="O520" i="18"/>
  <c r="N520" i="18"/>
  <c r="M520" i="18"/>
  <c r="L520" i="18"/>
  <c r="K520" i="18"/>
  <c r="J520" i="18"/>
  <c r="I520" i="18"/>
  <c r="H520" i="18"/>
  <c r="G520" i="18"/>
  <c r="F520" i="18"/>
  <c r="E520" i="18"/>
  <c r="C520" i="18"/>
  <c r="B520" i="18"/>
  <c r="A520" i="18"/>
  <c r="T519" i="18"/>
  <c r="S519" i="18"/>
  <c r="R519" i="18"/>
  <c r="Q519" i="18"/>
  <c r="P519" i="18"/>
  <c r="O519" i="18"/>
  <c r="N519" i="18"/>
  <c r="M519" i="18"/>
  <c r="L519" i="18"/>
  <c r="K519" i="18"/>
  <c r="J519" i="18"/>
  <c r="I519" i="18"/>
  <c r="H519" i="18"/>
  <c r="G519" i="18"/>
  <c r="F519" i="18"/>
  <c r="E519" i="18"/>
  <c r="C519" i="18"/>
  <c r="B519" i="18"/>
  <c r="A519" i="18"/>
  <c r="T518" i="18"/>
  <c r="S518" i="18"/>
  <c r="R518" i="18"/>
  <c r="Q518" i="18"/>
  <c r="P518" i="18"/>
  <c r="O518" i="18"/>
  <c r="N518" i="18"/>
  <c r="M518" i="18"/>
  <c r="L518" i="18"/>
  <c r="K518" i="18"/>
  <c r="J518" i="18"/>
  <c r="I518" i="18"/>
  <c r="H518" i="18"/>
  <c r="G518" i="18"/>
  <c r="F518" i="18"/>
  <c r="E518" i="18"/>
  <c r="C518" i="18"/>
  <c r="B518" i="18"/>
  <c r="A518" i="18"/>
  <c r="T517" i="18"/>
  <c r="S517" i="18"/>
  <c r="R517" i="18"/>
  <c r="Q517" i="18"/>
  <c r="P517" i="18"/>
  <c r="O517" i="18"/>
  <c r="N517" i="18"/>
  <c r="M517" i="18"/>
  <c r="L517" i="18"/>
  <c r="K517" i="18"/>
  <c r="J517" i="18"/>
  <c r="I517" i="18"/>
  <c r="H517" i="18"/>
  <c r="G517" i="18"/>
  <c r="F517" i="18"/>
  <c r="E517" i="18"/>
  <c r="C517" i="18"/>
  <c r="B517" i="18"/>
  <c r="A517" i="18"/>
  <c r="T516" i="18"/>
  <c r="S516" i="18"/>
  <c r="R516" i="18"/>
  <c r="Q516" i="18"/>
  <c r="P516" i="18"/>
  <c r="O516" i="18"/>
  <c r="N516" i="18"/>
  <c r="M516" i="18"/>
  <c r="L516" i="18"/>
  <c r="K516" i="18"/>
  <c r="J516" i="18"/>
  <c r="I516" i="18"/>
  <c r="H516" i="18"/>
  <c r="G516" i="18"/>
  <c r="F516" i="18"/>
  <c r="E516" i="18"/>
  <c r="C516" i="18"/>
  <c r="B516" i="18"/>
  <c r="A516" i="18"/>
  <c r="T515" i="18"/>
  <c r="S515" i="18"/>
  <c r="R515" i="18"/>
  <c r="Q515" i="18"/>
  <c r="P515" i="18"/>
  <c r="O515" i="18"/>
  <c r="N515" i="18"/>
  <c r="M515" i="18"/>
  <c r="L515" i="18"/>
  <c r="K515" i="18"/>
  <c r="J515" i="18"/>
  <c r="I515" i="18"/>
  <c r="H515" i="18"/>
  <c r="G515" i="18"/>
  <c r="F515" i="18"/>
  <c r="E515" i="18"/>
  <c r="C515" i="18"/>
  <c r="B515" i="18"/>
  <c r="A515" i="18"/>
  <c r="T514" i="18"/>
  <c r="S514" i="18"/>
  <c r="R514" i="18"/>
  <c r="Q514" i="18"/>
  <c r="P514" i="18"/>
  <c r="O514" i="18"/>
  <c r="N514" i="18"/>
  <c r="M514" i="18"/>
  <c r="L514" i="18"/>
  <c r="K514" i="18"/>
  <c r="J514" i="18"/>
  <c r="I514" i="18"/>
  <c r="H514" i="18"/>
  <c r="G514" i="18"/>
  <c r="F514" i="18"/>
  <c r="E514" i="18"/>
  <c r="C514" i="18"/>
  <c r="B514" i="18"/>
  <c r="A514" i="18"/>
  <c r="T513" i="18"/>
  <c r="S513" i="18"/>
  <c r="R513" i="18"/>
  <c r="Q513" i="18"/>
  <c r="P513" i="18"/>
  <c r="O513" i="18"/>
  <c r="N513" i="18"/>
  <c r="M513" i="18"/>
  <c r="L513" i="18"/>
  <c r="K513" i="18"/>
  <c r="J513" i="18"/>
  <c r="I513" i="18"/>
  <c r="H513" i="18"/>
  <c r="G513" i="18"/>
  <c r="F513" i="18"/>
  <c r="E513" i="18"/>
  <c r="C513" i="18"/>
  <c r="B513" i="18"/>
  <c r="A513" i="18"/>
  <c r="T512" i="18"/>
  <c r="S512" i="18"/>
  <c r="R512" i="18"/>
  <c r="Q512" i="18"/>
  <c r="P512" i="18"/>
  <c r="O512" i="18"/>
  <c r="N512" i="18"/>
  <c r="M512" i="18"/>
  <c r="L512" i="18"/>
  <c r="K512" i="18"/>
  <c r="J512" i="18"/>
  <c r="I512" i="18"/>
  <c r="H512" i="18"/>
  <c r="G512" i="18"/>
  <c r="F512" i="18"/>
  <c r="E512" i="18"/>
  <c r="C512" i="18"/>
  <c r="B512" i="18"/>
  <c r="A512" i="18"/>
  <c r="T511" i="18"/>
  <c r="S511" i="18"/>
  <c r="R511" i="18"/>
  <c r="Q511" i="18"/>
  <c r="P511" i="18"/>
  <c r="O511" i="18"/>
  <c r="N511" i="18"/>
  <c r="M511" i="18"/>
  <c r="L511" i="18"/>
  <c r="K511" i="18"/>
  <c r="J511" i="18"/>
  <c r="I511" i="18"/>
  <c r="H511" i="18"/>
  <c r="G511" i="18"/>
  <c r="F511" i="18"/>
  <c r="E511" i="18"/>
  <c r="C511" i="18"/>
  <c r="B511" i="18"/>
  <c r="A511" i="18"/>
  <c r="T510" i="18"/>
  <c r="S510" i="18"/>
  <c r="R510" i="18"/>
  <c r="Q510" i="18"/>
  <c r="P510" i="18"/>
  <c r="O510" i="18"/>
  <c r="N510" i="18"/>
  <c r="M510" i="18"/>
  <c r="L510" i="18"/>
  <c r="K510" i="18"/>
  <c r="J510" i="18"/>
  <c r="I510" i="18"/>
  <c r="H510" i="18"/>
  <c r="G510" i="18"/>
  <c r="F510" i="18"/>
  <c r="E510" i="18"/>
  <c r="C510" i="18"/>
  <c r="B510" i="18"/>
  <c r="A510" i="18"/>
  <c r="T509" i="18"/>
  <c r="S509" i="18"/>
  <c r="R509" i="18"/>
  <c r="Q509" i="18"/>
  <c r="P509" i="18"/>
  <c r="O509" i="18"/>
  <c r="N509" i="18"/>
  <c r="M509" i="18"/>
  <c r="L509" i="18"/>
  <c r="K509" i="18"/>
  <c r="J509" i="18"/>
  <c r="I509" i="18"/>
  <c r="H509" i="18"/>
  <c r="G509" i="18"/>
  <c r="F509" i="18"/>
  <c r="E509" i="18"/>
  <c r="C509" i="18"/>
  <c r="B509" i="18"/>
  <c r="A509" i="18"/>
  <c r="T508" i="18"/>
  <c r="S508" i="18"/>
  <c r="R508" i="18"/>
  <c r="Q508" i="18"/>
  <c r="P508" i="18"/>
  <c r="O508" i="18"/>
  <c r="N508" i="18"/>
  <c r="M508" i="18"/>
  <c r="L508" i="18"/>
  <c r="K508" i="18"/>
  <c r="J508" i="18"/>
  <c r="I508" i="18"/>
  <c r="H508" i="18"/>
  <c r="G508" i="18"/>
  <c r="F508" i="18"/>
  <c r="E508" i="18"/>
  <c r="C508" i="18"/>
  <c r="B508" i="18"/>
  <c r="A508" i="18"/>
  <c r="T507" i="18"/>
  <c r="S507" i="18"/>
  <c r="R507" i="18"/>
  <c r="Q507" i="18"/>
  <c r="P507" i="18"/>
  <c r="O507" i="18"/>
  <c r="N507" i="18"/>
  <c r="M507" i="18"/>
  <c r="L507" i="18"/>
  <c r="K507" i="18"/>
  <c r="J507" i="18"/>
  <c r="I507" i="18"/>
  <c r="H507" i="18"/>
  <c r="G507" i="18"/>
  <c r="F507" i="18"/>
  <c r="E507" i="18"/>
  <c r="C507" i="18"/>
  <c r="B507" i="18"/>
  <c r="A507" i="18"/>
  <c r="T506" i="18"/>
  <c r="S506" i="18"/>
  <c r="R506" i="18"/>
  <c r="Q506" i="18"/>
  <c r="P506" i="18"/>
  <c r="O506" i="18"/>
  <c r="N506" i="18"/>
  <c r="M506" i="18"/>
  <c r="L506" i="18"/>
  <c r="K506" i="18"/>
  <c r="J506" i="18"/>
  <c r="I506" i="18"/>
  <c r="H506" i="18"/>
  <c r="G506" i="18"/>
  <c r="F506" i="18"/>
  <c r="E506" i="18"/>
  <c r="C506" i="18"/>
  <c r="B506" i="18"/>
  <c r="A506" i="18"/>
  <c r="T505" i="18"/>
  <c r="S505" i="18"/>
  <c r="R505" i="18"/>
  <c r="Q505" i="18"/>
  <c r="P505" i="18"/>
  <c r="O505" i="18"/>
  <c r="N505" i="18"/>
  <c r="M505" i="18"/>
  <c r="L505" i="18"/>
  <c r="K505" i="18"/>
  <c r="J505" i="18"/>
  <c r="I505" i="18"/>
  <c r="H505" i="18"/>
  <c r="G505" i="18"/>
  <c r="F505" i="18"/>
  <c r="E505" i="18"/>
  <c r="C505" i="18"/>
  <c r="B505" i="18"/>
  <c r="A505" i="18"/>
  <c r="T504" i="18"/>
  <c r="S504" i="18"/>
  <c r="R504" i="18"/>
  <c r="Q504" i="18"/>
  <c r="P504" i="18"/>
  <c r="O504" i="18"/>
  <c r="N504" i="18"/>
  <c r="M504" i="18"/>
  <c r="L504" i="18"/>
  <c r="K504" i="18"/>
  <c r="J504" i="18"/>
  <c r="I504" i="18"/>
  <c r="H504" i="18"/>
  <c r="G504" i="18"/>
  <c r="F504" i="18"/>
  <c r="E504" i="18"/>
  <c r="C504" i="18"/>
  <c r="B504" i="18"/>
  <c r="A504" i="18"/>
  <c r="T503" i="18"/>
  <c r="S503" i="18"/>
  <c r="R503" i="18"/>
  <c r="Q503" i="18"/>
  <c r="P503" i="18"/>
  <c r="O503" i="18"/>
  <c r="N503" i="18"/>
  <c r="M503" i="18"/>
  <c r="L503" i="18"/>
  <c r="K503" i="18"/>
  <c r="J503" i="18"/>
  <c r="I503" i="18"/>
  <c r="H503" i="18"/>
  <c r="G503" i="18"/>
  <c r="F503" i="18"/>
  <c r="E503" i="18"/>
  <c r="C503" i="18"/>
  <c r="B503" i="18"/>
  <c r="A503" i="18"/>
  <c r="T502" i="18"/>
  <c r="S502" i="18"/>
  <c r="R502" i="18"/>
  <c r="Q502" i="18"/>
  <c r="P502" i="18"/>
  <c r="O502" i="18"/>
  <c r="N502" i="18"/>
  <c r="M502" i="18"/>
  <c r="L502" i="18"/>
  <c r="K502" i="18"/>
  <c r="J502" i="18"/>
  <c r="I502" i="18"/>
  <c r="H502" i="18"/>
  <c r="G502" i="18"/>
  <c r="F502" i="18"/>
  <c r="E502" i="18"/>
  <c r="C502" i="18"/>
  <c r="B502" i="18"/>
  <c r="A502" i="18"/>
  <c r="T501" i="18"/>
  <c r="S501" i="18"/>
  <c r="R501" i="18"/>
  <c r="Q501" i="18"/>
  <c r="P501" i="18"/>
  <c r="O501" i="18"/>
  <c r="N501" i="18"/>
  <c r="M501" i="18"/>
  <c r="L501" i="18"/>
  <c r="K501" i="18"/>
  <c r="J501" i="18"/>
  <c r="I501" i="18"/>
  <c r="H501" i="18"/>
  <c r="G501" i="18"/>
  <c r="F501" i="18"/>
  <c r="E501" i="18"/>
  <c r="C501" i="18"/>
  <c r="B501" i="18"/>
  <c r="A501" i="18"/>
  <c r="T500" i="18"/>
  <c r="S500" i="18"/>
  <c r="R500" i="18"/>
  <c r="Q500" i="18"/>
  <c r="P500" i="18"/>
  <c r="O500" i="18"/>
  <c r="N500" i="18"/>
  <c r="M500" i="18"/>
  <c r="L500" i="18"/>
  <c r="K500" i="18"/>
  <c r="J500" i="18"/>
  <c r="I500" i="18"/>
  <c r="H500" i="18"/>
  <c r="G500" i="18"/>
  <c r="F500" i="18"/>
  <c r="E500" i="18"/>
  <c r="C500" i="18"/>
  <c r="B500" i="18"/>
  <c r="A500" i="18"/>
  <c r="T499" i="18"/>
  <c r="S499" i="18"/>
  <c r="R499" i="18"/>
  <c r="Q499" i="18"/>
  <c r="P499" i="18"/>
  <c r="O499" i="18"/>
  <c r="N499" i="18"/>
  <c r="M499" i="18"/>
  <c r="L499" i="18"/>
  <c r="K499" i="18"/>
  <c r="J499" i="18"/>
  <c r="I499" i="18"/>
  <c r="H499" i="18"/>
  <c r="G499" i="18"/>
  <c r="F499" i="18"/>
  <c r="E499" i="18"/>
  <c r="C499" i="18"/>
  <c r="B499" i="18"/>
  <c r="A499" i="18"/>
  <c r="T498" i="18"/>
  <c r="S498" i="18"/>
  <c r="R498" i="18"/>
  <c r="Q498" i="18"/>
  <c r="P498" i="18"/>
  <c r="O498" i="18"/>
  <c r="N498" i="18"/>
  <c r="M498" i="18"/>
  <c r="L498" i="18"/>
  <c r="K498" i="18"/>
  <c r="J498" i="18"/>
  <c r="I498" i="18"/>
  <c r="H498" i="18"/>
  <c r="G498" i="18"/>
  <c r="F498" i="18"/>
  <c r="E498" i="18"/>
  <c r="C498" i="18"/>
  <c r="B498" i="18"/>
  <c r="A498" i="18"/>
  <c r="T497" i="18"/>
  <c r="S497" i="18"/>
  <c r="R497" i="18"/>
  <c r="Q497" i="18"/>
  <c r="P497" i="18"/>
  <c r="O497" i="18"/>
  <c r="N497" i="18"/>
  <c r="M497" i="18"/>
  <c r="L497" i="18"/>
  <c r="K497" i="18"/>
  <c r="J497" i="18"/>
  <c r="I497" i="18"/>
  <c r="H497" i="18"/>
  <c r="G497" i="18"/>
  <c r="F497" i="18"/>
  <c r="E497" i="18"/>
  <c r="C497" i="18"/>
  <c r="B497" i="18"/>
  <c r="A497" i="18"/>
  <c r="T496" i="18"/>
  <c r="S496" i="18"/>
  <c r="R496" i="18"/>
  <c r="Q496" i="18"/>
  <c r="P496" i="18"/>
  <c r="O496" i="18"/>
  <c r="N496" i="18"/>
  <c r="M496" i="18"/>
  <c r="L496" i="18"/>
  <c r="K496" i="18"/>
  <c r="J496" i="18"/>
  <c r="I496" i="18"/>
  <c r="H496" i="18"/>
  <c r="G496" i="18"/>
  <c r="F496" i="18"/>
  <c r="E496" i="18"/>
  <c r="C496" i="18"/>
  <c r="B496" i="18"/>
  <c r="A496" i="18"/>
  <c r="T495" i="18"/>
  <c r="S495" i="18"/>
  <c r="R495" i="18"/>
  <c r="Q495" i="18"/>
  <c r="P495" i="18"/>
  <c r="O495" i="18"/>
  <c r="N495" i="18"/>
  <c r="M495" i="18"/>
  <c r="L495" i="18"/>
  <c r="K495" i="18"/>
  <c r="J495" i="18"/>
  <c r="I495" i="18"/>
  <c r="H495" i="18"/>
  <c r="G495" i="18"/>
  <c r="F495" i="18"/>
  <c r="E495" i="18"/>
  <c r="C495" i="18"/>
  <c r="B495" i="18"/>
  <c r="A495" i="18"/>
  <c r="T494" i="18"/>
  <c r="S494" i="18"/>
  <c r="R494" i="18"/>
  <c r="Q494" i="18"/>
  <c r="P494" i="18"/>
  <c r="O494" i="18"/>
  <c r="N494" i="18"/>
  <c r="M494" i="18"/>
  <c r="L494" i="18"/>
  <c r="K494" i="18"/>
  <c r="J494" i="18"/>
  <c r="I494" i="18"/>
  <c r="H494" i="18"/>
  <c r="G494" i="18"/>
  <c r="F494" i="18"/>
  <c r="E494" i="18"/>
  <c r="C494" i="18"/>
  <c r="B494" i="18"/>
  <c r="A494" i="18"/>
  <c r="T493" i="18"/>
  <c r="S493" i="18"/>
  <c r="R493" i="18"/>
  <c r="Q493" i="18"/>
  <c r="P493" i="18"/>
  <c r="O493" i="18"/>
  <c r="N493" i="18"/>
  <c r="M493" i="18"/>
  <c r="L493" i="18"/>
  <c r="K493" i="18"/>
  <c r="J493" i="18"/>
  <c r="I493" i="18"/>
  <c r="H493" i="18"/>
  <c r="G493" i="18"/>
  <c r="F493" i="18"/>
  <c r="E493" i="18"/>
  <c r="C493" i="18"/>
  <c r="B493" i="18"/>
  <c r="A493" i="18"/>
  <c r="T492" i="18"/>
  <c r="S492" i="18"/>
  <c r="R492" i="18"/>
  <c r="Q492" i="18"/>
  <c r="P492" i="18"/>
  <c r="O492" i="18"/>
  <c r="N492" i="18"/>
  <c r="M492" i="18"/>
  <c r="L492" i="18"/>
  <c r="K492" i="18"/>
  <c r="J492" i="18"/>
  <c r="I492" i="18"/>
  <c r="H492" i="18"/>
  <c r="G492" i="18"/>
  <c r="F492" i="18"/>
  <c r="E492" i="18"/>
  <c r="C492" i="18"/>
  <c r="B492" i="18"/>
  <c r="A492" i="18"/>
  <c r="T491" i="18"/>
  <c r="S491" i="18"/>
  <c r="R491" i="18"/>
  <c r="Q491" i="18"/>
  <c r="P491" i="18"/>
  <c r="O491" i="18"/>
  <c r="N491" i="18"/>
  <c r="M491" i="18"/>
  <c r="L491" i="18"/>
  <c r="K491" i="18"/>
  <c r="J491" i="18"/>
  <c r="I491" i="18"/>
  <c r="H491" i="18"/>
  <c r="G491" i="18"/>
  <c r="F491" i="18"/>
  <c r="E491" i="18"/>
  <c r="C491" i="18"/>
  <c r="B491" i="18"/>
  <c r="A491" i="18"/>
  <c r="T490" i="18"/>
  <c r="S490" i="18"/>
  <c r="R490" i="18"/>
  <c r="Q490" i="18"/>
  <c r="P490" i="18"/>
  <c r="O490" i="18"/>
  <c r="N490" i="18"/>
  <c r="M490" i="18"/>
  <c r="L490" i="18"/>
  <c r="K490" i="18"/>
  <c r="J490" i="18"/>
  <c r="I490" i="18"/>
  <c r="H490" i="18"/>
  <c r="G490" i="18"/>
  <c r="F490" i="18"/>
  <c r="E490" i="18"/>
  <c r="C490" i="18"/>
  <c r="B490" i="18"/>
  <c r="A490" i="18"/>
  <c r="T489" i="18"/>
  <c r="S489" i="18"/>
  <c r="R489" i="18"/>
  <c r="Q489" i="18"/>
  <c r="P489" i="18"/>
  <c r="O489" i="18"/>
  <c r="N489" i="18"/>
  <c r="M489" i="18"/>
  <c r="L489" i="18"/>
  <c r="K489" i="18"/>
  <c r="J489" i="18"/>
  <c r="I489" i="18"/>
  <c r="H489" i="18"/>
  <c r="G489" i="18"/>
  <c r="F489" i="18"/>
  <c r="E489" i="18"/>
  <c r="C489" i="18"/>
  <c r="B489" i="18"/>
  <c r="A489" i="18"/>
  <c r="T488" i="18"/>
  <c r="S488" i="18"/>
  <c r="R488" i="18"/>
  <c r="Q488" i="18"/>
  <c r="P488" i="18"/>
  <c r="O488" i="18"/>
  <c r="N488" i="18"/>
  <c r="M488" i="18"/>
  <c r="L488" i="18"/>
  <c r="K488" i="18"/>
  <c r="J488" i="18"/>
  <c r="I488" i="18"/>
  <c r="H488" i="18"/>
  <c r="G488" i="18"/>
  <c r="F488" i="18"/>
  <c r="E488" i="18"/>
  <c r="C488" i="18"/>
  <c r="B488" i="18"/>
  <c r="A488" i="18"/>
  <c r="T487" i="18"/>
  <c r="S487" i="18"/>
  <c r="R487" i="18"/>
  <c r="Q487" i="18"/>
  <c r="P487" i="18"/>
  <c r="O487" i="18"/>
  <c r="N487" i="18"/>
  <c r="M487" i="18"/>
  <c r="L487" i="18"/>
  <c r="K487" i="18"/>
  <c r="J487" i="18"/>
  <c r="I487" i="18"/>
  <c r="H487" i="18"/>
  <c r="G487" i="18"/>
  <c r="F487" i="18"/>
  <c r="E487" i="18"/>
  <c r="C487" i="18"/>
  <c r="B487" i="18"/>
  <c r="A487" i="18"/>
  <c r="T486" i="18"/>
  <c r="S486" i="18"/>
  <c r="R486" i="18"/>
  <c r="Q486" i="18"/>
  <c r="P486" i="18"/>
  <c r="O486" i="18"/>
  <c r="N486" i="18"/>
  <c r="M486" i="18"/>
  <c r="L486" i="18"/>
  <c r="K486" i="18"/>
  <c r="J486" i="18"/>
  <c r="I486" i="18"/>
  <c r="H486" i="18"/>
  <c r="G486" i="18"/>
  <c r="F486" i="18"/>
  <c r="E486" i="18"/>
  <c r="C486" i="18"/>
  <c r="B486" i="18"/>
  <c r="A486" i="18"/>
  <c r="T485" i="18"/>
  <c r="S485" i="18"/>
  <c r="R485" i="18"/>
  <c r="Q485" i="18"/>
  <c r="P485" i="18"/>
  <c r="O485" i="18"/>
  <c r="N485" i="18"/>
  <c r="M485" i="18"/>
  <c r="L485" i="18"/>
  <c r="K485" i="18"/>
  <c r="J485" i="18"/>
  <c r="I485" i="18"/>
  <c r="H485" i="18"/>
  <c r="G485" i="18"/>
  <c r="F485" i="18"/>
  <c r="E485" i="18"/>
  <c r="C485" i="18"/>
  <c r="B485" i="18"/>
  <c r="A485" i="18"/>
  <c r="T484" i="18"/>
  <c r="S484" i="18"/>
  <c r="R484" i="18"/>
  <c r="Q484" i="18"/>
  <c r="P484" i="18"/>
  <c r="O484" i="18"/>
  <c r="N484" i="18"/>
  <c r="M484" i="18"/>
  <c r="L484" i="18"/>
  <c r="K484" i="18"/>
  <c r="J484" i="18"/>
  <c r="I484" i="18"/>
  <c r="H484" i="18"/>
  <c r="G484" i="18"/>
  <c r="F484" i="18"/>
  <c r="E484" i="18"/>
  <c r="C484" i="18"/>
  <c r="B484" i="18"/>
  <c r="A484" i="18"/>
  <c r="T483" i="18"/>
  <c r="S483" i="18"/>
  <c r="R483" i="18"/>
  <c r="Q483" i="18"/>
  <c r="P483" i="18"/>
  <c r="O483" i="18"/>
  <c r="N483" i="18"/>
  <c r="M483" i="18"/>
  <c r="L483" i="18"/>
  <c r="K483" i="18"/>
  <c r="J483" i="18"/>
  <c r="I483" i="18"/>
  <c r="H483" i="18"/>
  <c r="G483" i="18"/>
  <c r="F483" i="18"/>
  <c r="E483" i="18"/>
  <c r="C483" i="18"/>
  <c r="B483" i="18"/>
  <c r="A483" i="18"/>
  <c r="T482" i="18"/>
  <c r="S482" i="18"/>
  <c r="R482" i="18"/>
  <c r="Q482" i="18"/>
  <c r="P482" i="18"/>
  <c r="O482" i="18"/>
  <c r="N482" i="18"/>
  <c r="M482" i="18"/>
  <c r="L482" i="18"/>
  <c r="K482" i="18"/>
  <c r="J482" i="18"/>
  <c r="I482" i="18"/>
  <c r="H482" i="18"/>
  <c r="G482" i="18"/>
  <c r="F482" i="18"/>
  <c r="E482" i="18"/>
  <c r="C482" i="18"/>
  <c r="B482" i="18"/>
  <c r="A482" i="18"/>
  <c r="T481" i="18"/>
  <c r="S481" i="18"/>
  <c r="R481" i="18"/>
  <c r="Q481" i="18"/>
  <c r="P481" i="18"/>
  <c r="O481" i="18"/>
  <c r="N481" i="18"/>
  <c r="M481" i="18"/>
  <c r="L481" i="18"/>
  <c r="K481" i="18"/>
  <c r="J481" i="18"/>
  <c r="I481" i="18"/>
  <c r="H481" i="18"/>
  <c r="G481" i="18"/>
  <c r="F481" i="18"/>
  <c r="E481" i="18"/>
  <c r="C481" i="18"/>
  <c r="B481" i="18"/>
  <c r="A481" i="18"/>
  <c r="T480" i="18"/>
  <c r="S480" i="18"/>
  <c r="R480" i="18"/>
  <c r="Q480" i="18"/>
  <c r="P480" i="18"/>
  <c r="O480" i="18"/>
  <c r="N480" i="18"/>
  <c r="M480" i="18"/>
  <c r="L480" i="18"/>
  <c r="K480" i="18"/>
  <c r="J480" i="18"/>
  <c r="I480" i="18"/>
  <c r="H480" i="18"/>
  <c r="G480" i="18"/>
  <c r="F480" i="18"/>
  <c r="E480" i="18"/>
  <c r="C480" i="18"/>
  <c r="B480" i="18"/>
  <c r="A480" i="18"/>
  <c r="T479" i="18"/>
  <c r="S479" i="18"/>
  <c r="R479" i="18"/>
  <c r="Q479" i="18"/>
  <c r="P479" i="18"/>
  <c r="O479" i="18"/>
  <c r="N479" i="18"/>
  <c r="M479" i="18"/>
  <c r="L479" i="18"/>
  <c r="K479" i="18"/>
  <c r="J479" i="18"/>
  <c r="I479" i="18"/>
  <c r="H479" i="18"/>
  <c r="G479" i="18"/>
  <c r="F479" i="18"/>
  <c r="E479" i="18"/>
  <c r="C479" i="18"/>
  <c r="B479" i="18"/>
  <c r="A479" i="18"/>
  <c r="T478" i="18"/>
  <c r="S478" i="18"/>
  <c r="R478" i="18"/>
  <c r="Q478" i="18"/>
  <c r="P478" i="18"/>
  <c r="O478" i="18"/>
  <c r="N478" i="18"/>
  <c r="M478" i="18"/>
  <c r="L478" i="18"/>
  <c r="K478" i="18"/>
  <c r="J478" i="18"/>
  <c r="I478" i="18"/>
  <c r="H478" i="18"/>
  <c r="G478" i="18"/>
  <c r="F478" i="18"/>
  <c r="E478" i="18"/>
  <c r="C478" i="18"/>
  <c r="B478" i="18"/>
  <c r="A478" i="18"/>
  <c r="T477" i="18"/>
  <c r="S477" i="18"/>
  <c r="R477" i="18"/>
  <c r="Q477" i="18"/>
  <c r="P477" i="18"/>
  <c r="O477" i="18"/>
  <c r="N477" i="18"/>
  <c r="M477" i="18"/>
  <c r="L477" i="18"/>
  <c r="K477" i="18"/>
  <c r="J477" i="18"/>
  <c r="I477" i="18"/>
  <c r="H477" i="18"/>
  <c r="G477" i="18"/>
  <c r="F477" i="18"/>
  <c r="E477" i="18"/>
  <c r="C477" i="18"/>
  <c r="B477" i="18"/>
  <c r="A477" i="18"/>
  <c r="T476" i="18"/>
  <c r="S476" i="18"/>
  <c r="R476" i="18"/>
  <c r="Q476" i="18"/>
  <c r="P476" i="18"/>
  <c r="O476" i="18"/>
  <c r="N476" i="18"/>
  <c r="M476" i="18"/>
  <c r="L476" i="18"/>
  <c r="K476" i="18"/>
  <c r="J476" i="18"/>
  <c r="I476" i="18"/>
  <c r="H476" i="18"/>
  <c r="G476" i="18"/>
  <c r="F476" i="18"/>
  <c r="E476" i="18"/>
  <c r="C476" i="18"/>
  <c r="B476" i="18"/>
  <c r="A476" i="18"/>
  <c r="T475" i="18"/>
  <c r="S475" i="18"/>
  <c r="R475" i="18"/>
  <c r="Q475" i="18"/>
  <c r="P475" i="18"/>
  <c r="O475" i="18"/>
  <c r="N475" i="18"/>
  <c r="M475" i="18"/>
  <c r="L475" i="18"/>
  <c r="K475" i="18"/>
  <c r="J475" i="18"/>
  <c r="I475" i="18"/>
  <c r="H475" i="18"/>
  <c r="G475" i="18"/>
  <c r="F475" i="18"/>
  <c r="E475" i="18"/>
  <c r="C475" i="18"/>
  <c r="B475" i="18"/>
  <c r="A475" i="18"/>
  <c r="T474" i="18"/>
  <c r="S474" i="18"/>
  <c r="R474" i="18"/>
  <c r="Q474" i="18"/>
  <c r="P474" i="18"/>
  <c r="O474" i="18"/>
  <c r="N474" i="18"/>
  <c r="M474" i="18"/>
  <c r="L474" i="18"/>
  <c r="K474" i="18"/>
  <c r="J474" i="18"/>
  <c r="I474" i="18"/>
  <c r="H474" i="18"/>
  <c r="G474" i="18"/>
  <c r="F474" i="18"/>
  <c r="E474" i="18"/>
  <c r="C474" i="18"/>
  <c r="B474" i="18"/>
  <c r="A474" i="18"/>
  <c r="T473" i="18"/>
  <c r="S473" i="18"/>
  <c r="R473" i="18"/>
  <c r="Q473" i="18"/>
  <c r="P473" i="18"/>
  <c r="O473" i="18"/>
  <c r="N473" i="18"/>
  <c r="M473" i="18"/>
  <c r="L473" i="18"/>
  <c r="K473" i="18"/>
  <c r="J473" i="18"/>
  <c r="I473" i="18"/>
  <c r="H473" i="18"/>
  <c r="G473" i="18"/>
  <c r="F473" i="18"/>
  <c r="E473" i="18"/>
  <c r="C473" i="18"/>
  <c r="B473" i="18"/>
  <c r="A473" i="18"/>
  <c r="T472" i="18"/>
  <c r="S472" i="18"/>
  <c r="R472" i="18"/>
  <c r="Q472" i="18"/>
  <c r="P472" i="18"/>
  <c r="O472" i="18"/>
  <c r="N472" i="18"/>
  <c r="M472" i="18"/>
  <c r="L472" i="18"/>
  <c r="K472" i="18"/>
  <c r="J472" i="18"/>
  <c r="I472" i="18"/>
  <c r="H472" i="18"/>
  <c r="G472" i="18"/>
  <c r="F472" i="18"/>
  <c r="E472" i="18"/>
  <c r="C472" i="18"/>
  <c r="B472" i="18"/>
  <c r="A472" i="18"/>
  <c r="T471" i="18"/>
  <c r="S471" i="18"/>
  <c r="R471" i="18"/>
  <c r="Q471" i="18"/>
  <c r="P471" i="18"/>
  <c r="O471" i="18"/>
  <c r="N471" i="18"/>
  <c r="M471" i="18"/>
  <c r="L471" i="18"/>
  <c r="K471" i="18"/>
  <c r="J471" i="18"/>
  <c r="I471" i="18"/>
  <c r="H471" i="18"/>
  <c r="G471" i="18"/>
  <c r="F471" i="18"/>
  <c r="E471" i="18"/>
  <c r="C471" i="18"/>
  <c r="B471" i="18"/>
  <c r="A471" i="18"/>
  <c r="T470" i="18"/>
  <c r="S470" i="18"/>
  <c r="R470" i="18"/>
  <c r="Q470" i="18"/>
  <c r="P470" i="18"/>
  <c r="O470" i="18"/>
  <c r="N470" i="18"/>
  <c r="M470" i="18"/>
  <c r="L470" i="18"/>
  <c r="K470" i="18"/>
  <c r="J470" i="18"/>
  <c r="I470" i="18"/>
  <c r="H470" i="18"/>
  <c r="G470" i="18"/>
  <c r="F470" i="18"/>
  <c r="E470" i="18"/>
  <c r="C470" i="18"/>
  <c r="B470" i="18"/>
  <c r="A470" i="18"/>
  <c r="T469" i="18"/>
  <c r="S469" i="18"/>
  <c r="R469" i="18"/>
  <c r="Q469" i="18"/>
  <c r="P469" i="18"/>
  <c r="O469" i="18"/>
  <c r="N469" i="18"/>
  <c r="M469" i="18"/>
  <c r="L469" i="18"/>
  <c r="K469" i="18"/>
  <c r="J469" i="18"/>
  <c r="I469" i="18"/>
  <c r="H469" i="18"/>
  <c r="G469" i="18"/>
  <c r="F469" i="18"/>
  <c r="E469" i="18"/>
  <c r="C469" i="18"/>
  <c r="B469" i="18"/>
  <c r="A469" i="18"/>
  <c r="T468" i="18"/>
  <c r="S468" i="18"/>
  <c r="R468" i="18"/>
  <c r="Q468" i="18"/>
  <c r="P468" i="18"/>
  <c r="O468" i="18"/>
  <c r="N468" i="18"/>
  <c r="M468" i="18"/>
  <c r="L468" i="18"/>
  <c r="K468" i="18"/>
  <c r="J468" i="18"/>
  <c r="I468" i="18"/>
  <c r="H468" i="18"/>
  <c r="G468" i="18"/>
  <c r="F468" i="18"/>
  <c r="E468" i="18"/>
  <c r="C468" i="18"/>
  <c r="B468" i="18"/>
  <c r="A468" i="18"/>
  <c r="T467" i="18"/>
  <c r="S467" i="18"/>
  <c r="R467" i="18"/>
  <c r="Q467" i="18"/>
  <c r="P467" i="18"/>
  <c r="O467" i="18"/>
  <c r="N467" i="18"/>
  <c r="M467" i="18"/>
  <c r="L467" i="18"/>
  <c r="K467" i="18"/>
  <c r="J467" i="18"/>
  <c r="I467" i="18"/>
  <c r="H467" i="18"/>
  <c r="G467" i="18"/>
  <c r="F467" i="18"/>
  <c r="E467" i="18"/>
  <c r="C467" i="18"/>
  <c r="B467" i="18"/>
  <c r="A467" i="18"/>
  <c r="T466" i="18"/>
  <c r="S466" i="18"/>
  <c r="R466" i="18"/>
  <c r="Q466" i="18"/>
  <c r="P466" i="18"/>
  <c r="O466" i="18"/>
  <c r="N466" i="18"/>
  <c r="M466" i="18"/>
  <c r="L466" i="18"/>
  <c r="K466" i="18"/>
  <c r="J466" i="18"/>
  <c r="I466" i="18"/>
  <c r="H466" i="18"/>
  <c r="G466" i="18"/>
  <c r="F466" i="18"/>
  <c r="E466" i="18"/>
  <c r="C466" i="18"/>
  <c r="B466" i="18"/>
  <c r="A466" i="18"/>
  <c r="T465" i="18"/>
  <c r="S465" i="18"/>
  <c r="R465" i="18"/>
  <c r="Q465" i="18"/>
  <c r="P465" i="18"/>
  <c r="O465" i="18"/>
  <c r="N465" i="18"/>
  <c r="M465" i="18"/>
  <c r="L465" i="18"/>
  <c r="K465" i="18"/>
  <c r="J465" i="18"/>
  <c r="I465" i="18"/>
  <c r="H465" i="18"/>
  <c r="G465" i="18"/>
  <c r="F465" i="18"/>
  <c r="E465" i="18"/>
  <c r="C465" i="18"/>
  <c r="B465" i="18"/>
  <c r="A465" i="18"/>
  <c r="T464" i="18"/>
  <c r="S464" i="18"/>
  <c r="R464" i="18"/>
  <c r="Q464" i="18"/>
  <c r="P464" i="18"/>
  <c r="O464" i="18"/>
  <c r="N464" i="18"/>
  <c r="M464" i="18"/>
  <c r="L464" i="18"/>
  <c r="K464" i="18"/>
  <c r="J464" i="18"/>
  <c r="I464" i="18"/>
  <c r="H464" i="18"/>
  <c r="G464" i="18"/>
  <c r="F464" i="18"/>
  <c r="E464" i="18"/>
  <c r="C464" i="18"/>
  <c r="B464" i="18"/>
  <c r="A464" i="18"/>
  <c r="T463" i="18"/>
  <c r="S463" i="18"/>
  <c r="R463" i="18"/>
  <c r="Q463" i="18"/>
  <c r="P463" i="18"/>
  <c r="O463" i="18"/>
  <c r="N463" i="18"/>
  <c r="M463" i="18"/>
  <c r="L463" i="18"/>
  <c r="K463" i="18"/>
  <c r="J463" i="18"/>
  <c r="I463" i="18"/>
  <c r="H463" i="18"/>
  <c r="G463" i="18"/>
  <c r="F463" i="18"/>
  <c r="E463" i="18"/>
  <c r="C463" i="18"/>
  <c r="B463" i="18"/>
  <c r="A463" i="18"/>
  <c r="T462" i="18"/>
  <c r="S462" i="18"/>
  <c r="R462" i="18"/>
  <c r="Q462" i="18"/>
  <c r="P462" i="18"/>
  <c r="O462" i="18"/>
  <c r="N462" i="18"/>
  <c r="M462" i="18"/>
  <c r="L462" i="18"/>
  <c r="K462" i="18"/>
  <c r="J462" i="18"/>
  <c r="I462" i="18"/>
  <c r="H462" i="18"/>
  <c r="G462" i="18"/>
  <c r="F462" i="18"/>
  <c r="E462" i="18"/>
  <c r="C462" i="18"/>
  <c r="B462" i="18"/>
  <c r="A462" i="18"/>
  <c r="T461" i="18"/>
  <c r="S461" i="18"/>
  <c r="R461" i="18"/>
  <c r="Q461" i="18"/>
  <c r="P461" i="18"/>
  <c r="O461" i="18"/>
  <c r="N461" i="18"/>
  <c r="M461" i="18"/>
  <c r="L461" i="18"/>
  <c r="K461" i="18"/>
  <c r="J461" i="18"/>
  <c r="I461" i="18"/>
  <c r="H461" i="18"/>
  <c r="G461" i="18"/>
  <c r="F461" i="18"/>
  <c r="E461" i="18"/>
  <c r="C461" i="18"/>
  <c r="B461" i="18"/>
  <c r="A461" i="18"/>
  <c r="T460" i="18"/>
  <c r="S460" i="18"/>
  <c r="R460" i="18"/>
  <c r="Q460" i="18"/>
  <c r="P460" i="18"/>
  <c r="O460" i="18"/>
  <c r="N460" i="18"/>
  <c r="M460" i="18"/>
  <c r="L460" i="18"/>
  <c r="K460" i="18"/>
  <c r="J460" i="18"/>
  <c r="I460" i="18"/>
  <c r="H460" i="18"/>
  <c r="G460" i="18"/>
  <c r="F460" i="18"/>
  <c r="E460" i="18"/>
  <c r="C460" i="18"/>
  <c r="B460" i="18"/>
  <c r="A460" i="18"/>
  <c r="T459" i="18"/>
  <c r="S459" i="18"/>
  <c r="R459" i="18"/>
  <c r="Q459" i="18"/>
  <c r="P459" i="18"/>
  <c r="O459" i="18"/>
  <c r="N459" i="18"/>
  <c r="M459" i="18"/>
  <c r="L459" i="18"/>
  <c r="K459" i="18"/>
  <c r="J459" i="18"/>
  <c r="I459" i="18"/>
  <c r="H459" i="18"/>
  <c r="G459" i="18"/>
  <c r="F459" i="18"/>
  <c r="E459" i="18"/>
  <c r="C459" i="18"/>
  <c r="B459" i="18"/>
  <c r="A459" i="18"/>
  <c r="T458" i="18"/>
  <c r="S458" i="18"/>
  <c r="R458" i="18"/>
  <c r="Q458" i="18"/>
  <c r="P458" i="18"/>
  <c r="O458" i="18"/>
  <c r="N458" i="18"/>
  <c r="M458" i="18"/>
  <c r="L458" i="18"/>
  <c r="K458" i="18"/>
  <c r="J458" i="18"/>
  <c r="I458" i="18"/>
  <c r="H458" i="18"/>
  <c r="G458" i="18"/>
  <c r="F458" i="18"/>
  <c r="E458" i="18"/>
  <c r="C458" i="18"/>
  <c r="B458" i="18"/>
  <c r="A458" i="18"/>
  <c r="T457" i="18"/>
  <c r="S457" i="18"/>
  <c r="R457" i="18"/>
  <c r="Q457" i="18"/>
  <c r="P457" i="18"/>
  <c r="O457" i="18"/>
  <c r="N457" i="18"/>
  <c r="M457" i="18"/>
  <c r="L457" i="18"/>
  <c r="K457" i="18"/>
  <c r="J457" i="18"/>
  <c r="I457" i="18"/>
  <c r="H457" i="18"/>
  <c r="G457" i="18"/>
  <c r="F457" i="18"/>
  <c r="E457" i="18"/>
  <c r="C457" i="18"/>
  <c r="B457" i="18"/>
  <c r="A457" i="18"/>
  <c r="T456" i="18"/>
  <c r="S456" i="18"/>
  <c r="R456" i="18"/>
  <c r="Q456" i="18"/>
  <c r="P456" i="18"/>
  <c r="O456" i="18"/>
  <c r="N456" i="18"/>
  <c r="M456" i="18"/>
  <c r="L456" i="18"/>
  <c r="K456" i="18"/>
  <c r="J456" i="18"/>
  <c r="I456" i="18"/>
  <c r="H456" i="18"/>
  <c r="G456" i="18"/>
  <c r="F456" i="18"/>
  <c r="E456" i="18"/>
  <c r="C456" i="18"/>
  <c r="B456" i="18"/>
  <c r="A456" i="18"/>
  <c r="T455" i="18"/>
  <c r="S455" i="18"/>
  <c r="R455" i="18"/>
  <c r="Q455" i="18"/>
  <c r="P455" i="18"/>
  <c r="O455" i="18"/>
  <c r="N455" i="18"/>
  <c r="M455" i="18"/>
  <c r="L455" i="18"/>
  <c r="K455" i="18"/>
  <c r="J455" i="18"/>
  <c r="I455" i="18"/>
  <c r="H455" i="18"/>
  <c r="G455" i="18"/>
  <c r="F455" i="18"/>
  <c r="E455" i="18"/>
  <c r="C455" i="18"/>
  <c r="B455" i="18"/>
  <c r="A455" i="18"/>
  <c r="T454" i="18"/>
  <c r="S454" i="18"/>
  <c r="R454" i="18"/>
  <c r="Q454" i="18"/>
  <c r="P454" i="18"/>
  <c r="O454" i="18"/>
  <c r="N454" i="18"/>
  <c r="M454" i="18"/>
  <c r="L454" i="18"/>
  <c r="K454" i="18"/>
  <c r="J454" i="18"/>
  <c r="I454" i="18"/>
  <c r="H454" i="18"/>
  <c r="G454" i="18"/>
  <c r="F454" i="18"/>
  <c r="E454" i="18"/>
  <c r="C454" i="18"/>
  <c r="B454" i="18"/>
  <c r="A454" i="18"/>
  <c r="T453" i="18"/>
  <c r="S453" i="18"/>
  <c r="R453" i="18"/>
  <c r="Q453" i="18"/>
  <c r="P453" i="18"/>
  <c r="O453" i="18"/>
  <c r="N453" i="18"/>
  <c r="M453" i="18"/>
  <c r="L453" i="18"/>
  <c r="K453" i="18"/>
  <c r="J453" i="18"/>
  <c r="I453" i="18"/>
  <c r="H453" i="18"/>
  <c r="G453" i="18"/>
  <c r="F453" i="18"/>
  <c r="E453" i="18"/>
  <c r="C453" i="18"/>
  <c r="B453" i="18"/>
  <c r="A453" i="18"/>
  <c r="T452" i="18"/>
  <c r="S452" i="18"/>
  <c r="R452" i="18"/>
  <c r="Q452" i="18"/>
  <c r="P452" i="18"/>
  <c r="O452" i="18"/>
  <c r="N452" i="18"/>
  <c r="M452" i="18"/>
  <c r="L452" i="18"/>
  <c r="K452" i="18"/>
  <c r="J452" i="18"/>
  <c r="I452" i="18"/>
  <c r="H452" i="18"/>
  <c r="G452" i="18"/>
  <c r="F452" i="18"/>
  <c r="E452" i="18"/>
  <c r="C452" i="18"/>
  <c r="B452" i="18"/>
  <c r="A452" i="18"/>
  <c r="T451" i="18"/>
  <c r="S451" i="18"/>
  <c r="R451" i="18"/>
  <c r="Q451" i="18"/>
  <c r="P451" i="18"/>
  <c r="O451" i="18"/>
  <c r="N451" i="18"/>
  <c r="M451" i="18"/>
  <c r="L451" i="18"/>
  <c r="K451" i="18"/>
  <c r="J451" i="18"/>
  <c r="I451" i="18"/>
  <c r="H451" i="18"/>
  <c r="G451" i="18"/>
  <c r="F451" i="18"/>
  <c r="E451" i="18"/>
  <c r="C451" i="18"/>
  <c r="B451" i="18"/>
  <c r="A451" i="18"/>
  <c r="T450" i="18"/>
  <c r="S450" i="18"/>
  <c r="R450" i="18"/>
  <c r="Q450" i="18"/>
  <c r="P450" i="18"/>
  <c r="O450" i="18"/>
  <c r="N450" i="18"/>
  <c r="M450" i="18"/>
  <c r="L450" i="18"/>
  <c r="K450" i="18"/>
  <c r="J450" i="18"/>
  <c r="I450" i="18"/>
  <c r="H450" i="18"/>
  <c r="G450" i="18"/>
  <c r="F450" i="18"/>
  <c r="E450" i="18"/>
  <c r="C450" i="18"/>
  <c r="B450" i="18"/>
  <c r="A450" i="18"/>
  <c r="T449" i="18"/>
  <c r="S449" i="18"/>
  <c r="R449" i="18"/>
  <c r="Q449" i="18"/>
  <c r="P449" i="18"/>
  <c r="O449" i="18"/>
  <c r="N449" i="18"/>
  <c r="M449" i="18"/>
  <c r="L449" i="18"/>
  <c r="K449" i="18"/>
  <c r="J449" i="18"/>
  <c r="I449" i="18"/>
  <c r="H449" i="18"/>
  <c r="G449" i="18"/>
  <c r="F449" i="18"/>
  <c r="E449" i="18"/>
  <c r="C449" i="18"/>
  <c r="B449" i="18"/>
  <c r="A449" i="18"/>
  <c r="T448" i="18"/>
  <c r="S448" i="18"/>
  <c r="R448" i="18"/>
  <c r="Q448" i="18"/>
  <c r="P448" i="18"/>
  <c r="O448" i="18"/>
  <c r="N448" i="18"/>
  <c r="M448" i="18"/>
  <c r="L448" i="18"/>
  <c r="K448" i="18"/>
  <c r="J448" i="18"/>
  <c r="I448" i="18"/>
  <c r="H448" i="18"/>
  <c r="G448" i="18"/>
  <c r="F448" i="18"/>
  <c r="E448" i="18"/>
  <c r="C448" i="18"/>
  <c r="B448" i="18"/>
  <c r="A448" i="18"/>
  <c r="T447" i="18"/>
  <c r="S447" i="18"/>
  <c r="R447" i="18"/>
  <c r="Q447" i="18"/>
  <c r="P447" i="18"/>
  <c r="O447" i="18"/>
  <c r="N447" i="18"/>
  <c r="M447" i="18"/>
  <c r="L447" i="18"/>
  <c r="K447" i="18"/>
  <c r="J447" i="18"/>
  <c r="I447" i="18"/>
  <c r="H447" i="18"/>
  <c r="G447" i="18"/>
  <c r="F447" i="18"/>
  <c r="E447" i="18"/>
  <c r="C447" i="18"/>
  <c r="B447" i="18"/>
  <c r="A447" i="18"/>
  <c r="T446" i="18"/>
  <c r="S446" i="18"/>
  <c r="R446" i="18"/>
  <c r="Q446" i="18"/>
  <c r="P446" i="18"/>
  <c r="O446" i="18"/>
  <c r="N446" i="18"/>
  <c r="M446" i="18"/>
  <c r="L446" i="18"/>
  <c r="K446" i="18"/>
  <c r="J446" i="18"/>
  <c r="I446" i="18"/>
  <c r="H446" i="18"/>
  <c r="G446" i="18"/>
  <c r="F446" i="18"/>
  <c r="E446" i="18"/>
  <c r="C446" i="18"/>
  <c r="B446" i="18"/>
  <c r="A446" i="18"/>
  <c r="T445" i="18"/>
  <c r="S445" i="18"/>
  <c r="R445" i="18"/>
  <c r="Q445" i="18"/>
  <c r="P445" i="18"/>
  <c r="O445" i="18"/>
  <c r="N445" i="18"/>
  <c r="M445" i="18"/>
  <c r="L445" i="18"/>
  <c r="K445" i="18"/>
  <c r="J445" i="18"/>
  <c r="I445" i="18"/>
  <c r="H445" i="18"/>
  <c r="G445" i="18"/>
  <c r="F445" i="18"/>
  <c r="E445" i="18"/>
  <c r="C445" i="18"/>
  <c r="B445" i="18"/>
  <c r="A445" i="18"/>
  <c r="T444" i="18"/>
  <c r="S444" i="18"/>
  <c r="R444" i="18"/>
  <c r="Q444" i="18"/>
  <c r="P444" i="18"/>
  <c r="O444" i="18"/>
  <c r="N444" i="18"/>
  <c r="M444" i="18"/>
  <c r="L444" i="18"/>
  <c r="K444" i="18"/>
  <c r="J444" i="18"/>
  <c r="I444" i="18"/>
  <c r="H444" i="18"/>
  <c r="G444" i="18"/>
  <c r="F444" i="18"/>
  <c r="E444" i="18"/>
  <c r="C444" i="18"/>
  <c r="B444" i="18"/>
  <c r="A444" i="18"/>
  <c r="T443" i="18"/>
  <c r="S443" i="18"/>
  <c r="R443" i="18"/>
  <c r="Q443" i="18"/>
  <c r="P443" i="18"/>
  <c r="O443" i="18"/>
  <c r="N443" i="18"/>
  <c r="M443" i="18"/>
  <c r="L443" i="18"/>
  <c r="K443" i="18"/>
  <c r="J443" i="18"/>
  <c r="I443" i="18"/>
  <c r="H443" i="18"/>
  <c r="G443" i="18"/>
  <c r="F443" i="18"/>
  <c r="E443" i="18"/>
  <c r="C443" i="18"/>
  <c r="B443" i="18"/>
  <c r="A443" i="18"/>
  <c r="T442" i="18"/>
  <c r="S442" i="18"/>
  <c r="R442" i="18"/>
  <c r="Q442" i="18"/>
  <c r="P442" i="18"/>
  <c r="O442" i="18"/>
  <c r="N442" i="18"/>
  <c r="M442" i="18"/>
  <c r="L442" i="18"/>
  <c r="K442" i="18"/>
  <c r="J442" i="18"/>
  <c r="I442" i="18"/>
  <c r="H442" i="18"/>
  <c r="G442" i="18"/>
  <c r="F442" i="18"/>
  <c r="E442" i="18"/>
  <c r="C442" i="18"/>
  <c r="B442" i="18"/>
  <c r="A442" i="18"/>
  <c r="T441" i="18"/>
  <c r="S441" i="18"/>
  <c r="R441" i="18"/>
  <c r="Q441" i="18"/>
  <c r="P441" i="18"/>
  <c r="O441" i="18"/>
  <c r="N441" i="18"/>
  <c r="M441" i="18"/>
  <c r="L441" i="18"/>
  <c r="K441" i="18"/>
  <c r="J441" i="18"/>
  <c r="I441" i="18"/>
  <c r="H441" i="18"/>
  <c r="G441" i="18"/>
  <c r="F441" i="18"/>
  <c r="E441" i="18"/>
  <c r="C441" i="18"/>
  <c r="B441" i="18"/>
  <c r="A441" i="18"/>
  <c r="T440" i="18"/>
  <c r="S440" i="18"/>
  <c r="R440" i="18"/>
  <c r="Q440" i="18"/>
  <c r="P440" i="18"/>
  <c r="O440" i="18"/>
  <c r="N440" i="18"/>
  <c r="M440" i="18"/>
  <c r="L440" i="18"/>
  <c r="K440" i="18"/>
  <c r="J440" i="18"/>
  <c r="I440" i="18"/>
  <c r="H440" i="18"/>
  <c r="G440" i="18"/>
  <c r="F440" i="18"/>
  <c r="E440" i="18"/>
  <c r="C440" i="18"/>
  <c r="B440" i="18"/>
  <c r="A440" i="18"/>
  <c r="T439" i="18"/>
  <c r="S439" i="18"/>
  <c r="R439" i="18"/>
  <c r="Q439" i="18"/>
  <c r="P439" i="18"/>
  <c r="O439" i="18"/>
  <c r="N439" i="18"/>
  <c r="M439" i="18"/>
  <c r="L439" i="18"/>
  <c r="K439" i="18"/>
  <c r="J439" i="18"/>
  <c r="I439" i="18"/>
  <c r="H439" i="18"/>
  <c r="G439" i="18"/>
  <c r="F439" i="18"/>
  <c r="E439" i="18"/>
  <c r="C439" i="18"/>
  <c r="B439" i="18"/>
  <c r="A439" i="18"/>
  <c r="T438" i="18"/>
  <c r="S438" i="18"/>
  <c r="R438" i="18"/>
  <c r="Q438" i="18"/>
  <c r="P438" i="18"/>
  <c r="O438" i="18"/>
  <c r="N438" i="18"/>
  <c r="M438" i="18"/>
  <c r="L438" i="18"/>
  <c r="K438" i="18"/>
  <c r="J438" i="18"/>
  <c r="I438" i="18"/>
  <c r="H438" i="18"/>
  <c r="G438" i="18"/>
  <c r="F438" i="18"/>
  <c r="E438" i="18"/>
  <c r="C438" i="18"/>
  <c r="B438" i="18"/>
  <c r="A438" i="18"/>
  <c r="T437" i="18"/>
  <c r="S437" i="18"/>
  <c r="R437" i="18"/>
  <c r="Q437" i="18"/>
  <c r="P437" i="18"/>
  <c r="O437" i="18"/>
  <c r="N437" i="18"/>
  <c r="M437" i="18"/>
  <c r="L437" i="18"/>
  <c r="K437" i="18"/>
  <c r="J437" i="18"/>
  <c r="I437" i="18"/>
  <c r="H437" i="18"/>
  <c r="G437" i="18"/>
  <c r="F437" i="18"/>
  <c r="E437" i="18"/>
  <c r="C437" i="18"/>
  <c r="B437" i="18"/>
  <c r="A437" i="18"/>
  <c r="T436" i="18"/>
  <c r="S436" i="18"/>
  <c r="R436" i="18"/>
  <c r="Q436" i="18"/>
  <c r="P436" i="18"/>
  <c r="O436" i="18"/>
  <c r="N436" i="18"/>
  <c r="M436" i="18"/>
  <c r="L436" i="18"/>
  <c r="K436" i="18"/>
  <c r="J436" i="18"/>
  <c r="I436" i="18"/>
  <c r="H436" i="18"/>
  <c r="G436" i="18"/>
  <c r="F436" i="18"/>
  <c r="E436" i="18"/>
  <c r="C436" i="18"/>
  <c r="B436" i="18"/>
  <c r="A436" i="18"/>
  <c r="T435" i="18"/>
  <c r="S435" i="18"/>
  <c r="R435" i="18"/>
  <c r="Q435" i="18"/>
  <c r="P435" i="18"/>
  <c r="O435" i="18"/>
  <c r="N435" i="18"/>
  <c r="M435" i="18"/>
  <c r="L435" i="18"/>
  <c r="K435" i="18"/>
  <c r="J435" i="18"/>
  <c r="I435" i="18"/>
  <c r="H435" i="18"/>
  <c r="G435" i="18"/>
  <c r="F435" i="18"/>
  <c r="E435" i="18"/>
  <c r="C435" i="18"/>
  <c r="B435" i="18"/>
  <c r="A435" i="18"/>
  <c r="T434" i="18"/>
  <c r="S434" i="18"/>
  <c r="R434" i="18"/>
  <c r="Q434" i="18"/>
  <c r="P434" i="18"/>
  <c r="O434" i="18"/>
  <c r="N434" i="18"/>
  <c r="M434" i="18"/>
  <c r="L434" i="18"/>
  <c r="K434" i="18"/>
  <c r="J434" i="18"/>
  <c r="I434" i="18"/>
  <c r="H434" i="18"/>
  <c r="G434" i="18"/>
  <c r="F434" i="18"/>
  <c r="E434" i="18"/>
  <c r="C434" i="18"/>
  <c r="B434" i="18"/>
  <c r="A434" i="18"/>
  <c r="T433" i="18"/>
  <c r="S433" i="18"/>
  <c r="R433" i="18"/>
  <c r="Q433" i="18"/>
  <c r="P433" i="18"/>
  <c r="O433" i="18"/>
  <c r="N433" i="18"/>
  <c r="M433" i="18"/>
  <c r="L433" i="18"/>
  <c r="K433" i="18"/>
  <c r="J433" i="18"/>
  <c r="I433" i="18"/>
  <c r="H433" i="18"/>
  <c r="G433" i="18"/>
  <c r="F433" i="18"/>
  <c r="E433" i="18"/>
  <c r="C433" i="18"/>
  <c r="B433" i="18"/>
  <c r="A433" i="18"/>
  <c r="T432" i="18"/>
  <c r="S432" i="18"/>
  <c r="R432" i="18"/>
  <c r="Q432" i="18"/>
  <c r="P432" i="18"/>
  <c r="O432" i="18"/>
  <c r="N432" i="18"/>
  <c r="M432" i="18"/>
  <c r="L432" i="18"/>
  <c r="K432" i="18"/>
  <c r="J432" i="18"/>
  <c r="I432" i="18"/>
  <c r="H432" i="18"/>
  <c r="G432" i="18"/>
  <c r="F432" i="18"/>
  <c r="E432" i="18"/>
  <c r="C432" i="18"/>
  <c r="B432" i="18"/>
  <c r="A432" i="18"/>
  <c r="T431" i="18"/>
  <c r="S431" i="18"/>
  <c r="R431" i="18"/>
  <c r="Q431" i="18"/>
  <c r="P431" i="18"/>
  <c r="O431" i="18"/>
  <c r="N431" i="18"/>
  <c r="M431" i="18"/>
  <c r="L431" i="18"/>
  <c r="K431" i="18"/>
  <c r="J431" i="18"/>
  <c r="I431" i="18"/>
  <c r="H431" i="18"/>
  <c r="G431" i="18"/>
  <c r="F431" i="18"/>
  <c r="E431" i="18"/>
  <c r="C431" i="18"/>
  <c r="B431" i="18"/>
  <c r="A431" i="18"/>
  <c r="T430" i="18"/>
  <c r="S430" i="18"/>
  <c r="R430" i="18"/>
  <c r="Q430" i="18"/>
  <c r="P430" i="18"/>
  <c r="O430" i="18"/>
  <c r="N430" i="18"/>
  <c r="M430" i="18"/>
  <c r="L430" i="18"/>
  <c r="K430" i="18"/>
  <c r="J430" i="18"/>
  <c r="I430" i="18"/>
  <c r="H430" i="18"/>
  <c r="G430" i="18"/>
  <c r="F430" i="18"/>
  <c r="E430" i="18"/>
  <c r="C430" i="18"/>
  <c r="B430" i="18"/>
  <c r="A430" i="18"/>
  <c r="T429" i="18"/>
  <c r="S429" i="18"/>
  <c r="R429" i="18"/>
  <c r="Q429" i="18"/>
  <c r="P429" i="18"/>
  <c r="O429" i="18"/>
  <c r="N429" i="18"/>
  <c r="M429" i="18"/>
  <c r="L429" i="18"/>
  <c r="K429" i="18"/>
  <c r="J429" i="18"/>
  <c r="I429" i="18"/>
  <c r="H429" i="18"/>
  <c r="G429" i="18"/>
  <c r="F429" i="18"/>
  <c r="E429" i="18"/>
  <c r="C429" i="18"/>
  <c r="B429" i="18"/>
  <c r="A429" i="18"/>
  <c r="T428" i="18"/>
  <c r="S428" i="18"/>
  <c r="R428" i="18"/>
  <c r="Q428" i="18"/>
  <c r="P428" i="18"/>
  <c r="O428" i="18"/>
  <c r="N428" i="18"/>
  <c r="M428" i="18"/>
  <c r="L428" i="18"/>
  <c r="K428" i="18"/>
  <c r="J428" i="18"/>
  <c r="I428" i="18"/>
  <c r="H428" i="18"/>
  <c r="G428" i="18"/>
  <c r="F428" i="18"/>
  <c r="E428" i="18"/>
  <c r="C428" i="18"/>
  <c r="B428" i="18"/>
  <c r="A428" i="18"/>
  <c r="T427" i="18"/>
  <c r="S427" i="18"/>
  <c r="R427" i="18"/>
  <c r="Q427" i="18"/>
  <c r="P427" i="18"/>
  <c r="O427" i="18"/>
  <c r="N427" i="18"/>
  <c r="M427" i="18"/>
  <c r="L427" i="18"/>
  <c r="K427" i="18"/>
  <c r="J427" i="18"/>
  <c r="I427" i="18"/>
  <c r="H427" i="18"/>
  <c r="G427" i="18"/>
  <c r="F427" i="18"/>
  <c r="E427" i="18"/>
  <c r="C427" i="18"/>
  <c r="B427" i="18"/>
  <c r="A427" i="18"/>
  <c r="T426" i="18"/>
  <c r="S426" i="18"/>
  <c r="R426" i="18"/>
  <c r="Q426" i="18"/>
  <c r="P426" i="18"/>
  <c r="O426" i="18"/>
  <c r="N426" i="18"/>
  <c r="M426" i="18"/>
  <c r="L426" i="18"/>
  <c r="K426" i="18"/>
  <c r="J426" i="18"/>
  <c r="I426" i="18"/>
  <c r="H426" i="18"/>
  <c r="G426" i="18"/>
  <c r="F426" i="18"/>
  <c r="E426" i="18"/>
  <c r="C426" i="18"/>
  <c r="B426" i="18"/>
  <c r="A426" i="18"/>
  <c r="T425" i="18"/>
  <c r="S425" i="18"/>
  <c r="R425" i="18"/>
  <c r="Q425" i="18"/>
  <c r="P425" i="18"/>
  <c r="O425" i="18"/>
  <c r="N425" i="18"/>
  <c r="M425" i="18"/>
  <c r="L425" i="18"/>
  <c r="K425" i="18"/>
  <c r="J425" i="18"/>
  <c r="I425" i="18"/>
  <c r="H425" i="18"/>
  <c r="G425" i="18"/>
  <c r="F425" i="18"/>
  <c r="E425" i="18"/>
  <c r="C425" i="18"/>
  <c r="B425" i="18"/>
  <c r="A425" i="18"/>
  <c r="T424" i="18"/>
  <c r="S424" i="18"/>
  <c r="R424" i="18"/>
  <c r="Q424" i="18"/>
  <c r="P424" i="18"/>
  <c r="O424" i="18"/>
  <c r="N424" i="18"/>
  <c r="M424" i="18"/>
  <c r="L424" i="18"/>
  <c r="K424" i="18"/>
  <c r="J424" i="18"/>
  <c r="I424" i="18"/>
  <c r="H424" i="18"/>
  <c r="G424" i="18"/>
  <c r="F424" i="18"/>
  <c r="E424" i="18"/>
  <c r="C424" i="18"/>
  <c r="B424" i="18"/>
  <c r="A424" i="18"/>
  <c r="T423" i="18"/>
  <c r="S423" i="18"/>
  <c r="R423" i="18"/>
  <c r="Q423" i="18"/>
  <c r="P423" i="18"/>
  <c r="O423" i="18"/>
  <c r="N423" i="18"/>
  <c r="M423" i="18"/>
  <c r="L423" i="18"/>
  <c r="K423" i="18"/>
  <c r="J423" i="18"/>
  <c r="I423" i="18"/>
  <c r="H423" i="18"/>
  <c r="G423" i="18"/>
  <c r="F423" i="18"/>
  <c r="E423" i="18"/>
  <c r="C423" i="18"/>
  <c r="B423" i="18"/>
  <c r="A423" i="18"/>
  <c r="T422" i="18"/>
  <c r="S422" i="18"/>
  <c r="R422" i="18"/>
  <c r="Q422" i="18"/>
  <c r="P422" i="18"/>
  <c r="O422" i="18"/>
  <c r="N422" i="18"/>
  <c r="M422" i="18"/>
  <c r="L422" i="18"/>
  <c r="K422" i="18"/>
  <c r="J422" i="18"/>
  <c r="I422" i="18"/>
  <c r="H422" i="18"/>
  <c r="G422" i="18"/>
  <c r="F422" i="18"/>
  <c r="E422" i="18"/>
  <c r="C422" i="18"/>
  <c r="B422" i="18"/>
  <c r="A422" i="18"/>
  <c r="T421" i="18"/>
  <c r="S421" i="18"/>
  <c r="R421" i="18"/>
  <c r="Q421" i="18"/>
  <c r="P421" i="18"/>
  <c r="O421" i="18"/>
  <c r="N421" i="18"/>
  <c r="M421" i="18"/>
  <c r="L421" i="18"/>
  <c r="K421" i="18"/>
  <c r="J421" i="18"/>
  <c r="I421" i="18"/>
  <c r="H421" i="18"/>
  <c r="G421" i="18"/>
  <c r="F421" i="18"/>
  <c r="E421" i="18"/>
  <c r="C421" i="18"/>
  <c r="B421" i="18"/>
  <c r="A421" i="18"/>
  <c r="T420" i="18"/>
  <c r="S420" i="18"/>
  <c r="R420" i="18"/>
  <c r="Q420" i="18"/>
  <c r="P420" i="18"/>
  <c r="O420" i="18"/>
  <c r="N420" i="18"/>
  <c r="M420" i="18"/>
  <c r="L420" i="18"/>
  <c r="K420" i="18"/>
  <c r="J420" i="18"/>
  <c r="I420" i="18"/>
  <c r="H420" i="18"/>
  <c r="G420" i="18"/>
  <c r="F420" i="18"/>
  <c r="E420" i="18"/>
  <c r="C420" i="18"/>
  <c r="B420" i="18"/>
  <c r="A420" i="18"/>
  <c r="T419" i="18"/>
  <c r="S419" i="18"/>
  <c r="R419" i="18"/>
  <c r="Q419" i="18"/>
  <c r="P419" i="18"/>
  <c r="O419" i="18"/>
  <c r="N419" i="18"/>
  <c r="M419" i="18"/>
  <c r="L419" i="18"/>
  <c r="K419" i="18"/>
  <c r="J419" i="18"/>
  <c r="I419" i="18"/>
  <c r="H419" i="18"/>
  <c r="G419" i="18"/>
  <c r="F419" i="18"/>
  <c r="E419" i="18"/>
  <c r="C419" i="18"/>
  <c r="B419" i="18"/>
  <c r="A419" i="18"/>
  <c r="T418" i="18"/>
  <c r="S418" i="18"/>
  <c r="R418" i="18"/>
  <c r="Q418" i="18"/>
  <c r="P418" i="18"/>
  <c r="O418" i="18"/>
  <c r="N418" i="18"/>
  <c r="M418" i="18"/>
  <c r="L418" i="18"/>
  <c r="K418" i="18"/>
  <c r="J418" i="18"/>
  <c r="I418" i="18"/>
  <c r="H418" i="18"/>
  <c r="G418" i="18"/>
  <c r="F418" i="18"/>
  <c r="E418" i="18"/>
  <c r="C418" i="18"/>
  <c r="B418" i="18"/>
  <c r="A418" i="18"/>
  <c r="T417" i="18"/>
  <c r="S417" i="18"/>
  <c r="R417" i="18"/>
  <c r="Q417" i="18"/>
  <c r="P417" i="18"/>
  <c r="O417" i="18"/>
  <c r="N417" i="18"/>
  <c r="M417" i="18"/>
  <c r="L417" i="18"/>
  <c r="K417" i="18"/>
  <c r="J417" i="18"/>
  <c r="I417" i="18"/>
  <c r="H417" i="18"/>
  <c r="G417" i="18"/>
  <c r="F417" i="18"/>
  <c r="E417" i="18"/>
  <c r="C417" i="18"/>
  <c r="B417" i="18"/>
  <c r="A417" i="18"/>
  <c r="T416" i="18"/>
  <c r="S416" i="18"/>
  <c r="R416" i="18"/>
  <c r="Q416" i="18"/>
  <c r="P416" i="18"/>
  <c r="O416" i="18"/>
  <c r="N416" i="18"/>
  <c r="M416" i="18"/>
  <c r="L416" i="18"/>
  <c r="K416" i="18"/>
  <c r="J416" i="18"/>
  <c r="I416" i="18"/>
  <c r="H416" i="18"/>
  <c r="G416" i="18"/>
  <c r="F416" i="18"/>
  <c r="E416" i="18"/>
  <c r="C416" i="18"/>
  <c r="B416" i="18"/>
  <c r="A416" i="18"/>
  <c r="T415" i="18"/>
  <c r="S415" i="18"/>
  <c r="R415" i="18"/>
  <c r="Q415" i="18"/>
  <c r="P415" i="18"/>
  <c r="O415" i="18"/>
  <c r="N415" i="18"/>
  <c r="M415" i="18"/>
  <c r="L415" i="18"/>
  <c r="K415" i="18"/>
  <c r="J415" i="18"/>
  <c r="I415" i="18"/>
  <c r="H415" i="18"/>
  <c r="G415" i="18"/>
  <c r="F415" i="18"/>
  <c r="E415" i="18"/>
  <c r="C415" i="18"/>
  <c r="B415" i="18"/>
  <c r="A415" i="18"/>
  <c r="T414" i="18"/>
  <c r="S414" i="18"/>
  <c r="R414" i="18"/>
  <c r="Q414" i="18"/>
  <c r="P414" i="18"/>
  <c r="O414" i="18"/>
  <c r="N414" i="18"/>
  <c r="M414" i="18"/>
  <c r="L414" i="18"/>
  <c r="K414" i="18"/>
  <c r="J414" i="18"/>
  <c r="I414" i="18"/>
  <c r="H414" i="18"/>
  <c r="G414" i="18"/>
  <c r="F414" i="18"/>
  <c r="E414" i="18"/>
  <c r="C414" i="18"/>
  <c r="B414" i="18"/>
  <c r="A414" i="18"/>
  <c r="T413" i="18"/>
  <c r="S413" i="18"/>
  <c r="R413" i="18"/>
  <c r="Q413" i="18"/>
  <c r="P413" i="18"/>
  <c r="O413" i="18"/>
  <c r="N413" i="18"/>
  <c r="M413" i="18"/>
  <c r="L413" i="18"/>
  <c r="K413" i="18"/>
  <c r="J413" i="18"/>
  <c r="I413" i="18"/>
  <c r="H413" i="18"/>
  <c r="G413" i="18"/>
  <c r="F413" i="18"/>
  <c r="E413" i="18"/>
  <c r="C413" i="18"/>
  <c r="B413" i="18"/>
  <c r="A413" i="18"/>
  <c r="T412" i="18"/>
  <c r="S412" i="18"/>
  <c r="R412" i="18"/>
  <c r="Q412" i="18"/>
  <c r="P412" i="18"/>
  <c r="O412" i="18"/>
  <c r="N412" i="18"/>
  <c r="M412" i="18"/>
  <c r="L412" i="18"/>
  <c r="K412" i="18"/>
  <c r="J412" i="18"/>
  <c r="I412" i="18"/>
  <c r="H412" i="18"/>
  <c r="G412" i="18"/>
  <c r="F412" i="18"/>
  <c r="E412" i="18"/>
  <c r="C412" i="18"/>
  <c r="B412" i="18"/>
  <c r="A412" i="18"/>
  <c r="T411" i="18"/>
  <c r="S411" i="18"/>
  <c r="R411" i="18"/>
  <c r="Q411" i="18"/>
  <c r="P411" i="18"/>
  <c r="O411" i="18"/>
  <c r="N411" i="18"/>
  <c r="M411" i="18"/>
  <c r="L411" i="18"/>
  <c r="K411" i="18"/>
  <c r="J411" i="18"/>
  <c r="I411" i="18"/>
  <c r="H411" i="18"/>
  <c r="G411" i="18"/>
  <c r="F411" i="18"/>
  <c r="E411" i="18"/>
  <c r="C411" i="18"/>
  <c r="B411" i="18"/>
  <c r="A411" i="18"/>
  <c r="T410" i="18"/>
  <c r="S410" i="18"/>
  <c r="R410" i="18"/>
  <c r="Q410" i="18"/>
  <c r="P410" i="18"/>
  <c r="O410" i="18"/>
  <c r="N410" i="18"/>
  <c r="M410" i="18"/>
  <c r="L410" i="18"/>
  <c r="K410" i="18"/>
  <c r="J410" i="18"/>
  <c r="I410" i="18"/>
  <c r="H410" i="18"/>
  <c r="G410" i="18"/>
  <c r="F410" i="18"/>
  <c r="E410" i="18"/>
  <c r="C410" i="18"/>
  <c r="B410" i="18"/>
  <c r="A410" i="18"/>
  <c r="T409" i="18"/>
  <c r="S409" i="18"/>
  <c r="R409" i="18"/>
  <c r="Q409" i="18"/>
  <c r="P409" i="18"/>
  <c r="O409" i="18"/>
  <c r="N409" i="18"/>
  <c r="M409" i="18"/>
  <c r="L409" i="18"/>
  <c r="K409" i="18"/>
  <c r="J409" i="18"/>
  <c r="I409" i="18"/>
  <c r="H409" i="18"/>
  <c r="G409" i="18"/>
  <c r="F409" i="18"/>
  <c r="E409" i="18"/>
  <c r="C409" i="18"/>
  <c r="B409" i="18"/>
  <c r="A409" i="18"/>
  <c r="T408" i="18"/>
  <c r="S408" i="18"/>
  <c r="R408" i="18"/>
  <c r="Q408" i="18"/>
  <c r="P408" i="18"/>
  <c r="O408" i="18"/>
  <c r="N408" i="18"/>
  <c r="M408" i="18"/>
  <c r="L408" i="18"/>
  <c r="K408" i="18"/>
  <c r="J408" i="18"/>
  <c r="I408" i="18"/>
  <c r="H408" i="18"/>
  <c r="G408" i="18"/>
  <c r="F408" i="18"/>
  <c r="E408" i="18"/>
  <c r="C408" i="18"/>
  <c r="B408" i="18"/>
  <c r="A408" i="18"/>
  <c r="T407" i="18"/>
  <c r="S407" i="18"/>
  <c r="R407" i="18"/>
  <c r="Q407" i="18"/>
  <c r="P407" i="18"/>
  <c r="O407" i="18"/>
  <c r="N407" i="18"/>
  <c r="M407" i="18"/>
  <c r="L407" i="18"/>
  <c r="K407" i="18"/>
  <c r="J407" i="18"/>
  <c r="I407" i="18"/>
  <c r="H407" i="18"/>
  <c r="G407" i="18"/>
  <c r="F407" i="18"/>
  <c r="E407" i="18"/>
  <c r="C407" i="18"/>
  <c r="B407" i="18"/>
  <c r="A407" i="18"/>
  <c r="T406" i="18"/>
  <c r="S406" i="18"/>
  <c r="R406" i="18"/>
  <c r="Q406" i="18"/>
  <c r="P406" i="18"/>
  <c r="O406" i="18"/>
  <c r="N406" i="18"/>
  <c r="M406" i="18"/>
  <c r="L406" i="18"/>
  <c r="K406" i="18"/>
  <c r="J406" i="18"/>
  <c r="I406" i="18"/>
  <c r="H406" i="18"/>
  <c r="G406" i="18"/>
  <c r="F406" i="18"/>
  <c r="E406" i="18"/>
  <c r="C406" i="18"/>
  <c r="B406" i="18"/>
  <c r="A406" i="18"/>
  <c r="T405" i="18"/>
  <c r="S405" i="18"/>
  <c r="R405" i="18"/>
  <c r="Q405" i="18"/>
  <c r="P405" i="18"/>
  <c r="O405" i="18"/>
  <c r="N405" i="18"/>
  <c r="M405" i="18"/>
  <c r="L405" i="18"/>
  <c r="K405" i="18"/>
  <c r="J405" i="18"/>
  <c r="I405" i="18"/>
  <c r="H405" i="18"/>
  <c r="G405" i="18"/>
  <c r="F405" i="18"/>
  <c r="E405" i="18"/>
  <c r="C405" i="18"/>
  <c r="B405" i="18"/>
  <c r="A405" i="18"/>
  <c r="T404" i="18"/>
  <c r="S404" i="18"/>
  <c r="R404" i="18"/>
  <c r="Q404" i="18"/>
  <c r="P404" i="18"/>
  <c r="O404" i="18"/>
  <c r="N404" i="18"/>
  <c r="M404" i="18"/>
  <c r="L404" i="18"/>
  <c r="K404" i="18"/>
  <c r="J404" i="18"/>
  <c r="I404" i="18"/>
  <c r="H404" i="18"/>
  <c r="G404" i="18"/>
  <c r="F404" i="18"/>
  <c r="E404" i="18"/>
  <c r="C404" i="18"/>
  <c r="B404" i="18"/>
  <c r="A404" i="18"/>
  <c r="T403" i="18"/>
  <c r="S403" i="18"/>
  <c r="R403" i="18"/>
  <c r="Q403" i="18"/>
  <c r="P403" i="18"/>
  <c r="O403" i="18"/>
  <c r="N403" i="18"/>
  <c r="M403" i="18"/>
  <c r="L403" i="18"/>
  <c r="K403" i="18"/>
  <c r="J403" i="18"/>
  <c r="I403" i="18"/>
  <c r="H403" i="18"/>
  <c r="G403" i="18"/>
  <c r="F403" i="18"/>
  <c r="E403" i="18"/>
  <c r="C403" i="18"/>
  <c r="B403" i="18"/>
  <c r="A403" i="18"/>
  <c r="T402" i="18"/>
  <c r="S402" i="18"/>
  <c r="R402" i="18"/>
  <c r="Q402" i="18"/>
  <c r="P402" i="18"/>
  <c r="O402" i="18"/>
  <c r="N402" i="18"/>
  <c r="M402" i="18"/>
  <c r="L402" i="18"/>
  <c r="K402" i="18"/>
  <c r="J402" i="18"/>
  <c r="I402" i="18"/>
  <c r="H402" i="18"/>
  <c r="G402" i="18"/>
  <c r="F402" i="18"/>
  <c r="E402" i="18"/>
  <c r="C402" i="18"/>
  <c r="B402" i="18"/>
  <c r="A402" i="18"/>
  <c r="T401" i="18"/>
  <c r="S401" i="18"/>
  <c r="R401" i="18"/>
  <c r="Q401" i="18"/>
  <c r="P401" i="18"/>
  <c r="O401" i="18"/>
  <c r="N401" i="18"/>
  <c r="M401" i="18"/>
  <c r="L401" i="18"/>
  <c r="K401" i="18"/>
  <c r="J401" i="18"/>
  <c r="I401" i="18"/>
  <c r="H401" i="18"/>
  <c r="G401" i="18"/>
  <c r="F401" i="18"/>
  <c r="E401" i="18"/>
  <c r="C401" i="18"/>
  <c r="B401" i="18"/>
  <c r="A401" i="18"/>
  <c r="T400" i="18"/>
  <c r="S400" i="18"/>
  <c r="R400" i="18"/>
  <c r="Q400" i="18"/>
  <c r="P400" i="18"/>
  <c r="O400" i="18"/>
  <c r="N400" i="18"/>
  <c r="M400" i="18"/>
  <c r="L400" i="18"/>
  <c r="K400" i="18"/>
  <c r="J400" i="18"/>
  <c r="I400" i="18"/>
  <c r="H400" i="18"/>
  <c r="G400" i="18"/>
  <c r="F400" i="18"/>
  <c r="E400" i="18"/>
  <c r="C400" i="18"/>
  <c r="B400" i="18"/>
  <c r="A400" i="18"/>
  <c r="T399" i="18"/>
  <c r="S399" i="18"/>
  <c r="R399" i="18"/>
  <c r="Q399" i="18"/>
  <c r="P399" i="18"/>
  <c r="O399" i="18"/>
  <c r="N399" i="18"/>
  <c r="M399" i="18"/>
  <c r="L399" i="18"/>
  <c r="K399" i="18"/>
  <c r="J399" i="18"/>
  <c r="I399" i="18"/>
  <c r="H399" i="18"/>
  <c r="G399" i="18"/>
  <c r="F399" i="18"/>
  <c r="E399" i="18"/>
  <c r="C399" i="18"/>
  <c r="B399" i="18"/>
  <c r="A399" i="18"/>
  <c r="T398" i="18"/>
  <c r="S398" i="18"/>
  <c r="R398" i="18"/>
  <c r="Q398" i="18"/>
  <c r="P398" i="18"/>
  <c r="O398" i="18"/>
  <c r="N398" i="18"/>
  <c r="M398" i="18"/>
  <c r="L398" i="18"/>
  <c r="K398" i="18"/>
  <c r="J398" i="18"/>
  <c r="I398" i="18"/>
  <c r="H398" i="18"/>
  <c r="G398" i="18"/>
  <c r="F398" i="18"/>
  <c r="E398" i="18"/>
  <c r="C398" i="18"/>
  <c r="B398" i="18"/>
  <c r="A398" i="18"/>
  <c r="T397" i="18"/>
  <c r="S397" i="18"/>
  <c r="R397" i="18"/>
  <c r="Q397" i="18"/>
  <c r="P397" i="18"/>
  <c r="O397" i="18"/>
  <c r="N397" i="18"/>
  <c r="M397" i="18"/>
  <c r="L397" i="18"/>
  <c r="K397" i="18"/>
  <c r="J397" i="18"/>
  <c r="I397" i="18"/>
  <c r="H397" i="18"/>
  <c r="G397" i="18"/>
  <c r="F397" i="18"/>
  <c r="E397" i="18"/>
  <c r="C397" i="18"/>
  <c r="B397" i="18"/>
  <c r="A397" i="18"/>
  <c r="T396" i="18"/>
  <c r="S396" i="18"/>
  <c r="R396" i="18"/>
  <c r="Q396" i="18"/>
  <c r="P396" i="18"/>
  <c r="O396" i="18"/>
  <c r="N396" i="18"/>
  <c r="M396" i="18"/>
  <c r="L396" i="18"/>
  <c r="K396" i="18"/>
  <c r="J396" i="18"/>
  <c r="I396" i="18"/>
  <c r="H396" i="18"/>
  <c r="G396" i="18"/>
  <c r="F396" i="18"/>
  <c r="E396" i="18"/>
  <c r="C396" i="18"/>
  <c r="B396" i="18"/>
  <c r="A396" i="18"/>
  <c r="T395" i="18"/>
  <c r="S395" i="18"/>
  <c r="R395" i="18"/>
  <c r="Q395" i="18"/>
  <c r="P395" i="18"/>
  <c r="O395" i="18"/>
  <c r="N395" i="18"/>
  <c r="M395" i="18"/>
  <c r="L395" i="18"/>
  <c r="K395" i="18"/>
  <c r="J395" i="18"/>
  <c r="I395" i="18"/>
  <c r="H395" i="18"/>
  <c r="G395" i="18"/>
  <c r="F395" i="18"/>
  <c r="E395" i="18"/>
  <c r="C395" i="18"/>
  <c r="B395" i="18"/>
  <c r="A395" i="18"/>
  <c r="T394" i="18"/>
  <c r="S394" i="18"/>
  <c r="R394" i="18"/>
  <c r="Q394" i="18"/>
  <c r="P394" i="18"/>
  <c r="O394" i="18"/>
  <c r="N394" i="18"/>
  <c r="M394" i="18"/>
  <c r="L394" i="18"/>
  <c r="K394" i="18"/>
  <c r="J394" i="18"/>
  <c r="I394" i="18"/>
  <c r="H394" i="18"/>
  <c r="G394" i="18"/>
  <c r="F394" i="18"/>
  <c r="E394" i="18"/>
  <c r="C394" i="18"/>
  <c r="B394" i="18"/>
  <c r="A394" i="18"/>
  <c r="T393" i="18"/>
  <c r="S393" i="18"/>
  <c r="R393" i="18"/>
  <c r="Q393" i="18"/>
  <c r="P393" i="18"/>
  <c r="O393" i="18"/>
  <c r="N393" i="18"/>
  <c r="M393" i="18"/>
  <c r="L393" i="18"/>
  <c r="K393" i="18"/>
  <c r="J393" i="18"/>
  <c r="I393" i="18"/>
  <c r="H393" i="18"/>
  <c r="G393" i="18"/>
  <c r="F393" i="18"/>
  <c r="E393" i="18"/>
  <c r="C393" i="18"/>
  <c r="B393" i="18"/>
  <c r="A393" i="18"/>
  <c r="T392" i="18"/>
  <c r="S392" i="18"/>
  <c r="R392" i="18"/>
  <c r="Q392" i="18"/>
  <c r="P392" i="18"/>
  <c r="O392" i="18"/>
  <c r="N392" i="18"/>
  <c r="M392" i="18"/>
  <c r="L392" i="18"/>
  <c r="K392" i="18"/>
  <c r="J392" i="18"/>
  <c r="I392" i="18"/>
  <c r="H392" i="18"/>
  <c r="G392" i="18"/>
  <c r="F392" i="18"/>
  <c r="E392" i="18"/>
  <c r="C392" i="18"/>
  <c r="B392" i="18"/>
  <c r="A392" i="18"/>
  <c r="T391" i="18"/>
  <c r="S391" i="18"/>
  <c r="R391" i="18"/>
  <c r="Q391" i="18"/>
  <c r="P391" i="18"/>
  <c r="O391" i="18"/>
  <c r="N391" i="18"/>
  <c r="M391" i="18"/>
  <c r="L391" i="18"/>
  <c r="K391" i="18"/>
  <c r="J391" i="18"/>
  <c r="I391" i="18"/>
  <c r="H391" i="18"/>
  <c r="G391" i="18"/>
  <c r="F391" i="18"/>
  <c r="E391" i="18"/>
  <c r="C391" i="18"/>
  <c r="B391" i="18"/>
  <c r="A391" i="18"/>
  <c r="T390" i="18"/>
  <c r="S390" i="18"/>
  <c r="R390" i="18"/>
  <c r="Q390" i="18"/>
  <c r="P390" i="18"/>
  <c r="O390" i="18"/>
  <c r="N390" i="18"/>
  <c r="M390" i="18"/>
  <c r="L390" i="18"/>
  <c r="K390" i="18"/>
  <c r="J390" i="18"/>
  <c r="I390" i="18"/>
  <c r="H390" i="18"/>
  <c r="G390" i="18"/>
  <c r="F390" i="18"/>
  <c r="E390" i="18"/>
  <c r="C390" i="18"/>
  <c r="B390" i="18"/>
  <c r="A390" i="18"/>
  <c r="T389" i="18"/>
  <c r="S389" i="18"/>
  <c r="R389" i="18"/>
  <c r="Q389" i="18"/>
  <c r="P389" i="18"/>
  <c r="O389" i="18"/>
  <c r="N389" i="18"/>
  <c r="M389" i="18"/>
  <c r="L389" i="18"/>
  <c r="K389" i="18"/>
  <c r="J389" i="18"/>
  <c r="I389" i="18"/>
  <c r="H389" i="18"/>
  <c r="G389" i="18"/>
  <c r="F389" i="18"/>
  <c r="E389" i="18"/>
  <c r="C389" i="18"/>
  <c r="B389" i="18"/>
  <c r="A389" i="18"/>
  <c r="T388" i="18"/>
  <c r="S388" i="18"/>
  <c r="R388" i="18"/>
  <c r="Q388" i="18"/>
  <c r="P388" i="18"/>
  <c r="O388" i="18"/>
  <c r="N388" i="18"/>
  <c r="M388" i="18"/>
  <c r="L388" i="18"/>
  <c r="K388" i="18"/>
  <c r="J388" i="18"/>
  <c r="I388" i="18"/>
  <c r="H388" i="18"/>
  <c r="G388" i="18"/>
  <c r="F388" i="18"/>
  <c r="E388" i="18"/>
  <c r="C388" i="18"/>
  <c r="B388" i="18"/>
  <c r="A388" i="18"/>
  <c r="T387" i="18"/>
  <c r="S387" i="18"/>
  <c r="R387" i="18"/>
  <c r="Q387" i="18"/>
  <c r="P387" i="18"/>
  <c r="O387" i="18"/>
  <c r="N387" i="18"/>
  <c r="M387" i="18"/>
  <c r="L387" i="18"/>
  <c r="K387" i="18"/>
  <c r="J387" i="18"/>
  <c r="I387" i="18"/>
  <c r="H387" i="18"/>
  <c r="G387" i="18"/>
  <c r="F387" i="18"/>
  <c r="E387" i="18"/>
  <c r="C387" i="18"/>
  <c r="B387" i="18"/>
  <c r="A387" i="18"/>
  <c r="T386" i="18"/>
  <c r="S386" i="18"/>
  <c r="R386" i="18"/>
  <c r="Q386" i="18"/>
  <c r="P386" i="18"/>
  <c r="O386" i="18"/>
  <c r="N386" i="18"/>
  <c r="M386" i="18"/>
  <c r="L386" i="18"/>
  <c r="K386" i="18"/>
  <c r="J386" i="18"/>
  <c r="I386" i="18"/>
  <c r="H386" i="18"/>
  <c r="G386" i="18"/>
  <c r="F386" i="18"/>
  <c r="E386" i="18"/>
  <c r="C386" i="18"/>
  <c r="B386" i="18"/>
  <c r="A386" i="18"/>
  <c r="T385" i="18"/>
  <c r="S385" i="18"/>
  <c r="R385" i="18"/>
  <c r="Q385" i="18"/>
  <c r="P385" i="18"/>
  <c r="O385" i="18"/>
  <c r="N385" i="18"/>
  <c r="M385" i="18"/>
  <c r="L385" i="18"/>
  <c r="K385" i="18"/>
  <c r="J385" i="18"/>
  <c r="I385" i="18"/>
  <c r="H385" i="18"/>
  <c r="G385" i="18"/>
  <c r="F385" i="18"/>
  <c r="E385" i="18"/>
  <c r="C385" i="18"/>
  <c r="B385" i="18"/>
  <c r="A385" i="18"/>
  <c r="T384" i="18"/>
  <c r="S384" i="18"/>
  <c r="R384" i="18"/>
  <c r="Q384" i="18"/>
  <c r="P384" i="18"/>
  <c r="O384" i="18"/>
  <c r="N384" i="18"/>
  <c r="M384" i="18"/>
  <c r="L384" i="18"/>
  <c r="K384" i="18"/>
  <c r="J384" i="18"/>
  <c r="I384" i="18"/>
  <c r="H384" i="18"/>
  <c r="G384" i="18"/>
  <c r="F384" i="18"/>
  <c r="E384" i="18"/>
  <c r="C384" i="18"/>
  <c r="B384" i="18"/>
  <c r="A384" i="18"/>
  <c r="T383" i="18"/>
  <c r="S383" i="18"/>
  <c r="R383" i="18"/>
  <c r="Q383" i="18"/>
  <c r="P383" i="18"/>
  <c r="O383" i="18"/>
  <c r="N383" i="18"/>
  <c r="M383" i="18"/>
  <c r="L383" i="18"/>
  <c r="K383" i="18"/>
  <c r="J383" i="18"/>
  <c r="I383" i="18"/>
  <c r="H383" i="18"/>
  <c r="G383" i="18"/>
  <c r="F383" i="18"/>
  <c r="E383" i="18"/>
  <c r="C383" i="18"/>
  <c r="B383" i="18"/>
  <c r="A383" i="18"/>
  <c r="T382" i="18"/>
  <c r="S382" i="18"/>
  <c r="R382" i="18"/>
  <c r="Q382" i="18"/>
  <c r="P382" i="18"/>
  <c r="O382" i="18"/>
  <c r="N382" i="18"/>
  <c r="M382" i="18"/>
  <c r="L382" i="18"/>
  <c r="K382" i="18"/>
  <c r="J382" i="18"/>
  <c r="I382" i="18"/>
  <c r="H382" i="18"/>
  <c r="G382" i="18"/>
  <c r="F382" i="18"/>
  <c r="E382" i="18"/>
  <c r="C382" i="18"/>
  <c r="B382" i="18"/>
  <c r="A382" i="18"/>
  <c r="T381" i="18"/>
  <c r="S381" i="18"/>
  <c r="R381" i="18"/>
  <c r="Q381" i="18"/>
  <c r="P381" i="18"/>
  <c r="O381" i="18"/>
  <c r="N381" i="18"/>
  <c r="M381" i="18"/>
  <c r="L381" i="18"/>
  <c r="K381" i="18"/>
  <c r="J381" i="18"/>
  <c r="I381" i="18"/>
  <c r="H381" i="18"/>
  <c r="G381" i="18"/>
  <c r="F381" i="18"/>
  <c r="E381" i="18"/>
  <c r="C381" i="18"/>
  <c r="B381" i="18"/>
  <c r="A381" i="18"/>
  <c r="T380" i="18"/>
  <c r="S380" i="18"/>
  <c r="R380" i="18"/>
  <c r="Q380" i="18"/>
  <c r="P380" i="18"/>
  <c r="O380" i="18"/>
  <c r="N380" i="18"/>
  <c r="M380" i="18"/>
  <c r="L380" i="18"/>
  <c r="K380" i="18"/>
  <c r="J380" i="18"/>
  <c r="I380" i="18"/>
  <c r="H380" i="18"/>
  <c r="G380" i="18"/>
  <c r="F380" i="18"/>
  <c r="E380" i="18"/>
  <c r="C380" i="18"/>
  <c r="B380" i="18"/>
  <c r="A380" i="18"/>
  <c r="T379" i="18"/>
  <c r="S379" i="18"/>
  <c r="R379" i="18"/>
  <c r="Q379" i="18"/>
  <c r="P379" i="18"/>
  <c r="O379" i="18"/>
  <c r="N379" i="18"/>
  <c r="M379" i="18"/>
  <c r="L379" i="18"/>
  <c r="K379" i="18"/>
  <c r="J379" i="18"/>
  <c r="I379" i="18"/>
  <c r="H379" i="18"/>
  <c r="G379" i="18"/>
  <c r="F379" i="18"/>
  <c r="E379" i="18"/>
  <c r="C379" i="18"/>
  <c r="B379" i="18"/>
  <c r="A379" i="18"/>
  <c r="T378" i="18"/>
  <c r="S378" i="18"/>
  <c r="R378" i="18"/>
  <c r="Q378" i="18"/>
  <c r="P378" i="18"/>
  <c r="O378" i="18"/>
  <c r="N378" i="18"/>
  <c r="M378" i="18"/>
  <c r="L378" i="18"/>
  <c r="K378" i="18"/>
  <c r="J378" i="18"/>
  <c r="I378" i="18"/>
  <c r="H378" i="18"/>
  <c r="G378" i="18"/>
  <c r="F378" i="18"/>
  <c r="E378" i="18"/>
  <c r="C378" i="18"/>
  <c r="B378" i="18"/>
  <c r="A378" i="18"/>
  <c r="T377" i="18"/>
  <c r="S377" i="18"/>
  <c r="R377" i="18"/>
  <c r="Q377" i="18"/>
  <c r="P377" i="18"/>
  <c r="O377" i="18"/>
  <c r="N377" i="18"/>
  <c r="M377" i="18"/>
  <c r="L377" i="18"/>
  <c r="K377" i="18"/>
  <c r="J377" i="18"/>
  <c r="I377" i="18"/>
  <c r="H377" i="18"/>
  <c r="G377" i="18"/>
  <c r="F377" i="18"/>
  <c r="E377" i="18"/>
  <c r="C377" i="18"/>
  <c r="B377" i="18"/>
  <c r="A377" i="18"/>
  <c r="T376" i="18"/>
  <c r="S376" i="18"/>
  <c r="R376" i="18"/>
  <c r="Q376" i="18"/>
  <c r="P376" i="18"/>
  <c r="O376" i="18"/>
  <c r="N376" i="18"/>
  <c r="M376" i="18"/>
  <c r="L376" i="18"/>
  <c r="K376" i="18"/>
  <c r="J376" i="18"/>
  <c r="I376" i="18"/>
  <c r="H376" i="18"/>
  <c r="G376" i="18"/>
  <c r="F376" i="18"/>
  <c r="E376" i="18"/>
  <c r="C376" i="18"/>
  <c r="B376" i="18"/>
  <c r="A376" i="18"/>
  <c r="T375" i="18"/>
  <c r="S375" i="18"/>
  <c r="R375" i="18"/>
  <c r="Q375" i="18"/>
  <c r="P375" i="18"/>
  <c r="O375" i="18"/>
  <c r="N375" i="18"/>
  <c r="M375" i="18"/>
  <c r="L375" i="18"/>
  <c r="K375" i="18"/>
  <c r="J375" i="18"/>
  <c r="I375" i="18"/>
  <c r="H375" i="18"/>
  <c r="G375" i="18"/>
  <c r="F375" i="18"/>
  <c r="E375" i="18"/>
  <c r="C375" i="18"/>
  <c r="B375" i="18"/>
  <c r="A375" i="18"/>
  <c r="T374" i="18"/>
  <c r="S374" i="18"/>
  <c r="R374" i="18"/>
  <c r="Q374" i="18"/>
  <c r="P374" i="18"/>
  <c r="O374" i="18"/>
  <c r="N374" i="18"/>
  <c r="M374" i="18"/>
  <c r="L374" i="18"/>
  <c r="K374" i="18"/>
  <c r="J374" i="18"/>
  <c r="I374" i="18"/>
  <c r="H374" i="18"/>
  <c r="G374" i="18"/>
  <c r="F374" i="18"/>
  <c r="E374" i="18"/>
  <c r="C374" i="18"/>
  <c r="B374" i="18"/>
  <c r="A374" i="18"/>
  <c r="T373" i="18"/>
  <c r="S373" i="18"/>
  <c r="R373" i="18"/>
  <c r="Q373" i="18"/>
  <c r="P373" i="18"/>
  <c r="O373" i="18"/>
  <c r="N373" i="18"/>
  <c r="M373" i="18"/>
  <c r="L373" i="18"/>
  <c r="K373" i="18"/>
  <c r="J373" i="18"/>
  <c r="I373" i="18"/>
  <c r="H373" i="18"/>
  <c r="G373" i="18"/>
  <c r="F373" i="18"/>
  <c r="E373" i="18"/>
  <c r="C373" i="18"/>
  <c r="B373" i="18"/>
  <c r="A373" i="18"/>
  <c r="T372" i="18"/>
  <c r="S372" i="18"/>
  <c r="R372" i="18"/>
  <c r="Q372" i="18"/>
  <c r="P372" i="18"/>
  <c r="O372" i="18"/>
  <c r="N372" i="18"/>
  <c r="M372" i="18"/>
  <c r="L372" i="18"/>
  <c r="K372" i="18"/>
  <c r="J372" i="18"/>
  <c r="I372" i="18"/>
  <c r="H372" i="18"/>
  <c r="G372" i="18"/>
  <c r="F372" i="18"/>
  <c r="E372" i="18"/>
  <c r="C372" i="18"/>
  <c r="B372" i="18"/>
  <c r="A372" i="18"/>
  <c r="T371" i="18"/>
  <c r="S371" i="18"/>
  <c r="R371" i="18"/>
  <c r="Q371" i="18"/>
  <c r="P371" i="18"/>
  <c r="O371" i="18"/>
  <c r="N371" i="18"/>
  <c r="M371" i="18"/>
  <c r="L371" i="18"/>
  <c r="K371" i="18"/>
  <c r="J371" i="18"/>
  <c r="I371" i="18"/>
  <c r="H371" i="18"/>
  <c r="G371" i="18"/>
  <c r="F371" i="18"/>
  <c r="E371" i="18"/>
  <c r="C371" i="18"/>
  <c r="B371" i="18"/>
  <c r="A371" i="18"/>
  <c r="T370" i="18"/>
  <c r="S370" i="18"/>
  <c r="R370" i="18"/>
  <c r="Q370" i="18"/>
  <c r="P370" i="18"/>
  <c r="O370" i="18"/>
  <c r="N370" i="18"/>
  <c r="M370" i="18"/>
  <c r="L370" i="18"/>
  <c r="K370" i="18"/>
  <c r="J370" i="18"/>
  <c r="I370" i="18"/>
  <c r="H370" i="18"/>
  <c r="G370" i="18"/>
  <c r="F370" i="18"/>
  <c r="E370" i="18"/>
  <c r="C370" i="18"/>
  <c r="B370" i="18"/>
  <c r="A370" i="18"/>
  <c r="T369" i="18"/>
  <c r="S369" i="18"/>
  <c r="R369" i="18"/>
  <c r="Q369" i="18"/>
  <c r="P369" i="18"/>
  <c r="O369" i="18"/>
  <c r="N369" i="18"/>
  <c r="M369" i="18"/>
  <c r="L369" i="18"/>
  <c r="K369" i="18"/>
  <c r="J369" i="18"/>
  <c r="I369" i="18"/>
  <c r="H369" i="18"/>
  <c r="G369" i="18"/>
  <c r="F369" i="18"/>
  <c r="E369" i="18"/>
  <c r="C369" i="18"/>
  <c r="B369" i="18"/>
  <c r="A369" i="18"/>
  <c r="T368" i="18"/>
  <c r="S368" i="18"/>
  <c r="R368" i="18"/>
  <c r="Q368" i="18"/>
  <c r="P368" i="18"/>
  <c r="O368" i="18"/>
  <c r="N368" i="18"/>
  <c r="M368" i="18"/>
  <c r="L368" i="18"/>
  <c r="K368" i="18"/>
  <c r="J368" i="18"/>
  <c r="I368" i="18"/>
  <c r="H368" i="18"/>
  <c r="G368" i="18"/>
  <c r="F368" i="18"/>
  <c r="E368" i="18"/>
  <c r="C368" i="18"/>
  <c r="B368" i="18"/>
  <c r="A368" i="18"/>
  <c r="T367" i="18"/>
  <c r="S367" i="18"/>
  <c r="R367" i="18"/>
  <c r="Q367" i="18"/>
  <c r="P367" i="18"/>
  <c r="O367" i="18"/>
  <c r="N367" i="18"/>
  <c r="M367" i="18"/>
  <c r="L367" i="18"/>
  <c r="K367" i="18"/>
  <c r="J367" i="18"/>
  <c r="I367" i="18"/>
  <c r="H367" i="18"/>
  <c r="G367" i="18"/>
  <c r="F367" i="18"/>
  <c r="E367" i="18"/>
  <c r="C367" i="18"/>
  <c r="B367" i="18"/>
  <c r="A367" i="18"/>
  <c r="T366" i="18"/>
  <c r="S366" i="18"/>
  <c r="R366" i="18"/>
  <c r="Q366" i="18"/>
  <c r="P366" i="18"/>
  <c r="O366" i="18"/>
  <c r="N366" i="18"/>
  <c r="M366" i="18"/>
  <c r="L366" i="18"/>
  <c r="K366" i="18"/>
  <c r="J366" i="18"/>
  <c r="I366" i="18"/>
  <c r="H366" i="18"/>
  <c r="G366" i="18"/>
  <c r="F366" i="18"/>
  <c r="E366" i="18"/>
  <c r="C366" i="18"/>
  <c r="B366" i="18"/>
  <c r="A366" i="18"/>
  <c r="T365" i="18"/>
  <c r="S365" i="18"/>
  <c r="R365" i="18"/>
  <c r="Q365" i="18"/>
  <c r="P365" i="18"/>
  <c r="O365" i="18"/>
  <c r="N365" i="18"/>
  <c r="M365" i="18"/>
  <c r="L365" i="18"/>
  <c r="K365" i="18"/>
  <c r="J365" i="18"/>
  <c r="I365" i="18"/>
  <c r="H365" i="18"/>
  <c r="G365" i="18"/>
  <c r="F365" i="18"/>
  <c r="E365" i="18"/>
  <c r="C365" i="18"/>
  <c r="B365" i="18"/>
  <c r="A365" i="18"/>
  <c r="T364" i="18"/>
  <c r="S364" i="18"/>
  <c r="R364" i="18"/>
  <c r="Q364" i="18"/>
  <c r="P364" i="18"/>
  <c r="O364" i="18"/>
  <c r="N364" i="18"/>
  <c r="M364" i="18"/>
  <c r="L364" i="18"/>
  <c r="K364" i="18"/>
  <c r="J364" i="18"/>
  <c r="I364" i="18"/>
  <c r="H364" i="18"/>
  <c r="G364" i="18"/>
  <c r="F364" i="18"/>
  <c r="E364" i="18"/>
  <c r="C364" i="18"/>
  <c r="B364" i="18"/>
  <c r="A364" i="18"/>
  <c r="T363" i="18"/>
  <c r="S363" i="18"/>
  <c r="R363" i="18"/>
  <c r="Q363" i="18"/>
  <c r="P363" i="18"/>
  <c r="O363" i="18"/>
  <c r="N363" i="18"/>
  <c r="M363" i="18"/>
  <c r="L363" i="18"/>
  <c r="K363" i="18"/>
  <c r="J363" i="18"/>
  <c r="I363" i="18"/>
  <c r="H363" i="18"/>
  <c r="G363" i="18"/>
  <c r="F363" i="18"/>
  <c r="E363" i="18"/>
  <c r="C363" i="18"/>
  <c r="B363" i="18"/>
  <c r="A363" i="18"/>
  <c r="T362" i="18"/>
  <c r="S362" i="18"/>
  <c r="R362" i="18"/>
  <c r="Q362" i="18"/>
  <c r="P362" i="18"/>
  <c r="O362" i="18"/>
  <c r="N362" i="18"/>
  <c r="M362" i="18"/>
  <c r="L362" i="18"/>
  <c r="K362" i="18"/>
  <c r="J362" i="18"/>
  <c r="I362" i="18"/>
  <c r="H362" i="18"/>
  <c r="G362" i="18"/>
  <c r="F362" i="18"/>
  <c r="E362" i="18"/>
  <c r="C362" i="18"/>
  <c r="B362" i="18"/>
  <c r="A362" i="18"/>
  <c r="T361" i="18"/>
  <c r="S361" i="18"/>
  <c r="R361" i="18"/>
  <c r="Q361" i="18"/>
  <c r="P361" i="18"/>
  <c r="O361" i="18"/>
  <c r="N361" i="18"/>
  <c r="M361" i="18"/>
  <c r="L361" i="18"/>
  <c r="K361" i="18"/>
  <c r="J361" i="18"/>
  <c r="I361" i="18"/>
  <c r="H361" i="18"/>
  <c r="G361" i="18"/>
  <c r="F361" i="18"/>
  <c r="E361" i="18"/>
  <c r="C361" i="18"/>
  <c r="B361" i="18"/>
  <c r="A361" i="18"/>
  <c r="T360" i="18"/>
  <c r="S360" i="18"/>
  <c r="R360" i="18"/>
  <c r="Q360" i="18"/>
  <c r="P360" i="18"/>
  <c r="O360" i="18"/>
  <c r="N360" i="18"/>
  <c r="M360" i="18"/>
  <c r="L360" i="18"/>
  <c r="K360" i="18"/>
  <c r="J360" i="18"/>
  <c r="I360" i="18"/>
  <c r="H360" i="18"/>
  <c r="G360" i="18"/>
  <c r="F360" i="18"/>
  <c r="E360" i="18"/>
  <c r="C360" i="18"/>
  <c r="B360" i="18"/>
  <c r="A360" i="18"/>
  <c r="T359" i="18"/>
  <c r="S359" i="18"/>
  <c r="R359" i="18"/>
  <c r="Q359" i="18"/>
  <c r="P359" i="18"/>
  <c r="O359" i="18"/>
  <c r="N359" i="18"/>
  <c r="M359" i="18"/>
  <c r="L359" i="18"/>
  <c r="K359" i="18"/>
  <c r="J359" i="18"/>
  <c r="I359" i="18"/>
  <c r="H359" i="18"/>
  <c r="G359" i="18"/>
  <c r="F359" i="18"/>
  <c r="E359" i="18"/>
  <c r="C359" i="18"/>
  <c r="B359" i="18"/>
  <c r="A359" i="18"/>
  <c r="T358" i="18"/>
  <c r="S358" i="18"/>
  <c r="R358" i="18"/>
  <c r="Q358" i="18"/>
  <c r="P358" i="18"/>
  <c r="O358" i="18"/>
  <c r="N358" i="18"/>
  <c r="M358" i="18"/>
  <c r="L358" i="18"/>
  <c r="K358" i="18"/>
  <c r="J358" i="18"/>
  <c r="I358" i="18"/>
  <c r="H358" i="18"/>
  <c r="G358" i="18"/>
  <c r="F358" i="18"/>
  <c r="E358" i="18"/>
  <c r="C358" i="18"/>
  <c r="B358" i="18"/>
  <c r="A358" i="18"/>
  <c r="T357" i="18"/>
  <c r="S357" i="18"/>
  <c r="R357" i="18"/>
  <c r="Q357" i="18"/>
  <c r="P357" i="18"/>
  <c r="O357" i="18"/>
  <c r="N357" i="18"/>
  <c r="M357" i="18"/>
  <c r="L357" i="18"/>
  <c r="K357" i="18"/>
  <c r="J357" i="18"/>
  <c r="I357" i="18"/>
  <c r="H357" i="18"/>
  <c r="G357" i="18"/>
  <c r="F357" i="18"/>
  <c r="E357" i="18"/>
  <c r="C357" i="18"/>
  <c r="B357" i="18"/>
  <c r="A357" i="18"/>
  <c r="T356" i="18"/>
  <c r="S356" i="18"/>
  <c r="R356" i="18"/>
  <c r="Q356" i="18"/>
  <c r="P356" i="18"/>
  <c r="O356" i="18"/>
  <c r="N356" i="18"/>
  <c r="M356" i="18"/>
  <c r="L356" i="18"/>
  <c r="K356" i="18"/>
  <c r="J356" i="18"/>
  <c r="I356" i="18"/>
  <c r="H356" i="18"/>
  <c r="G356" i="18"/>
  <c r="F356" i="18"/>
  <c r="E356" i="18"/>
  <c r="C356" i="18"/>
  <c r="B356" i="18"/>
  <c r="A356" i="18"/>
  <c r="T355" i="18"/>
  <c r="S355" i="18"/>
  <c r="R355" i="18"/>
  <c r="Q355" i="18"/>
  <c r="P355" i="18"/>
  <c r="O355" i="18"/>
  <c r="N355" i="18"/>
  <c r="M355" i="18"/>
  <c r="L355" i="18"/>
  <c r="K355" i="18"/>
  <c r="J355" i="18"/>
  <c r="I355" i="18"/>
  <c r="H355" i="18"/>
  <c r="G355" i="18"/>
  <c r="F355" i="18"/>
  <c r="E355" i="18"/>
  <c r="C355" i="18"/>
  <c r="B355" i="18"/>
  <c r="A355" i="18"/>
  <c r="T354" i="18"/>
  <c r="S354" i="18"/>
  <c r="R354" i="18"/>
  <c r="Q354" i="18"/>
  <c r="P354" i="18"/>
  <c r="O354" i="18"/>
  <c r="N354" i="18"/>
  <c r="M354" i="18"/>
  <c r="L354" i="18"/>
  <c r="K354" i="18"/>
  <c r="J354" i="18"/>
  <c r="I354" i="18"/>
  <c r="H354" i="18"/>
  <c r="G354" i="18"/>
  <c r="F354" i="18"/>
  <c r="E354" i="18"/>
  <c r="C354" i="18"/>
  <c r="B354" i="18"/>
  <c r="A354" i="18"/>
  <c r="T353" i="18"/>
  <c r="S353" i="18"/>
  <c r="R353" i="18"/>
  <c r="Q353" i="18"/>
  <c r="P353" i="18"/>
  <c r="O353" i="18"/>
  <c r="N353" i="18"/>
  <c r="M353" i="18"/>
  <c r="L353" i="18"/>
  <c r="K353" i="18"/>
  <c r="J353" i="18"/>
  <c r="I353" i="18"/>
  <c r="H353" i="18"/>
  <c r="G353" i="18"/>
  <c r="F353" i="18"/>
  <c r="E353" i="18"/>
  <c r="C353" i="18"/>
  <c r="B353" i="18"/>
  <c r="A353" i="18"/>
  <c r="T352" i="18"/>
  <c r="S352" i="18"/>
  <c r="R352" i="18"/>
  <c r="Q352" i="18"/>
  <c r="P352" i="18"/>
  <c r="O352" i="18"/>
  <c r="N352" i="18"/>
  <c r="M352" i="18"/>
  <c r="L352" i="18"/>
  <c r="K352" i="18"/>
  <c r="J352" i="18"/>
  <c r="I352" i="18"/>
  <c r="H352" i="18"/>
  <c r="G352" i="18"/>
  <c r="F352" i="18"/>
  <c r="E352" i="18"/>
  <c r="C352" i="18"/>
  <c r="B352" i="18"/>
  <c r="A352" i="18"/>
  <c r="T351" i="18"/>
  <c r="S351" i="18"/>
  <c r="R351" i="18"/>
  <c r="Q351" i="18"/>
  <c r="P351" i="18"/>
  <c r="O351" i="18"/>
  <c r="N351" i="18"/>
  <c r="M351" i="18"/>
  <c r="L351" i="18"/>
  <c r="K351" i="18"/>
  <c r="J351" i="18"/>
  <c r="I351" i="18"/>
  <c r="H351" i="18"/>
  <c r="G351" i="18"/>
  <c r="F351" i="18"/>
  <c r="E351" i="18"/>
  <c r="C351" i="18"/>
  <c r="B351" i="18"/>
  <c r="A351" i="18"/>
  <c r="T350" i="18"/>
  <c r="S350" i="18"/>
  <c r="R350" i="18"/>
  <c r="Q350" i="18"/>
  <c r="P350" i="18"/>
  <c r="O350" i="18"/>
  <c r="N350" i="18"/>
  <c r="M350" i="18"/>
  <c r="L350" i="18"/>
  <c r="K350" i="18"/>
  <c r="J350" i="18"/>
  <c r="I350" i="18"/>
  <c r="H350" i="18"/>
  <c r="G350" i="18"/>
  <c r="F350" i="18"/>
  <c r="E350" i="18"/>
  <c r="C350" i="18"/>
  <c r="B350" i="18"/>
  <c r="A350" i="18"/>
  <c r="T349" i="18"/>
  <c r="S349" i="18"/>
  <c r="R349" i="18"/>
  <c r="Q349" i="18"/>
  <c r="P349" i="18"/>
  <c r="O349" i="18"/>
  <c r="N349" i="18"/>
  <c r="M349" i="18"/>
  <c r="L349" i="18"/>
  <c r="K349" i="18"/>
  <c r="J349" i="18"/>
  <c r="I349" i="18"/>
  <c r="H349" i="18"/>
  <c r="G349" i="18"/>
  <c r="F349" i="18"/>
  <c r="E349" i="18"/>
  <c r="C349" i="18"/>
  <c r="B349" i="18"/>
  <c r="A349" i="18"/>
  <c r="T348" i="18"/>
  <c r="S348" i="18"/>
  <c r="R348" i="18"/>
  <c r="Q348" i="18"/>
  <c r="P348" i="18"/>
  <c r="O348" i="18"/>
  <c r="N348" i="18"/>
  <c r="M348" i="18"/>
  <c r="L348" i="18"/>
  <c r="K348" i="18"/>
  <c r="J348" i="18"/>
  <c r="I348" i="18"/>
  <c r="H348" i="18"/>
  <c r="G348" i="18"/>
  <c r="F348" i="18"/>
  <c r="E348" i="18"/>
  <c r="C348" i="18"/>
  <c r="B348" i="18"/>
  <c r="A348" i="18"/>
  <c r="T347" i="18"/>
  <c r="S347" i="18"/>
  <c r="R347" i="18"/>
  <c r="Q347" i="18"/>
  <c r="P347" i="18"/>
  <c r="O347" i="18"/>
  <c r="N347" i="18"/>
  <c r="M347" i="18"/>
  <c r="L347" i="18"/>
  <c r="K347" i="18"/>
  <c r="J347" i="18"/>
  <c r="I347" i="18"/>
  <c r="H347" i="18"/>
  <c r="G347" i="18"/>
  <c r="F347" i="18"/>
  <c r="E347" i="18"/>
  <c r="C347" i="18"/>
  <c r="B347" i="18"/>
  <c r="A347" i="18"/>
  <c r="T346" i="18"/>
  <c r="S346" i="18"/>
  <c r="R346" i="18"/>
  <c r="Q346" i="18"/>
  <c r="P346" i="18"/>
  <c r="O346" i="18"/>
  <c r="N346" i="18"/>
  <c r="M346" i="18"/>
  <c r="L346" i="18"/>
  <c r="K346" i="18"/>
  <c r="J346" i="18"/>
  <c r="I346" i="18"/>
  <c r="H346" i="18"/>
  <c r="G346" i="18"/>
  <c r="F346" i="18"/>
  <c r="E346" i="18"/>
  <c r="C346" i="18"/>
  <c r="B346" i="18"/>
  <c r="A346" i="18"/>
  <c r="T345" i="18"/>
  <c r="S345" i="18"/>
  <c r="R345" i="18"/>
  <c r="Q345" i="18"/>
  <c r="P345" i="18"/>
  <c r="O345" i="18"/>
  <c r="N345" i="18"/>
  <c r="M345" i="18"/>
  <c r="L345" i="18"/>
  <c r="K345" i="18"/>
  <c r="J345" i="18"/>
  <c r="I345" i="18"/>
  <c r="H345" i="18"/>
  <c r="G345" i="18"/>
  <c r="F345" i="18"/>
  <c r="E345" i="18"/>
  <c r="C345" i="18"/>
  <c r="B345" i="18"/>
  <c r="A345" i="18"/>
  <c r="T344" i="18"/>
  <c r="S344" i="18"/>
  <c r="R344" i="18"/>
  <c r="Q344" i="18"/>
  <c r="P344" i="18"/>
  <c r="O344" i="18"/>
  <c r="N344" i="18"/>
  <c r="M344" i="18"/>
  <c r="L344" i="18"/>
  <c r="K344" i="18"/>
  <c r="J344" i="18"/>
  <c r="I344" i="18"/>
  <c r="H344" i="18"/>
  <c r="G344" i="18"/>
  <c r="F344" i="18"/>
  <c r="E344" i="18"/>
  <c r="C344" i="18"/>
  <c r="B344" i="18"/>
  <c r="A344" i="18"/>
  <c r="T343" i="18"/>
  <c r="S343" i="18"/>
  <c r="R343" i="18"/>
  <c r="Q343" i="18"/>
  <c r="P343" i="18"/>
  <c r="O343" i="18"/>
  <c r="N343" i="18"/>
  <c r="M343" i="18"/>
  <c r="L343" i="18"/>
  <c r="K343" i="18"/>
  <c r="J343" i="18"/>
  <c r="I343" i="18"/>
  <c r="H343" i="18"/>
  <c r="G343" i="18"/>
  <c r="F343" i="18"/>
  <c r="E343" i="18"/>
  <c r="C343" i="18"/>
  <c r="B343" i="18"/>
  <c r="A343" i="18"/>
  <c r="T342" i="18"/>
  <c r="S342" i="18"/>
  <c r="R342" i="18"/>
  <c r="Q342" i="18"/>
  <c r="P342" i="18"/>
  <c r="O342" i="18"/>
  <c r="N342" i="18"/>
  <c r="M342" i="18"/>
  <c r="L342" i="18"/>
  <c r="K342" i="18"/>
  <c r="J342" i="18"/>
  <c r="I342" i="18"/>
  <c r="H342" i="18"/>
  <c r="G342" i="18"/>
  <c r="F342" i="18"/>
  <c r="E342" i="18"/>
  <c r="C342" i="18"/>
  <c r="B342" i="18"/>
  <c r="A342" i="18"/>
  <c r="T341" i="18"/>
  <c r="S341" i="18"/>
  <c r="R341" i="18"/>
  <c r="Q341" i="18"/>
  <c r="P341" i="18"/>
  <c r="O341" i="18"/>
  <c r="N341" i="18"/>
  <c r="M341" i="18"/>
  <c r="L341" i="18"/>
  <c r="K341" i="18"/>
  <c r="J341" i="18"/>
  <c r="I341" i="18"/>
  <c r="H341" i="18"/>
  <c r="G341" i="18"/>
  <c r="F341" i="18"/>
  <c r="E341" i="18"/>
  <c r="C341" i="18"/>
  <c r="B341" i="18"/>
  <c r="A341" i="18"/>
  <c r="T340" i="18"/>
  <c r="S340" i="18"/>
  <c r="R340" i="18"/>
  <c r="Q340" i="18"/>
  <c r="P340" i="18"/>
  <c r="O340" i="18"/>
  <c r="N340" i="18"/>
  <c r="M340" i="18"/>
  <c r="L340" i="18"/>
  <c r="K340" i="18"/>
  <c r="J340" i="18"/>
  <c r="I340" i="18"/>
  <c r="H340" i="18"/>
  <c r="G340" i="18"/>
  <c r="F340" i="18"/>
  <c r="E340" i="18"/>
  <c r="C340" i="18"/>
  <c r="B340" i="18"/>
  <c r="A340" i="18"/>
  <c r="T339" i="18"/>
  <c r="S339" i="18"/>
  <c r="R339" i="18"/>
  <c r="Q339" i="18"/>
  <c r="P339" i="18"/>
  <c r="O339" i="18"/>
  <c r="N339" i="18"/>
  <c r="M339" i="18"/>
  <c r="L339" i="18"/>
  <c r="K339" i="18"/>
  <c r="J339" i="18"/>
  <c r="I339" i="18"/>
  <c r="H339" i="18"/>
  <c r="G339" i="18"/>
  <c r="F339" i="18"/>
  <c r="E339" i="18"/>
  <c r="C339" i="18"/>
  <c r="B339" i="18"/>
  <c r="A339" i="18"/>
  <c r="T338" i="18"/>
  <c r="S338" i="18"/>
  <c r="R338" i="18"/>
  <c r="Q338" i="18"/>
  <c r="P338" i="18"/>
  <c r="O338" i="18"/>
  <c r="N338" i="18"/>
  <c r="M338" i="18"/>
  <c r="L338" i="18"/>
  <c r="K338" i="18"/>
  <c r="J338" i="18"/>
  <c r="I338" i="18"/>
  <c r="H338" i="18"/>
  <c r="G338" i="18"/>
  <c r="F338" i="18"/>
  <c r="E338" i="18"/>
  <c r="C338" i="18"/>
  <c r="B338" i="18"/>
  <c r="A338" i="18"/>
  <c r="T337" i="18"/>
  <c r="S337" i="18"/>
  <c r="R337" i="18"/>
  <c r="Q337" i="18"/>
  <c r="P337" i="18"/>
  <c r="O337" i="18"/>
  <c r="N337" i="18"/>
  <c r="M337" i="18"/>
  <c r="L337" i="18"/>
  <c r="K337" i="18"/>
  <c r="J337" i="18"/>
  <c r="I337" i="18"/>
  <c r="H337" i="18"/>
  <c r="G337" i="18"/>
  <c r="F337" i="18"/>
  <c r="E337" i="18"/>
  <c r="C337" i="18"/>
  <c r="B337" i="18"/>
  <c r="A337" i="18"/>
  <c r="T336" i="18"/>
  <c r="S336" i="18"/>
  <c r="R336" i="18"/>
  <c r="Q336" i="18"/>
  <c r="P336" i="18"/>
  <c r="O336" i="18"/>
  <c r="N336" i="18"/>
  <c r="M336" i="18"/>
  <c r="L336" i="18"/>
  <c r="K336" i="18"/>
  <c r="J336" i="18"/>
  <c r="I336" i="18"/>
  <c r="H336" i="18"/>
  <c r="G336" i="18"/>
  <c r="F336" i="18"/>
  <c r="E336" i="18"/>
  <c r="C336" i="18"/>
  <c r="B336" i="18"/>
  <c r="A336" i="18"/>
  <c r="T335" i="18"/>
  <c r="S335" i="18"/>
  <c r="R335" i="18"/>
  <c r="Q335" i="18"/>
  <c r="P335" i="18"/>
  <c r="O335" i="18"/>
  <c r="N335" i="18"/>
  <c r="M335" i="18"/>
  <c r="L335" i="18"/>
  <c r="K335" i="18"/>
  <c r="J335" i="18"/>
  <c r="I335" i="18"/>
  <c r="H335" i="18"/>
  <c r="G335" i="18"/>
  <c r="F335" i="18"/>
  <c r="E335" i="18"/>
  <c r="C335" i="18"/>
  <c r="B335" i="18"/>
  <c r="A335" i="18"/>
  <c r="T334" i="18"/>
  <c r="S334" i="18"/>
  <c r="R334" i="18"/>
  <c r="Q334" i="18"/>
  <c r="P334" i="18"/>
  <c r="O334" i="18"/>
  <c r="N334" i="18"/>
  <c r="M334" i="18"/>
  <c r="L334" i="18"/>
  <c r="K334" i="18"/>
  <c r="J334" i="18"/>
  <c r="I334" i="18"/>
  <c r="H334" i="18"/>
  <c r="G334" i="18"/>
  <c r="F334" i="18"/>
  <c r="E334" i="18"/>
  <c r="C334" i="18"/>
  <c r="B334" i="18"/>
  <c r="A334" i="18"/>
  <c r="T333" i="18"/>
  <c r="S333" i="18"/>
  <c r="R333" i="18"/>
  <c r="Q333" i="18"/>
  <c r="P333" i="18"/>
  <c r="O333" i="18"/>
  <c r="N333" i="18"/>
  <c r="M333" i="18"/>
  <c r="L333" i="18"/>
  <c r="K333" i="18"/>
  <c r="J333" i="18"/>
  <c r="I333" i="18"/>
  <c r="H333" i="18"/>
  <c r="G333" i="18"/>
  <c r="F333" i="18"/>
  <c r="E333" i="18"/>
  <c r="C333" i="18"/>
  <c r="B333" i="18"/>
  <c r="A333" i="18"/>
  <c r="T332" i="18"/>
  <c r="S332" i="18"/>
  <c r="R332" i="18"/>
  <c r="Q332" i="18"/>
  <c r="P332" i="18"/>
  <c r="O332" i="18"/>
  <c r="N332" i="18"/>
  <c r="M332" i="18"/>
  <c r="L332" i="18"/>
  <c r="K332" i="18"/>
  <c r="J332" i="18"/>
  <c r="I332" i="18"/>
  <c r="H332" i="18"/>
  <c r="G332" i="18"/>
  <c r="F332" i="18"/>
  <c r="E332" i="18"/>
  <c r="C332" i="18"/>
  <c r="B332" i="18"/>
  <c r="A332" i="18"/>
  <c r="T331" i="18"/>
  <c r="S331" i="18"/>
  <c r="R331" i="18"/>
  <c r="Q331" i="18"/>
  <c r="P331" i="18"/>
  <c r="O331" i="18"/>
  <c r="N331" i="18"/>
  <c r="M331" i="18"/>
  <c r="L331" i="18"/>
  <c r="K331" i="18"/>
  <c r="J331" i="18"/>
  <c r="I331" i="18"/>
  <c r="H331" i="18"/>
  <c r="G331" i="18"/>
  <c r="F331" i="18"/>
  <c r="E331" i="18"/>
  <c r="C331" i="18"/>
  <c r="B331" i="18"/>
  <c r="A331" i="18"/>
  <c r="T330" i="18"/>
  <c r="S330" i="18"/>
  <c r="R330" i="18"/>
  <c r="Q330" i="18"/>
  <c r="P330" i="18"/>
  <c r="O330" i="18"/>
  <c r="N330" i="18"/>
  <c r="M330" i="18"/>
  <c r="L330" i="18"/>
  <c r="K330" i="18"/>
  <c r="J330" i="18"/>
  <c r="I330" i="18"/>
  <c r="H330" i="18"/>
  <c r="G330" i="18"/>
  <c r="F330" i="18"/>
  <c r="E330" i="18"/>
  <c r="C330" i="18"/>
  <c r="B330" i="18"/>
  <c r="A330" i="18"/>
  <c r="T329" i="18"/>
  <c r="S329" i="18"/>
  <c r="R329" i="18"/>
  <c r="Q329" i="18"/>
  <c r="P329" i="18"/>
  <c r="O329" i="18"/>
  <c r="N329" i="18"/>
  <c r="M329" i="18"/>
  <c r="L329" i="18"/>
  <c r="K329" i="18"/>
  <c r="J329" i="18"/>
  <c r="I329" i="18"/>
  <c r="H329" i="18"/>
  <c r="G329" i="18"/>
  <c r="F329" i="18"/>
  <c r="E329" i="18"/>
  <c r="C329" i="18"/>
  <c r="B329" i="18"/>
  <c r="A329" i="18"/>
  <c r="T328" i="18"/>
  <c r="S328" i="18"/>
  <c r="R328" i="18"/>
  <c r="Q328" i="18"/>
  <c r="P328" i="18"/>
  <c r="O328" i="18"/>
  <c r="N328" i="18"/>
  <c r="M328" i="18"/>
  <c r="L328" i="18"/>
  <c r="K328" i="18"/>
  <c r="J328" i="18"/>
  <c r="I328" i="18"/>
  <c r="H328" i="18"/>
  <c r="G328" i="18"/>
  <c r="F328" i="18"/>
  <c r="E328" i="18"/>
  <c r="C328" i="18"/>
  <c r="B328" i="18"/>
  <c r="A328" i="18"/>
  <c r="T327" i="18"/>
  <c r="S327" i="18"/>
  <c r="R327" i="18"/>
  <c r="Q327" i="18"/>
  <c r="P327" i="18"/>
  <c r="O327" i="18"/>
  <c r="N327" i="18"/>
  <c r="M327" i="18"/>
  <c r="L327" i="18"/>
  <c r="K327" i="18"/>
  <c r="J327" i="18"/>
  <c r="I327" i="18"/>
  <c r="H327" i="18"/>
  <c r="G327" i="18"/>
  <c r="F327" i="18"/>
  <c r="E327" i="18"/>
  <c r="C327" i="18"/>
  <c r="B327" i="18"/>
  <c r="A327" i="18"/>
  <c r="T326" i="18"/>
  <c r="S326" i="18"/>
  <c r="R326" i="18"/>
  <c r="Q326" i="18"/>
  <c r="P326" i="18"/>
  <c r="O326" i="18"/>
  <c r="N326" i="18"/>
  <c r="M326" i="18"/>
  <c r="L326" i="18"/>
  <c r="K326" i="18"/>
  <c r="J326" i="18"/>
  <c r="I326" i="18"/>
  <c r="H326" i="18"/>
  <c r="G326" i="18"/>
  <c r="F326" i="18"/>
  <c r="E326" i="18"/>
  <c r="C326" i="18"/>
  <c r="B326" i="18"/>
  <c r="A326" i="18"/>
  <c r="T325" i="18"/>
  <c r="S325" i="18"/>
  <c r="R325" i="18"/>
  <c r="Q325" i="18"/>
  <c r="P325" i="18"/>
  <c r="O325" i="18"/>
  <c r="N325" i="18"/>
  <c r="M325" i="18"/>
  <c r="L325" i="18"/>
  <c r="K325" i="18"/>
  <c r="J325" i="18"/>
  <c r="I325" i="18"/>
  <c r="H325" i="18"/>
  <c r="G325" i="18"/>
  <c r="F325" i="18"/>
  <c r="E325" i="18"/>
  <c r="C325" i="18"/>
  <c r="B325" i="18"/>
  <c r="A325" i="18"/>
  <c r="T324" i="18"/>
  <c r="S324" i="18"/>
  <c r="R324" i="18"/>
  <c r="Q324" i="18"/>
  <c r="P324" i="18"/>
  <c r="O324" i="18"/>
  <c r="N324" i="18"/>
  <c r="M324" i="18"/>
  <c r="L324" i="18"/>
  <c r="K324" i="18"/>
  <c r="J324" i="18"/>
  <c r="I324" i="18"/>
  <c r="H324" i="18"/>
  <c r="G324" i="18"/>
  <c r="F324" i="18"/>
  <c r="E324" i="18"/>
  <c r="C324" i="18"/>
  <c r="B324" i="18"/>
  <c r="A324" i="18"/>
  <c r="T323" i="18"/>
  <c r="S323" i="18"/>
  <c r="R323" i="18"/>
  <c r="Q323" i="18"/>
  <c r="P323" i="18"/>
  <c r="O323" i="18"/>
  <c r="N323" i="18"/>
  <c r="M323" i="18"/>
  <c r="L323" i="18"/>
  <c r="K323" i="18"/>
  <c r="J323" i="18"/>
  <c r="I323" i="18"/>
  <c r="H323" i="18"/>
  <c r="G323" i="18"/>
  <c r="F323" i="18"/>
  <c r="E323" i="18"/>
  <c r="C323" i="18"/>
  <c r="B323" i="18"/>
  <c r="A323" i="18"/>
  <c r="T322" i="18"/>
  <c r="S322" i="18"/>
  <c r="R322" i="18"/>
  <c r="Q322" i="18"/>
  <c r="P322" i="18"/>
  <c r="O322" i="18"/>
  <c r="N322" i="18"/>
  <c r="M322" i="18"/>
  <c r="L322" i="18"/>
  <c r="K322" i="18"/>
  <c r="J322" i="18"/>
  <c r="I322" i="18"/>
  <c r="H322" i="18"/>
  <c r="G322" i="18"/>
  <c r="F322" i="18"/>
  <c r="E322" i="18"/>
  <c r="C322" i="18"/>
  <c r="B322" i="18"/>
  <c r="A322" i="18"/>
  <c r="T321" i="18"/>
  <c r="S321" i="18"/>
  <c r="R321" i="18"/>
  <c r="Q321" i="18"/>
  <c r="P321" i="18"/>
  <c r="O321" i="18"/>
  <c r="N321" i="18"/>
  <c r="M321" i="18"/>
  <c r="L321" i="18"/>
  <c r="K321" i="18"/>
  <c r="J321" i="18"/>
  <c r="I321" i="18"/>
  <c r="H321" i="18"/>
  <c r="G321" i="18"/>
  <c r="F321" i="18"/>
  <c r="E321" i="18"/>
  <c r="C321" i="18"/>
  <c r="B321" i="18"/>
  <c r="A321" i="18"/>
  <c r="T320" i="18"/>
  <c r="S320" i="18"/>
  <c r="R320" i="18"/>
  <c r="Q320" i="18"/>
  <c r="P320" i="18"/>
  <c r="O320" i="18"/>
  <c r="N320" i="18"/>
  <c r="M320" i="18"/>
  <c r="L320" i="18"/>
  <c r="K320" i="18"/>
  <c r="J320" i="18"/>
  <c r="I320" i="18"/>
  <c r="H320" i="18"/>
  <c r="G320" i="18"/>
  <c r="F320" i="18"/>
  <c r="E320" i="18"/>
  <c r="C320" i="18"/>
  <c r="B320" i="18"/>
  <c r="A320" i="18"/>
  <c r="T319" i="18"/>
  <c r="S319" i="18"/>
  <c r="R319" i="18"/>
  <c r="Q319" i="18"/>
  <c r="P319" i="18"/>
  <c r="O319" i="18"/>
  <c r="N319" i="18"/>
  <c r="M319" i="18"/>
  <c r="L319" i="18"/>
  <c r="K319" i="18"/>
  <c r="J319" i="18"/>
  <c r="I319" i="18"/>
  <c r="H319" i="18"/>
  <c r="G319" i="18"/>
  <c r="F319" i="18"/>
  <c r="E319" i="18"/>
  <c r="C319" i="18"/>
  <c r="B319" i="18"/>
  <c r="A319" i="18"/>
  <c r="T318" i="18"/>
  <c r="S318" i="18"/>
  <c r="R318" i="18"/>
  <c r="Q318" i="18"/>
  <c r="P318" i="18"/>
  <c r="O318" i="18"/>
  <c r="N318" i="18"/>
  <c r="M318" i="18"/>
  <c r="L318" i="18"/>
  <c r="K318" i="18"/>
  <c r="J318" i="18"/>
  <c r="I318" i="18"/>
  <c r="H318" i="18"/>
  <c r="G318" i="18"/>
  <c r="F318" i="18"/>
  <c r="E318" i="18"/>
  <c r="C318" i="18"/>
  <c r="B318" i="18"/>
  <c r="A318" i="18"/>
  <c r="T317" i="18"/>
  <c r="S317" i="18"/>
  <c r="R317" i="18"/>
  <c r="Q317" i="18"/>
  <c r="P317" i="18"/>
  <c r="O317" i="18"/>
  <c r="N317" i="18"/>
  <c r="M317" i="18"/>
  <c r="L317" i="18"/>
  <c r="K317" i="18"/>
  <c r="J317" i="18"/>
  <c r="I317" i="18"/>
  <c r="H317" i="18"/>
  <c r="G317" i="18"/>
  <c r="F317" i="18"/>
  <c r="E317" i="18"/>
  <c r="C317" i="18"/>
  <c r="B317" i="18"/>
  <c r="A317" i="18"/>
  <c r="T316" i="18"/>
  <c r="S316" i="18"/>
  <c r="R316" i="18"/>
  <c r="Q316" i="18"/>
  <c r="P316" i="18"/>
  <c r="O316" i="18"/>
  <c r="N316" i="18"/>
  <c r="M316" i="18"/>
  <c r="L316" i="18"/>
  <c r="K316" i="18"/>
  <c r="J316" i="18"/>
  <c r="I316" i="18"/>
  <c r="H316" i="18"/>
  <c r="G316" i="18"/>
  <c r="F316" i="18"/>
  <c r="E316" i="18"/>
  <c r="C316" i="18"/>
  <c r="B316" i="18"/>
  <c r="A316" i="18"/>
  <c r="T315" i="18"/>
  <c r="S315" i="18"/>
  <c r="R315" i="18"/>
  <c r="Q315" i="18"/>
  <c r="P315" i="18"/>
  <c r="O315" i="18"/>
  <c r="N315" i="18"/>
  <c r="M315" i="18"/>
  <c r="L315" i="18"/>
  <c r="K315" i="18"/>
  <c r="J315" i="18"/>
  <c r="I315" i="18"/>
  <c r="H315" i="18"/>
  <c r="G315" i="18"/>
  <c r="F315" i="18"/>
  <c r="E315" i="18"/>
  <c r="C315" i="18"/>
  <c r="B315" i="18"/>
  <c r="A315" i="18"/>
  <c r="T314" i="18"/>
  <c r="S314" i="18"/>
  <c r="R314" i="18"/>
  <c r="Q314" i="18"/>
  <c r="P314" i="18"/>
  <c r="O314" i="18"/>
  <c r="N314" i="18"/>
  <c r="M314" i="18"/>
  <c r="L314" i="18"/>
  <c r="K314" i="18"/>
  <c r="J314" i="18"/>
  <c r="I314" i="18"/>
  <c r="H314" i="18"/>
  <c r="G314" i="18"/>
  <c r="F314" i="18"/>
  <c r="E314" i="18"/>
  <c r="C314" i="18"/>
  <c r="B314" i="18"/>
  <c r="A314" i="18"/>
  <c r="T313" i="18"/>
  <c r="S313" i="18"/>
  <c r="R313" i="18"/>
  <c r="Q313" i="18"/>
  <c r="P313" i="18"/>
  <c r="O313" i="18"/>
  <c r="N313" i="18"/>
  <c r="M313" i="18"/>
  <c r="L313" i="18"/>
  <c r="K313" i="18"/>
  <c r="J313" i="18"/>
  <c r="I313" i="18"/>
  <c r="H313" i="18"/>
  <c r="G313" i="18"/>
  <c r="F313" i="18"/>
  <c r="E313" i="18"/>
  <c r="C313" i="18"/>
  <c r="B313" i="18"/>
  <c r="A313" i="18"/>
  <c r="T312" i="18"/>
  <c r="S312" i="18"/>
  <c r="R312" i="18"/>
  <c r="Q312" i="18"/>
  <c r="P312" i="18"/>
  <c r="O312" i="18"/>
  <c r="N312" i="18"/>
  <c r="M312" i="18"/>
  <c r="L312" i="18"/>
  <c r="K312" i="18"/>
  <c r="J312" i="18"/>
  <c r="I312" i="18"/>
  <c r="H312" i="18"/>
  <c r="G312" i="18"/>
  <c r="F312" i="18"/>
  <c r="E312" i="18"/>
  <c r="C312" i="18"/>
  <c r="B312" i="18"/>
  <c r="A312" i="18"/>
  <c r="T311" i="18"/>
  <c r="S311" i="18"/>
  <c r="R311" i="18"/>
  <c r="Q311" i="18"/>
  <c r="P311" i="18"/>
  <c r="O311" i="18"/>
  <c r="N311" i="18"/>
  <c r="M311" i="18"/>
  <c r="L311" i="18"/>
  <c r="K311" i="18"/>
  <c r="J311" i="18"/>
  <c r="I311" i="18"/>
  <c r="H311" i="18"/>
  <c r="G311" i="18"/>
  <c r="F311" i="18"/>
  <c r="E311" i="18"/>
  <c r="C311" i="18"/>
  <c r="B311" i="18"/>
  <c r="A311" i="18"/>
  <c r="T310" i="18"/>
  <c r="S310" i="18"/>
  <c r="R310" i="18"/>
  <c r="Q310" i="18"/>
  <c r="P310" i="18"/>
  <c r="O310" i="18"/>
  <c r="N310" i="18"/>
  <c r="M310" i="18"/>
  <c r="L310" i="18"/>
  <c r="K310" i="18"/>
  <c r="J310" i="18"/>
  <c r="I310" i="18"/>
  <c r="H310" i="18"/>
  <c r="G310" i="18"/>
  <c r="F310" i="18"/>
  <c r="E310" i="18"/>
  <c r="C310" i="18"/>
  <c r="B310" i="18"/>
  <c r="A310" i="18"/>
  <c r="T309" i="18"/>
  <c r="S309" i="18"/>
  <c r="R309" i="18"/>
  <c r="Q309" i="18"/>
  <c r="P309" i="18"/>
  <c r="O309" i="18"/>
  <c r="N309" i="18"/>
  <c r="M309" i="18"/>
  <c r="L309" i="18"/>
  <c r="K309" i="18"/>
  <c r="J309" i="18"/>
  <c r="I309" i="18"/>
  <c r="H309" i="18"/>
  <c r="G309" i="18"/>
  <c r="F309" i="18"/>
  <c r="E309" i="18"/>
  <c r="C309" i="18"/>
  <c r="B309" i="18"/>
  <c r="A309" i="18"/>
  <c r="T308" i="18"/>
  <c r="S308" i="18"/>
  <c r="R308" i="18"/>
  <c r="Q308" i="18"/>
  <c r="P308" i="18"/>
  <c r="O308" i="18"/>
  <c r="N308" i="18"/>
  <c r="M308" i="18"/>
  <c r="L308" i="18"/>
  <c r="K308" i="18"/>
  <c r="J308" i="18"/>
  <c r="I308" i="18"/>
  <c r="H308" i="18"/>
  <c r="G308" i="18"/>
  <c r="F308" i="18"/>
  <c r="E308" i="18"/>
  <c r="C308" i="18"/>
  <c r="B308" i="18"/>
  <c r="A308" i="18"/>
  <c r="T307" i="18"/>
  <c r="S307" i="18"/>
  <c r="R307" i="18"/>
  <c r="Q307" i="18"/>
  <c r="P307" i="18"/>
  <c r="O307" i="18"/>
  <c r="N307" i="18"/>
  <c r="M307" i="18"/>
  <c r="L307" i="18"/>
  <c r="K307" i="18"/>
  <c r="J307" i="18"/>
  <c r="I307" i="18"/>
  <c r="H307" i="18"/>
  <c r="G307" i="18"/>
  <c r="F307" i="18"/>
  <c r="E307" i="18"/>
  <c r="C307" i="18"/>
  <c r="B307" i="18"/>
  <c r="A307" i="18"/>
  <c r="T306" i="18"/>
  <c r="S306" i="18"/>
  <c r="R306" i="18"/>
  <c r="Q306" i="18"/>
  <c r="P306" i="18"/>
  <c r="O306" i="18"/>
  <c r="N306" i="18"/>
  <c r="M306" i="18"/>
  <c r="L306" i="18"/>
  <c r="K306" i="18"/>
  <c r="J306" i="18"/>
  <c r="I306" i="18"/>
  <c r="H306" i="18"/>
  <c r="G306" i="18"/>
  <c r="F306" i="18"/>
  <c r="E306" i="18"/>
  <c r="C306" i="18"/>
  <c r="B306" i="18"/>
  <c r="A306" i="18"/>
  <c r="T305" i="18"/>
  <c r="S305" i="18"/>
  <c r="R305" i="18"/>
  <c r="Q305" i="18"/>
  <c r="P305" i="18"/>
  <c r="O305" i="18"/>
  <c r="N305" i="18"/>
  <c r="M305" i="18"/>
  <c r="L305" i="18"/>
  <c r="K305" i="18"/>
  <c r="J305" i="18"/>
  <c r="I305" i="18"/>
  <c r="H305" i="18"/>
  <c r="G305" i="18"/>
  <c r="F305" i="18"/>
  <c r="E305" i="18"/>
  <c r="C305" i="18"/>
  <c r="B305" i="18"/>
  <c r="A305" i="18"/>
  <c r="T304" i="18"/>
  <c r="S304" i="18"/>
  <c r="R304" i="18"/>
  <c r="Q304" i="18"/>
  <c r="P304" i="18"/>
  <c r="O304" i="18"/>
  <c r="N304" i="18"/>
  <c r="M304" i="18"/>
  <c r="L304" i="18"/>
  <c r="K304" i="18"/>
  <c r="J304" i="18"/>
  <c r="I304" i="18"/>
  <c r="H304" i="18"/>
  <c r="G304" i="18"/>
  <c r="F304" i="18"/>
  <c r="E304" i="18"/>
  <c r="C304" i="18"/>
  <c r="B304" i="18"/>
  <c r="A304" i="18"/>
  <c r="T303" i="18"/>
  <c r="S303" i="18"/>
  <c r="R303" i="18"/>
  <c r="Q303" i="18"/>
  <c r="P303" i="18"/>
  <c r="O303" i="18"/>
  <c r="N303" i="18"/>
  <c r="M303" i="18"/>
  <c r="L303" i="18"/>
  <c r="K303" i="18"/>
  <c r="J303" i="18"/>
  <c r="I303" i="18"/>
  <c r="H303" i="18"/>
  <c r="G303" i="18"/>
  <c r="F303" i="18"/>
  <c r="E303" i="18"/>
  <c r="C303" i="18"/>
  <c r="B303" i="18"/>
  <c r="A303" i="18"/>
  <c r="T302" i="18"/>
  <c r="S302" i="18"/>
  <c r="R302" i="18"/>
  <c r="Q302" i="18"/>
  <c r="P302" i="18"/>
  <c r="O302" i="18"/>
  <c r="N302" i="18"/>
  <c r="M302" i="18"/>
  <c r="L302" i="18"/>
  <c r="K302" i="18"/>
  <c r="J302" i="18"/>
  <c r="I302" i="18"/>
  <c r="H302" i="18"/>
  <c r="G302" i="18"/>
  <c r="F302" i="18"/>
  <c r="E302" i="18"/>
  <c r="C302" i="18"/>
  <c r="B302" i="18"/>
  <c r="A302" i="18"/>
  <c r="T301" i="18"/>
  <c r="S301" i="18"/>
  <c r="R301" i="18"/>
  <c r="Q301" i="18"/>
  <c r="P301" i="18"/>
  <c r="O301" i="18"/>
  <c r="N301" i="18"/>
  <c r="M301" i="18"/>
  <c r="L301" i="18"/>
  <c r="K301" i="18"/>
  <c r="J301" i="18"/>
  <c r="I301" i="18"/>
  <c r="H301" i="18"/>
  <c r="G301" i="18"/>
  <c r="F301" i="18"/>
  <c r="E301" i="18"/>
  <c r="C301" i="18"/>
  <c r="B301" i="18"/>
  <c r="A301" i="18"/>
  <c r="T300" i="18"/>
  <c r="S300" i="18"/>
  <c r="R300" i="18"/>
  <c r="Q300" i="18"/>
  <c r="P300" i="18"/>
  <c r="O300" i="18"/>
  <c r="N300" i="18"/>
  <c r="M300" i="18"/>
  <c r="L300" i="18"/>
  <c r="K300" i="18"/>
  <c r="J300" i="18"/>
  <c r="I300" i="18"/>
  <c r="H300" i="18"/>
  <c r="G300" i="18"/>
  <c r="F300" i="18"/>
  <c r="E300" i="18"/>
  <c r="C300" i="18"/>
  <c r="B300" i="18"/>
  <c r="A300" i="18"/>
  <c r="T299" i="18"/>
  <c r="S299" i="18"/>
  <c r="R299" i="18"/>
  <c r="Q299" i="18"/>
  <c r="P299" i="18"/>
  <c r="O299" i="18"/>
  <c r="N299" i="18"/>
  <c r="M299" i="18"/>
  <c r="L299" i="18"/>
  <c r="K299" i="18"/>
  <c r="J299" i="18"/>
  <c r="I299" i="18"/>
  <c r="H299" i="18"/>
  <c r="G299" i="18"/>
  <c r="F299" i="18"/>
  <c r="E299" i="18"/>
  <c r="C299" i="18"/>
  <c r="B299" i="18"/>
  <c r="A299" i="18"/>
  <c r="T298" i="18"/>
  <c r="S298" i="18"/>
  <c r="R298" i="18"/>
  <c r="Q298" i="18"/>
  <c r="P298" i="18"/>
  <c r="O298" i="18"/>
  <c r="N298" i="18"/>
  <c r="M298" i="18"/>
  <c r="L298" i="18"/>
  <c r="K298" i="18"/>
  <c r="J298" i="18"/>
  <c r="I298" i="18"/>
  <c r="H298" i="18"/>
  <c r="G298" i="18"/>
  <c r="F298" i="18"/>
  <c r="E298" i="18"/>
  <c r="C298" i="18"/>
  <c r="B298" i="18"/>
  <c r="A298" i="18"/>
  <c r="T297" i="18"/>
  <c r="S297" i="18"/>
  <c r="R297" i="18"/>
  <c r="Q297" i="18"/>
  <c r="P297" i="18"/>
  <c r="O297" i="18"/>
  <c r="N297" i="18"/>
  <c r="M297" i="18"/>
  <c r="L297" i="18"/>
  <c r="K297" i="18"/>
  <c r="J297" i="18"/>
  <c r="I297" i="18"/>
  <c r="H297" i="18"/>
  <c r="G297" i="18"/>
  <c r="F297" i="18"/>
  <c r="E297" i="18"/>
  <c r="C297" i="18"/>
  <c r="B297" i="18"/>
  <c r="A297" i="18"/>
  <c r="T296" i="18"/>
  <c r="S296" i="18"/>
  <c r="R296" i="18"/>
  <c r="Q296" i="18"/>
  <c r="P296" i="18"/>
  <c r="O296" i="18"/>
  <c r="N296" i="18"/>
  <c r="M296" i="18"/>
  <c r="L296" i="18"/>
  <c r="K296" i="18"/>
  <c r="J296" i="18"/>
  <c r="I296" i="18"/>
  <c r="H296" i="18"/>
  <c r="G296" i="18"/>
  <c r="F296" i="18"/>
  <c r="E296" i="18"/>
  <c r="C296" i="18"/>
  <c r="B296" i="18"/>
  <c r="A296" i="18"/>
  <c r="T295" i="18"/>
  <c r="S295" i="18"/>
  <c r="R295" i="18"/>
  <c r="Q295" i="18"/>
  <c r="P295" i="18"/>
  <c r="O295" i="18"/>
  <c r="N295" i="18"/>
  <c r="M295" i="18"/>
  <c r="L295" i="18"/>
  <c r="K295" i="18"/>
  <c r="J295" i="18"/>
  <c r="I295" i="18"/>
  <c r="H295" i="18"/>
  <c r="G295" i="18"/>
  <c r="F295" i="18"/>
  <c r="E295" i="18"/>
  <c r="C295" i="18"/>
  <c r="B295" i="18"/>
  <c r="A295" i="18"/>
  <c r="T294" i="18"/>
  <c r="S294" i="18"/>
  <c r="R294" i="18"/>
  <c r="Q294" i="18"/>
  <c r="P294" i="18"/>
  <c r="O294" i="18"/>
  <c r="N294" i="18"/>
  <c r="M294" i="18"/>
  <c r="L294" i="18"/>
  <c r="K294" i="18"/>
  <c r="J294" i="18"/>
  <c r="I294" i="18"/>
  <c r="H294" i="18"/>
  <c r="G294" i="18"/>
  <c r="F294" i="18"/>
  <c r="E294" i="18"/>
  <c r="C294" i="18"/>
  <c r="B294" i="18"/>
  <c r="A294" i="18"/>
  <c r="T293" i="18"/>
  <c r="S293" i="18"/>
  <c r="R293" i="18"/>
  <c r="Q293" i="18"/>
  <c r="P293" i="18"/>
  <c r="O293" i="18"/>
  <c r="N293" i="18"/>
  <c r="M293" i="18"/>
  <c r="L293" i="18"/>
  <c r="K293" i="18"/>
  <c r="J293" i="18"/>
  <c r="I293" i="18"/>
  <c r="H293" i="18"/>
  <c r="G293" i="18"/>
  <c r="F293" i="18"/>
  <c r="E293" i="18"/>
  <c r="C293" i="18"/>
  <c r="B293" i="18"/>
  <c r="A293" i="18"/>
  <c r="T292" i="18"/>
  <c r="S292" i="18"/>
  <c r="R292" i="18"/>
  <c r="Q292" i="18"/>
  <c r="P292" i="18"/>
  <c r="O292" i="18"/>
  <c r="N292" i="18"/>
  <c r="M292" i="18"/>
  <c r="L292" i="18"/>
  <c r="K292" i="18"/>
  <c r="J292" i="18"/>
  <c r="I292" i="18"/>
  <c r="H292" i="18"/>
  <c r="G292" i="18"/>
  <c r="F292" i="18"/>
  <c r="E292" i="18"/>
  <c r="C292" i="18"/>
  <c r="B292" i="18"/>
  <c r="A292" i="18"/>
  <c r="T291" i="18"/>
  <c r="S291" i="18"/>
  <c r="R291" i="18"/>
  <c r="Q291" i="18"/>
  <c r="P291" i="18"/>
  <c r="O291" i="18"/>
  <c r="N291" i="18"/>
  <c r="M291" i="18"/>
  <c r="L291" i="18"/>
  <c r="K291" i="18"/>
  <c r="J291" i="18"/>
  <c r="I291" i="18"/>
  <c r="H291" i="18"/>
  <c r="G291" i="18"/>
  <c r="F291" i="18"/>
  <c r="E291" i="18"/>
  <c r="C291" i="18"/>
  <c r="B291" i="18"/>
  <c r="A291" i="18"/>
  <c r="T290" i="18"/>
  <c r="S290" i="18"/>
  <c r="R290" i="18"/>
  <c r="Q290" i="18"/>
  <c r="P290" i="18"/>
  <c r="O290" i="18"/>
  <c r="N290" i="18"/>
  <c r="M290" i="18"/>
  <c r="L290" i="18"/>
  <c r="K290" i="18"/>
  <c r="J290" i="18"/>
  <c r="I290" i="18"/>
  <c r="H290" i="18"/>
  <c r="G290" i="18"/>
  <c r="F290" i="18"/>
  <c r="E290" i="18"/>
  <c r="C290" i="18"/>
  <c r="B290" i="18"/>
  <c r="A290" i="18"/>
  <c r="T289" i="18"/>
  <c r="S289" i="18"/>
  <c r="R289" i="18"/>
  <c r="Q289" i="18"/>
  <c r="P289" i="18"/>
  <c r="O289" i="18"/>
  <c r="N289" i="18"/>
  <c r="M289" i="18"/>
  <c r="L289" i="18"/>
  <c r="K289" i="18"/>
  <c r="J289" i="18"/>
  <c r="I289" i="18"/>
  <c r="H289" i="18"/>
  <c r="G289" i="18"/>
  <c r="F289" i="18"/>
  <c r="E289" i="18"/>
  <c r="C289" i="18"/>
  <c r="B289" i="18"/>
  <c r="A289" i="18"/>
  <c r="T288" i="18"/>
  <c r="S288" i="18"/>
  <c r="R288" i="18"/>
  <c r="Q288" i="18"/>
  <c r="P288" i="18"/>
  <c r="O288" i="18"/>
  <c r="N288" i="18"/>
  <c r="M288" i="18"/>
  <c r="L288" i="18"/>
  <c r="K288" i="18"/>
  <c r="J288" i="18"/>
  <c r="I288" i="18"/>
  <c r="H288" i="18"/>
  <c r="G288" i="18"/>
  <c r="F288" i="18"/>
  <c r="E288" i="18"/>
  <c r="C288" i="18"/>
  <c r="B288" i="18"/>
  <c r="A288" i="18"/>
  <c r="T287" i="18"/>
  <c r="S287" i="18"/>
  <c r="R287" i="18"/>
  <c r="Q287" i="18"/>
  <c r="P287" i="18"/>
  <c r="O287" i="18"/>
  <c r="N287" i="18"/>
  <c r="M287" i="18"/>
  <c r="L287" i="18"/>
  <c r="K287" i="18"/>
  <c r="J287" i="18"/>
  <c r="I287" i="18"/>
  <c r="H287" i="18"/>
  <c r="G287" i="18"/>
  <c r="F287" i="18"/>
  <c r="E287" i="18"/>
  <c r="C287" i="18"/>
  <c r="B287" i="18"/>
  <c r="A287" i="18"/>
  <c r="T286" i="18"/>
  <c r="S286" i="18"/>
  <c r="R286" i="18"/>
  <c r="Q286" i="18"/>
  <c r="P286" i="18"/>
  <c r="O286" i="18"/>
  <c r="N286" i="18"/>
  <c r="M286" i="18"/>
  <c r="L286" i="18"/>
  <c r="K286" i="18"/>
  <c r="J286" i="18"/>
  <c r="I286" i="18"/>
  <c r="H286" i="18"/>
  <c r="G286" i="18"/>
  <c r="F286" i="18"/>
  <c r="E286" i="18"/>
  <c r="C286" i="18"/>
  <c r="B286" i="18"/>
  <c r="A286" i="18"/>
  <c r="T285" i="18"/>
  <c r="S285" i="18"/>
  <c r="R285" i="18"/>
  <c r="Q285" i="18"/>
  <c r="P285" i="18"/>
  <c r="O285" i="18"/>
  <c r="N285" i="18"/>
  <c r="M285" i="18"/>
  <c r="L285" i="18"/>
  <c r="K285" i="18"/>
  <c r="J285" i="18"/>
  <c r="I285" i="18"/>
  <c r="H285" i="18"/>
  <c r="G285" i="18"/>
  <c r="F285" i="18"/>
  <c r="E285" i="18"/>
  <c r="C285" i="18"/>
  <c r="B285" i="18"/>
  <c r="A285" i="18"/>
  <c r="T284" i="18"/>
  <c r="S284" i="18"/>
  <c r="R284" i="18"/>
  <c r="Q284" i="18"/>
  <c r="P284" i="18"/>
  <c r="O284" i="18"/>
  <c r="N284" i="18"/>
  <c r="M284" i="18"/>
  <c r="L284" i="18"/>
  <c r="K284" i="18"/>
  <c r="J284" i="18"/>
  <c r="I284" i="18"/>
  <c r="H284" i="18"/>
  <c r="G284" i="18"/>
  <c r="F284" i="18"/>
  <c r="E284" i="18"/>
  <c r="C284" i="18"/>
  <c r="B284" i="18"/>
  <c r="A284" i="18"/>
  <c r="T283" i="18"/>
  <c r="S283" i="18"/>
  <c r="R283" i="18"/>
  <c r="Q283" i="18"/>
  <c r="P283" i="18"/>
  <c r="O283" i="18"/>
  <c r="N283" i="18"/>
  <c r="M283" i="18"/>
  <c r="L283" i="18"/>
  <c r="K283" i="18"/>
  <c r="J283" i="18"/>
  <c r="I283" i="18"/>
  <c r="H283" i="18"/>
  <c r="G283" i="18"/>
  <c r="F283" i="18"/>
  <c r="E283" i="18"/>
  <c r="C283" i="18"/>
  <c r="B283" i="18"/>
  <c r="A283" i="18"/>
  <c r="T282" i="18"/>
  <c r="S282" i="18"/>
  <c r="R282" i="18"/>
  <c r="Q282" i="18"/>
  <c r="P282" i="18"/>
  <c r="O282" i="18"/>
  <c r="N282" i="18"/>
  <c r="M282" i="18"/>
  <c r="L282" i="18"/>
  <c r="K282" i="18"/>
  <c r="J282" i="18"/>
  <c r="I282" i="18"/>
  <c r="H282" i="18"/>
  <c r="G282" i="18"/>
  <c r="F282" i="18"/>
  <c r="E282" i="18"/>
  <c r="C282" i="18"/>
  <c r="B282" i="18"/>
  <c r="A282" i="18"/>
  <c r="T281" i="18"/>
  <c r="S281" i="18"/>
  <c r="R281" i="18"/>
  <c r="Q281" i="18"/>
  <c r="P281" i="18"/>
  <c r="O281" i="18"/>
  <c r="N281" i="18"/>
  <c r="M281" i="18"/>
  <c r="L281" i="18"/>
  <c r="K281" i="18"/>
  <c r="J281" i="18"/>
  <c r="I281" i="18"/>
  <c r="H281" i="18"/>
  <c r="G281" i="18"/>
  <c r="F281" i="18"/>
  <c r="E281" i="18"/>
  <c r="C281" i="18"/>
  <c r="B281" i="18"/>
  <c r="A281" i="18"/>
  <c r="T280" i="18"/>
  <c r="S280" i="18"/>
  <c r="R280" i="18"/>
  <c r="Q280" i="18"/>
  <c r="P280" i="18"/>
  <c r="O280" i="18"/>
  <c r="N280" i="18"/>
  <c r="M280" i="18"/>
  <c r="L280" i="18"/>
  <c r="K280" i="18"/>
  <c r="J280" i="18"/>
  <c r="I280" i="18"/>
  <c r="H280" i="18"/>
  <c r="G280" i="18"/>
  <c r="F280" i="18"/>
  <c r="E280" i="18"/>
  <c r="C280" i="18"/>
  <c r="B280" i="18"/>
  <c r="A280" i="18"/>
  <c r="T279" i="18"/>
  <c r="S279" i="18"/>
  <c r="R279" i="18"/>
  <c r="Q279" i="18"/>
  <c r="P279" i="18"/>
  <c r="O279" i="18"/>
  <c r="N279" i="18"/>
  <c r="M279" i="18"/>
  <c r="L279" i="18"/>
  <c r="K279" i="18"/>
  <c r="J279" i="18"/>
  <c r="I279" i="18"/>
  <c r="H279" i="18"/>
  <c r="G279" i="18"/>
  <c r="F279" i="18"/>
  <c r="E279" i="18"/>
  <c r="C279" i="18"/>
  <c r="B279" i="18"/>
  <c r="A279" i="18"/>
  <c r="T278" i="18"/>
  <c r="S278" i="18"/>
  <c r="R278" i="18"/>
  <c r="Q278" i="18"/>
  <c r="P278" i="18"/>
  <c r="O278" i="18"/>
  <c r="N278" i="18"/>
  <c r="M278" i="18"/>
  <c r="L278" i="18"/>
  <c r="K278" i="18"/>
  <c r="J278" i="18"/>
  <c r="I278" i="18"/>
  <c r="H278" i="18"/>
  <c r="G278" i="18"/>
  <c r="F278" i="18"/>
  <c r="E278" i="18"/>
  <c r="C278" i="18"/>
  <c r="B278" i="18"/>
  <c r="A278" i="18"/>
  <c r="T277" i="18"/>
  <c r="S277" i="18"/>
  <c r="R277" i="18"/>
  <c r="Q277" i="18"/>
  <c r="P277" i="18"/>
  <c r="O277" i="18"/>
  <c r="N277" i="18"/>
  <c r="M277" i="18"/>
  <c r="L277" i="18"/>
  <c r="K277" i="18"/>
  <c r="J277" i="18"/>
  <c r="I277" i="18"/>
  <c r="H277" i="18"/>
  <c r="G277" i="18"/>
  <c r="F277" i="18"/>
  <c r="E277" i="18"/>
  <c r="C277" i="18"/>
  <c r="B277" i="18"/>
  <c r="A277" i="18"/>
  <c r="T276" i="18"/>
  <c r="S276" i="18"/>
  <c r="R276" i="18"/>
  <c r="Q276" i="18"/>
  <c r="P276" i="18"/>
  <c r="O276" i="18"/>
  <c r="N276" i="18"/>
  <c r="M276" i="18"/>
  <c r="L276" i="18"/>
  <c r="K276" i="18"/>
  <c r="J276" i="18"/>
  <c r="I276" i="18"/>
  <c r="H276" i="18"/>
  <c r="G276" i="18"/>
  <c r="F276" i="18"/>
  <c r="E276" i="18"/>
  <c r="C276" i="18"/>
  <c r="B276" i="18"/>
  <c r="A276" i="18"/>
  <c r="T275" i="18"/>
  <c r="S275" i="18"/>
  <c r="R275" i="18"/>
  <c r="Q275" i="18"/>
  <c r="P275" i="18"/>
  <c r="O275" i="18"/>
  <c r="N275" i="18"/>
  <c r="M275" i="18"/>
  <c r="L275" i="18"/>
  <c r="K275" i="18"/>
  <c r="J275" i="18"/>
  <c r="I275" i="18"/>
  <c r="H275" i="18"/>
  <c r="G275" i="18"/>
  <c r="F275" i="18"/>
  <c r="E275" i="18"/>
  <c r="C275" i="18"/>
  <c r="B275" i="18"/>
  <c r="A275" i="18"/>
  <c r="T274" i="18"/>
  <c r="S274" i="18"/>
  <c r="R274" i="18"/>
  <c r="Q274" i="18"/>
  <c r="P274" i="18"/>
  <c r="O274" i="18"/>
  <c r="N274" i="18"/>
  <c r="M274" i="18"/>
  <c r="L274" i="18"/>
  <c r="K274" i="18"/>
  <c r="J274" i="18"/>
  <c r="I274" i="18"/>
  <c r="H274" i="18"/>
  <c r="G274" i="18"/>
  <c r="F274" i="18"/>
  <c r="E274" i="18"/>
  <c r="C274" i="18"/>
  <c r="B274" i="18"/>
  <c r="A274" i="18"/>
  <c r="T273" i="18"/>
  <c r="S273" i="18"/>
  <c r="R273" i="18"/>
  <c r="Q273" i="18"/>
  <c r="P273" i="18"/>
  <c r="O273" i="18"/>
  <c r="N273" i="18"/>
  <c r="M273" i="18"/>
  <c r="L273" i="18"/>
  <c r="K273" i="18"/>
  <c r="J273" i="18"/>
  <c r="I273" i="18"/>
  <c r="H273" i="18"/>
  <c r="G273" i="18"/>
  <c r="F273" i="18"/>
  <c r="E273" i="18"/>
  <c r="C273" i="18"/>
  <c r="B273" i="18"/>
  <c r="A273" i="18"/>
  <c r="T272" i="18"/>
  <c r="S272" i="18"/>
  <c r="R272" i="18"/>
  <c r="Q272" i="18"/>
  <c r="P272" i="18"/>
  <c r="O272" i="18"/>
  <c r="N272" i="18"/>
  <c r="M272" i="18"/>
  <c r="L272" i="18"/>
  <c r="K272" i="18"/>
  <c r="J272" i="18"/>
  <c r="I272" i="18"/>
  <c r="H272" i="18"/>
  <c r="G272" i="18"/>
  <c r="F272" i="18"/>
  <c r="E272" i="18"/>
  <c r="C272" i="18"/>
  <c r="B272" i="18"/>
  <c r="A272" i="18"/>
  <c r="T271" i="18"/>
  <c r="S271" i="18"/>
  <c r="R271" i="18"/>
  <c r="Q271" i="18"/>
  <c r="P271" i="18"/>
  <c r="O271" i="18"/>
  <c r="N271" i="18"/>
  <c r="M271" i="18"/>
  <c r="L271" i="18"/>
  <c r="K271" i="18"/>
  <c r="J271" i="18"/>
  <c r="I271" i="18"/>
  <c r="H271" i="18"/>
  <c r="G271" i="18"/>
  <c r="F271" i="18"/>
  <c r="E271" i="18"/>
  <c r="C271" i="18"/>
  <c r="B271" i="18"/>
  <c r="A271" i="18"/>
  <c r="T270" i="18"/>
  <c r="S270" i="18"/>
  <c r="R270" i="18"/>
  <c r="Q270" i="18"/>
  <c r="P270" i="18"/>
  <c r="O270" i="18"/>
  <c r="N270" i="18"/>
  <c r="M270" i="18"/>
  <c r="L270" i="18"/>
  <c r="K270" i="18"/>
  <c r="J270" i="18"/>
  <c r="I270" i="18"/>
  <c r="H270" i="18"/>
  <c r="G270" i="18"/>
  <c r="F270" i="18"/>
  <c r="E270" i="18"/>
  <c r="C270" i="18"/>
  <c r="B270" i="18"/>
  <c r="A270" i="18"/>
  <c r="T269" i="18"/>
  <c r="S269" i="18"/>
  <c r="R269" i="18"/>
  <c r="Q269" i="18"/>
  <c r="P269" i="18"/>
  <c r="O269" i="18"/>
  <c r="N269" i="18"/>
  <c r="M269" i="18"/>
  <c r="L269" i="18"/>
  <c r="K269" i="18"/>
  <c r="J269" i="18"/>
  <c r="I269" i="18"/>
  <c r="H269" i="18"/>
  <c r="G269" i="18"/>
  <c r="F269" i="18"/>
  <c r="E269" i="18"/>
  <c r="C269" i="18"/>
  <c r="B269" i="18"/>
  <c r="A269" i="18"/>
  <c r="T268" i="18"/>
  <c r="S268" i="18"/>
  <c r="R268" i="18"/>
  <c r="Q268" i="18"/>
  <c r="P268" i="18"/>
  <c r="O268" i="18"/>
  <c r="N268" i="18"/>
  <c r="M268" i="18"/>
  <c r="L268" i="18"/>
  <c r="K268" i="18"/>
  <c r="J268" i="18"/>
  <c r="I268" i="18"/>
  <c r="H268" i="18"/>
  <c r="G268" i="18"/>
  <c r="F268" i="18"/>
  <c r="E268" i="18"/>
  <c r="C268" i="18"/>
  <c r="B268" i="18"/>
  <c r="A268" i="18"/>
  <c r="T267" i="18"/>
  <c r="S267" i="18"/>
  <c r="R267" i="18"/>
  <c r="Q267" i="18"/>
  <c r="P267" i="18"/>
  <c r="O267" i="18"/>
  <c r="N267" i="18"/>
  <c r="M267" i="18"/>
  <c r="L267" i="18"/>
  <c r="K267" i="18"/>
  <c r="J267" i="18"/>
  <c r="I267" i="18"/>
  <c r="H267" i="18"/>
  <c r="G267" i="18"/>
  <c r="F267" i="18"/>
  <c r="E267" i="18"/>
  <c r="C267" i="18"/>
  <c r="B267" i="18"/>
  <c r="A267" i="18"/>
  <c r="T266" i="18"/>
  <c r="S266" i="18"/>
  <c r="R266" i="18"/>
  <c r="Q266" i="18"/>
  <c r="P266" i="18"/>
  <c r="O266" i="18"/>
  <c r="N266" i="18"/>
  <c r="M266" i="18"/>
  <c r="L266" i="18"/>
  <c r="K266" i="18"/>
  <c r="J266" i="18"/>
  <c r="I266" i="18"/>
  <c r="H266" i="18"/>
  <c r="G266" i="18"/>
  <c r="F266" i="18"/>
  <c r="E266" i="18"/>
  <c r="C266" i="18"/>
  <c r="B266" i="18"/>
  <c r="A266" i="18"/>
  <c r="T265" i="18"/>
  <c r="S265" i="18"/>
  <c r="R265" i="18"/>
  <c r="Q265" i="18"/>
  <c r="P265" i="18"/>
  <c r="O265" i="18"/>
  <c r="N265" i="18"/>
  <c r="M265" i="18"/>
  <c r="L265" i="18"/>
  <c r="K265" i="18"/>
  <c r="J265" i="18"/>
  <c r="I265" i="18"/>
  <c r="H265" i="18"/>
  <c r="G265" i="18"/>
  <c r="F265" i="18"/>
  <c r="E265" i="18"/>
  <c r="C265" i="18"/>
  <c r="B265" i="18"/>
  <c r="A265" i="18"/>
  <c r="T264" i="18"/>
  <c r="S264" i="18"/>
  <c r="R264" i="18"/>
  <c r="Q264" i="18"/>
  <c r="P264" i="18"/>
  <c r="O264" i="18"/>
  <c r="N264" i="18"/>
  <c r="M264" i="18"/>
  <c r="L264" i="18"/>
  <c r="K264" i="18"/>
  <c r="J264" i="18"/>
  <c r="I264" i="18"/>
  <c r="H264" i="18"/>
  <c r="G264" i="18"/>
  <c r="F264" i="18"/>
  <c r="E264" i="18"/>
  <c r="C264" i="18"/>
  <c r="B264" i="18"/>
  <c r="A264" i="18"/>
  <c r="T263" i="18"/>
  <c r="S263" i="18"/>
  <c r="R263" i="18"/>
  <c r="Q263" i="18"/>
  <c r="P263" i="18"/>
  <c r="O263" i="18"/>
  <c r="N263" i="18"/>
  <c r="M263" i="18"/>
  <c r="L263" i="18"/>
  <c r="K263" i="18"/>
  <c r="J263" i="18"/>
  <c r="I263" i="18"/>
  <c r="H263" i="18"/>
  <c r="G263" i="18"/>
  <c r="F263" i="18"/>
  <c r="E263" i="18"/>
  <c r="C263" i="18"/>
  <c r="B263" i="18"/>
  <c r="A263" i="18"/>
  <c r="T262" i="18"/>
  <c r="S262" i="18"/>
  <c r="R262" i="18"/>
  <c r="Q262" i="18"/>
  <c r="P262" i="18"/>
  <c r="O262" i="18"/>
  <c r="N262" i="18"/>
  <c r="M262" i="18"/>
  <c r="L262" i="18"/>
  <c r="K262" i="18"/>
  <c r="J262" i="18"/>
  <c r="I262" i="18"/>
  <c r="H262" i="18"/>
  <c r="G262" i="18"/>
  <c r="F262" i="18"/>
  <c r="E262" i="18"/>
  <c r="C262" i="18"/>
  <c r="B262" i="18"/>
  <c r="A262" i="18"/>
  <c r="T261" i="18"/>
  <c r="S261" i="18"/>
  <c r="R261" i="18"/>
  <c r="Q261" i="18"/>
  <c r="P261" i="18"/>
  <c r="O261" i="18"/>
  <c r="N261" i="18"/>
  <c r="M261" i="18"/>
  <c r="L261" i="18"/>
  <c r="K261" i="18"/>
  <c r="J261" i="18"/>
  <c r="I261" i="18"/>
  <c r="H261" i="18"/>
  <c r="G261" i="18"/>
  <c r="F261" i="18"/>
  <c r="E261" i="18"/>
  <c r="C261" i="18"/>
  <c r="B261" i="18"/>
  <c r="A261" i="18"/>
  <c r="T260" i="18"/>
  <c r="S260" i="18"/>
  <c r="R260" i="18"/>
  <c r="Q260" i="18"/>
  <c r="P260" i="18"/>
  <c r="O260" i="18"/>
  <c r="N260" i="18"/>
  <c r="M260" i="18"/>
  <c r="L260" i="18"/>
  <c r="K260" i="18"/>
  <c r="J260" i="18"/>
  <c r="I260" i="18"/>
  <c r="H260" i="18"/>
  <c r="G260" i="18"/>
  <c r="F260" i="18"/>
  <c r="E260" i="18"/>
  <c r="C260" i="18"/>
  <c r="B260" i="18"/>
  <c r="A260" i="18"/>
  <c r="T259" i="18"/>
  <c r="S259" i="18"/>
  <c r="R259" i="18"/>
  <c r="Q259" i="18"/>
  <c r="P259" i="18"/>
  <c r="O259" i="18"/>
  <c r="N259" i="18"/>
  <c r="M259" i="18"/>
  <c r="L259" i="18"/>
  <c r="K259" i="18"/>
  <c r="J259" i="18"/>
  <c r="I259" i="18"/>
  <c r="H259" i="18"/>
  <c r="G259" i="18"/>
  <c r="F259" i="18"/>
  <c r="E259" i="18"/>
  <c r="C259" i="18"/>
  <c r="B259" i="18"/>
  <c r="A259" i="18"/>
  <c r="T258" i="18"/>
  <c r="S258" i="18"/>
  <c r="R258" i="18"/>
  <c r="Q258" i="18"/>
  <c r="P258" i="18"/>
  <c r="O258" i="18"/>
  <c r="N258" i="18"/>
  <c r="M258" i="18"/>
  <c r="L258" i="18"/>
  <c r="K258" i="18"/>
  <c r="J258" i="18"/>
  <c r="I258" i="18"/>
  <c r="H258" i="18"/>
  <c r="G258" i="18"/>
  <c r="F258" i="18"/>
  <c r="E258" i="18"/>
  <c r="C258" i="18"/>
  <c r="B258" i="18"/>
  <c r="A258" i="18"/>
  <c r="T257" i="18"/>
  <c r="S257" i="18"/>
  <c r="R257" i="18"/>
  <c r="Q257" i="18"/>
  <c r="P257" i="18"/>
  <c r="O257" i="18"/>
  <c r="N257" i="18"/>
  <c r="M257" i="18"/>
  <c r="L257" i="18"/>
  <c r="K257" i="18"/>
  <c r="J257" i="18"/>
  <c r="I257" i="18"/>
  <c r="H257" i="18"/>
  <c r="G257" i="18"/>
  <c r="F257" i="18"/>
  <c r="E257" i="18"/>
  <c r="C257" i="18"/>
  <c r="B257" i="18"/>
  <c r="A257" i="18"/>
  <c r="T256" i="18"/>
  <c r="S256" i="18"/>
  <c r="R256" i="18"/>
  <c r="Q256" i="18"/>
  <c r="P256" i="18"/>
  <c r="O256" i="18"/>
  <c r="N256" i="18"/>
  <c r="M256" i="18"/>
  <c r="L256" i="18"/>
  <c r="K256" i="18"/>
  <c r="J256" i="18"/>
  <c r="I256" i="18"/>
  <c r="H256" i="18"/>
  <c r="G256" i="18"/>
  <c r="F256" i="18"/>
  <c r="E256" i="18"/>
  <c r="C256" i="18"/>
  <c r="B256" i="18"/>
  <c r="A256" i="18"/>
  <c r="T255" i="18"/>
  <c r="S255" i="18"/>
  <c r="R255" i="18"/>
  <c r="Q255" i="18"/>
  <c r="P255" i="18"/>
  <c r="O255" i="18"/>
  <c r="N255" i="18"/>
  <c r="M255" i="18"/>
  <c r="L255" i="18"/>
  <c r="K255" i="18"/>
  <c r="J255" i="18"/>
  <c r="I255" i="18"/>
  <c r="H255" i="18"/>
  <c r="G255" i="18"/>
  <c r="F255" i="18"/>
  <c r="E255" i="18"/>
  <c r="C255" i="18"/>
  <c r="B255" i="18"/>
  <c r="A255" i="18"/>
  <c r="T254" i="18"/>
  <c r="S254" i="18"/>
  <c r="R254" i="18"/>
  <c r="Q254" i="18"/>
  <c r="P254" i="18"/>
  <c r="O254" i="18"/>
  <c r="N254" i="18"/>
  <c r="M254" i="18"/>
  <c r="L254" i="18"/>
  <c r="K254" i="18"/>
  <c r="J254" i="18"/>
  <c r="I254" i="18"/>
  <c r="H254" i="18"/>
  <c r="G254" i="18"/>
  <c r="F254" i="18"/>
  <c r="E254" i="18"/>
  <c r="C254" i="18"/>
  <c r="B254" i="18"/>
  <c r="A254" i="18"/>
  <c r="T253" i="18"/>
  <c r="S253" i="18"/>
  <c r="R253" i="18"/>
  <c r="Q253" i="18"/>
  <c r="P253" i="18"/>
  <c r="O253" i="18"/>
  <c r="N253" i="18"/>
  <c r="M253" i="18"/>
  <c r="L253" i="18"/>
  <c r="K253" i="18"/>
  <c r="J253" i="18"/>
  <c r="I253" i="18"/>
  <c r="H253" i="18"/>
  <c r="G253" i="18"/>
  <c r="F253" i="18"/>
  <c r="E253" i="18"/>
  <c r="C253" i="18"/>
  <c r="B253" i="18"/>
  <c r="A253" i="18"/>
  <c r="T252" i="18"/>
  <c r="S252" i="18"/>
  <c r="R252" i="18"/>
  <c r="Q252" i="18"/>
  <c r="P252" i="18"/>
  <c r="O252" i="18"/>
  <c r="N252" i="18"/>
  <c r="M252" i="18"/>
  <c r="L252" i="18"/>
  <c r="K252" i="18"/>
  <c r="J252" i="18"/>
  <c r="I252" i="18"/>
  <c r="H252" i="18"/>
  <c r="G252" i="18"/>
  <c r="F252" i="18"/>
  <c r="E252" i="18"/>
  <c r="C252" i="18"/>
  <c r="B252" i="18"/>
  <c r="A252" i="18"/>
  <c r="T251" i="18"/>
  <c r="S251" i="18"/>
  <c r="R251" i="18"/>
  <c r="Q251" i="18"/>
  <c r="P251" i="18"/>
  <c r="O251" i="18"/>
  <c r="N251" i="18"/>
  <c r="M251" i="18"/>
  <c r="L251" i="18"/>
  <c r="K251" i="18"/>
  <c r="J251" i="18"/>
  <c r="I251" i="18"/>
  <c r="H251" i="18"/>
  <c r="G251" i="18"/>
  <c r="F251" i="18"/>
  <c r="E251" i="18"/>
  <c r="C251" i="18"/>
  <c r="B251" i="18"/>
  <c r="A251" i="18"/>
  <c r="T250" i="18"/>
  <c r="S250" i="18"/>
  <c r="R250" i="18"/>
  <c r="Q250" i="18"/>
  <c r="P250" i="18"/>
  <c r="O250" i="18"/>
  <c r="N250" i="18"/>
  <c r="M250" i="18"/>
  <c r="L250" i="18"/>
  <c r="K250" i="18"/>
  <c r="J250" i="18"/>
  <c r="I250" i="18"/>
  <c r="H250" i="18"/>
  <c r="G250" i="18"/>
  <c r="F250" i="18"/>
  <c r="E250" i="18"/>
  <c r="C250" i="18"/>
  <c r="B250" i="18"/>
  <c r="A250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C249" i="18"/>
  <c r="B249" i="18"/>
  <c r="A249" i="18"/>
  <c r="T248" i="18"/>
  <c r="S248" i="18"/>
  <c r="R248" i="18"/>
  <c r="Q248" i="18"/>
  <c r="P248" i="18"/>
  <c r="O248" i="18"/>
  <c r="N248" i="18"/>
  <c r="M248" i="18"/>
  <c r="L248" i="18"/>
  <c r="K248" i="18"/>
  <c r="J248" i="18"/>
  <c r="I248" i="18"/>
  <c r="H248" i="18"/>
  <c r="G248" i="18"/>
  <c r="F248" i="18"/>
  <c r="E248" i="18"/>
  <c r="C248" i="18"/>
  <c r="B248" i="18"/>
  <c r="A248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C247" i="18"/>
  <c r="B247" i="18"/>
  <c r="A247" i="18"/>
  <c r="T246" i="18"/>
  <c r="S246" i="18"/>
  <c r="R246" i="18"/>
  <c r="Q246" i="18"/>
  <c r="P246" i="18"/>
  <c r="O246" i="18"/>
  <c r="N246" i="18"/>
  <c r="M246" i="18"/>
  <c r="L246" i="18"/>
  <c r="K246" i="18"/>
  <c r="J246" i="18"/>
  <c r="I246" i="18"/>
  <c r="H246" i="18"/>
  <c r="G246" i="18"/>
  <c r="F246" i="18"/>
  <c r="E246" i="18"/>
  <c r="C246" i="18"/>
  <c r="B246" i="18"/>
  <c r="A246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C245" i="18"/>
  <c r="B245" i="18"/>
  <c r="A245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C244" i="18"/>
  <c r="B244" i="18"/>
  <c r="A244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C243" i="18"/>
  <c r="B243" i="18"/>
  <c r="A243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C242" i="18"/>
  <c r="B242" i="18"/>
  <c r="A242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C241" i="18"/>
  <c r="B241" i="18"/>
  <c r="A241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C240" i="18"/>
  <c r="B240" i="18"/>
  <c r="A240" i="18"/>
  <c r="T239" i="18"/>
  <c r="S239" i="18"/>
  <c r="R239" i="18"/>
  <c r="Q239" i="18"/>
  <c r="P239" i="18"/>
  <c r="O239" i="18"/>
  <c r="N239" i="18"/>
  <c r="M239" i="18"/>
  <c r="L239" i="18"/>
  <c r="K239" i="18"/>
  <c r="J239" i="18"/>
  <c r="I239" i="18"/>
  <c r="H239" i="18"/>
  <c r="G239" i="18"/>
  <c r="F239" i="18"/>
  <c r="E239" i="18"/>
  <c r="C239" i="18"/>
  <c r="B239" i="18"/>
  <c r="A239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C238" i="18"/>
  <c r="B238" i="18"/>
  <c r="A238" i="18"/>
  <c r="T237" i="18"/>
  <c r="S237" i="18"/>
  <c r="R237" i="18"/>
  <c r="Q237" i="18"/>
  <c r="P237" i="18"/>
  <c r="O237" i="18"/>
  <c r="N237" i="18"/>
  <c r="M237" i="18"/>
  <c r="L237" i="18"/>
  <c r="K237" i="18"/>
  <c r="J237" i="18"/>
  <c r="I237" i="18"/>
  <c r="H237" i="18"/>
  <c r="G237" i="18"/>
  <c r="F237" i="18"/>
  <c r="E237" i="18"/>
  <c r="C237" i="18"/>
  <c r="B237" i="18"/>
  <c r="A237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C236" i="18"/>
  <c r="B236" i="18"/>
  <c r="A236" i="18"/>
  <c r="T235" i="18"/>
  <c r="S235" i="18"/>
  <c r="R235" i="18"/>
  <c r="Q235" i="18"/>
  <c r="P235" i="18"/>
  <c r="O235" i="18"/>
  <c r="N235" i="18"/>
  <c r="M235" i="18"/>
  <c r="L235" i="18"/>
  <c r="K235" i="18"/>
  <c r="J235" i="18"/>
  <c r="I235" i="18"/>
  <c r="H235" i="18"/>
  <c r="G235" i="18"/>
  <c r="F235" i="18"/>
  <c r="E235" i="18"/>
  <c r="C235" i="18"/>
  <c r="B235" i="18"/>
  <c r="A235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C234" i="18"/>
  <c r="B234" i="18"/>
  <c r="A234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C233" i="18"/>
  <c r="B233" i="18"/>
  <c r="A233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C232" i="18"/>
  <c r="B232" i="18"/>
  <c r="A232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C231" i="18"/>
  <c r="B231" i="18"/>
  <c r="A231" i="18"/>
  <c r="X231" i="18" s="1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C230" i="18"/>
  <c r="B230" i="18"/>
  <c r="A230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C229" i="18"/>
  <c r="B229" i="18"/>
  <c r="A229" i="18"/>
  <c r="T228" i="18"/>
  <c r="S228" i="18"/>
  <c r="R228" i="18"/>
  <c r="Q228" i="18"/>
  <c r="P228" i="18"/>
  <c r="O228" i="18"/>
  <c r="N228" i="18"/>
  <c r="M228" i="18"/>
  <c r="L228" i="18"/>
  <c r="K228" i="18"/>
  <c r="J228" i="18"/>
  <c r="I228" i="18"/>
  <c r="H228" i="18"/>
  <c r="G228" i="18"/>
  <c r="F228" i="18"/>
  <c r="E228" i="18"/>
  <c r="C228" i="18"/>
  <c r="B228" i="18"/>
  <c r="A228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C227" i="18"/>
  <c r="B227" i="18"/>
  <c r="A227" i="18"/>
  <c r="T226" i="18"/>
  <c r="S226" i="18"/>
  <c r="R226" i="18"/>
  <c r="Q226" i="18"/>
  <c r="P226" i="18"/>
  <c r="O226" i="18"/>
  <c r="N226" i="18"/>
  <c r="M226" i="18"/>
  <c r="L226" i="18"/>
  <c r="K226" i="18"/>
  <c r="J226" i="18"/>
  <c r="I226" i="18"/>
  <c r="H226" i="18"/>
  <c r="G226" i="18"/>
  <c r="F226" i="18"/>
  <c r="E226" i="18"/>
  <c r="C226" i="18"/>
  <c r="B226" i="18"/>
  <c r="A226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C225" i="18"/>
  <c r="B225" i="18"/>
  <c r="A225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C224" i="18"/>
  <c r="B224" i="18"/>
  <c r="A224" i="18"/>
  <c r="T223" i="18"/>
  <c r="S223" i="18"/>
  <c r="R223" i="18"/>
  <c r="Q223" i="18"/>
  <c r="P223" i="18"/>
  <c r="O223" i="18"/>
  <c r="N223" i="18"/>
  <c r="M223" i="18"/>
  <c r="L223" i="18"/>
  <c r="K223" i="18"/>
  <c r="J223" i="18"/>
  <c r="I223" i="18"/>
  <c r="H223" i="18"/>
  <c r="G223" i="18"/>
  <c r="F223" i="18"/>
  <c r="E223" i="18"/>
  <c r="C223" i="18"/>
  <c r="B223" i="18"/>
  <c r="A223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C222" i="18"/>
  <c r="B222" i="18"/>
  <c r="A222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C221" i="18"/>
  <c r="B221" i="18"/>
  <c r="A221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C220" i="18"/>
  <c r="B220" i="18"/>
  <c r="A220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C219" i="18"/>
  <c r="B219" i="18"/>
  <c r="A219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C218" i="18"/>
  <c r="B218" i="18"/>
  <c r="A218" i="18"/>
  <c r="T217" i="18"/>
  <c r="S217" i="18"/>
  <c r="R217" i="18"/>
  <c r="Q217" i="18"/>
  <c r="P217" i="18"/>
  <c r="O217" i="18"/>
  <c r="N217" i="18"/>
  <c r="M217" i="18"/>
  <c r="L217" i="18"/>
  <c r="K217" i="18"/>
  <c r="J217" i="18"/>
  <c r="I217" i="18"/>
  <c r="H217" i="18"/>
  <c r="G217" i="18"/>
  <c r="F217" i="18"/>
  <c r="E217" i="18"/>
  <c r="C217" i="18"/>
  <c r="B217" i="18"/>
  <c r="A217" i="18"/>
  <c r="T216" i="18"/>
  <c r="S216" i="18"/>
  <c r="R216" i="18"/>
  <c r="Q216" i="18"/>
  <c r="P216" i="18"/>
  <c r="O216" i="18"/>
  <c r="N216" i="18"/>
  <c r="M216" i="18"/>
  <c r="L216" i="18"/>
  <c r="K216" i="18"/>
  <c r="J216" i="18"/>
  <c r="I216" i="18"/>
  <c r="H216" i="18"/>
  <c r="G216" i="18"/>
  <c r="F216" i="18"/>
  <c r="E216" i="18"/>
  <c r="C216" i="18"/>
  <c r="B216" i="18"/>
  <c r="A216" i="18"/>
  <c r="T215" i="18"/>
  <c r="S215" i="18"/>
  <c r="R215" i="18"/>
  <c r="Q215" i="18"/>
  <c r="P215" i="18"/>
  <c r="O215" i="18"/>
  <c r="N215" i="18"/>
  <c r="M215" i="18"/>
  <c r="L215" i="18"/>
  <c r="K215" i="18"/>
  <c r="J215" i="18"/>
  <c r="I215" i="18"/>
  <c r="H215" i="18"/>
  <c r="G215" i="18"/>
  <c r="F215" i="18"/>
  <c r="E215" i="18"/>
  <c r="C215" i="18"/>
  <c r="B215" i="18"/>
  <c r="A215" i="18"/>
  <c r="T214" i="18"/>
  <c r="S214" i="18"/>
  <c r="R214" i="18"/>
  <c r="Q214" i="18"/>
  <c r="P214" i="18"/>
  <c r="O214" i="18"/>
  <c r="N214" i="18"/>
  <c r="M214" i="18"/>
  <c r="L214" i="18"/>
  <c r="K214" i="18"/>
  <c r="J214" i="18"/>
  <c r="I214" i="18"/>
  <c r="H214" i="18"/>
  <c r="G214" i="18"/>
  <c r="F214" i="18"/>
  <c r="E214" i="18"/>
  <c r="C214" i="18"/>
  <c r="B214" i="18"/>
  <c r="A214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C213" i="18"/>
  <c r="B213" i="18"/>
  <c r="A213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C212" i="18"/>
  <c r="B212" i="18"/>
  <c r="A212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C211" i="18"/>
  <c r="B211" i="18"/>
  <c r="A211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C210" i="18"/>
  <c r="B210" i="18"/>
  <c r="A210" i="18"/>
  <c r="T209" i="18"/>
  <c r="S209" i="18"/>
  <c r="R209" i="18"/>
  <c r="Q209" i="18"/>
  <c r="P209" i="18"/>
  <c r="O209" i="18"/>
  <c r="N209" i="18"/>
  <c r="M209" i="18"/>
  <c r="L209" i="18"/>
  <c r="K209" i="18"/>
  <c r="J209" i="18"/>
  <c r="I209" i="18"/>
  <c r="H209" i="18"/>
  <c r="G209" i="18"/>
  <c r="F209" i="18"/>
  <c r="E209" i="18"/>
  <c r="C209" i="18"/>
  <c r="B209" i="18"/>
  <c r="A209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C208" i="18"/>
  <c r="B208" i="18"/>
  <c r="A208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C207" i="18"/>
  <c r="B207" i="18"/>
  <c r="A207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C206" i="18"/>
  <c r="B206" i="18"/>
  <c r="A206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C205" i="18"/>
  <c r="B205" i="18"/>
  <c r="A205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C204" i="18"/>
  <c r="B204" i="18"/>
  <c r="A204" i="18"/>
  <c r="T203" i="18"/>
  <c r="S203" i="18"/>
  <c r="R203" i="18"/>
  <c r="Q203" i="18"/>
  <c r="P203" i="18"/>
  <c r="O203" i="18"/>
  <c r="N203" i="18"/>
  <c r="M203" i="18"/>
  <c r="L203" i="18"/>
  <c r="K203" i="18"/>
  <c r="J203" i="18"/>
  <c r="I203" i="18"/>
  <c r="H203" i="18"/>
  <c r="G203" i="18"/>
  <c r="F203" i="18"/>
  <c r="E203" i="18"/>
  <c r="C203" i="18"/>
  <c r="B203" i="18"/>
  <c r="A203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C202" i="18"/>
  <c r="B202" i="18"/>
  <c r="A202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C201" i="18"/>
  <c r="B201" i="18"/>
  <c r="A201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C200" i="18"/>
  <c r="B200" i="18"/>
  <c r="A200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C199" i="18"/>
  <c r="B199" i="18"/>
  <c r="A199" i="18"/>
  <c r="T198" i="18"/>
  <c r="S198" i="18"/>
  <c r="R198" i="18"/>
  <c r="Q198" i="18"/>
  <c r="P198" i="18"/>
  <c r="O198" i="18"/>
  <c r="N198" i="18"/>
  <c r="M198" i="18"/>
  <c r="L198" i="18"/>
  <c r="K198" i="18"/>
  <c r="J198" i="18"/>
  <c r="I198" i="18"/>
  <c r="H198" i="18"/>
  <c r="G198" i="18"/>
  <c r="F198" i="18"/>
  <c r="E198" i="18"/>
  <c r="C198" i="18"/>
  <c r="B198" i="18"/>
  <c r="A198" i="18"/>
  <c r="T197" i="18"/>
  <c r="S197" i="18"/>
  <c r="R197" i="18"/>
  <c r="Q197" i="18"/>
  <c r="P197" i="18"/>
  <c r="O197" i="18"/>
  <c r="N197" i="18"/>
  <c r="M197" i="18"/>
  <c r="L197" i="18"/>
  <c r="K197" i="18"/>
  <c r="J197" i="18"/>
  <c r="I197" i="18"/>
  <c r="H197" i="18"/>
  <c r="G197" i="18"/>
  <c r="F197" i="18"/>
  <c r="E197" i="18"/>
  <c r="C197" i="18"/>
  <c r="B197" i="18"/>
  <c r="A197" i="18"/>
  <c r="T196" i="18"/>
  <c r="S196" i="18"/>
  <c r="R196" i="18"/>
  <c r="Q196" i="18"/>
  <c r="P196" i="18"/>
  <c r="O196" i="18"/>
  <c r="N196" i="18"/>
  <c r="M196" i="18"/>
  <c r="L196" i="18"/>
  <c r="K196" i="18"/>
  <c r="J196" i="18"/>
  <c r="I196" i="18"/>
  <c r="H196" i="18"/>
  <c r="G196" i="18"/>
  <c r="F196" i="18"/>
  <c r="E196" i="18"/>
  <c r="C196" i="18"/>
  <c r="B196" i="18"/>
  <c r="A196" i="18"/>
  <c r="T195" i="18"/>
  <c r="S195" i="18"/>
  <c r="R195" i="18"/>
  <c r="Q195" i="18"/>
  <c r="P195" i="18"/>
  <c r="O195" i="18"/>
  <c r="N195" i="18"/>
  <c r="M195" i="18"/>
  <c r="L195" i="18"/>
  <c r="K195" i="18"/>
  <c r="J195" i="18"/>
  <c r="I195" i="18"/>
  <c r="H195" i="18"/>
  <c r="G195" i="18"/>
  <c r="F195" i="18"/>
  <c r="E195" i="18"/>
  <c r="C195" i="18"/>
  <c r="B195" i="18"/>
  <c r="A195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C194" i="18"/>
  <c r="B194" i="18"/>
  <c r="A194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C193" i="18"/>
  <c r="B193" i="18"/>
  <c r="A193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C192" i="18"/>
  <c r="B192" i="18"/>
  <c r="A192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C191" i="18"/>
  <c r="B191" i="18"/>
  <c r="A191" i="18"/>
  <c r="T190" i="18"/>
  <c r="S190" i="18"/>
  <c r="R190" i="18"/>
  <c r="Q190" i="18"/>
  <c r="P190" i="18"/>
  <c r="O190" i="18"/>
  <c r="N190" i="18"/>
  <c r="M190" i="18"/>
  <c r="L190" i="18"/>
  <c r="K190" i="18"/>
  <c r="J190" i="18"/>
  <c r="I190" i="18"/>
  <c r="H190" i="18"/>
  <c r="G190" i="18"/>
  <c r="F190" i="18"/>
  <c r="E190" i="18"/>
  <c r="C190" i="18"/>
  <c r="B190" i="18"/>
  <c r="A190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C189" i="18"/>
  <c r="B189" i="18"/>
  <c r="A189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C188" i="18"/>
  <c r="B188" i="18"/>
  <c r="A188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C187" i="18"/>
  <c r="B187" i="18"/>
  <c r="A187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C186" i="18"/>
  <c r="B186" i="18"/>
  <c r="A186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C185" i="18"/>
  <c r="B185" i="18"/>
  <c r="A185" i="18"/>
  <c r="T184" i="18"/>
  <c r="S184" i="18"/>
  <c r="R184" i="18"/>
  <c r="Q184" i="18"/>
  <c r="P184" i="18"/>
  <c r="O184" i="18"/>
  <c r="N184" i="18"/>
  <c r="M184" i="18"/>
  <c r="L184" i="18"/>
  <c r="K184" i="18"/>
  <c r="J184" i="18"/>
  <c r="I184" i="18"/>
  <c r="H184" i="18"/>
  <c r="G184" i="18"/>
  <c r="F184" i="18"/>
  <c r="E184" i="18"/>
  <c r="C184" i="18"/>
  <c r="B184" i="18"/>
  <c r="A184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C183" i="18"/>
  <c r="B183" i="18"/>
  <c r="A183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C182" i="18"/>
  <c r="B182" i="18"/>
  <c r="A182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C181" i="18"/>
  <c r="B181" i="18"/>
  <c r="A181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C180" i="18"/>
  <c r="B180" i="18"/>
  <c r="A180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C179" i="18"/>
  <c r="B179" i="18"/>
  <c r="A179" i="18"/>
  <c r="T178" i="18"/>
  <c r="S178" i="18"/>
  <c r="R178" i="18"/>
  <c r="Q178" i="18"/>
  <c r="P178" i="18"/>
  <c r="O178" i="18"/>
  <c r="N178" i="18"/>
  <c r="M178" i="18"/>
  <c r="L178" i="18"/>
  <c r="K178" i="18"/>
  <c r="J178" i="18"/>
  <c r="I178" i="18"/>
  <c r="H178" i="18"/>
  <c r="G178" i="18"/>
  <c r="F178" i="18"/>
  <c r="E178" i="18"/>
  <c r="C178" i="18"/>
  <c r="B178" i="18"/>
  <c r="A178" i="18"/>
  <c r="T177" i="18"/>
  <c r="S177" i="18"/>
  <c r="R177" i="18"/>
  <c r="Q177" i="18"/>
  <c r="P177" i="18"/>
  <c r="O177" i="18"/>
  <c r="N177" i="18"/>
  <c r="M177" i="18"/>
  <c r="L177" i="18"/>
  <c r="K177" i="18"/>
  <c r="J177" i="18"/>
  <c r="I177" i="18"/>
  <c r="H177" i="18"/>
  <c r="G177" i="18"/>
  <c r="F177" i="18"/>
  <c r="E177" i="18"/>
  <c r="C177" i="18"/>
  <c r="B177" i="18"/>
  <c r="A177" i="18"/>
  <c r="T176" i="18"/>
  <c r="S176" i="18"/>
  <c r="R176" i="18"/>
  <c r="Q176" i="18"/>
  <c r="P176" i="18"/>
  <c r="O176" i="18"/>
  <c r="N176" i="18"/>
  <c r="M176" i="18"/>
  <c r="L176" i="18"/>
  <c r="K176" i="18"/>
  <c r="J176" i="18"/>
  <c r="I176" i="18"/>
  <c r="H176" i="18"/>
  <c r="G176" i="18"/>
  <c r="F176" i="18"/>
  <c r="E176" i="18"/>
  <c r="C176" i="18"/>
  <c r="B176" i="18"/>
  <c r="A176" i="18"/>
  <c r="T175" i="18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C175" i="18"/>
  <c r="B175" i="18"/>
  <c r="A175" i="18"/>
  <c r="T174" i="18"/>
  <c r="S174" i="18"/>
  <c r="R174" i="18"/>
  <c r="Q174" i="18"/>
  <c r="P174" i="18"/>
  <c r="O174" i="18"/>
  <c r="N174" i="18"/>
  <c r="M174" i="18"/>
  <c r="L174" i="18"/>
  <c r="K174" i="18"/>
  <c r="J174" i="18"/>
  <c r="I174" i="18"/>
  <c r="H174" i="18"/>
  <c r="G174" i="18"/>
  <c r="F174" i="18"/>
  <c r="E174" i="18"/>
  <c r="C174" i="18"/>
  <c r="B174" i="18"/>
  <c r="A174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C173" i="18"/>
  <c r="B173" i="18"/>
  <c r="A173" i="18"/>
  <c r="T172" i="18"/>
  <c r="S172" i="18"/>
  <c r="R172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C172" i="18"/>
  <c r="B172" i="18"/>
  <c r="A172" i="18"/>
  <c r="T171" i="18"/>
  <c r="S171" i="18"/>
  <c r="R171" i="18"/>
  <c r="Q171" i="18"/>
  <c r="P171" i="18"/>
  <c r="O171" i="18"/>
  <c r="N171" i="18"/>
  <c r="M171" i="18"/>
  <c r="L171" i="18"/>
  <c r="K171" i="18"/>
  <c r="J171" i="18"/>
  <c r="I171" i="18"/>
  <c r="H171" i="18"/>
  <c r="G171" i="18"/>
  <c r="F171" i="18"/>
  <c r="E171" i="18"/>
  <c r="C171" i="18"/>
  <c r="B171" i="18"/>
  <c r="A171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C170" i="18"/>
  <c r="B170" i="18"/>
  <c r="A170" i="18"/>
  <c r="T169" i="18"/>
  <c r="S169" i="18"/>
  <c r="R169" i="18"/>
  <c r="Q169" i="18"/>
  <c r="P169" i="18"/>
  <c r="O169" i="18"/>
  <c r="N169" i="18"/>
  <c r="M169" i="18"/>
  <c r="L169" i="18"/>
  <c r="K169" i="18"/>
  <c r="J169" i="18"/>
  <c r="I169" i="18"/>
  <c r="H169" i="18"/>
  <c r="G169" i="18"/>
  <c r="F169" i="18"/>
  <c r="E169" i="18"/>
  <c r="C169" i="18"/>
  <c r="B169" i="18"/>
  <c r="A169" i="18"/>
  <c r="T168" i="18"/>
  <c r="S168" i="18"/>
  <c r="R168" i="18"/>
  <c r="Q168" i="18"/>
  <c r="P168" i="18"/>
  <c r="O168" i="18"/>
  <c r="N168" i="18"/>
  <c r="M168" i="18"/>
  <c r="L168" i="18"/>
  <c r="K168" i="18"/>
  <c r="J168" i="18"/>
  <c r="I168" i="18"/>
  <c r="H168" i="18"/>
  <c r="G168" i="18"/>
  <c r="F168" i="18"/>
  <c r="E168" i="18"/>
  <c r="C168" i="18"/>
  <c r="B168" i="18"/>
  <c r="A168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C167" i="18"/>
  <c r="B167" i="18"/>
  <c r="A167" i="18"/>
  <c r="T166" i="18"/>
  <c r="S166" i="18"/>
  <c r="R166" i="18"/>
  <c r="Q166" i="18"/>
  <c r="P166" i="18"/>
  <c r="O166" i="18"/>
  <c r="N166" i="18"/>
  <c r="M166" i="18"/>
  <c r="L166" i="18"/>
  <c r="K166" i="18"/>
  <c r="J166" i="18"/>
  <c r="I166" i="18"/>
  <c r="H166" i="18"/>
  <c r="G166" i="18"/>
  <c r="F166" i="18"/>
  <c r="E166" i="18"/>
  <c r="C166" i="18"/>
  <c r="B166" i="18"/>
  <c r="A166" i="18"/>
  <c r="T165" i="18"/>
  <c r="S165" i="18"/>
  <c r="R165" i="18"/>
  <c r="Q165" i="18"/>
  <c r="P165" i="18"/>
  <c r="O165" i="18"/>
  <c r="N165" i="18"/>
  <c r="M165" i="18"/>
  <c r="L165" i="18"/>
  <c r="K165" i="18"/>
  <c r="J165" i="18"/>
  <c r="I165" i="18"/>
  <c r="H165" i="18"/>
  <c r="G165" i="18"/>
  <c r="F165" i="18"/>
  <c r="E165" i="18"/>
  <c r="C165" i="18"/>
  <c r="B165" i="18"/>
  <c r="A165" i="18"/>
  <c r="T164" i="18"/>
  <c r="S164" i="18"/>
  <c r="R164" i="18"/>
  <c r="Q164" i="18"/>
  <c r="P164" i="18"/>
  <c r="O164" i="18"/>
  <c r="N164" i="18"/>
  <c r="M164" i="18"/>
  <c r="L164" i="18"/>
  <c r="K164" i="18"/>
  <c r="J164" i="18"/>
  <c r="I164" i="18"/>
  <c r="H164" i="18"/>
  <c r="G164" i="18"/>
  <c r="F164" i="18"/>
  <c r="E164" i="18"/>
  <c r="C164" i="18"/>
  <c r="B164" i="18"/>
  <c r="A164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C163" i="18"/>
  <c r="B163" i="18"/>
  <c r="A163" i="18"/>
  <c r="T162" i="18"/>
  <c r="S162" i="18"/>
  <c r="R162" i="18"/>
  <c r="Q162" i="18"/>
  <c r="P162" i="18"/>
  <c r="O162" i="18"/>
  <c r="N162" i="18"/>
  <c r="M162" i="18"/>
  <c r="L162" i="18"/>
  <c r="K162" i="18"/>
  <c r="J162" i="18"/>
  <c r="I162" i="18"/>
  <c r="H162" i="18"/>
  <c r="G162" i="18"/>
  <c r="F162" i="18"/>
  <c r="E162" i="18"/>
  <c r="C162" i="18"/>
  <c r="B162" i="18"/>
  <c r="A162" i="18"/>
  <c r="T161" i="18"/>
  <c r="S161" i="18"/>
  <c r="R161" i="18"/>
  <c r="Q161" i="18"/>
  <c r="P161" i="18"/>
  <c r="O161" i="18"/>
  <c r="N161" i="18"/>
  <c r="M161" i="18"/>
  <c r="L161" i="18"/>
  <c r="K161" i="18"/>
  <c r="J161" i="18"/>
  <c r="I161" i="18"/>
  <c r="H161" i="18"/>
  <c r="G161" i="18"/>
  <c r="F161" i="18"/>
  <c r="E161" i="18"/>
  <c r="C161" i="18"/>
  <c r="B161" i="18"/>
  <c r="A161" i="18"/>
  <c r="T160" i="18"/>
  <c r="S160" i="18"/>
  <c r="R160" i="18"/>
  <c r="Q160" i="18"/>
  <c r="P160" i="18"/>
  <c r="O160" i="18"/>
  <c r="N160" i="18"/>
  <c r="M160" i="18"/>
  <c r="L160" i="18"/>
  <c r="K160" i="18"/>
  <c r="J160" i="18"/>
  <c r="I160" i="18"/>
  <c r="H160" i="18"/>
  <c r="G160" i="18"/>
  <c r="F160" i="18"/>
  <c r="E160" i="18"/>
  <c r="C160" i="18"/>
  <c r="B160" i="18"/>
  <c r="A160" i="18"/>
  <c r="T159" i="18"/>
  <c r="S159" i="18"/>
  <c r="R159" i="18"/>
  <c r="Q159" i="18"/>
  <c r="P159" i="18"/>
  <c r="O159" i="18"/>
  <c r="N159" i="18"/>
  <c r="M159" i="18"/>
  <c r="L159" i="18"/>
  <c r="K159" i="18"/>
  <c r="J159" i="18"/>
  <c r="I159" i="18"/>
  <c r="H159" i="18"/>
  <c r="G159" i="18"/>
  <c r="F159" i="18"/>
  <c r="E159" i="18"/>
  <c r="C159" i="18"/>
  <c r="B159" i="18"/>
  <c r="A159" i="18"/>
  <c r="T158" i="18"/>
  <c r="S158" i="18"/>
  <c r="R158" i="18"/>
  <c r="Q158" i="18"/>
  <c r="P158" i="18"/>
  <c r="O158" i="18"/>
  <c r="N158" i="18"/>
  <c r="M158" i="18"/>
  <c r="L158" i="18"/>
  <c r="K158" i="18"/>
  <c r="J158" i="18"/>
  <c r="I158" i="18"/>
  <c r="H158" i="18"/>
  <c r="G158" i="18"/>
  <c r="F158" i="18"/>
  <c r="E158" i="18"/>
  <c r="C158" i="18"/>
  <c r="B158" i="18"/>
  <c r="A158" i="18"/>
  <c r="T157" i="18"/>
  <c r="S157" i="18"/>
  <c r="R157" i="18"/>
  <c r="Q157" i="18"/>
  <c r="P157" i="18"/>
  <c r="O157" i="18"/>
  <c r="N157" i="18"/>
  <c r="M157" i="18"/>
  <c r="L157" i="18"/>
  <c r="K157" i="18"/>
  <c r="J157" i="18"/>
  <c r="I157" i="18"/>
  <c r="H157" i="18"/>
  <c r="G157" i="18"/>
  <c r="F157" i="18"/>
  <c r="E157" i="18"/>
  <c r="C157" i="18"/>
  <c r="B157" i="18"/>
  <c r="A157" i="18"/>
  <c r="T156" i="18"/>
  <c r="S156" i="18"/>
  <c r="R156" i="18"/>
  <c r="Q156" i="18"/>
  <c r="P156" i="18"/>
  <c r="O156" i="18"/>
  <c r="N156" i="18"/>
  <c r="M156" i="18"/>
  <c r="L156" i="18"/>
  <c r="K156" i="18"/>
  <c r="J156" i="18"/>
  <c r="I156" i="18"/>
  <c r="H156" i="18"/>
  <c r="G156" i="18"/>
  <c r="F156" i="18"/>
  <c r="E156" i="18"/>
  <c r="C156" i="18"/>
  <c r="B156" i="18"/>
  <c r="A156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C155" i="18"/>
  <c r="B155" i="18"/>
  <c r="A155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C154" i="18"/>
  <c r="B154" i="18"/>
  <c r="A154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C153" i="18"/>
  <c r="B153" i="18"/>
  <c r="A153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C152" i="18"/>
  <c r="B152" i="18"/>
  <c r="A152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C151" i="18"/>
  <c r="B151" i="18"/>
  <c r="A151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C150" i="18"/>
  <c r="B150" i="18"/>
  <c r="A150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C149" i="18"/>
  <c r="B149" i="18"/>
  <c r="A149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C148" i="18"/>
  <c r="B148" i="18"/>
  <c r="A148" i="18"/>
  <c r="T147" i="18"/>
  <c r="S147" i="18"/>
  <c r="R147" i="18"/>
  <c r="Q147" i="18"/>
  <c r="P147" i="18"/>
  <c r="O147" i="18"/>
  <c r="N147" i="18"/>
  <c r="M147" i="18"/>
  <c r="L147" i="18"/>
  <c r="K147" i="18"/>
  <c r="J147" i="18"/>
  <c r="I147" i="18"/>
  <c r="H147" i="18"/>
  <c r="G147" i="18"/>
  <c r="F147" i="18"/>
  <c r="E147" i="18"/>
  <c r="C147" i="18"/>
  <c r="B147" i="18"/>
  <c r="A147" i="18"/>
  <c r="T146" i="18"/>
  <c r="S146" i="18"/>
  <c r="R146" i="18"/>
  <c r="Q146" i="18"/>
  <c r="P146" i="18"/>
  <c r="O146" i="18"/>
  <c r="N146" i="18"/>
  <c r="M146" i="18"/>
  <c r="L146" i="18"/>
  <c r="K146" i="18"/>
  <c r="J146" i="18"/>
  <c r="I146" i="18"/>
  <c r="H146" i="18"/>
  <c r="G146" i="18"/>
  <c r="F146" i="18"/>
  <c r="E146" i="18"/>
  <c r="C146" i="18"/>
  <c r="B146" i="18"/>
  <c r="A146" i="18"/>
  <c r="T145" i="18"/>
  <c r="S145" i="18"/>
  <c r="R145" i="18"/>
  <c r="Q145" i="18"/>
  <c r="P145" i="18"/>
  <c r="O145" i="18"/>
  <c r="N145" i="18"/>
  <c r="M145" i="18"/>
  <c r="L145" i="18"/>
  <c r="K145" i="18"/>
  <c r="J145" i="18"/>
  <c r="I145" i="18"/>
  <c r="H145" i="18"/>
  <c r="G145" i="18"/>
  <c r="F145" i="18"/>
  <c r="E145" i="18"/>
  <c r="C145" i="18"/>
  <c r="B145" i="18"/>
  <c r="A145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C144" i="18"/>
  <c r="B144" i="18"/>
  <c r="A144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C143" i="18"/>
  <c r="B143" i="18"/>
  <c r="A143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C142" i="18"/>
  <c r="B142" i="18"/>
  <c r="A142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C141" i="18"/>
  <c r="B141" i="18"/>
  <c r="A141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C140" i="18"/>
  <c r="B140" i="18"/>
  <c r="A140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C139" i="18"/>
  <c r="B139" i="18"/>
  <c r="A139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C138" i="18"/>
  <c r="B138" i="18"/>
  <c r="A138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C137" i="18"/>
  <c r="B137" i="18"/>
  <c r="A137" i="18"/>
  <c r="T136" i="18"/>
  <c r="S136" i="18"/>
  <c r="R136" i="18"/>
  <c r="Q136" i="18"/>
  <c r="P136" i="18"/>
  <c r="O136" i="18"/>
  <c r="N136" i="18"/>
  <c r="M136" i="18"/>
  <c r="L136" i="18"/>
  <c r="K136" i="18"/>
  <c r="J136" i="18"/>
  <c r="I136" i="18"/>
  <c r="H136" i="18"/>
  <c r="G136" i="18"/>
  <c r="F136" i="18"/>
  <c r="E136" i="18"/>
  <c r="C136" i="18"/>
  <c r="B136" i="18"/>
  <c r="A136" i="18"/>
  <c r="T135" i="18"/>
  <c r="S135" i="18"/>
  <c r="R135" i="18"/>
  <c r="Q135" i="18"/>
  <c r="P135" i="18"/>
  <c r="O135" i="18"/>
  <c r="N135" i="18"/>
  <c r="M135" i="18"/>
  <c r="L135" i="18"/>
  <c r="K135" i="18"/>
  <c r="J135" i="18"/>
  <c r="I135" i="18"/>
  <c r="H135" i="18"/>
  <c r="G135" i="18"/>
  <c r="F135" i="18"/>
  <c r="E135" i="18"/>
  <c r="C135" i="18"/>
  <c r="B135" i="18"/>
  <c r="A135" i="18"/>
  <c r="T134" i="18"/>
  <c r="S134" i="18"/>
  <c r="R134" i="18"/>
  <c r="Q134" i="18"/>
  <c r="P134" i="18"/>
  <c r="O134" i="18"/>
  <c r="N134" i="18"/>
  <c r="M134" i="18"/>
  <c r="L134" i="18"/>
  <c r="K134" i="18"/>
  <c r="J134" i="18"/>
  <c r="I134" i="18"/>
  <c r="H134" i="18"/>
  <c r="G134" i="18"/>
  <c r="F134" i="18"/>
  <c r="E134" i="18"/>
  <c r="C134" i="18"/>
  <c r="B134" i="18"/>
  <c r="A134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C133" i="18"/>
  <c r="B133" i="18"/>
  <c r="A133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C132" i="18"/>
  <c r="B132" i="18"/>
  <c r="A132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C131" i="18"/>
  <c r="B131" i="18"/>
  <c r="A131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C130" i="18"/>
  <c r="B130" i="18"/>
  <c r="A130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C129" i="18"/>
  <c r="B129" i="18"/>
  <c r="A129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C128" i="18"/>
  <c r="B128" i="18"/>
  <c r="A128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C127" i="18"/>
  <c r="B127" i="18"/>
  <c r="A127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C126" i="18"/>
  <c r="B126" i="18"/>
  <c r="A126" i="18"/>
  <c r="T125" i="18"/>
  <c r="S125" i="18"/>
  <c r="R125" i="18"/>
  <c r="Q125" i="18"/>
  <c r="P125" i="18"/>
  <c r="O125" i="18"/>
  <c r="N125" i="18"/>
  <c r="M125" i="18"/>
  <c r="L125" i="18"/>
  <c r="K125" i="18"/>
  <c r="J125" i="18"/>
  <c r="I125" i="18"/>
  <c r="H125" i="18"/>
  <c r="G125" i="18"/>
  <c r="F125" i="18"/>
  <c r="E125" i="18"/>
  <c r="C125" i="18"/>
  <c r="B125" i="18"/>
  <c r="A125" i="18"/>
  <c r="T124" i="18"/>
  <c r="S124" i="18"/>
  <c r="R124" i="18"/>
  <c r="Q124" i="18"/>
  <c r="P124" i="18"/>
  <c r="O124" i="18"/>
  <c r="N124" i="18"/>
  <c r="M124" i="18"/>
  <c r="L124" i="18"/>
  <c r="K124" i="18"/>
  <c r="J124" i="18"/>
  <c r="I124" i="18"/>
  <c r="H124" i="18"/>
  <c r="G124" i="18"/>
  <c r="F124" i="18"/>
  <c r="E124" i="18"/>
  <c r="C124" i="18"/>
  <c r="B124" i="18"/>
  <c r="A124" i="18"/>
  <c r="T123" i="18"/>
  <c r="S123" i="18"/>
  <c r="R123" i="18"/>
  <c r="Q123" i="18"/>
  <c r="P123" i="18"/>
  <c r="O123" i="18"/>
  <c r="N123" i="18"/>
  <c r="M123" i="18"/>
  <c r="L123" i="18"/>
  <c r="K123" i="18"/>
  <c r="J123" i="18"/>
  <c r="I123" i="18"/>
  <c r="H123" i="18"/>
  <c r="G123" i="18"/>
  <c r="F123" i="18"/>
  <c r="E123" i="18"/>
  <c r="C123" i="18"/>
  <c r="B123" i="18"/>
  <c r="A123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C122" i="18"/>
  <c r="B122" i="18"/>
  <c r="A122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C121" i="18"/>
  <c r="B121" i="18"/>
  <c r="A121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C120" i="18"/>
  <c r="B120" i="18"/>
  <c r="A120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C119" i="18"/>
  <c r="B119" i="18"/>
  <c r="A119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C118" i="18"/>
  <c r="B118" i="18"/>
  <c r="A118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C117" i="18"/>
  <c r="B117" i="18"/>
  <c r="A117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C116" i="18"/>
  <c r="B116" i="18"/>
  <c r="A116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C115" i="18"/>
  <c r="B115" i="18"/>
  <c r="A115" i="18"/>
  <c r="T114" i="18"/>
  <c r="S114" i="18"/>
  <c r="R114" i="18"/>
  <c r="Q114" i="18"/>
  <c r="P114" i="18"/>
  <c r="O114" i="18"/>
  <c r="N114" i="18"/>
  <c r="M114" i="18"/>
  <c r="L114" i="18"/>
  <c r="K114" i="18"/>
  <c r="J114" i="18"/>
  <c r="I114" i="18"/>
  <c r="H114" i="18"/>
  <c r="G114" i="18"/>
  <c r="F114" i="18"/>
  <c r="E114" i="18"/>
  <c r="C114" i="18"/>
  <c r="B114" i="18"/>
  <c r="A114" i="18"/>
  <c r="T113" i="18"/>
  <c r="S113" i="18"/>
  <c r="R113" i="18"/>
  <c r="Q113" i="18"/>
  <c r="P113" i="18"/>
  <c r="O113" i="18"/>
  <c r="N113" i="18"/>
  <c r="M113" i="18"/>
  <c r="L113" i="18"/>
  <c r="K113" i="18"/>
  <c r="J113" i="18"/>
  <c r="I113" i="18"/>
  <c r="H113" i="18"/>
  <c r="G113" i="18"/>
  <c r="F113" i="18"/>
  <c r="E113" i="18"/>
  <c r="C113" i="18"/>
  <c r="B113" i="18"/>
  <c r="A113" i="18"/>
  <c r="T112" i="18"/>
  <c r="S112" i="18"/>
  <c r="R112" i="18"/>
  <c r="Q112" i="18"/>
  <c r="P112" i="18"/>
  <c r="O112" i="18"/>
  <c r="N112" i="18"/>
  <c r="M112" i="18"/>
  <c r="L112" i="18"/>
  <c r="K112" i="18"/>
  <c r="J112" i="18"/>
  <c r="I112" i="18"/>
  <c r="H112" i="18"/>
  <c r="G112" i="18"/>
  <c r="F112" i="18"/>
  <c r="E112" i="18"/>
  <c r="C112" i="18"/>
  <c r="B112" i="18"/>
  <c r="A112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C111" i="18"/>
  <c r="B111" i="18"/>
  <c r="A111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C110" i="18"/>
  <c r="B110" i="18"/>
  <c r="A110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C109" i="18"/>
  <c r="B109" i="18"/>
  <c r="A109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C108" i="18"/>
  <c r="B108" i="18"/>
  <c r="A108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C107" i="18"/>
  <c r="B107" i="18"/>
  <c r="A107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C106" i="18"/>
  <c r="B106" i="18"/>
  <c r="A106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C105" i="18"/>
  <c r="B105" i="18"/>
  <c r="A105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C104" i="18"/>
  <c r="B104" i="18"/>
  <c r="A104" i="18"/>
  <c r="T103" i="18"/>
  <c r="S103" i="18"/>
  <c r="R103" i="18"/>
  <c r="Q103" i="18"/>
  <c r="P103" i="18"/>
  <c r="O103" i="18"/>
  <c r="N103" i="18"/>
  <c r="M103" i="18"/>
  <c r="L103" i="18"/>
  <c r="K103" i="18"/>
  <c r="J103" i="18"/>
  <c r="I103" i="18"/>
  <c r="H103" i="18"/>
  <c r="G103" i="18"/>
  <c r="F103" i="18"/>
  <c r="E103" i="18"/>
  <c r="C103" i="18"/>
  <c r="B103" i="18"/>
  <c r="A103" i="18"/>
  <c r="T102" i="18"/>
  <c r="S102" i="18"/>
  <c r="R102" i="18"/>
  <c r="Q102" i="18"/>
  <c r="P102" i="18"/>
  <c r="O102" i="18"/>
  <c r="N102" i="18"/>
  <c r="M102" i="18"/>
  <c r="L102" i="18"/>
  <c r="K102" i="18"/>
  <c r="J102" i="18"/>
  <c r="I102" i="18"/>
  <c r="H102" i="18"/>
  <c r="G102" i="18"/>
  <c r="F102" i="18"/>
  <c r="E102" i="18"/>
  <c r="C102" i="18"/>
  <c r="B102" i="18"/>
  <c r="A102" i="18"/>
  <c r="T101" i="18"/>
  <c r="S101" i="18"/>
  <c r="R101" i="18"/>
  <c r="Q101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C101" i="18"/>
  <c r="B101" i="18"/>
  <c r="A101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C100" i="18"/>
  <c r="B100" i="18"/>
  <c r="A100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C99" i="18"/>
  <c r="B99" i="18"/>
  <c r="A99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C98" i="18"/>
  <c r="B98" i="18"/>
  <c r="A98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C97" i="18"/>
  <c r="B97" i="18"/>
  <c r="A97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C96" i="18"/>
  <c r="B96" i="18"/>
  <c r="A96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C95" i="18"/>
  <c r="B95" i="18"/>
  <c r="A95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C94" i="18"/>
  <c r="B94" i="18"/>
  <c r="A94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C93" i="18"/>
  <c r="B93" i="18"/>
  <c r="A93" i="18"/>
  <c r="T92" i="18"/>
  <c r="S92" i="18"/>
  <c r="R92" i="18"/>
  <c r="Q92" i="18"/>
  <c r="P92" i="18"/>
  <c r="O92" i="18"/>
  <c r="N92" i="18"/>
  <c r="M92" i="18"/>
  <c r="L92" i="18"/>
  <c r="K92" i="18"/>
  <c r="J92" i="18"/>
  <c r="I92" i="18"/>
  <c r="H92" i="18"/>
  <c r="G92" i="18"/>
  <c r="F92" i="18"/>
  <c r="E92" i="18"/>
  <c r="C92" i="18"/>
  <c r="B92" i="18"/>
  <c r="A92" i="18"/>
  <c r="T91" i="18"/>
  <c r="S91" i="18"/>
  <c r="R91" i="18"/>
  <c r="Q91" i="18"/>
  <c r="P91" i="18"/>
  <c r="O91" i="18"/>
  <c r="N91" i="18"/>
  <c r="M91" i="18"/>
  <c r="L91" i="18"/>
  <c r="K91" i="18"/>
  <c r="J91" i="18"/>
  <c r="I91" i="18"/>
  <c r="H91" i="18"/>
  <c r="G91" i="18"/>
  <c r="F91" i="18"/>
  <c r="E91" i="18"/>
  <c r="C91" i="18"/>
  <c r="B91" i="18"/>
  <c r="A91" i="18"/>
  <c r="T90" i="18"/>
  <c r="S90" i="18"/>
  <c r="R90" i="18"/>
  <c r="Q90" i="18"/>
  <c r="P90" i="18"/>
  <c r="O90" i="18"/>
  <c r="N90" i="18"/>
  <c r="M90" i="18"/>
  <c r="L90" i="18"/>
  <c r="K90" i="18"/>
  <c r="J90" i="18"/>
  <c r="I90" i="18"/>
  <c r="H90" i="18"/>
  <c r="G90" i="18"/>
  <c r="F90" i="18"/>
  <c r="E90" i="18"/>
  <c r="C90" i="18"/>
  <c r="B90" i="18"/>
  <c r="A90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C89" i="18"/>
  <c r="B89" i="18"/>
  <c r="A89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C88" i="18"/>
  <c r="B88" i="18"/>
  <c r="A88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C87" i="18"/>
  <c r="B87" i="18"/>
  <c r="A87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C86" i="18"/>
  <c r="B86" i="18"/>
  <c r="A86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C85" i="18"/>
  <c r="B85" i="18"/>
  <c r="A85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C84" i="18"/>
  <c r="B84" i="18"/>
  <c r="A84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C83" i="18"/>
  <c r="B83" i="18"/>
  <c r="A83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C82" i="18"/>
  <c r="B82" i="18"/>
  <c r="A82" i="18"/>
  <c r="T81" i="18"/>
  <c r="S81" i="18"/>
  <c r="R81" i="18"/>
  <c r="Q81" i="18"/>
  <c r="P81" i="18"/>
  <c r="O81" i="18"/>
  <c r="N81" i="18"/>
  <c r="M81" i="18"/>
  <c r="L81" i="18"/>
  <c r="K81" i="18"/>
  <c r="J81" i="18"/>
  <c r="I81" i="18"/>
  <c r="H81" i="18"/>
  <c r="G81" i="18"/>
  <c r="F81" i="18"/>
  <c r="E81" i="18"/>
  <c r="C81" i="18"/>
  <c r="B81" i="18"/>
  <c r="A81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C80" i="18"/>
  <c r="B80" i="18"/>
  <c r="A80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C79" i="18"/>
  <c r="B79" i="18"/>
  <c r="A79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C78" i="18"/>
  <c r="B78" i="18"/>
  <c r="A78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C77" i="18"/>
  <c r="B77" i="18"/>
  <c r="A77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C76" i="18"/>
  <c r="B76" i="18"/>
  <c r="A76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C75" i="18"/>
  <c r="B75" i="18"/>
  <c r="A75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C74" i="18"/>
  <c r="B74" i="18"/>
  <c r="A74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C73" i="18"/>
  <c r="B73" i="18"/>
  <c r="A73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C72" i="18"/>
  <c r="B72" i="18"/>
  <c r="A72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C71" i="18"/>
  <c r="B71" i="18"/>
  <c r="A71" i="18"/>
  <c r="T70" i="18"/>
  <c r="S70" i="18"/>
  <c r="R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C70" i="18"/>
  <c r="B70" i="18"/>
  <c r="A70" i="18"/>
  <c r="T69" i="18"/>
  <c r="S69" i="18"/>
  <c r="R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C69" i="18"/>
  <c r="B69" i="18"/>
  <c r="A69" i="18"/>
  <c r="T68" i="18"/>
  <c r="S68" i="18"/>
  <c r="R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C68" i="18"/>
  <c r="B68" i="18"/>
  <c r="A68" i="18"/>
  <c r="T67" i="18"/>
  <c r="S67" i="18"/>
  <c r="R67" i="18"/>
  <c r="Q67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C67" i="18"/>
  <c r="B67" i="18"/>
  <c r="A67" i="18"/>
  <c r="T66" i="18"/>
  <c r="S66" i="18"/>
  <c r="R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C66" i="18"/>
  <c r="B66" i="18"/>
  <c r="A66" i="18"/>
  <c r="T65" i="18"/>
  <c r="S65" i="18"/>
  <c r="R65" i="18"/>
  <c r="Q65" i="18"/>
  <c r="P65" i="18"/>
  <c r="O65" i="18"/>
  <c r="N65" i="18"/>
  <c r="M65" i="18"/>
  <c r="L65" i="18"/>
  <c r="K65" i="18"/>
  <c r="J65" i="18"/>
  <c r="I65" i="18"/>
  <c r="H65" i="18"/>
  <c r="G65" i="18"/>
  <c r="F65" i="18"/>
  <c r="E65" i="18"/>
  <c r="C65" i="18"/>
  <c r="B65" i="18"/>
  <c r="A65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C64" i="18"/>
  <c r="B64" i="18"/>
  <c r="A64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C63" i="18"/>
  <c r="B63" i="18"/>
  <c r="A63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C62" i="18"/>
  <c r="B62" i="18"/>
  <c r="A62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C61" i="18"/>
  <c r="B61" i="18"/>
  <c r="A61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C60" i="18"/>
  <c r="B60" i="18"/>
  <c r="A60" i="18"/>
  <c r="T59" i="18"/>
  <c r="S59" i="18"/>
  <c r="R59" i="18"/>
  <c r="Q59" i="18"/>
  <c r="P59" i="18"/>
  <c r="O59" i="18"/>
  <c r="N59" i="18"/>
  <c r="M59" i="18"/>
  <c r="L59" i="18"/>
  <c r="K59" i="18"/>
  <c r="J59" i="18"/>
  <c r="I59" i="18"/>
  <c r="H59" i="18"/>
  <c r="G59" i="18"/>
  <c r="F59" i="18"/>
  <c r="E59" i="18"/>
  <c r="C59" i="18"/>
  <c r="B59" i="18"/>
  <c r="A59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F58" i="18"/>
  <c r="E58" i="18"/>
  <c r="C58" i="18"/>
  <c r="B58" i="18"/>
  <c r="A58" i="18"/>
  <c r="T57" i="18"/>
  <c r="S57" i="18"/>
  <c r="R57" i="18"/>
  <c r="Q57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C57" i="18"/>
  <c r="B57" i="18"/>
  <c r="A57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C56" i="18"/>
  <c r="B56" i="18"/>
  <c r="A56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C55" i="18"/>
  <c r="B55" i="18"/>
  <c r="A55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C54" i="18"/>
  <c r="B54" i="18"/>
  <c r="A54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C53" i="18"/>
  <c r="B53" i="18"/>
  <c r="A53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C52" i="18"/>
  <c r="B52" i="18"/>
  <c r="A52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C51" i="18"/>
  <c r="B51" i="18"/>
  <c r="A51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C50" i="18"/>
  <c r="B50" i="18"/>
  <c r="A50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C49" i="18"/>
  <c r="B49" i="18"/>
  <c r="A49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C48" i="18"/>
  <c r="B48" i="18"/>
  <c r="A48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C47" i="18"/>
  <c r="B47" i="18"/>
  <c r="A47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C46" i="18"/>
  <c r="B46" i="18"/>
  <c r="A46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C45" i="18"/>
  <c r="B45" i="18"/>
  <c r="A45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C44" i="18"/>
  <c r="B44" i="18"/>
  <c r="A44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C43" i="18"/>
  <c r="B43" i="18"/>
  <c r="A43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C42" i="18"/>
  <c r="B42" i="18"/>
  <c r="A42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C41" i="18"/>
  <c r="B41" i="18"/>
  <c r="A41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C40" i="18"/>
  <c r="B40" i="18"/>
  <c r="A40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C39" i="18"/>
  <c r="B39" i="18"/>
  <c r="A39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C38" i="18"/>
  <c r="B38" i="18"/>
  <c r="A38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C37" i="18"/>
  <c r="B37" i="18"/>
  <c r="A37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C36" i="18"/>
  <c r="B36" i="18"/>
  <c r="A36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C35" i="18"/>
  <c r="B35" i="18"/>
  <c r="A35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C34" i="18"/>
  <c r="B34" i="18"/>
  <c r="A34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C33" i="18"/>
  <c r="B33" i="18"/>
  <c r="A33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C32" i="18"/>
  <c r="B32" i="18"/>
  <c r="A32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C31" i="18"/>
  <c r="B31" i="18"/>
  <c r="A31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C30" i="18"/>
  <c r="B30" i="18"/>
  <c r="A30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C29" i="18"/>
  <c r="B29" i="18"/>
  <c r="A29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C28" i="18"/>
  <c r="B28" i="18"/>
  <c r="A28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C27" i="18"/>
  <c r="B27" i="18"/>
  <c r="A27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C26" i="18"/>
  <c r="B26" i="18"/>
  <c r="A26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C25" i="18"/>
  <c r="B25" i="18"/>
  <c r="A25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C24" i="18"/>
  <c r="B24" i="18"/>
  <c r="A24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C23" i="18"/>
  <c r="B23" i="18"/>
  <c r="A23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C22" i="18"/>
  <c r="B22" i="18"/>
  <c r="A22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C21" i="18"/>
  <c r="B21" i="18"/>
  <c r="A21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C20" i="18"/>
  <c r="B20" i="18"/>
  <c r="A20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C19" i="18"/>
  <c r="B19" i="18"/>
  <c r="A19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C18" i="18"/>
  <c r="B18" i="18"/>
  <c r="A18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C17" i="18"/>
  <c r="B17" i="18"/>
  <c r="A17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C16" i="18"/>
  <c r="B16" i="18"/>
  <c r="A16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C15" i="18"/>
  <c r="B15" i="18"/>
  <c r="A15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C14" i="18"/>
  <c r="B14" i="18"/>
  <c r="A14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C13" i="18"/>
  <c r="B13" i="18"/>
  <c r="A13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C12" i="18"/>
  <c r="B12" i="18"/>
  <c r="A12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C11" i="18"/>
  <c r="B11" i="18"/>
  <c r="A11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C10" i="18"/>
  <c r="B10" i="18"/>
  <c r="A10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C9" i="18"/>
  <c r="B9" i="18"/>
  <c r="A9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C8" i="18"/>
  <c r="B8" i="18"/>
  <c r="A8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C7" i="18"/>
  <c r="B7" i="18"/>
  <c r="A7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C6" i="18"/>
  <c r="B6" i="18"/>
  <c r="A6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C5" i="18"/>
  <c r="B5" i="18"/>
  <c r="A5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C4" i="18"/>
  <c r="B4" i="18"/>
  <c r="A4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C3" i="18"/>
  <c r="B3" i="18"/>
  <c r="A3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C2" i="18"/>
  <c r="B2" i="18"/>
  <c r="J45" i="1" s="1"/>
  <c r="A2" i="18"/>
  <c r="R103" i="17"/>
  <c r="R1001" i="18" s="1"/>
  <c r="D103" i="17"/>
  <c r="D1001" i="18" s="1"/>
  <c r="R102" i="17"/>
  <c r="R1000" i="18" s="1"/>
  <c r="D102" i="17"/>
  <c r="D1000" i="18" s="1"/>
  <c r="R101" i="17"/>
  <c r="R999" i="18" s="1"/>
  <c r="D101" i="17"/>
  <c r="D999" i="18" s="1"/>
  <c r="R100" i="17"/>
  <c r="R998" i="18" s="1"/>
  <c r="D100" i="17"/>
  <c r="D998" i="18" s="1"/>
  <c r="R99" i="17"/>
  <c r="R997" i="18" s="1"/>
  <c r="D99" i="17"/>
  <c r="D997" i="18" s="1"/>
  <c r="R98" i="17"/>
  <c r="R996" i="18" s="1"/>
  <c r="D98" i="17"/>
  <c r="D996" i="18" s="1"/>
  <c r="R97" i="17"/>
  <c r="R995" i="18" s="1"/>
  <c r="D97" i="17"/>
  <c r="D995" i="18" s="1"/>
  <c r="R96" i="17"/>
  <c r="R994" i="18" s="1"/>
  <c r="D96" i="17"/>
  <c r="D994" i="18" s="1"/>
  <c r="R95" i="17"/>
  <c r="R993" i="18" s="1"/>
  <c r="D95" i="17"/>
  <c r="D993" i="18" s="1"/>
  <c r="R94" i="17"/>
  <c r="R992" i="18" s="1"/>
  <c r="D94" i="17"/>
  <c r="D992" i="18" s="1"/>
  <c r="R93" i="17"/>
  <c r="R991" i="18" s="1"/>
  <c r="D93" i="17"/>
  <c r="D991" i="18" s="1"/>
  <c r="R92" i="17"/>
  <c r="R990" i="18" s="1"/>
  <c r="D92" i="17"/>
  <c r="D990" i="18" s="1"/>
  <c r="R91" i="17"/>
  <c r="R989" i="18" s="1"/>
  <c r="D91" i="17"/>
  <c r="D989" i="18" s="1"/>
  <c r="R90" i="17"/>
  <c r="R988" i="18" s="1"/>
  <c r="D90" i="17"/>
  <c r="D988" i="18" s="1"/>
  <c r="R89" i="17"/>
  <c r="R987" i="18" s="1"/>
  <c r="D89" i="17"/>
  <c r="D987" i="18" s="1"/>
  <c r="R88" i="17"/>
  <c r="R986" i="18" s="1"/>
  <c r="D88" i="17"/>
  <c r="D986" i="18" s="1"/>
  <c r="R87" i="17"/>
  <c r="R985" i="18" s="1"/>
  <c r="D87" i="17"/>
  <c r="D985" i="18" s="1"/>
  <c r="R86" i="17"/>
  <c r="R984" i="18" s="1"/>
  <c r="D86" i="17"/>
  <c r="D984" i="18" s="1"/>
  <c r="R85" i="17"/>
  <c r="R983" i="18" s="1"/>
  <c r="D85" i="17"/>
  <c r="D983" i="18" s="1"/>
  <c r="R84" i="17"/>
  <c r="R982" i="18" s="1"/>
  <c r="D84" i="17"/>
  <c r="D982" i="18" s="1"/>
  <c r="R83" i="17"/>
  <c r="R981" i="18" s="1"/>
  <c r="D83" i="17"/>
  <c r="D981" i="18" s="1"/>
  <c r="R82" i="17"/>
  <c r="R980" i="18" s="1"/>
  <c r="D82" i="17"/>
  <c r="D980" i="18" s="1"/>
  <c r="R81" i="17"/>
  <c r="R979" i="18" s="1"/>
  <c r="D81" i="17"/>
  <c r="D979" i="18" s="1"/>
  <c r="R80" i="17"/>
  <c r="R978" i="18" s="1"/>
  <c r="D80" i="17"/>
  <c r="D978" i="18" s="1"/>
  <c r="R79" i="17"/>
  <c r="R977" i="18" s="1"/>
  <c r="D79" i="17"/>
  <c r="D977" i="18" s="1"/>
  <c r="R78" i="17"/>
  <c r="R976" i="18" s="1"/>
  <c r="D78" i="17"/>
  <c r="D976" i="18" s="1"/>
  <c r="R77" i="17"/>
  <c r="R975" i="18" s="1"/>
  <c r="D77" i="17"/>
  <c r="D975" i="18" s="1"/>
  <c r="R76" i="17"/>
  <c r="R974" i="18" s="1"/>
  <c r="D76" i="17"/>
  <c r="D974" i="18" s="1"/>
  <c r="R75" i="17"/>
  <c r="R973" i="18" s="1"/>
  <c r="D75" i="17"/>
  <c r="D973" i="18" s="1"/>
  <c r="R74" i="17"/>
  <c r="R972" i="18" s="1"/>
  <c r="D74" i="17"/>
  <c r="D972" i="18" s="1"/>
  <c r="R73" i="17"/>
  <c r="R971" i="18" s="1"/>
  <c r="D73" i="17"/>
  <c r="D971" i="18" s="1"/>
  <c r="R72" i="17"/>
  <c r="R970" i="18" s="1"/>
  <c r="D72" i="17"/>
  <c r="D970" i="18" s="1"/>
  <c r="R71" i="17"/>
  <c r="R969" i="18" s="1"/>
  <c r="D71" i="17"/>
  <c r="D969" i="18" s="1"/>
  <c r="R70" i="17"/>
  <c r="R968" i="18" s="1"/>
  <c r="D70" i="17"/>
  <c r="D968" i="18" s="1"/>
  <c r="R69" i="17"/>
  <c r="R967" i="18" s="1"/>
  <c r="D69" i="17"/>
  <c r="D967" i="18" s="1"/>
  <c r="R68" i="17"/>
  <c r="R966" i="18" s="1"/>
  <c r="D68" i="17"/>
  <c r="D966" i="18" s="1"/>
  <c r="R67" i="17"/>
  <c r="R965" i="18" s="1"/>
  <c r="D67" i="17"/>
  <c r="D965" i="18" s="1"/>
  <c r="R66" i="17"/>
  <c r="R964" i="18" s="1"/>
  <c r="D66" i="17"/>
  <c r="D964" i="18" s="1"/>
  <c r="R65" i="17"/>
  <c r="R963" i="18" s="1"/>
  <c r="D65" i="17"/>
  <c r="D963" i="18" s="1"/>
  <c r="R64" i="17"/>
  <c r="R962" i="18" s="1"/>
  <c r="D64" i="17"/>
  <c r="D962" i="18" s="1"/>
  <c r="R63" i="17"/>
  <c r="R961" i="18" s="1"/>
  <c r="D63" i="17"/>
  <c r="D961" i="18" s="1"/>
  <c r="R62" i="17"/>
  <c r="R960" i="18" s="1"/>
  <c r="D62" i="17"/>
  <c r="D960" i="18" s="1"/>
  <c r="R61" i="17"/>
  <c r="R959" i="18" s="1"/>
  <c r="D61" i="17"/>
  <c r="D959" i="18" s="1"/>
  <c r="R60" i="17"/>
  <c r="R958" i="18" s="1"/>
  <c r="D60" i="17"/>
  <c r="D958" i="18" s="1"/>
  <c r="R59" i="17"/>
  <c r="R957" i="18" s="1"/>
  <c r="D59" i="17"/>
  <c r="D957" i="18" s="1"/>
  <c r="R58" i="17"/>
  <c r="R956" i="18" s="1"/>
  <c r="D58" i="17"/>
  <c r="D956" i="18" s="1"/>
  <c r="R57" i="17"/>
  <c r="R955" i="18" s="1"/>
  <c r="D57" i="17"/>
  <c r="D955" i="18" s="1"/>
  <c r="R56" i="17"/>
  <c r="R954" i="18" s="1"/>
  <c r="D56" i="17"/>
  <c r="D954" i="18" s="1"/>
  <c r="R55" i="17"/>
  <c r="R953" i="18" s="1"/>
  <c r="D55" i="17"/>
  <c r="D953" i="18" s="1"/>
  <c r="R54" i="17"/>
  <c r="R952" i="18" s="1"/>
  <c r="D54" i="17"/>
  <c r="D952" i="18" s="1"/>
  <c r="R53" i="17"/>
  <c r="R951" i="18" s="1"/>
  <c r="D53" i="17"/>
  <c r="D951" i="18" s="1"/>
  <c r="R52" i="17"/>
  <c r="R950" i="18" s="1"/>
  <c r="D52" i="17"/>
  <c r="D950" i="18" s="1"/>
  <c r="R51" i="17"/>
  <c r="R949" i="18" s="1"/>
  <c r="D51" i="17"/>
  <c r="D949" i="18" s="1"/>
  <c r="R50" i="17"/>
  <c r="R948" i="18" s="1"/>
  <c r="D50" i="17"/>
  <c r="D948" i="18" s="1"/>
  <c r="R49" i="17"/>
  <c r="R947" i="18" s="1"/>
  <c r="D49" i="17"/>
  <c r="D947" i="18" s="1"/>
  <c r="R48" i="17"/>
  <c r="R946" i="18" s="1"/>
  <c r="D48" i="17"/>
  <c r="D946" i="18" s="1"/>
  <c r="R47" i="17"/>
  <c r="R945" i="18" s="1"/>
  <c r="D47" i="17"/>
  <c r="D945" i="18" s="1"/>
  <c r="R46" i="17"/>
  <c r="R944" i="18" s="1"/>
  <c r="D46" i="17"/>
  <c r="D944" i="18" s="1"/>
  <c r="R45" i="17"/>
  <c r="R943" i="18" s="1"/>
  <c r="D45" i="17"/>
  <c r="D943" i="18" s="1"/>
  <c r="R44" i="17"/>
  <c r="R942" i="18" s="1"/>
  <c r="D44" i="17"/>
  <c r="D942" i="18" s="1"/>
  <c r="R43" i="17"/>
  <c r="R941" i="18" s="1"/>
  <c r="D43" i="17"/>
  <c r="D941" i="18" s="1"/>
  <c r="R42" i="17"/>
  <c r="R940" i="18" s="1"/>
  <c r="D42" i="17"/>
  <c r="D940" i="18" s="1"/>
  <c r="R41" i="17"/>
  <c r="R939" i="18" s="1"/>
  <c r="D41" i="17"/>
  <c r="D939" i="18" s="1"/>
  <c r="R40" i="17"/>
  <c r="R938" i="18" s="1"/>
  <c r="D40" i="17"/>
  <c r="D938" i="18" s="1"/>
  <c r="R39" i="17"/>
  <c r="R937" i="18" s="1"/>
  <c r="D39" i="17"/>
  <c r="D937" i="18" s="1"/>
  <c r="R38" i="17"/>
  <c r="R936" i="18" s="1"/>
  <c r="D38" i="17"/>
  <c r="D936" i="18" s="1"/>
  <c r="R37" i="17"/>
  <c r="R935" i="18" s="1"/>
  <c r="D37" i="17"/>
  <c r="D935" i="18" s="1"/>
  <c r="R36" i="17"/>
  <c r="R934" i="18" s="1"/>
  <c r="D36" i="17"/>
  <c r="D934" i="18" s="1"/>
  <c r="R35" i="17"/>
  <c r="R933" i="18" s="1"/>
  <c r="D35" i="17"/>
  <c r="D933" i="18" s="1"/>
  <c r="R34" i="17"/>
  <c r="R932" i="18" s="1"/>
  <c r="D34" i="17"/>
  <c r="D932" i="18" s="1"/>
  <c r="R33" i="17"/>
  <c r="R931" i="18" s="1"/>
  <c r="D33" i="17"/>
  <c r="D931" i="18" s="1"/>
  <c r="R32" i="17"/>
  <c r="R930" i="18" s="1"/>
  <c r="D32" i="17"/>
  <c r="D930" i="18" s="1"/>
  <c r="R31" i="17"/>
  <c r="R929" i="18" s="1"/>
  <c r="D31" i="17"/>
  <c r="D929" i="18" s="1"/>
  <c r="R30" i="17"/>
  <c r="R928" i="18" s="1"/>
  <c r="D30" i="17"/>
  <c r="D928" i="18" s="1"/>
  <c r="R29" i="17"/>
  <c r="R927" i="18" s="1"/>
  <c r="D29" i="17"/>
  <c r="D927" i="18" s="1"/>
  <c r="R28" i="17"/>
  <c r="R926" i="18" s="1"/>
  <c r="D28" i="17"/>
  <c r="D926" i="18" s="1"/>
  <c r="R27" i="17"/>
  <c r="R925" i="18" s="1"/>
  <c r="D27" i="17"/>
  <c r="D925" i="18" s="1"/>
  <c r="R26" i="17"/>
  <c r="R924" i="18" s="1"/>
  <c r="D26" i="17"/>
  <c r="D924" i="18" s="1"/>
  <c r="R25" i="17"/>
  <c r="R923" i="18" s="1"/>
  <c r="D25" i="17"/>
  <c r="D923" i="18" s="1"/>
  <c r="R24" i="17"/>
  <c r="R922" i="18" s="1"/>
  <c r="D24" i="17"/>
  <c r="D922" i="18" s="1"/>
  <c r="R23" i="17"/>
  <c r="R921" i="18" s="1"/>
  <c r="D23" i="17"/>
  <c r="D921" i="18" s="1"/>
  <c r="R22" i="17"/>
  <c r="R920" i="18" s="1"/>
  <c r="D22" i="17"/>
  <c r="D920" i="18" s="1"/>
  <c r="R21" i="17"/>
  <c r="R919" i="18" s="1"/>
  <c r="D21" i="17"/>
  <c r="D919" i="18" s="1"/>
  <c r="R20" i="17"/>
  <c r="R918" i="18" s="1"/>
  <c r="D20" i="17"/>
  <c r="D918" i="18" s="1"/>
  <c r="R19" i="17"/>
  <c r="R917" i="18" s="1"/>
  <c r="D19" i="17"/>
  <c r="D917" i="18" s="1"/>
  <c r="R18" i="17"/>
  <c r="R916" i="18" s="1"/>
  <c r="D18" i="17"/>
  <c r="D916" i="18" s="1"/>
  <c r="R17" i="17"/>
  <c r="R915" i="18" s="1"/>
  <c r="D17" i="17"/>
  <c r="D915" i="18" s="1"/>
  <c r="R16" i="17"/>
  <c r="R914" i="18" s="1"/>
  <c r="D16" i="17"/>
  <c r="D914" i="18" s="1"/>
  <c r="R15" i="17"/>
  <c r="R913" i="18" s="1"/>
  <c r="D15" i="17"/>
  <c r="D913" i="18" s="1"/>
  <c r="R14" i="17"/>
  <c r="R912" i="18" s="1"/>
  <c r="D14" i="17"/>
  <c r="D912" i="18" s="1"/>
  <c r="R13" i="17"/>
  <c r="R911" i="18" s="1"/>
  <c r="D13" i="17"/>
  <c r="D911" i="18" s="1"/>
  <c r="R12" i="17"/>
  <c r="R910" i="18" s="1"/>
  <c r="D12" i="17"/>
  <c r="D910" i="18" s="1"/>
  <c r="R11" i="17"/>
  <c r="R909" i="18" s="1"/>
  <c r="D11" i="17"/>
  <c r="D909" i="18" s="1"/>
  <c r="R10" i="17"/>
  <c r="R908" i="18" s="1"/>
  <c r="D10" i="17"/>
  <c r="D908" i="18" s="1"/>
  <c r="R9" i="17"/>
  <c r="R907" i="18" s="1"/>
  <c r="D9" i="17"/>
  <c r="D907" i="18" s="1"/>
  <c r="R8" i="17"/>
  <c r="R906" i="18" s="1"/>
  <c r="D8" i="17"/>
  <c r="D906" i="18" s="1"/>
  <c r="R7" i="17"/>
  <c r="R905" i="18" s="1"/>
  <c r="D7" i="17"/>
  <c r="D905" i="18" s="1"/>
  <c r="R6" i="17"/>
  <c r="R904" i="18" s="1"/>
  <c r="D6" i="17"/>
  <c r="D904" i="18" s="1"/>
  <c r="R5" i="17"/>
  <c r="R903" i="18" s="1"/>
  <c r="D5" i="17"/>
  <c r="D903" i="18" s="1"/>
  <c r="R4" i="17"/>
  <c r="R902" i="18" s="1"/>
  <c r="D4" i="17"/>
  <c r="D902" i="18" s="1"/>
  <c r="D103" i="16"/>
  <c r="D901" i="18" s="1"/>
  <c r="D102" i="16"/>
  <c r="D900" i="18" s="1"/>
  <c r="D101" i="16"/>
  <c r="D899" i="18" s="1"/>
  <c r="D100" i="16"/>
  <c r="D898" i="18" s="1"/>
  <c r="D99" i="16"/>
  <c r="D897" i="18" s="1"/>
  <c r="D98" i="16"/>
  <c r="D896" i="18" s="1"/>
  <c r="D97" i="16"/>
  <c r="D895" i="18" s="1"/>
  <c r="D96" i="16"/>
  <c r="D894" i="18" s="1"/>
  <c r="D95" i="16"/>
  <c r="D893" i="18" s="1"/>
  <c r="D94" i="16"/>
  <c r="D892" i="18" s="1"/>
  <c r="D93" i="16"/>
  <c r="D891" i="18" s="1"/>
  <c r="D92" i="16"/>
  <c r="D890" i="18" s="1"/>
  <c r="D91" i="16"/>
  <c r="D889" i="18" s="1"/>
  <c r="D90" i="16"/>
  <c r="D888" i="18" s="1"/>
  <c r="D89" i="16"/>
  <c r="D887" i="18" s="1"/>
  <c r="D88" i="16"/>
  <c r="D886" i="18" s="1"/>
  <c r="D87" i="16"/>
  <c r="D885" i="18" s="1"/>
  <c r="D86" i="16"/>
  <c r="D884" i="18" s="1"/>
  <c r="D85" i="16"/>
  <c r="D883" i="18" s="1"/>
  <c r="D84" i="16"/>
  <c r="D882" i="18" s="1"/>
  <c r="D83" i="16"/>
  <c r="D881" i="18" s="1"/>
  <c r="D82" i="16"/>
  <c r="D880" i="18" s="1"/>
  <c r="D81" i="16"/>
  <c r="D879" i="18" s="1"/>
  <c r="D80" i="16"/>
  <c r="D878" i="18" s="1"/>
  <c r="D79" i="16"/>
  <c r="D877" i="18" s="1"/>
  <c r="D78" i="16"/>
  <c r="D876" i="18" s="1"/>
  <c r="D77" i="16"/>
  <c r="D875" i="18" s="1"/>
  <c r="D76" i="16"/>
  <c r="D874" i="18" s="1"/>
  <c r="D75" i="16"/>
  <c r="D873" i="18" s="1"/>
  <c r="D74" i="16"/>
  <c r="D872" i="18" s="1"/>
  <c r="D73" i="16"/>
  <c r="D871" i="18" s="1"/>
  <c r="D72" i="16"/>
  <c r="D870" i="18" s="1"/>
  <c r="D71" i="16"/>
  <c r="D869" i="18" s="1"/>
  <c r="D70" i="16"/>
  <c r="D868" i="18" s="1"/>
  <c r="D69" i="16"/>
  <c r="D867" i="18" s="1"/>
  <c r="D68" i="16"/>
  <c r="D866" i="18" s="1"/>
  <c r="D67" i="16"/>
  <c r="D865" i="18" s="1"/>
  <c r="D66" i="16"/>
  <c r="D864" i="18" s="1"/>
  <c r="D65" i="16"/>
  <c r="D863" i="18" s="1"/>
  <c r="D64" i="16"/>
  <c r="D862" i="18" s="1"/>
  <c r="D63" i="16"/>
  <c r="D861" i="18" s="1"/>
  <c r="D62" i="16"/>
  <c r="D860" i="18" s="1"/>
  <c r="D61" i="16"/>
  <c r="D859" i="18" s="1"/>
  <c r="D60" i="16"/>
  <c r="D858" i="18" s="1"/>
  <c r="D59" i="16"/>
  <c r="D857" i="18" s="1"/>
  <c r="D58" i="16"/>
  <c r="D856" i="18" s="1"/>
  <c r="D57" i="16"/>
  <c r="D855" i="18" s="1"/>
  <c r="D56" i="16"/>
  <c r="D854" i="18" s="1"/>
  <c r="D55" i="16"/>
  <c r="D853" i="18" s="1"/>
  <c r="D54" i="16"/>
  <c r="D852" i="18" s="1"/>
  <c r="D53" i="16"/>
  <c r="D851" i="18" s="1"/>
  <c r="D52" i="16"/>
  <c r="D850" i="18" s="1"/>
  <c r="D51" i="16"/>
  <c r="D849" i="18" s="1"/>
  <c r="D50" i="16"/>
  <c r="D848" i="18" s="1"/>
  <c r="D49" i="16"/>
  <c r="D847" i="18" s="1"/>
  <c r="D48" i="16"/>
  <c r="D846" i="18" s="1"/>
  <c r="D47" i="16"/>
  <c r="D845" i="18" s="1"/>
  <c r="D46" i="16"/>
  <c r="D844" i="18" s="1"/>
  <c r="D45" i="16"/>
  <c r="D843" i="18" s="1"/>
  <c r="D44" i="16"/>
  <c r="D842" i="18" s="1"/>
  <c r="D43" i="16"/>
  <c r="D841" i="18" s="1"/>
  <c r="D42" i="16"/>
  <c r="D840" i="18" s="1"/>
  <c r="D41" i="16"/>
  <c r="D839" i="18" s="1"/>
  <c r="D40" i="16"/>
  <c r="D838" i="18" s="1"/>
  <c r="D39" i="16"/>
  <c r="D837" i="18" s="1"/>
  <c r="D38" i="16"/>
  <c r="D836" i="18" s="1"/>
  <c r="D37" i="16"/>
  <c r="D835" i="18" s="1"/>
  <c r="D36" i="16"/>
  <c r="D834" i="18" s="1"/>
  <c r="D35" i="16"/>
  <c r="D833" i="18" s="1"/>
  <c r="D34" i="16"/>
  <c r="D832" i="18" s="1"/>
  <c r="D33" i="16"/>
  <c r="D831" i="18" s="1"/>
  <c r="D32" i="16"/>
  <c r="D830" i="18" s="1"/>
  <c r="D31" i="16"/>
  <c r="D829" i="18" s="1"/>
  <c r="D30" i="16"/>
  <c r="D828" i="18" s="1"/>
  <c r="D29" i="16"/>
  <c r="D827" i="18" s="1"/>
  <c r="D28" i="16"/>
  <c r="D826" i="18" s="1"/>
  <c r="D27" i="16"/>
  <c r="D825" i="18" s="1"/>
  <c r="D26" i="16"/>
  <c r="D824" i="18" s="1"/>
  <c r="D25" i="16"/>
  <c r="D823" i="18" s="1"/>
  <c r="D24" i="16"/>
  <c r="D822" i="18" s="1"/>
  <c r="D23" i="16"/>
  <c r="D821" i="18" s="1"/>
  <c r="D22" i="16"/>
  <c r="D820" i="18" s="1"/>
  <c r="D21" i="16"/>
  <c r="D819" i="18" s="1"/>
  <c r="D20" i="16"/>
  <c r="D818" i="18" s="1"/>
  <c r="D19" i="16"/>
  <c r="D817" i="18" s="1"/>
  <c r="D18" i="16"/>
  <c r="D816" i="18" s="1"/>
  <c r="D17" i="16"/>
  <c r="D815" i="18" s="1"/>
  <c r="D16" i="16"/>
  <c r="D814" i="18" s="1"/>
  <c r="D15" i="16"/>
  <c r="D813" i="18" s="1"/>
  <c r="D14" i="16"/>
  <c r="D812" i="18" s="1"/>
  <c r="D13" i="16"/>
  <c r="D811" i="18" s="1"/>
  <c r="D12" i="16"/>
  <c r="D810" i="18" s="1"/>
  <c r="D11" i="16"/>
  <c r="D809" i="18" s="1"/>
  <c r="D10" i="16"/>
  <c r="D808" i="18" s="1"/>
  <c r="D9" i="16"/>
  <c r="D807" i="18" s="1"/>
  <c r="D8" i="16"/>
  <c r="D806" i="18" s="1"/>
  <c r="D7" i="16"/>
  <c r="D805" i="18" s="1"/>
  <c r="D6" i="16"/>
  <c r="D804" i="18" s="1"/>
  <c r="D5" i="16"/>
  <c r="D803" i="18" s="1"/>
  <c r="D4" i="16"/>
  <c r="D802" i="18" s="1"/>
  <c r="D103" i="15"/>
  <c r="D801" i="18" s="1"/>
  <c r="D102" i="15"/>
  <c r="D800" i="18" s="1"/>
  <c r="D101" i="15"/>
  <c r="D799" i="18" s="1"/>
  <c r="D100" i="15"/>
  <c r="D798" i="18" s="1"/>
  <c r="D99" i="15"/>
  <c r="D797" i="18" s="1"/>
  <c r="D98" i="15"/>
  <c r="D796" i="18" s="1"/>
  <c r="D97" i="15"/>
  <c r="D795" i="18" s="1"/>
  <c r="D96" i="15"/>
  <c r="D794" i="18" s="1"/>
  <c r="D95" i="15"/>
  <c r="D793" i="18" s="1"/>
  <c r="D94" i="15"/>
  <c r="D792" i="18" s="1"/>
  <c r="D93" i="15"/>
  <c r="D791" i="18" s="1"/>
  <c r="D92" i="15"/>
  <c r="D790" i="18" s="1"/>
  <c r="D91" i="15"/>
  <c r="D789" i="18" s="1"/>
  <c r="D90" i="15"/>
  <c r="D788" i="18" s="1"/>
  <c r="D89" i="15"/>
  <c r="D787" i="18" s="1"/>
  <c r="D88" i="15"/>
  <c r="D786" i="18" s="1"/>
  <c r="D87" i="15"/>
  <c r="D785" i="18" s="1"/>
  <c r="D86" i="15"/>
  <c r="D784" i="18" s="1"/>
  <c r="D85" i="15"/>
  <c r="D783" i="18" s="1"/>
  <c r="D84" i="15"/>
  <c r="D782" i="18" s="1"/>
  <c r="D83" i="15"/>
  <c r="D781" i="18" s="1"/>
  <c r="D82" i="15"/>
  <c r="D780" i="18" s="1"/>
  <c r="D81" i="15"/>
  <c r="D779" i="18" s="1"/>
  <c r="D80" i="15"/>
  <c r="D778" i="18" s="1"/>
  <c r="D79" i="15"/>
  <c r="D777" i="18" s="1"/>
  <c r="D78" i="15"/>
  <c r="D776" i="18" s="1"/>
  <c r="D77" i="15"/>
  <c r="D775" i="18" s="1"/>
  <c r="D76" i="15"/>
  <c r="D774" i="18" s="1"/>
  <c r="D75" i="15"/>
  <c r="D773" i="18" s="1"/>
  <c r="D74" i="15"/>
  <c r="D772" i="18" s="1"/>
  <c r="D73" i="15"/>
  <c r="D771" i="18" s="1"/>
  <c r="D72" i="15"/>
  <c r="D770" i="18" s="1"/>
  <c r="D71" i="15"/>
  <c r="D769" i="18" s="1"/>
  <c r="D70" i="15"/>
  <c r="D768" i="18" s="1"/>
  <c r="D69" i="15"/>
  <c r="D767" i="18" s="1"/>
  <c r="D68" i="15"/>
  <c r="D766" i="18" s="1"/>
  <c r="D67" i="15"/>
  <c r="D765" i="18" s="1"/>
  <c r="D66" i="15"/>
  <c r="D764" i="18" s="1"/>
  <c r="D65" i="15"/>
  <c r="D763" i="18" s="1"/>
  <c r="D64" i="15"/>
  <c r="D762" i="18" s="1"/>
  <c r="D63" i="15"/>
  <c r="D761" i="18" s="1"/>
  <c r="D62" i="15"/>
  <c r="D760" i="18" s="1"/>
  <c r="D61" i="15"/>
  <c r="D759" i="18" s="1"/>
  <c r="D60" i="15"/>
  <c r="D758" i="18" s="1"/>
  <c r="D59" i="15"/>
  <c r="D757" i="18" s="1"/>
  <c r="D58" i="15"/>
  <c r="D756" i="18" s="1"/>
  <c r="D57" i="15"/>
  <c r="D755" i="18" s="1"/>
  <c r="D56" i="15"/>
  <c r="D754" i="18" s="1"/>
  <c r="D55" i="15"/>
  <c r="D753" i="18" s="1"/>
  <c r="D54" i="15"/>
  <c r="D752" i="18" s="1"/>
  <c r="D53" i="15"/>
  <c r="D751" i="18" s="1"/>
  <c r="D52" i="15"/>
  <c r="D750" i="18" s="1"/>
  <c r="D51" i="15"/>
  <c r="D749" i="18" s="1"/>
  <c r="D50" i="15"/>
  <c r="D748" i="18" s="1"/>
  <c r="D49" i="15"/>
  <c r="D747" i="18" s="1"/>
  <c r="D48" i="15"/>
  <c r="D746" i="18" s="1"/>
  <c r="D47" i="15"/>
  <c r="D745" i="18" s="1"/>
  <c r="D46" i="15"/>
  <c r="D744" i="18" s="1"/>
  <c r="D45" i="15"/>
  <c r="D743" i="18" s="1"/>
  <c r="D44" i="15"/>
  <c r="D742" i="18" s="1"/>
  <c r="D43" i="15"/>
  <c r="D741" i="18" s="1"/>
  <c r="D42" i="15"/>
  <c r="D740" i="18" s="1"/>
  <c r="D41" i="15"/>
  <c r="D739" i="18" s="1"/>
  <c r="D40" i="15"/>
  <c r="D738" i="18" s="1"/>
  <c r="D39" i="15"/>
  <c r="D737" i="18" s="1"/>
  <c r="D38" i="15"/>
  <c r="D736" i="18" s="1"/>
  <c r="D37" i="15"/>
  <c r="D735" i="18" s="1"/>
  <c r="D36" i="15"/>
  <c r="D734" i="18" s="1"/>
  <c r="D35" i="15"/>
  <c r="D733" i="18" s="1"/>
  <c r="D34" i="15"/>
  <c r="D732" i="18" s="1"/>
  <c r="D33" i="15"/>
  <c r="D731" i="18" s="1"/>
  <c r="D32" i="15"/>
  <c r="D730" i="18" s="1"/>
  <c r="D31" i="15"/>
  <c r="D729" i="18" s="1"/>
  <c r="D30" i="15"/>
  <c r="D728" i="18" s="1"/>
  <c r="D29" i="15"/>
  <c r="D727" i="18" s="1"/>
  <c r="D28" i="15"/>
  <c r="D726" i="18" s="1"/>
  <c r="D27" i="15"/>
  <c r="D725" i="18" s="1"/>
  <c r="D26" i="15"/>
  <c r="D724" i="18" s="1"/>
  <c r="D25" i="15"/>
  <c r="D723" i="18" s="1"/>
  <c r="D24" i="15"/>
  <c r="D722" i="18" s="1"/>
  <c r="D23" i="15"/>
  <c r="D721" i="18" s="1"/>
  <c r="D22" i="15"/>
  <c r="D720" i="18" s="1"/>
  <c r="D21" i="15"/>
  <c r="D719" i="18" s="1"/>
  <c r="D20" i="15"/>
  <c r="D718" i="18" s="1"/>
  <c r="D19" i="15"/>
  <c r="D717" i="18" s="1"/>
  <c r="D18" i="15"/>
  <c r="D716" i="18" s="1"/>
  <c r="D17" i="15"/>
  <c r="D715" i="18" s="1"/>
  <c r="D16" i="15"/>
  <c r="D714" i="18" s="1"/>
  <c r="D15" i="15"/>
  <c r="D713" i="18" s="1"/>
  <c r="D14" i="15"/>
  <c r="D712" i="18" s="1"/>
  <c r="D13" i="15"/>
  <c r="D711" i="18" s="1"/>
  <c r="D12" i="15"/>
  <c r="D710" i="18" s="1"/>
  <c r="D11" i="15"/>
  <c r="D709" i="18" s="1"/>
  <c r="D10" i="15"/>
  <c r="D708" i="18" s="1"/>
  <c r="D9" i="15"/>
  <c r="D707" i="18" s="1"/>
  <c r="D8" i="15"/>
  <c r="D706" i="18" s="1"/>
  <c r="D7" i="15"/>
  <c r="D705" i="18" s="1"/>
  <c r="D6" i="15"/>
  <c r="D704" i="18" s="1"/>
  <c r="D5" i="15"/>
  <c r="D703" i="18" s="1"/>
  <c r="D4" i="15"/>
  <c r="D702" i="18" s="1"/>
  <c r="D103" i="14"/>
  <c r="D701" i="18" s="1"/>
  <c r="D102" i="14"/>
  <c r="D700" i="18" s="1"/>
  <c r="D101" i="14"/>
  <c r="D699" i="18" s="1"/>
  <c r="D100" i="14"/>
  <c r="D698" i="18" s="1"/>
  <c r="D99" i="14"/>
  <c r="D697" i="18" s="1"/>
  <c r="D98" i="14"/>
  <c r="D696" i="18" s="1"/>
  <c r="D97" i="14"/>
  <c r="D695" i="18" s="1"/>
  <c r="D96" i="14"/>
  <c r="D694" i="18" s="1"/>
  <c r="D95" i="14"/>
  <c r="D693" i="18" s="1"/>
  <c r="D94" i="14"/>
  <c r="D692" i="18" s="1"/>
  <c r="D93" i="14"/>
  <c r="D691" i="18" s="1"/>
  <c r="D92" i="14"/>
  <c r="D690" i="18" s="1"/>
  <c r="D91" i="14"/>
  <c r="D689" i="18" s="1"/>
  <c r="D90" i="14"/>
  <c r="D688" i="18" s="1"/>
  <c r="D89" i="14"/>
  <c r="D687" i="18" s="1"/>
  <c r="D88" i="14"/>
  <c r="D686" i="18" s="1"/>
  <c r="D87" i="14"/>
  <c r="D685" i="18" s="1"/>
  <c r="D86" i="14"/>
  <c r="D684" i="18" s="1"/>
  <c r="D85" i="14"/>
  <c r="D683" i="18" s="1"/>
  <c r="D84" i="14"/>
  <c r="D682" i="18" s="1"/>
  <c r="D83" i="14"/>
  <c r="D681" i="18" s="1"/>
  <c r="D82" i="14"/>
  <c r="D680" i="18" s="1"/>
  <c r="D81" i="14"/>
  <c r="D679" i="18" s="1"/>
  <c r="D80" i="14"/>
  <c r="D678" i="18" s="1"/>
  <c r="D79" i="14"/>
  <c r="D677" i="18" s="1"/>
  <c r="D78" i="14"/>
  <c r="D676" i="18" s="1"/>
  <c r="D77" i="14"/>
  <c r="D675" i="18" s="1"/>
  <c r="D76" i="14"/>
  <c r="D674" i="18" s="1"/>
  <c r="D75" i="14"/>
  <c r="D673" i="18" s="1"/>
  <c r="D74" i="14"/>
  <c r="D672" i="18" s="1"/>
  <c r="D73" i="14"/>
  <c r="D671" i="18" s="1"/>
  <c r="D72" i="14"/>
  <c r="D670" i="18" s="1"/>
  <c r="D71" i="14"/>
  <c r="D669" i="18" s="1"/>
  <c r="D70" i="14"/>
  <c r="D668" i="18" s="1"/>
  <c r="D69" i="14"/>
  <c r="D667" i="18" s="1"/>
  <c r="D68" i="14"/>
  <c r="D666" i="18" s="1"/>
  <c r="D67" i="14"/>
  <c r="D665" i="18" s="1"/>
  <c r="D66" i="14"/>
  <c r="D664" i="18" s="1"/>
  <c r="D65" i="14"/>
  <c r="D663" i="18" s="1"/>
  <c r="D64" i="14"/>
  <c r="D662" i="18" s="1"/>
  <c r="D63" i="14"/>
  <c r="D661" i="18" s="1"/>
  <c r="D62" i="14"/>
  <c r="D660" i="18" s="1"/>
  <c r="D61" i="14"/>
  <c r="D659" i="18" s="1"/>
  <c r="D60" i="14"/>
  <c r="D658" i="18" s="1"/>
  <c r="D59" i="14"/>
  <c r="D657" i="18" s="1"/>
  <c r="D58" i="14"/>
  <c r="D656" i="18" s="1"/>
  <c r="D57" i="14"/>
  <c r="D655" i="18" s="1"/>
  <c r="D56" i="14"/>
  <c r="D654" i="18" s="1"/>
  <c r="D55" i="14"/>
  <c r="D653" i="18" s="1"/>
  <c r="D54" i="14"/>
  <c r="D652" i="18" s="1"/>
  <c r="D53" i="14"/>
  <c r="D651" i="18" s="1"/>
  <c r="D52" i="14"/>
  <c r="D650" i="18" s="1"/>
  <c r="D51" i="14"/>
  <c r="D649" i="18" s="1"/>
  <c r="D50" i="14"/>
  <c r="D648" i="18" s="1"/>
  <c r="D49" i="14"/>
  <c r="D647" i="18" s="1"/>
  <c r="D48" i="14"/>
  <c r="D646" i="18" s="1"/>
  <c r="D47" i="14"/>
  <c r="D645" i="18" s="1"/>
  <c r="D46" i="14"/>
  <c r="D644" i="18" s="1"/>
  <c r="D45" i="14"/>
  <c r="D643" i="18" s="1"/>
  <c r="D44" i="14"/>
  <c r="D642" i="18" s="1"/>
  <c r="D43" i="14"/>
  <c r="D641" i="18" s="1"/>
  <c r="D42" i="14"/>
  <c r="D640" i="18" s="1"/>
  <c r="D41" i="14"/>
  <c r="D639" i="18" s="1"/>
  <c r="D40" i="14"/>
  <c r="D638" i="18" s="1"/>
  <c r="D39" i="14"/>
  <c r="D637" i="18" s="1"/>
  <c r="D38" i="14"/>
  <c r="D636" i="18" s="1"/>
  <c r="D37" i="14"/>
  <c r="D635" i="18" s="1"/>
  <c r="D36" i="14"/>
  <c r="D634" i="18" s="1"/>
  <c r="D35" i="14"/>
  <c r="D633" i="18" s="1"/>
  <c r="D34" i="14"/>
  <c r="D632" i="18" s="1"/>
  <c r="D33" i="14"/>
  <c r="D631" i="18" s="1"/>
  <c r="D32" i="14"/>
  <c r="D630" i="18" s="1"/>
  <c r="D31" i="14"/>
  <c r="D629" i="18" s="1"/>
  <c r="D30" i="14"/>
  <c r="D628" i="18" s="1"/>
  <c r="D29" i="14"/>
  <c r="D627" i="18" s="1"/>
  <c r="D28" i="14"/>
  <c r="D626" i="18" s="1"/>
  <c r="D27" i="14"/>
  <c r="D625" i="18" s="1"/>
  <c r="D26" i="14"/>
  <c r="D624" i="18" s="1"/>
  <c r="D25" i="14"/>
  <c r="D623" i="18" s="1"/>
  <c r="D24" i="14"/>
  <c r="D622" i="18" s="1"/>
  <c r="D23" i="14"/>
  <c r="D621" i="18" s="1"/>
  <c r="D22" i="14"/>
  <c r="D620" i="18" s="1"/>
  <c r="D21" i="14"/>
  <c r="D619" i="18" s="1"/>
  <c r="D20" i="14"/>
  <c r="D618" i="18" s="1"/>
  <c r="D19" i="14"/>
  <c r="D617" i="18" s="1"/>
  <c r="D18" i="14"/>
  <c r="D616" i="18" s="1"/>
  <c r="D17" i="14"/>
  <c r="D615" i="18" s="1"/>
  <c r="D16" i="14"/>
  <c r="D614" i="18" s="1"/>
  <c r="D15" i="14"/>
  <c r="D613" i="18" s="1"/>
  <c r="D14" i="14"/>
  <c r="D612" i="18" s="1"/>
  <c r="D13" i="14"/>
  <c r="D611" i="18" s="1"/>
  <c r="D12" i="14"/>
  <c r="D610" i="18" s="1"/>
  <c r="D11" i="14"/>
  <c r="D609" i="18" s="1"/>
  <c r="D10" i="14"/>
  <c r="D608" i="18" s="1"/>
  <c r="D9" i="14"/>
  <c r="D607" i="18" s="1"/>
  <c r="D8" i="14"/>
  <c r="D606" i="18" s="1"/>
  <c r="D7" i="14"/>
  <c r="D605" i="18" s="1"/>
  <c r="D6" i="14"/>
  <c r="D604" i="18" s="1"/>
  <c r="D5" i="14"/>
  <c r="D603" i="18" s="1"/>
  <c r="D4" i="14"/>
  <c r="D602" i="18" s="1"/>
  <c r="D103" i="13"/>
  <c r="D601" i="18" s="1"/>
  <c r="D102" i="13"/>
  <c r="D600" i="18" s="1"/>
  <c r="D101" i="13"/>
  <c r="D599" i="18" s="1"/>
  <c r="D100" i="13"/>
  <c r="D598" i="18" s="1"/>
  <c r="D99" i="13"/>
  <c r="D597" i="18" s="1"/>
  <c r="D98" i="13"/>
  <c r="D596" i="18" s="1"/>
  <c r="D97" i="13"/>
  <c r="D595" i="18" s="1"/>
  <c r="D96" i="13"/>
  <c r="D594" i="18" s="1"/>
  <c r="D95" i="13"/>
  <c r="D593" i="18" s="1"/>
  <c r="D94" i="13"/>
  <c r="D592" i="18" s="1"/>
  <c r="D93" i="13"/>
  <c r="D591" i="18" s="1"/>
  <c r="D92" i="13"/>
  <c r="D590" i="18" s="1"/>
  <c r="D91" i="13"/>
  <c r="D589" i="18" s="1"/>
  <c r="D90" i="13"/>
  <c r="D588" i="18" s="1"/>
  <c r="D89" i="13"/>
  <c r="D587" i="18" s="1"/>
  <c r="D88" i="13"/>
  <c r="D586" i="18" s="1"/>
  <c r="D87" i="13"/>
  <c r="D585" i="18" s="1"/>
  <c r="D86" i="13"/>
  <c r="D584" i="18" s="1"/>
  <c r="D85" i="13"/>
  <c r="D583" i="18" s="1"/>
  <c r="D84" i="13"/>
  <c r="D582" i="18" s="1"/>
  <c r="D83" i="13"/>
  <c r="D581" i="18" s="1"/>
  <c r="D82" i="13"/>
  <c r="D580" i="18" s="1"/>
  <c r="D81" i="13"/>
  <c r="D579" i="18" s="1"/>
  <c r="D80" i="13"/>
  <c r="D578" i="18" s="1"/>
  <c r="D79" i="13"/>
  <c r="D577" i="18" s="1"/>
  <c r="D78" i="13"/>
  <c r="D576" i="18" s="1"/>
  <c r="D77" i="13"/>
  <c r="D575" i="18" s="1"/>
  <c r="D76" i="13"/>
  <c r="D574" i="18" s="1"/>
  <c r="D75" i="13"/>
  <c r="D573" i="18" s="1"/>
  <c r="D74" i="13"/>
  <c r="D572" i="18" s="1"/>
  <c r="D73" i="13"/>
  <c r="D571" i="18" s="1"/>
  <c r="D72" i="13"/>
  <c r="D570" i="18" s="1"/>
  <c r="D71" i="13"/>
  <c r="D569" i="18" s="1"/>
  <c r="D70" i="13"/>
  <c r="D568" i="18" s="1"/>
  <c r="D69" i="13"/>
  <c r="D567" i="18" s="1"/>
  <c r="D68" i="13"/>
  <c r="D566" i="18" s="1"/>
  <c r="D67" i="13"/>
  <c r="D565" i="18" s="1"/>
  <c r="D66" i="13"/>
  <c r="D564" i="18" s="1"/>
  <c r="D65" i="13"/>
  <c r="D563" i="18" s="1"/>
  <c r="D64" i="13"/>
  <c r="D562" i="18" s="1"/>
  <c r="D63" i="13"/>
  <c r="D561" i="18" s="1"/>
  <c r="D62" i="13"/>
  <c r="D560" i="18" s="1"/>
  <c r="D61" i="13"/>
  <c r="D559" i="18" s="1"/>
  <c r="D60" i="13"/>
  <c r="D558" i="18" s="1"/>
  <c r="D59" i="13"/>
  <c r="D557" i="18" s="1"/>
  <c r="D58" i="13"/>
  <c r="D556" i="18" s="1"/>
  <c r="D57" i="13"/>
  <c r="D555" i="18" s="1"/>
  <c r="D56" i="13"/>
  <c r="D554" i="18" s="1"/>
  <c r="D55" i="13"/>
  <c r="D553" i="18" s="1"/>
  <c r="D54" i="13"/>
  <c r="D552" i="18" s="1"/>
  <c r="D53" i="13"/>
  <c r="D551" i="18" s="1"/>
  <c r="D52" i="13"/>
  <c r="D550" i="18" s="1"/>
  <c r="D51" i="13"/>
  <c r="D549" i="18" s="1"/>
  <c r="D50" i="13"/>
  <c r="D548" i="18" s="1"/>
  <c r="D49" i="13"/>
  <c r="D547" i="18" s="1"/>
  <c r="D48" i="13"/>
  <c r="D546" i="18" s="1"/>
  <c r="D47" i="13"/>
  <c r="D545" i="18" s="1"/>
  <c r="D46" i="13"/>
  <c r="D544" i="18" s="1"/>
  <c r="D45" i="13"/>
  <c r="D543" i="18" s="1"/>
  <c r="D44" i="13"/>
  <c r="D542" i="18" s="1"/>
  <c r="D43" i="13"/>
  <c r="D541" i="18" s="1"/>
  <c r="D42" i="13"/>
  <c r="D540" i="18" s="1"/>
  <c r="D41" i="13"/>
  <c r="D539" i="18" s="1"/>
  <c r="D40" i="13"/>
  <c r="D538" i="18" s="1"/>
  <c r="D39" i="13"/>
  <c r="D537" i="18" s="1"/>
  <c r="D38" i="13"/>
  <c r="D536" i="18" s="1"/>
  <c r="D37" i="13"/>
  <c r="D535" i="18" s="1"/>
  <c r="D36" i="13"/>
  <c r="D534" i="18" s="1"/>
  <c r="D35" i="13"/>
  <c r="D533" i="18" s="1"/>
  <c r="D34" i="13"/>
  <c r="D532" i="18" s="1"/>
  <c r="D33" i="13"/>
  <c r="D531" i="18" s="1"/>
  <c r="D32" i="13"/>
  <c r="D530" i="18" s="1"/>
  <c r="D31" i="13"/>
  <c r="D529" i="18" s="1"/>
  <c r="D30" i="13"/>
  <c r="D528" i="18" s="1"/>
  <c r="D29" i="13"/>
  <c r="D527" i="18" s="1"/>
  <c r="D28" i="13"/>
  <c r="D526" i="18" s="1"/>
  <c r="D27" i="13"/>
  <c r="D525" i="18" s="1"/>
  <c r="D26" i="13"/>
  <c r="D524" i="18" s="1"/>
  <c r="D25" i="13"/>
  <c r="D523" i="18" s="1"/>
  <c r="D24" i="13"/>
  <c r="D522" i="18" s="1"/>
  <c r="D23" i="13"/>
  <c r="D521" i="18" s="1"/>
  <c r="D22" i="13"/>
  <c r="D520" i="18" s="1"/>
  <c r="D21" i="13"/>
  <c r="D519" i="18" s="1"/>
  <c r="D20" i="13"/>
  <c r="D518" i="18" s="1"/>
  <c r="D19" i="13"/>
  <c r="D517" i="18" s="1"/>
  <c r="D18" i="13"/>
  <c r="D516" i="18" s="1"/>
  <c r="D17" i="13"/>
  <c r="D515" i="18" s="1"/>
  <c r="D16" i="13"/>
  <c r="D514" i="18" s="1"/>
  <c r="D15" i="13"/>
  <c r="D513" i="18" s="1"/>
  <c r="D14" i="13"/>
  <c r="D512" i="18" s="1"/>
  <c r="D13" i="13"/>
  <c r="D511" i="18" s="1"/>
  <c r="D12" i="13"/>
  <c r="D510" i="18" s="1"/>
  <c r="D11" i="13"/>
  <c r="D509" i="18" s="1"/>
  <c r="D10" i="13"/>
  <c r="D508" i="18" s="1"/>
  <c r="D9" i="13"/>
  <c r="D507" i="18" s="1"/>
  <c r="D8" i="13"/>
  <c r="D506" i="18" s="1"/>
  <c r="D7" i="13"/>
  <c r="D505" i="18" s="1"/>
  <c r="D6" i="13"/>
  <c r="D504" i="18" s="1"/>
  <c r="D5" i="13"/>
  <c r="D503" i="18" s="1"/>
  <c r="D4" i="13"/>
  <c r="D502" i="18" s="1"/>
  <c r="D103" i="12"/>
  <c r="D501" i="18" s="1"/>
  <c r="D102" i="12"/>
  <c r="D500" i="18" s="1"/>
  <c r="D101" i="12"/>
  <c r="D499" i="18" s="1"/>
  <c r="D100" i="12"/>
  <c r="D498" i="18" s="1"/>
  <c r="D99" i="12"/>
  <c r="D497" i="18" s="1"/>
  <c r="D98" i="12"/>
  <c r="D496" i="18" s="1"/>
  <c r="D97" i="12"/>
  <c r="D495" i="18" s="1"/>
  <c r="D96" i="12"/>
  <c r="D494" i="18" s="1"/>
  <c r="D95" i="12"/>
  <c r="D493" i="18" s="1"/>
  <c r="D94" i="12"/>
  <c r="D492" i="18" s="1"/>
  <c r="D93" i="12"/>
  <c r="D491" i="18" s="1"/>
  <c r="D92" i="12"/>
  <c r="D490" i="18" s="1"/>
  <c r="D91" i="12"/>
  <c r="D489" i="18" s="1"/>
  <c r="D90" i="12"/>
  <c r="D488" i="18" s="1"/>
  <c r="D89" i="12"/>
  <c r="D487" i="18" s="1"/>
  <c r="D88" i="12"/>
  <c r="D486" i="18" s="1"/>
  <c r="D87" i="12"/>
  <c r="D485" i="18" s="1"/>
  <c r="D86" i="12"/>
  <c r="D484" i="18" s="1"/>
  <c r="D85" i="12"/>
  <c r="D483" i="18" s="1"/>
  <c r="D84" i="12"/>
  <c r="D482" i="18" s="1"/>
  <c r="D83" i="12"/>
  <c r="D481" i="18" s="1"/>
  <c r="D82" i="12"/>
  <c r="D480" i="18" s="1"/>
  <c r="D81" i="12"/>
  <c r="D479" i="18" s="1"/>
  <c r="D80" i="12"/>
  <c r="D478" i="18" s="1"/>
  <c r="D79" i="12"/>
  <c r="D477" i="18" s="1"/>
  <c r="D78" i="12"/>
  <c r="D476" i="18" s="1"/>
  <c r="D77" i="12"/>
  <c r="D475" i="18" s="1"/>
  <c r="D76" i="12"/>
  <c r="D474" i="18" s="1"/>
  <c r="D75" i="12"/>
  <c r="D473" i="18" s="1"/>
  <c r="D74" i="12"/>
  <c r="D472" i="18" s="1"/>
  <c r="D73" i="12"/>
  <c r="D471" i="18" s="1"/>
  <c r="D72" i="12"/>
  <c r="D470" i="18" s="1"/>
  <c r="D71" i="12"/>
  <c r="D469" i="18" s="1"/>
  <c r="D70" i="12"/>
  <c r="D468" i="18" s="1"/>
  <c r="D69" i="12"/>
  <c r="D467" i="18" s="1"/>
  <c r="D68" i="12"/>
  <c r="D466" i="18" s="1"/>
  <c r="D67" i="12"/>
  <c r="D465" i="18" s="1"/>
  <c r="D66" i="12"/>
  <c r="D464" i="18" s="1"/>
  <c r="D65" i="12"/>
  <c r="D463" i="18" s="1"/>
  <c r="D64" i="12"/>
  <c r="D462" i="18" s="1"/>
  <c r="D63" i="12"/>
  <c r="D461" i="18" s="1"/>
  <c r="D62" i="12"/>
  <c r="D460" i="18" s="1"/>
  <c r="D61" i="12"/>
  <c r="D459" i="18" s="1"/>
  <c r="D60" i="12"/>
  <c r="D458" i="18" s="1"/>
  <c r="D59" i="12"/>
  <c r="D457" i="18" s="1"/>
  <c r="D58" i="12"/>
  <c r="D456" i="18" s="1"/>
  <c r="D57" i="12"/>
  <c r="D455" i="18" s="1"/>
  <c r="D56" i="12"/>
  <c r="D454" i="18" s="1"/>
  <c r="D55" i="12"/>
  <c r="D453" i="18" s="1"/>
  <c r="D54" i="12"/>
  <c r="D452" i="18" s="1"/>
  <c r="D53" i="12"/>
  <c r="D451" i="18" s="1"/>
  <c r="D52" i="12"/>
  <c r="D450" i="18" s="1"/>
  <c r="D51" i="12"/>
  <c r="D449" i="18" s="1"/>
  <c r="D50" i="12"/>
  <c r="D448" i="18" s="1"/>
  <c r="D49" i="12"/>
  <c r="D447" i="18" s="1"/>
  <c r="D48" i="12"/>
  <c r="D446" i="18" s="1"/>
  <c r="D47" i="12"/>
  <c r="D445" i="18" s="1"/>
  <c r="D46" i="12"/>
  <c r="D444" i="18" s="1"/>
  <c r="D45" i="12"/>
  <c r="D443" i="18" s="1"/>
  <c r="D44" i="12"/>
  <c r="D442" i="18" s="1"/>
  <c r="D43" i="12"/>
  <c r="D441" i="18" s="1"/>
  <c r="D42" i="12"/>
  <c r="D440" i="18" s="1"/>
  <c r="D41" i="12"/>
  <c r="D439" i="18" s="1"/>
  <c r="D40" i="12"/>
  <c r="D438" i="18" s="1"/>
  <c r="D39" i="12"/>
  <c r="D437" i="18" s="1"/>
  <c r="D38" i="12"/>
  <c r="D436" i="18" s="1"/>
  <c r="D37" i="12"/>
  <c r="D435" i="18" s="1"/>
  <c r="D36" i="12"/>
  <c r="D434" i="18" s="1"/>
  <c r="D35" i="12"/>
  <c r="D433" i="18" s="1"/>
  <c r="D34" i="12"/>
  <c r="D432" i="18" s="1"/>
  <c r="D33" i="12"/>
  <c r="D431" i="18" s="1"/>
  <c r="D32" i="12"/>
  <c r="D430" i="18" s="1"/>
  <c r="D31" i="12"/>
  <c r="D429" i="18" s="1"/>
  <c r="D30" i="12"/>
  <c r="D428" i="18" s="1"/>
  <c r="D29" i="12"/>
  <c r="D427" i="18" s="1"/>
  <c r="D28" i="12"/>
  <c r="D426" i="18" s="1"/>
  <c r="D27" i="12"/>
  <c r="D425" i="18" s="1"/>
  <c r="D26" i="12"/>
  <c r="D424" i="18" s="1"/>
  <c r="D25" i="12"/>
  <c r="D423" i="18" s="1"/>
  <c r="D24" i="12"/>
  <c r="D422" i="18" s="1"/>
  <c r="D23" i="12"/>
  <c r="D421" i="18" s="1"/>
  <c r="D22" i="12"/>
  <c r="D420" i="18" s="1"/>
  <c r="D21" i="12"/>
  <c r="D419" i="18" s="1"/>
  <c r="D20" i="12"/>
  <c r="D418" i="18" s="1"/>
  <c r="D19" i="12"/>
  <c r="D417" i="18" s="1"/>
  <c r="D18" i="12"/>
  <c r="D416" i="18" s="1"/>
  <c r="D17" i="12"/>
  <c r="D415" i="18" s="1"/>
  <c r="D16" i="12"/>
  <c r="D414" i="18" s="1"/>
  <c r="D15" i="12"/>
  <c r="D413" i="18" s="1"/>
  <c r="D14" i="12"/>
  <c r="D412" i="18" s="1"/>
  <c r="D13" i="12"/>
  <c r="D411" i="18" s="1"/>
  <c r="D12" i="12"/>
  <c r="D410" i="18" s="1"/>
  <c r="D11" i="12"/>
  <c r="D409" i="18" s="1"/>
  <c r="D10" i="12"/>
  <c r="D408" i="18" s="1"/>
  <c r="D9" i="12"/>
  <c r="D407" i="18" s="1"/>
  <c r="D8" i="12"/>
  <c r="D406" i="18" s="1"/>
  <c r="D7" i="12"/>
  <c r="D405" i="18" s="1"/>
  <c r="D6" i="12"/>
  <c r="D404" i="18" s="1"/>
  <c r="D5" i="12"/>
  <c r="D403" i="18" s="1"/>
  <c r="D4" i="12"/>
  <c r="D402" i="18" s="1"/>
  <c r="D103" i="11"/>
  <c r="D401" i="18" s="1"/>
  <c r="D102" i="11"/>
  <c r="D400" i="18" s="1"/>
  <c r="D101" i="11"/>
  <c r="D399" i="18" s="1"/>
  <c r="D100" i="11"/>
  <c r="D398" i="18" s="1"/>
  <c r="D99" i="11"/>
  <c r="D397" i="18" s="1"/>
  <c r="D98" i="11"/>
  <c r="D396" i="18" s="1"/>
  <c r="D97" i="11"/>
  <c r="D395" i="18" s="1"/>
  <c r="D96" i="11"/>
  <c r="D394" i="18" s="1"/>
  <c r="D95" i="11"/>
  <c r="D393" i="18" s="1"/>
  <c r="D94" i="11"/>
  <c r="D392" i="18" s="1"/>
  <c r="D93" i="11"/>
  <c r="D391" i="18" s="1"/>
  <c r="D92" i="11"/>
  <c r="D390" i="18" s="1"/>
  <c r="D91" i="11"/>
  <c r="D389" i="18" s="1"/>
  <c r="D90" i="11"/>
  <c r="D388" i="18" s="1"/>
  <c r="D89" i="11"/>
  <c r="D387" i="18" s="1"/>
  <c r="D88" i="11"/>
  <c r="D386" i="18" s="1"/>
  <c r="D87" i="11"/>
  <c r="D385" i="18" s="1"/>
  <c r="D86" i="11"/>
  <c r="D384" i="18" s="1"/>
  <c r="D85" i="11"/>
  <c r="D383" i="18" s="1"/>
  <c r="D84" i="11"/>
  <c r="D382" i="18" s="1"/>
  <c r="D83" i="11"/>
  <c r="D381" i="18" s="1"/>
  <c r="D82" i="11"/>
  <c r="D380" i="18" s="1"/>
  <c r="D81" i="11"/>
  <c r="D379" i="18" s="1"/>
  <c r="D80" i="11"/>
  <c r="D378" i="18" s="1"/>
  <c r="D79" i="11"/>
  <c r="D377" i="18" s="1"/>
  <c r="D78" i="11"/>
  <c r="D376" i="18" s="1"/>
  <c r="D77" i="11"/>
  <c r="D375" i="18" s="1"/>
  <c r="D76" i="11"/>
  <c r="D374" i="18" s="1"/>
  <c r="D75" i="11"/>
  <c r="D373" i="18" s="1"/>
  <c r="D74" i="11"/>
  <c r="D372" i="18" s="1"/>
  <c r="D73" i="11"/>
  <c r="D371" i="18" s="1"/>
  <c r="D72" i="11"/>
  <c r="D370" i="18" s="1"/>
  <c r="D71" i="11"/>
  <c r="D369" i="18" s="1"/>
  <c r="D70" i="11"/>
  <c r="D368" i="18" s="1"/>
  <c r="D69" i="11"/>
  <c r="D367" i="18" s="1"/>
  <c r="D68" i="11"/>
  <c r="D366" i="18" s="1"/>
  <c r="D67" i="11"/>
  <c r="D365" i="18" s="1"/>
  <c r="D66" i="11"/>
  <c r="D364" i="18" s="1"/>
  <c r="D65" i="11"/>
  <c r="D363" i="18" s="1"/>
  <c r="D64" i="11"/>
  <c r="D362" i="18" s="1"/>
  <c r="D63" i="11"/>
  <c r="D361" i="18" s="1"/>
  <c r="D62" i="11"/>
  <c r="D360" i="18" s="1"/>
  <c r="D61" i="11"/>
  <c r="D359" i="18" s="1"/>
  <c r="D60" i="11"/>
  <c r="D358" i="18" s="1"/>
  <c r="D59" i="11"/>
  <c r="D357" i="18" s="1"/>
  <c r="D58" i="11"/>
  <c r="D356" i="18" s="1"/>
  <c r="D57" i="11"/>
  <c r="D355" i="18" s="1"/>
  <c r="D56" i="11"/>
  <c r="D354" i="18" s="1"/>
  <c r="D55" i="11"/>
  <c r="D353" i="18" s="1"/>
  <c r="D54" i="11"/>
  <c r="D352" i="18" s="1"/>
  <c r="D53" i="11"/>
  <c r="D351" i="18" s="1"/>
  <c r="D52" i="11"/>
  <c r="D350" i="18" s="1"/>
  <c r="D51" i="11"/>
  <c r="D349" i="18" s="1"/>
  <c r="D50" i="11"/>
  <c r="D348" i="18" s="1"/>
  <c r="D49" i="11"/>
  <c r="D347" i="18" s="1"/>
  <c r="D48" i="11"/>
  <c r="D346" i="18" s="1"/>
  <c r="D47" i="11"/>
  <c r="D345" i="18" s="1"/>
  <c r="D46" i="11"/>
  <c r="D344" i="18" s="1"/>
  <c r="D45" i="11"/>
  <c r="D343" i="18" s="1"/>
  <c r="D44" i="11"/>
  <c r="D342" i="18" s="1"/>
  <c r="D43" i="11"/>
  <c r="D341" i="18" s="1"/>
  <c r="D42" i="11"/>
  <c r="D340" i="18" s="1"/>
  <c r="D41" i="11"/>
  <c r="D339" i="18" s="1"/>
  <c r="D40" i="11"/>
  <c r="D338" i="18" s="1"/>
  <c r="D39" i="11"/>
  <c r="D337" i="18" s="1"/>
  <c r="D38" i="11"/>
  <c r="D336" i="18" s="1"/>
  <c r="D37" i="11"/>
  <c r="D335" i="18" s="1"/>
  <c r="D36" i="11"/>
  <c r="D334" i="18" s="1"/>
  <c r="D35" i="11"/>
  <c r="D333" i="18" s="1"/>
  <c r="D34" i="11"/>
  <c r="D332" i="18" s="1"/>
  <c r="D33" i="11"/>
  <c r="D331" i="18" s="1"/>
  <c r="D32" i="11"/>
  <c r="D330" i="18" s="1"/>
  <c r="D31" i="11"/>
  <c r="D329" i="18" s="1"/>
  <c r="D30" i="11"/>
  <c r="D328" i="18" s="1"/>
  <c r="D29" i="11"/>
  <c r="D327" i="18" s="1"/>
  <c r="D28" i="11"/>
  <c r="D326" i="18" s="1"/>
  <c r="D27" i="11"/>
  <c r="D325" i="18" s="1"/>
  <c r="D26" i="11"/>
  <c r="D324" i="18" s="1"/>
  <c r="D25" i="11"/>
  <c r="D323" i="18" s="1"/>
  <c r="D24" i="11"/>
  <c r="D322" i="18" s="1"/>
  <c r="D23" i="11"/>
  <c r="D321" i="18" s="1"/>
  <c r="D22" i="11"/>
  <c r="D320" i="18" s="1"/>
  <c r="D21" i="11"/>
  <c r="D319" i="18" s="1"/>
  <c r="D20" i="11"/>
  <c r="D318" i="18" s="1"/>
  <c r="D19" i="11"/>
  <c r="D317" i="18" s="1"/>
  <c r="D18" i="11"/>
  <c r="D316" i="18" s="1"/>
  <c r="D17" i="11"/>
  <c r="D315" i="18" s="1"/>
  <c r="D16" i="11"/>
  <c r="D314" i="18" s="1"/>
  <c r="D15" i="11"/>
  <c r="D313" i="18" s="1"/>
  <c r="D14" i="11"/>
  <c r="D312" i="18" s="1"/>
  <c r="D13" i="11"/>
  <c r="D311" i="18" s="1"/>
  <c r="D12" i="11"/>
  <c r="D310" i="18" s="1"/>
  <c r="D11" i="11"/>
  <c r="D309" i="18" s="1"/>
  <c r="D10" i="11"/>
  <c r="D308" i="18" s="1"/>
  <c r="D9" i="11"/>
  <c r="D307" i="18" s="1"/>
  <c r="D8" i="11"/>
  <c r="D306" i="18" s="1"/>
  <c r="D7" i="11"/>
  <c r="D305" i="18" s="1"/>
  <c r="D6" i="11"/>
  <c r="D304" i="18" s="1"/>
  <c r="D5" i="11"/>
  <c r="D303" i="18" s="1"/>
  <c r="D4" i="11"/>
  <c r="D302" i="18" s="1"/>
  <c r="D103" i="10"/>
  <c r="D301" i="18" s="1"/>
  <c r="D102" i="10"/>
  <c r="D300" i="18" s="1"/>
  <c r="D101" i="10"/>
  <c r="D299" i="18" s="1"/>
  <c r="D100" i="10"/>
  <c r="D298" i="18" s="1"/>
  <c r="D99" i="10"/>
  <c r="D297" i="18" s="1"/>
  <c r="D98" i="10"/>
  <c r="D296" i="18" s="1"/>
  <c r="D97" i="10"/>
  <c r="D295" i="18" s="1"/>
  <c r="D96" i="10"/>
  <c r="D294" i="18" s="1"/>
  <c r="D95" i="10"/>
  <c r="D293" i="18" s="1"/>
  <c r="D94" i="10"/>
  <c r="D292" i="18" s="1"/>
  <c r="D93" i="10"/>
  <c r="D291" i="18" s="1"/>
  <c r="D92" i="10"/>
  <c r="D290" i="18" s="1"/>
  <c r="D91" i="10"/>
  <c r="D289" i="18" s="1"/>
  <c r="D90" i="10"/>
  <c r="D288" i="18" s="1"/>
  <c r="D89" i="10"/>
  <c r="D287" i="18" s="1"/>
  <c r="D88" i="10"/>
  <c r="D286" i="18" s="1"/>
  <c r="D87" i="10"/>
  <c r="D285" i="18" s="1"/>
  <c r="D86" i="10"/>
  <c r="D284" i="18" s="1"/>
  <c r="D85" i="10"/>
  <c r="D283" i="18" s="1"/>
  <c r="D84" i="10"/>
  <c r="D282" i="18" s="1"/>
  <c r="D83" i="10"/>
  <c r="D281" i="18" s="1"/>
  <c r="D82" i="10"/>
  <c r="D280" i="18" s="1"/>
  <c r="D81" i="10"/>
  <c r="D279" i="18" s="1"/>
  <c r="D80" i="10"/>
  <c r="D278" i="18" s="1"/>
  <c r="D79" i="10"/>
  <c r="D277" i="18" s="1"/>
  <c r="D78" i="10"/>
  <c r="D276" i="18" s="1"/>
  <c r="D77" i="10"/>
  <c r="D275" i="18" s="1"/>
  <c r="D76" i="10"/>
  <c r="D274" i="18" s="1"/>
  <c r="D75" i="10"/>
  <c r="D273" i="18" s="1"/>
  <c r="D74" i="10"/>
  <c r="D272" i="18" s="1"/>
  <c r="D73" i="10"/>
  <c r="D271" i="18" s="1"/>
  <c r="D72" i="10"/>
  <c r="D270" i="18" s="1"/>
  <c r="D71" i="10"/>
  <c r="D269" i="18" s="1"/>
  <c r="D70" i="10"/>
  <c r="D268" i="18" s="1"/>
  <c r="D69" i="10"/>
  <c r="D267" i="18" s="1"/>
  <c r="D68" i="10"/>
  <c r="D266" i="18" s="1"/>
  <c r="D67" i="10"/>
  <c r="D265" i="18" s="1"/>
  <c r="D66" i="10"/>
  <c r="D264" i="18" s="1"/>
  <c r="D65" i="10"/>
  <c r="D263" i="18" s="1"/>
  <c r="D64" i="10"/>
  <c r="D262" i="18" s="1"/>
  <c r="D63" i="10"/>
  <c r="D261" i="18" s="1"/>
  <c r="D62" i="10"/>
  <c r="D260" i="18" s="1"/>
  <c r="D61" i="10"/>
  <c r="D259" i="18" s="1"/>
  <c r="D60" i="10"/>
  <c r="D258" i="18" s="1"/>
  <c r="D59" i="10"/>
  <c r="D257" i="18" s="1"/>
  <c r="D58" i="10"/>
  <c r="D256" i="18" s="1"/>
  <c r="D57" i="10"/>
  <c r="D255" i="18" s="1"/>
  <c r="D56" i="10"/>
  <c r="D254" i="18" s="1"/>
  <c r="D55" i="10"/>
  <c r="D253" i="18" s="1"/>
  <c r="D54" i="10"/>
  <c r="D252" i="18" s="1"/>
  <c r="D53" i="10"/>
  <c r="D251" i="18" s="1"/>
  <c r="D52" i="10"/>
  <c r="D250" i="18" s="1"/>
  <c r="D51" i="10"/>
  <c r="D249" i="18" s="1"/>
  <c r="D50" i="10"/>
  <c r="D248" i="18" s="1"/>
  <c r="D49" i="10"/>
  <c r="D247" i="18" s="1"/>
  <c r="D48" i="10"/>
  <c r="D246" i="18" s="1"/>
  <c r="D47" i="10"/>
  <c r="D245" i="18" s="1"/>
  <c r="D46" i="10"/>
  <c r="D244" i="18" s="1"/>
  <c r="D45" i="10"/>
  <c r="D243" i="18" s="1"/>
  <c r="D44" i="10"/>
  <c r="D242" i="18" s="1"/>
  <c r="D43" i="10"/>
  <c r="D241" i="18" s="1"/>
  <c r="D42" i="10"/>
  <c r="D240" i="18" s="1"/>
  <c r="D41" i="10"/>
  <c r="D239" i="18" s="1"/>
  <c r="D40" i="10"/>
  <c r="D238" i="18" s="1"/>
  <c r="D39" i="10"/>
  <c r="D237" i="18" s="1"/>
  <c r="D38" i="10"/>
  <c r="D236" i="18" s="1"/>
  <c r="D37" i="10"/>
  <c r="D235" i="18" s="1"/>
  <c r="D36" i="10"/>
  <c r="D234" i="18" s="1"/>
  <c r="D35" i="10"/>
  <c r="D233" i="18" s="1"/>
  <c r="D34" i="10"/>
  <c r="D232" i="18" s="1"/>
  <c r="D33" i="10"/>
  <c r="D231" i="18" s="1"/>
  <c r="D32" i="10"/>
  <c r="D230" i="18" s="1"/>
  <c r="D31" i="10"/>
  <c r="D229" i="18" s="1"/>
  <c r="D30" i="10"/>
  <c r="D228" i="18" s="1"/>
  <c r="D29" i="10"/>
  <c r="D227" i="18" s="1"/>
  <c r="D28" i="10"/>
  <c r="D226" i="18" s="1"/>
  <c r="D27" i="10"/>
  <c r="D225" i="18" s="1"/>
  <c r="D26" i="10"/>
  <c r="D224" i="18" s="1"/>
  <c r="D25" i="10"/>
  <c r="D223" i="18" s="1"/>
  <c r="D24" i="10"/>
  <c r="D222" i="18" s="1"/>
  <c r="D23" i="10"/>
  <c r="D221" i="18" s="1"/>
  <c r="D22" i="10"/>
  <c r="D220" i="18" s="1"/>
  <c r="D21" i="10"/>
  <c r="D219" i="18" s="1"/>
  <c r="D20" i="10"/>
  <c r="D218" i="18" s="1"/>
  <c r="D19" i="10"/>
  <c r="D217" i="18" s="1"/>
  <c r="D18" i="10"/>
  <c r="D216" i="18" s="1"/>
  <c r="D17" i="10"/>
  <c r="D215" i="18" s="1"/>
  <c r="D16" i="10"/>
  <c r="D214" i="18" s="1"/>
  <c r="D15" i="10"/>
  <c r="D213" i="18" s="1"/>
  <c r="D14" i="10"/>
  <c r="D212" i="18" s="1"/>
  <c r="D13" i="10"/>
  <c r="D211" i="18" s="1"/>
  <c r="D12" i="10"/>
  <c r="D210" i="18" s="1"/>
  <c r="D11" i="10"/>
  <c r="D209" i="18" s="1"/>
  <c r="D10" i="10"/>
  <c r="D208" i="18" s="1"/>
  <c r="D9" i="10"/>
  <c r="D207" i="18" s="1"/>
  <c r="D8" i="10"/>
  <c r="D206" i="18" s="1"/>
  <c r="D7" i="10"/>
  <c r="D205" i="18" s="1"/>
  <c r="D6" i="10"/>
  <c r="D204" i="18" s="1"/>
  <c r="D5" i="10"/>
  <c r="D203" i="18" s="1"/>
  <c r="D4" i="10"/>
  <c r="D202" i="18" s="1"/>
  <c r="D103" i="8"/>
  <c r="D101" i="18" s="1"/>
  <c r="D102" i="8"/>
  <c r="D100" i="18" s="1"/>
  <c r="D101" i="8"/>
  <c r="D99" i="18" s="1"/>
  <c r="D100" i="8"/>
  <c r="D98" i="18" s="1"/>
  <c r="D99" i="8"/>
  <c r="D97" i="18" s="1"/>
  <c r="D98" i="8"/>
  <c r="D96" i="18" s="1"/>
  <c r="D97" i="8"/>
  <c r="D95" i="18" s="1"/>
  <c r="D96" i="8"/>
  <c r="D94" i="18" s="1"/>
  <c r="D95" i="8"/>
  <c r="D93" i="18" s="1"/>
  <c r="D94" i="8"/>
  <c r="D92" i="18" s="1"/>
  <c r="D93" i="8"/>
  <c r="D91" i="18" s="1"/>
  <c r="D92" i="8"/>
  <c r="D90" i="18" s="1"/>
  <c r="D91" i="8"/>
  <c r="D89" i="18" s="1"/>
  <c r="D90" i="8"/>
  <c r="D88" i="18" s="1"/>
  <c r="D89" i="8"/>
  <c r="D87" i="18" s="1"/>
  <c r="D88" i="8"/>
  <c r="D86" i="18" s="1"/>
  <c r="D87" i="8"/>
  <c r="D85" i="18" s="1"/>
  <c r="D86" i="8"/>
  <c r="D84" i="18" s="1"/>
  <c r="D85" i="8"/>
  <c r="D83" i="18" s="1"/>
  <c r="D84" i="8"/>
  <c r="D82" i="18" s="1"/>
  <c r="D83" i="8"/>
  <c r="D81" i="18" s="1"/>
  <c r="D82" i="8"/>
  <c r="D80" i="18" s="1"/>
  <c r="D81" i="8"/>
  <c r="D79" i="18" s="1"/>
  <c r="D80" i="8"/>
  <c r="D78" i="18" s="1"/>
  <c r="D79" i="8"/>
  <c r="D77" i="18" s="1"/>
  <c r="D78" i="8"/>
  <c r="D76" i="18" s="1"/>
  <c r="D77" i="8"/>
  <c r="D75" i="18" s="1"/>
  <c r="D76" i="8"/>
  <c r="D74" i="18" s="1"/>
  <c r="D75" i="8"/>
  <c r="D73" i="18" s="1"/>
  <c r="D74" i="8"/>
  <c r="D72" i="18" s="1"/>
  <c r="D73" i="8"/>
  <c r="D71" i="18" s="1"/>
  <c r="D72" i="8"/>
  <c r="D70" i="18" s="1"/>
  <c r="D71" i="8"/>
  <c r="D69" i="18" s="1"/>
  <c r="D70" i="8"/>
  <c r="D68" i="18" s="1"/>
  <c r="D69" i="8"/>
  <c r="D67" i="18" s="1"/>
  <c r="D68" i="8"/>
  <c r="D66" i="18" s="1"/>
  <c r="D67" i="8"/>
  <c r="D65" i="18" s="1"/>
  <c r="D66" i="8"/>
  <c r="D64" i="18" s="1"/>
  <c r="D65" i="8"/>
  <c r="D63" i="18" s="1"/>
  <c r="D64" i="8"/>
  <c r="D62" i="18" s="1"/>
  <c r="D63" i="8"/>
  <c r="D61" i="18" s="1"/>
  <c r="D62" i="8"/>
  <c r="D60" i="18" s="1"/>
  <c r="D61" i="8"/>
  <c r="D59" i="18" s="1"/>
  <c r="D60" i="8"/>
  <c r="D58" i="18" s="1"/>
  <c r="D59" i="8"/>
  <c r="D57" i="18" s="1"/>
  <c r="D58" i="8"/>
  <c r="D56" i="18" s="1"/>
  <c r="D57" i="8"/>
  <c r="D55" i="18" s="1"/>
  <c r="D56" i="8"/>
  <c r="D54" i="18" s="1"/>
  <c r="D55" i="8"/>
  <c r="D53" i="18" s="1"/>
  <c r="D54" i="8"/>
  <c r="D52" i="18" s="1"/>
  <c r="D53" i="8"/>
  <c r="D51" i="18" s="1"/>
  <c r="D52" i="8"/>
  <c r="D50" i="18" s="1"/>
  <c r="D51" i="8"/>
  <c r="D49" i="18" s="1"/>
  <c r="D50" i="8"/>
  <c r="D48" i="18" s="1"/>
  <c r="D49" i="8"/>
  <c r="D47" i="18" s="1"/>
  <c r="D48" i="8"/>
  <c r="D46" i="18" s="1"/>
  <c r="D47" i="8"/>
  <c r="D45" i="18" s="1"/>
  <c r="D46" i="8"/>
  <c r="D44" i="18" s="1"/>
  <c r="D45" i="8"/>
  <c r="D43" i="18" s="1"/>
  <c r="D44" i="8"/>
  <c r="D42" i="18" s="1"/>
  <c r="D43" i="8"/>
  <c r="D41" i="18" s="1"/>
  <c r="D42" i="8"/>
  <c r="D40" i="18" s="1"/>
  <c r="D41" i="8"/>
  <c r="D39" i="18" s="1"/>
  <c r="D40" i="8"/>
  <c r="D38" i="18" s="1"/>
  <c r="D39" i="8"/>
  <c r="D37" i="18" s="1"/>
  <c r="D38" i="8"/>
  <c r="D36" i="18" s="1"/>
  <c r="D37" i="8"/>
  <c r="D35" i="18" s="1"/>
  <c r="D36" i="8"/>
  <c r="D34" i="18" s="1"/>
  <c r="D35" i="8"/>
  <c r="D33" i="18" s="1"/>
  <c r="D34" i="8"/>
  <c r="D32" i="18" s="1"/>
  <c r="D33" i="8"/>
  <c r="D31" i="18" s="1"/>
  <c r="D32" i="8"/>
  <c r="D30" i="18" s="1"/>
  <c r="D31" i="8"/>
  <c r="D29" i="18" s="1"/>
  <c r="D30" i="8"/>
  <c r="D28" i="18" s="1"/>
  <c r="D29" i="8"/>
  <c r="D27" i="18" s="1"/>
  <c r="D28" i="8"/>
  <c r="D26" i="18" s="1"/>
  <c r="D27" i="8"/>
  <c r="D25" i="18" s="1"/>
  <c r="D26" i="8"/>
  <c r="D24" i="18" s="1"/>
  <c r="D25" i="8"/>
  <c r="D23" i="18" s="1"/>
  <c r="D24" i="8"/>
  <c r="D22" i="18" s="1"/>
  <c r="D23" i="8"/>
  <c r="D21" i="18" s="1"/>
  <c r="D22" i="8"/>
  <c r="D20" i="18" s="1"/>
  <c r="D21" i="8"/>
  <c r="D19" i="18" s="1"/>
  <c r="D20" i="8"/>
  <c r="D18" i="18" s="1"/>
  <c r="D19" i="8"/>
  <c r="D17" i="18" s="1"/>
  <c r="D18" i="8"/>
  <c r="D16" i="18" s="1"/>
  <c r="D17" i="8"/>
  <c r="D15" i="18" s="1"/>
  <c r="D16" i="8"/>
  <c r="D14" i="18" s="1"/>
  <c r="D15" i="8"/>
  <c r="D13" i="18" s="1"/>
  <c r="D14" i="8"/>
  <c r="D12" i="18" s="1"/>
  <c r="D13" i="8"/>
  <c r="D11" i="18" s="1"/>
  <c r="D12" i="8"/>
  <c r="D10" i="18" s="1"/>
  <c r="D11" i="8"/>
  <c r="D9" i="18" s="1"/>
  <c r="D10" i="8"/>
  <c r="D8" i="18" s="1"/>
  <c r="D9" i="8"/>
  <c r="D7" i="18" s="1"/>
  <c r="D8" i="8"/>
  <c r="D6" i="18" s="1"/>
  <c r="D7" i="8"/>
  <c r="D5" i="18" s="1"/>
  <c r="D6" i="8"/>
  <c r="D4" i="18" s="1"/>
  <c r="D5" i="8"/>
  <c r="D3" i="18" s="1"/>
  <c r="D4" i="8"/>
  <c r="D2" i="18" s="1"/>
  <c r="B22" i="1"/>
  <c r="B21" i="1"/>
  <c r="B20" i="1"/>
  <c r="F19" i="1"/>
  <c r="B19" i="1"/>
  <c r="F18" i="1"/>
  <c r="B18" i="1"/>
  <c r="F17" i="1"/>
  <c r="B17" i="1"/>
  <c r="M10" i="1"/>
  <c r="I10" i="1"/>
  <c r="E10" i="1"/>
  <c r="A10" i="1"/>
  <c r="P5" i="1"/>
  <c r="J5" i="1"/>
  <c r="G5" i="1"/>
  <c r="D5" i="1"/>
  <c r="A5" i="1"/>
  <c r="AC2" i="1"/>
  <c r="D103" i="9"/>
  <c r="D201" i="18" s="1"/>
  <c r="D102" i="9"/>
  <c r="D200" i="18" s="1"/>
  <c r="D101" i="9"/>
  <c r="D199" i="18" s="1"/>
  <c r="D100" i="9"/>
  <c r="D198" i="18" s="1"/>
  <c r="D99" i="9"/>
  <c r="D197" i="18" s="1"/>
  <c r="D98" i="9"/>
  <c r="D196" i="18" s="1"/>
  <c r="D97" i="9"/>
  <c r="D195" i="18" s="1"/>
  <c r="D96" i="9"/>
  <c r="D194" i="18" s="1"/>
  <c r="D95" i="9"/>
  <c r="D193" i="18" s="1"/>
  <c r="D94" i="9"/>
  <c r="D192" i="18" s="1"/>
  <c r="D93" i="9"/>
  <c r="D191" i="18" s="1"/>
  <c r="D92" i="9"/>
  <c r="D190" i="18" s="1"/>
  <c r="D91" i="9"/>
  <c r="D189" i="18" s="1"/>
  <c r="D90" i="9"/>
  <c r="D188" i="18" s="1"/>
  <c r="D89" i="9"/>
  <c r="D187" i="18" s="1"/>
  <c r="D88" i="9"/>
  <c r="D186" i="18" s="1"/>
  <c r="D87" i="9"/>
  <c r="D185" i="18" s="1"/>
  <c r="D86" i="9"/>
  <c r="D184" i="18" s="1"/>
  <c r="D85" i="9"/>
  <c r="D183" i="18" s="1"/>
  <c r="D84" i="9"/>
  <c r="D182" i="18" s="1"/>
  <c r="D83" i="9"/>
  <c r="D181" i="18" s="1"/>
  <c r="D82" i="9"/>
  <c r="D180" i="18" s="1"/>
  <c r="D81" i="9"/>
  <c r="D179" i="18" s="1"/>
  <c r="D80" i="9"/>
  <c r="D178" i="18" s="1"/>
  <c r="D79" i="9"/>
  <c r="D177" i="18" s="1"/>
  <c r="D78" i="9"/>
  <c r="D176" i="18" s="1"/>
  <c r="D77" i="9"/>
  <c r="D175" i="18" s="1"/>
  <c r="D76" i="9"/>
  <c r="D174" i="18" s="1"/>
  <c r="D75" i="9"/>
  <c r="D173" i="18" s="1"/>
  <c r="D74" i="9"/>
  <c r="D172" i="18" s="1"/>
  <c r="D73" i="9"/>
  <c r="D171" i="18" s="1"/>
  <c r="D72" i="9"/>
  <c r="D170" i="18" s="1"/>
  <c r="D71" i="9"/>
  <c r="D169" i="18" s="1"/>
  <c r="D70" i="9"/>
  <c r="D168" i="18" s="1"/>
  <c r="D69" i="9"/>
  <c r="D167" i="18" s="1"/>
  <c r="D68" i="9"/>
  <c r="D166" i="18" s="1"/>
  <c r="D67" i="9"/>
  <c r="D165" i="18" s="1"/>
  <c r="D66" i="9"/>
  <c r="D164" i="18" s="1"/>
  <c r="D65" i="9"/>
  <c r="D163" i="18" s="1"/>
  <c r="D64" i="9"/>
  <c r="D162" i="18" s="1"/>
  <c r="D63" i="9"/>
  <c r="D161" i="18" s="1"/>
  <c r="D62" i="9"/>
  <c r="D160" i="18" s="1"/>
  <c r="D61" i="9"/>
  <c r="D159" i="18" s="1"/>
  <c r="D60" i="9"/>
  <c r="D158" i="18" s="1"/>
  <c r="D59" i="9"/>
  <c r="D157" i="18" s="1"/>
  <c r="D58" i="9"/>
  <c r="D156" i="18" s="1"/>
  <c r="D57" i="9"/>
  <c r="D155" i="18" s="1"/>
  <c r="D56" i="9"/>
  <c r="D154" i="18" s="1"/>
  <c r="D55" i="9"/>
  <c r="D153" i="18" s="1"/>
  <c r="D54" i="9"/>
  <c r="D152" i="18" s="1"/>
  <c r="D53" i="9"/>
  <c r="D151" i="18" s="1"/>
  <c r="D52" i="9"/>
  <c r="D150" i="18" s="1"/>
  <c r="D51" i="9"/>
  <c r="D149" i="18" s="1"/>
  <c r="D50" i="9"/>
  <c r="D148" i="18" s="1"/>
  <c r="D49" i="9"/>
  <c r="D147" i="18" s="1"/>
  <c r="D48" i="9"/>
  <c r="D146" i="18" s="1"/>
  <c r="D47" i="9"/>
  <c r="D145" i="18" s="1"/>
  <c r="D46" i="9"/>
  <c r="D144" i="18" s="1"/>
  <c r="D45" i="9"/>
  <c r="D143" i="18" s="1"/>
  <c r="D44" i="9"/>
  <c r="D142" i="18" s="1"/>
  <c r="D43" i="9"/>
  <c r="D141" i="18" s="1"/>
  <c r="D42" i="9"/>
  <c r="D140" i="18" s="1"/>
  <c r="D41" i="9"/>
  <c r="D139" i="18" s="1"/>
  <c r="D40" i="9"/>
  <c r="D138" i="18" s="1"/>
  <c r="D39" i="9"/>
  <c r="D137" i="18" s="1"/>
  <c r="D38" i="9"/>
  <c r="D136" i="18" s="1"/>
  <c r="D37" i="9"/>
  <c r="D135" i="18" s="1"/>
  <c r="D36" i="9"/>
  <c r="D134" i="18" s="1"/>
  <c r="D35" i="9"/>
  <c r="D133" i="18" s="1"/>
  <c r="D34" i="9"/>
  <c r="D132" i="18" s="1"/>
  <c r="D33" i="9"/>
  <c r="D131" i="18" s="1"/>
  <c r="D32" i="9"/>
  <c r="D130" i="18" s="1"/>
  <c r="D31" i="9"/>
  <c r="D129" i="18" s="1"/>
  <c r="D30" i="9"/>
  <c r="D128" i="18" s="1"/>
  <c r="D29" i="9"/>
  <c r="D127" i="18" s="1"/>
  <c r="D28" i="9"/>
  <c r="D126" i="18" s="1"/>
  <c r="D27" i="9"/>
  <c r="D125" i="18" s="1"/>
  <c r="D26" i="9"/>
  <c r="D124" i="18" s="1"/>
  <c r="D25" i="9"/>
  <c r="D123" i="18" s="1"/>
  <c r="D24" i="9"/>
  <c r="D122" i="18" s="1"/>
  <c r="D23" i="9"/>
  <c r="D121" i="18" s="1"/>
  <c r="D22" i="9"/>
  <c r="D120" i="18" s="1"/>
  <c r="D21" i="9"/>
  <c r="D119" i="18" s="1"/>
  <c r="D20" i="9"/>
  <c r="D118" i="18" s="1"/>
  <c r="D19" i="9"/>
  <c r="D117" i="18" s="1"/>
  <c r="D18" i="9"/>
  <c r="D116" i="18" s="1"/>
  <c r="D17" i="9"/>
  <c r="D115" i="18" s="1"/>
  <c r="D16" i="9"/>
  <c r="D114" i="18" s="1"/>
  <c r="D15" i="9"/>
  <c r="D113" i="18" s="1"/>
  <c r="D14" i="9"/>
  <c r="D112" i="18" s="1"/>
  <c r="D13" i="9"/>
  <c r="D111" i="18" s="1"/>
  <c r="D12" i="9"/>
  <c r="D110" i="18" s="1"/>
  <c r="D11" i="9"/>
  <c r="D109" i="18" s="1"/>
  <c r="D10" i="9"/>
  <c r="D108" i="18" s="1"/>
  <c r="D9" i="9"/>
  <c r="D107" i="18" s="1"/>
  <c r="D8" i="9"/>
  <c r="D106" i="18" s="1"/>
  <c r="D7" i="9"/>
  <c r="D105" i="18" s="1"/>
  <c r="D6" i="9"/>
  <c r="D104" i="18" s="1"/>
  <c r="D5" i="9"/>
  <c r="D103" i="18" s="1"/>
  <c r="D4" i="9"/>
  <c r="AB44" i="1" l="1"/>
  <c r="AB45" i="1"/>
  <c r="C22" i="1"/>
  <c r="C17" i="1"/>
  <c r="W622" i="18"/>
  <c r="C21" i="1"/>
  <c r="X622" i="18"/>
  <c r="W231" i="18"/>
  <c r="C20" i="1"/>
  <c r="C19" i="1"/>
  <c r="C18" i="1"/>
  <c r="W817" i="18"/>
  <c r="X817" i="18"/>
  <c r="W426" i="18"/>
  <c r="X426" i="18"/>
  <c r="W35" i="18"/>
  <c r="X35" i="18"/>
  <c r="W1001" i="18"/>
  <c r="X1001" i="18"/>
  <c r="X1000" i="18"/>
  <c r="W1000" i="18"/>
  <c r="X999" i="18"/>
  <c r="W999" i="18"/>
  <c r="X998" i="18"/>
  <c r="W998" i="18"/>
  <c r="W997" i="18"/>
  <c r="X997" i="18"/>
  <c r="W996" i="18"/>
  <c r="X996" i="18"/>
  <c r="W995" i="18"/>
  <c r="X995" i="18"/>
  <c r="W994" i="18"/>
  <c r="X994" i="18"/>
  <c r="X993" i="18"/>
  <c r="W993" i="18"/>
  <c r="X992" i="18"/>
  <c r="W992" i="18"/>
  <c r="W991" i="18"/>
  <c r="X991" i="18"/>
  <c r="X990" i="18"/>
  <c r="W990" i="18"/>
  <c r="W989" i="18"/>
  <c r="X989" i="18"/>
  <c r="W988" i="18"/>
  <c r="X988" i="18"/>
  <c r="X987" i="18"/>
  <c r="W987" i="18"/>
  <c r="X986" i="18"/>
  <c r="W986" i="18"/>
  <c r="X985" i="18"/>
  <c r="W985" i="18"/>
  <c r="X984" i="18"/>
  <c r="W984" i="18"/>
  <c r="X983" i="18"/>
  <c r="W983" i="18"/>
  <c r="X982" i="18"/>
  <c r="W982" i="18"/>
  <c r="X981" i="18"/>
  <c r="W981" i="18"/>
  <c r="X980" i="18"/>
  <c r="W980" i="18"/>
  <c r="X979" i="18"/>
  <c r="W979" i="18"/>
  <c r="W978" i="18"/>
  <c r="X978" i="18"/>
  <c r="W977" i="18"/>
  <c r="X977" i="18"/>
  <c r="W976" i="18"/>
  <c r="X976" i="18"/>
  <c r="X975" i="18"/>
  <c r="W975" i="18"/>
  <c r="X974" i="18"/>
  <c r="W974" i="18"/>
  <c r="W973" i="18"/>
  <c r="X973" i="18"/>
  <c r="W972" i="18"/>
  <c r="X972" i="18"/>
  <c r="W971" i="18"/>
  <c r="X971" i="18"/>
  <c r="W970" i="18"/>
  <c r="X970" i="18"/>
  <c r="X969" i="18"/>
  <c r="W969" i="18"/>
  <c r="X968" i="18"/>
  <c r="W968" i="18"/>
  <c r="X967" i="18"/>
  <c r="W967" i="18"/>
  <c r="W966" i="18"/>
  <c r="X966" i="18"/>
  <c r="W965" i="18"/>
  <c r="X965" i="18"/>
  <c r="W964" i="18"/>
  <c r="X964" i="18"/>
  <c r="W963" i="18"/>
  <c r="X963" i="18"/>
  <c r="W962" i="18"/>
  <c r="X962" i="18"/>
  <c r="X961" i="18"/>
  <c r="W961" i="18"/>
  <c r="X960" i="18"/>
  <c r="W960" i="18"/>
  <c r="X959" i="18"/>
  <c r="W959" i="18"/>
  <c r="X958" i="18"/>
  <c r="W958" i="18"/>
  <c r="X957" i="18"/>
  <c r="W957" i="18"/>
  <c r="W956" i="18"/>
  <c r="X956" i="18"/>
  <c r="W955" i="18"/>
  <c r="X955" i="18"/>
  <c r="X954" i="18"/>
  <c r="W954" i="18"/>
  <c r="W953" i="18"/>
  <c r="X953" i="18"/>
  <c r="W952" i="18"/>
  <c r="X952" i="18"/>
  <c r="W951" i="18"/>
  <c r="X951" i="18"/>
  <c r="X950" i="18"/>
  <c r="W950" i="18"/>
  <c r="W949" i="18"/>
  <c r="X949" i="18"/>
  <c r="W948" i="18"/>
  <c r="X948" i="18"/>
  <c r="W947" i="18"/>
  <c r="X947" i="18"/>
  <c r="W946" i="18"/>
  <c r="X946" i="18"/>
  <c r="W945" i="18"/>
  <c r="X945" i="18"/>
  <c r="W944" i="18"/>
  <c r="X944" i="18"/>
  <c r="W943" i="18"/>
  <c r="X943" i="18"/>
  <c r="X942" i="18"/>
  <c r="W942" i="18"/>
  <c r="X941" i="18"/>
  <c r="W941" i="18"/>
  <c r="W940" i="18"/>
  <c r="X940" i="18"/>
  <c r="W939" i="18"/>
  <c r="X939" i="18"/>
  <c r="W938" i="18"/>
  <c r="X938" i="18"/>
  <c r="W937" i="18"/>
  <c r="X937" i="18"/>
  <c r="W936" i="18"/>
  <c r="X936" i="18"/>
  <c r="X935" i="18"/>
  <c r="W935" i="18"/>
  <c r="X934" i="18"/>
  <c r="W934" i="18"/>
  <c r="X933" i="18"/>
  <c r="W933" i="18"/>
  <c r="X932" i="18"/>
  <c r="W932" i="18"/>
  <c r="X931" i="18"/>
  <c r="W931" i="18"/>
  <c r="X930" i="18"/>
  <c r="W930" i="18"/>
  <c r="X929" i="18"/>
  <c r="W929" i="18"/>
  <c r="X928" i="18"/>
  <c r="W928" i="18"/>
  <c r="X927" i="18"/>
  <c r="W927" i="18"/>
  <c r="W926" i="18"/>
  <c r="X926" i="18"/>
  <c r="W925" i="18"/>
  <c r="X925" i="18"/>
  <c r="W924" i="18"/>
  <c r="X924" i="18"/>
  <c r="W923" i="18"/>
  <c r="X923" i="18"/>
  <c r="X922" i="18"/>
  <c r="W922" i="18"/>
  <c r="X921" i="18"/>
  <c r="W921" i="18"/>
  <c r="W920" i="18"/>
  <c r="X920" i="18"/>
  <c r="W919" i="18"/>
  <c r="X919" i="18"/>
  <c r="W918" i="18"/>
  <c r="X918" i="18"/>
  <c r="W917" i="18"/>
  <c r="X917" i="18"/>
  <c r="X916" i="18"/>
  <c r="W916" i="18"/>
  <c r="X915" i="18"/>
  <c r="W915" i="18"/>
  <c r="X914" i="18"/>
  <c r="W914" i="18"/>
  <c r="X913" i="18"/>
  <c r="W913" i="18"/>
  <c r="X912" i="18"/>
  <c r="W912" i="18"/>
  <c r="X911" i="18"/>
  <c r="W911" i="18"/>
  <c r="W910" i="18"/>
  <c r="X910" i="18"/>
  <c r="W909" i="18"/>
  <c r="X909" i="18"/>
  <c r="W908" i="18"/>
  <c r="X908" i="18"/>
  <c r="W907" i="18"/>
  <c r="X907" i="18"/>
  <c r="W906" i="18"/>
  <c r="X906" i="18"/>
  <c r="W905" i="18"/>
  <c r="X905" i="18"/>
  <c r="W904" i="18"/>
  <c r="X904" i="18"/>
  <c r="W903" i="18"/>
  <c r="X903" i="18"/>
  <c r="W902" i="18"/>
  <c r="X902" i="18"/>
  <c r="W901" i="18"/>
  <c r="X901" i="18"/>
  <c r="X900" i="18"/>
  <c r="W900" i="18"/>
  <c r="X899" i="18"/>
  <c r="W899" i="18"/>
  <c r="X898" i="18"/>
  <c r="W898" i="18"/>
  <c r="X897" i="18"/>
  <c r="W897" i="18"/>
  <c r="W896" i="18"/>
  <c r="X896" i="18"/>
  <c r="X895" i="18"/>
  <c r="W895" i="18"/>
  <c r="X894" i="18"/>
  <c r="W894" i="18"/>
  <c r="X893" i="18"/>
  <c r="W893" i="18"/>
  <c r="X892" i="18"/>
  <c r="W892" i="18"/>
  <c r="X891" i="18"/>
  <c r="W891" i="18"/>
  <c r="W890" i="18"/>
  <c r="X890" i="18"/>
  <c r="W889" i="18"/>
  <c r="X889" i="18"/>
  <c r="W888" i="18"/>
  <c r="X888" i="18"/>
  <c r="W887" i="18"/>
  <c r="X887" i="18"/>
  <c r="W886" i="18"/>
  <c r="X886" i="18"/>
  <c r="W885" i="18"/>
  <c r="X885" i="18"/>
  <c r="X884" i="18"/>
  <c r="W884" i="18"/>
  <c r="X883" i="18"/>
  <c r="W883" i="18"/>
  <c r="X882" i="18"/>
  <c r="W882" i="18"/>
  <c r="X881" i="18"/>
  <c r="W881" i="18"/>
  <c r="W880" i="18"/>
  <c r="X880" i="18"/>
  <c r="X879" i="18"/>
  <c r="W879" i="18"/>
  <c r="X878" i="18"/>
  <c r="W878" i="18"/>
  <c r="X877" i="18"/>
  <c r="W877" i="18"/>
  <c r="X876" i="18"/>
  <c r="W876" i="18"/>
  <c r="W875" i="18"/>
  <c r="X875" i="18"/>
  <c r="W874" i="18"/>
  <c r="X874" i="18"/>
  <c r="W873" i="18"/>
  <c r="X873" i="18"/>
  <c r="W872" i="18"/>
  <c r="X872" i="18"/>
  <c r="W871" i="18"/>
  <c r="X871" i="18"/>
  <c r="W870" i="18"/>
  <c r="X870" i="18"/>
  <c r="W869" i="18"/>
  <c r="X869" i="18"/>
  <c r="W868" i="18"/>
  <c r="X868" i="18"/>
  <c r="X867" i="18"/>
  <c r="W867" i="18"/>
  <c r="X866" i="18"/>
  <c r="W866" i="18"/>
  <c r="X865" i="18"/>
  <c r="W865" i="18"/>
  <c r="X864" i="18"/>
  <c r="W864" i="18"/>
  <c r="X863" i="18"/>
  <c r="W863" i="18"/>
  <c r="W862" i="18"/>
  <c r="X862" i="18"/>
  <c r="X861" i="18"/>
  <c r="W861" i="18"/>
  <c r="X860" i="18"/>
  <c r="W860" i="18"/>
  <c r="X859" i="18"/>
  <c r="W859" i="18"/>
  <c r="X858" i="18"/>
  <c r="W858" i="18"/>
  <c r="X857" i="18"/>
  <c r="W857" i="18"/>
  <c r="X856" i="18"/>
  <c r="W856" i="18"/>
  <c r="X855" i="18"/>
  <c r="W855" i="18"/>
  <c r="X854" i="18"/>
  <c r="W854" i="18"/>
  <c r="W853" i="18"/>
  <c r="X853" i="18"/>
  <c r="W852" i="18"/>
  <c r="X852" i="18"/>
  <c r="W851" i="18"/>
  <c r="X851" i="18"/>
  <c r="W850" i="18"/>
  <c r="X850" i="18"/>
  <c r="X849" i="18"/>
  <c r="W849" i="18"/>
  <c r="W848" i="18"/>
  <c r="X848" i="18"/>
  <c r="W847" i="18"/>
  <c r="X847" i="18"/>
  <c r="W846" i="18"/>
  <c r="X846" i="18"/>
  <c r="W845" i="18"/>
  <c r="X845" i="18"/>
  <c r="X844" i="18"/>
  <c r="W844" i="18"/>
  <c r="X843" i="18"/>
  <c r="W843" i="18"/>
  <c r="X842" i="18"/>
  <c r="W842" i="18"/>
  <c r="X841" i="18"/>
  <c r="W841" i="18"/>
  <c r="X840" i="18"/>
  <c r="W840" i="18"/>
  <c r="X839" i="18"/>
  <c r="W839" i="18"/>
  <c r="W838" i="18"/>
  <c r="X838" i="18"/>
  <c r="X837" i="18"/>
  <c r="W837" i="18"/>
  <c r="X836" i="18"/>
  <c r="W836" i="18"/>
  <c r="X835" i="18"/>
  <c r="W835" i="18"/>
  <c r="X834" i="18"/>
  <c r="W834" i="18"/>
  <c r="X833" i="18"/>
  <c r="W833" i="18"/>
  <c r="W832" i="18"/>
  <c r="X832" i="18"/>
  <c r="W831" i="18"/>
  <c r="X831" i="18"/>
  <c r="W830" i="18"/>
  <c r="X830" i="18"/>
  <c r="W829" i="18"/>
  <c r="X829" i="18"/>
  <c r="W828" i="18"/>
  <c r="X828" i="18"/>
  <c r="X827" i="18"/>
  <c r="W827" i="18"/>
  <c r="W826" i="18"/>
  <c r="X826" i="18"/>
  <c r="W825" i="18"/>
  <c r="X825" i="18"/>
  <c r="W824" i="18"/>
  <c r="X824" i="18"/>
  <c r="W823" i="18"/>
  <c r="X823" i="18"/>
  <c r="W822" i="18"/>
  <c r="X822" i="18"/>
  <c r="X821" i="18"/>
  <c r="W821" i="18"/>
  <c r="X820" i="18"/>
  <c r="W820" i="18"/>
  <c r="X819" i="18"/>
  <c r="W819" i="18"/>
  <c r="X818" i="18"/>
  <c r="W818" i="18"/>
  <c r="X816" i="18"/>
  <c r="W816" i="18"/>
  <c r="X815" i="18"/>
  <c r="W815" i="18"/>
  <c r="X814" i="18"/>
  <c r="W814" i="18"/>
  <c r="X813" i="18"/>
  <c r="W813" i="18"/>
  <c r="X812" i="18"/>
  <c r="W812" i="18"/>
  <c r="X811" i="18"/>
  <c r="W811" i="18"/>
  <c r="X810" i="18"/>
  <c r="W810" i="18"/>
  <c r="W809" i="18"/>
  <c r="X809" i="18"/>
  <c r="X808" i="18"/>
  <c r="W808" i="18"/>
  <c r="W807" i="18"/>
  <c r="X807" i="18"/>
  <c r="X806" i="18"/>
  <c r="W806" i="18"/>
  <c r="W805" i="18"/>
  <c r="X805" i="18"/>
  <c r="W804" i="18"/>
  <c r="X804" i="18"/>
  <c r="W803" i="18"/>
  <c r="X803" i="18"/>
  <c r="W802" i="18"/>
  <c r="X802" i="18"/>
  <c r="W801" i="18"/>
  <c r="X801" i="18"/>
  <c r="W800" i="18"/>
  <c r="X800" i="18"/>
  <c r="W799" i="18"/>
  <c r="X799" i="18"/>
  <c r="X798" i="18"/>
  <c r="W798" i="18"/>
  <c r="X797" i="18"/>
  <c r="W797" i="18"/>
  <c r="X796" i="18"/>
  <c r="W796" i="18"/>
  <c r="X795" i="18"/>
  <c r="W795" i="18"/>
  <c r="X794" i="18"/>
  <c r="W794" i="18"/>
  <c r="X793" i="18"/>
  <c r="W793" i="18"/>
  <c r="X792" i="18"/>
  <c r="W792" i="18"/>
  <c r="W791" i="18"/>
  <c r="X791" i="18"/>
  <c r="W790" i="18"/>
  <c r="X790" i="18"/>
  <c r="W789" i="18"/>
  <c r="X789" i="18"/>
  <c r="W788" i="18"/>
  <c r="X788" i="18"/>
  <c r="X787" i="18"/>
  <c r="W787" i="18"/>
  <c r="W786" i="18"/>
  <c r="X786" i="18"/>
  <c r="X785" i="18"/>
  <c r="W785" i="18"/>
  <c r="X784" i="18"/>
  <c r="W784" i="18"/>
  <c r="W783" i="18"/>
  <c r="X783" i="18"/>
  <c r="W782" i="18"/>
  <c r="X782" i="18"/>
  <c r="X781" i="18"/>
  <c r="W781" i="18"/>
  <c r="W780" i="18"/>
  <c r="X780" i="18"/>
  <c r="X779" i="18"/>
  <c r="W779" i="18"/>
  <c r="W778" i="18"/>
  <c r="X778" i="18"/>
  <c r="W777" i="18"/>
  <c r="X777" i="18"/>
  <c r="W776" i="18"/>
  <c r="X776" i="18"/>
  <c r="W775" i="18"/>
  <c r="X775" i="18"/>
  <c r="W774" i="18"/>
  <c r="X774" i="18"/>
  <c r="W773" i="18"/>
  <c r="X773" i="18"/>
  <c r="W772" i="18"/>
  <c r="X772" i="18"/>
  <c r="X771" i="18"/>
  <c r="W771" i="18"/>
  <c r="X770" i="18"/>
  <c r="W770" i="18"/>
  <c r="X769" i="18"/>
  <c r="W769" i="18"/>
  <c r="X768" i="18"/>
  <c r="W768" i="18"/>
  <c r="W767" i="18"/>
  <c r="X767" i="18"/>
  <c r="W766" i="18"/>
  <c r="X766" i="18"/>
  <c r="W765" i="18"/>
  <c r="X765" i="18"/>
  <c r="W764" i="18"/>
  <c r="X764" i="18"/>
  <c r="W763" i="18"/>
  <c r="X763" i="18"/>
  <c r="W762" i="18"/>
  <c r="X762" i="18"/>
  <c r="W761" i="18"/>
  <c r="X761" i="18"/>
  <c r="X760" i="18"/>
  <c r="W760" i="18"/>
  <c r="X759" i="18"/>
  <c r="W759" i="18"/>
  <c r="X758" i="18"/>
  <c r="W758" i="18"/>
  <c r="W757" i="18"/>
  <c r="X757" i="18"/>
  <c r="W756" i="18"/>
  <c r="X756" i="18"/>
  <c r="X755" i="18"/>
  <c r="W755" i="18"/>
  <c r="X754" i="18"/>
  <c r="W754" i="18"/>
  <c r="W753" i="18"/>
  <c r="X753" i="18"/>
  <c r="X752" i="18"/>
  <c r="W752" i="18"/>
  <c r="X751" i="18"/>
  <c r="W751" i="18"/>
  <c r="X750" i="18"/>
  <c r="W750" i="18"/>
  <c r="X749" i="18"/>
  <c r="W749" i="18"/>
  <c r="X748" i="18"/>
  <c r="W748" i="18"/>
  <c r="X747" i="18"/>
  <c r="W747" i="18"/>
  <c r="X746" i="18"/>
  <c r="W746" i="18"/>
  <c r="W745" i="18"/>
  <c r="X745" i="18"/>
  <c r="W744" i="18"/>
  <c r="X744" i="18"/>
  <c r="X743" i="18"/>
  <c r="W743" i="18"/>
  <c r="X742" i="18"/>
  <c r="W742" i="18"/>
  <c r="X741" i="18"/>
  <c r="W741" i="18"/>
  <c r="X740" i="18"/>
  <c r="W740" i="18"/>
  <c r="X739" i="18"/>
  <c r="W739" i="18"/>
  <c r="X738" i="18"/>
  <c r="W738" i="18"/>
  <c r="X737" i="18"/>
  <c r="W737" i="18"/>
  <c r="W736" i="18"/>
  <c r="X736" i="18"/>
  <c r="W735" i="18"/>
  <c r="X735" i="18"/>
  <c r="W734" i="18"/>
  <c r="X734" i="18"/>
  <c r="X733" i="18"/>
  <c r="W733" i="18"/>
  <c r="X732" i="18"/>
  <c r="W732" i="18"/>
  <c r="W731" i="18"/>
  <c r="X731" i="18"/>
  <c r="W730" i="18"/>
  <c r="X730" i="18"/>
  <c r="W729" i="18"/>
  <c r="X729" i="18"/>
  <c r="W728" i="18"/>
  <c r="X728" i="18"/>
  <c r="X727" i="18"/>
  <c r="W727" i="18"/>
  <c r="X726" i="18"/>
  <c r="W726" i="18"/>
  <c r="X725" i="18"/>
  <c r="W725" i="18"/>
  <c r="W724" i="18"/>
  <c r="X724" i="18"/>
  <c r="X723" i="18"/>
  <c r="W723" i="18"/>
  <c r="X722" i="18"/>
  <c r="W722" i="18"/>
  <c r="X721" i="18"/>
  <c r="W721" i="18"/>
  <c r="X720" i="18"/>
  <c r="W720" i="18"/>
  <c r="X719" i="18"/>
  <c r="W719" i="18"/>
  <c r="X718" i="18"/>
  <c r="W718" i="18"/>
  <c r="X717" i="18"/>
  <c r="W717" i="18"/>
  <c r="X716" i="18"/>
  <c r="W716" i="18"/>
  <c r="X715" i="18"/>
  <c r="W715" i="18"/>
  <c r="X714" i="18"/>
  <c r="W714" i="18"/>
  <c r="X713" i="18"/>
  <c r="W713" i="18"/>
  <c r="X712" i="18"/>
  <c r="W712" i="18"/>
  <c r="X711" i="18"/>
  <c r="W711" i="18"/>
  <c r="X710" i="18"/>
  <c r="W710" i="18"/>
  <c r="X709" i="18"/>
  <c r="W709" i="18"/>
  <c r="X708" i="18"/>
  <c r="W708" i="18"/>
  <c r="X707" i="18"/>
  <c r="W707" i="18"/>
  <c r="X706" i="18"/>
  <c r="W706" i="18"/>
  <c r="X705" i="18"/>
  <c r="W705" i="18"/>
  <c r="X704" i="18"/>
  <c r="W704" i="18"/>
  <c r="X703" i="18"/>
  <c r="W703" i="18"/>
  <c r="X702" i="18"/>
  <c r="W702" i="18"/>
  <c r="X701" i="18"/>
  <c r="W701" i="18"/>
  <c r="X700" i="18"/>
  <c r="W700" i="18"/>
  <c r="X699" i="18"/>
  <c r="W699" i="18"/>
  <c r="X698" i="18"/>
  <c r="W698" i="18"/>
  <c r="X697" i="18"/>
  <c r="W697" i="18"/>
  <c r="X696" i="18"/>
  <c r="W696" i="18"/>
  <c r="X695" i="18"/>
  <c r="W695" i="18"/>
  <c r="X694" i="18"/>
  <c r="W694" i="18"/>
  <c r="X693" i="18"/>
  <c r="W693" i="18"/>
  <c r="X692" i="18"/>
  <c r="W692" i="18"/>
  <c r="X691" i="18"/>
  <c r="W691" i="18"/>
  <c r="X690" i="18"/>
  <c r="W690" i="18"/>
  <c r="X689" i="18"/>
  <c r="W689" i="18"/>
  <c r="X688" i="18"/>
  <c r="W688" i="18"/>
  <c r="X687" i="18"/>
  <c r="W687" i="18"/>
  <c r="X686" i="18"/>
  <c r="W686" i="18"/>
  <c r="X685" i="18"/>
  <c r="W685" i="18"/>
  <c r="X684" i="18"/>
  <c r="W684" i="18"/>
  <c r="W683" i="18"/>
  <c r="X683" i="18"/>
  <c r="X682" i="18"/>
  <c r="W682" i="18"/>
  <c r="W681" i="18"/>
  <c r="X681" i="18"/>
  <c r="X680" i="18"/>
  <c r="W680" i="18"/>
  <c r="X679" i="18"/>
  <c r="W679" i="18"/>
  <c r="X678" i="18"/>
  <c r="W678" i="18"/>
  <c r="X677" i="18"/>
  <c r="W677" i="18"/>
  <c r="X676" i="18"/>
  <c r="W676" i="18"/>
  <c r="X675" i="18"/>
  <c r="W675" i="18"/>
  <c r="X674" i="18"/>
  <c r="W674" i="18"/>
  <c r="X673" i="18"/>
  <c r="W673" i="18"/>
  <c r="X672" i="18"/>
  <c r="W672" i="18"/>
  <c r="X671" i="18"/>
  <c r="W671" i="18"/>
  <c r="W670" i="18"/>
  <c r="X670" i="18"/>
  <c r="W669" i="18"/>
  <c r="X669" i="18"/>
  <c r="X668" i="18"/>
  <c r="W668" i="18"/>
  <c r="X667" i="18"/>
  <c r="W667" i="18"/>
  <c r="X666" i="18"/>
  <c r="W666" i="18"/>
  <c r="X665" i="18"/>
  <c r="W665" i="18"/>
  <c r="X664" i="18"/>
  <c r="W664" i="18"/>
  <c r="X663" i="18"/>
  <c r="W663" i="18"/>
  <c r="X662" i="18"/>
  <c r="W662" i="18"/>
  <c r="X661" i="18"/>
  <c r="W661" i="18"/>
  <c r="X660" i="18"/>
  <c r="W660" i="18"/>
  <c r="X659" i="18"/>
  <c r="W659" i="18"/>
  <c r="X658" i="18"/>
  <c r="W658" i="18"/>
  <c r="W657" i="18"/>
  <c r="X657" i="18"/>
  <c r="X656" i="18"/>
  <c r="W656" i="18"/>
  <c r="X655" i="18"/>
  <c r="W655" i="18"/>
  <c r="X654" i="18"/>
  <c r="W654" i="18"/>
  <c r="X653" i="18"/>
  <c r="W653" i="18"/>
  <c r="X652" i="18"/>
  <c r="W652" i="18"/>
  <c r="X651" i="18"/>
  <c r="W651" i="18"/>
  <c r="X650" i="18"/>
  <c r="W650" i="18"/>
  <c r="X649" i="18"/>
  <c r="W649" i="18"/>
  <c r="X648" i="18"/>
  <c r="W648" i="18"/>
  <c r="X647" i="18"/>
  <c r="W647" i="18"/>
  <c r="X646" i="18"/>
  <c r="W646" i="18"/>
  <c r="X645" i="18"/>
  <c r="W645" i="18"/>
  <c r="X644" i="18"/>
  <c r="W644" i="18"/>
  <c r="X643" i="18"/>
  <c r="W643" i="18"/>
  <c r="X642" i="18"/>
  <c r="W642" i="18"/>
  <c r="X641" i="18"/>
  <c r="W641" i="18"/>
  <c r="X640" i="18"/>
  <c r="W640" i="18"/>
  <c r="X639" i="18"/>
  <c r="W639" i="18"/>
  <c r="W638" i="18"/>
  <c r="X638" i="18"/>
  <c r="X637" i="18"/>
  <c r="W637" i="18"/>
  <c r="X636" i="18"/>
  <c r="W636" i="18"/>
  <c r="W635" i="18"/>
  <c r="X635" i="18"/>
  <c r="W634" i="18"/>
  <c r="X634" i="18"/>
  <c r="X633" i="18"/>
  <c r="W633" i="18"/>
  <c r="X632" i="18"/>
  <c r="W632" i="18"/>
  <c r="X631" i="18"/>
  <c r="W631" i="18"/>
  <c r="X630" i="18"/>
  <c r="W630" i="18"/>
  <c r="X629" i="18"/>
  <c r="W629" i="18"/>
  <c r="X628" i="18"/>
  <c r="W628" i="18"/>
  <c r="X627" i="18"/>
  <c r="W627" i="18"/>
  <c r="X626" i="18"/>
  <c r="W626" i="18"/>
  <c r="W625" i="18"/>
  <c r="X625" i="18"/>
  <c r="W624" i="18"/>
  <c r="X624" i="18"/>
  <c r="X623" i="18"/>
  <c r="W623" i="18"/>
  <c r="X621" i="18"/>
  <c r="W621" i="18"/>
  <c r="X620" i="18"/>
  <c r="W620" i="18"/>
  <c r="X619" i="18"/>
  <c r="W619" i="18"/>
  <c r="X618" i="18"/>
  <c r="W618" i="18"/>
  <c r="X617" i="18"/>
  <c r="W617" i="18"/>
  <c r="X616" i="18"/>
  <c r="W616" i="18"/>
  <c r="X615" i="18"/>
  <c r="W615" i="18"/>
  <c r="X614" i="18"/>
  <c r="W614" i="18"/>
  <c r="X613" i="18"/>
  <c r="W613" i="18"/>
  <c r="W612" i="18"/>
  <c r="X612" i="18"/>
  <c r="X611" i="18"/>
  <c r="W611" i="18"/>
  <c r="X610" i="18"/>
  <c r="W610" i="18"/>
  <c r="X609" i="18"/>
  <c r="W609" i="18"/>
  <c r="X608" i="18"/>
  <c r="W608" i="18"/>
  <c r="X607" i="18"/>
  <c r="W607" i="18"/>
  <c r="X606" i="18"/>
  <c r="W606" i="18"/>
  <c r="W605" i="18"/>
  <c r="X605" i="18"/>
  <c r="W604" i="18"/>
  <c r="X604" i="18"/>
  <c r="W603" i="18"/>
  <c r="X603" i="18"/>
  <c r="X602" i="18"/>
  <c r="W602" i="18"/>
  <c r="W601" i="18"/>
  <c r="X601" i="18"/>
  <c r="W600" i="18"/>
  <c r="X600" i="18"/>
  <c r="W599" i="18"/>
  <c r="X599" i="18"/>
  <c r="W598" i="18"/>
  <c r="X598" i="18"/>
  <c r="W597" i="18"/>
  <c r="X597" i="18"/>
  <c r="W596" i="18"/>
  <c r="X596" i="18"/>
  <c r="X595" i="18"/>
  <c r="W595" i="18"/>
  <c r="X594" i="18"/>
  <c r="W594" i="18"/>
  <c r="X593" i="18"/>
  <c r="W593" i="18"/>
  <c r="X592" i="18"/>
  <c r="W592" i="18"/>
  <c r="X591" i="18"/>
  <c r="W591" i="18"/>
  <c r="X590" i="18"/>
  <c r="W590" i="18"/>
  <c r="X589" i="18"/>
  <c r="W589" i="18"/>
  <c r="X588" i="18"/>
  <c r="W588" i="18"/>
  <c r="X587" i="18"/>
  <c r="W587" i="18"/>
  <c r="X586" i="18"/>
  <c r="W586" i="18"/>
  <c r="X585" i="18"/>
  <c r="W585" i="18"/>
  <c r="W584" i="18"/>
  <c r="X584" i="18"/>
  <c r="W583" i="18"/>
  <c r="X583" i="18"/>
  <c r="W582" i="18"/>
  <c r="X582" i="18"/>
  <c r="W581" i="18"/>
  <c r="X581" i="18"/>
  <c r="W580" i="18"/>
  <c r="X580" i="18"/>
  <c r="W579" i="18"/>
  <c r="X579" i="18"/>
  <c r="W578" i="18"/>
  <c r="X578" i="18"/>
  <c r="X577" i="18"/>
  <c r="W577" i="18"/>
  <c r="X576" i="18"/>
  <c r="W576" i="18"/>
  <c r="X575" i="18"/>
  <c r="W575" i="18"/>
  <c r="X574" i="18"/>
  <c r="W574" i="18"/>
  <c r="X573" i="18"/>
  <c r="W573" i="18"/>
  <c r="W572" i="18"/>
  <c r="X572" i="18"/>
  <c r="W571" i="18"/>
  <c r="X571" i="18"/>
  <c r="X570" i="18"/>
  <c r="W570" i="18"/>
  <c r="W569" i="18"/>
  <c r="X569" i="18"/>
  <c r="W568" i="18"/>
  <c r="X568" i="18"/>
  <c r="W567" i="18"/>
  <c r="X567" i="18"/>
  <c r="W566" i="18"/>
  <c r="X566" i="18"/>
  <c r="W565" i="18"/>
  <c r="X565" i="18"/>
  <c r="W564" i="18"/>
  <c r="X564" i="18"/>
  <c r="X563" i="18"/>
  <c r="W563" i="18"/>
  <c r="X562" i="18"/>
  <c r="W562" i="18"/>
  <c r="X561" i="18"/>
  <c r="W561" i="18"/>
  <c r="X560" i="18"/>
  <c r="W560" i="18"/>
  <c r="W559" i="18"/>
  <c r="X559" i="18"/>
  <c r="X558" i="18"/>
  <c r="W558" i="18"/>
  <c r="X557" i="18"/>
  <c r="W557" i="18"/>
  <c r="X556" i="18"/>
  <c r="W556" i="18"/>
  <c r="W555" i="18"/>
  <c r="X555" i="18"/>
  <c r="W554" i="18"/>
  <c r="X554" i="18"/>
  <c r="W553" i="18"/>
  <c r="X553" i="18"/>
  <c r="X552" i="18"/>
  <c r="W552" i="18"/>
  <c r="W551" i="18"/>
  <c r="X551" i="18"/>
  <c r="W550" i="18"/>
  <c r="X550" i="18"/>
  <c r="W549" i="18"/>
  <c r="X549" i="18"/>
  <c r="W548" i="18"/>
  <c r="X548" i="18"/>
  <c r="X547" i="18"/>
  <c r="W547" i="18"/>
  <c r="X546" i="18"/>
  <c r="W546" i="18"/>
  <c r="X545" i="18"/>
  <c r="W545" i="18"/>
  <c r="W544" i="18"/>
  <c r="X544" i="18"/>
  <c r="X543" i="18"/>
  <c r="W543" i="18"/>
  <c r="X542" i="18"/>
  <c r="W542" i="18"/>
  <c r="X541" i="18"/>
  <c r="W541" i="18"/>
  <c r="X540" i="18"/>
  <c r="W540" i="18"/>
  <c r="X539" i="18"/>
  <c r="W539" i="18"/>
  <c r="X538" i="18"/>
  <c r="W538" i="18"/>
  <c r="X537" i="18"/>
  <c r="W537" i="18"/>
  <c r="X536" i="18"/>
  <c r="W536" i="18"/>
  <c r="W535" i="18"/>
  <c r="X535" i="18"/>
  <c r="W534" i="18"/>
  <c r="X534" i="18"/>
  <c r="W533" i="18"/>
  <c r="X533" i="18"/>
  <c r="W532" i="18"/>
  <c r="X532" i="18"/>
  <c r="W531" i="18"/>
  <c r="X531" i="18"/>
  <c r="W530" i="18"/>
  <c r="X530" i="18"/>
  <c r="X529" i="18"/>
  <c r="W529" i="18"/>
  <c r="X528" i="18"/>
  <c r="W528" i="18"/>
  <c r="X527" i="18"/>
  <c r="W527" i="18"/>
  <c r="W526" i="18"/>
  <c r="X526" i="18"/>
  <c r="W525" i="18"/>
  <c r="X525" i="18"/>
  <c r="W524" i="18"/>
  <c r="X524" i="18"/>
  <c r="W523" i="18"/>
  <c r="X523" i="18"/>
  <c r="X522" i="18"/>
  <c r="W522" i="18"/>
  <c r="X521" i="18"/>
  <c r="W521" i="18"/>
  <c r="X520" i="18"/>
  <c r="W520" i="18"/>
  <c r="X519" i="18"/>
  <c r="W519" i="18"/>
  <c r="X518" i="18"/>
  <c r="W518" i="18"/>
  <c r="W517" i="18"/>
  <c r="X517" i="18"/>
  <c r="X516" i="18"/>
  <c r="W516" i="18"/>
  <c r="X515" i="18"/>
  <c r="W515" i="18"/>
  <c r="X514" i="18"/>
  <c r="W514" i="18"/>
  <c r="X513" i="18"/>
  <c r="W513" i="18"/>
  <c r="W512" i="18"/>
  <c r="X512" i="18"/>
  <c r="W511" i="18"/>
  <c r="X511" i="18"/>
  <c r="W510" i="18"/>
  <c r="X510" i="18"/>
  <c r="X509" i="18"/>
  <c r="W509" i="18"/>
  <c r="X508" i="18"/>
  <c r="W508" i="18"/>
  <c r="X507" i="18"/>
  <c r="W507" i="18"/>
  <c r="X506" i="18"/>
  <c r="W506" i="18"/>
  <c r="X505" i="18"/>
  <c r="W505" i="18"/>
  <c r="X504" i="18"/>
  <c r="W504" i="18"/>
  <c r="X503" i="18"/>
  <c r="W503" i="18"/>
  <c r="X502" i="18"/>
  <c r="W502" i="18"/>
  <c r="X501" i="18"/>
  <c r="W501" i="18"/>
  <c r="X500" i="18"/>
  <c r="W500" i="18"/>
  <c r="X499" i="18"/>
  <c r="W499" i="18"/>
  <c r="X498" i="18"/>
  <c r="W498" i="18"/>
  <c r="X497" i="18"/>
  <c r="W497" i="18"/>
  <c r="X496" i="18"/>
  <c r="W496" i="18"/>
  <c r="X495" i="18"/>
  <c r="W495" i="18"/>
  <c r="X494" i="18"/>
  <c r="W494" i="18"/>
  <c r="X493" i="18"/>
  <c r="W493" i="18"/>
  <c r="W492" i="18"/>
  <c r="X492" i="18"/>
  <c r="X491" i="18"/>
  <c r="W491" i="18"/>
  <c r="X490" i="18"/>
  <c r="W490" i="18"/>
  <c r="X489" i="18"/>
  <c r="W489" i="18"/>
  <c r="X488" i="18"/>
  <c r="W488" i="18"/>
  <c r="X487" i="18"/>
  <c r="W487" i="18"/>
  <c r="W486" i="18"/>
  <c r="X486" i="18"/>
  <c r="X485" i="18"/>
  <c r="W485" i="18"/>
  <c r="X484" i="18"/>
  <c r="W484" i="18"/>
  <c r="X483" i="18"/>
  <c r="W483" i="18"/>
  <c r="X482" i="18"/>
  <c r="W482" i="18"/>
  <c r="X481" i="18"/>
  <c r="W481" i="18"/>
  <c r="W480" i="18"/>
  <c r="X480" i="18"/>
  <c r="W479" i="18"/>
  <c r="X479" i="18"/>
  <c r="W478" i="18"/>
  <c r="X478" i="18"/>
  <c r="X477" i="18"/>
  <c r="W477" i="18"/>
  <c r="X476" i="18"/>
  <c r="W476" i="18"/>
  <c r="X475" i="18"/>
  <c r="W475" i="18"/>
  <c r="X474" i="18"/>
  <c r="W474" i="18"/>
  <c r="X473" i="18"/>
  <c r="W473" i="18"/>
  <c r="X472" i="18"/>
  <c r="W472" i="18"/>
  <c r="X471" i="18"/>
  <c r="W471" i="18"/>
  <c r="W470" i="18"/>
  <c r="X470" i="18"/>
  <c r="W469" i="18"/>
  <c r="X469" i="18"/>
  <c r="W468" i="18"/>
  <c r="X468" i="18"/>
  <c r="W467" i="18"/>
  <c r="X467" i="18"/>
  <c r="W466" i="18"/>
  <c r="X466" i="18"/>
  <c r="X465" i="18"/>
  <c r="W465" i="18"/>
  <c r="X464" i="18"/>
  <c r="W464" i="18"/>
  <c r="X463" i="18"/>
  <c r="W463" i="18"/>
  <c r="W462" i="18"/>
  <c r="X462" i="18"/>
  <c r="W461" i="18"/>
  <c r="X461" i="18"/>
  <c r="W460" i="18"/>
  <c r="X460" i="18"/>
  <c r="W459" i="18"/>
  <c r="X459" i="18"/>
  <c r="X458" i="18"/>
  <c r="W458" i="18"/>
  <c r="X457" i="18"/>
  <c r="W457" i="18"/>
  <c r="X456" i="18"/>
  <c r="W456" i="18"/>
  <c r="X455" i="18"/>
  <c r="W455" i="18"/>
  <c r="X454" i="18"/>
  <c r="W454" i="18"/>
  <c r="X453" i="18"/>
  <c r="W453" i="18"/>
  <c r="X452" i="18"/>
  <c r="W452" i="18"/>
  <c r="W451" i="18"/>
  <c r="X451" i="18"/>
  <c r="W450" i="18"/>
  <c r="X450" i="18"/>
  <c r="W449" i="18"/>
  <c r="X449" i="18"/>
  <c r="W448" i="18"/>
  <c r="X448" i="18"/>
  <c r="X447" i="18"/>
  <c r="W447" i="18"/>
  <c r="X446" i="18"/>
  <c r="W446" i="18"/>
  <c r="W445" i="18"/>
  <c r="X445" i="18"/>
  <c r="W444" i="18"/>
  <c r="X444" i="18"/>
  <c r="X443" i="18"/>
  <c r="W443" i="18"/>
  <c r="X442" i="18"/>
  <c r="W442" i="18"/>
  <c r="X441" i="18"/>
  <c r="W441" i="18"/>
  <c r="W440" i="18"/>
  <c r="X440" i="18"/>
  <c r="W439" i="18"/>
  <c r="X439" i="18"/>
  <c r="X438" i="18"/>
  <c r="W438" i="18"/>
  <c r="X437" i="18"/>
  <c r="W437" i="18"/>
  <c r="X436" i="18"/>
  <c r="W436" i="18"/>
  <c r="X435" i="18"/>
  <c r="W435" i="18"/>
  <c r="W434" i="18"/>
  <c r="X434" i="18"/>
  <c r="W433" i="18"/>
  <c r="X433" i="18"/>
  <c r="X432" i="18"/>
  <c r="W432" i="18"/>
  <c r="X431" i="18"/>
  <c r="W431" i="18"/>
  <c r="X430" i="18"/>
  <c r="W430" i="18"/>
  <c r="W429" i="18"/>
  <c r="X429" i="18"/>
  <c r="X428" i="18"/>
  <c r="W428" i="18"/>
  <c r="W427" i="18"/>
  <c r="X427" i="18"/>
  <c r="W425" i="18"/>
  <c r="X425" i="18"/>
  <c r="X424" i="18"/>
  <c r="W424" i="18"/>
  <c r="X423" i="18"/>
  <c r="W423" i="18"/>
  <c r="X422" i="18"/>
  <c r="W422" i="18"/>
  <c r="X421" i="18"/>
  <c r="W421" i="18"/>
  <c r="X420" i="18"/>
  <c r="W420" i="18"/>
  <c r="X419" i="18"/>
  <c r="W419" i="18"/>
  <c r="W418" i="18"/>
  <c r="X418" i="18"/>
  <c r="X417" i="18"/>
  <c r="W417" i="18"/>
  <c r="X416" i="18"/>
  <c r="W416" i="18"/>
  <c r="X415" i="18"/>
  <c r="W415" i="18"/>
  <c r="X414" i="18"/>
  <c r="W414" i="18"/>
  <c r="X413" i="18"/>
  <c r="W413" i="18"/>
  <c r="W412" i="18"/>
  <c r="X412" i="18"/>
  <c r="W411" i="18"/>
  <c r="X411" i="18"/>
  <c r="X410" i="18"/>
  <c r="W410" i="18"/>
  <c r="W409" i="18"/>
  <c r="X409" i="18"/>
  <c r="W408" i="18"/>
  <c r="X408" i="18"/>
  <c r="W407" i="18"/>
  <c r="X407" i="18"/>
  <c r="X406" i="18"/>
  <c r="W406" i="18"/>
  <c r="X405" i="18"/>
  <c r="W405" i="18"/>
  <c r="X404" i="18"/>
  <c r="W404" i="18"/>
  <c r="W403" i="18"/>
  <c r="X403" i="18"/>
  <c r="W402" i="18"/>
  <c r="X402" i="18"/>
  <c r="W401" i="18"/>
  <c r="X401" i="18"/>
  <c r="W400" i="18"/>
  <c r="X400" i="18"/>
  <c r="X399" i="18"/>
  <c r="W399" i="18"/>
  <c r="X398" i="18"/>
  <c r="W398" i="18"/>
  <c r="X397" i="18"/>
  <c r="W397" i="18"/>
  <c r="W396" i="18"/>
  <c r="X396" i="18"/>
  <c r="X395" i="18"/>
  <c r="W395" i="18"/>
  <c r="X394" i="18"/>
  <c r="W394" i="18"/>
  <c r="X393" i="18"/>
  <c r="W393" i="18"/>
  <c r="X392" i="18"/>
  <c r="W392" i="18"/>
  <c r="W391" i="18"/>
  <c r="X391" i="18"/>
  <c r="W390" i="18"/>
  <c r="X390" i="18"/>
  <c r="W389" i="18"/>
  <c r="X389" i="18"/>
  <c r="W388" i="18"/>
  <c r="X388" i="18"/>
  <c r="X387" i="18"/>
  <c r="W387" i="18"/>
  <c r="X386" i="18"/>
  <c r="W386" i="18"/>
  <c r="X385" i="18"/>
  <c r="W385" i="18"/>
  <c r="X384" i="18"/>
  <c r="W384" i="18"/>
  <c r="X383" i="18"/>
  <c r="W383" i="18"/>
  <c r="W382" i="18"/>
  <c r="X382" i="18"/>
  <c r="W381" i="18"/>
  <c r="X381" i="18"/>
  <c r="W380" i="18"/>
  <c r="X380" i="18"/>
  <c r="X379" i="18"/>
  <c r="W379" i="18"/>
  <c r="X378" i="18"/>
  <c r="W378" i="18"/>
  <c r="X377" i="18"/>
  <c r="W377" i="18"/>
  <c r="W376" i="18"/>
  <c r="X376" i="18"/>
  <c r="X375" i="18"/>
  <c r="W375" i="18"/>
  <c r="X374" i="18"/>
  <c r="W374" i="18"/>
  <c r="X373" i="18"/>
  <c r="W373" i="18"/>
  <c r="X372" i="18"/>
  <c r="W372" i="18"/>
  <c r="W371" i="18"/>
  <c r="X371" i="18"/>
  <c r="W370" i="18"/>
  <c r="X370" i="18"/>
  <c r="X369" i="18"/>
  <c r="W369" i="18"/>
  <c r="W368" i="18"/>
  <c r="X368" i="18"/>
  <c r="X367" i="18"/>
  <c r="W367" i="18"/>
  <c r="W366" i="18"/>
  <c r="X366" i="18"/>
  <c r="W365" i="18"/>
  <c r="X365" i="18"/>
  <c r="W364" i="18"/>
  <c r="X364" i="18"/>
  <c r="W363" i="18"/>
  <c r="X363" i="18"/>
  <c r="X362" i="18"/>
  <c r="W362" i="18"/>
  <c r="W361" i="18"/>
  <c r="X361" i="18"/>
  <c r="W360" i="18"/>
  <c r="X360" i="18"/>
  <c r="W359" i="18"/>
  <c r="X359" i="18"/>
  <c r="X358" i="18"/>
  <c r="W358" i="18"/>
  <c r="W357" i="18"/>
  <c r="X357" i="18"/>
  <c r="W356" i="18"/>
  <c r="X356" i="18"/>
  <c r="X355" i="18"/>
  <c r="W355" i="18"/>
  <c r="W354" i="18"/>
  <c r="X354" i="18"/>
  <c r="X353" i="18"/>
  <c r="W353" i="18"/>
  <c r="W352" i="18"/>
  <c r="X352" i="18"/>
  <c r="X351" i="18"/>
  <c r="W351" i="18"/>
  <c r="W350" i="18"/>
  <c r="X350" i="18"/>
  <c r="W349" i="18"/>
  <c r="X349" i="18"/>
  <c r="W348" i="18"/>
  <c r="X348" i="18"/>
  <c r="W347" i="18"/>
  <c r="X347" i="18"/>
  <c r="X346" i="18"/>
  <c r="W346" i="18"/>
  <c r="X345" i="18"/>
  <c r="W345" i="18"/>
  <c r="W344" i="18"/>
  <c r="X344" i="18"/>
  <c r="X343" i="18"/>
  <c r="W343" i="18"/>
  <c r="W342" i="18"/>
  <c r="X342" i="18"/>
  <c r="X341" i="18"/>
  <c r="W341" i="18"/>
  <c r="W340" i="18"/>
  <c r="X340" i="18"/>
  <c r="W339" i="18"/>
  <c r="X339" i="18"/>
  <c r="W338" i="18"/>
  <c r="X338" i="18"/>
  <c r="W337" i="18"/>
  <c r="X337" i="18"/>
  <c r="X336" i="18"/>
  <c r="W336" i="18"/>
  <c r="X335" i="18"/>
  <c r="W335" i="18"/>
  <c r="W334" i="18"/>
  <c r="X334" i="18"/>
  <c r="W333" i="18"/>
  <c r="X333" i="18"/>
  <c r="X332" i="18"/>
  <c r="W332" i="18"/>
  <c r="X331" i="18"/>
  <c r="W331" i="18"/>
  <c r="W330" i="18"/>
  <c r="X330" i="18"/>
  <c r="X329" i="18"/>
  <c r="W329" i="18"/>
  <c r="X328" i="18"/>
  <c r="W328" i="18"/>
  <c r="X327" i="18"/>
  <c r="W327" i="18"/>
  <c r="W326" i="18"/>
  <c r="X326" i="18"/>
  <c r="X325" i="18"/>
  <c r="W325" i="18"/>
  <c r="W324" i="18"/>
  <c r="X324" i="18"/>
  <c r="X323" i="18"/>
  <c r="W323" i="18"/>
  <c r="X322" i="18"/>
  <c r="W322" i="18"/>
  <c r="W321" i="18"/>
  <c r="X321" i="18"/>
  <c r="W320" i="18"/>
  <c r="X320" i="18"/>
  <c r="X319" i="18"/>
  <c r="W319" i="18"/>
  <c r="X318" i="18"/>
  <c r="W318" i="18"/>
  <c r="W317" i="18"/>
  <c r="X317" i="18"/>
  <c r="W316" i="18"/>
  <c r="X316" i="18"/>
  <c r="W315" i="18"/>
  <c r="X315" i="18"/>
  <c r="W314" i="18"/>
  <c r="X314" i="18"/>
  <c r="X313" i="18"/>
  <c r="W313" i="18"/>
  <c r="X312" i="18"/>
  <c r="W312" i="18"/>
  <c r="X311" i="18"/>
  <c r="W311" i="18"/>
  <c r="W310" i="18"/>
  <c r="X310" i="18"/>
  <c r="X309" i="18"/>
  <c r="W309" i="18"/>
  <c r="W308" i="18"/>
  <c r="X308" i="18"/>
  <c r="W307" i="18"/>
  <c r="X307" i="18"/>
  <c r="W306" i="18"/>
  <c r="X306" i="18"/>
  <c r="W305" i="18"/>
  <c r="X305" i="18"/>
  <c r="W304" i="18"/>
  <c r="X304" i="18"/>
  <c r="X303" i="18"/>
  <c r="W303" i="18"/>
  <c r="X302" i="18"/>
  <c r="W302" i="18"/>
  <c r="W301" i="18"/>
  <c r="X301" i="18"/>
  <c r="X300" i="18"/>
  <c r="W300" i="18"/>
  <c r="W299" i="18"/>
  <c r="X299" i="18"/>
  <c r="X298" i="18"/>
  <c r="W298" i="18"/>
  <c r="X297" i="18"/>
  <c r="W297" i="18"/>
  <c r="W296" i="18"/>
  <c r="X296" i="18"/>
  <c r="W295" i="18"/>
  <c r="X295" i="18"/>
  <c r="X294" i="18"/>
  <c r="W294" i="18"/>
  <c r="W293" i="18"/>
  <c r="X293" i="18"/>
  <c r="W292" i="18"/>
  <c r="X292" i="18"/>
  <c r="X291" i="18"/>
  <c r="W291" i="18"/>
  <c r="X290" i="18"/>
  <c r="W290" i="18"/>
  <c r="W289" i="18"/>
  <c r="X289" i="18"/>
  <c r="W288" i="18"/>
  <c r="X288" i="18"/>
  <c r="W287" i="18"/>
  <c r="X287" i="18"/>
  <c r="X286" i="18"/>
  <c r="W286" i="18"/>
  <c r="W285" i="18"/>
  <c r="X285" i="18"/>
  <c r="X284" i="18"/>
  <c r="W284" i="18"/>
  <c r="X283" i="18"/>
  <c r="W283" i="18"/>
  <c r="X282" i="18"/>
  <c r="W282" i="18"/>
  <c r="X281" i="18"/>
  <c r="W281" i="18"/>
  <c r="W280" i="18"/>
  <c r="X280" i="18"/>
  <c r="W279" i="18"/>
  <c r="X279" i="18"/>
  <c r="X278" i="18"/>
  <c r="W278" i="18"/>
  <c r="W277" i="18"/>
  <c r="X277" i="18"/>
  <c r="W276" i="18"/>
  <c r="X276" i="18"/>
  <c r="W275" i="18"/>
  <c r="X275" i="18"/>
  <c r="W274" i="18"/>
  <c r="X274" i="18"/>
  <c r="X273" i="18"/>
  <c r="W273" i="18"/>
  <c r="X272" i="18"/>
  <c r="W272" i="18"/>
  <c r="X271" i="18"/>
  <c r="W271" i="18"/>
  <c r="X270" i="18"/>
  <c r="W270" i="18"/>
  <c r="X269" i="18"/>
  <c r="W269" i="18"/>
  <c r="W268" i="18"/>
  <c r="X268" i="18"/>
  <c r="W267" i="18"/>
  <c r="X267" i="18"/>
  <c r="W266" i="18"/>
  <c r="X266" i="18"/>
  <c r="X265" i="18"/>
  <c r="W265" i="18"/>
  <c r="X264" i="18"/>
  <c r="W264" i="18"/>
  <c r="W263" i="18"/>
  <c r="X263" i="18"/>
  <c r="X262" i="18"/>
  <c r="W262" i="18"/>
  <c r="X261" i="18"/>
  <c r="W261" i="18"/>
  <c r="W260" i="18"/>
  <c r="X260" i="18"/>
  <c r="W259" i="18"/>
  <c r="X259" i="18"/>
  <c r="X258" i="18"/>
  <c r="W258" i="18"/>
  <c r="X257" i="18"/>
  <c r="W257" i="18"/>
  <c r="X256" i="18"/>
  <c r="W256" i="18"/>
  <c r="W255" i="18"/>
  <c r="X255" i="18"/>
  <c r="W254" i="18"/>
  <c r="X254" i="18"/>
  <c r="W253" i="18"/>
  <c r="X253" i="18"/>
  <c r="X252" i="18"/>
  <c r="W252" i="18"/>
  <c r="W251" i="18"/>
  <c r="X251" i="18"/>
  <c r="W250" i="18"/>
  <c r="X250" i="18"/>
  <c r="X249" i="18"/>
  <c r="W249" i="18"/>
  <c r="W248" i="18"/>
  <c r="X248" i="18"/>
  <c r="X247" i="18"/>
  <c r="W247" i="18"/>
  <c r="X246" i="18"/>
  <c r="W246" i="18"/>
  <c r="X245" i="18"/>
  <c r="W245" i="18"/>
  <c r="W244" i="18"/>
  <c r="X244" i="18"/>
  <c r="W243" i="18"/>
  <c r="X243" i="18"/>
  <c r="W242" i="18"/>
  <c r="X242" i="18"/>
  <c r="X241" i="18"/>
  <c r="W241" i="18"/>
  <c r="W240" i="18"/>
  <c r="X240" i="18"/>
  <c r="W239" i="18"/>
  <c r="X239" i="18"/>
  <c r="W238" i="18"/>
  <c r="X238" i="18"/>
  <c r="X237" i="18"/>
  <c r="W237" i="18"/>
  <c r="X236" i="18"/>
  <c r="W236" i="18"/>
  <c r="W235" i="18"/>
  <c r="X235" i="18"/>
  <c r="X234" i="18"/>
  <c r="W234" i="18"/>
  <c r="W233" i="18"/>
  <c r="X233" i="18"/>
  <c r="X232" i="18"/>
  <c r="W232" i="18"/>
  <c r="W230" i="18"/>
  <c r="X230" i="18"/>
  <c r="X229" i="18"/>
  <c r="W229" i="18"/>
  <c r="W228" i="18"/>
  <c r="X228" i="18"/>
  <c r="W227" i="18"/>
  <c r="X227" i="18"/>
  <c r="W226" i="18"/>
  <c r="X226" i="18"/>
  <c r="W225" i="18"/>
  <c r="X225" i="18"/>
  <c r="W224" i="18"/>
  <c r="X224" i="18"/>
  <c r="W223" i="18"/>
  <c r="X223" i="18"/>
  <c r="X222" i="18"/>
  <c r="W222" i="18"/>
  <c r="X221" i="18"/>
  <c r="W221" i="18"/>
  <c r="X220" i="18"/>
  <c r="W220" i="18"/>
  <c r="X219" i="18"/>
  <c r="W219" i="18"/>
  <c r="X218" i="18"/>
  <c r="W218" i="18"/>
  <c r="W217" i="18"/>
  <c r="X217" i="18"/>
  <c r="X216" i="18"/>
  <c r="W216" i="18"/>
  <c r="W215" i="18"/>
  <c r="X215" i="18"/>
  <c r="W214" i="18"/>
  <c r="X214" i="18"/>
  <c r="W213" i="18"/>
  <c r="X213" i="18"/>
  <c r="X212" i="18"/>
  <c r="W212" i="18"/>
  <c r="X211" i="18"/>
  <c r="W211" i="18"/>
  <c r="W210" i="18"/>
  <c r="X210" i="18"/>
  <c r="X209" i="18"/>
  <c r="W209" i="18"/>
  <c r="W208" i="18"/>
  <c r="X208" i="18"/>
  <c r="W207" i="18"/>
  <c r="X207" i="18"/>
  <c r="X206" i="18"/>
  <c r="W206" i="18"/>
  <c r="X205" i="18"/>
  <c r="W205" i="18"/>
  <c r="W204" i="18"/>
  <c r="X204" i="18"/>
  <c r="W203" i="18"/>
  <c r="X203" i="18"/>
  <c r="W202" i="18"/>
  <c r="X202" i="18"/>
  <c r="W201" i="18"/>
  <c r="X201" i="18"/>
  <c r="X200" i="18"/>
  <c r="W200" i="18"/>
  <c r="W199" i="18"/>
  <c r="X199" i="18"/>
  <c r="W198" i="18"/>
  <c r="X198" i="18"/>
  <c r="W197" i="18"/>
  <c r="X197" i="18"/>
  <c r="X196" i="18"/>
  <c r="W196" i="18"/>
  <c r="W195" i="18"/>
  <c r="X195" i="18"/>
  <c r="W194" i="18"/>
  <c r="X194" i="18"/>
  <c r="W193" i="18"/>
  <c r="X193" i="18"/>
  <c r="X192" i="18"/>
  <c r="W192" i="18"/>
  <c r="X191" i="18"/>
  <c r="W191" i="18"/>
  <c r="W190" i="18"/>
  <c r="X190" i="18"/>
  <c r="X189" i="18"/>
  <c r="W189" i="18"/>
  <c r="X188" i="18"/>
  <c r="W188" i="18"/>
  <c r="X187" i="18"/>
  <c r="W187" i="18"/>
  <c r="X186" i="18"/>
  <c r="W186" i="18"/>
  <c r="W185" i="18"/>
  <c r="X185" i="18"/>
  <c r="W184" i="18"/>
  <c r="X184" i="18"/>
  <c r="X183" i="18"/>
  <c r="W183" i="18"/>
  <c r="X182" i="18"/>
  <c r="W182" i="18"/>
  <c r="X181" i="18"/>
  <c r="W181" i="18"/>
  <c r="X180" i="18"/>
  <c r="W180" i="18"/>
  <c r="X179" i="18"/>
  <c r="W179" i="18"/>
  <c r="X178" i="18"/>
  <c r="W178" i="18"/>
  <c r="X177" i="18"/>
  <c r="W177" i="18"/>
  <c r="W176" i="18"/>
  <c r="X176" i="18"/>
  <c r="X175" i="18"/>
  <c r="W175" i="18"/>
  <c r="X174" i="18"/>
  <c r="W174" i="18"/>
  <c r="X173" i="18"/>
  <c r="W173" i="18"/>
  <c r="X172" i="18"/>
  <c r="W172" i="18"/>
  <c r="X171" i="18"/>
  <c r="W171" i="18"/>
  <c r="X170" i="18"/>
  <c r="W170" i="18"/>
  <c r="W169" i="18"/>
  <c r="X169" i="18"/>
  <c r="W168" i="18"/>
  <c r="X168" i="18"/>
  <c r="X167" i="18"/>
  <c r="W167" i="18"/>
  <c r="X166" i="18"/>
  <c r="W166" i="18"/>
  <c r="W165" i="18"/>
  <c r="X165" i="18"/>
  <c r="X164" i="18"/>
  <c r="W164" i="18"/>
  <c r="X163" i="18"/>
  <c r="W163" i="18"/>
  <c r="X162" i="18"/>
  <c r="W162" i="18"/>
  <c r="W161" i="18"/>
  <c r="X161" i="18"/>
  <c r="W160" i="18"/>
  <c r="X160" i="18"/>
  <c r="W159" i="18"/>
  <c r="X159" i="18"/>
  <c r="X158" i="18"/>
  <c r="W158" i="18"/>
  <c r="X157" i="18"/>
  <c r="W157" i="18"/>
  <c r="W156" i="18"/>
  <c r="X156" i="18"/>
  <c r="W155" i="18"/>
  <c r="X155" i="18"/>
  <c r="W154" i="18"/>
  <c r="X154" i="18"/>
  <c r="W153" i="18"/>
  <c r="X153" i="18"/>
  <c r="W152" i="18"/>
  <c r="X152" i="18"/>
  <c r="W151" i="18"/>
  <c r="X151" i="18"/>
  <c r="W150" i="18"/>
  <c r="X150" i="18"/>
  <c r="X149" i="18"/>
  <c r="W149" i="18"/>
  <c r="X148" i="18"/>
  <c r="W148" i="18"/>
  <c r="X147" i="18"/>
  <c r="W147" i="18"/>
  <c r="X146" i="18"/>
  <c r="W146" i="18"/>
  <c r="X145" i="18"/>
  <c r="W145" i="18"/>
  <c r="X144" i="18"/>
  <c r="W144" i="18"/>
  <c r="X143" i="18"/>
  <c r="W143" i="18"/>
  <c r="X142" i="18"/>
  <c r="W142" i="18"/>
  <c r="X141" i="18"/>
  <c r="W141" i="18"/>
  <c r="X140" i="18"/>
  <c r="W140" i="18"/>
  <c r="W139" i="18"/>
  <c r="X139" i="18"/>
  <c r="X138" i="18"/>
  <c r="W138" i="18"/>
  <c r="X137" i="18"/>
  <c r="W137" i="18"/>
  <c r="X136" i="18"/>
  <c r="W136" i="18"/>
  <c r="X135" i="18"/>
  <c r="W135" i="18"/>
  <c r="X134" i="18"/>
  <c r="W134" i="18"/>
  <c r="X133" i="18"/>
  <c r="W133" i="18"/>
  <c r="X132" i="18"/>
  <c r="W132" i="18"/>
  <c r="X131" i="18"/>
  <c r="W131" i="18"/>
  <c r="X130" i="18"/>
  <c r="W130" i="18"/>
  <c r="X129" i="18"/>
  <c r="W129" i="18"/>
  <c r="W128" i="18"/>
  <c r="X128" i="18"/>
  <c r="X127" i="18"/>
  <c r="W127" i="18"/>
  <c r="X126" i="18"/>
  <c r="W126" i="18"/>
  <c r="X125" i="18"/>
  <c r="W125" i="18"/>
  <c r="X124" i="18"/>
  <c r="W124" i="18"/>
  <c r="W123" i="18"/>
  <c r="X123" i="18"/>
  <c r="X122" i="18"/>
  <c r="W122" i="18"/>
  <c r="X121" i="18"/>
  <c r="W121" i="18"/>
  <c r="X120" i="18"/>
  <c r="W120" i="18"/>
  <c r="X119" i="18"/>
  <c r="W119" i="18"/>
  <c r="X118" i="18"/>
  <c r="W118" i="18"/>
  <c r="X117" i="18"/>
  <c r="W117" i="18"/>
  <c r="X116" i="18"/>
  <c r="W116" i="18"/>
  <c r="W115" i="18"/>
  <c r="X115" i="18"/>
  <c r="W114" i="18"/>
  <c r="X114" i="18"/>
  <c r="W113" i="18"/>
  <c r="X113" i="18"/>
  <c r="W112" i="18"/>
  <c r="X112" i="18"/>
  <c r="W111" i="18"/>
  <c r="X111" i="18"/>
  <c r="X110" i="18"/>
  <c r="W110" i="18"/>
  <c r="W109" i="18"/>
  <c r="X109" i="18"/>
  <c r="W108" i="18"/>
  <c r="X108" i="18"/>
  <c r="W107" i="18"/>
  <c r="X107" i="18"/>
  <c r="W106" i="18"/>
  <c r="X106" i="18"/>
  <c r="W105" i="18"/>
  <c r="X105" i="18"/>
  <c r="W104" i="18"/>
  <c r="X104" i="18"/>
  <c r="X103" i="18"/>
  <c r="W103" i="18"/>
  <c r="X102" i="18"/>
  <c r="W102" i="18"/>
  <c r="W101" i="18"/>
  <c r="X101" i="18"/>
  <c r="X100" i="18"/>
  <c r="W100" i="18"/>
  <c r="X99" i="18"/>
  <c r="W99" i="18"/>
  <c r="W98" i="18"/>
  <c r="X98" i="18"/>
  <c r="W97" i="18"/>
  <c r="X97" i="18"/>
  <c r="W96" i="18"/>
  <c r="X96" i="18"/>
  <c r="X95" i="18"/>
  <c r="W95" i="18"/>
  <c r="X94" i="18"/>
  <c r="W94" i="18"/>
  <c r="X93" i="18"/>
  <c r="W93" i="18"/>
  <c r="X92" i="18"/>
  <c r="W92" i="18"/>
  <c r="W91" i="18"/>
  <c r="X91" i="18"/>
  <c r="X90" i="18"/>
  <c r="W90" i="18"/>
  <c r="X89" i="18"/>
  <c r="W89" i="18"/>
  <c r="X88" i="18"/>
  <c r="W88" i="18"/>
  <c r="X87" i="18"/>
  <c r="W87" i="18"/>
  <c r="X86" i="18"/>
  <c r="W86" i="18"/>
  <c r="X85" i="18"/>
  <c r="W85" i="18"/>
  <c r="W84" i="18"/>
  <c r="X84" i="18"/>
  <c r="W83" i="18"/>
  <c r="X83" i="18"/>
  <c r="W82" i="18"/>
  <c r="X82" i="18"/>
  <c r="X81" i="18"/>
  <c r="W81" i="18"/>
  <c r="X80" i="18"/>
  <c r="W80" i="18"/>
  <c r="W79" i="18"/>
  <c r="X79" i="18"/>
  <c r="W78" i="18"/>
  <c r="X78" i="18"/>
  <c r="W77" i="18"/>
  <c r="X77" i="18"/>
  <c r="X76" i="18"/>
  <c r="W76" i="18"/>
  <c r="X75" i="18"/>
  <c r="W75" i="18"/>
  <c r="W74" i="18"/>
  <c r="X74" i="18"/>
  <c r="X73" i="18"/>
  <c r="W73" i="18"/>
  <c r="W72" i="18"/>
  <c r="X72" i="18"/>
  <c r="W71" i="18"/>
  <c r="X71" i="18"/>
  <c r="W70" i="18"/>
  <c r="X70" i="18"/>
  <c r="W69" i="18"/>
  <c r="X69" i="18"/>
  <c r="X68" i="18"/>
  <c r="W68" i="18"/>
  <c r="X67" i="18"/>
  <c r="W67" i="18"/>
  <c r="X66" i="18"/>
  <c r="W66" i="18"/>
  <c r="X65" i="18"/>
  <c r="W65" i="18"/>
  <c r="X64" i="18"/>
  <c r="W64" i="18"/>
  <c r="W63" i="18"/>
  <c r="X63" i="18"/>
  <c r="X62" i="18"/>
  <c r="W62" i="18"/>
  <c r="W61" i="18"/>
  <c r="X61" i="18"/>
  <c r="X60" i="18"/>
  <c r="W60" i="18"/>
  <c r="X59" i="18"/>
  <c r="W59" i="18"/>
  <c r="X58" i="18"/>
  <c r="W58" i="18"/>
  <c r="W57" i="18"/>
  <c r="X57" i="18"/>
  <c r="X56" i="18"/>
  <c r="W56" i="18"/>
  <c r="W55" i="18"/>
  <c r="X55" i="18"/>
  <c r="X54" i="18"/>
  <c r="W54" i="18"/>
  <c r="W53" i="18"/>
  <c r="X53" i="18"/>
  <c r="X52" i="18"/>
  <c r="W52" i="18"/>
  <c r="X51" i="18"/>
  <c r="W51" i="18"/>
  <c r="W50" i="18"/>
  <c r="X50" i="18"/>
  <c r="X49" i="18"/>
  <c r="W49" i="18"/>
  <c r="X48" i="18"/>
  <c r="W48" i="18"/>
  <c r="X47" i="18"/>
  <c r="W47" i="18"/>
  <c r="W46" i="18"/>
  <c r="X46" i="18"/>
  <c r="X45" i="18"/>
  <c r="W45" i="18"/>
  <c r="W44" i="18"/>
  <c r="X44" i="18"/>
  <c r="X43" i="18"/>
  <c r="W43" i="18"/>
  <c r="X42" i="18"/>
  <c r="W42" i="18"/>
  <c r="W41" i="18"/>
  <c r="X41" i="18"/>
  <c r="X40" i="18"/>
  <c r="W40" i="18"/>
  <c r="X39" i="18"/>
  <c r="W39" i="18"/>
  <c r="W38" i="18"/>
  <c r="X38" i="18"/>
  <c r="W37" i="18"/>
  <c r="X37" i="18"/>
  <c r="K4" i="2"/>
  <c r="K4" i="5"/>
  <c r="W36" i="18"/>
  <c r="X36" i="18"/>
  <c r="X34" i="18"/>
  <c r="W34" i="18"/>
  <c r="X33" i="18"/>
  <c r="W33" i="18"/>
  <c r="X32" i="18"/>
  <c r="W32" i="18"/>
  <c r="W31" i="18"/>
  <c r="X31" i="18"/>
  <c r="W30" i="18"/>
  <c r="X30" i="18"/>
  <c r="X29" i="18"/>
  <c r="W29" i="18"/>
  <c r="W28" i="18"/>
  <c r="X28" i="18"/>
  <c r="W27" i="18"/>
  <c r="X27" i="18"/>
  <c r="W26" i="18"/>
  <c r="X26" i="18"/>
  <c r="X25" i="18"/>
  <c r="W25" i="18"/>
  <c r="W24" i="18"/>
  <c r="X24" i="18"/>
  <c r="W23" i="18"/>
  <c r="X23" i="18"/>
  <c r="W22" i="18"/>
  <c r="X22" i="18"/>
  <c r="W21" i="18"/>
  <c r="X21" i="18"/>
  <c r="X20" i="18"/>
  <c r="W20" i="18"/>
  <c r="W19" i="18"/>
  <c r="X19" i="18"/>
  <c r="W18" i="18"/>
  <c r="X18" i="18"/>
  <c r="X17" i="18"/>
  <c r="W17" i="18"/>
  <c r="X16" i="18"/>
  <c r="W16" i="18"/>
  <c r="W15" i="18"/>
  <c r="X15" i="18"/>
  <c r="W14" i="18"/>
  <c r="X14" i="18"/>
  <c r="W13" i="18"/>
  <c r="X13" i="18"/>
  <c r="X12" i="18"/>
  <c r="W12" i="18"/>
  <c r="W11" i="18"/>
  <c r="X11" i="18"/>
  <c r="W10" i="18"/>
  <c r="X10" i="18"/>
  <c r="W9" i="18"/>
  <c r="X9" i="18"/>
  <c r="W8" i="18"/>
  <c r="X8" i="18"/>
  <c r="W7" i="18"/>
  <c r="X7" i="18"/>
  <c r="X6" i="18"/>
  <c r="W6" i="18"/>
  <c r="X5" i="18"/>
  <c r="W5" i="18"/>
  <c r="X4" i="18"/>
  <c r="W4" i="18"/>
  <c r="X3" i="18"/>
  <c r="W3" i="18"/>
  <c r="K4" i="4"/>
  <c r="K4" i="3"/>
  <c r="X2" i="18"/>
  <c r="W2" i="18"/>
  <c r="J46" i="1"/>
  <c r="J47" i="1" s="1"/>
  <c r="K45" i="1"/>
  <c r="F23" i="1"/>
  <c r="F26" i="1"/>
  <c r="F22" i="1"/>
  <c r="F24" i="1"/>
  <c r="F25" i="1"/>
  <c r="AC3" i="1"/>
  <c r="AD2" i="1"/>
  <c r="M5" i="1"/>
  <c r="D102" i="18"/>
  <c r="A4" i="2" l="1"/>
  <c r="A34" i="1" s="1"/>
  <c r="B4" i="2"/>
  <c r="B34" i="1" s="1"/>
  <c r="C4" i="2"/>
  <c r="D4" i="2"/>
  <c r="C34" i="1" s="1"/>
  <c r="E4" i="2"/>
  <c r="F4" i="2"/>
  <c r="E34" i="1" s="1"/>
  <c r="G4" i="2"/>
  <c r="D34" i="1" s="1"/>
  <c r="H4" i="2"/>
  <c r="F34" i="1" s="1"/>
  <c r="I4" i="2"/>
  <c r="J4" i="2"/>
  <c r="K5" i="2"/>
  <c r="K5" i="5"/>
  <c r="A4" i="5"/>
  <c r="B4" i="5"/>
  <c r="C4" i="5"/>
  <c r="D4" i="5"/>
  <c r="E4" i="5"/>
  <c r="F4" i="5"/>
  <c r="G4" i="5"/>
  <c r="H4" i="5"/>
  <c r="I4" i="5"/>
  <c r="J4" i="5"/>
  <c r="K5" i="4"/>
  <c r="A4" i="4"/>
  <c r="B4" i="4"/>
  <c r="C4" i="4"/>
  <c r="D4" i="4"/>
  <c r="E4" i="4"/>
  <c r="F4" i="4"/>
  <c r="G4" i="4"/>
  <c r="H4" i="4"/>
  <c r="I4" i="4"/>
  <c r="J4" i="4"/>
  <c r="K5" i="3"/>
  <c r="A4" i="3"/>
  <c r="B4" i="3"/>
  <c r="C4" i="3"/>
  <c r="D4" i="3"/>
  <c r="E4" i="3"/>
  <c r="F4" i="3"/>
  <c r="G4" i="3"/>
  <c r="H4" i="3"/>
  <c r="I4" i="3"/>
  <c r="J4" i="3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L275" i="7"/>
  <c r="L279" i="7"/>
  <c r="L287" i="7"/>
  <c r="L290" i="7"/>
  <c r="L304" i="7"/>
  <c r="L306" i="7"/>
  <c r="L309" i="7"/>
  <c r="L318" i="7"/>
  <c r="L329" i="7"/>
  <c r="L330" i="7"/>
  <c r="L331" i="7"/>
  <c r="L340" i="7"/>
  <c r="L347" i="7"/>
  <c r="L358" i="7"/>
  <c r="L362" i="7"/>
  <c r="L379" i="7"/>
  <c r="L381" i="7"/>
  <c r="L388" i="7"/>
  <c r="L392" i="7"/>
  <c r="L394" i="7"/>
  <c r="L399" i="7"/>
  <c r="L403" i="7"/>
  <c r="L410" i="7"/>
  <c r="L419" i="7"/>
  <c r="L422" i="7"/>
  <c r="L427" i="7"/>
  <c r="L429" i="7"/>
  <c r="L438" i="7"/>
  <c r="L441" i="7"/>
  <c r="L444" i="7"/>
  <c r="L450" i="7"/>
  <c r="L452" i="7"/>
  <c r="L455" i="7"/>
  <c r="L467" i="7"/>
  <c r="L470" i="7"/>
  <c r="L476" i="7"/>
  <c r="L477" i="7"/>
  <c r="L479" i="7"/>
  <c r="L481" i="7"/>
  <c r="L487" i="7"/>
  <c r="L490" i="7"/>
  <c r="L492" i="7"/>
  <c r="L493" i="7"/>
  <c r="L496" i="7"/>
  <c r="L499" i="7"/>
  <c r="L503" i="7"/>
  <c r="L271" i="7"/>
  <c r="L291" i="7"/>
  <c r="L292" i="7"/>
  <c r="L296" i="7"/>
  <c r="L298" i="7"/>
  <c r="L301" i="7"/>
  <c r="L303" i="7"/>
  <c r="L315" i="7"/>
  <c r="L319" i="7"/>
  <c r="L334" i="7"/>
  <c r="L348" i="7"/>
  <c r="L350" i="7"/>
  <c r="L352" i="7"/>
  <c r="L359" i="7"/>
  <c r="L360" i="7"/>
  <c r="L363" i="7"/>
  <c r="L367" i="7"/>
  <c r="L368" i="7"/>
  <c r="L369" i="7"/>
  <c r="L372" i="7"/>
  <c r="L384" i="7"/>
  <c r="L390" i="7"/>
  <c r="L393" i="7"/>
  <c r="L396" i="7"/>
  <c r="L409" i="7"/>
  <c r="L416" i="7"/>
  <c r="L439" i="7"/>
  <c r="L440" i="7"/>
  <c r="L443" i="7"/>
  <c r="L453" i="7"/>
  <c r="L463" i="7"/>
  <c r="L466" i="7"/>
  <c r="L469" i="7"/>
  <c r="L472" i="7"/>
  <c r="L474" i="7"/>
  <c r="L480" i="7"/>
  <c r="L482" i="7"/>
  <c r="L494" i="7"/>
  <c r="L495" i="7"/>
  <c r="L497" i="7"/>
  <c r="L500" i="7"/>
  <c r="L272" i="7"/>
  <c r="L281" i="7"/>
  <c r="L283" i="7"/>
  <c r="L288" i="7"/>
  <c r="L295" i="7"/>
  <c r="L300" i="7"/>
  <c r="L311" i="7"/>
  <c r="L328" i="7"/>
  <c r="L335" i="7"/>
  <c r="L339" i="7"/>
  <c r="L341" i="7"/>
  <c r="L342" i="7"/>
  <c r="L344" i="7"/>
  <c r="L346" i="7"/>
  <c r="L357" i="7"/>
  <c r="L273" i="7"/>
  <c r="L276" i="7"/>
  <c r="L278" i="7"/>
  <c r="L282" i="7"/>
  <c r="L293" i="7"/>
  <c r="L310" i="7"/>
  <c r="L312" i="7"/>
  <c r="L321" i="7"/>
  <c r="L323" i="7"/>
  <c r="L324" i="7"/>
  <c r="L325" i="7"/>
  <c r="L326" i="7"/>
  <c r="L337" i="7"/>
  <c r="L351" i="7"/>
  <c r="L353" i="7"/>
  <c r="L361" i="7"/>
  <c r="L365" i="7"/>
  <c r="L366" i="7"/>
  <c r="L373" i="7"/>
  <c r="L376" i="7"/>
  <c r="L378" i="7"/>
  <c r="L389" i="7"/>
  <c r="L402" i="7"/>
  <c r="L406" i="7"/>
  <c r="L412" i="7"/>
  <c r="L413" i="7"/>
  <c r="L417" i="7"/>
  <c r="L418" i="7"/>
  <c r="L426" i="7"/>
  <c r="L434" i="7"/>
  <c r="L445" i="7"/>
  <c r="L447" i="7"/>
  <c r="L449" i="7"/>
  <c r="L464" i="7"/>
  <c r="L465" i="7"/>
  <c r="L468" i="7"/>
  <c r="L471" i="7"/>
  <c r="L478" i="7"/>
  <c r="L483" i="7"/>
  <c r="L485" i="7"/>
  <c r="L498" i="7"/>
  <c r="L501" i="7"/>
  <c r="L277" i="7"/>
  <c r="L280" i="7"/>
  <c r="L286" i="7"/>
  <c r="L289" i="7"/>
  <c r="L299" i="7"/>
  <c r="L302" i="7"/>
  <c r="L308" i="7"/>
  <c r="L313" i="7"/>
  <c r="L316" i="7"/>
  <c r="L320" i="7"/>
  <c r="L322" i="7"/>
  <c r="L327" i="7"/>
  <c r="L332" i="7"/>
  <c r="L333" i="7"/>
  <c r="L345" i="7"/>
  <c r="L349" i="7"/>
  <c r="L355" i="7"/>
  <c r="L364" i="7"/>
  <c r="L375" i="7"/>
  <c r="L377" i="7"/>
  <c r="L385" i="7"/>
  <c r="L387" i="7"/>
  <c r="L391" i="7"/>
  <c r="L397" i="7"/>
  <c r="L404" i="7"/>
  <c r="L408" i="7"/>
  <c r="L411" i="7"/>
  <c r="L414" i="7"/>
  <c r="L421" i="7"/>
  <c r="L423" i="7"/>
  <c r="L424" i="7"/>
  <c r="L425" i="7"/>
  <c r="L428" i="7"/>
  <c r="L431" i="7"/>
  <c r="L437" i="7"/>
  <c r="L446" i="7"/>
  <c r="L448" i="7"/>
  <c r="L451" i="7"/>
  <c r="L454" i="7"/>
  <c r="L456" i="7"/>
  <c r="L458" i="7"/>
  <c r="L459" i="7"/>
  <c r="L460" i="7"/>
  <c r="L461" i="7"/>
  <c r="L462" i="7"/>
  <c r="L473" i="7"/>
  <c r="L475" i="7"/>
  <c r="L484" i="7"/>
  <c r="L486" i="7"/>
  <c r="L488" i="7"/>
  <c r="L489" i="7"/>
  <c r="L491" i="7"/>
  <c r="L502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4" i="7"/>
  <c r="L284" i="7"/>
  <c r="L285" i="7"/>
  <c r="L294" i="7"/>
  <c r="L297" i="7"/>
  <c r="L305" i="7"/>
  <c r="L307" i="7"/>
  <c r="L314" i="7"/>
  <c r="L317" i="7"/>
  <c r="L336" i="7"/>
  <c r="L338" i="7"/>
  <c r="L343" i="7"/>
  <c r="L354" i="7"/>
  <c r="L356" i="7"/>
  <c r="L370" i="7"/>
  <c r="L371" i="7"/>
  <c r="L374" i="7"/>
  <c r="L380" i="7"/>
  <c r="L382" i="7"/>
  <c r="L383" i="7"/>
  <c r="L386" i="7"/>
  <c r="L395" i="7"/>
  <c r="L398" i="7"/>
  <c r="L400" i="7"/>
  <c r="L401" i="7"/>
  <c r="L405" i="7"/>
  <c r="L407" i="7"/>
  <c r="L415" i="7"/>
  <c r="L420" i="7"/>
  <c r="L430" i="7"/>
  <c r="L432" i="7"/>
  <c r="L433" i="7"/>
  <c r="L435" i="7"/>
  <c r="L436" i="7"/>
  <c r="L442" i="7"/>
  <c r="L457" i="7"/>
  <c r="K46" i="1"/>
  <c r="J48" i="1"/>
  <c r="J49" i="1" s="1"/>
  <c r="K47" i="1"/>
  <c r="AD3" i="1"/>
  <c r="AC4" i="1"/>
  <c r="B5" i="2" l="1"/>
  <c r="B35" i="1" s="1"/>
  <c r="C5" i="2"/>
  <c r="D5" i="2"/>
  <c r="C35" i="1" s="1"/>
  <c r="F5" i="2"/>
  <c r="E35" i="1" s="1"/>
  <c r="G5" i="2"/>
  <c r="D35" i="1" s="1"/>
  <c r="H5" i="2"/>
  <c r="F35" i="1" s="1"/>
  <c r="I5" i="2"/>
  <c r="J5" i="2"/>
  <c r="K6" i="2"/>
  <c r="A5" i="2"/>
  <c r="A35" i="1" s="1"/>
  <c r="E5" i="2"/>
  <c r="K6" i="5"/>
  <c r="A5" i="5"/>
  <c r="B5" i="5"/>
  <c r="C5" i="5"/>
  <c r="D5" i="5"/>
  <c r="E5" i="5"/>
  <c r="F5" i="5"/>
  <c r="G5" i="5"/>
  <c r="H5" i="5"/>
  <c r="I5" i="5"/>
  <c r="J5" i="5"/>
  <c r="K6" i="4"/>
  <c r="A5" i="4"/>
  <c r="B5" i="4"/>
  <c r="C5" i="4"/>
  <c r="D5" i="4"/>
  <c r="E5" i="4"/>
  <c r="F5" i="4"/>
  <c r="G5" i="4"/>
  <c r="H5" i="4"/>
  <c r="I5" i="4"/>
  <c r="J5" i="4"/>
  <c r="K6" i="3"/>
  <c r="A5" i="3"/>
  <c r="B5" i="3"/>
  <c r="C5" i="3"/>
  <c r="D5" i="3"/>
  <c r="E5" i="3"/>
  <c r="F5" i="3"/>
  <c r="G5" i="3"/>
  <c r="H5" i="3"/>
  <c r="I5" i="3"/>
  <c r="J5" i="3"/>
  <c r="G34" i="1"/>
  <c r="H34" i="1"/>
  <c r="I34" i="1"/>
  <c r="J34" i="1"/>
  <c r="K34" i="1"/>
  <c r="L34" i="1"/>
  <c r="A4" i="6"/>
  <c r="B4" i="6"/>
  <c r="C4" i="6"/>
  <c r="D4" i="6"/>
  <c r="E4" i="6"/>
  <c r="F4" i="6"/>
  <c r="G4" i="6"/>
  <c r="H4" i="6"/>
  <c r="I4" i="6"/>
  <c r="J4" i="6"/>
  <c r="A5" i="6"/>
  <c r="B5" i="6"/>
  <c r="C5" i="6"/>
  <c r="D5" i="6"/>
  <c r="E5" i="6"/>
  <c r="F5" i="6"/>
  <c r="G5" i="6"/>
  <c r="H5" i="6"/>
  <c r="I5" i="6"/>
  <c r="J5" i="6"/>
  <c r="A6" i="6"/>
  <c r="B6" i="6"/>
  <c r="C6" i="6"/>
  <c r="D6" i="6"/>
  <c r="E6" i="6"/>
  <c r="F6" i="6"/>
  <c r="G6" i="6"/>
  <c r="H6" i="6"/>
  <c r="I6" i="6"/>
  <c r="J6" i="6"/>
  <c r="A7" i="6"/>
  <c r="B7" i="6"/>
  <c r="C7" i="6"/>
  <c r="D7" i="6"/>
  <c r="E7" i="6"/>
  <c r="F7" i="6"/>
  <c r="G7" i="6"/>
  <c r="H7" i="6"/>
  <c r="I7" i="6"/>
  <c r="J7" i="6"/>
  <c r="A8" i="6"/>
  <c r="B8" i="6"/>
  <c r="C8" i="6"/>
  <c r="D8" i="6"/>
  <c r="E8" i="6"/>
  <c r="F8" i="6"/>
  <c r="G8" i="6"/>
  <c r="H8" i="6"/>
  <c r="I8" i="6"/>
  <c r="J8" i="6"/>
  <c r="A9" i="6"/>
  <c r="B9" i="6"/>
  <c r="C9" i="6"/>
  <c r="D9" i="6"/>
  <c r="E9" i="6"/>
  <c r="F9" i="6"/>
  <c r="G9" i="6"/>
  <c r="H9" i="6"/>
  <c r="I9" i="6"/>
  <c r="J9" i="6"/>
  <c r="A10" i="6"/>
  <c r="B10" i="6"/>
  <c r="C10" i="6"/>
  <c r="D10" i="6"/>
  <c r="E10" i="6"/>
  <c r="F10" i="6"/>
  <c r="G10" i="6"/>
  <c r="H10" i="6"/>
  <c r="I10" i="6"/>
  <c r="J10" i="6"/>
  <c r="A11" i="6"/>
  <c r="B11" i="6"/>
  <c r="C11" i="6"/>
  <c r="D11" i="6"/>
  <c r="E11" i="6"/>
  <c r="F11" i="6"/>
  <c r="G11" i="6"/>
  <c r="H11" i="6"/>
  <c r="I11" i="6"/>
  <c r="J11" i="6"/>
  <c r="A12" i="6"/>
  <c r="B12" i="6"/>
  <c r="C12" i="6"/>
  <c r="D12" i="6"/>
  <c r="E12" i="6"/>
  <c r="F12" i="6"/>
  <c r="G12" i="6"/>
  <c r="H12" i="6"/>
  <c r="I12" i="6"/>
  <c r="J12" i="6"/>
  <c r="A13" i="6"/>
  <c r="B13" i="6"/>
  <c r="C13" i="6"/>
  <c r="D13" i="6"/>
  <c r="E13" i="6"/>
  <c r="F13" i="6"/>
  <c r="G13" i="6"/>
  <c r="H13" i="6"/>
  <c r="I13" i="6"/>
  <c r="J13" i="6"/>
  <c r="A14" i="6"/>
  <c r="B14" i="6"/>
  <c r="C14" i="6"/>
  <c r="D14" i="6"/>
  <c r="E14" i="6"/>
  <c r="F14" i="6"/>
  <c r="G14" i="6"/>
  <c r="H14" i="6"/>
  <c r="I14" i="6"/>
  <c r="J14" i="6"/>
  <c r="A15" i="6"/>
  <c r="B15" i="6"/>
  <c r="C15" i="6"/>
  <c r="D15" i="6"/>
  <c r="E15" i="6"/>
  <c r="F15" i="6"/>
  <c r="G15" i="6"/>
  <c r="H15" i="6"/>
  <c r="I15" i="6"/>
  <c r="J15" i="6"/>
  <c r="A16" i="6"/>
  <c r="B16" i="6"/>
  <c r="C16" i="6"/>
  <c r="D16" i="6"/>
  <c r="E16" i="6"/>
  <c r="F16" i="6"/>
  <c r="G16" i="6"/>
  <c r="H16" i="6"/>
  <c r="I16" i="6"/>
  <c r="J16" i="6"/>
  <c r="A17" i="6"/>
  <c r="B17" i="6"/>
  <c r="C17" i="6"/>
  <c r="D17" i="6"/>
  <c r="E17" i="6"/>
  <c r="F17" i="6"/>
  <c r="G17" i="6"/>
  <c r="H17" i="6"/>
  <c r="I17" i="6"/>
  <c r="J17" i="6"/>
  <c r="A18" i="6"/>
  <c r="B18" i="6"/>
  <c r="C18" i="6"/>
  <c r="D18" i="6"/>
  <c r="E18" i="6"/>
  <c r="F18" i="6"/>
  <c r="G18" i="6"/>
  <c r="H18" i="6"/>
  <c r="I18" i="6"/>
  <c r="J18" i="6"/>
  <c r="A19" i="6"/>
  <c r="B19" i="6"/>
  <c r="C19" i="6"/>
  <c r="D19" i="6"/>
  <c r="E19" i="6"/>
  <c r="F19" i="6"/>
  <c r="G19" i="6"/>
  <c r="H19" i="6"/>
  <c r="I19" i="6"/>
  <c r="J19" i="6"/>
  <c r="A20" i="6"/>
  <c r="B20" i="6"/>
  <c r="C20" i="6"/>
  <c r="D20" i="6"/>
  <c r="E20" i="6"/>
  <c r="F20" i="6"/>
  <c r="G20" i="6"/>
  <c r="H20" i="6"/>
  <c r="I20" i="6"/>
  <c r="J20" i="6"/>
  <c r="A21" i="6"/>
  <c r="B21" i="6"/>
  <c r="C21" i="6"/>
  <c r="D21" i="6"/>
  <c r="E21" i="6"/>
  <c r="F21" i="6"/>
  <c r="G21" i="6"/>
  <c r="H21" i="6"/>
  <c r="I21" i="6"/>
  <c r="J21" i="6"/>
  <c r="A22" i="6"/>
  <c r="B22" i="6"/>
  <c r="C22" i="6"/>
  <c r="D22" i="6"/>
  <c r="E22" i="6"/>
  <c r="F22" i="6"/>
  <c r="G22" i="6"/>
  <c r="H22" i="6"/>
  <c r="I22" i="6"/>
  <c r="J22" i="6"/>
  <c r="A23" i="6"/>
  <c r="B23" i="6"/>
  <c r="C23" i="6"/>
  <c r="D23" i="6"/>
  <c r="E23" i="6"/>
  <c r="F23" i="6"/>
  <c r="G23" i="6"/>
  <c r="H23" i="6"/>
  <c r="I23" i="6"/>
  <c r="J23" i="6"/>
  <c r="A24" i="6"/>
  <c r="B24" i="6"/>
  <c r="C24" i="6"/>
  <c r="D24" i="6"/>
  <c r="E24" i="6"/>
  <c r="F24" i="6"/>
  <c r="G24" i="6"/>
  <c r="H24" i="6"/>
  <c r="I24" i="6"/>
  <c r="J24" i="6"/>
  <c r="A25" i="6"/>
  <c r="B25" i="6"/>
  <c r="C25" i="6"/>
  <c r="D25" i="6"/>
  <c r="E25" i="6"/>
  <c r="F25" i="6"/>
  <c r="G25" i="6"/>
  <c r="H25" i="6"/>
  <c r="I25" i="6"/>
  <c r="J25" i="6"/>
  <c r="A26" i="6"/>
  <c r="B26" i="6"/>
  <c r="C26" i="6"/>
  <c r="D26" i="6"/>
  <c r="E26" i="6"/>
  <c r="F26" i="6"/>
  <c r="G26" i="6"/>
  <c r="H26" i="6"/>
  <c r="I26" i="6"/>
  <c r="J26" i="6"/>
  <c r="A27" i="6"/>
  <c r="B27" i="6"/>
  <c r="C27" i="6"/>
  <c r="D27" i="6"/>
  <c r="E27" i="6"/>
  <c r="F27" i="6"/>
  <c r="G27" i="6"/>
  <c r="H27" i="6"/>
  <c r="I27" i="6"/>
  <c r="J27" i="6"/>
  <c r="A28" i="6"/>
  <c r="B28" i="6"/>
  <c r="C28" i="6"/>
  <c r="D28" i="6"/>
  <c r="E28" i="6"/>
  <c r="F28" i="6"/>
  <c r="G28" i="6"/>
  <c r="H28" i="6"/>
  <c r="I28" i="6"/>
  <c r="J28" i="6"/>
  <c r="A29" i="6"/>
  <c r="B29" i="6"/>
  <c r="C29" i="6"/>
  <c r="D29" i="6"/>
  <c r="E29" i="6"/>
  <c r="F29" i="6"/>
  <c r="G29" i="6"/>
  <c r="H29" i="6"/>
  <c r="I29" i="6"/>
  <c r="J29" i="6"/>
  <c r="A30" i="6"/>
  <c r="B30" i="6"/>
  <c r="C30" i="6"/>
  <c r="D30" i="6"/>
  <c r="E30" i="6"/>
  <c r="F30" i="6"/>
  <c r="G30" i="6"/>
  <c r="H30" i="6"/>
  <c r="I30" i="6"/>
  <c r="J30" i="6"/>
  <c r="A31" i="6"/>
  <c r="B31" i="6"/>
  <c r="C31" i="6"/>
  <c r="D31" i="6"/>
  <c r="E31" i="6"/>
  <c r="F31" i="6"/>
  <c r="G31" i="6"/>
  <c r="H31" i="6"/>
  <c r="I31" i="6"/>
  <c r="J31" i="6"/>
  <c r="A32" i="6"/>
  <c r="B32" i="6"/>
  <c r="C32" i="6"/>
  <c r="D32" i="6"/>
  <c r="E32" i="6"/>
  <c r="F32" i="6"/>
  <c r="G32" i="6"/>
  <c r="H32" i="6"/>
  <c r="I32" i="6"/>
  <c r="J32" i="6"/>
  <c r="A33" i="6"/>
  <c r="B33" i="6"/>
  <c r="C33" i="6"/>
  <c r="D33" i="6"/>
  <c r="E33" i="6"/>
  <c r="F33" i="6"/>
  <c r="G33" i="6"/>
  <c r="H33" i="6"/>
  <c r="I33" i="6"/>
  <c r="J33" i="6"/>
  <c r="A34" i="6"/>
  <c r="B34" i="6"/>
  <c r="C34" i="6"/>
  <c r="D34" i="6"/>
  <c r="E34" i="6"/>
  <c r="F34" i="6"/>
  <c r="G34" i="6"/>
  <c r="H34" i="6"/>
  <c r="I34" i="6"/>
  <c r="J34" i="6"/>
  <c r="A35" i="6"/>
  <c r="B35" i="6"/>
  <c r="C35" i="6"/>
  <c r="D35" i="6"/>
  <c r="E35" i="6"/>
  <c r="F35" i="6"/>
  <c r="G35" i="6"/>
  <c r="H35" i="6"/>
  <c r="I35" i="6"/>
  <c r="J35" i="6"/>
  <c r="A36" i="6"/>
  <c r="B36" i="6"/>
  <c r="C36" i="6"/>
  <c r="D36" i="6"/>
  <c r="E36" i="6"/>
  <c r="F36" i="6"/>
  <c r="G36" i="6"/>
  <c r="H36" i="6"/>
  <c r="I36" i="6"/>
  <c r="J36" i="6"/>
  <c r="A37" i="6"/>
  <c r="B37" i="6"/>
  <c r="C37" i="6"/>
  <c r="D37" i="6"/>
  <c r="E37" i="6"/>
  <c r="F37" i="6"/>
  <c r="G37" i="6"/>
  <c r="H37" i="6"/>
  <c r="I37" i="6"/>
  <c r="J37" i="6"/>
  <c r="A38" i="6"/>
  <c r="B38" i="6"/>
  <c r="C38" i="6"/>
  <c r="D38" i="6"/>
  <c r="E38" i="6"/>
  <c r="F38" i="6"/>
  <c r="G38" i="6"/>
  <c r="H38" i="6"/>
  <c r="I38" i="6"/>
  <c r="J38" i="6"/>
  <c r="A39" i="6"/>
  <c r="B39" i="6"/>
  <c r="C39" i="6"/>
  <c r="D39" i="6"/>
  <c r="E39" i="6"/>
  <c r="F39" i="6"/>
  <c r="G39" i="6"/>
  <c r="H39" i="6"/>
  <c r="I39" i="6"/>
  <c r="J39" i="6"/>
  <c r="A40" i="6"/>
  <c r="B40" i="6"/>
  <c r="C40" i="6"/>
  <c r="D40" i="6"/>
  <c r="E40" i="6"/>
  <c r="F40" i="6"/>
  <c r="G40" i="6"/>
  <c r="H40" i="6"/>
  <c r="I40" i="6"/>
  <c r="J40" i="6"/>
  <c r="A41" i="6"/>
  <c r="B41" i="6"/>
  <c r="C41" i="6"/>
  <c r="D41" i="6"/>
  <c r="E41" i="6"/>
  <c r="F41" i="6"/>
  <c r="G41" i="6"/>
  <c r="H41" i="6"/>
  <c r="I41" i="6"/>
  <c r="J41" i="6"/>
  <c r="A42" i="6"/>
  <c r="B42" i="6"/>
  <c r="C42" i="6"/>
  <c r="D42" i="6"/>
  <c r="E42" i="6"/>
  <c r="F42" i="6"/>
  <c r="G42" i="6"/>
  <c r="H42" i="6"/>
  <c r="I42" i="6"/>
  <c r="J42" i="6"/>
  <c r="A43" i="6"/>
  <c r="B43" i="6"/>
  <c r="C43" i="6"/>
  <c r="D43" i="6"/>
  <c r="E43" i="6"/>
  <c r="F43" i="6"/>
  <c r="G43" i="6"/>
  <c r="H43" i="6"/>
  <c r="I43" i="6"/>
  <c r="J43" i="6"/>
  <c r="A44" i="6"/>
  <c r="B44" i="6"/>
  <c r="C44" i="6"/>
  <c r="D44" i="6"/>
  <c r="E44" i="6"/>
  <c r="F44" i="6"/>
  <c r="G44" i="6"/>
  <c r="H44" i="6"/>
  <c r="I44" i="6"/>
  <c r="J44" i="6"/>
  <c r="A45" i="6"/>
  <c r="B45" i="6"/>
  <c r="C45" i="6"/>
  <c r="D45" i="6"/>
  <c r="E45" i="6"/>
  <c r="F45" i="6"/>
  <c r="G45" i="6"/>
  <c r="H45" i="6"/>
  <c r="I45" i="6"/>
  <c r="J45" i="6"/>
  <c r="A46" i="6"/>
  <c r="B46" i="6"/>
  <c r="C46" i="6"/>
  <c r="D46" i="6"/>
  <c r="E46" i="6"/>
  <c r="F46" i="6"/>
  <c r="G46" i="6"/>
  <c r="H46" i="6"/>
  <c r="I46" i="6"/>
  <c r="J46" i="6"/>
  <c r="A47" i="6"/>
  <c r="B47" i="6"/>
  <c r="C47" i="6"/>
  <c r="D47" i="6"/>
  <c r="E47" i="6"/>
  <c r="F47" i="6"/>
  <c r="G47" i="6"/>
  <c r="H47" i="6"/>
  <c r="I47" i="6"/>
  <c r="J47" i="6"/>
  <c r="A48" i="6"/>
  <c r="B48" i="6"/>
  <c r="C48" i="6"/>
  <c r="D48" i="6"/>
  <c r="E48" i="6"/>
  <c r="F48" i="6"/>
  <c r="G48" i="6"/>
  <c r="H48" i="6"/>
  <c r="I48" i="6"/>
  <c r="J48" i="6"/>
  <c r="A49" i="6"/>
  <c r="B49" i="6"/>
  <c r="C49" i="6"/>
  <c r="D49" i="6"/>
  <c r="E49" i="6"/>
  <c r="F49" i="6"/>
  <c r="G49" i="6"/>
  <c r="H49" i="6"/>
  <c r="I49" i="6"/>
  <c r="J49" i="6"/>
  <c r="A50" i="6"/>
  <c r="B50" i="6"/>
  <c r="C50" i="6"/>
  <c r="D50" i="6"/>
  <c r="E50" i="6"/>
  <c r="F50" i="6"/>
  <c r="G50" i="6"/>
  <c r="H50" i="6"/>
  <c r="I50" i="6"/>
  <c r="J50" i="6"/>
  <c r="A51" i="6"/>
  <c r="B51" i="6"/>
  <c r="C51" i="6"/>
  <c r="D51" i="6"/>
  <c r="E51" i="6"/>
  <c r="F51" i="6"/>
  <c r="G51" i="6"/>
  <c r="H51" i="6"/>
  <c r="I51" i="6"/>
  <c r="J51" i="6"/>
  <c r="A52" i="6"/>
  <c r="B52" i="6"/>
  <c r="C52" i="6"/>
  <c r="D52" i="6"/>
  <c r="E52" i="6"/>
  <c r="F52" i="6"/>
  <c r="G52" i="6"/>
  <c r="H52" i="6"/>
  <c r="I52" i="6"/>
  <c r="J52" i="6"/>
  <c r="A53" i="6"/>
  <c r="B53" i="6"/>
  <c r="C53" i="6"/>
  <c r="D53" i="6"/>
  <c r="E53" i="6"/>
  <c r="F53" i="6"/>
  <c r="G53" i="6"/>
  <c r="H53" i="6"/>
  <c r="I53" i="6"/>
  <c r="J53" i="6"/>
  <c r="A54" i="6"/>
  <c r="B54" i="6"/>
  <c r="C54" i="6"/>
  <c r="D54" i="6"/>
  <c r="E54" i="6"/>
  <c r="F54" i="6"/>
  <c r="G54" i="6"/>
  <c r="H54" i="6"/>
  <c r="I54" i="6"/>
  <c r="J54" i="6"/>
  <c r="A55" i="6"/>
  <c r="B55" i="6"/>
  <c r="C55" i="6"/>
  <c r="D55" i="6"/>
  <c r="E55" i="6"/>
  <c r="F55" i="6"/>
  <c r="G55" i="6"/>
  <c r="H55" i="6"/>
  <c r="I55" i="6"/>
  <c r="J55" i="6"/>
  <c r="A56" i="6"/>
  <c r="B56" i="6"/>
  <c r="C56" i="6"/>
  <c r="D56" i="6"/>
  <c r="E56" i="6"/>
  <c r="F56" i="6"/>
  <c r="G56" i="6"/>
  <c r="H56" i="6"/>
  <c r="I56" i="6"/>
  <c r="J56" i="6"/>
  <c r="A57" i="6"/>
  <c r="B57" i="6"/>
  <c r="C57" i="6"/>
  <c r="D57" i="6"/>
  <c r="E57" i="6"/>
  <c r="F57" i="6"/>
  <c r="G57" i="6"/>
  <c r="H57" i="6"/>
  <c r="I57" i="6"/>
  <c r="J57" i="6"/>
  <c r="A58" i="6"/>
  <c r="B58" i="6"/>
  <c r="C58" i="6"/>
  <c r="D58" i="6"/>
  <c r="E58" i="6"/>
  <c r="F58" i="6"/>
  <c r="G58" i="6"/>
  <c r="H58" i="6"/>
  <c r="I58" i="6"/>
  <c r="J58" i="6"/>
  <c r="A59" i="6"/>
  <c r="B59" i="6"/>
  <c r="C59" i="6"/>
  <c r="D59" i="6"/>
  <c r="E59" i="6"/>
  <c r="F59" i="6"/>
  <c r="G59" i="6"/>
  <c r="H59" i="6"/>
  <c r="I59" i="6"/>
  <c r="J59" i="6"/>
  <c r="A60" i="6"/>
  <c r="B60" i="6"/>
  <c r="C60" i="6"/>
  <c r="D60" i="6"/>
  <c r="E60" i="6"/>
  <c r="F60" i="6"/>
  <c r="G60" i="6"/>
  <c r="H60" i="6"/>
  <c r="I60" i="6"/>
  <c r="J60" i="6"/>
  <c r="A61" i="6"/>
  <c r="B61" i="6"/>
  <c r="C61" i="6"/>
  <c r="D61" i="6"/>
  <c r="E61" i="6"/>
  <c r="F61" i="6"/>
  <c r="G61" i="6"/>
  <c r="H61" i="6"/>
  <c r="I61" i="6"/>
  <c r="J61" i="6"/>
  <c r="A62" i="6"/>
  <c r="B62" i="6"/>
  <c r="C62" i="6"/>
  <c r="D62" i="6"/>
  <c r="E62" i="6"/>
  <c r="F62" i="6"/>
  <c r="G62" i="6"/>
  <c r="H62" i="6"/>
  <c r="I62" i="6"/>
  <c r="J62" i="6"/>
  <c r="A63" i="6"/>
  <c r="B63" i="6"/>
  <c r="C63" i="6"/>
  <c r="D63" i="6"/>
  <c r="E63" i="6"/>
  <c r="F63" i="6"/>
  <c r="G63" i="6"/>
  <c r="H63" i="6"/>
  <c r="I63" i="6"/>
  <c r="J63" i="6"/>
  <c r="A64" i="6"/>
  <c r="B64" i="6"/>
  <c r="C64" i="6"/>
  <c r="D64" i="6"/>
  <c r="E64" i="6"/>
  <c r="F64" i="6"/>
  <c r="G64" i="6"/>
  <c r="H64" i="6"/>
  <c r="I64" i="6"/>
  <c r="J64" i="6"/>
  <c r="A65" i="6"/>
  <c r="B65" i="6"/>
  <c r="C65" i="6"/>
  <c r="D65" i="6"/>
  <c r="E65" i="6"/>
  <c r="F65" i="6"/>
  <c r="G65" i="6"/>
  <c r="H65" i="6"/>
  <c r="I65" i="6"/>
  <c r="J65" i="6"/>
  <c r="A66" i="6"/>
  <c r="B66" i="6"/>
  <c r="C66" i="6"/>
  <c r="D66" i="6"/>
  <c r="E66" i="6"/>
  <c r="F66" i="6"/>
  <c r="G66" i="6"/>
  <c r="H66" i="6"/>
  <c r="I66" i="6"/>
  <c r="J66" i="6"/>
  <c r="A67" i="6"/>
  <c r="B67" i="6"/>
  <c r="C67" i="6"/>
  <c r="D67" i="6"/>
  <c r="E67" i="6"/>
  <c r="F67" i="6"/>
  <c r="G67" i="6"/>
  <c r="H67" i="6"/>
  <c r="I67" i="6"/>
  <c r="J67" i="6"/>
  <c r="A68" i="6"/>
  <c r="B68" i="6"/>
  <c r="C68" i="6"/>
  <c r="D68" i="6"/>
  <c r="E68" i="6"/>
  <c r="F68" i="6"/>
  <c r="G68" i="6"/>
  <c r="H68" i="6"/>
  <c r="I68" i="6"/>
  <c r="J68" i="6"/>
  <c r="A69" i="6"/>
  <c r="B69" i="6"/>
  <c r="C69" i="6"/>
  <c r="D69" i="6"/>
  <c r="E69" i="6"/>
  <c r="F69" i="6"/>
  <c r="G69" i="6"/>
  <c r="H69" i="6"/>
  <c r="I69" i="6"/>
  <c r="J69" i="6"/>
  <c r="A70" i="6"/>
  <c r="B70" i="6"/>
  <c r="C70" i="6"/>
  <c r="D70" i="6"/>
  <c r="E70" i="6"/>
  <c r="F70" i="6"/>
  <c r="G70" i="6"/>
  <c r="H70" i="6"/>
  <c r="I70" i="6"/>
  <c r="J70" i="6"/>
  <c r="A71" i="6"/>
  <c r="B71" i="6"/>
  <c r="C71" i="6"/>
  <c r="D71" i="6"/>
  <c r="E71" i="6"/>
  <c r="F71" i="6"/>
  <c r="G71" i="6"/>
  <c r="H71" i="6"/>
  <c r="I71" i="6"/>
  <c r="J71" i="6"/>
  <c r="A72" i="6"/>
  <c r="B72" i="6"/>
  <c r="C72" i="6"/>
  <c r="D72" i="6"/>
  <c r="E72" i="6"/>
  <c r="F72" i="6"/>
  <c r="G72" i="6"/>
  <c r="H72" i="6"/>
  <c r="I72" i="6"/>
  <c r="J72" i="6"/>
  <c r="A73" i="6"/>
  <c r="B73" i="6"/>
  <c r="C73" i="6"/>
  <c r="D73" i="6"/>
  <c r="E73" i="6"/>
  <c r="F73" i="6"/>
  <c r="G73" i="6"/>
  <c r="H73" i="6"/>
  <c r="I73" i="6"/>
  <c r="J73" i="6"/>
  <c r="A74" i="6"/>
  <c r="B74" i="6"/>
  <c r="C74" i="6"/>
  <c r="D74" i="6"/>
  <c r="E74" i="6"/>
  <c r="F74" i="6"/>
  <c r="G74" i="6"/>
  <c r="H74" i="6"/>
  <c r="I74" i="6"/>
  <c r="J74" i="6"/>
  <c r="A75" i="6"/>
  <c r="B75" i="6"/>
  <c r="C75" i="6"/>
  <c r="D75" i="6"/>
  <c r="E75" i="6"/>
  <c r="F75" i="6"/>
  <c r="G75" i="6"/>
  <c r="H75" i="6"/>
  <c r="I75" i="6"/>
  <c r="J75" i="6"/>
  <c r="A76" i="6"/>
  <c r="B76" i="6"/>
  <c r="C76" i="6"/>
  <c r="D76" i="6"/>
  <c r="E76" i="6"/>
  <c r="F76" i="6"/>
  <c r="G76" i="6"/>
  <c r="H76" i="6"/>
  <c r="I76" i="6"/>
  <c r="J76" i="6"/>
  <c r="A77" i="6"/>
  <c r="B77" i="6"/>
  <c r="C77" i="6"/>
  <c r="D77" i="6"/>
  <c r="E77" i="6"/>
  <c r="F77" i="6"/>
  <c r="G77" i="6"/>
  <c r="H77" i="6"/>
  <c r="I77" i="6"/>
  <c r="J77" i="6"/>
  <c r="A78" i="6"/>
  <c r="B78" i="6"/>
  <c r="C78" i="6"/>
  <c r="D78" i="6"/>
  <c r="E78" i="6"/>
  <c r="F78" i="6"/>
  <c r="G78" i="6"/>
  <c r="H78" i="6"/>
  <c r="I78" i="6"/>
  <c r="J78" i="6"/>
  <c r="A79" i="6"/>
  <c r="B79" i="6"/>
  <c r="C79" i="6"/>
  <c r="D79" i="6"/>
  <c r="E79" i="6"/>
  <c r="F79" i="6"/>
  <c r="G79" i="6"/>
  <c r="H79" i="6"/>
  <c r="I79" i="6"/>
  <c r="J79" i="6"/>
  <c r="A80" i="6"/>
  <c r="B80" i="6"/>
  <c r="C80" i="6"/>
  <c r="D80" i="6"/>
  <c r="E80" i="6"/>
  <c r="F80" i="6"/>
  <c r="G80" i="6"/>
  <c r="H80" i="6"/>
  <c r="I80" i="6"/>
  <c r="J80" i="6"/>
  <c r="A81" i="6"/>
  <c r="B81" i="6"/>
  <c r="C81" i="6"/>
  <c r="D81" i="6"/>
  <c r="E81" i="6"/>
  <c r="F81" i="6"/>
  <c r="G81" i="6"/>
  <c r="H81" i="6"/>
  <c r="I81" i="6"/>
  <c r="J81" i="6"/>
  <c r="A82" i="6"/>
  <c r="B82" i="6"/>
  <c r="C82" i="6"/>
  <c r="D82" i="6"/>
  <c r="E82" i="6"/>
  <c r="F82" i="6"/>
  <c r="G82" i="6"/>
  <c r="H82" i="6"/>
  <c r="I82" i="6"/>
  <c r="J82" i="6"/>
  <c r="A83" i="6"/>
  <c r="B83" i="6"/>
  <c r="C83" i="6"/>
  <c r="D83" i="6"/>
  <c r="E83" i="6"/>
  <c r="F83" i="6"/>
  <c r="G83" i="6"/>
  <c r="H83" i="6"/>
  <c r="I83" i="6"/>
  <c r="J83" i="6"/>
  <c r="A84" i="6"/>
  <c r="B84" i="6"/>
  <c r="C84" i="6"/>
  <c r="D84" i="6"/>
  <c r="E84" i="6"/>
  <c r="F84" i="6"/>
  <c r="G84" i="6"/>
  <c r="H84" i="6"/>
  <c r="I84" i="6"/>
  <c r="J84" i="6"/>
  <c r="A85" i="6"/>
  <c r="B85" i="6"/>
  <c r="C85" i="6"/>
  <c r="D85" i="6"/>
  <c r="E85" i="6"/>
  <c r="F85" i="6"/>
  <c r="G85" i="6"/>
  <c r="H85" i="6"/>
  <c r="I85" i="6"/>
  <c r="J85" i="6"/>
  <c r="A86" i="6"/>
  <c r="B86" i="6"/>
  <c r="C86" i="6"/>
  <c r="D86" i="6"/>
  <c r="E86" i="6"/>
  <c r="F86" i="6"/>
  <c r="G86" i="6"/>
  <c r="H86" i="6"/>
  <c r="I86" i="6"/>
  <c r="J86" i="6"/>
  <c r="A87" i="6"/>
  <c r="B87" i="6"/>
  <c r="C87" i="6"/>
  <c r="D87" i="6"/>
  <c r="E87" i="6"/>
  <c r="F87" i="6"/>
  <c r="G87" i="6"/>
  <c r="H87" i="6"/>
  <c r="I87" i="6"/>
  <c r="J87" i="6"/>
  <c r="A88" i="6"/>
  <c r="B88" i="6"/>
  <c r="C88" i="6"/>
  <c r="D88" i="6"/>
  <c r="E88" i="6"/>
  <c r="F88" i="6"/>
  <c r="G88" i="6"/>
  <c r="H88" i="6"/>
  <c r="I88" i="6"/>
  <c r="J88" i="6"/>
  <c r="A89" i="6"/>
  <c r="B89" i="6"/>
  <c r="C89" i="6"/>
  <c r="D89" i="6"/>
  <c r="E89" i="6"/>
  <c r="F89" i="6"/>
  <c r="G89" i="6"/>
  <c r="H89" i="6"/>
  <c r="I89" i="6"/>
  <c r="J89" i="6"/>
  <c r="A90" i="6"/>
  <c r="B90" i="6"/>
  <c r="C90" i="6"/>
  <c r="D90" i="6"/>
  <c r="E90" i="6"/>
  <c r="F90" i="6"/>
  <c r="G90" i="6"/>
  <c r="H90" i="6"/>
  <c r="I90" i="6"/>
  <c r="J90" i="6"/>
  <c r="A91" i="6"/>
  <c r="B91" i="6"/>
  <c r="C91" i="6"/>
  <c r="D91" i="6"/>
  <c r="E91" i="6"/>
  <c r="F91" i="6"/>
  <c r="G91" i="6"/>
  <c r="H91" i="6"/>
  <c r="I91" i="6"/>
  <c r="J91" i="6"/>
  <c r="A92" i="6"/>
  <c r="B92" i="6"/>
  <c r="C92" i="6"/>
  <c r="D92" i="6"/>
  <c r="E92" i="6"/>
  <c r="F92" i="6"/>
  <c r="G92" i="6"/>
  <c r="H92" i="6"/>
  <c r="I92" i="6"/>
  <c r="J92" i="6"/>
  <c r="A93" i="6"/>
  <c r="B93" i="6"/>
  <c r="C93" i="6"/>
  <c r="D93" i="6"/>
  <c r="E93" i="6"/>
  <c r="F93" i="6"/>
  <c r="G93" i="6"/>
  <c r="H93" i="6"/>
  <c r="I93" i="6"/>
  <c r="J93" i="6"/>
  <c r="A94" i="6"/>
  <c r="B94" i="6"/>
  <c r="C94" i="6"/>
  <c r="D94" i="6"/>
  <c r="E94" i="6"/>
  <c r="F94" i="6"/>
  <c r="G94" i="6"/>
  <c r="H94" i="6"/>
  <c r="I94" i="6"/>
  <c r="J94" i="6"/>
  <c r="A95" i="6"/>
  <c r="B95" i="6"/>
  <c r="C95" i="6"/>
  <c r="D95" i="6"/>
  <c r="E95" i="6"/>
  <c r="F95" i="6"/>
  <c r="G95" i="6"/>
  <c r="H95" i="6"/>
  <c r="I95" i="6"/>
  <c r="J95" i="6"/>
  <c r="A96" i="6"/>
  <c r="B96" i="6"/>
  <c r="C96" i="6"/>
  <c r="D96" i="6"/>
  <c r="E96" i="6"/>
  <c r="F96" i="6"/>
  <c r="G96" i="6"/>
  <c r="H96" i="6"/>
  <c r="I96" i="6"/>
  <c r="J96" i="6"/>
  <c r="A97" i="6"/>
  <c r="B97" i="6"/>
  <c r="C97" i="6"/>
  <c r="D97" i="6"/>
  <c r="E97" i="6"/>
  <c r="F97" i="6"/>
  <c r="G97" i="6"/>
  <c r="H97" i="6"/>
  <c r="I97" i="6"/>
  <c r="J97" i="6"/>
  <c r="A98" i="6"/>
  <c r="B98" i="6"/>
  <c r="C98" i="6"/>
  <c r="D98" i="6"/>
  <c r="E98" i="6"/>
  <c r="F98" i="6"/>
  <c r="G98" i="6"/>
  <c r="H98" i="6"/>
  <c r="I98" i="6"/>
  <c r="J98" i="6"/>
  <c r="A99" i="6"/>
  <c r="B99" i="6"/>
  <c r="C99" i="6"/>
  <c r="D99" i="6"/>
  <c r="E99" i="6"/>
  <c r="F99" i="6"/>
  <c r="G99" i="6"/>
  <c r="H99" i="6"/>
  <c r="I99" i="6"/>
  <c r="J99" i="6"/>
  <c r="A100" i="6"/>
  <c r="B100" i="6"/>
  <c r="C100" i="6"/>
  <c r="D100" i="6"/>
  <c r="E100" i="6"/>
  <c r="F100" i="6"/>
  <c r="G100" i="6"/>
  <c r="H100" i="6"/>
  <c r="I100" i="6"/>
  <c r="J100" i="6"/>
  <c r="A101" i="6"/>
  <c r="B101" i="6"/>
  <c r="C101" i="6"/>
  <c r="D101" i="6"/>
  <c r="E101" i="6"/>
  <c r="F101" i="6"/>
  <c r="G101" i="6"/>
  <c r="H101" i="6"/>
  <c r="I101" i="6"/>
  <c r="J101" i="6"/>
  <c r="A102" i="6"/>
  <c r="B102" i="6"/>
  <c r="C102" i="6"/>
  <c r="D102" i="6"/>
  <c r="E102" i="6"/>
  <c r="F102" i="6"/>
  <c r="G102" i="6"/>
  <c r="H102" i="6"/>
  <c r="I102" i="6"/>
  <c r="J102" i="6"/>
  <c r="A103" i="6"/>
  <c r="B103" i="6"/>
  <c r="C103" i="6"/>
  <c r="D103" i="6"/>
  <c r="E103" i="6"/>
  <c r="F103" i="6"/>
  <c r="G103" i="6"/>
  <c r="H103" i="6"/>
  <c r="I103" i="6"/>
  <c r="J103" i="6"/>
  <c r="A104" i="6"/>
  <c r="B104" i="6"/>
  <c r="C104" i="6"/>
  <c r="D104" i="6"/>
  <c r="E104" i="6"/>
  <c r="F104" i="6"/>
  <c r="G104" i="6"/>
  <c r="H104" i="6"/>
  <c r="I104" i="6"/>
  <c r="J104" i="6"/>
  <c r="A105" i="6"/>
  <c r="B105" i="6"/>
  <c r="C105" i="6"/>
  <c r="D105" i="6"/>
  <c r="E105" i="6"/>
  <c r="F105" i="6"/>
  <c r="G105" i="6"/>
  <c r="H105" i="6"/>
  <c r="I105" i="6"/>
  <c r="J105" i="6"/>
  <c r="A106" i="6"/>
  <c r="B106" i="6"/>
  <c r="C106" i="6"/>
  <c r="D106" i="6"/>
  <c r="E106" i="6"/>
  <c r="F106" i="6"/>
  <c r="G106" i="6"/>
  <c r="H106" i="6"/>
  <c r="I106" i="6"/>
  <c r="J106" i="6"/>
  <c r="A107" i="6"/>
  <c r="B107" i="6"/>
  <c r="C107" i="6"/>
  <c r="D107" i="6"/>
  <c r="E107" i="6"/>
  <c r="F107" i="6"/>
  <c r="G107" i="6"/>
  <c r="H107" i="6"/>
  <c r="I107" i="6"/>
  <c r="J107" i="6"/>
  <c r="A108" i="6"/>
  <c r="B108" i="6"/>
  <c r="C108" i="6"/>
  <c r="D108" i="6"/>
  <c r="E108" i="6"/>
  <c r="F108" i="6"/>
  <c r="G108" i="6"/>
  <c r="H108" i="6"/>
  <c r="I108" i="6"/>
  <c r="J108" i="6"/>
  <c r="A109" i="6"/>
  <c r="B109" i="6"/>
  <c r="C109" i="6"/>
  <c r="D109" i="6"/>
  <c r="E109" i="6"/>
  <c r="F109" i="6"/>
  <c r="G109" i="6"/>
  <c r="H109" i="6"/>
  <c r="I109" i="6"/>
  <c r="J109" i="6"/>
  <c r="A110" i="6"/>
  <c r="B110" i="6"/>
  <c r="C110" i="6"/>
  <c r="D110" i="6"/>
  <c r="E110" i="6"/>
  <c r="F110" i="6"/>
  <c r="G110" i="6"/>
  <c r="H110" i="6"/>
  <c r="I110" i="6"/>
  <c r="J110" i="6"/>
  <c r="A111" i="6"/>
  <c r="B111" i="6"/>
  <c r="C111" i="6"/>
  <c r="D111" i="6"/>
  <c r="E111" i="6"/>
  <c r="F111" i="6"/>
  <c r="G111" i="6"/>
  <c r="H111" i="6"/>
  <c r="I111" i="6"/>
  <c r="J111" i="6"/>
  <c r="A112" i="6"/>
  <c r="B112" i="6"/>
  <c r="C112" i="6"/>
  <c r="D112" i="6"/>
  <c r="E112" i="6"/>
  <c r="F112" i="6"/>
  <c r="G112" i="6"/>
  <c r="H112" i="6"/>
  <c r="I112" i="6"/>
  <c r="J112" i="6"/>
  <c r="A113" i="6"/>
  <c r="B113" i="6"/>
  <c r="C113" i="6"/>
  <c r="D113" i="6"/>
  <c r="E113" i="6"/>
  <c r="F113" i="6"/>
  <c r="G113" i="6"/>
  <c r="H113" i="6"/>
  <c r="I113" i="6"/>
  <c r="J113" i="6"/>
  <c r="A114" i="6"/>
  <c r="B114" i="6"/>
  <c r="C114" i="6"/>
  <c r="D114" i="6"/>
  <c r="E114" i="6"/>
  <c r="F114" i="6"/>
  <c r="G114" i="6"/>
  <c r="H114" i="6"/>
  <c r="I114" i="6"/>
  <c r="J114" i="6"/>
  <c r="A115" i="6"/>
  <c r="B115" i="6"/>
  <c r="C115" i="6"/>
  <c r="D115" i="6"/>
  <c r="E115" i="6"/>
  <c r="F115" i="6"/>
  <c r="G115" i="6"/>
  <c r="H115" i="6"/>
  <c r="I115" i="6"/>
  <c r="J115" i="6"/>
  <c r="A116" i="6"/>
  <c r="B116" i="6"/>
  <c r="C116" i="6"/>
  <c r="D116" i="6"/>
  <c r="E116" i="6"/>
  <c r="F116" i="6"/>
  <c r="G116" i="6"/>
  <c r="H116" i="6"/>
  <c r="I116" i="6"/>
  <c r="J116" i="6"/>
  <c r="A117" i="6"/>
  <c r="B117" i="6"/>
  <c r="C117" i="6"/>
  <c r="D117" i="6"/>
  <c r="E117" i="6"/>
  <c r="F117" i="6"/>
  <c r="G117" i="6"/>
  <c r="H117" i="6"/>
  <c r="I117" i="6"/>
  <c r="J117" i="6"/>
  <c r="A118" i="6"/>
  <c r="B118" i="6"/>
  <c r="C118" i="6"/>
  <c r="D118" i="6"/>
  <c r="E118" i="6"/>
  <c r="F118" i="6"/>
  <c r="G118" i="6"/>
  <c r="H118" i="6"/>
  <c r="I118" i="6"/>
  <c r="J118" i="6"/>
  <c r="A119" i="6"/>
  <c r="B119" i="6"/>
  <c r="C119" i="6"/>
  <c r="D119" i="6"/>
  <c r="E119" i="6"/>
  <c r="F119" i="6"/>
  <c r="G119" i="6"/>
  <c r="H119" i="6"/>
  <c r="I119" i="6"/>
  <c r="J119" i="6"/>
  <c r="A120" i="6"/>
  <c r="B120" i="6"/>
  <c r="C120" i="6"/>
  <c r="D120" i="6"/>
  <c r="E120" i="6"/>
  <c r="F120" i="6"/>
  <c r="G120" i="6"/>
  <c r="H120" i="6"/>
  <c r="I120" i="6"/>
  <c r="J120" i="6"/>
  <c r="A121" i="6"/>
  <c r="B121" i="6"/>
  <c r="C121" i="6"/>
  <c r="D121" i="6"/>
  <c r="E121" i="6"/>
  <c r="F121" i="6"/>
  <c r="G121" i="6"/>
  <c r="H121" i="6"/>
  <c r="I121" i="6"/>
  <c r="J121" i="6"/>
  <c r="A122" i="6"/>
  <c r="B122" i="6"/>
  <c r="C122" i="6"/>
  <c r="D122" i="6"/>
  <c r="E122" i="6"/>
  <c r="F122" i="6"/>
  <c r="G122" i="6"/>
  <c r="H122" i="6"/>
  <c r="I122" i="6"/>
  <c r="J122" i="6"/>
  <c r="A123" i="6"/>
  <c r="B123" i="6"/>
  <c r="C123" i="6"/>
  <c r="D123" i="6"/>
  <c r="E123" i="6"/>
  <c r="F123" i="6"/>
  <c r="G123" i="6"/>
  <c r="H123" i="6"/>
  <c r="I123" i="6"/>
  <c r="J123" i="6"/>
  <c r="A124" i="6"/>
  <c r="B124" i="6"/>
  <c r="C124" i="6"/>
  <c r="D124" i="6"/>
  <c r="E124" i="6"/>
  <c r="F124" i="6"/>
  <c r="G124" i="6"/>
  <c r="H124" i="6"/>
  <c r="I124" i="6"/>
  <c r="J124" i="6"/>
  <c r="A125" i="6"/>
  <c r="B125" i="6"/>
  <c r="C125" i="6"/>
  <c r="D125" i="6"/>
  <c r="E125" i="6"/>
  <c r="F125" i="6"/>
  <c r="G125" i="6"/>
  <c r="H125" i="6"/>
  <c r="I125" i="6"/>
  <c r="J125" i="6"/>
  <c r="A126" i="6"/>
  <c r="B126" i="6"/>
  <c r="C126" i="6"/>
  <c r="D126" i="6"/>
  <c r="E126" i="6"/>
  <c r="F126" i="6"/>
  <c r="G126" i="6"/>
  <c r="H126" i="6"/>
  <c r="I126" i="6"/>
  <c r="J126" i="6"/>
  <c r="A127" i="6"/>
  <c r="B127" i="6"/>
  <c r="C127" i="6"/>
  <c r="D127" i="6"/>
  <c r="E127" i="6"/>
  <c r="F127" i="6"/>
  <c r="G127" i="6"/>
  <c r="H127" i="6"/>
  <c r="I127" i="6"/>
  <c r="J127" i="6"/>
  <c r="A128" i="6"/>
  <c r="B128" i="6"/>
  <c r="C128" i="6"/>
  <c r="D128" i="6"/>
  <c r="E128" i="6"/>
  <c r="F128" i="6"/>
  <c r="G128" i="6"/>
  <c r="H128" i="6"/>
  <c r="I128" i="6"/>
  <c r="J128" i="6"/>
  <c r="A129" i="6"/>
  <c r="B129" i="6"/>
  <c r="C129" i="6"/>
  <c r="D129" i="6"/>
  <c r="E129" i="6"/>
  <c r="F129" i="6"/>
  <c r="G129" i="6"/>
  <c r="H129" i="6"/>
  <c r="I129" i="6"/>
  <c r="J129" i="6"/>
  <c r="A130" i="6"/>
  <c r="B130" i="6"/>
  <c r="C130" i="6"/>
  <c r="D130" i="6"/>
  <c r="E130" i="6"/>
  <c r="F130" i="6"/>
  <c r="G130" i="6"/>
  <c r="H130" i="6"/>
  <c r="I130" i="6"/>
  <c r="J130" i="6"/>
  <c r="A131" i="6"/>
  <c r="B131" i="6"/>
  <c r="C131" i="6"/>
  <c r="D131" i="6"/>
  <c r="E131" i="6"/>
  <c r="F131" i="6"/>
  <c r="G131" i="6"/>
  <c r="H131" i="6"/>
  <c r="I131" i="6"/>
  <c r="J131" i="6"/>
  <c r="A132" i="6"/>
  <c r="B132" i="6"/>
  <c r="C132" i="6"/>
  <c r="D132" i="6"/>
  <c r="E132" i="6"/>
  <c r="F132" i="6"/>
  <c r="G132" i="6"/>
  <c r="H132" i="6"/>
  <c r="I132" i="6"/>
  <c r="J132" i="6"/>
  <c r="A133" i="6"/>
  <c r="B133" i="6"/>
  <c r="C133" i="6"/>
  <c r="D133" i="6"/>
  <c r="E133" i="6"/>
  <c r="F133" i="6"/>
  <c r="G133" i="6"/>
  <c r="H133" i="6"/>
  <c r="I133" i="6"/>
  <c r="J133" i="6"/>
  <c r="A134" i="6"/>
  <c r="B134" i="6"/>
  <c r="C134" i="6"/>
  <c r="D134" i="6"/>
  <c r="E134" i="6"/>
  <c r="F134" i="6"/>
  <c r="G134" i="6"/>
  <c r="H134" i="6"/>
  <c r="I134" i="6"/>
  <c r="J134" i="6"/>
  <c r="A135" i="6"/>
  <c r="B135" i="6"/>
  <c r="C135" i="6"/>
  <c r="D135" i="6"/>
  <c r="E135" i="6"/>
  <c r="F135" i="6"/>
  <c r="G135" i="6"/>
  <c r="H135" i="6"/>
  <c r="I135" i="6"/>
  <c r="J135" i="6"/>
  <c r="A136" i="6"/>
  <c r="B136" i="6"/>
  <c r="C136" i="6"/>
  <c r="D136" i="6"/>
  <c r="E136" i="6"/>
  <c r="F136" i="6"/>
  <c r="G136" i="6"/>
  <c r="H136" i="6"/>
  <c r="I136" i="6"/>
  <c r="J136" i="6"/>
  <c r="A137" i="6"/>
  <c r="B137" i="6"/>
  <c r="C137" i="6"/>
  <c r="D137" i="6"/>
  <c r="E137" i="6"/>
  <c r="F137" i="6"/>
  <c r="G137" i="6"/>
  <c r="H137" i="6"/>
  <c r="I137" i="6"/>
  <c r="J137" i="6"/>
  <c r="A138" i="6"/>
  <c r="B138" i="6"/>
  <c r="C138" i="6"/>
  <c r="D138" i="6"/>
  <c r="E138" i="6"/>
  <c r="F138" i="6"/>
  <c r="G138" i="6"/>
  <c r="H138" i="6"/>
  <c r="I138" i="6"/>
  <c r="J138" i="6"/>
  <c r="A139" i="6"/>
  <c r="B139" i="6"/>
  <c r="C139" i="6"/>
  <c r="D139" i="6"/>
  <c r="E139" i="6"/>
  <c r="F139" i="6"/>
  <c r="G139" i="6"/>
  <c r="H139" i="6"/>
  <c r="I139" i="6"/>
  <c r="J139" i="6"/>
  <c r="A140" i="6"/>
  <c r="B140" i="6"/>
  <c r="C140" i="6"/>
  <c r="D140" i="6"/>
  <c r="E140" i="6"/>
  <c r="F140" i="6"/>
  <c r="G140" i="6"/>
  <c r="H140" i="6"/>
  <c r="I140" i="6"/>
  <c r="J140" i="6"/>
  <c r="A141" i="6"/>
  <c r="B141" i="6"/>
  <c r="C141" i="6"/>
  <c r="D141" i="6"/>
  <c r="E141" i="6"/>
  <c r="F141" i="6"/>
  <c r="G141" i="6"/>
  <c r="H141" i="6"/>
  <c r="I141" i="6"/>
  <c r="J141" i="6"/>
  <c r="A142" i="6"/>
  <c r="B142" i="6"/>
  <c r="C142" i="6"/>
  <c r="D142" i="6"/>
  <c r="E142" i="6"/>
  <c r="F142" i="6"/>
  <c r="G142" i="6"/>
  <c r="H142" i="6"/>
  <c r="I142" i="6"/>
  <c r="J142" i="6"/>
  <c r="A143" i="6"/>
  <c r="B143" i="6"/>
  <c r="C143" i="6"/>
  <c r="D143" i="6"/>
  <c r="E143" i="6"/>
  <c r="F143" i="6"/>
  <c r="G143" i="6"/>
  <c r="H143" i="6"/>
  <c r="I143" i="6"/>
  <c r="J143" i="6"/>
  <c r="A144" i="6"/>
  <c r="B144" i="6"/>
  <c r="C144" i="6"/>
  <c r="D144" i="6"/>
  <c r="E144" i="6"/>
  <c r="F144" i="6"/>
  <c r="G144" i="6"/>
  <c r="H144" i="6"/>
  <c r="I144" i="6"/>
  <c r="J144" i="6"/>
  <c r="A145" i="6"/>
  <c r="B145" i="6"/>
  <c r="C145" i="6"/>
  <c r="D145" i="6"/>
  <c r="E145" i="6"/>
  <c r="F145" i="6"/>
  <c r="G145" i="6"/>
  <c r="H145" i="6"/>
  <c r="I145" i="6"/>
  <c r="J145" i="6"/>
  <c r="A146" i="6"/>
  <c r="B146" i="6"/>
  <c r="C146" i="6"/>
  <c r="D146" i="6"/>
  <c r="E146" i="6"/>
  <c r="F146" i="6"/>
  <c r="G146" i="6"/>
  <c r="H146" i="6"/>
  <c r="I146" i="6"/>
  <c r="J146" i="6"/>
  <c r="A147" i="6"/>
  <c r="B147" i="6"/>
  <c r="C147" i="6"/>
  <c r="D147" i="6"/>
  <c r="E147" i="6"/>
  <c r="F147" i="6"/>
  <c r="G147" i="6"/>
  <c r="H147" i="6"/>
  <c r="I147" i="6"/>
  <c r="J147" i="6"/>
  <c r="A148" i="6"/>
  <c r="B148" i="6"/>
  <c r="C148" i="6"/>
  <c r="D148" i="6"/>
  <c r="E148" i="6"/>
  <c r="F148" i="6"/>
  <c r="G148" i="6"/>
  <c r="H148" i="6"/>
  <c r="I148" i="6"/>
  <c r="J148" i="6"/>
  <c r="A149" i="6"/>
  <c r="B149" i="6"/>
  <c r="C149" i="6"/>
  <c r="D149" i="6"/>
  <c r="E149" i="6"/>
  <c r="F149" i="6"/>
  <c r="G149" i="6"/>
  <c r="H149" i="6"/>
  <c r="I149" i="6"/>
  <c r="J149" i="6"/>
  <c r="A150" i="6"/>
  <c r="B150" i="6"/>
  <c r="C150" i="6"/>
  <c r="D150" i="6"/>
  <c r="E150" i="6"/>
  <c r="F150" i="6"/>
  <c r="G150" i="6"/>
  <c r="H150" i="6"/>
  <c r="I150" i="6"/>
  <c r="J150" i="6"/>
  <c r="A151" i="6"/>
  <c r="B151" i="6"/>
  <c r="C151" i="6"/>
  <c r="D151" i="6"/>
  <c r="E151" i="6"/>
  <c r="F151" i="6"/>
  <c r="G151" i="6"/>
  <c r="H151" i="6"/>
  <c r="I151" i="6"/>
  <c r="J151" i="6"/>
  <c r="A152" i="6"/>
  <c r="B152" i="6"/>
  <c r="C152" i="6"/>
  <c r="D152" i="6"/>
  <c r="E152" i="6"/>
  <c r="F152" i="6"/>
  <c r="G152" i="6"/>
  <c r="H152" i="6"/>
  <c r="I152" i="6"/>
  <c r="J152" i="6"/>
  <c r="A153" i="6"/>
  <c r="B153" i="6"/>
  <c r="C153" i="6"/>
  <c r="D153" i="6"/>
  <c r="E153" i="6"/>
  <c r="F153" i="6"/>
  <c r="G153" i="6"/>
  <c r="H153" i="6"/>
  <c r="I153" i="6"/>
  <c r="J153" i="6"/>
  <c r="A154" i="6"/>
  <c r="B154" i="6"/>
  <c r="C154" i="6"/>
  <c r="D154" i="6"/>
  <c r="E154" i="6"/>
  <c r="F154" i="6"/>
  <c r="G154" i="6"/>
  <c r="H154" i="6"/>
  <c r="I154" i="6"/>
  <c r="J154" i="6"/>
  <c r="A155" i="6"/>
  <c r="B155" i="6"/>
  <c r="C155" i="6"/>
  <c r="D155" i="6"/>
  <c r="E155" i="6"/>
  <c r="F155" i="6"/>
  <c r="G155" i="6"/>
  <c r="H155" i="6"/>
  <c r="I155" i="6"/>
  <c r="J155" i="6"/>
  <c r="A156" i="6"/>
  <c r="B156" i="6"/>
  <c r="C156" i="6"/>
  <c r="D156" i="6"/>
  <c r="E156" i="6"/>
  <c r="F156" i="6"/>
  <c r="G156" i="6"/>
  <c r="H156" i="6"/>
  <c r="I156" i="6"/>
  <c r="J156" i="6"/>
  <c r="A157" i="6"/>
  <c r="B157" i="6"/>
  <c r="C157" i="6"/>
  <c r="D157" i="6"/>
  <c r="E157" i="6"/>
  <c r="F157" i="6"/>
  <c r="G157" i="6"/>
  <c r="H157" i="6"/>
  <c r="I157" i="6"/>
  <c r="J157" i="6"/>
  <c r="A158" i="6"/>
  <c r="B158" i="6"/>
  <c r="C158" i="6"/>
  <c r="D158" i="6"/>
  <c r="E158" i="6"/>
  <c r="F158" i="6"/>
  <c r="G158" i="6"/>
  <c r="H158" i="6"/>
  <c r="I158" i="6"/>
  <c r="J158" i="6"/>
  <c r="A159" i="6"/>
  <c r="B159" i="6"/>
  <c r="C159" i="6"/>
  <c r="D159" i="6"/>
  <c r="E159" i="6"/>
  <c r="F159" i="6"/>
  <c r="G159" i="6"/>
  <c r="H159" i="6"/>
  <c r="I159" i="6"/>
  <c r="J159" i="6"/>
  <c r="A160" i="6"/>
  <c r="B160" i="6"/>
  <c r="C160" i="6"/>
  <c r="D160" i="6"/>
  <c r="E160" i="6"/>
  <c r="F160" i="6"/>
  <c r="G160" i="6"/>
  <c r="H160" i="6"/>
  <c r="I160" i="6"/>
  <c r="J160" i="6"/>
  <c r="A161" i="6"/>
  <c r="B161" i="6"/>
  <c r="C161" i="6"/>
  <c r="D161" i="6"/>
  <c r="E161" i="6"/>
  <c r="F161" i="6"/>
  <c r="G161" i="6"/>
  <c r="H161" i="6"/>
  <c r="I161" i="6"/>
  <c r="J161" i="6"/>
  <c r="A162" i="6"/>
  <c r="B162" i="6"/>
  <c r="C162" i="6"/>
  <c r="D162" i="6"/>
  <c r="E162" i="6"/>
  <c r="F162" i="6"/>
  <c r="G162" i="6"/>
  <c r="H162" i="6"/>
  <c r="I162" i="6"/>
  <c r="J162" i="6"/>
  <c r="A163" i="6"/>
  <c r="B163" i="6"/>
  <c r="C163" i="6"/>
  <c r="D163" i="6"/>
  <c r="E163" i="6"/>
  <c r="F163" i="6"/>
  <c r="G163" i="6"/>
  <c r="H163" i="6"/>
  <c r="I163" i="6"/>
  <c r="J163" i="6"/>
  <c r="A164" i="6"/>
  <c r="B164" i="6"/>
  <c r="C164" i="6"/>
  <c r="D164" i="6"/>
  <c r="E164" i="6"/>
  <c r="F164" i="6"/>
  <c r="G164" i="6"/>
  <c r="H164" i="6"/>
  <c r="I164" i="6"/>
  <c r="J164" i="6"/>
  <c r="A165" i="6"/>
  <c r="B165" i="6"/>
  <c r="C165" i="6"/>
  <c r="D165" i="6"/>
  <c r="E165" i="6"/>
  <c r="F165" i="6"/>
  <c r="G165" i="6"/>
  <c r="H165" i="6"/>
  <c r="I165" i="6"/>
  <c r="J165" i="6"/>
  <c r="A166" i="6"/>
  <c r="B166" i="6"/>
  <c r="C166" i="6"/>
  <c r="D166" i="6"/>
  <c r="E166" i="6"/>
  <c r="F166" i="6"/>
  <c r="G166" i="6"/>
  <c r="H166" i="6"/>
  <c r="I166" i="6"/>
  <c r="J166" i="6"/>
  <c r="A167" i="6"/>
  <c r="B167" i="6"/>
  <c r="C167" i="6"/>
  <c r="D167" i="6"/>
  <c r="E167" i="6"/>
  <c r="F167" i="6"/>
  <c r="G167" i="6"/>
  <c r="H167" i="6"/>
  <c r="I167" i="6"/>
  <c r="J167" i="6"/>
  <c r="A168" i="6"/>
  <c r="B168" i="6"/>
  <c r="C168" i="6"/>
  <c r="D168" i="6"/>
  <c r="E168" i="6"/>
  <c r="F168" i="6"/>
  <c r="G168" i="6"/>
  <c r="H168" i="6"/>
  <c r="I168" i="6"/>
  <c r="J168" i="6"/>
  <c r="A169" i="6"/>
  <c r="B169" i="6"/>
  <c r="C169" i="6"/>
  <c r="D169" i="6"/>
  <c r="E169" i="6"/>
  <c r="F169" i="6"/>
  <c r="G169" i="6"/>
  <c r="H169" i="6"/>
  <c r="I169" i="6"/>
  <c r="J169" i="6"/>
  <c r="A170" i="6"/>
  <c r="B170" i="6"/>
  <c r="C170" i="6"/>
  <c r="D170" i="6"/>
  <c r="E170" i="6"/>
  <c r="F170" i="6"/>
  <c r="G170" i="6"/>
  <c r="H170" i="6"/>
  <c r="I170" i="6"/>
  <c r="J170" i="6"/>
  <c r="A171" i="6"/>
  <c r="B171" i="6"/>
  <c r="C171" i="6"/>
  <c r="D171" i="6"/>
  <c r="E171" i="6"/>
  <c r="F171" i="6"/>
  <c r="G171" i="6"/>
  <c r="H171" i="6"/>
  <c r="I171" i="6"/>
  <c r="J171" i="6"/>
  <c r="A172" i="6"/>
  <c r="B172" i="6"/>
  <c r="C172" i="6"/>
  <c r="D172" i="6"/>
  <c r="E172" i="6"/>
  <c r="F172" i="6"/>
  <c r="G172" i="6"/>
  <c r="H172" i="6"/>
  <c r="I172" i="6"/>
  <c r="J172" i="6"/>
  <c r="A173" i="6"/>
  <c r="B173" i="6"/>
  <c r="C173" i="6"/>
  <c r="D173" i="6"/>
  <c r="E173" i="6"/>
  <c r="F173" i="6"/>
  <c r="G173" i="6"/>
  <c r="H173" i="6"/>
  <c r="I173" i="6"/>
  <c r="J173" i="6"/>
  <c r="A174" i="6"/>
  <c r="B174" i="6"/>
  <c r="C174" i="6"/>
  <c r="D174" i="6"/>
  <c r="E174" i="6"/>
  <c r="F174" i="6"/>
  <c r="G174" i="6"/>
  <c r="H174" i="6"/>
  <c r="I174" i="6"/>
  <c r="J174" i="6"/>
  <c r="A175" i="6"/>
  <c r="B175" i="6"/>
  <c r="C175" i="6"/>
  <c r="D175" i="6"/>
  <c r="E175" i="6"/>
  <c r="F175" i="6"/>
  <c r="G175" i="6"/>
  <c r="H175" i="6"/>
  <c r="I175" i="6"/>
  <c r="J175" i="6"/>
  <c r="A176" i="6"/>
  <c r="B176" i="6"/>
  <c r="C176" i="6"/>
  <c r="D176" i="6"/>
  <c r="E176" i="6"/>
  <c r="F176" i="6"/>
  <c r="G176" i="6"/>
  <c r="H176" i="6"/>
  <c r="I176" i="6"/>
  <c r="J176" i="6"/>
  <c r="A177" i="6"/>
  <c r="B177" i="6"/>
  <c r="C177" i="6"/>
  <c r="D177" i="6"/>
  <c r="E177" i="6"/>
  <c r="F177" i="6"/>
  <c r="G177" i="6"/>
  <c r="H177" i="6"/>
  <c r="I177" i="6"/>
  <c r="J177" i="6"/>
  <c r="A178" i="6"/>
  <c r="B178" i="6"/>
  <c r="C178" i="6"/>
  <c r="D178" i="6"/>
  <c r="E178" i="6"/>
  <c r="F178" i="6"/>
  <c r="G178" i="6"/>
  <c r="H178" i="6"/>
  <c r="I178" i="6"/>
  <c r="J178" i="6"/>
  <c r="A179" i="6"/>
  <c r="B179" i="6"/>
  <c r="C179" i="6"/>
  <c r="D179" i="6"/>
  <c r="E179" i="6"/>
  <c r="F179" i="6"/>
  <c r="G179" i="6"/>
  <c r="H179" i="6"/>
  <c r="I179" i="6"/>
  <c r="J179" i="6"/>
  <c r="A180" i="6"/>
  <c r="B180" i="6"/>
  <c r="C180" i="6"/>
  <c r="D180" i="6"/>
  <c r="E180" i="6"/>
  <c r="F180" i="6"/>
  <c r="G180" i="6"/>
  <c r="H180" i="6"/>
  <c r="I180" i="6"/>
  <c r="J180" i="6"/>
  <c r="A181" i="6"/>
  <c r="B181" i="6"/>
  <c r="C181" i="6"/>
  <c r="D181" i="6"/>
  <c r="E181" i="6"/>
  <c r="F181" i="6"/>
  <c r="G181" i="6"/>
  <c r="H181" i="6"/>
  <c r="I181" i="6"/>
  <c r="J181" i="6"/>
  <c r="A182" i="6"/>
  <c r="B182" i="6"/>
  <c r="C182" i="6"/>
  <c r="D182" i="6"/>
  <c r="E182" i="6"/>
  <c r="F182" i="6"/>
  <c r="G182" i="6"/>
  <c r="H182" i="6"/>
  <c r="I182" i="6"/>
  <c r="J182" i="6"/>
  <c r="A183" i="6"/>
  <c r="B183" i="6"/>
  <c r="C183" i="6"/>
  <c r="D183" i="6"/>
  <c r="E183" i="6"/>
  <c r="F183" i="6"/>
  <c r="G183" i="6"/>
  <c r="H183" i="6"/>
  <c r="I183" i="6"/>
  <c r="J183" i="6"/>
  <c r="A184" i="6"/>
  <c r="B184" i="6"/>
  <c r="C184" i="6"/>
  <c r="D184" i="6"/>
  <c r="E184" i="6"/>
  <c r="F184" i="6"/>
  <c r="G184" i="6"/>
  <c r="H184" i="6"/>
  <c r="I184" i="6"/>
  <c r="J184" i="6"/>
  <c r="A185" i="6"/>
  <c r="B185" i="6"/>
  <c r="C185" i="6"/>
  <c r="D185" i="6"/>
  <c r="E185" i="6"/>
  <c r="F185" i="6"/>
  <c r="G185" i="6"/>
  <c r="H185" i="6"/>
  <c r="I185" i="6"/>
  <c r="J185" i="6"/>
  <c r="A186" i="6"/>
  <c r="B186" i="6"/>
  <c r="C186" i="6"/>
  <c r="D186" i="6"/>
  <c r="E186" i="6"/>
  <c r="F186" i="6"/>
  <c r="G186" i="6"/>
  <c r="H186" i="6"/>
  <c r="I186" i="6"/>
  <c r="J186" i="6"/>
  <c r="A187" i="6"/>
  <c r="B187" i="6"/>
  <c r="C187" i="6"/>
  <c r="D187" i="6"/>
  <c r="E187" i="6"/>
  <c r="F187" i="6"/>
  <c r="G187" i="6"/>
  <c r="H187" i="6"/>
  <c r="I187" i="6"/>
  <c r="J187" i="6"/>
  <c r="A188" i="6"/>
  <c r="B188" i="6"/>
  <c r="C188" i="6"/>
  <c r="D188" i="6"/>
  <c r="E188" i="6"/>
  <c r="F188" i="6"/>
  <c r="G188" i="6"/>
  <c r="H188" i="6"/>
  <c r="I188" i="6"/>
  <c r="J188" i="6"/>
  <c r="A189" i="6"/>
  <c r="B189" i="6"/>
  <c r="C189" i="6"/>
  <c r="D189" i="6"/>
  <c r="E189" i="6"/>
  <c r="F189" i="6"/>
  <c r="G189" i="6"/>
  <c r="H189" i="6"/>
  <c r="I189" i="6"/>
  <c r="J189" i="6"/>
  <c r="A190" i="6"/>
  <c r="B190" i="6"/>
  <c r="C190" i="6"/>
  <c r="D190" i="6"/>
  <c r="E190" i="6"/>
  <c r="F190" i="6"/>
  <c r="G190" i="6"/>
  <c r="H190" i="6"/>
  <c r="I190" i="6"/>
  <c r="J190" i="6"/>
  <c r="A191" i="6"/>
  <c r="B191" i="6"/>
  <c r="C191" i="6"/>
  <c r="D191" i="6"/>
  <c r="E191" i="6"/>
  <c r="F191" i="6"/>
  <c r="G191" i="6"/>
  <c r="H191" i="6"/>
  <c r="I191" i="6"/>
  <c r="J191" i="6"/>
  <c r="A192" i="6"/>
  <c r="B192" i="6"/>
  <c r="C192" i="6"/>
  <c r="D192" i="6"/>
  <c r="E192" i="6"/>
  <c r="F192" i="6"/>
  <c r="G192" i="6"/>
  <c r="H192" i="6"/>
  <c r="I192" i="6"/>
  <c r="J192" i="6"/>
  <c r="A193" i="6"/>
  <c r="B193" i="6"/>
  <c r="C193" i="6"/>
  <c r="D193" i="6"/>
  <c r="E193" i="6"/>
  <c r="F193" i="6"/>
  <c r="G193" i="6"/>
  <c r="H193" i="6"/>
  <c r="I193" i="6"/>
  <c r="J193" i="6"/>
  <c r="A194" i="6"/>
  <c r="B194" i="6"/>
  <c r="C194" i="6"/>
  <c r="D194" i="6"/>
  <c r="E194" i="6"/>
  <c r="F194" i="6"/>
  <c r="G194" i="6"/>
  <c r="H194" i="6"/>
  <c r="I194" i="6"/>
  <c r="J194" i="6"/>
  <c r="A195" i="6"/>
  <c r="B195" i="6"/>
  <c r="C195" i="6"/>
  <c r="D195" i="6"/>
  <c r="E195" i="6"/>
  <c r="F195" i="6"/>
  <c r="G195" i="6"/>
  <c r="H195" i="6"/>
  <c r="I195" i="6"/>
  <c r="J195" i="6"/>
  <c r="A196" i="6"/>
  <c r="B196" i="6"/>
  <c r="C196" i="6"/>
  <c r="D196" i="6"/>
  <c r="E196" i="6"/>
  <c r="F196" i="6"/>
  <c r="G196" i="6"/>
  <c r="H196" i="6"/>
  <c r="I196" i="6"/>
  <c r="J196" i="6"/>
  <c r="A197" i="6"/>
  <c r="B197" i="6"/>
  <c r="C197" i="6"/>
  <c r="D197" i="6"/>
  <c r="E197" i="6"/>
  <c r="F197" i="6"/>
  <c r="G197" i="6"/>
  <c r="H197" i="6"/>
  <c r="I197" i="6"/>
  <c r="J197" i="6"/>
  <c r="A198" i="6"/>
  <c r="B198" i="6"/>
  <c r="C198" i="6"/>
  <c r="D198" i="6"/>
  <c r="E198" i="6"/>
  <c r="F198" i="6"/>
  <c r="G198" i="6"/>
  <c r="H198" i="6"/>
  <c r="I198" i="6"/>
  <c r="J198" i="6"/>
  <c r="A199" i="6"/>
  <c r="B199" i="6"/>
  <c r="C199" i="6"/>
  <c r="D199" i="6"/>
  <c r="E199" i="6"/>
  <c r="F199" i="6"/>
  <c r="G199" i="6"/>
  <c r="H199" i="6"/>
  <c r="I199" i="6"/>
  <c r="J199" i="6"/>
  <c r="A200" i="6"/>
  <c r="B200" i="6"/>
  <c r="C200" i="6"/>
  <c r="D200" i="6"/>
  <c r="E200" i="6"/>
  <c r="F200" i="6"/>
  <c r="G200" i="6"/>
  <c r="H200" i="6"/>
  <c r="I200" i="6"/>
  <c r="J200" i="6"/>
  <c r="A201" i="6"/>
  <c r="B201" i="6"/>
  <c r="C201" i="6"/>
  <c r="D201" i="6"/>
  <c r="E201" i="6"/>
  <c r="F201" i="6"/>
  <c r="G201" i="6"/>
  <c r="H201" i="6"/>
  <c r="I201" i="6"/>
  <c r="J201" i="6"/>
  <c r="A202" i="6"/>
  <c r="B202" i="6"/>
  <c r="C202" i="6"/>
  <c r="D202" i="6"/>
  <c r="E202" i="6"/>
  <c r="F202" i="6"/>
  <c r="G202" i="6"/>
  <c r="H202" i="6"/>
  <c r="I202" i="6"/>
  <c r="J202" i="6"/>
  <c r="A203" i="6"/>
  <c r="B203" i="6"/>
  <c r="C203" i="6"/>
  <c r="D203" i="6"/>
  <c r="E203" i="6"/>
  <c r="F203" i="6"/>
  <c r="G203" i="6"/>
  <c r="H203" i="6"/>
  <c r="I203" i="6"/>
  <c r="J203" i="6"/>
  <c r="A204" i="6"/>
  <c r="B204" i="6"/>
  <c r="C204" i="6"/>
  <c r="D204" i="6"/>
  <c r="E204" i="6"/>
  <c r="F204" i="6"/>
  <c r="G204" i="6"/>
  <c r="H204" i="6"/>
  <c r="I204" i="6"/>
  <c r="J204" i="6"/>
  <c r="A205" i="6"/>
  <c r="B205" i="6"/>
  <c r="C205" i="6"/>
  <c r="D205" i="6"/>
  <c r="E205" i="6"/>
  <c r="F205" i="6"/>
  <c r="G205" i="6"/>
  <c r="H205" i="6"/>
  <c r="I205" i="6"/>
  <c r="J205" i="6"/>
  <c r="A206" i="6"/>
  <c r="B206" i="6"/>
  <c r="C206" i="6"/>
  <c r="D206" i="6"/>
  <c r="E206" i="6"/>
  <c r="F206" i="6"/>
  <c r="G206" i="6"/>
  <c r="H206" i="6"/>
  <c r="I206" i="6"/>
  <c r="J206" i="6"/>
  <c r="A207" i="6"/>
  <c r="B207" i="6"/>
  <c r="C207" i="6"/>
  <c r="D207" i="6"/>
  <c r="E207" i="6"/>
  <c r="F207" i="6"/>
  <c r="G207" i="6"/>
  <c r="H207" i="6"/>
  <c r="I207" i="6"/>
  <c r="J207" i="6"/>
  <c r="A208" i="6"/>
  <c r="B208" i="6"/>
  <c r="C208" i="6"/>
  <c r="D208" i="6"/>
  <c r="E208" i="6"/>
  <c r="F208" i="6"/>
  <c r="G208" i="6"/>
  <c r="H208" i="6"/>
  <c r="I208" i="6"/>
  <c r="J208" i="6"/>
  <c r="A209" i="6"/>
  <c r="B209" i="6"/>
  <c r="C209" i="6"/>
  <c r="D209" i="6"/>
  <c r="E209" i="6"/>
  <c r="F209" i="6"/>
  <c r="G209" i="6"/>
  <c r="H209" i="6"/>
  <c r="I209" i="6"/>
  <c r="J209" i="6"/>
  <c r="A210" i="6"/>
  <c r="B210" i="6"/>
  <c r="C210" i="6"/>
  <c r="D210" i="6"/>
  <c r="E210" i="6"/>
  <c r="F210" i="6"/>
  <c r="G210" i="6"/>
  <c r="H210" i="6"/>
  <c r="I210" i="6"/>
  <c r="J210" i="6"/>
  <c r="A211" i="6"/>
  <c r="B211" i="6"/>
  <c r="C211" i="6"/>
  <c r="D211" i="6"/>
  <c r="E211" i="6"/>
  <c r="F211" i="6"/>
  <c r="G211" i="6"/>
  <c r="H211" i="6"/>
  <c r="I211" i="6"/>
  <c r="J211" i="6"/>
  <c r="A212" i="6"/>
  <c r="B212" i="6"/>
  <c r="C212" i="6"/>
  <c r="D212" i="6"/>
  <c r="E212" i="6"/>
  <c r="F212" i="6"/>
  <c r="G212" i="6"/>
  <c r="H212" i="6"/>
  <c r="I212" i="6"/>
  <c r="J212" i="6"/>
  <c r="A213" i="6"/>
  <c r="B213" i="6"/>
  <c r="C213" i="6"/>
  <c r="D213" i="6"/>
  <c r="E213" i="6"/>
  <c r="F213" i="6"/>
  <c r="G213" i="6"/>
  <c r="H213" i="6"/>
  <c r="I213" i="6"/>
  <c r="J213" i="6"/>
  <c r="A214" i="6"/>
  <c r="B214" i="6"/>
  <c r="C214" i="6"/>
  <c r="D214" i="6"/>
  <c r="E214" i="6"/>
  <c r="F214" i="6"/>
  <c r="G214" i="6"/>
  <c r="H214" i="6"/>
  <c r="I214" i="6"/>
  <c r="J214" i="6"/>
  <c r="A215" i="6"/>
  <c r="B215" i="6"/>
  <c r="C215" i="6"/>
  <c r="D215" i="6"/>
  <c r="E215" i="6"/>
  <c r="F215" i="6"/>
  <c r="G215" i="6"/>
  <c r="H215" i="6"/>
  <c r="I215" i="6"/>
  <c r="J215" i="6"/>
  <c r="A216" i="6"/>
  <c r="B216" i="6"/>
  <c r="C216" i="6"/>
  <c r="D216" i="6"/>
  <c r="E216" i="6"/>
  <c r="F216" i="6"/>
  <c r="G216" i="6"/>
  <c r="H216" i="6"/>
  <c r="I216" i="6"/>
  <c r="J216" i="6"/>
  <c r="A217" i="6"/>
  <c r="B217" i="6"/>
  <c r="C217" i="6"/>
  <c r="D217" i="6"/>
  <c r="E217" i="6"/>
  <c r="F217" i="6"/>
  <c r="G217" i="6"/>
  <c r="H217" i="6"/>
  <c r="I217" i="6"/>
  <c r="J217" i="6"/>
  <c r="A218" i="6"/>
  <c r="B218" i="6"/>
  <c r="C218" i="6"/>
  <c r="D218" i="6"/>
  <c r="E218" i="6"/>
  <c r="F218" i="6"/>
  <c r="G218" i="6"/>
  <c r="H218" i="6"/>
  <c r="I218" i="6"/>
  <c r="J218" i="6"/>
  <c r="A219" i="6"/>
  <c r="B219" i="6"/>
  <c r="C219" i="6"/>
  <c r="D219" i="6"/>
  <c r="E219" i="6"/>
  <c r="F219" i="6"/>
  <c r="G219" i="6"/>
  <c r="H219" i="6"/>
  <c r="I219" i="6"/>
  <c r="J219" i="6"/>
  <c r="A220" i="6"/>
  <c r="B220" i="6"/>
  <c r="C220" i="6"/>
  <c r="D220" i="6"/>
  <c r="E220" i="6"/>
  <c r="F220" i="6"/>
  <c r="G220" i="6"/>
  <c r="H220" i="6"/>
  <c r="I220" i="6"/>
  <c r="J220" i="6"/>
  <c r="A221" i="6"/>
  <c r="B221" i="6"/>
  <c r="C221" i="6"/>
  <c r="D221" i="6"/>
  <c r="E221" i="6"/>
  <c r="F221" i="6"/>
  <c r="G221" i="6"/>
  <c r="H221" i="6"/>
  <c r="I221" i="6"/>
  <c r="J221" i="6"/>
  <c r="A222" i="6"/>
  <c r="B222" i="6"/>
  <c r="C222" i="6"/>
  <c r="D222" i="6"/>
  <c r="E222" i="6"/>
  <c r="F222" i="6"/>
  <c r="G222" i="6"/>
  <c r="H222" i="6"/>
  <c r="I222" i="6"/>
  <c r="J222" i="6"/>
  <c r="A223" i="6"/>
  <c r="B223" i="6"/>
  <c r="C223" i="6"/>
  <c r="D223" i="6"/>
  <c r="E223" i="6"/>
  <c r="F223" i="6"/>
  <c r="G223" i="6"/>
  <c r="H223" i="6"/>
  <c r="I223" i="6"/>
  <c r="J223" i="6"/>
  <c r="A224" i="6"/>
  <c r="B224" i="6"/>
  <c r="C224" i="6"/>
  <c r="D224" i="6"/>
  <c r="E224" i="6"/>
  <c r="F224" i="6"/>
  <c r="G224" i="6"/>
  <c r="H224" i="6"/>
  <c r="I224" i="6"/>
  <c r="J224" i="6"/>
  <c r="A225" i="6"/>
  <c r="B225" i="6"/>
  <c r="C225" i="6"/>
  <c r="D225" i="6"/>
  <c r="E225" i="6"/>
  <c r="F225" i="6"/>
  <c r="G225" i="6"/>
  <c r="H225" i="6"/>
  <c r="I225" i="6"/>
  <c r="J225" i="6"/>
  <c r="A226" i="6"/>
  <c r="B226" i="6"/>
  <c r="C226" i="6"/>
  <c r="D226" i="6"/>
  <c r="E226" i="6"/>
  <c r="F226" i="6"/>
  <c r="G226" i="6"/>
  <c r="H226" i="6"/>
  <c r="I226" i="6"/>
  <c r="J226" i="6"/>
  <c r="A227" i="6"/>
  <c r="B227" i="6"/>
  <c r="C227" i="6"/>
  <c r="D227" i="6"/>
  <c r="E227" i="6"/>
  <c r="F227" i="6"/>
  <c r="G227" i="6"/>
  <c r="H227" i="6"/>
  <c r="I227" i="6"/>
  <c r="J227" i="6"/>
  <c r="A228" i="6"/>
  <c r="B228" i="6"/>
  <c r="C228" i="6"/>
  <c r="D228" i="6"/>
  <c r="E228" i="6"/>
  <c r="F228" i="6"/>
  <c r="G228" i="6"/>
  <c r="H228" i="6"/>
  <c r="I228" i="6"/>
  <c r="J228" i="6"/>
  <c r="A229" i="6"/>
  <c r="B229" i="6"/>
  <c r="C229" i="6"/>
  <c r="D229" i="6"/>
  <c r="E229" i="6"/>
  <c r="F229" i="6"/>
  <c r="G229" i="6"/>
  <c r="H229" i="6"/>
  <c r="I229" i="6"/>
  <c r="J229" i="6"/>
  <c r="A230" i="6"/>
  <c r="B230" i="6"/>
  <c r="C230" i="6"/>
  <c r="D230" i="6"/>
  <c r="E230" i="6"/>
  <c r="F230" i="6"/>
  <c r="G230" i="6"/>
  <c r="H230" i="6"/>
  <c r="I230" i="6"/>
  <c r="J230" i="6"/>
  <c r="A231" i="6"/>
  <c r="B231" i="6"/>
  <c r="C231" i="6"/>
  <c r="D231" i="6"/>
  <c r="E231" i="6"/>
  <c r="F231" i="6"/>
  <c r="G231" i="6"/>
  <c r="H231" i="6"/>
  <c r="I231" i="6"/>
  <c r="J231" i="6"/>
  <c r="A232" i="6"/>
  <c r="B232" i="6"/>
  <c r="C232" i="6"/>
  <c r="D232" i="6"/>
  <c r="E232" i="6"/>
  <c r="F232" i="6"/>
  <c r="G232" i="6"/>
  <c r="H232" i="6"/>
  <c r="I232" i="6"/>
  <c r="J232" i="6"/>
  <c r="A233" i="6"/>
  <c r="B233" i="6"/>
  <c r="C233" i="6"/>
  <c r="D233" i="6"/>
  <c r="E233" i="6"/>
  <c r="F233" i="6"/>
  <c r="G233" i="6"/>
  <c r="H233" i="6"/>
  <c r="I233" i="6"/>
  <c r="J233" i="6"/>
  <c r="A234" i="6"/>
  <c r="B234" i="6"/>
  <c r="C234" i="6"/>
  <c r="D234" i="6"/>
  <c r="E234" i="6"/>
  <c r="F234" i="6"/>
  <c r="G234" i="6"/>
  <c r="H234" i="6"/>
  <c r="I234" i="6"/>
  <c r="J234" i="6"/>
  <c r="A235" i="6"/>
  <c r="B235" i="6"/>
  <c r="C235" i="6"/>
  <c r="D235" i="6"/>
  <c r="E235" i="6"/>
  <c r="F235" i="6"/>
  <c r="G235" i="6"/>
  <c r="H235" i="6"/>
  <c r="I235" i="6"/>
  <c r="J235" i="6"/>
  <c r="A236" i="6"/>
  <c r="B236" i="6"/>
  <c r="C236" i="6"/>
  <c r="D236" i="6"/>
  <c r="E236" i="6"/>
  <c r="F236" i="6"/>
  <c r="G236" i="6"/>
  <c r="H236" i="6"/>
  <c r="I236" i="6"/>
  <c r="J236" i="6"/>
  <c r="A237" i="6"/>
  <c r="B237" i="6"/>
  <c r="C237" i="6"/>
  <c r="D237" i="6"/>
  <c r="E237" i="6"/>
  <c r="F237" i="6"/>
  <c r="G237" i="6"/>
  <c r="H237" i="6"/>
  <c r="I237" i="6"/>
  <c r="J237" i="6"/>
  <c r="A238" i="6"/>
  <c r="B238" i="6"/>
  <c r="C238" i="6"/>
  <c r="D238" i="6"/>
  <c r="E238" i="6"/>
  <c r="F238" i="6"/>
  <c r="G238" i="6"/>
  <c r="H238" i="6"/>
  <c r="I238" i="6"/>
  <c r="J238" i="6"/>
  <c r="A239" i="6"/>
  <c r="B239" i="6"/>
  <c r="C239" i="6"/>
  <c r="D239" i="6"/>
  <c r="E239" i="6"/>
  <c r="F239" i="6"/>
  <c r="G239" i="6"/>
  <c r="H239" i="6"/>
  <c r="I239" i="6"/>
  <c r="J239" i="6"/>
  <c r="A240" i="6"/>
  <c r="B240" i="6"/>
  <c r="C240" i="6"/>
  <c r="D240" i="6"/>
  <c r="E240" i="6"/>
  <c r="F240" i="6"/>
  <c r="G240" i="6"/>
  <c r="H240" i="6"/>
  <c r="I240" i="6"/>
  <c r="J240" i="6"/>
  <c r="A241" i="6"/>
  <c r="B241" i="6"/>
  <c r="C241" i="6"/>
  <c r="D241" i="6"/>
  <c r="E241" i="6"/>
  <c r="F241" i="6"/>
  <c r="G241" i="6"/>
  <c r="H241" i="6"/>
  <c r="I241" i="6"/>
  <c r="J241" i="6"/>
  <c r="A242" i="6"/>
  <c r="B242" i="6"/>
  <c r="C242" i="6"/>
  <c r="D242" i="6"/>
  <c r="E242" i="6"/>
  <c r="F242" i="6"/>
  <c r="G242" i="6"/>
  <c r="H242" i="6"/>
  <c r="I242" i="6"/>
  <c r="J242" i="6"/>
  <c r="A243" i="6"/>
  <c r="B243" i="6"/>
  <c r="C243" i="6"/>
  <c r="D243" i="6"/>
  <c r="E243" i="6"/>
  <c r="F243" i="6"/>
  <c r="G243" i="6"/>
  <c r="H243" i="6"/>
  <c r="I243" i="6"/>
  <c r="J243" i="6"/>
  <c r="A244" i="6"/>
  <c r="B244" i="6"/>
  <c r="C244" i="6"/>
  <c r="D244" i="6"/>
  <c r="E244" i="6"/>
  <c r="F244" i="6"/>
  <c r="G244" i="6"/>
  <c r="H244" i="6"/>
  <c r="I244" i="6"/>
  <c r="J244" i="6"/>
  <c r="A245" i="6"/>
  <c r="B245" i="6"/>
  <c r="C245" i="6"/>
  <c r="D245" i="6"/>
  <c r="E245" i="6"/>
  <c r="F245" i="6"/>
  <c r="G245" i="6"/>
  <c r="H245" i="6"/>
  <c r="I245" i="6"/>
  <c r="J245" i="6"/>
  <c r="A246" i="6"/>
  <c r="B246" i="6"/>
  <c r="C246" i="6"/>
  <c r="D246" i="6"/>
  <c r="E246" i="6"/>
  <c r="F246" i="6"/>
  <c r="G246" i="6"/>
  <c r="H246" i="6"/>
  <c r="I246" i="6"/>
  <c r="J246" i="6"/>
  <c r="A247" i="6"/>
  <c r="B247" i="6"/>
  <c r="C247" i="6"/>
  <c r="D247" i="6"/>
  <c r="E247" i="6"/>
  <c r="F247" i="6"/>
  <c r="G247" i="6"/>
  <c r="H247" i="6"/>
  <c r="I247" i="6"/>
  <c r="J247" i="6"/>
  <c r="A248" i="6"/>
  <c r="B248" i="6"/>
  <c r="C248" i="6"/>
  <c r="D248" i="6"/>
  <c r="E248" i="6"/>
  <c r="F248" i="6"/>
  <c r="G248" i="6"/>
  <c r="H248" i="6"/>
  <c r="I248" i="6"/>
  <c r="J248" i="6"/>
  <c r="A249" i="6"/>
  <c r="B249" i="6"/>
  <c r="C249" i="6"/>
  <c r="D249" i="6"/>
  <c r="E249" i="6"/>
  <c r="F249" i="6"/>
  <c r="G249" i="6"/>
  <c r="H249" i="6"/>
  <c r="I249" i="6"/>
  <c r="J249" i="6"/>
  <c r="A250" i="6"/>
  <c r="B250" i="6"/>
  <c r="C250" i="6"/>
  <c r="D250" i="6"/>
  <c r="E250" i="6"/>
  <c r="F250" i="6"/>
  <c r="G250" i="6"/>
  <c r="H250" i="6"/>
  <c r="I250" i="6"/>
  <c r="J250" i="6"/>
  <c r="A275" i="7"/>
  <c r="C275" i="7"/>
  <c r="F275" i="7"/>
  <c r="K275" i="7"/>
  <c r="E275" i="7"/>
  <c r="I275" i="7"/>
  <c r="B275" i="7"/>
  <c r="J275" i="7"/>
  <c r="H275" i="7"/>
  <c r="D275" i="7"/>
  <c r="E279" i="7"/>
  <c r="J279" i="7"/>
  <c r="C279" i="7"/>
  <c r="D279" i="7"/>
  <c r="H279" i="7"/>
  <c r="A279" i="7"/>
  <c r="F279" i="7"/>
  <c r="K279" i="7"/>
  <c r="B279" i="7"/>
  <c r="I279" i="7"/>
  <c r="E287" i="7"/>
  <c r="C287" i="7"/>
  <c r="F287" i="7"/>
  <c r="J287" i="7"/>
  <c r="H287" i="7"/>
  <c r="D287" i="7"/>
  <c r="K287" i="7"/>
  <c r="B287" i="7"/>
  <c r="I287" i="7"/>
  <c r="A287" i="7"/>
  <c r="B290" i="7"/>
  <c r="H290" i="7"/>
  <c r="A290" i="7"/>
  <c r="E290" i="7"/>
  <c r="F290" i="7"/>
  <c r="C290" i="7"/>
  <c r="J290" i="7"/>
  <c r="D290" i="7"/>
  <c r="I290" i="7"/>
  <c r="K290" i="7"/>
  <c r="H304" i="7"/>
  <c r="I304" i="7"/>
  <c r="B304" i="7"/>
  <c r="E304" i="7"/>
  <c r="K304" i="7"/>
  <c r="D304" i="7"/>
  <c r="J304" i="7"/>
  <c r="A304" i="7"/>
  <c r="F304" i="7"/>
  <c r="C304" i="7"/>
  <c r="E306" i="7"/>
  <c r="J306" i="7"/>
  <c r="F306" i="7"/>
  <c r="H306" i="7"/>
  <c r="K306" i="7"/>
  <c r="A306" i="7"/>
  <c r="D306" i="7"/>
  <c r="I306" i="7"/>
  <c r="B306" i="7"/>
  <c r="C306" i="7"/>
  <c r="D309" i="7"/>
  <c r="B309" i="7"/>
  <c r="E309" i="7"/>
  <c r="I309" i="7"/>
  <c r="C309" i="7"/>
  <c r="H309" i="7"/>
  <c r="K309" i="7"/>
  <c r="F309" i="7"/>
  <c r="J309" i="7"/>
  <c r="A309" i="7"/>
  <c r="B318" i="7"/>
  <c r="F318" i="7"/>
  <c r="H318" i="7"/>
  <c r="K318" i="7"/>
  <c r="D318" i="7"/>
  <c r="E318" i="7"/>
  <c r="J318" i="7"/>
  <c r="C318" i="7"/>
  <c r="I318" i="7"/>
  <c r="A318" i="7"/>
  <c r="C329" i="7"/>
  <c r="H329" i="7"/>
  <c r="J329" i="7"/>
  <c r="A329" i="7"/>
  <c r="D329" i="7"/>
  <c r="K329" i="7"/>
  <c r="F329" i="7"/>
  <c r="B329" i="7"/>
  <c r="E329" i="7"/>
  <c r="I329" i="7"/>
  <c r="H330" i="7"/>
  <c r="B330" i="7"/>
  <c r="F330" i="7"/>
  <c r="C330" i="7"/>
  <c r="I330" i="7"/>
  <c r="A330" i="7"/>
  <c r="E330" i="7"/>
  <c r="J330" i="7"/>
  <c r="D330" i="7"/>
  <c r="K330" i="7"/>
  <c r="F331" i="7"/>
  <c r="K331" i="7"/>
  <c r="D331" i="7"/>
  <c r="J331" i="7"/>
  <c r="A331" i="7"/>
  <c r="E331" i="7"/>
  <c r="I331" i="7"/>
  <c r="B331" i="7"/>
  <c r="C331" i="7"/>
  <c r="H331" i="7"/>
  <c r="F340" i="7"/>
  <c r="J340" i="7"/>
  <c r="C340" i="7"/>
  <c r="I340" i="7"/>
  <c r="A340" i="7"/>
  <c r="E340" i="7"/>
  <c r="H340" i="7"/>
  <c r="B340" i="7"/>
  <c r="K340" i="7"/>
  <c r="D340" i="7"/>
  <c r="D347" i="7"/>
  <c r="I347" i="7"/>
  <c r="B347" i="7"/>
  <c r="H347" i="7"/>
  <c r="C347" i="7"/>
  <c r="K347" i="7"/>
  <c r="F347" i="7"/>
  <c r="J347" i="7"/>
  <c r="A347" i="7"/>
  <c r="E347" i="7"/>
  <c r="C358" i="7"/>
  <c r="I358" i="7"/>
  <c r="D358" i="7"/>
  <c r="J358" i="7"/>
  <c r="A358" i="7"/>
  <c r="E358" i="7"/>
  <c r="H358" i="7"/>
  <c r="B358" i="7"/>
  <c r="F358" i="7"/>
  <c r="K358" i="7"/>
  <c r="C362" i="7"/>
  <c r="A362" i="7"/>
  <c r="D362" i="7"/>
  <c r="H362" i="7"/>
  <c r="K362" i="7"/>
  <c r="I362" i="7"/>
  <c r="E362" i="7"/>
  <c r="B362" i="7"/>
  <c r="F362" i="7"/>
  <c r="J362" i="7"/>
  <c r="A379" i="7"/>
  <c r="C379" i="7"/>
  <c r="J379" i="7"/>
  <c r="B379" i="7"/>
  <c r="F379" i="7"/>
  <c r="I379" i="7"/>
  <c r="D379" i="7"/>
  <c r="H379" i="7"/>
  <c r="E379" i="7"/>
  <c r="K379" i="7"/>
  <c r="B381" i="7"/>
  <c r="E381" i="7"/>
  <c r="H381" i="7"/>
  <c r="C381" i="7"/>
  <c r="F381" i="7"/>
  <c r="J381" i="7"/>
  <c r="D381" i="7"/>
  <c r="I381" i="7"/>
  <c r="K381" i="7"/>
  <c r="A381" i="7"/>
  <c r="E388" i="7"/>
  <c r="I388" i="7"/>
  <c r="C388" i="7"/>
  <c r="F388" i="7"/>
  <c r="J388" i="7"/>
  <c r="D388" i="7"/>
  <c r="K388" i="7"/>
  <c r="B388" i="7"/>
  <c r="H388" i="7"/>
  <c r="A388" i="7"/>
  <c r="C392" i="7"/>
  <c r="H392" i="7"/>
  <c r="E392" i="7"/>
  <c r="J392" i="7"/>
  <c r="B392" i="7"/>
  <c r="F392" i="7"/>
  <c r="K392" i="7"/>
  <c r="D392" i="7"/>
  <c r="I392" i="7"/>
  <c r="A392" i="7"/>
  <c r="D394" i="7"/>
  <c r="F394" i="7"/>
  <c r="K394" i="7"/>
  <c r="C394" i="7"/>
  <c r="H394" i="7"/>
  <c r="A394" i="7"/>
  <c r="J394" i="7"/>
  <c r="B394" i="7"/>
  <c r="E394" i="7"/>
  <c r="I394" i="7"/>
  <c r="B399" i="7"/>
  <c r="I399" i="7"/>
  <c r="A399" i="7"/>
  <c r="D399" i="7"/>
  <c r="H399" i="7"/>
  <c r="F399" i="7"/>
  <c r="J399" i="7"/>
  <c r="C399" i="7"/>
  <c r="E399" i="7"/>
  <c r="K399" i="7"/>
  <c r="D403" i="7"/>
  <c r="J403" i="7"/>
  <c r="C403" i="7"/>
  <c r="I403" i="7"/>
  <c r="B403" i="7"/>
  <c r="F403" i="7"/>
  <c r="E403" i="7"/>
  <c r="H403" i="7"/>
  <c r="K403" i="7"/>
  <c r="A403" i="7"/>
  <c r="C410" i="7"/>
  <c r="H410" i="7"/>
  <c r="K410" i="7"/>
  <c r="B410" i="7"/>
  <c r="J410" i="7"/>
  <c r="E410" i="7"/>
  <c r="I410" i="7"/>
  <c r="A410" i="7"/>
  <c r="D410" i="7"/>
  <c r="F410" i="7"/>
  <c r="C419" i="7"/>
  <c r="E419" i="7"/>
  <c r="K419" i="7"/>
  <c r="A419" i="7"/>
  <c r="D419" i="7"/>
  <c r="F419" i="7"/>
  <c r="I419" i="7"/>
  <c r="B419" i="7"/>
  <c r="H419" i="7"/>
  <c r="J419" i="7"/>
  <c r="C422" i="7"/>
  <c r="K422" i="7"/>
  <c r="A422" i="7"/>
  <c r="D422" i="7"/>
  <c r="F422" i="7"/>
  <c r="J422" i="7"/>
  <c r="H422" i="7"/>
  <c r="B422" i="7"/>
  <c r="E422" i="7"/>
  <c r="I422" i="7"/>
  <c r="F427" i="7"/>
  <c r="J427" i="7"/>
  <c r="B427" i="7"/>
  <c r="E427" i="7"/>
  <c r="H427" i="7"/>
  <c r="K427" i="7"/>
  <c r="A427" i="7"/>
  <c r="D427" i="7"/>
  <c r="I427" i="7"/>
  <c r="C427" i="7"/>
  <c r="A429" i="7"/>
  <c r="C429" i="7"/>
  <c r="E429" i="7"/>
  <c r="I429" i="7"/>
  <c r="B429" i="7"/>
  <c r="F429" i="7"/>
  <c r="J429" i="7"/>
  <c r="D429" i="7"/>
  <c r="H429" i="7"/>
  <c r="K429" i="7"/>
  <c r="D438" i="7"/>
  <c r="J438" i="7"/>
  <c r="C438" i="7"/>
  <c r="F438" i="7"/>
  <c r="K438" i="7"/>
  <c r="H438" i="7"/>
  <c r="A438" i="7"/>
  <c r="E438" i="7"/>
  <c r="I438" i="7"/>
  <c r="B438" i="7"/>
  <c r="B441" i="7"/>
  <c r="D441" i="7"/>
  <c r="J441" i="7"/>
  <c r="A441" i="7"/>
  <c r="I441" i="7"/>
  <c r="C441" i="7"/>
  <c r="E441" i="7"/>
  <c r="H441" i="7"/>
  <c r="K441" i="7"/>
  <c r="F441" i="7"/>
  <c r="D444" i="7"/>
  <c r="J444" i="7"/>
  <c r="A444" i="7"/>
  <c r="F444" i="7"/>
  <c r="C444" i="7"/>
  <c r="H444" i="7"/>
  <c r="K444" i="7"/>
  <c r="B444" i="7"/>
  <c r="E444" i="7"/>
  <c r="I444" i="7"/>
  <c r="D450" i="7"/>
  <c r="F450" i="7"/>
  <c r="K450" i="7"/>
  <c r="B450" i="7"/>
  <c r="E450" i="7"/>
  <c r="J450" i="7"/>
  <c r="I450" i="7"/>
  <c r="H450" i="7"/>
  <c r="A450" i="7"/>
  <c r="C450" i="7"/>
  <c r="F452" i="7"/>
  <c r="C452" i="7"/>
  <c r="J452" i="7"/>
  <c r="B452" i="7"/>
  <c r="D452" i="7"/>
  <c r="H452" i="7"/>
  <c r="K452" i="7"/>
  <c r="E452" i="7"/>
  <c r="I452" i="7"/>
  <c r="A452" i="7"/>
  <c r="A455" i="7"/>
  <c r="C455" i="7"/>
  <c r="H455" i="7"/>
  <c r="K455" i="7"/>
  <c r="D455" i="7"/>
  <c r="F455" i="7"/>
  <c r="I455" i="7"/>
  <c r="B455" i="7"/>
  <c r="E455" i="7"/>
  <c r="J455" i="7"/>
  <c r="C467" i="7"/>
  <c r="E467" i="7"/>
  <c r="J467" i="7"/>
  <c r="B467" i="7"/>
  <c r="F467" i="7"/>
  <c r="H467" i="7"/>
  <c r="I467" i="7"/>
  <c r="A467" i="7"/>
  <c r="D467" i="7"/>
  <c r="K467" i="7"/>
  <c r="B470" i="7"/>
  <c r="D470" i="7"/>
  <c r="I470" i="7"/>
  <c r="K470" i="7"/>
  <c r="C470" i="7"/>
  <c r="E470" i="7"/>
  <c r="H470" i="7"/>
  <c r="A470" i="7"/>
  <c r="F470" i="7"/>
  <c r="J470" i="7"/>
  <c r="B476" i="7"/>
  <c r="F476" i="7"/>
  <c r="H476" i="7"/>
  <c r="K476" i="7"/>
  <c r="A476" i="7"/>
  <c r="E476" i="7"/>
  <c r="I476" i="7"/>
  <c r="D476" i="7"/>
  <c r="J476" i="7"/>
  <c r="C476" i="7"/>
  <c r="B477" i="7"/>
  <c r="D477" i="7"/>
  <c r="K477" i="7"/>
  <c r="A477" i="7"/>
  <c r="F477" i="7"/>
  <c r="I477" i="7"/>
  <c r="C477" i="7"/>
  <c r="E477" i="7"/>
  <c r="H477" i="7"/>
  <c r="J477" i="7"/>
  <c r="A479" i="7"/>
  <c r="E479" i="7"/>
  <c r="J479" i="7"/>
  <c r="D479" i="7"/>
  <c r="F479" i="7"/>
  <c r="I479" i="7"/>
  <c r="C479" i="7"/>
  <c r="H479" i="7"/>
  <c r="K479" i="7"/>
  <c r="B479" i="7"/>
  <c r="C481" i="7"/>
  <c r="I481" i="7"/>
  <c r="A481" i="7"/>
  <c r="E481" i="7"/>
  <c r="H481" i="7"/>
  <c r="K481" i="7"/>
  <c r="B481" i="7"/>
  <c r="D481" i="7"/>
  <c r="F481" i="7"/>
  <c r="J481" i="7"/>
  <c r="B487" i="7"/>
  <c r="D487" i="7"/>
  <c r="F487" i="7"/>
  <c r="I487" i="7"/>
  <c r="A487" i="7"/>
  <c r="E487" i="7"/>
  <c r="H487" i="7"/>
  <c r="K487" i="7"/>
  <c r="C487" i="7"/>
  <c r="J487" i="7"/>
  <c r="B490" i="7"/>
  <c r="D490" i="7"/>
  <c r="F490" i="7"/>
  <c r="I490" i="7"/>
  <c r="K490" i="7"/>
  <c r="A490" i="7"/>
  <c r="C490" i="7"/>
  <c r="E490" i="7"/>
  <c r="H490" i="7"/>
  <c r="J490" i="7"/>
  <c r="A492" i="7"/>
  <c r="D492" i="7"/>
  <c r="H492" i="7"/>
  <c r="J492" i="7"/>
  <c r="F492" i="7"/>
  <c r="I492" i="7"/>
  <c r="C492" i="7"/>
  <c r="E492" i="7"/>
  <c r="K492" i="7"/>
  <c r="B492" i="7"/>
  <c r="D493" i="7"/>
  <c r="H493" i="7"/>
  <c r="K493" i="7"/>
  <c r="B493" i="7"/>
  <c r="E493" i="7"/>
  <c r="I493" i="7"/>
  <c r="A493" i="7"/>
  <c r="C493" i="7"/>
  <c r="F493" i="7"/>
  <c r="J493" i="7"/>
  <c r="C496" i="7"/>
  <c r="I496" i="7"/>
  <c r="B496" i="7"/>
  <c r="D496" i="7"/>
  <c r="F496" i="7"/>
  <c r="J496" i="7"/>
  <c r="E496" i="7"/>
  <c r="H496" i="7"/>
  <c r="K496" i="7"/>
  <c r="A496" i="7"/>
  <c r="B499" i="7"/>
  <c r="D499" i="7"/>
  <c r="F499" i="7"/>
  <c r="I499" i="7"/>
  <c r="K499" i="7"/>
  <c r="A499" i="7"/>
  <c r="C499" i="7"/>
  <c r="E499" i="7"/>
  <c r="H499" i="7"/>
  <c r="J499" i="7"/>
  <c r="A503" i="7"/>
  <c r="D503" i="7"/>
  <c r="H503" i="7"/>
  <c r="K503" i="7"/>
  <c r="B503" i="7"/>
  <c r="E503" i="7"/>
  <c r="J503" i="7"/>
  <c r="C503" i="7"/>
  <c r="F503" i="7"/>
  <c r="I503" i="7"/>
  <c r="A271" i="7"/>
  <c r="B271" i="7"/>
  <c r="C271" i="7"/>
  <c r="D271" i="7"/>
  <c r="E271" i="7"/>
  <c r="F271" i="7"/>
  <c r="H271" i="7"/>
  <c r="I271" i="7"/>
  <c r="J271" i="7"/>
  <c r="K271" i="7"/>
  <c r="A291" i="7"/>
  <c r="J291" i="7"/>
  <c r="C291" i="7"/>
  <c r="F291" i="7"/>
  <c r="B291" i="7"/>
  <c r="E291" i="7"/>
  <c r="I291" i="7"/>
  <c r="D291" i="7"/>
  <c r="H291" i="7"/>
  <c r="K291" i="7"/>
  <c r="F292" i="7"/>
  <c r="J292" i="7"/>
  <c r="A292" i="7"/>
  <c r="E292" i="7"/>
  <c r="B292" i="7"/>
  <c r="D292" i="7"/>
  <c r="H292" i="7"/>
  <c r="K292" i="7"/>
  <c r="I292" i="7"/>
  <c r="C292" i="7"/>
  <c r="C296" i="7"/>
  <c r="A296" i="7"/>
  <c r="D296" i="7"/>
  <c r="H296" i="7"/>
  <c r="K296" i="7"/>
  <c r="F296" i="7"/>
  <c r="I296" i="7"/>
  <c r="E296" i="7"/>
  <c r="J296" i="7"/>
  <c r="B296" i="7"/>
  <c r="B298" i="7"/>
  <c r="J298" i="7"/>
  <c r="C298" i="7"/>
  <c r="E298" i="7"/>
  <c r="I298" i="7"/>
  <c r="D298" i="7"/>
  <c r="H298" i="7"/>
  <c r="K298" i="7"/>
  <c r="A298" i="7"/>
  <c r="F298" i="7"/>
  <c r="D301" i="7"/>
  <c r="J301" i="7"/>
  <c r="H301" i="7"/>
  <c r="B301" i="7"/>
  <c r="F301" i="7"/>
  <c r="E301" i="7"/>
  <c r="I301" i="7"/>
  <c r="C301" i="7"/>
  <c r="K301" i="7"/>
  <c r="A301" i="7"/>
  <c r="A303" i="7"/>
  <c r="C303" i="7"/>
  <c r="I303" i="7"/>
  <c r="F303" i="7"/>
  <c r="K303" i="7"/>
  <c r="B303" i="7"/>
  <c r="E303" i="7"/>
  <c r="J303" i="7"/>
  <c r="D303" i="7"/>
  <c r="H303" i="7"/>
  <c r="K315" i="7"/>
  <c r="A315" i="7"/>
  <c r="H315" i="7"/>
  <c r="B315" i="7"/>
  <c r="F315" i="7"/>
  <c r="J315" i="7"/>
  <c r="C315" i="7"/>
  <c r="E315" i="7"/>
  <c r="I315" i="7"/>
  <c r="D315" i="7"/>
  <c r="D319" i="7"/>
  <c r="J319" i="7"/>
  <c r="E319" i="7"/>
  <c r="B319" i="7"/>
  <c r="I319" i="7"/>
  <c r="A319" i="7"/>
  <c r="C319" i="7"/>
  <c r="F319" i="7"/>
  <c r="K319" i="7"/>
  <c r="H319" i="7"/>
  <c r="B334" i="7"/>
  <c r="H334" i="7"/>
  <c r="A334" i="7"/>
  <c r="F334" i="7"/>
  <c r="E334" i="7"/>
  <c r="K334" i="7"/>
  <c r="C334" i="7"/>
  <c r="J334" i="7"/>
  <c r="D334" i="7"/>
  <c r="I334" i="7"/>
  <c r="K348" i="7"/>
  <c r="C348" i="7"/>
  <c r="F348" i="7"/>
  <c r="J348" i="7"/>
  <c r="A348" i="7"/>
  <c r="D348" i="7"/>
  <c r="I348" i="7"/>
  <c r="E348" i="7"/>
  <c r="H348" i="7"/>
  <c r="B348" i="7"/>
  <c r="A350" i="7"/>
  <c r="I350" i="7"/>
  <c r="F350" i="7"/>
  <c r="K350" i="7"/>
  <c r="E350" i="7"/>
  <c r="J350" i="7"/>
  <c r="C350" i="7"/>
  <c r="H350" i="7"/>
  <c r="B350" i="7"/>
  <c r="D350" i="7"/>
  <c r="I352" i="7"/>
  <c r="F352" i="7"/>
  <c r="A352" i="7"/>
  <c r="C352" i="7"/>
  <c r="H352" i="7"/>
  <c r="B352" i="7"/>
  <c r="E352" i="7"/>
  <c r="J352" i="7"/>
  <c r="D352" i="7"/>
  <c r="K352" i="7"/>
  <c r="I359" i="7"/>
  <c r="A359" i="7"/>
  <c r="F359" i="7"/>
  <c r="E359" i="7"/>
  <c r="K359" i="7"/>
  <c r="B359" i="7"/>
  <c r="H359" i="7"/>
  <c r="D359" i="7"/>
  <c r="J359" i="7"/>
  <c r="C359" i="7"/>
  <c r="B360" i="7"/>
  <c r="H360" i="7"/>
  <c r="A360" i="7"/>
  <c r="F360" i="7"/>
  <c r="J360" i="7"/>
  <c r="D360" i="7"/>
  <c r="K360" i="7"/>
  <c r="C360" i="7"/>
  <c r="E360" i="7"/>
  <c r="I360" i="7"/>
  <c r="A363" i="7"/>
  <c r="H363" i="7"/>
  <c r="K363" i="7"/>
  <c r="F363" i="7"/>
  <c r="J363" i="7"/>
  <c r="C363" i="7"/>
  <c r="E363" i="7"/>
  <c r="I363" i="7"/>
  <c r="B363" i="7"/>
  <c r="D363" i="7"/>
  <c r="E367" i="7"/>
  <c r="H367" i="7"/>
  <c r="K367" i="7"/>
  <c r="J367" i="7"/>
  <c r="B367" i="7"/>
  <c r="I367" i="7"/>
  <c r="A367" i="7"/>
  <c r="D367" i="7"/>
  <c r="F367" i="7"/>
  <c r="C367" i="7"/>
  <c r="B368" i="7"/>
  <c r="H368" i="7"/>
  <c r="D368" i="7"/>
  <c r="K368" i="7"/>
  <c r="A368" i="7"/>
  <c r="E368" i="7"/>
  <c r="I368" i="7"/>
  <c r="C368" i="7"/>
  <c r="F368" i="7"/>
  <c r="J368" i="7"/>
  <c r="B369" i="7"/>
  <c r="E369" i="7"/>
  <c r="I369" i="7"/>
  <c r="K369" i="7"/>
  <c r="A369" i="7"/>
  <c r="D369" i="7"/>
  <c r="F369" i="7"/>
  <c r="J369" i="7"/>
  <c r="C369" i="7"/>
  <c r="H369" i="7"/>
  <c r="D372" i="7"/>
  <c r="F372" i="7"/>
  <c r="I372" i="7"/>
  <c r="B372" i="7"/>
  <c r="J372" i="7"/>
  <c r="C372" i="7"/>
  <c r="E372" i="7"/>
  <c r="H372" i="7"/>
  <c r="K372" i="7"/>
  <c r="A372" i="7"/>
  <c r="B384" i="7"/>
  <c r="E384" i="7"/>
  <c r="I384" i="7"/>
  <c r="H384" i="7"/>
  <c r="C384" i="7"/>
  <c r="F384" i="7"/>
  <c r="J384" i="7"/>
  <c r="A384" i="7"/>
  <c r="D384" i="7"/>
  <c r="K384" i="7"/>
  <c r="E390" i="7"/>
  <c r="I390" i="7"/>
  <c r="C390" i="7"/>
  <c r="K390" i="7"/>
  <c r="D390" i="7"/>
  <c r="H390" i="7"/>
  <c r="J390" i="7"/>
  <c r="A390" i="7"/>
  <c r="F390" i="7"/>
  <c r="B390" i="7"/>
  <c r="B393" i="7"/>
  <c r="F393" i="7"/>
  <c r="K393" i="7"/>
  <c r="E393" i="7"/>
  <c r="J393" i="7"/>
  <c r="C393" i="7"/>
  <c r="I393" i="7"/>
  <c r="D393" i="7"/>
  <c r="H393" i="7"/>
  <c r="A393" i="7"/>
  <c r="B396" i="7"/>
  <c r="D396" i="7"/>
  <c r="F396" i="7"/>
  <c r="K396" i="7"/>
  <c r="A396" i="7"/>
  <c r="E396" i="7"/>
  <c r="H396" i="7"/>
  <c r="J396" i="7"/>
  <c r="C396" i="7"/>
  <c r="I396" i="7"/>
  <c r="E409" i="7"/>
  <c r="K409" i="7"/>
  <c r="B409" i="7"/>
  <c r="F409" i="7"/>
  <c r="J409" i="7"/>
  <c r="C409" i="7"/>
  <c r="H409" i="7"/>
  <c r="A409" i="7"/>
  <c r="D409" i="7"/>
  <c r="I409" i="7"/>
  <c r="A416" i="7"/>
  <c r="E416" i="7"/>
  <c r="J416" i="7"/>
  <c r="C416" i="7"/>
  <c r="F416" i="7"/>
  <c r="K416" i="7"/>
  <c r="D416" i="7"/>
  <c r="I416" i="7"/>
  <c r="B416" i="7"/>
  <c r="H416" i="7"/>
  <c r="D439" i="7"/>
  <c r="K439" i="7"/>
  <c r="A439" i="7"/>
  <c r="C439" i="7"/>
  <c r="F439" i="7"/>
  <c r="J439" i="7"/>
  <c r="B439" i="7"/>
  <c r="H439" i="7"/>
  <c r="E439" i="7"/>
  <c r="I439" i="7"/>
  <c r="F440" i="7"/>
  <c r="I440" i="7"/>
  <c r="B440" i="7"/>
  <c r="D440" i="7"/>
  <c r="J440" i="7"/>
  <c r="K440" i="7"/>
  <c r="E440" i="7"/>
  <c r="H440" i="7"/>
  <c r="A440" i="7"/>
  <c r="C440" i="7"/>
  <c r="E443" i="7"/>
  <c r="I443" i="7"/>
  <c r="B443" i="7"/>
  <c r="F443" i="7"/>
  <c r="J443" i="7"/>
  <c r="D443" i="7"/>
  <c r="H443" i="7"/>
  <c r="K443" i="7"/>
  <c r="A443" i="7"/>
  <c r="C443" i="7"/>
  <c r="E453" i="7"/>
  <c r="H453" i="7"/>
  <c r="K453" i="7"/>
  <c r="A453" i="7"/>
  <c r="D453" i="7"/>
  <c r="J453" i="7"/>
  <c r="C453" i="7"/>
  <c r="F453" i="7"/>
  <c r="I453" i="7"/>
  <c r="B453" i="7"/>
  <c r="B463" i="7"/>
  <c r="E463" i="7"/>
  <c r="I463" i="7"/>
  <c r="D463" i="7"/>
  <c r="H463" i="7"/>
  <c r="K463" i="7"/>
  <c r="C463" i="7"/>
  <c r="F463" i="7"/>
  <c r="J463" i="7"/>
  <c r="A463" i="7"/>
  <c r="C466" i="7"/>
  <c r="H466" i="7"/>
  <c r="B466" i="7"/>
  <c r="D466" i="7"/>
  <c r="E466" i="7"/>
  <c r="J466" i="7"/>
  <c r="A466" i="7"/>
  <c r="F466" i="7"/>
  <c r="I466" i="7"/>
  <c r="K466" i="7"/>
  <c r="D469" i="7"/>
  <c r="I469" i="7"/>
  <c r="K469" i="7"/>
  <c r="A469" i="7"/>
  <c r="C469" i="7"/>
  <c r="F469" i="7"/>
  <c r="J469" i="7"/>
  <c r="B469" i="7"/>
  <c r="E469" i="7"/>
  <c r="H469" i="7"/>
  <c r="B472" i="7"/>
  <c r="D472" i="7"/>
  <c r="H472" i="7"/>
  <c r="J472" i="7"/>
  <c r="C472" i="7"/>
  <c r="F472" i="7"/>
  <c r="K472" i="7"/>
  <c r="A472" i="7"/>
  <c r="E472" i="7"/>
  <c r="I472" i="7"/>
  <c r="A474" i="7"/>
  <c r="D474" i="7"/>
  <c r="F474" i="7"/>
  <c r="J474" i="7"/>
  <c r="C474" i="7"/>
  <c r="H474" i="7"/>
  <c r="B474" i="7"/>
  <c r="E474" i="7"/>
  <c r="I474" i="7"/>
  <c r="K474" i="7"/>
  <c r="E480" i="7"/>
  <c r="H480" i="7"/>
  <c r="K480" i="7"/>
  <c r="A480" i="7"/>
  <c r="D480" i="7"/>
  <c r="F480" i="7"/>
  <c r="J480" i="7"/>
  <c r="C480" i="7"/>
  <c r="I480" i="7"/>
  <c r="B480" i="7"/>
  <c r="A482" i="7"/>
  <c r="E482" i="7"/>
  <c r="I482" i="7"/>
  <c r="C482" i="7"/>
  <c r="F482" i="7"/>
  <c r="J482" i="7"/>
  <c r="B482" i="7"/>
  <c r="D482" i="7"/>
  <c r="H482" i="7"/>
  <c r="K482" i="7"/>
  <c r="A494" i="7"/>
  <c r="D494" i="7"/>
  <c r="J494" i="7"/>
  <c r="B494" i="7"/>
  <c r="E494" i="7"/>
  <c r="H494" i="7"/>
  <c r="K494" i="7"/>
  <c r="C494" i="7"/>
  <c r="F494" i="7"/>
  <c r="I494" i="7"/>
  <c r="C495" i="7"/>
  <c r="F495" i="7"/>
  <c r="K495" i="7"/>
  <c r="B495" i="7"/>
  <c r="E495" i="7"/>
  <c r="I495" i="7"/>
  <c r="A495" i="7"/>
  <c r="D495" i="7"/>
  <c r="H495" i="7"/>
  <c r="J495" i="7"/>
  <c r="A497" i="7"/>
  <c r="D497" i="7"/>
  <c r="F497" i="7"/>
  <c r="I497" i="7"/>
  <c r="B497" i="7"/>
  <c r="E497" i="7"/>
  <c r="H497" i="7"/>
  <c r="J497" i="7"/>
  <c r="C497" i="7"/>
  <c r="K497" i="7"/>
  <c r="C500" i="7"/>
  <c r="F500" i="7"/>
  <c r="J500" i="7"/>
  <c r="A500" i="7"/>
  <c r="D500" i="7"/>
  <c r="H500" i="7"/>
  <c r="K500" i="7"/>
  <c r="B500" i="7"/>
  <c r="E500" i="7"/>
  <c r="I500" i="7"/>
  <c r="I272" i="7"/>
  <c r="B272" i="7"/>
  <c r="H272" i="7"/>
  <c r="A272" i="7"/>
  <c r="D272" i="7"/>
  <c r="K272" i="7"/>
  <c r="C272" i="7"/>
  <c r="F272" i="7"/>
  <c r="E272" i="7"/>
  <c r="J272" i="7"/>
  <c r="F281" i="7"/>
  <c r="K281" i="7"/>
  <c r="I281" i="7"/>
  <c r="D281" i="7"/>
  <c r="J281" i="7"/>
  <c r="C281" i="7"/>
  <c r="H281" i="7"/>
  <c r="B281" i="7"/>
  <c r="E281" i="7"/>
  <c r="A281" i="7"/>
  <c r="E283" i="7"/>
  <c r="H283" i="7"/>
  <c r="D283" i="7"/>
  <c r="K283" i="7"/>
  <c r="B283" i="7"/>
  <c r="F283" i="7"/>
  <c r="A283" i="7"/>
  <c r="I283" i="7"/>
  <c r="J283" i="7"/>
  <c r="C283" i="7"/>
  <c r="B288" i="7"/>
  <c r="I288" i="7"/>
  <c r="C288" i="7"/>
  <c r="H288" i="7"/>
  <c r="A288" i="7"/>
  <c r="D288" i="7"/>
  <c r="J288" i="7"/>
  <c r="F288" i="7"/>
  <c r="K288" i="7"/>
  <c r="E288" i="7"/>
  <c r="F295" i="7"/>
  <c r="E295" i="7"/>
  <c r="J295" i="7"/>
  <c r="D295" i="7"/>
  <c r="I295" i="7"/>
  <c r="B295" i="7"/>
  <c r="H295" i="7"/>
  <c r="A295" i="7"/>
  <c r="C295" i="7"/>
  <c r="K295" i="7"/>
  <c r="J300" i="7"/>
  <c r="E300" i="7"/>
  <c r="A300" i="7"/>
  <c r="F300" i="7"/>
  <c r="I300" i="7"/>
  <c r="D300" i="7"/>
  <c r="H300" i="7"/>
  <c r="K300" i="7"/>
  <c r="C300" i="7"/>
  <c r="B300" i="7"/>
  <c r="D311" i="7"/>
  <c r="I311" i="7"/>
  <c r="F311" i="7"/>
  <c r="K311" i="7"/>
  <c r="E311" i="7"/>
  <c r="J311" i="7"/>
  <c r="A311" i="7"/>
  <c r="C311" i="7"/>
  <c r="H311" i="7"/>
  <c r="B311" i="7"/>
  <c r="E328" i="7"/>
  <c r="C328" i="7"/>
  <c r="J328" i="7"/>
  <c r="A328" i="7"/>
  <c r="F328" i="7"/>
  <c r="K328" i="7"/>
  <c r="B328" i="7"/>
  <c r="H328" i="7"/>
  <c r="D328" i="7"/>
  <c r="I328" i="7"/>
  <c r="F335" i="7"/>
  <c r="B335" i="7"/>
  <c r="D335" i="7"/>
  <c r="H335" i="7"/>
  <c r="I335" i="7"/>
  <c r="C335" i="7"/>
  <c r="J335" i="7"/>
  <c r="E335" i="7"/>
  <c r="K335" i="7"/>
  <c r="A335" i="7"/>
  <c r="A339" i="7"/>
  <c r="F339" i="7"/>
  <c r="C339" i="7"/>
  <c r="I339" i="7"/>
  <c r="D339" i="7"/>
  <c r="J339" i="7"/>
  <c r="B339" i="7"/>
  <c r="E339" i="7"/>
  <c r="H339" i="7"/>
  <c r="K339" i="7"/>
  <c r="C341" i="7"/>
  <c r="E341" i="7"/>
  <c r="A341" i="7"/>
  <c r="H341" i="7"/>
  <c r="B341" i="7"/>
  <c r="F341" i="7"/>
  <c r="J341" i="7"/>
  <c r="I341" i="7"/>
  <c r="K341" i="7"/>
  <c r="D341" i="7"/>
  <c r="D342" i="7"/>
  <c r="J342" i="7"/>
  <c r="H342" i="7"/>
  <c r="K342" i="7"/>
  <c r="C342" i="7"/>
  <c r="F342" i="7"/>
  <c r="A342" i="7"/>
  <c r="E342" i="7"/>
  <c r="B342" i="7"/>
  <c r="I342" i="7"/>
  <c r="C344" i="7"/>
  <c r="F344" i="7"/>
  <c r="J344" i="7"/>
  <c r="E344" i="7"/>
  <c r="K344" i="7"/>
  <c r="A344" i="7"/>
  <c r="D344" i="7"/>
  <c r="H344" i="7"/>
  <c r="I344" i="7"/>
  <c r="B344" i="7"/>
  <c r="B346" i="7"/>
  <c r="E346" i="7"/>
  <c r="H346" i="7"/>
  <c r="K346" i="7"/>
  <c r="C346" i="7"/>
  <c r="I346" i="7"/>
  <c r="A346" i="7"/>
  <c r="D346" i="7"/>
  <c r="F346" i="7"/>
  <c r="J346" i="7"/>
  <c r="C357" i="7"/>
  <c r="K357" i="7"/>
  <c r="A357" i="7"/>
  <c r="E357" i="7"/>
  <c r="F357" i="7"/>
  <c r="J357" i="7"/>
  <c r="D357" i="7"/>
  <c r="H357" i="7"/>
  <c r="B357" i="7"/>
  <c r="I357" i="7"/>
  <c r="D273" i="7"/>
  <c r="H273" i="7"/>
  <c r="C273" i="7"/>
  <c r="F273" i="7"/>
  <c r="J273" i="7"/>
  <c r="A273" i="7"/>
  <c r="E273" i="7"/>
  <c r="K273" i="7"/>
  <c r="I273" i="7"/>
  <c r="B273" i="7"/>
  <c r="C276" i="7"/>
  <c r="K276" i="7"/>
  <c r="A276" i="7"/>
  <c r="I276" i="7"/>
  <c r="D276" i="7"/>
  <c r="H276" i="7"/>
  <c r="F276" i="7"/>
  <c r="E276" i="7"/>
  <c r="J276" i="7"/>
  <c r="B276" i="7"/>
  <c r="F278" i="7"/>
  <c r="D278" i="7"/>
  <c r="A278" i="7"/>
  <c r="E278" i="7"/>
  <c r="H278" i="7"/>
  <c r="K278" i="7"/>
  <c r="J278" i="7"/>
  <c r="C278" i="7"/>
  <c r="I278" i="7"/>
  <c r="B278" i="7"/>
  <c r="C282" i="7"/>
  <c r="F282" i="7"/>
  <c r="H282" i="7"/>
  <c r="K282" i="7"/>
  <c r="A282" i="7"/>
  <c r="E282" i="7"/>
  <c r="J282" i="7"/>
  <c r="D282" i="7"/>
  <c r="I282" i="7"/>
  <c r="B282" i="7"/>
  <c r="C293" i="7"/>
  <c r="F293" i="7"/>
  <c r="I293" i="7"/>
  <c r="A293" i="7"/>
  <c r="D293" i="7"/>
  <c r="H293" i="7"/>
  <c r="K293" i="7"/>
  <c r="E293" i="7"/>
  <c r="B293" i="7"/>
  <c r="J293" i="7"/>
  <c r="D310" i="7"/>
  <c r="I310" i="7"/>
  <c r="B310" i="7"/>
  <c r="E310" i="7"/>
  <c r="K310" i="7"/>
  <c r="A310" i="7"/>
  <c r="H310" i="7"/>
  <c r="C310" i="7"/>
  <c r="F310" i="7"/>
  <c r="J310" i="7"/>
  <c r="F312" i="7"/>
  <c r="J312" i="7"/>
  <c r="D312" i="7"/>
  <c r="H312" i="7"/>
  <c r="E312" i="7"/>
  <c r="A312" i="7"/>
  <c r="C312" i="7"/>
  <c r="I312" i="7"/>
  <c r="K312" i="7"/>
  <c r="B312" i="7"/>
  <c r="C321" i="7"/>
  <c r="F321" i="7"/>
  <c r="K321" i="7"/>
  <c r="J321" i="7"/>
  <c r="B321" i="7"/>
  <c r="E321" i="7"/>
  <c r="I321" i="7"/>
  <c r="D321" i="7"/>
  <c r="H321" i="7"/>
  <c r="A321" i="7"/>
  <c r="I323" i="7"/>
  <c r="A323" i="7"/>
  <c r="E323" i="7"/>
  <c r="J323" i="7"/>
  <c r="D323" i="7"/>
  <c r="K323" i="7"/>
  <c r="B323" i="7"/>
  <c r="H323" i="7"/>
  <c r="F323" i="7"/>
  <c r="C323" i="7"/>
  <c r="F324" i="7"/>
  <c r="K324" i="7"/>
  <c r="B324" i="7"/>
  <c r="D324" i="7"/>
  <c r="H324" i="7"/>
  <c r="E324" i="7"/>
  <c r="A324" i="7"/>
  <c r="I324" i="7"/>
  <c r="J324" i="7"/>
  <c r="C324" i="7"/>
  <c r="A325" i="7"/>
  <c r="C325" i="7"/>
  <c r="I325" i="7"/>
  <c r="B325" i="7"/>
  <c r="E325" i="7"/>
  <c r="K325" i="7"/>
  <c r="F325" i="7"/>
  <c r="J325" i="7"/>
  <c r="D325" i="7"/>
  <c r="H325" i="7"/>
  <c r="B326" i="7"/>
  <c r="D326" i="7"/>
  <c r="I326" i="7"/>
  <c r="A326" i="7"/>
  <c r="H326" i="7"/>
  <c r="C326" i="7"/>
  <c r="F326" i="7"/>
  <c r="K326" i="7"/>
  <c r="E326" i="7"/>
  <c r="J326" i="7"/>
  <c r="K337" i="7"/>
  <c r="E337" i="7"/>
  <c r="I337" i="7"/>
  <c r="D337" i="7"/>
  <c r="H337" i="7"/>
  <c r="C337" i="7"/>
  <c r="F337" i="7"/>
  <c r="B337" i="7"/>
  <c r="J337" i="7"/>
  <c r="A337" i="7"/>
  <c r="E351" i="7"/>
  <c r="K351" i="7"/>
  <c r="A351" i="7"/>
  <c r="I351" i="7"/>
  <c r="B351" i="7"/>
  <c r="D351" i="7"/>
  <c r="J351" i="7"/>
  <c r="F351" i="7"/>
  <c r="C351" i="7"/>
  <c r="H351" i="7"/>
  <c r="E353" i="7"/>
  <c r="I353" i="7"/>
  <c r="F353" i="7"/>
  <c r="K353" i="7"/>
  <c r="A353" i="7"/>
  <c r="D353" i="7"/>
  <c r="J353" i="7"/>
  <c r="C353" i="7"/>
  <c r="H353" i="7"/>
  <c r="B353" i="7"/>
  <c r="D361" i="7"/>
  <c r="K361" i="7"/>
  <c r="B361" i="7"/>
  <c r="I361" i="7"/>
  <c r="C361" i="7"/>
  <c r="E361" i="7"/>
  <c r="J361" i="7"/>
  <c r="H361" i="7"/>
  <c r="F361" i="7"/>
  <c r="A361" i="7"/>
  <c r="I365" i="7"/>
  <c r="E365" i="7"/>
  <c r="K365" i="7"/>
  <c r="D365" i="7"/>
  <c r="J365" i="7"/>
  <c r="C365" i="7"/>
  <c r="H365" i="7"/>
  <c r="B365" i="7"/>
  <c r="F365" i="7"/>
  <c r="A365" i="7"/>
  <c r="B366" i="7"/>
  <c r="E366" i="7"/>
  <c r="I366" i="7"/>
  <c r="C366" i="7"/>
  <c r="A366" i="7"/>
  <c r="H366" i="7"/>
  <c r="K366" i="7"/>
  <c r="D366" i="7"/>
  <c r="F366" i="7"/>
  <c r="J366" i="7"/>
  <c r="C373" i="7"/>
  <c r="E373" i="7"/>
  <c r="I373" i="7"/>
  <c r="B373" i="7"/>
  <c r="D373" i="7"/>
  <c r="H373" i="7"/>
  <c r="K373" i="7"/>
  <c r="F373" i="7"/>
  <c r="J373" i="7"/>
  <c r="A373" i="7"/>
  <c r="C376" i="7"/>
  <c r="F376" i="7"/>
  <c r="I376" i="7"/>
  <c r="D376" i="7"/>
  <c r="B376" i="7"/>
  <c r="J376" i="7"/>
  <c r="E376" i="7"/>
  <c r="H376" i="7"/>
  <c r="K376" i="7"/>
  <c r="A376" i="7"/>
  <c r="E378" i="7"/>
  <c r="K378" i="7"/>
  <c r="A378" i="7"/>
  <c r="I378" i="7"/>
  <c r="D378" i="7"/>
  <c r="F378" i="7"/>
  <c r="J378" i="7"/>
  <c r="C378" i="7"/>
  <c r="H378" i="7"/>
  <c r="B378" i="7"/>
  <c r="D389" i="7"/>
  <c r="I389" i="7"/>
  <c r="C389" i="7"/>
  <c r="F389" i="7"/>
  <c r="H389" i="7"/>
  <c r="J389" i="7"/>
  <c r="A389" i="7"/>
  <c r="E389" i="7"/>
  <c r="K389" i="7"/>
  <c r="B389" i="7"/>
  <c r="B402" i="7"/>
  <c r="F402" i="7"/>
  <c r="K402" i="7"/>
  <c r="C402" i="7"/>
  <c r="I402" i="7"/>
  <c r="A402" i="7"/>
  <c r="E402" i="7"/>
  <c r="J402" i="7"/>
  <c r="D402" i="7"/>
  <c r="H402" i="7"/>
  <c r="D406" i="7"/>
  <c r="I406" i="7"/>
  <c r="C406" i="7"/>
  <c r="H406" i="7"/>
  <c r="A406" i="7"/>
  <c r="E406" i="7"/>
  <c r="J406" i="7"/>
  <c r="B406" i="7"/>
  <c r="F406" i="7"/>
  <c r="K406" i="7"/>
  <c r="D412" i="7"/>
  <c r="I412" i="7"/>
  <c r="A412" i="7"/>
  <c r="E412" i="7"/>
  <c r="K412" i="7"/>
  <c r="C412" i="7"/>
  <c r="H412" i="7"/>
  <c r="B412" i="7"/>
  <c r="F412" i="7"/>
  <c r="J412" i="7"/>
  <c r="D413" i="7"/>
  <c r="I413" i="7"/>
  <c r="C413" i="7"/>
  <c r="H413" i="7"/>
  <c r="A413" i="7"/>
  <c r="F413" i="7"/>
  <c r="J413" i="7"/>
  <c r="B413" i="7"/>
  <c r="E413" i="7"/>
  <c r="K413" i="7"/>
  <c r="C417" i="7"/>
  <c r="E417" i="7"/>
  <c r="I417" i="7"/>
  <c r="B417" i="7"/>
  <c r="J417" i="7"/>
  <c r="A417" i="7"/>
  <c r="H417" i="7"/>
  <c r="D417" i="7"/>
  <c r="F417" i="7"/>
  <c r="K417" i="7"/>
  <c r="C418" i="7"/>
  <c r="H418" i="7"/>
  <c r="A418" i="7"/>
  <c r="F418" i="7"/>
  <c r="K418" i="7"/>
  <c r="D418" i="7"/>
  <c r="I418" i="7"/>
  <c r="B418" i="7"/>
  <c r="E418" i="7"/>
  <c r="J418" i="7"/>
  <c r="B426" i="7"/>
  <c r="E426" i="7"/>
  <c r="F426" i="7"/>
  <c r="J426" i="7"/>
  <c r="I426" i="7"/>
  <c r="A426" i="7"/>
  <c r="C426" i="7"/>
  <c r="D426" i="7"/>
  <c r="H426" i="7"/>
  <c r="K426" i="7"/>
  <c r="B434" i="7"/>
  <c r="F434" i="7"/>
  <c r="C434" i="7"/>
  <c r="I434" i="7"/>
  <c r="A434" i="7"/>
  <c r="D434" i="7"/>
  <c r="H434" i="7"/>
  <c r="K434" i="7"/>
  <c r="E434" i="7"/>
  <c r="J434" i="7"/>
  <c r="C445" i="7"/>
  <c r="H445" i="7"/>
  <c r="B445" i="7"/>
  <c r="F445" i="7"/>
  <c r="J445" i="7"/>
  <c r="D445" i="7"/>
  <c r="I445" i="7"/>
  <c r="A445" i="7"/>
  <c r="E445" i="7"/>
  <c r="K445" i="7"/>
  <c r="D447" i="7"/>
  <c r="H447" i="7"/>
  <c r="E447" i="7"/>
  <c r="K447" i="7"/>
  <c r="C447" i="7"/>
  <c r="F447" i="7"/>
  <c r="J447" i="7"/>
  <c r="B447" i="7"/>
  <c r="I447" i="7"/>
  <c r="A447" i="7"/>
  <c r="E449" i="7"/>
  <c r="K449" i="7"/>
  <c r="A449" i="7"/>
  <c r="F449" i="7"/>
  <c r="J449" i="7"/>
  <c r="C449" i="7"/>
  <c r="H449" i="7"/>
  <c r="B449" i="7"/>
  <c r="D449" i="7"/>
  <c r="I449" i="7"/>
  <c r="A464" i="7"/>
  <c r="C464" i="7"/>
  <c r="I464" i="7"/>
  <c r="B464" i="7"/>
  <c r="D464" i="7"/>
  <c r="F464" i="7"/>
  <c r="J464" i="7"/>
  <c r="E464" i="7"/>
  <c r="H464" i="7"/>
  <c r="K464" i="7"/>
  <c r="A465" i="7"/>
  <c r="D465" i="7"/>
  <c r="F465" i="7"/>
  <c r="I465" i="7"/>
  <c r="C465" i="7"/>
  <c r="J465" i="7"/>
  <c r="B465" i="7"/>
  <c r="E465" i="7"/>
  <c r="H465" i="7"/>
  <c r="K465" i="7"/>
  <c r="B468" i="7"/>
  <c r="E468" i="7"/>
  <c r="H468" i="7"/>
  <c r="K468" i="7"/>
  <c r="C468" i="7"/>
  <c r="J468" i="7"/>
  <c r="A468" i="7"/>
  <c r="D468" i="7"/>
  <c r="F468" i="7"/>
  <c r="I468" i="7"/>
  <c r="B471" i="7"/>
  <c r="E471" i="7"/>
  <c r="J471" i="7"/>
  <c r="C471" i="7"/>
  <c r="I471" i="7"/>
  <c r="A471" i="7"/>
  <c r="D471" i="7"/>
  <c r="F471" i="7"/>
  <c r="H471" i="7"/>
  <c r="K471" i="7"/>
  <c r="A478" i="7"/>
  <c r="H478" i="7"/>
  <c r="K478" i="7"/>
  <c r="C478" i="7"/>
  <c r="E478" i="7"/>
  <c r="I478" i="7"/>
  <c r="D478" i="7"/>
  <c r="F478" i="7"/>
  <c r="J478" i="7"/>
  <c r="B478" i="7"/>
  <c r="A483" i="7"/>
  <c r="D483" i="7"/>
  <c r="F483" i="7"/>
  <c r="J483" i="7"/>
  <c r="E483" i="7"/>
  <c r="I483" i="7"/>
  <c r="B483" i="7"/>
  <c r="C483" i="7"/>
  <c r="H483" i="7"/>
  <c r="K483" i="7"/>
  <c r="B485" i="7"/>
  <c r="D485" i="7"/>
  <c r="H485" i="7"/>
  <c r="A485" i="7"/>
  <c r="E485" i="7"/>
  <c r="I485" i="7"/>
  <c r="K485" i="7"/>
  <c r="C485" i="7"/>
  <c r="F485" i="7"/>
  <c r="J485" i="7"/>
  <c r="A498" i="7"/>
  <c r="C498" i="7"/>
  <c r="E498" i="7"/>
  <c r="H498" i="7"/>
  <c r="J498" i="7"/>
  <c r="B498" i="7"/>
  <c r="D498" i="7"/>
  <c r="F498" i="7"/>
  <c r="I498" i="7"/>
  <c r="K498" i="7"/>
  <c r="A501" i="7"/>
  <c r="B501" i="7"/>
  <c r="C501" i="7"/>
  <c r="D501" i="7"/>
  <c r="E501" i="7"/>
  <c r="F501" i="7"/>
  <c r="H501" i="7"/>
  <c r="I501" i="7"/>
  <c r="J501" i="7"/>
  <c r="K501" i="7"/>
  <c r="A277" i="7"/>
  <c r="D277" i="7"/>
  <c r="I277" i="7"/>
  <c r="B277" i="7"/>
  <c r="H277" i="7"/>
  <c r="F277" i="7"/>
  <c r="K277" i="7"/>
  <c r="E277" i="7"/>
  <c r="J277" i="7"/>
  <c r="C277" i="7"/>
  <c r="A280" i="7"/>
  <c r="E280" i="7"/>
  <c r="D280" i="7"/>
  <c r="I280" i="7"/>
  <c r="F280" i="7"/>
  <c r="J280" i="7"/>
  <c r="C280" i="7"/>
  <c r="B280" i="7"/>
  <c r="H280" i="7"/>
  <c r="K280" i="7"/>
  <c r="D286" i="7"/>
  <c r="I286" i="7"/>
  <c r="C286" i="7"/>
  <c r="A286" i="7"/>
  <c r="F286" i="7"/>
  <c r="K286" i="7"/>
  <c r="E286" i="7"/>
  <c r="J286" i="7"/>
  <c r="B286" i="7"/>
  <c r="H286" i="7"/>
  <c r="E289" i="7"/>
  <c r="I289" i="7"/>
  <c r="D289" i="7"/>
  <c r="H289" i="7"/>
  <c r="B289" i="7"/>
  <c r="J289" i="7"/>
  <c r="F289" i="7"/>
  <c r="C289" i="7"/>
  <c r="K289" i="7"/>
  <c r="A289" i="7"/>
  <c r="F299" i="7"/>
  <c r="D299" i="7"/>
  <c r="H299" i="7"/>
  <c r="E299" i="7"/>
  <c r="K299" i="7"/>
  <c r="C299" i="7"/>
  <c r="I299" i="7"/>
  <c r="B299" i="7"/>
  <c r="J299" i="7"/>
  <c r="A299" i="7"/>
  <c r="E302" i="7"/>
  <c r="H302" i="7"/>
  <c r="B302" i="7"/>
  <c r="J302" i="7"/>
  <c r="I302" i="7"/>
  <c r="A302" i="7"/>
  <c r="D302" i="7"/>
  <c r="F302" i="7"/>
  <c r="K302" i="7"/>
  <c r="C302" i="7"/>
  <c r="D308" i="7"/>
  <c r="H308" i="7"/>
  <c r="C308" i="7"/>
  <c r="K308" i="7"/>
  <c r="E308" i="7"/>
  <c r="I308" i="7"/>
  <c r="B308" i="7"/>
  <c r="F308" i="7"/>
  <c r="A308" i="7"/>
  <c r="J308" i="7"/>
  <c r="F313" i="7"/>
  <c r="K313" i="7"/>
  <c r="A313" i="7"/>
  <c r="I313" i="7"/>
  <c r="C313" i="7"/>
  <c r="E313" i="7"/>
  <c r="J313" i="7"/>
  <c r="D313" i="7"/>
  <c r="H313" i="7"/>
  <c r="B313" i="7"/>
  <c r="E316" i="7"/>
  <c r="K316" i="7"/>
  <c r="A316" i="7"/>
  <c r="D316" i="7"/>
  <c r="I316" i="7"/>
  <c r="H316" i="7"/>
  <c r="C316" i="7"/>
  <c r="F316" i="7"/>
  <c r="B316" i="7"/>
  <c r="J316" i="7"/>
  <c r="B320" i="7"/>
  <c r="F320" i="7"/>
  <c r="D320" i="7"/>
  <c r="K320" i="7"/>
  <c r="C320" i="7"/>
  <c r="H320" i="7"/>
  <c r="A320" i="7"/>
  <c r="J320" i="7"/>
  <c r="E320" i="7"/>
  <c r="I320" i="7"/>
  <c r="A322" i="7"/>
  <c r="H322" i="7"/>
  <c r="E322" i="7"/>
  <c r="J322" i="7"/>
  <c r="C322" i="7"/>
  <c r="I322" i="7"/>
  <c r="D322" i="7"/>
  <c r="F322" i="7"/>
  <c r="K322" i="7"/>
  <c r="B322" i="7"/>
  <c r="A327" i="7"/>
  <c r="D327" i="7"/>
  <c r="H327" i="7"/>
  <c r="E327" i="7"/>
  <c r="K327" i="7"/>
  <c r="I327" i="7"/>
  <c r="C327" i="7"/>
  <c r="F327" i="7"/>
  <c r="J327" i="7"/>
  <c r="B327" i="7"/>
  <c r="B332" i="7"/>
  <c r="E332" i="7"/>
  <c r="J332" i="7"/>
  <c r="D332" i="7"/>
  <c r="H332" i="7"/>
  <c r="F332" i="7"/>
  <c r="C332" i="7"/>
  <c r="K332" i="7"/>
  <c r="A332" i="7"/>
  <c r="I332" i="7"/>
  <c r="F333" i="7"/>
  <c r="J333" i="7"/>
  <c r="K333" i="7"/>
  <c r="A333" i="7"/>
  <c r="D333" i="7"/>
  <c r="C333" i="7"/>
  <c r="I333" i="7"/>
  <c r="B333" i="7"/>
  <c r="E333" i="7"/>
  <c r="H333" i="7"/>
  <c r="H345" i="7"/>
  <c r="C345" i="7"/>
  <c r="F345" i="7"/>
  <c r="K345" i="7"/>
  <c r="B345" i="7"/>
  <c r="E345" i="7"/>
  <c r="J345" i="7"/>
  <c r="D345" i="7"/>
  <c r="I345" i="7"/>
  <c r="A345" i="7"/>
  <c r="E349" i="7"/>
  <c r="I349" i="7"/>
  <c r="K349" i="7"/>
  <c r="H349" i="7"/>
  <c r="C349" i="7"/>
  <c r="F349" i="7"/>
  <c r="J349" i="7"/>
  <c r="A349" i="7"/>
  <c r="D349" i="7"/>
  <c r="B349" i="7"/>
  <c r="E355" i="7"/>
  <c r="I355" i="7"/>
  <c r="A355" i="7"/>
  <c r="C355" i="7"/>
  <c r="H355" i="7"/>
  <c r="J355" i="7"/>
  <c r="D355" i="7"/>
  <c r="B355" i="7"/>
  <c r="F355" i="7"/>
  <c r="K355" i="7"/>
  <c r="H364" i="7"/>
  <c r="A364" i="7"/>
  <c r="D364" i="7"/>
  <c r="I364" i="7"/>
  <c r="F364" i="7"/>
  <c r="B364" i="7"/>
  <c r="E364" i="7"/>
  <c r="K364" i="7"/>
  <c r="C364" i="7"/>
  <c r="J364" i="7"/>
  <c r="C375" i="7"/>
  <c r="I375" i="7"/>
  <c r="H375" i="7"/>
  <c r="A375" i="7"/>
  <c r="D375" i="7"/>
  <c r="F375" i="7"/>
  <c r="K375" i="7"/>
  <c r="E375" i="7"/>
  <c r="J375" i="7"/>
  <c r="B375" i="7"/>
  <c r="A377" i="7"/>
  <c r="E377" i="7"/>
  <c r="I377" i="7"/>
  <c r="B377" i="7"/>
  <c r="D377" i="7"/>
  <c r="F377" i="7"/>
  <c r="J377" i="7"/>
  <c r="H377" i="7"/>
  <c r="C377" i="7"/>
  <c r="K377" i="7"/>
  <c r="D385" i="7"/>
  <c r="H385" i="7"/>
  <c r="C385" i="7"/>
  <c r="J385" i="7"/>
  <c r="F385" i="7"/>
  <c r="K385" i="7"/>
  <c r="A385" i="7"/>
  <c r="E385" i="7"/>
  <c r="I385" i="7"/>
  <c r="B385" i="7"/>
  <c r="D387" i="7"/>
  <c r="I387" i="7"/>
  <c r="A387" i="7"/>
  <c r="J387" i="7"/>
  <c r="C387" i="7"/>
  <c r="F387" i="7"/>
  <c r="K387" i="7"/>
  <c r="B387" i="7"/>
  <c r="E387" i="7"/>
  <c r="H387" i="7"/>
  <c r="C391" i="7"/>
  <c r="F391" i="7"/>
  <c r="K391" i="7"/>
  <c r="B391" i="7"/>
  <c r="H391" i="7"/>
  <c r="D391" i="7"/>
  <c r="I391" i="7"/>
  <c r="A391" i="7"/>
  <c r="E391" i="7"/>
  <c r="J391" i="7"/>
  <c r="E397" i="7"/>
  <c r="I397" i="7"/>
  <c r="D397" i="7"/>
  <c r="J397" i="7"/>
  <c r="C397" i="7"/>
  <c r="H397" i="7"/>
  <c r="K397" i="7"/>
  <c r="A397" i="7"/>
  <c r="F397" i="7"/>
  <c r="B397" i="7"/>
  <c r="B404" i="7"/>
  <c r="E404" i="7"/>
  <c r="K404" i="7"/>
  <c r="C404" i="7"/>
  <c r="F404" i="7"/>
  <c r="J404" i="7"/>
  <c r="I404" i="7"/>
  <c r="A404" i="7"/>
  <c r="D404" i="7"/>
  <c r="H404" i="7"/>
  <c r="C408" i="7"/>
  <c r="E408" i="7"/>
  <c r="J408" i="7"/>
  <c r="A408" i="7"/>
  <c r="H408" i="7"/>
  <c r="B408" i="7"/>
  <c r="F408" i="7"/>
  <c r="I408" i="7"/>
  <c r="K408" i="7"/>
  <c r="D408" i="7"/>
  <c r="B411" i="7"/>
  <c r="H411" i="7"/>
  <c r="D411" i="7"/>
  <c r="F411" i="7"/>
  <c r="J411" i="7"/>
  <c r="C411" i="7"/>
  <c r="K411" i="7"/>
  <c r="E411" i="7"/>
  <c r="I411" i="7"/>
  <c r="A411" i="7"/>
  <c r="C414" i="7"/>
  <c r="F414" i="7"/>
  <c r="J414" i="7"/>
  <c r="B414" i="7"/>
  <c r="H414" i="7"/>
  <c r="D414" i="7"/>
  <c r="I414" i="7"/>
  <c r="E414" i="7"/>
  <c r="K414" i="7"/>
  <c r="A414" i="7"/>
  <c r="B421" i="7"/>
  <c r="D421" i="7"/>
  <c r="I421" i="7"/>
  <c r="C421" i="7"/>
  <c r="K421" i="7"/>
  <c r="E421" i="7"/>
  <c r="H421" i="7"/>
  <c r="F421" i="7"/>
  <c r="J421" i="7"/>
  <c r="A421" i="7"/>
  <c r="C423" i="7"/>
  <c r="F423" i="7"/>
  <c r="J423" i="7"/>
  <c r="D423" i="7"/>
  <c r="H423" i="7"/>
  <c r="A423" i="7"/>
  <c r="E423" i="7"/>
  <c r="K423" i="7"/>
  <c r="B423" i="7"/>
  <c r="I423" i="7"/>
  <c r="A424" i="7"/>
  <c r="D424" i="7"/>
  <c r="F424" i="7"/>
  <c r="J424" i="7"/>
  <c r="E424" i="7"/>
  <c r="I424" i="7"/>
  <c r="B424" i="7"/>
  <c r="C424" i="7"/>
  <c r="H424" i="7"/>
  <c r="K424" i="7"/>
  <c r="A425" i="7"/>
  <c r="B425" i="7"/>
  <c r="D425" i="7"/>
  <c r="F425" i="7"/>
  <c r="I425" i="7"/>
  <c r="J425" i="7"/>
  <c r="C425" i="7"/>
  <c r="E425" i="7"/>
  <c r="H425" i="7"/>
  <c r="K425" i="7"/>
  <c r="B428" i="7"/>
  <c r="C428" i="7"/>
  <c r="K428" i="7"/>
  <c r="D428" i="7"/>
  <c r="F428" i="7"/>
  <c r="I428" i="7"/>
  <c r="A428" i="7"/>
  <c r="E428" i="7"/>
  <c r="H428" i="7"/>
  <c r="J428" i="7"/>
  <c r="D431" i="7"/>
  <c r="H431" i="7"/>
  <c r="C431" i="7"/>
  <c r="J431" i="7"/>
  <c r="E431" i="7"/>
  <c r="I431" i="7"/>
  <c r="B431" i="7"/>
  <c r="F431" i="7"/>
  <c r="K431" i="7"/>
  <c r="A431" i="7"/>
  <c r="H437" i="7"/>
  <c r="B437" i="7"/>
  <c r="E437" i="7"/>
  <c r="I437" i="7"/>
  <c r="A437" i="7"/>
  <c r="D437" i="7"/>
  <c r="J437" i="7"/>
  <c r="C437" i="7"/>
  <c r="F437" i="7"/>
  <c r="K437" i="7"/>
  <c r="B446" i="7"/>
  <c r="E446" i="7"/>
  <c r="J446" i="7"/>
  <c r="H446" i="7"/>
  <c r="A446" i="7"/>
  <c r="D446" i="7"/>
  <c r="I446" i="7"/>
  <c r="C446" i="7"/>
  <c r="F446" i="7"/>
  <c r="K446" i="7"/>
  <c r="B448" i="7"/>
  <c r="E448" i="7"/>
  <c r="I448" i="7"/>
  <c r="F448" i="7"/>
  <c r="K448" i="7"/>
  <c r="D448" i="7"/>
  <c r="J448" i="7"/>
  <c r="C448" i="7"/>
  <c r="H448" i="7"/>
  <c r="A448" i="7"/>
  <c r="D451" i="7"/>
  <c r="H451" i="7"/>
  <c r="B451" i="7"/>
  <c r="E451" i="7"/>
  <c r="I451" i="7"/>
  <c r="K451" i="7"/>
  <c r="F451" i="7"/>
  <c r="J451" i="7"/>
  <c r="A451" i="7"/>
  <c r="C451" i="7"/>
  <c r="B454" i="7"/>
  <c r="E454" i="7"/>
  <c r="I454" i="7"/>
  <c r="D454" i="7"/>
  <c r="H454" i="7"/>
  <c r="J454" i="7"/>
  <c r="C454" i="7"/>
  <c r="F454" i="7"/>
  <c r="K454" i="7"/>
  <c r="A454" i="7"/>
  <c r="D456" i="7"/>
  <c r="H456" i="7"/>
  <c r="J456" i="7"/>
  <c r="C456" i="7"/>
  <c r="F456" i="7"/>
  <c r="A456" i="7"/>
  <c r="E456" i="7"/>
  <c r="I456" i="7"/>
  <c r="K456" i="7"/>
  <c r="B456" i="7"/>
  <c r="C458" i="7"/>
  <c r="H458" i="7"/>
  <c r="K458" i="7"/>
  <c r="B458" i="7"/>
  <c r="E458" i="7"/>
  <c r="J458" i="7"/>
  <c r="F458" i="7"/>
  <c r="D458" i="7"/>
  <c r="I458" i="7"/>
  <c r="A458" i="7"/>
  <c r="B459" i="7"/>
  <c r="F459" i="7"/>
  <c r="I459" i="7"/>
  <c r="A459" i="7"/>
  <c r="K459" i="7"/>
  <c r="C459" i="7"/>
  <c r="E459" i="7"/>
  <c r="H459" i="7"/>
  <c r="J459" i="7"/>
  <c r="D459" i="7"/>
  <c r="A460" i="7"/>
  <c r="E460" i="7"/>
  <c r="H460" i="7"/>
  <c r="K460" i="7"/>
  <c r="F460" i="7"/>
  <c r="I460" i="7"/>
  <c r="B460" i="7"/>
  <c r="D460" i="7"/>
  <c r="J460" i="7"/>
  <c r="C460" i="7"/>
  <c r="C461" i="7"/>
  <c r="F461" i="7"/>
  <c r="J461" i="7"/>
  <c r="B461" i="7"/>
  <c r="K461" i="7"/>
  <c r="A461" i="7"/>
  <c r="D461" i="7"/>
  <c r="H461" i="7"/>
  <c r="E461" i="7"/>
  <c r="I461" i="7"/>
  <c r="H462" i="7"/>
  <c r="A462" i="7"/>
  <c r="C462" i="7"/>
  <c r="E462" i="7"/>
  <c r="K462" i="7"/>
  <c r="D462" i="7"/>
  <c r="F462" i="7"/>
  <c r="J462" i="7"/>
  <c r="B462" i="7"/>
  <c r="I462" i="7"/>
  <c r="C473" i="7"/>
  <c r="E473" i="7"/>
  <c r="I473" i="7"/>
  <c r="B473" i="7"/>
  <c r="F473" i="7"/>
  <c r="K473" i="7"/>
  <c r="A473" i="7"/>
  <c r="D473" i="7"/>
  <c r="H473" i="7"/>
  <c r="J473" i="7"/>
  <c r="B475" i="7"/>
  <c r="E475" i="7"/>
  <c r="J475" i="7"/>
  <c r="C475" i="7"/>
  <c r="F475" i="7"/>
  <c r="I475" i="7"/>
  <c r="A475" i="7"/>
  <c r="D475" i="7"/>
  <c r="H475" i="7"/>
  <c r="K475" i="7"/>
  <c r="A484" i="7"/>
  <c r="D484" i="7"/>
  <c r="F484" i="7"/>
  <c r="J484" i="7"/>
  <c r="C484" i="7"/>
  <c r="H484" i="7"/>
  <c r="K484" i="7"/>
  <c r="B484" i="7"/>
  <c r="E484" i="7"/>
  <c r="I484" i="7"/>
  <c r="C486" i="7"/>
  <c r="F486" i="7"/>
  <c r="J486" i="7"/>
  <c r="B486" i="7"/>
  <c r="E486" i="7"/>
  <c r="H486" i="7"/>
  <c r="K486" i="7"/>
  <c r="D486" i="7"/>
  <c r="I486" i="7"/>
  <c r="A486" i="7"/>
  <c r="E488" i="7"/>
  <c r="H488" i="7"/>
  <c r="K488" i="7"/>
  <c r="B488" i="7"/>
  <c r="D488" i="7"/>
  <c r="I488" i="7"/>
  <c r="C488" i="7"/>
  <c r="F488" i="7"/>
  <c r="J488" i="7"/>
  <c r="A488" i="7"/>
  <c r="A489" i="7"/>
  <c r="E489" i="7"/>
  <c r="J489" i="7"/>
  <c r="B489" i="7"/>
  <c r="D489" i="7"/>
  <c r="F489" i="7"/>
  <c r="I489" i="7"/>
  <c r="C489" i="7"/>
  <c r="H489" i="7"/>
  <c r="K489" i="7"/>
  <c r="D491" i="7"/>
  <c r="H491" i="7"/>
  <c r="J491" i="7"/>
  <c r="B491" i="7"/>
  <c r="E491" i="7"/>
  <c r="I491" i="7"/>
  <c r="A491" i="7"/>
  <c r="C491" i="7"/>
  <c r="F491" i="7"/>
  <c r="K491" i="7"/>
  <c r="A502" i="7"/>
  <c r="C502" i="7"/>
  <c r="F502" i="7"/>
  <c r="I502" i="7"/>
  <c r="K502" i="7"/>
  <c r="B502" i="7"/>
  <c r="D502" i="7"/>
  <c r="E502" i="7"/>
  <c r="H502" i="7"/>
  <c r="J502" i="7"/>
  <c r="A4" i="7"/>
  <c r="B4" i="7"/>
  <c r="C4" i="7"/>
  <c r="D4" i="7"/>
  <c r="E4" i="7"/>
  <c r="F4" i="7"/>
  <c r="G4" i="7" s="1"/>
  <c r="H4" i="7"/>
  <c r="I4" i="7"/>
  <c r="J4" i="7"/>
  <c r="K4" i="7"/>
  <c r="A5" i="7"/>
  <c r="B5" i="7"/>
  <c r="C5" i="7"/>
  <c r="D5" i="7"/>
  <c r="E5" i="7"/>
  <c r="F5" i="7"/>
  <c r="G5" i="7" s="1"/>
  <c r="H5" i="7"/>
  <c r="I5" i="7"/>
  <c r="J5" i="7"/>
  <c r="K5" i="7"/>
  <c r="A6" i="7"/>
  <c r="B6" i="7"/>
  <c r="C6" i="7"/>
  <c r="D6" i="7"/>
  <c r="E6" i="7"/>
  <c r="F6" i="7"/>
  <c r="G6" i="7" s="1"/>
  <c r="H6" i="7"/>
  <c r="I6" i="7"/>
  <c r="J6" i="7"/>
  <c r="K6" i="7"/>
  <c r="A7" i="7"/>
  <c r="B7" i="7"/>
  <c r="C7" i="7"/>
  <c r="D7" i="7"/>
  <c r="E7" i="7"/>
  <c r="F7" i="7"/>
  <c r="G7" i="7" s="1"/>
  <c r="H7" i="7"/>
  <c r="I7" i="7"/>
  <c r="J7" i="7"/>
  <c r="K7" i="7"/>
  <c r="A8" i="7"/>
  <c r="B8" i="7"/>
  <c r="C8" i="7"/>
  <c r="D8" i="7"/>
  <c r="E8" i="7"/>
  <c r="F8" i="7"/>
  <c r="G8" i="7" s="1"/>
  <c r="H8" i="7"/>
  <c r="I8" i="7"/>
  <c r="J8" i="7"/>
  <c r="K8" i="7"/>
  <c r="A9" i="7"/>
  <c r="B9" i="7"/>
  <c r="C9" i="7"/>
  <c r="D9" i="7"/>
  <c r="E9" i="7"/>
  <c r="F9" i="7"/>
  <c r="G9" i="7" s="1"/>
  <c r="H9" i="7"/>
  <c r="I9" i="7"/>
  <c r="J9" i="7"/>
  <c r="K9" i="7"/>
  <c r="A10" i="7"/>
  <c r="B10" i="7"/>
  <c r="C10" i="7"/>
  <c r="D10" i="7"/>
  <c r="E10" i="7"/>
  <c r="F10" i="7"/>
  <c r="G10" i="7" s="1"/>
  <c r="H10" i="7"/>
  <c r="I10" i="7"/>
  <c r="J10" i="7"/>
  <c r="K10" i="7"/>
  <c r="A11" i="7"/>
  <c r="B11" i="7"/>
  <c r="C11" i="7"/>
  <c r="D11" i="7"/>
  <c r="E11" i="7"/>
  <c r="F11" i="7"/>
  <c r="G11" i="7" s="1"/>
  <c r="H11" i="7"/>
  <c r="I11" i="7"/>
  <c r="J11" i="7"/>
  <c r="K11" i="7"/>
  <c r="A12" i="7"/>
  <c r="B12" i="7"/>
  <c r="C12" i="7"/>
  <c r="D12" i="7"/>
  <c r="E12" i="7"/>
  <c r="F12" i="7"/>
  <c r="G12" i="7" s="1"/>
  <c r="H12" i="7"/>
  <c r="I12" i="7"/>
  <c r="J12" i="7"/>
  <c r="K12" i="7"/>
  <c r="A13" i="7"/>
  <c r="B13" i="7"/>
  <c r="C13" i="7"/>
  <c r="D13" i="7"/>
  <c r="E13" i="7"/>
  <c r="F13" i="7"/>
  <c r="G13" i="7" s="1"/>
  <c r="H13" i="7"/>
  <c r="I13" i="7"/>
  <c r="J13" i="7"/>
  <c r="K13" i="7"/>
  <c r="A14" i="7"/>
  <c r="B14" i="7"/>
  <c r="C14" i="7"/>
  <c r="D14" i="7"/>
  <c r="E14" i="7"/>
  <c r="F14" i="7"/>
  <c r="G14" i="7" s="1"/>
  <c r="H14" i="7"/>
  <c r="I14" i="7"/>
  <c r="J14" i="7"/>
  <c r="K14" i="7"/>
  <c r="A15" i="7"/>
  <c r="B15" i="7"/>
  <c r="C15" i="7"/>
  <c r="D15" i="7"/>
  <c r="E15" i="7"/>
  <c r="F15" i="7"/>
  <c r="G15" i="7" s="1"/>
  <c r="H15" i="7"/>
  <c r="I15" i="7"/>
  <c r="J15" i="7"/>
  <c r="K15" i="7"/>
  <c r="A16" i="7"/>
  <c r="B16" i="7"/>
  <c r="C16" i="7"/>
  <c r="D16" i="7"/>
  <c r="E16" i="7"/>
  <c r="F16" i="7"/>
  <c r="G16" i="7" s="1"/>
  <c r="H16" i="7"/>
  <c r="I16" i="7"/>
  <c r="J16" i="7"/>
  <c r="K16" i="7"/>
  <c r="A17" i="7"/>
  <c r="B17" i="7"/>
  <c r="C17" i="7"/>
  <c r="D17" i="7"/>
  <c r="E17" i="7"/>
  <c r="F17" i="7"/>
  <c r="G17" i="7" s="1"/>
  <c r="H17" i="7"/>
  <c r="I17" i="7"/>
  <c r="J17" i="7"/>
  <c r="K17" i="7"/>
  <c r="A18" i="7"/>
  <c r="B18" i="7"/>
  <c r="C18" i="7"/>
  <c r="D18" i="7"/>
  <c r="E18" i="7"/>
  <c r="F18" i="7"/>
  <c r="G18" i="7" s="1"/>
  <c r="H18" i="7"/>
  <c r="I18" i="7"/>
  <c r="J18" i="7"/>
  <c r="K18" i="7"/>
  <c r="A19" i="7"/>
  <c r="B19" i="7"/>
  <c r="C19" i="7"/>
  <c r="D19" i="7"/>
  <c r="E19" i="7"/>
  <c r="F19" i="7"/>
  <c r="G19" i="7" s="1"/>
  <c r="H19" i="7"/>
  <c r="I19" i="7"/>
  <c r="J19" i="7"/>
  <c r="K19" i="7"/>
  <c r="A20" i="7"/>
  <c r="B20" i="7"/>
  <c r="C20" i="7"/>
  <c r="D20" i="7"/>
  <c r="E20" i="7"/>
  <c r="F20" i="7"/>
  <c r="G20" i="7" s="1"/>
  <c r="H20" i="7"/>
  <c r="I20" i="7"/>
  <c r="J20" i="7"/>
  <c r="K20" i="7"/>
  <c r="A21" i="7"/>
  <c r="B21" i="7"/>
  <c r="C21" i="7"/>
  <c r="D21" i="7"/>
  <c r="E21" i="7"/>
  <c r="F21" i="7"/>
  <c r="G21" i="7" s="1"/>
  <c r="H21" i="7"/>
  <c r="I21" i="7"/>
  <c r="J21" i="7"/>
  <c r="K21" i="7"/>
  <c r="A22" i="7"/>
  <c r="B22" i="7"/>
  <c r="C22" i="7"/>
  <c r="D22" i="7"/>
  <c r="E22" i="7"/>
  <c r="F22" i="7"/>
  <c r="G22" i="7" s="1"/>
  <c r="H22" i="7"/>
  <c r="I22" i="7"/>
  <c r="J22" i="7"/>
  <c r="K22" i="7"/>
  <c r="A23" i="7"/>
  <c r="B23" i="7"/>
  <c r="C23" i="7"/>
  <c r="D23" i="7"/>
  <c r="E23" i="7"/>
  <c r="F23" i="7"/>
  <c r="G23" i="7" s="1"/>
  <c r="H23" i="7"/>
  <c r="I23" i="7"/>
  <c r="J23" i="7"/>
  <c r="K23" i="7"/>
  <c r="A24" i="7"/>
  <c r="B24" i="7"/>
  <c r="C24" i="7"/>
  <c r="D24" i="7"/>
  <c r="E24" i="7"/>
  <c r="F24" i="7"/>
  <c r="G24" i="7" s="1"/>
  <c r="H24" i="7"/>
  <c r="I24" i="7"/>
  <c r="J24" i="7"/>
  <c r="K24" i="7"/>
  <c r="A25" i="7"/>
  <c r="B25" i="7"/>
  <c r="C25" i="7"/>
  <c r="D25" i="7"/>
  <c r="E25" i="7"/>
  <c r="F25" i="7"/>
  <c r="G25" i="7" s="1"/>
  <c r="H25" i="7"/>
  <c r="I25" i="7"/>
  <c r="J25" i="7"/>
  <c r="K25" i="7"/>
  <c r="A26" i="7"/>
  <c r="B26" i="7"/>
  <c r="C26" i="7"/>
  <c r="D26" i="7"/>
  <c r="E26" i="7"/>
  <c r="F26" i="7"/>
  <c r="G26" i="7" s="1"/>
  <c r="H26" i="7"/>
  <c r="I26" i="7"/>
  <c r="J26" i="7"/>
  <c r="K26" i="7"/>
  <c r="A27" i="7"/>
  <c r="B27" i="7"/>
  <c r="C27" i="7"/>
  <c r="D27" i="7"/>
  <c r="E27" i="7"/>
  <c r="F27" i="7"/>
  <c r="G27" i="7" s="1"/>
  <c r="H27" i="7"/>
  <c r="I27" i="7"/>
  <c r="J27" i="7"/>
  <c r="K27" i="7"/>
  <c r="A28" i="7"/>
  <c r="B28" i="7"/>
  <c r="C28" i="7"/>
  <c r="D28" i="7"/>
  <c r="E28" i="7"/>
  <c r="F28" i="7"/>
  <c r="G28" i="7" s="1"/>
  <c r="H28" i="7"/>
  <c r="I28" i="7"/>
  <c r="J28" i="7"/>
  <c r="K28" i="7"/>
  <c r="A29" i="7"/>
  <c r="B29" i="7"/>
  <c r="C29" i="7"/>
  <c r="D29" i="7"/>
  <c r="E29" i="7"/>
  <c r="F29" i="7"/>
  <c r="G29" i="7" s="1"/>
  <c r="H29" i="7"/>
  <c r="I29" i="7"/>
  <c r="J29" i="7"/>
  <c r="K29" i="7"/>
  <c r="A30" i="7"/>
  <c r="B30" i="7"/>
  <c r="C30" i="7"/>
  <c r="D30" i="7"/>
  <c r="E30" i="7"/>
  <c r="F30" i="7"/>
  <c r="G30" i="7" s="1"/>
  <c r="H30" i="7"/>
  <c r="I30" i="7"/>
  <c r="J30" i="7"/>
  <c r="K30" i="7"/>
  <c r="A31" i="7"/>
  <c r="B31" i="7"/>
  <c r="C31" i="7"/>
  <c r="D31" i="7"/>
  <c r="E31" i="7"/>
  <c r="F31" i="7"/>
  <c r="G31" i="7" s="1"/>
  <c r="H31" i="7"/>
  <c r="I31" i="7"/>
  <c r="J31" i="7"/>
  <c r="K31" i="7"/>
  <c r="A32" i="7"/>
  <c r="B32" i="7"/>
  <c r="C32" i="7"/>
  <c r="D32" i="7"/>
  <c r="E32" i="7"/>
  <c r="F32" i="7"/>
  <c r="G32" i="7" s="1"/>
  <c r="H32" i="7"/>
  <c r="I32" i="7"/>
  <c r="J32" i="7"/>
  <c r="K32" i="7"/>
  <c r="A33" i="7"/>
  <c r="B33" i="7"/>
  <c r="C33" i="7"/>
  <c r="D33" i="7"/>
  <c r="E33" i="7"/>
  <c r="F33" i="7"/>
  <c r="G33" i="7" s="1"/>
  <c r="H33" i="7"/>
  <c r="I33" i="7"/>
  <c r="J33" i="7"/>
  <c r="K33" i="7"/>
  <c r="A34" i="7"/>
  <c r="B34" i="7"/>
  <c r="C34" i="7"/>
  <c r="D34" i="7"/>
  <c r="E34" i="7"/>
  <c r="F34" i="7"/>
  <c r="G34" i="7" s="1"/>
  <c r="H34" i="7"/>
  <c r="I34" i="7"/>
  <c r="J34" i="7"/>
  <c r="K34" i="7"/>
  <c r="A35" i="7"/>
  <c r="B35" i="7"/>
  <c r="C35" i="7"/>
  <c r="D35" i="7"/>
  <c r="E35" i="7"/>
  <c r="F35" i="7"/>
  <c r="G35" i="7" s="1"/>
  <c r="H35" i="7"/>
  <c r="I35" i="7"/>
  <c r="J35" i="7"/>
  <c r="K35" i="7"/>
  <c r="A36" i="7"/>
  <c r="B36" i="7"/>
  <c r="C36" i="7"/>
  <c r="D36" i="7"/>
  <c r="E36" i="7"/>
  <c r="F36" i="7"/>
  <c r="G36" i="7" s="1"/>
  <c r="H36" i="7"/>
  <c r="I36" i="7"/>
  <c r="J36" i="7"/>
  <c r="K36" i="7"/>
  <c r="A37" i="7"/>
  <c r="B37" i="7"/>
  <c r="C37" i="7"/>
  <c r="D37" i="7"/>
  <c r="E37" i="7"/>
  <c r="F37" i="7"/>
  <c r="G37" i="7" s="1"/>
  <c r="H37" i="7"/>
  <c r="I37" i="7"/>
  <c r="J37" i="7"/>
  <c r="K37" i="7"/>
  <c r="A38" i="7"/>
  <c r="B38" i="7"/>
  <c r="C38" i="7"/>
  <c r="D38" i="7"/>
  <c r="E38" i="7"/>
  <c r="F38" i="7"/>
  <c r="G38" i="7" s="1"/>
  <c r="H38" i="7"/>
  <c r="I38" i="7"/>
  <c r="J38" i="7"/>
  <c r="K38" i="7"/>
  <c r="A39" i="7"/>
  <c r="B39" i="7"/>
  <c r="C39" i="7"/>
  <c r="D39" i="7"/>
  <c r="E39" i="7"/>
  <c r="F39" i="7"/>
  <c r="G39" i="7" s="1"/>
  <c r="H39" i="7"/>
  <c r="I39" i="7"/>
  <c r="J39" i="7"/>
  <c r="K39" i="7"/>
  <c r="A40" i="7"/>
  <c r="B40" i="7"/>
  <c r="C40" i="7"/>
  <c r="D40" i="7"/>
  <c r="E40" i="7"/>
  <c r="F40" i="7"/>
  <c r="G40" i="7" s="1"/>
  <c r="H40" i="7"/>
  <c r="I40" i="7"/>
  <c r="J40" i="7"/>
  <c r="K40" i="7"/>
  <c r="A41" i="7"/>
  <c r="B41" i="7"/>
  <c r="C41" i="7"/>
  <c r="D41" i="7"/>
  <c r="E41" i="7"/>
  <c r="F41" i="7"/>
  <c r="G41" i="7" s="1"/>
  <c r="H41" i="7"/>
  <c r="I41" i="7"/>
  <c r="J41" i="7"/>
  <c r="K41" i="7"/>
  <c r="A42" i="7"/>
  <c r="B42" i="7"/>
  <c r="C42" i="7"/>
  <c r="D42" i="7"/>
  <c r="E42" i="7"/>
  <c r="F42" i="7"/>
  <c r="G42" i="7" s="1"/>
  <c r="H42" i="7"/>
  <c r="I42" i="7"/>
  <c r="J42" i="7"/>
  <c r="K42" i="7"/>
  <c r="A43" i="7"/>
  <c r="B43" i="7"/>
  <c r="C43" i="7"/>
  <c r="D43" i="7"/>
  <c r="E43" i="7"/>
  <c r="F43" i="7"/>
  <c r="G43" i="7" s="1"/>
  <c r="H43" i="7"/>
  <c r="I43" i="7"/>
  <c r="J43" i="7"/>
  <c r="K43" i="7"/>
  <c r="A44" i="7"/>
  <c r="B44" i="7"/>
  <c r="C44" i="7"/>
  <c r="D44" i="7"/>
  <c r="E44" i="7"/>
  <c r="F44" i="7"/>
  <c r="G44" i="7" s="1"/>
  <c r="H44" i="7"/>
  <c r="I44" i="7"/>
  <c r="J44" i="7"/>
  <c r="K44" i="7"/>
  <c r="A45" i="7"/>
  <c r="B45" i="7"/>
  <c r="C45" i="7"/>
  <c r="D45" i="7"/>
  <c r="E45" i="7"/>
  <c r="F45" i="7"/>
  <c r="G45" i="7" s="1"/>
  <c r="H45" i="7"/>
  <c r="I45" i="7"/>
  <c r="J45" i="7"/>
  <c r="K45" i="7"/>
  <c r="A46" i="7"/>
  <c r="B46" i="7"/>
  <c r="C46" i="7"/>
  <c r="D46" i="7"/>
  <c r="E46" i="7"/>
  <c r="F46" i="7"/>
  <c r="G46" i="7" s="1"/>
  <c r="H46" i="7"/>
  <c r="I46" i="7"/>
  <c r="J46" i="7"/>
  <c r="K46" i="7"/>
  <c r="A47" i="7"/>
  <c r="B47" i="7"/>
  <c r="C47" i="7"/>
  <c r="D47" i="7"/>
  <c r="E47" i="7"/>
  <c r="F47" i="7"/>
  <c r="G47" i="7" s="1"/>
  <c r="H47" i="7"/>
  <c r="I47" i="7"/>
  <c r="J47" i="7"/>
  <c r="K47" i="7"/>
  <c r="A48" i="7"/>
  <c r="B48" i="7"/>
  <c r="C48" i="7"/>
  <c r="D48" i="7"/>
  <c r="E48" i="7"/>
  <c r="F48" i="7"/>
  <c r="G48" i="7" s="1"/>
  <c r="H48" i="7"/>
  <c r="I48" i="7"/>
  <c r="J48" i="7"/>
  <c r="K48" i="7"/>
  <c r="A49" i="7"/>
  <c r="B49" i="7"/>
  <c r="C49" i="7"/>
  <c r="D49" i="7"/>
  <c r="E49" i="7"/>
  <c r="F49" i="7"/>
  <c r="G49" i="7" s="1"/>
  <c r="H49" i="7"/>
  <c r="I49" i="7"/>
  <c r="J49" i="7"/>
  <c r="K49" i="7"/>
  <c r="A50" i="7"/>
  <c r="B50" i="7"/>
  <c r="C50" i="7"/>
  <c r="D50" i="7"/>
  <c r="E50" i="7"/>
  <c r="F50" i="7"/>
  <c r="G50" i="7" s="1"/>
  <c r="H50" i="7"/>
  <c r="I50" i="7"/>
  <c r="J50" i="7"/>
  <c r="K50" i="7"/>
  <c r="A51" i="7"/>
  <c r="B51" i="7"/>
  <c r="C51" i="7"/>
  <c r="D51" i="7"/>
  <c r="E51" i="7"/>
  <c r="F51" i="7"/>
  <c r="G51" i="7" s="1"/>
  <c r="H51" i="7"/>
  <c r="I51" i="7"/>
  <c r="J51" i="7"/>
  <c r="K51" i="7"/>
  <c r="A52" i="7"/>
  <c r="B52" i="7"/>
  <c r="C52" i="7"/>
  <c r="D52" i="7"/>
  <c r="E52" i="7"/>
  <c r="F52" i="7"/>
  <c r="G52" i="7" s="1"/>
  <c r="H52" i="7"/>
  <c r="I52" i="7"/>
  <c r="J52" i="7"/>
  <c r="K52" i="7"/>
  <c r="A53" i="7"/>
  <c r="B53" i="7"/>
  <c r="C53" i="7"/>
  <c r="D53" i="7"/>
  <c r="E53" i="7"/>
  <c r="F53" i="7"/>
  <c r="G53" i="7" s="1"/>
  <c r="H53" i="7"/>
  <c r="I53" i="7"/>
  <c r="J53" i="7"/>
  <c r="K53" i="7"/>
  <c r="A54" i="7"/>
  <c r="B54" i="7"/>
  <c r="C54" i="7"/>
  <c r="D54" i="7"/>
  <c r="E54" i="7"/>
  <c r="F54" i="7"/>
  <c r="G54" i="7" s="1"/>
  <c r="H54" i="7"/>
  <c r="I54" i="7"/>
  <c r="J54" i="7"/>
  <c r="K54" i="7"/>
  <c r="A55" i="7"/>
  <c r="B55" i="7"/>
  <c r="C55" i="7"/>
  <c r="D55" i="7"/>
  <c r="E55" i="7"/>
  <c r="F55" i="7"/>
  <c r="G55" i="7" s="1"/>
  <c r="H55" i="7"/>
  <c r="I55" i="7"/>
  <c r="J55" i="7"/>
  <c r="K55" i="7"/>
  <c r="A56" i="7"/>
  <c r="B56" i="7"/>
  <c r="C56" i="7"/>
  <c r="D56" i="7"/>
  <c r="E56" i="7"/>
  <c r="F56" i="7"/>
  <c r="G56" i="7" s="1"/>
  <c r="H56" i="7"/>
  <c r="I56" i="7"/>
  <c r="J56" i="7"/>
  <c r="K56" i="7"/>
  <c r="A57" i="7"/>
  <c r="B57" i="7"/>
  <c r="C57" i="7"/>
  <c r="D57" i="7"/>
  <c r="E57" i="7"/>
  <c r="F57" i="7"/>
  <c r="G57" i="7" s="1"/>
  <c r="H57" i="7"/>
  <c r="I57" i="7"/>
  <c r="J57" i="7"/>
  <c r="K57" i="7"/>
  <c r="A58" i="7"/>
  <c r="B58" i="7"/>
  <c r="C58" i="7"/>
  <c r="D58" i="7"/>
  <c r="E58" i="7"/>
  <c r="F58" i="7"/>
  <c r="G58" i="7" s="1"/>
  <c r="H58" i="7"/>
  <c r="I58" i="7"/>
  <c r="J58" i="7"/>
  <c r="K58" i="7"/>
  <c r="A59" i="7"/>
  <c r="B59" i="7"/>
  <c r="C59" i="7"/>
  <c r="D59" i="7"/>
  <c r="E59" i="7"/>
  <c r="F59" i="7"/>
  <c r="G59" i="7" s="1"/>
  <c r="H59" i="7"/>
  <c r="I59" i="7"/>
  <c r="J59" i="7"/>
  <c r="K59" i="7"/>
  <c r="A60" i="7"/>
  <c r="B60" i="7"/>
  <c r="C60" i="7"/>
  <c r="D60" i="7"/>
  <c r="E60" i="7"/>
  <c r="F60" i="7"/>
  <c r="G60" i="7" s="1"/>
  <c r="H60" i="7"/>
  <c r="I60" i="7"/>
  <c r="J60" i="7"/>
  <c r="K60" i="7"/>
  <c r="A61" i="7"/>
  <c r="B61" i="7"/>
  <c r="C61" i="7"/>
  <c r="D61" i="7"/>
  <c r="E61" i="7"/>
  <c r="F61" i="7"/>
  <c r="G61" i="7" s="1"/>
  <c r="H61" i="7"/>
  <c r="I61" i="7"/>
  <c r="J61" i="7"/>
  <c r="K61" i="7"/>
  <c r="A62" i="7"/>
  <c r="B62" i="7"/>
  <c r="C62" i="7"/>
  <c r="D62" i="7"/>
  <c r="E62" i="7"/>
  <c r="F62" i="7"/>
  <c r="G62" i="7" s="1"/>
  <c r="H62" i="7"/>
  <c r="I62" i="7"/>
  <c r="J62" i="7"/>
  <c r="K62" i="7"/>
  <c r="A63" i="7"/>
  <c r="B63" i="7"/>
  <c r="C63" i="7"/>
  <c r="D63" i="7"/>
  <c r="E63" i="7"/>
  <c r="F63" i="7"/>
  <c r="G63" i="7" s="1"/>
  <c r="H63" i="7"/>
  <c r="I63" i="7"/>
  <c r="J63" i="7"/>
  <c r="K63" i="7"/>
  <c r="A64" i="7"/>
  <c r="B64" i="7"/>
  <c r="C64" i="7"/>
  <c r="D64" i="7"/>
  <c r="E64" i="7"/>
  <c r="F64" i="7"/>
  <c r="G64" i="7" s="1"/>
  <c r="H64" i="7"/>
  <c r="I64" i="7"/>
  <c r="J64" i="7"/>
  <c r="K64" i="7"/>
  <c r="A65" i="7"/>
  <c r="B65" i="7"/>
  <c r="C65" i="7"/>
  <c r="D65" i="7"/>
  <c r="E65" i="7"/>
  <c r="F65" i="7"/>
  <c r="G65" i="7" s="1"/>
  <c r="H65" i="7"/>
  <c r="I65" i="7"/>
  <c r="J65" i="7"/>
  <c r="K65" i="7"/>
  <c r="A66" i="7"/>
  <c r="B66" i="7"/>
  <c r="C66" i="7"/>
  <c r="D66" i="7"/>
  <c r="E66" i="7"/>
  <c r="F66" i="7"/>
  <c r="G66" i="7" s="1"/>
  <c r="H66" i="7"/>
  <c r="I66" i="7"/>
  <c r="J66" i="7"/>
  <c r="K66" i="7"/>
  <c r="A67" i="7"/>
  <c r="B67" i="7"/>
  <c r="C67" i="7"/>
  <c r="D67" i="7"/>
  <c r="E67" i="7"/>
  <c r="F67" i="7"/>
  <c r="G67" i="7" s="1"/>
  <c r="H67" i="7"/>
  <c r="I67" i="7"/>
  <c r="J67" i="7"/>
  <c r="K67" i="7"/>
  <c r="A68" i="7"/>
  <c r="B68" i="7"/>
  <c r="C68" i="7"/>
  <c r="D68" i="7"/>
  <c r="E68" i="7"/>
  <c r="F68" i="7"/>
  <c r="G68" i="7" s="1"/>
  <c r="H68" i="7"/>
  <c r="I68" i="7"/>
  <c r="J68" i="7"/>
  <c r="K68" i="7"/>
  <c r="A69" i="7"/>
  <c r="B69" i="7"/>
  <c r="C69" i="7"/>
  <c r="D69" i="7"/>
  <c r="E69" i="7"/>
  <c r="F69" i="7"/>
  <c r="G69" i="7" s="1"/>
  <c r="H69" i="7"/>
  <c r="I69" i="7"/>
  <c r="J69" i="7"/>
  <c r="K69" i="7"/>
  <c r="A70" i="7"/>
  <c r="B70" i="7"/>
  <c r="C70" i="7"/>
  <c r="D70" i="7"/>
  <c r="E70" i="7"/>
  <c r="F70" i="7"/>
  <c r="G70" i="7" s="1"/>
  <c r="H70" i="7"/>
  <c r="I70" i="7"/>
  <c r="J70" i="7"/>
  <c r="K70" i="7"/>
  <c r="A71" i="7"/>
  <c r="B71" i="7"/>
  <c r="C71" i="7"/>
  <c r="D71" i="7"/>
  <c r="E71" i="7"/>
  <c r="F71" i="7"/>
  <c r="G71" i="7" s="1"/>
  <c r="H71" i="7"/>
  <c r="I71" i="7"/>
  <c r="J71" i="7"/>
  <c r="K71" i="7"/>
  <c r="A72" i="7"/>
  <c r="B72" i="7"/>
  <c r="C72" i="7"/>
  <c r="D72" i="7"/>
  <c r="E72" i="7"/>
  <c r="F72" i="7"/>
  <c r="G72" i="7" s="1"/>
  <c r="H72" i="7"/>
  <c r="I72" i="7"/>
  <c r="J72" i="7"/>
  <c r="K72" i="7"/>
  <c r="A73" i="7"/>
  <c r="B73" i="7"/>
  <c r="C73" i="7"/>
  <c r="D73" i="7"/>
  <c r="E73" i="7"/>
  <c r="F73" i="7"/>
  <c r="G73" i="7" s="1"/>
  <c r="H73" i="7"/>
  <c r="I73" i="7"/>
  <c r="J73" i="7"/>
  <c r="K73" i="7"/>
  <c r="A74" i="7"/>
  <c r="B74" i="7"/>
  <c r="C74" i="7"/>
  <c r="D74" i="7"/>
  <c r="E74" i="7"/>
  <c r="F74" i="7"/>
  <c r="G74" i="7" s="1"/>
  <c r="H74" i="7"/>
  <c r="I74" i="7"/>
  <c r="J74" i="7"/>
  <c r="K74" i="7"/>
  <c r="A75" i="7"/>
  <c r="B75" i="7"/>
  <c r="C75" i="7"/>
  <c r="D75" i="7"/>
  <c r="E75" i="7"/>
  <c r="F75" i="7"/>
  <c r="G75" i="7" s="1"/>
  <c r="H75" i="7"/>
  <c r="I75" i="7"/>
  <c r="J75" i="7"/>
  <c r="K75" i="7"/>
  <c r="A76" i="7"/>
  <c r="B76" i="7"/>
  <c r="C76" i="7"/>
  <c r="D76" i="7"/>
  <c r="E76" i="7"/>
  <c r="F76" i="7"/>
  <c r="G76" i="7" s="1"/>
  <c r="H76" i="7"/>
  <c r="I76" i="7"/>
  <c r="J76" i="7"/>
  <c r="K76" i="7"/>
  <c r="A77" i="7"/>
  <c r="B77" i="7"/>
  <c r="C77" i="7"/>
  <c r="D77" i="7"/>
  <c r="E77" i="7"/>
  <c r="F77" i="7"/>
  <c r="G77" i="7" s="1"/>
  <c r="H77" i="7"/>
  <c r="I77" i="7"/>
  <c r="J77" i="7"/>
  <c r="K77" i="7"/>
  <c r="A78" i="7"/>
  <c r="B78" i="7"/>
  <c r="C78" i="7"/>
  <c r="D78" i="7"/>
  <c r="E78" i="7"/>
  <c r="F78" i="7"/>
  <c r="G78" i="7" s="1"/>
  <c r="H78" i="7"/>
  <c r="I78" i="7"/>
  <c r="J78" i="7"/>
  <c r="K78" i="7"/>
  <c r="A79" i="7"/>
  <c r="B79" i="7"/>
  <c r="C79" i="7"/>
  <c r="D79" i="7"/>
  <c r="E79" i="7"/>
  <c r="F79" i="7"/>
  <c r="G79" i="7" s="1"/>
  <c r="H79" i="7"/>
  <c r="I79" i="7"/>
  <c r="J79" i="7"/>
  <c r="K79" i="7"/>
  <c r="A80" i="7"/>
  <c r="B80" i="7"/>
  <c r="C80" i="7"/>
  <c r="D80" i="7"/>
  <c r="E80" i="7"/>
  <c r="F80" i="7"/>
  <c r="G80" i="7" s="1"/>
  <c r="H80" i="7"/>
  <c r="I80" i="7"/>
  <c r="J80" i="7"/>
  <c r="K80" i="7"/>
  <c r="A81" i="7"/>
  <c r="B81" i="7"/>
  <c r="C81" i="7"/>
  <c r="D81" i="7"/>
  <c r="E81" i="7"/>
  <c r="F81" i="7"/>
  <c r="G81" i="7" s="1"/>
  <c r="H81" i="7"/>
  <c r="I81" i="7"/>
  <c r="J81" i="7"/>
  <c r="K81" i="7"/>
  <c r="A82" i="7"/>
  <c r="B82" i="7"/>
  <c r="C82" i="7"/>
  <c r="D82" i="7"/>
  <c r="E82" i="7"/>
  <c r="F82" i="7"/>
  <c r="G82" i="7" s="1"/>
  <c r="H82" i="7"/>
  <c r="I82" i="7"/>
  <c r="J82" i="7"/>
  <c r="K82" i="7"/>
  <c r="A83" i="7"/>
  <c r="B83" i="7"/>
  <c r="C83" i="7"/>
  <c r="D83" i="7"/>
  <c r="E83" i="7"/>
  <c r="F83" i="7"/>
  <c r="G83" i="7" s="1"/>
  <c r="H83" i="7"/>
  <c r="I83" i="7"/>
  <c r="J83" i="7"/>
  <c r="K83" i="7"/>
  <c r="A84" i="7"/>
  <c r="B84" i="7"/>
  <c r="C84" i="7"/>
  <c r="D84" i="7"/>
  <c r="E84" i="7"/>
  <c r="F84" i="7"/>
  <c r="G84" i="7" s="1"/>
  <c r="H84" i="7"/>
  <c r="I84" i="7"/>
  <c r="J84" i="7"/>
  <c r="K84" i="7"/>
  <c r="A85" i="7"/>
  <c r="B85" i="7"/>
  <c r="C85" i="7"/>
  <c r="D85" i="7"/>
  <c r="E85" i="7"/>
  <c r="F85" i="7"/>
  <c r="G85" i="7" s="1"/>
  <c r="H85" i="7"/>
  <c r="I85" i="7"/>
  <c r="J85" i="7"/>
  <c r="K85" i="7"/>
  <c r="A86" i="7"/>
  <c r="B86" i="7"/>
  <c r="C86" i="7"/>
  <c r="D86" i="7"/>
  <c r="E86" i="7"/>
  <c r="F86" i="7"/>
  <c r="G86" i="7" s="1"/>
  <c r="H86" i="7"/>
  <c r="I86" i="7"/>
  <c r="J86" i="7"/>
  <c r="K86" i="7"/>
  <c r="A87" i="7"/>
  <c r="B87" i="7"/>
  <c r="C87" i="7"/>
  <c r="D87" i="7"/>
  <c r="E87" i="7"/>
  <c r="F87" i="7"/>
  <c r="G87" i="7" s="1"/>
  <c r="H87" i="7"/>
  <c r="I87" i="7"/>
  <c r="J87" i="7"/>
  <c r="K87" i="7"/>
  <c r="A88" i="7"/>
  <c r="B88" i="7"/>
  <c r="C88" i="7"/>
  <c r="D88" i="7"/>
  <c r="E88" i="7"/>
  <c r="F88" i="7"/>
  <c r="G88" i="7" s="1"/>
  <c r="H88" i="7"/>
  <c r="I88" i="7"/>
  <c r="J88" i="7"/>
  <c r="K88" i="7"/>
  <c r="A89" i="7"/>
  <c r="B89" i="7"/>
  <c r="C89" i="7"/>
  <c r="D89" i="7"/>
  <c r="E89" i="7"/>
  <c r="F89" i="7"/>
  <c r="G89" i="7" s="1"/>
  <c r="H89" i="7"/>
  <c r="I89" i="7"/>
  <c r="J89" i="7"/>
  <c r="K89" i="7"/>
  <c r="A90" i="7"/>
  <c r="B90" i="7"/>
  <c r="C90" i="7"/>
  <c r="D90" i="7"/>
  <c r="E90" i="7"/>
  <c r="F90" i="7"/>
  <c r="G90" i="7" s="1"/>
  <c r="H90" i="7"/>
  <c r="I90" i="7"/>
  <c r="J90" i="7"/>
  <c r="K90" i="7"/>
  <c r="A91" i="7"/>
  <c r="B91" i="7"/>
  <c r="C91" i="7"/>
  <c r="D91" i="7"/>
  <c r="E91" i="7"/>
  <c r="F91" i="7"/>
  <c r="G91" i="7" s="1"/>
  <c r="H91" i="7"/>
  <c r="I91" i="7"/>
  <c r="J91" i="7"/>
  <c r="K91" i="7"/>
  <c r="A92" i="7"/>
  <c r="B92" i="7"/>
  <c r="C92" i="7"/>
  <c r="D92" i="7"/>
  <c r="E92" i="7"/>
  <c r="F92" i="7"/>
  <c r="G92" i="7" s="1"/>
  <c r="H92" i="7"/>
  <c r="I92" i="7"/>
  <c r="J92" i="7"/>
  <c r="K92" i="7"/>
  <c r="A93" i="7"/>
  <c r="B93" i="7"/>
  <c r="C93" i="7"/>
  <c r="D93" i="7"/>
  <c r="E93" i="7"/>
  <c r="F93" i="7"/>
  <c r="G93" i="7" s="1"/>
  <c r="H93" i="7"/>
  <c r="I93" i="7"/>
  <c r="J93" i="7"/>
  <c r="K93" i="7"/>
  <c r="A94" i="7"/>
  <c r="B94" i="7"/>
  <c r="C94" i="7"/>
  <c r="D94" i="7"/>
  <c r="E94" i="7"/>
  <c r="F94" i="7"/>
  <c r="G94" i="7" s="1"/>
  <c r="H94" i="7"/>
  <c r="I94" i="7"/>
  <c r="J94" i="7"/>
  <c r="K94" i="7"/>
  <c r="A95" i="7"/>
  <c r="B95" i="7"/>
  <c r="C95" i="7"/>
  <c r="D95" i="7"/>
  <c r="E95" i="7"/>
  <c r="F95" i="7"/>
  <c r="G95" i="7" s="1"/>
  <c r="H95" i="7"/>
  <c r="I95" i="7"/>
  <c r="J95" i="7"/>
  <c r="K95" i="7"/>
  <c r="A96" i="7"/>
  <c r="B96" i="7"/>
  <c r="C96" i="7"/>
  <c r="D96" i="7"/>
  <c r="E96" i="7"/>
  <c r="F96" i="7"/>
  <c r="G96" i="7" s="1"/>
  <c r="H96" i="7"/>
  <c r="I96" i="7"/>
  <c r="J96" i="7"/>
  <c r="K96" i="7"/>
  <c r="A97" i="7"/>
  <c r="B97" i="7"/>
  <c r="C97" i="7"/>
  <c r="D97" i="7"/>
  <c r="E97" i="7"/>
  <c r="F97" i="7"/>
  <c r="G97" i="7" s="1"/>
  <c r="H97" i="7"/>
  <c r="I97" i="7"/>
  <c r="J97" i="7"/>
  <c r="K97" i="7"/>
  <c r="A98" i="7"/>
  <c r="B98" i="7"/>
  <c r="C98" i="7"/>
  <c r="D98" i="7"/>
  <c r="E98" i="7"/>
  <c r="F98" i="7"/>
  <c r="G98" i="7" s="1"/>
  <c r="H98" i="7"/>
  <c r="I98" i="7"/>
  <c r="J98" i="7"/>
  <c r="K98" i="7"/>
  <c r="A99" i="7"/>
  <c r="B99" i="7"/>
  <c r="C99" i="7"/>
  <c r="D99" i="7"/>
  <c r="E99" i="7"/>
  <c r="F99" i="7"/>
  <c r="G99" i="7" s="1"/>
  <c r="H99" i="7"/>
  <c r="I99" i="7"/>
  <c r="J99" i="7"/>
  <c r="K99" i="7"/>
  <c r="A100" i="7"/>
  <c r="B100" i="7"/>
  <c r="C100" i="7"/>
  <c r="D100" i="7"/>
  <c r="E100" i="7"/>
  <c r="F100" i="7"/>
  <c r="G100" i="7" s="1"/>
  <c r="H100" i="7"/>
  <c r="I100" i="7"/>
  <c r="J100" i="7"/>
  <c r="K100" i="7"/>
  <c r="A101" i="7"/>
  <c r="B101" i="7"/>
  <c r="C101" i="7"/>
  <c r="D101" i="7"/>
  <c r="E101" i="7"/>
  <c r="F101" i="7"/>
  <c r="G101" i="7" s="1"/>
  <c r="H101" i="7"/>
  <c r="I101" i="7"/>
  <c r="J101" i="7"/>
  <c r="K101" i="7"/>
  <c r="A102" i="7"/>
  <c r="B102" i="7"/>
  <c r="C102" i="7"/>
  <c r="D102" i="7"/>
  <c r="E102" i="7"/>
  <c r="F102" i="7"/>
  <c r="G102" i="7" s="1"/>
  <c r="H102" i="7"/>
  <c r="I102" i="7"/>
  <c r="J102" i="7"/>
  <c r="K102" i="7"/>
  <c r="A103" i="7"/>
  <c r="B103" i="7"/>
  <c r="C103" i="7"/>
  <c r="D103" i="7"/>
  <c r="E103" i="7"/>
  <c r="F103" i="7"/>
  <c r="G103" i="7" s="1"/>
  <c r="H103" i="7"/>
  <c r="I103" i="7"/>
  <c r="J103" i="7"/>
  <c r="K103" i="7"/>
  <c r="A104" i="7"/>
  <c r="B104" i="7"/>
  <c r="C104" i="7"/>
  <c r="D104" i="7"/>
  <c r="E104" i="7"/>
  <c r="F104" i="7"/>
  <c r="H104" i="7"/>
  <c r="I104" i="7"/>
  <c r="J104" i="7"/>
  <c r="K104" i="7"/>
  <c r="A105" i="7"/>
  <c r="B105" i="7"/>
  <c r="C105" i="7"/>
  <c r="D105" i="7"/>
  <c r="E105" i="7"/>
  <c r="F105" i="7"/>
  <c r="H105" i="7"/>
  <c r="I105" i="7"/>
  <c r="J105" i="7"/>
  <c r="K105" i="7"/>
  <c r="A106" i="7"/>
  <c r="B106" i="7"/>
  <c r="C106" i="7"/>
  <c r="D106" i="7"/>
  <c r="E106" i="7"/>
  <c r="F106" i="7"/>
  <c r="H106" i="7"/>
  <c r="I106" i="7"/>
  <c r="J106" i="7"/>
  <c r="K106" i="7"/>
  <c r="A107" i="7"/>
  <c r="B107" i="7"/>
  <c r="C107" i="7"/>
  <c r="D107" i="7"/>
  <c r="E107" i="7"/>
  <c r="F107" i="7"/>
  <c r="H107" i="7"/>
  <c r="I107" i="7"/>
  <c r="J107" i="7"/>
  <c r="K107" i="7"/>
  <c r="A108" i="7"/>
  <c r="B108" i="7"/>
  <c r="C108" i="7"/>
  <c r="D108" i="7"/>
  <c r="E108" i="7"/>
  <c r="F108" i="7"/>
  <c r="H108" i="7"/>
  <c r="I108" i="7"/>
  <c r="J108" i="7"/>
  <c r="K108" i="7"/>
  <c r="A109" i="7"/>
  <c r="B109" i="7"/>
  <c r="C109" i="7"/>
  <c r="D109" i="7"/>
  <c r="E109" i="7"/>
  <c r="F109" i="7"/>
  <c r="H109" i="7"/>
  <c r="I109" i="7"/>
  <c r="J109" i="7"/>
  <c r="K109" i="7"/>
  <c r="A110" i="7"/>
  <c r="B110" i="7"/>
  <c r="C110" i="7"/>
  <c r="D110" i="7"/>
  <c r="E110" i="7"/>
  <c r="F110" i="7"/>
  <c r="H110" i="7"/>
  <c r="I110" i="7"/>
  <c r="J110" i="7"/>
  <c r="K110" i="7"/>
  <c r="A111" i="7"/>
  <c r="B111" i="7"/>
  <c r="C111" i="7"/>
  <c r="D111" i="7"/>
  <c r="E111" i="7"/>
  <c r="F111" i="7"/>
  <c r="H111" i="7"/>
  <c r="I111" i="7"/>
  <c r="J111" i="7"/>
  <c r="K111" i="7"/>
  <c r="A112" i="7"/>
  <c r="B112" i="7"/>
  <c r="C112" i="7"/>
  <c r="D112" i="7"/>
  <c r="E112" i="7"/>
  <c r="F112" i="7"/>
  <c r="H112" i="7"/>
  <c r="I112" i="7"/>
  <c r="J112" i="7"/>
  <c r="K112" i="7"/>
  <c r="A113" i="7"/>
  <c r="B113" i="7"/>
  <c r="C113" i="7"/>
  <c r="D113" i="7"/>
  <c r="E113" i="7"/>
  <c r="F113" i="7"/>
  <c r="H113" i="7"/>
  <c r="I113" i="7"/>
  <c r="J113" i="7"/>
  <c r="K113" i="7"/>
  <c r="A114" i="7"/>
  <c r="B114" i="7"/>
  <c r="C114" i="7"/>
  <c r="D114" i="7"/>
  <c r="E114" i="7"/>
  <c r="F114" i="7"/>
  <c r="H114" i="7"/>
  <c r="I114" i="7"/>
  <c r="J114" i="7"/>
  <c r="K114" i="7"/>
  <c r="A115" i="7"/>
  <c r="B115" i="7"/>
  <c r="C115" i="7"/>
  <c r="D115" i="7"/>
  <c r="E115" i="7"/>
  <c r="F115" i="7"/>
  <c r="H115" i="7"/>
  <c r="I115" i="7"/>
  <c r="J115" i="7"/>
  <c r="K115" i="7"/>
  <c r="A116" i="7"/>
  <c r="B116" i="7"/>
  <c r="C116" i="7"/>
  <c r="D116" i="7"/>
  <c r="E116" i="7"/>
  <c r="F116" i="7"/>
  <c r="H116" i="7"/>
  <c r="I116" i="7"/>
  <c r="J116" i="7"/>
  <c r="K116" i="7"/>
  <c r="A117" i="7"/>
  <c r="B117" i="7"/>
  <c r="C117" i="7"/>
  <c r="D117" i="7"/>
  <c r="E117" i="7"/>
  <c r="F117" i="7"/>
  <c r="H117" i="7"/>
  <c r="I117" i="7"/>
  <c r="J117" i="7"/>
  <c r="K117" i="7"/>
  <c r="A118" i="7"/>
  <c r="B118" i="7"/>
  <c r="C118" i="7"/>
  <c r="D118" i="7"/>
  <c r="E118" i="7"/>
  <c r="F118" i="7"/>
  <c r="H118" i="7"/>
  <c r="I118" i="7"/>
  <c r="J118" i="7"/>
  <c r="K118" i="7"/>
  <c r="A119" i="7"/>
  <c r="B119" i="7"/>
  <c r="C119" i="7"/>
  <c r="D119" i="7"/>
  <c r="E119" i="7"/>
  <c r="F119" i="7"/>
  <c r="H119" i="7"/>
  <c r="I119" i="7"/>
  <c r="J119" i="7"/>
  <c r="K119" i="7"/>
  <c r="A120" i="7"/>
  <c r="B120" i="7"/>
  <c r="C120" i="7"/>
  <c r="D120" i="7"/>
  <c r="E120" i="7"/>
  <c r="F120" i="7"/>
  <c r="H120" i="7"/>
  <c r="I120" i="7"/>
  <c r="J120" i="7"/>
  <c r="K120" i="7"/>
  <c r="A121" i="7"/>
  <c r="B121" i="7"/>
  <c r="C121" i="7"/>
  <c r="D121" i="7"/>
  <c r="E121" i="7"/>
  <c r="F121" i="7"/>
  <c r="H121" i="7"/>
  <c r="I121" i="7"/>
  <c r="J121" i="7"/>
  <c r="K121" i="7"/>
  <c r="A122" i="7"/>
  <c r="B122" i="7"/>
  <c r="C122" i="7"/>
  <c r="D122" i="7"/>
  <c r="E122" i="7"/>
  <c r="F122" i="7"/>
  <c r="H122" i="7"/>
  <c r="I122" i="7"/>
  <c r="J122" i="7"/>
  <c r="K122" i="7"/>
  <c r="A123" i="7"/>
  <c r="B123" i="7"/>
  <c r="C123" i="7"/>
  <c r="D123" i="7"/>
  <c r="E123" i="7"/>
  <c r="F123" i="7"/>
  <c r="H123" i="7"/>
  <c r="I123" i="7"/>
  <c r="J123" i="7"/>
  <c r="K123" i="7"/>
  <c r="A124" i="7"/>
  <c r="B124" i="7"/>
  <c r="C124" i="7"/>
  <c r="D124" i="7"/>
  <c r="E124" i="7"/>
  <c r="F124" i="7"/>
  <c r="H124" i="7"/>
  <c r="I124" i="7"/>
  <c r="J124" i="7"/>
  <c r="K124" i="7"/>
  <c r="A125" i="7"/>
  <c r="B125" i="7"/>
  <c r="C125" i="7"/>
  <c r="D125" i="7"/>
  <c r="E125" i="7"/>
  <c r="F125" i="7"/>
  <c r="H125" i="7"/>
  <c r="I125" i="7"/>
  <c r="J125" i="7"/>
  <c r="K125" i="7"/>
  <c r="A126" i="7"/>
  <c r="B126" i="7"/>
  <c r="C126" i="7"/>
  <c r="D126" i="7"/>
  <c r="E126" i="7"/>
  <c r="F126" i="7"/>
  <c r="H126" i="7"/>
  <c r="I126" i="7"/>
  <c r="J126" i="7"/>
  <c r="K126" i="7"/>
  <c r="A127" i="7"/>
  <c r="B127" i="7"/>
  <c r="C127" i="7"/>
  <c r="D127" i="7"/>
  <c r="E127" i="7"/>
  <c r="F127" i="7"/>
  <c r="H127" i="7"/>
  <c r="I127" i="7"/>
  <c r="J127" i="7"/>
  <c r="K127" i="7"/>
  <c r="A128" i="7"/>
  <c r="B128" i="7"/>
  <c r="C128" i="7"/>
  <c r="D128" i="7"/>
  <c r="E128" i="7"/>
  <c r="F128" i="7"/>
  <c r="H128" i="7"/>
  <c r="I128" i="7"/>
  <c r="J128" i="7"/>
  <c r="K128" i="7"/>
  <c r="A129" i="7"/>
  <c r="B129" i="7"/>
  <c r="C129" i="7"/>
  <c r="D129" i="7"/>
  <c r="E129" i="7"/>
  <c r="F129" i="7"/>
  <c r="H129" i="7"/>
  <c r="I129" i="7"/>
  <c r="J129" i="7"/>
  <c r="K129" i="7"/>
  <c r="A130" i="7"/>
  <c r="B130" i="7"/>
  <c r="C130" i="7"/>
  <c r="D130" i="7"/>
  <c r="E130" i="7"/>
  <c r="F130" i="7"/>
  <c r="H130" i="7"/>
  <c r="I130" i="7"/>
  <c r="J130" i="7"/>
  <c r="K130" i="7"/>
  <c r="A131" i="7"/>
  <c r="B131" i="7"/>
  <c r="C131" i="7"/>
  <c r="D131" i="7"/>
  <c r="E131" i="7"/>
  <c r="F131" i="7"/>
  <c r="H131" i="7"/>
  <c r="I131" i="7"/>
  <c r="J131" i="7"/>
  <c r="K131" i="7"/>
  <c r="A132" i="7"/>
  <c r="B132" i="7"/>
  <c r="C132" i="7"/>
  <c r="D132" i="7"/>
  <c r="E132" i="7"/>
  <c r="F132" i="7"/>
  <c r="H132" i="7"/>
  <c r="I132" i="7"/>
  <c r="J132" i="7"/>
  <c r="K132" i="7"/>
  <c r="A133" i="7"/>
  <c r="B133" i="7"/>
  <c r="C133" i="7"/>
  <c r="D133" i="7"/>
  <c r="E133" i="7"/>
  <c r="F133" i="7"/>
  <c r="H133" i="7"/>
  <c r="I133" i="7"/>
  <c r="J133" i="7"/>
  <c r="K133" i="7"/>
  <c r="A134" i="7"/>
  <c r="B134" i="7"/>
  <c r="C134" i="7"/>
  <c r="D134" i="7"/>
  <c r="E134" i="7"/>
  <c r="F134" i="7"/>
  <c r="H134" i="7"/>
  <c r="I134" i="7"/>
  <c r="J134" i="7"/>
  <c r="K134" i="7"/>
  <c r="A135" i="7"/>
  <c r="B135" i="7"/>
  <c r="C135" i="7"/>
  <c r="D135" i="7"/>
  <c r="E135" i="7"/>
  <c r="F135" i="7"/>
  <c r="H135" i="7"/>
  <c r="I135" i="7"/>
  <c r="J135" i="7"/>
  <c r="K135" i="7"/>
  <c r="A136" i="7"/>
  <c r="B136" i="7"/>
  <c r="C136" i="7"/>
  <c r="D136" i="7"/>
  <c r="E136" i="7"/>
  <c r="F136" i="7"/>
  <c r="H136" i="7"/>
  <c r="I136" i="7"/>
  <c r="J136" i="7"/>
  <c r="K136" i="7"/>
  <c r="A137" i="7"/>
  <c r="B137" i="7"/>
  <c r="C137" i="7"/>
  <c r="D137" i="7"/>
  <c r="E137" i="7"/>
  <c r="F137" i="7"/>
  <c r="H137" i="7"/>
  <c r="I137" i="7"/>
  <c r="J137" i="7"/>
  <c r="K137" i="7"/>
  <c r="A138" i="7"/>
  <c r="B138" i="7"/>
  <c r="C138" i="7"/>
  <c r="D138" i="7"/>
  <c r="E138" i="7"/>
  <c r="F138" i="7"/>
  <c r="H138" i="7"/>
  <c r="I138" i="7"/>
  <c r="J138" i="7"/>
  <c r="K138" i="7"/>
  <c r="A139" i="7"/>
  <c r="B139" i="7"/>
  <c r="C139" i="7"/>
  <c r="D139" i="7"/>
  <c r="E139" i="7"/>
  <c r="F139" i="7"/>
  <c r="H139" i="7"/>
  <c r="I139" i="7"/>
  <c r="J139" i="7"/>
  <c r="K139" i="7"/>
  <c r="A140" i="7"/>
  <c r="B140" i="7"/>
  <c r="C140" i="7"/>
  <c r="D140" i="7"/>
  <c r="E140" i="7"/>
  <c r="F140" i="7"/>
  <c r="H140" i="7"/>
  <c r="I140" i="7"/>
  <c r="J140" i="7"/>
  <c r="K140" i="7"/>
  <c r="A141" i="7"/>
  <c r="B141" i="7"/>
  <c r="C141" i="7"/>
  <c r="D141" i="7"/>
  <c r="E141" i="7"/>
  <c r="F141" i="7"/>
  <c r="H141" i="7"/>
  <c r="I141" i="7"/>
  <c r="J141" i="7"/>
  <c r="K141" i="7"/>
  <c r="A142" i="7"/>
  <c r="B142" i="7"/>
  <c r="C142" i="7"/>
  <c r="D142" i="7"/>
  <c r="E142" i="7"/>
  <c r="F142" i="7"/>
  <c r="H142" i="7"/>
  <c r="I142" i="7"/>
  <c r="J142" i="7"/>
  <c r="K142" i="7"/>
  <c r="A143" i="7"/>
  <c r="B143" i="7"/>
  <c r="C143" i="7"/>
  <c r="D143" i="7"/>
  <c r="E143" i="7"/>
  <c r="F143" i="7"/>
  <c r="H143" i="7"/>
  <c r="I143" i="7"/>
  <c r="J143" i="7"/>
  <c r="K143" i="7"/>
  <c r="A144" i="7"/>
  <c r="B144" i="7"/>
  <c r="C144" i="7"/>
  <c r="D144" i="7"/>
  <c r="E144" i="7"/>
  <c r="F144" i="7"/>
  <c r="H144" i="7"/>
  <c r="I144" i="7"/>
  <c r="J144" i="7"/>
  <c r="K144" i="7"/>
  <c r="A145" i="7"/>
  <c r="B145" i="7"/>
  <c r="C145" i="7"/>
  <c r="D145" i="7"/>
  <c r="E145" i="7"/>
  <c r="F145" i="7"/>
  <c r="H145" i="7"/>
  <c r="I145" i="7"/>
  <c r="J145" i="7"/>
  <c r="K145" i="7"/>
  <c r="A146" i="7"/>
  <c r="B146" i="7"/>
  <c r="C146" i="7"/>
  <c r="D146" i="7"/>
  <c r="E146" i="7"/>
  <c r="F146" i="7"/>
  <c r="H146" i="7"/>
  <c r="I146" i="7"/>
  <c r="J146" i="7"/>
  <c r="K146" i="7"/>
  <c r="A147" i="7"/>
  <c r="B147" i="7"/>
  <c r="C147" i="7"/>
  <c r="D147" i="7"/>
  <c r="E147" i="7"/>
  <c r="F147" i="7"/>
  <c r="H147" i="7"/>
  <c r="I147" i="7"/>
  <c r="J147" i="7"/>
  <c r="K147" i="7"/>
  <c r="A148" i="7"/>
  <c r="B148" i="7"/>
  <c r="C148" i="7"/>
  <c r="D148" i="7"/>
  <c r="E148" i="7"/>
  <c r="F148" i="7"/>
  <c r="H148" i="7"/>
  <c r="I148" i="7"/>
  <c r="J148" i="7"/>
  <c r="K148" i="7"/>
  <c r="A149" i="7"/>
  <c r="B149" i="7"/>
  <c r="C149" i="7"/>
  <c r="D149" i="7"/>
  <c r="E149" i="7"/>
  <c r="F149" i="7"/>
  <c r="H149" i="7"/>
  <c r="I149" i="7"/>
  <c r="J149" i="7"/>
  <c r="K149" i="7"/>
  <c r="A150" i="7"/>
  <c r="B150" i="7"/>
  <c r="C150" i="7"/>
  <c r="D150" i="7"/>
  <c r="E150" i="7"/>
  <c r="F150" i="7"/>
  <c r="H150" i="7"/>
  <c r="I150" i="7"/>
  <c r="J150" i="7"/>
  <c r="K150" i="7"/>
  <c r="A151" i="7"/>
  <c r="B151" i="7"/>
  <c r="C151" i="7"/>
  <c r="D151" i="7"/>
  <c r="E151" i="7"/>
  <c r="F151" i="7"/>
  <c r="H151" i="7"/>
  <c r="I151" i="7"/>
  <c r="J151" i="7"/>
  <c r="K151" i="7"/>
  <c r="A152" i="7"/>
  <c r="B152" i="7"/>
  <c r="C152" i="7"/>
  <c r="D152" i="7"/>
  <c r="E152" i="7"/>
  <c r="F152" i="7"/>
  <c r="H152" i="7"/>
  <c r="I152" i="7"/>
  <c r="J152" i="7"/>
  <c r="K152" i="7"/>
  <c r="A153" i="7"/>
  <c r="B153" i="7"/>
  <c r="C153" i="7"/>
  <c r="D153" i="7"/>
  <c r="E153" i="7"/>
  <c r="F153" i="7"/>
  <c r="H153" i="7"/>
  <c r="I153" i="7"/>
  <c r="J153" i="7"/>
  <c r="K153" i="7"/>
  <c r="A154" i="7"/>
  <c r="B154" i="7"/>
  <c r="C154" i="7"/>
  <c r="D154" i="7"/>
  <c r="E154" i="7"/>
  <c r="F154" i="7"/>
  <c r="H154" i="7"/>
  <c r="I154" i="7"/>
  <c r="J154" i="7"/>
  <c r="K154" i="7"/>
  <c r="A155" i="7"/>
  <c r="B155" i="7"/>
  <c r="C155" i="7"/>
  <c r="D155" i="7"/>
  <c r="E155" i="7"/>
  <c r="F155" i="7"/>
  <c r="H155" i="7"/>
  <c r="I155" i="7"/>
  <c r="J155" i="7"/>
  <c r="K155" i="7"/>
  <c r="A156" i="7"/>
  <c r="B156" i="7"/>
  <c r="C156" i="7"/>
  <c r="D156" i="7"/>
  <c r="E156" i="7"/>
  <c r="F156" i="7"/>
  <c r="H156" i="7"/>
  <c r="I156" i="7"/>
  <c r="J156" i="7"/>
  <c r="K156" i="7"/>
  <c r="A157" i="7"/>
  <c r="B157" i="7"/>
  <c r="C157" i="7"/>
  <c r="D157" i="7"/>
  <c r="E157" i="7"/>
  <c r="F157" i="7"/>
  <c r="H157" i="7"/>
  <c r="I157" i="7"/>
  <c r="J157" i="7"/>
  <c r="K157" i="7"/>
  <c r="A158" i="7"/>
  <c r="B158" i="7"/>
  <c r="C158" i="7"/>
  <c r="D158" i="7"/>
  <c r="E158" i="7"/>
  <c r="F158" i="7"/>
  <c r="H158" i="7"/>
  <c r="I158" i="7"/>
  <c r="J158" i="7"/>
  <c r="K158" i="7"/>
  <c r="A159" i="7"/>
  <c r="B159" i="7"/>
  <c r="C159" i="7"/>
  <c r="D159" i="7"/>
  <c r="E159" i="7"/>
  <c r="F159" i="7"/>
  <c r="H159" i="7"/>
  <c r="I159" i="7"/>
  <c r="J159" i="7"/>
  <c r="K159" i="7"/>
  <c r="A160" i="7"/>
  <c r="B160" i="7"/>
  <c r="C160" i="7"/>
  <c r="D160" i="7"/>
  <c r="E160" i="7"/>
  <c r="F160" i="7"/>
  <c r="H160" i="7"/>
  <c r="I160" i="7"/>
  <c r="J160" i="7"/>
  <c r="K160" i="7"/>
  <c r="A161" i="7"/>
  <c r="B161" i="7"/>
  <c r="C161" i="7"/>
  <c r="D161" i="7"/>
  <c r="E161" i="7"/>
  <c r="F161" i="7"/>
  <c r="H161" i="7"/>
  <c r="I161" i="7"/>
  <c r="J161" i="7"/>
  <c r="K161" i="7"/>
  <c r="A162" i="7"/>
  <c r="B162" i="7"/>
  <c r="C162" i="7"/>
  <c r="D162" i="7"/>
  <c r="E162" i="7"/>
  <c r="F162" i="7"/>
  <c r="H162" i="7"/>
  <c r="I162" i="7"/>
  <c r="J162" i="7"/>
  <c r="K162" i="7"/>
  <c r="A163" i="7"/>
  <c r="B163" i="7"/>
  <c r="C163" i="7"/>
  <c r="D163" i="7"/>
  <c r="E163" i="7"/>
  <c r="F163" i="7"/>
  <c r="H163" i="7"/>
  <c r="I163" i="7"/>
  <c r="J163" i="7"/>
  <c r="K163" i="7"/>
  <c r="A164" i="7"/>
  <c r="B164" i="7"/>
  <c r="C164" i="7"/>
  <c r="D164" i="7"/>
  <c r="E164" i="7"/>
  <c r="F164" i="7"/>
  <c r="H164" i="7"/>
  <c r="I164" i="7"/>
  <c r="J164" i="7"/>
  <c r="K164" i="7"/>
  <c r="A165" i="7"/>
  <c r="B165" i="7"/>
  <c r="C165" i="7"/>
  <c r="D165" i="7"/>
  <c r="E165" i="7"/>
  <c r="F165" i="7"/>
  <c r="H165" i="7"/>
  <c r="I165" i="7"/>
  <c r="J165" i="7"/>
  <c r="K165" i="7"/>
  <c r="A166" i="7"/>
  <c r="B166" i="7"/>
  <c r="C166" i="7"/>
  <c r="D166" i="7"/>
  <c r="E166" i="7"/>
  <c r="F166" i="7"/>
  <c r="H166" i="7"/>
  <c r="I166" i="7"/>
  <c r="J166" i="7"/>
  <c r="K166" i="7"/>
  <c r="A167" i="7"/>
  <c r="B167" i="7"/>
  <c r="C167" i="7"/>
  <c r="D167" i="7"/>
  <c r="E167" i="7"/>
  <c r="F167" i="7"/>
  <c r="H167" i="7"/>
  <c r="I167" i="7"/>
  <c r="J167" i="7"/>
  <c r="K167" i="7"/>
  <c r="A168" i="7"/>
  <c r="B168" i="7"/>
  <c r="C168" i="7"/>
  <c r="D168" i="7"/>
  <c r="E168" i="7"/>
  <c r="F168" i="7"/>
  <c r="H168" i="7"/>
  <c r="I168" i="7"/>
  <c r="J168" i="7"/>
  <c r="K168" i="7"/>
  <c r="A169" i="7"/>
  <c r="B169" i="7"/>
  <c r="C169" i="7"/>
  <c r="D169" i="7"/>
  <c r="E169" i="7"/>
  <c r="F169" i="7"/>
  <c r="H169" i="7"/>
  <c r="I169" i="7"/>
  <c r="J169" i="7"/>
  <c r="K169" i="7"/>
  <c r="A170" i="7"/>
  <c r="B170" i="7"/>
  <c r="C170" i="7"/>
  <c r="D170" i="7"/>
  <c r="E170" i="7"/>
  <c r="F170" i="7"/>
  <c r="H170" i="7"/>
  <c r="I170" i="7"/>
  <c r="J170" i="7"/>
  <c r="K170" i="7"/>
  <c r="A171" i="7"/>
  <c r="B171" i="7"/>
  <c r="C171" i="7"/>
  <c r="D171" i="7"/>
  <c r="E171" i="7"/>
  <c r="F171" i="7"/>
  <c r="H171" i="7"/>
  <c r="I171" i="7"/>
  <c r="J171" i="7"/>
  <c r="K171" i="7"/>
  <c r="A172" i="7"/>
  <c r="B172" i="7"/>
  <c r="C172" i="7"/>
  <c r="D172" i="7"/>
  <c r="E172" i="7"/>
  <c r="F172" i="7"/>
  <c r="H172" i="7"/>
  <c r="I172" i="7"/>
  <c r="J172" i="7"/>
  <c r="K172" i="7"/>
  <c r="A173" i="7"/>
  <c r="B173" i="7"/>
  <c r="C173" i="7"/>
  <c r="D173" i="7"/>
  <c r="E173" i="7"/>
  <c r="F173" i="7"/>
  <c r="H173" i="7"/>
  <c r="I173" i="7"/>
  <c r="J173" i="7"/>
  <c r="K173" i="7"/>
  <c r="A174" i="7"/>
  <c r="B174" i="7"/>
  <c r="C174" i="7"/>
  <c r="D174" i="7"/>
  <c r="E174" i="7"/>
  <c r="F174" i="7"/>
  <c r="H174" i="7"/>
  <c r="I174" i="7"/>
  <c r="J174" i="7"/>
  <c r="K174" i="7"/>
  <c r="A175" i="7"/>
  <c r="B175" i="7"/>
  <c r="C175" i="7"/>
  <c r="D175" i="7"/>
  <c r="E175" i="7"/>
  <c r="F175" i="7"/>
  <c r="H175" i="7"/>
  <c r="I175" i="7"/>
  <c r="J175" i="7"/>
  <c r="K175" i="7"/>
  <c r="A176" i="7"/>
  <c r="B176" i="7"/>
  <c r="C176" i="7"/>
  <c r="D176" i="7"/>
  <c r="E176" i="7"/>
  <c r="F176" i="7"/>
  <c r="H176" i="7"/>
  <c r="I176" i="7"/>
  <c r="J176" i="7"/>
  <c r="K176" i="7"/>
  <c r="A177" i="7"/>
  <c r="B177" i="7"/>
  <c r="C177" i="7"/>
  <c r="D177" i="7"/>
  <c r="E177" i="7"/>
  <c r="F177" i="7"/>
  <c r="H177" i="7"/>
  <c r="I177" i="7"/>
  <c r="J177" i="7"/>
  <c r="K177" i="7"/>
  <c r="A178" i="7"/>
  <c r="B178" i="7"/>
  <c r="C178" i="7"/>
  <c r="D178" i="7"/>
  <c r="E178" i="7"/>
  <c r="F178" i="7"/>
  <c r="H178" i="7"/>
  <c r="I178" i="7"/>
  <c r="J178" i="7"/>
  <c r="K178" i="7"/>
  <c r="A179" i="7"/>
  <c r="B179" i="7"/>
  <c r="C179" i="7"/>
  <c r="D179" i="7"/>
  <c r="E179" i="7"/>
  <c r="F179" i="7"/>
  <c r="H179" i="7"/>
  <c r="I179" i="7"/>
  <c r="J179" i="7"/>
  <c r="K179" i="7"/>
  <c r="A180" i="7"/>
  <c r="B180" i="7"/>
  <c r="C180" i="7"/>
  <c r="D180" i="7"/>
  <c r="E180" i="7"/>
  <c r="F180" i="7"/>
  <c r="H180" i="7"/>
  <c r="I180" i="7"/>
  <c r="J180" i="7"/>
  <c r="K180" i="7"/>
  <c r="A181" i="7"/>
  <c r="B181" i="7"/>
  <c r="C181" i="7"/>
  <c r="D181" i="7"/>
  <c r="E181" i="7"/>
  <c r="F181" i="7"/>
  <c r="H181" i="7"/>
  <c r="I181" i="7"/>
  <c r="J181" i="7"/>
  <c r="K181" i="7"/>
  <c r="A182" i="7"/>
  <c r="B182" i="7"/>
  <c r="C182" i="7"/>
  <c r="D182" i="7"/>
  <c r="E182" i="7"/>
  <c r="F182" i="7"/>
  <c r="H182" i="7"/>
  <c r="I182" i="7"/>
  <c r="J182" i="7"/>
  <c r="K182" i="7"/>
  <c r="A183" i="7"/>
  <c r="B183" i="7"/>
  <c r="C183" i="7"/>
  <c r="D183" i="7"/>
  <c r="E183" i="7"/>
  <c r="F183" i="7"/>
  <c r="H183" i="7"/>
  <c r="I183" i="7"/>
  <c r="J183" i="7"/>
  <c r="K183" i="7"/>
  <c r="A184" i="7"/>
  <c r="B184" i="7"/>
  <c r="C184" i="7"/>
  <c r="D184" i="7"/>
  <c r="E184" i="7"/>
  <c r="F184" i="7"/>
  <c r="H184" i="7"/>
  <c r="I184" i="7"/>
  <c r="J184" i="7"/>
  <c r="K184" i="7"/>
  <c r="A185" i="7"/>
  <c r="B185" i="7"/>
  <c r="C185" i="7"/>
  <c r="D185" i="7"/>
  <c r="E185" i="7"/>
  <c r="F185" i="7"/>
  <c r="H185" i="7"/>
  <c r="I185" i="7"/>
  <c r="J185" i="7"/>
  <c r="K185" i="7"/>
  <c r="A186" i="7"/>
  <c r="B186" i="7"/>
  <c r="C186" i="7"/>
  <c r="D186" i="7"/>
  <c r="E186" i="7"/>
  <c r="F186" i="7"/>
  <c r="H186" i="7"/>
  <c r="I186" i="7"/>
  <c r="J186" i="7"/>
  <c r="K186" i="7"/>
  <c r="A187" i="7"/>
  <c r="B187" i="7"/>
  <c r="C187" i="7"/>
  <c r="D187" i="7"/>
  <c r="E187" i="7"/>
  <c r="F187" i="7"/>
  <c r="H187" i="7"/>
  <c r="I187" i="7"/>
  <c r="J187" i="7"/>
  <c r="K187" i="7"/>
  <c r="A188" i="7"/>
  <c r="B188" i="7"/>
  <c r="C188" i="7"/>
  <c r="D188" i="7"/>
  <c r="E188" i="7"/>
  <c r="F188" i="7"/>
  <c r="H188" i="7"/>
  <c r="I188" i="7"/>
  <c r="J188" i="7"/>
  <c r="K188" i="7"/>
  <c r="A189" i="7"/>
  <c r="B189" i="7"/>
  <c r="C189" i="7"/>
  <c r="D189" i="7"/>
  <c r="E189" i="7"/>
  <c r="F189" i="7"/>
  <c r="H189" i="7"/>
  <c r="I189" i="7"/>
  <c r="J189" i="7"/>
  <c r="K189" i="7"/>
  <c r="A190" i="7"/>
  <c r="B190" i="7"/>
  <c r="C190" i="7"/>
  <c r="D190" i="7"/>
  <c r="E190" i="7"/>
  <c r="F190" i="7"/>
  <c r="H190" i="7"/>
  <c r="I190" i="7"/>
  <c r="J190" i="7"/>
  <c r="K190" i="7"/>
  <c r="A191" i="7"/>
  <c r="B191" i="7"/>
  <c r="C191" i="7"/>
  <c r="D191" i="7"/>
  <c r="E191" i="7"/>
  <c r="F191" i="7"/>
  <c r="H191" i="7"/>
  <c r="I191" i="7"/>
  <c r="J191" i="7"/>
  <c r="K191" i="7"/>
  <c r="A192" i="7"/>
  <c r="B192" i="7"/>
  <c r="C192" i="7"/>
  <c r="D192" i="7"/>
  <c r="E192" i="7"/>
  <c r="F192" i="7"/>
  <c r="H192" i="7"/>
  <c r="I192" i="7"/>
  <c r="J192" i="7"/>
  <c r="K192" i="7"/>
  <c r="A193" i="7"/>
  <c r="B193" i="7"/>
  <c r="C193" i="7"/>
  <c r="D193" i="7"/>
  <c r="E193" i="7"/>
  <c r="F193" i="7"/>
  <c r="H193" i="7"/>
  <c r="I193" i="7"/>
  <c r="J193" i="7"/>
  <c r="K193" i="7"/>
  <c r="A194" i="7"/>
  <c r="B194" i="7"/>
  <c r="C194" i="7"/>
  <c r="D194" i="7"/>
  <c r="E194" i="7"/>
  <c r="F194" i="7"/>
  <c r="H194" i="7"/>
  <c r="I194" i="7"/>
  <c r="J194" i="7"/>
  <c r="K194" i="7"/>
  <c r="A195" i="7"/>
  <c r="B195" i="7"/>
  <c r="C195" i="7"/>
  <c r="D195" i="7"/>
  <c r="E195" i="7"/>
  <c r="F195" i="7"/>
  <c r="H195" i="7"/>
  <c r="I195" i="7"/>
  <c r="J195" i="7"/>
  <c r="K195" i="7"/>
  <c r="A196" i="7"/>
  <c r="B196" i="7"/>
  <c r="C196" i="7"/>
  <c r="D196" i="7"/>
  <c r="E196" i="7"/>
  <c r="F196" i="7"/>
  <c r="H196" i="7"/>
  <c r="I196" i="7"/>
  <c r="J196" i="7"/>
  <c r="K196" i="7"/>
  <c r="A197" i="7"/>
  <c r="B197" i="7"/>
  <c r="C197" i="7"/>
  <c r="D197" i="7"/>
  <c r="E197" i="7"/>
  <c r="F197" i="7"/>
  <c r="H197" i="7"/>
  <c r="I197" i="7"/>
  <c r="J197" i="7"/>
  <c r="K197" i="7"/>
  <c r="A198" i="7"/>
  <c r="B198" i="7"/>
  <c r="C198" i="7"/>
  <c r="D198" i="7"/>
  <c r="E198" i="7"/>
  <c r="F198" i="7"/>
  <c r="H198" i="7"/>
  <c r="I198" i="7"/>
  <c r="J198" i="7"/>
  <c r="K198" i="7"/>
  <c r="A199" i="7"/>
  <c r="B199" i="7"/>
  <c r="C199" i="7"/>
  <c r="D199" i="7"/>
  <c r="E199" i="7"/>
  <c r="F199" i="7"/>
  <c r="H199" i="7"/>
  <c r="I199" i="7"/>
  <c r="J199" i="7"/>
  <c r="K199" i="7"/>
  <c r="A200" i="7"/>
  <c r="B200" i="7"/>
  <c r="C200" i="7"/>
  <c r="D200" i="7"/>
  <c r="E200" i="7"/>
  <c r="F200" i="7"/>
  <c r="H200" i="7"/>
  <c r="I200" i="7"/>
  <c r="J200" i="7"/>
  <c r="K200" i="7"/>
  <c r="A201" i="7"/>
  <c r="B201" i="7"/>
  <c r="C201" i="7"/>
  <c r="D201" i="7"/>
  <c r="E201" i="7"/>
  <c r="F201" i="7"/>
  <c r="H201" i="7"/>
  <c r="I201" i="7"/>
  <c r="J201" i="7"/>
  <c r="K201" i="7"/>
  <c r="A202" i="7"/>
  <c r="B202" i="7"/>
  <c r="C202" i="7"/>
  <c r="D202" i="7"/>
  <c r="E202" i="7"/>
  <c r="F202" i="7"/>
  <c r="H202" i="7"/>
  <c r="I202" i="7"/>
  <c r="J202" i="7"/>
  <c r="K202" i="7"/>
  <c r="A203" i="7"/>
  <c r="B203" i="7"/>
  <c r="C203" i="7"/>
  <c r="D203" i="7"/>
  <c r="E203" i="7"/>
  <c r="F203" i="7"/>
  <c r="H203" i="7"/>
  <c r="I203" i="7"/>
  <c r="J203" i="7"/>
  <c r="K203" i="7"/>
  <c r="A204" i="7"/>
  <c r="B204" i="7"/>
  <c r="C204" i="7"/>
  <c r="D204" i="7"/>
  <c r="E204" i="7"/>
  <c r="F204" i="7"/>
  <c r="H204" i="7"/>
  <c r="I204" i="7"/>
  <c r="J204" i="7"/>
  <c r="K204" i="7"/>
  <c r="A205" i="7"/>
  <c r="B205" i="7"/>
  <c r="C205" i="7"/>
  <c r="D205" i="7"/>
  <c r="E205" i="7"/>
  <c r="F205" i="7"/>
  <c r="H205" i="7"/>
  <c r="I205" i="7"/>
  <c r="J205" i="7"/>
  <c r="K205" i="7"/>
  <c r="A206" i="7"/>
  <c r="B206" i="7"/>
  <c r="C206" i="7"/>
  <c r="D206" i="7"/>
  <c r="E206" i="7"/>
  <c r="F206" i="7"/>
  <c r="H206" i="7"/>
  <c r="I206" i="7"/>
  <c r="J206" i="7"/>
  <c r="K206" i="7"/>
  <c r="A207" i="7"/>
  <c r="B207" i="7"/>
  <c r="C207" i="7"/>
  <c r="D207" i="7"/>
  <c r="E207" i="7"/>
  <c r="F207" i="7"/>
  <c r="H207" i="7"/>
  <c r="I207" i="7"/>
  <c r="J207" i="7"/>
  <c r="K207" i="7"/>
  <c r="A208" i="7"/>
  <c r="B208" i="7"/>
  <c r="C208" i="7"/>
  <c r="D208" i="7"/>
  <c r="E208" i="7"/>
  <c r="F208" i="7"/>
  <c r="H208" i="7"/>
  <c r="I208" i="7"/>
  <c r="J208" i="7"/>
  <c r="K208" i="7"/>
  <c r="A209" i="7"/>
  <c r="B209" i="7"/>
  <c r="C209" i="7"/>
  <c r="D209" i="7"/>
  <c r="E209" i="7"/>
  <c r="F209" i="7"/>
  <c r="H209" i="7"/>
  <c r="I209" i="7"/>
  <c r="J209" i="7"/>
  <c r="K209" i="7"/>
  <c r="A210" i="7"/>
  <c r="B210" i="7"/>
  <c r="C210" i="7"/>
  <c r="D210" i="7"/>
  <c r="E210" i="7"/>
  <c r="F210" i="7"/>
  <c r="H210" i="7"/>
  <c r="I210" i="7"/>
  <c r="J210" i="7"/>
  <c r="K210" i="7"/>
  <c r="A211" i="7"/>
  <c r="B211" i="7"/>
  <c r="C211" i="7"/>
  <c r="D211" i="7"/>
  <c r="E211" i="7"/>
  <c r="F211" i="7"/>
  <c r="H211" i="7"/>
  <c r="I211" i="7"/>
  <c r="J211" i="7"/>
  <c r="K211" i="7"/>
  <c r="A212" i="7"/>
  <c r="B212" i="7"/>
  <c r="C212" i="7"/>
  <c r="D212" i="7"/>
  <c r="E212" i="7"/>
  <c r="F212" i="7"/>
  <c r="H212" i="7"/>
  <c r="I212" i="7"/>
  <c r="J212" i="7"/>
  <c r="K212" i="7"/>
  <c r="A213" i="7"/>
  <c r="B213" i="7"/>
  <c r="C213" i="7"/>
  <c r="D213" i="7"/>
  <c r="E213" i="7"/>
  <c r="F213" i="7"/>
  <c r="H213" i="7"/>
  <c r="I213" i="7"/>
  <c r="J213" i="7"/>
  <c r="K213" i="7"/>
  <c r="A214" i="7"/>
  <c r="B214" i="7"/>
  <c r="C214" i="7"/>
  <c r="D214" i="7"/>
  <c r="E214" i="7"/>
  <c r="F214" i="7"/>
  <c r="H214" i="7"/>
  <c r="I214" i="7"/>
  <c r="J214" i="7"/>
  <c r="K214" i="7"/>
  <c r="A215" i="7"/>
  <c r="B215" i="7"/>
  <c r="C215" i="7"/>
  <c r="D215" i="7"/>
  <c r="E215" i="7"/>
  <c r="F215" i="7"/>
  <c r="H215" i="7"/>
  <c r="I215" i="7"/>
  <c r="J215" i="7"/>
  <c r="K215" i="7"/>
  <c r="A216" i="7"/>
  <c r="B216" i="7"/>
  <c r="C216" i="7"/>
  <c r="D216" i="7"/>
  <c r="E216" i="7"/>
  <c r="F216" i="7"/>
  <c r="H216" i="7"/>
  <c r="I216" i="7"/>
  <c r="J216" i="7"/>
  <c r="K216" i="7"/>
  <c r="A217" i="7"/>
  <c r="B217" i="7"/>
  <c r="C217" i="7"/>
  <c r="D217" i="7"/>
  <c r="E217" i="7"/>
  <c r="F217" i="7"/>
  <c r="H217" i="7"/>
  <c r="I217" i="7"/>
  <c r="J217" i="7"/>
  <c r="K217" i="7"/>
  <c r="A218" i="7"/>
  <c r="B218" i="7"/>
  <c r="C218" i="7"/>
  <c r="D218" i="7"/>
  <c r="E218" i="7"/>
  <c r="F218" i="7"/>
  <c r="H218" i="7"/>
  <c r="I218" i="7"/>
  <c r="J218" i="7"/>
  <c r="K218" i="7"/>
  <c r="A219" i="7"/>
  <c r="B219" i="7"/>
  <c r="C219" i="7"/>
  <c r="D219" i="7"/>
  <c r="E219" i="7"/>
  <c r="F219" i="7"/>
  <c r="H219" i="7"/>
  <c r="I219" i="7"/>
  <c r="J219" i="7"/>
  <c r="K219" i="7"/>
  <c r="A220" i="7"/>
  <c r="B220" i="7"/>
  <c r="C220" i="7"/>
  <c r="D220" i="7"/>
  <c r="E220" i="7"/>
  <c r="F220" i="7"/>
  <c r="H220" i="7"/>
  <c r="I220" i="7"/>
  <c r="J220" i="7"/>
  <c r="K220" i="7"/>
  <c r="A221" i="7"/>
  <c r="B221" i="7"/>
  <c r="C221" i="7"/>
  <c r="D221" i="7"/>
  <c r="E221" i="7"/>
  <c r="F221" i="7"/>
  <c r="H221" i="7"/>
  <c r="I221" i="7"/>
  <c r="J221" i="7"/>
  <c r="K221" i="7"/>
  <c r="A222" i="7"/>
  <c r="B222" i="7"/>
  <c r="C222" i="7"/>
  <c r="D222" i="7"/>
  <c r="E222" i="7"/>
  <c r="F222" i="7"/>
  <c r="H222" i="7"/>
  <c r="I222" i="7"/>
  <c r="J222" i="7"/>
  <c r="K222" i="7"/>
  <c r="A223" i="7"/>
  <c r="B223" i="7"/>
  <c r="C223" i="7"/>
  <c r="D223" i="7"/>
  <c r="E223" i="7"/>
  <c r="F223" i="7"/>
  <c r="H223" i="7"/>
  <c r="I223" i="7"/>
  <c r="J223" i="7"/>
  <c r="K223" i="7"/>
  <c r="A224" i="7"/>
  <c r="B224" i="7"/>
  <c r="C224" i="7"/>
  <c r="D224" i="7"/>
  <c r="E224" i="7"/>
  <c r="F224" i="7"/>
  <c r="H224" i="7"/>
  <c r="I224" i="7"/>
  <c r="J224" i="7"/>
  <c r="K224" i="7"/>
  <c r="A225" i="7"/>
  <c r="B225" i="7"/>
  <c r="C225" i="7"/>
  <c r="D225" i="7"/>
  <c r="E225" i="7"/>
  <c r="F225" i="7"/>
  <c r="H225" i="7"/>
  <c r="I225" i="7"/>
  <c r="J225" i="7"/>
  <c r="K225" i="7"/>
  <c r="A226" i="7"/>
  <c r="B226" i="7"/>
  <c r="C226" i="7"/>
  <c r="D226" i="7"/>
  <c r="E226" i="7"/>
  <c r="F226" i="7"/>
  <c r="H226" i="7"/>
  <c r="I226" i="7"/>
  <c r="J226" i="7"/>
  <c r="K226" i="7"/>
  <c r="A227" i="7"/>
  <c r="B227" i="7"/>
  <c r="C227" i="7"/>
  <c r="D227" i="7"/>
  <c r="E227" i="7"/>
  <c r="F227" i="7"/>
  <c r="H227" i="7"/>
  <c r="I227" i="7"/>
  <c r="J227" i="7"/>
  <c r="K227" i="7"/>
  <c r="A228" i="7"/>
  <c r="B228" i="7"/>
  <c r="C228" i="7"/>
  <c r="D228" i="7"/>
  <c r="E228" i="7"/>
  <c r="F228" i="7"/>
  <c r="H228" i="7"/>
  <c r="I228" i="7"/>
  <c r="J228" i="7"/>
  <c r="K228" i="7"/>
  <c r="A229" i="7"/>
  <c r="B229" i="7"/>
  <c r="C229" i="7"/>
  <c r="D229" i="7"/>
  <c r="E229" i="7"/>
  <c r="F229" i="7"/>
  <c r="H229" i="7"/>
  <c r="I229" i="7"/>
  <c r="J229" i="7"/>
  <c r="K229" i="7"/>
  <c r="A230" i="7"/>
  <c r="B230" i="7"/>
  <c r="C230" i="7"/>
  <c r="D230" i="7"/>
  <c r="E230" i="7"/>
  <c r="F230" i="7"/>
  <c r="H230" i="7"/>
  <c r="I230" i="7"/>
  <c r="J230" i="7"/>
  <c r="K230" i="7"/>
  <c r="A231" i="7"/>
  <c r="B231" i="7"/>
  <c r="C231" i="7"/>
  <c r="D231" i="7"/>
  <c r="E231" i="7"/>
  <c r="F231" i="7"/>
  <c r="H231" i="7"/>
  <c r="I231" i="7"/>
  <c r="J231" i="7"/>
  <c r="K231" i="7"/>
  <c r="A232" i="7"/>
  <c r="B232" i="7"/>
  <c r="C232" i="7"/>
  <c r="D232" i="7"/>
  <c r="E232" i="7"/>
  <c r="F232" i="7"/>
  <c r="H232" i="7"/>
  <c r="I232" i="7"/>
  <c r="J232" i="7"/>
  <c r="K232" i="7"/>
  <c r="A233" i="7"/>
  <c r="B233" i="7"/>
  <c r="C233" i="7"/>
  <c r="D233" i="7"/>
  <c r="E233" i="7"/>
  <c r="F233" i="7"/>
  <c r="H233" i="7"/>
  <c r="I233" i="7"/>
  <c r="J233" i="7"/>
  <c r="K233" i="7"/>
  <c r="A234" i="7"/>
  <c r="B234" i="7"/>
  <c r="C234" i="7"/>
  <c r="D234" i="7"/>
  <c r="E234" i="7"/>
  <c r="F234" i="7"/>
  <c r="H234" i="7"/>
  <c r="I234" i="7"/>
  <c r="J234" i="7"/>
  <c r="K234" i="7"/>
  <c r="A235" i="7"/>
  <c r="B235" i="7"/>
  <c r="C235" i="7"/>
  <c r="D235" i="7"/>
  <c r="E235" i="7"/>
  <c r="F235" i="7"/>
  <c r="H235" i="7"/>
  <c r="I235" i="7"/>
  <c r="J235" i="7"/>
  <c r="K235" i="7"/>
  <c r="A236" i="7"/>
  <c r="B236" i="7"/>
  <c r="C236" i="7"/>
  <c r="D236" i="7"/>
  <c r="E236" i="7"/>
  <c r="F236" i="7"/>
  <c r="H236" i="7"/>
  <c r="I236" i="7"/>
  <c r="J236" i="7"/>
  <c r="K236" i="7"/>
  <c r="A237" i="7"/>
  <c r="B237" i="7"/>
  <c r="C237" i="7"/>
  <c r="D237" i="7"/>
  <c r="E237" i="7"/>
  <c r="F237" i="7"/>
  <c r="H237" i="7"/>
  <c r="I237" i="7"/>
  <c r="J237" i="7"/>
  <c r="K237" i="7"/>
  <c r="A238" i="7"/>
  <c r="B238" i="7"/>
  <c r="C238" i="7"/>
  <c r="D238" i="7"/>
  <c r="E238" i="7"/>
  <c r="F238" i="7"/>
  <c r="H238" i="7"/>
  <c r="I238" i="7"/>
  <c r="J238" i="7"/>
  <c r="K238" i="7"/>
  <c r="A239" i="7"/>
  <c r="B239" i="7"/>
  <c r="C239" i="7"/>
  <c r="D239" i="7"/>
  <c r="E239" i="7"/>
  <c r="F239" i="7"/>
  <c r="H239" i="7"/>
  <c r="I239" i="7"/>
  <c r="J239" i="7"/>
  <c r="K239" i="7"/>
  <c r="A240" i="7"/>
  <c r="B240" i="7"/>
  <c r="C240" i="7"/>
  <c r="D240" i="7"/>
  <c r="E240" i="7"/>
  <c r="F240" i="7"/>
  <c r="H240" i="7"/>
  <c r="I240" i="7"/>
  <c r="J240" i="7"/>
  <c r="K240" i="7"/>
  <c r="A241" i="7"/>
  <c r="B241" i="7"/>
  <c r="C241" i="7"/>
  <c r="D241" i="7"/>
  <c r="E241" i="7"/>
  <c r="F241" i="7"/>
  <c r="H241" i="7"/>
  <c r="I241" i="7"/>
  <c r="J241" i="7"/>
  <c r="K241" i="7"/>
  <c r="A242" i="7"/>
  <c r="B242" i="7"/>
  <c r="C242" i="7"/>
  <c r="D242" i="7"/>
  <c r="E242" i="7"/>
  <c r="F242" i="7"/>
  <c r="H242" i="7"/>
  <c r="I242" i="7"/>
  <c r="J242" i="7"/>
  <c r="K242" i="7"/>
  <c r="A243" i="7"/>
  <c r="B243" i="7"/>
  <c r="C243" i="7"/>
  <c r="D243" i="7"/>
  <c r="E243" i="7"/>
  <c r="F243" i="7"/>
  <c r="H243" i="7"/>
  <c r="I243" i="7"/>
  <c r="J243" i="7"/>
  <c r="K243" i="7"/>
  <c r="A244" i="7"/>
  <c r="B244" i="7"/>
  <c r="C244" i="7"/>
  <c r="D244" i="7"/>
  <c r="E244" i="7"/>
  <c r="F244" i="7"/>
  <c r="H244" i="7"/>
  <c r="I244" i="7"/>
  <c r="J244" i="7"/>
  <c r="K244" i="7"/>
  <c r="A245" i="7"/>
  <c r="B245" i="7"/>
  <c r="C245" i="7"/>
  <c r="D245" i="7"/>
  <c r="E245" i="7"/>
  <c r="F245" i="7"/>
  <c r="H245" i="7"/>
  <c r="I245" i="7"/>
  <c r="J245" i="7"/>
  <c r="K245" i="7"/>
  <c r="A246" i="7"/>
  <c r="B246" i="7"/>
  <c r="C246" i="7"/>
  <c r="D246" i="7"/>
  <c r="E246" i="7"/>
  <c r="F246" i="7"/>
  <c r="H246" i="7"/>
  <c r="I246" i="7"/>
  <c r="J246" i="7"/>
  <c r="K246" i="7"/>
  <c r="A247" i="7"/>
  <c r="B247" i="7"/>
  <c r="C247" i="7"/>
  <c r="D247" i="7"/>
  <c r="E247" i="7"/>
  <c r="F247" i="7"/>
  <c r="H247" i="7"/>
  <c r="I247" i="7"/>
  <c r="J247" i="7"/>
  <c r="K247" i="7"/>
  <c r="A248" i="7"/>
  <c r="B248" i="7"/>
  <c r="C248" i="7"/>
  <c r="D248" i="7"/>
  <c r="E248" i="7"/>
  <c r="F248" i="7"/>
  <c r="H248" i="7"/>
  <c r="I248" i="7"/>
  <c r="J248" i="7"/>
  <c r="K248" i="7"/>
  <c r="A249" i="7"/>
  <c r="B249" i="7"/>
  <c r="C249" i="7"/>
  <c r="D249" i="7"/>
  <c r="E249" i="7"/>
  <c r="F249" i="7"/>
  <c r="H249" i="7"/>
  <c r="I249" i="7"/>
  <c r="J249" i="7"/>
  <c r="K249" i="7"/>
  <c r="A250" i="7"/>
  <c r="B250" i="7"/>
  <c r="C250" i="7"/>
  <c r="D250" i="7"/>
  <c r="E250" i="7"/>
  <c r="F250" i="7"/>
  <c r="H250" i="7"/>
  <c r="I250" i="7"/>
  <c r="J250" i="7"/>
  <c r="K250" i="7"/>
  <c r="A251" i="7"/>
  <c r="B251" i="7"/>
  <c r="C251" i="7"/>
  <c r="D251" i="7"/>
  <c r="E251" i="7"/>
  <c r="F251" i="7"/>
  <c r="H251" i="7"/>
  <c r="I251" i="7"/>
  <c r="J251" i="7"/>
  <c r="K251" i="7"/>
  <c r="A252" i="7"/>
  <c r="B252" i="7"/>
  <c r="C252" i="7"/>
  <c r="D252" i="7"/>
  <c r="E252" i="7"/>
  <c r="F252" i="7"/>
  <c r="H252" i="7"/>
  <c r="I252" i="7"/>
  <c r="J252" i="7"/>
  <c r="K252" i="7"/>
  <c r="A253" i="7"/>
  <c r="B253" i="7"/>
  <c r="C253" i="7"/>
  <c r="D253" i="7"/>
  <c r="E253" i="7"/>
  <c r="F253" i="7"/>
  <c r="H253" i="7"/>
  <c r="I253" i="7"/>
  <c r="J253" i="7"/>
  <c r="K253" i="7"/>
  <c r="A254" i="7"/>
  <c r="B254" i="7"/>
  <c r="C254" i="7"/>
  <c r="D254" i="7"/>
  <c r="E254" i="7"/>
  <c r="F254" i="7"/>
  <c r="H254" i="7"/>
  <c r="I254" i="7"/>
  <c r="J254" i="7"/>
  <c r="K254" i="7"/>
  <c r="A255" i="7"/>
  <c r="B255" i="7"/>
  <c r="C255" i="7"/>
  <c r="D255" i="7"/>
  <c r="E255" i="7"/>
  <c r="F255" i="7"/>
  <c r="H255" i="7"/>
  <c r="I255" i="7"/>
  <c r="J255" i="7"/>
  <c r="K255" i="7"/>
  <c r="A256" i="7"/>
  <c r="B256" i="7"/>
  <c r="C256" i="7"/>
  <c r="D256" i="7"/>
  <c r="E256" i="7"/>
  <c r="F256" i="7"/>
  <c r="H256" i="7"/>
  <c r="I256" i="7"/>
  <c r="J256" i="7"/>
  <c r="K256" i="7"/>
  <c r="A257" i="7"/>
  <c r="B257" i="7"/>
  <c r="C257" i="7"/>
  <c r="D257" i="7"/>
  <c r="E257" i="7"/>
  <c r="F257" i="7"/>
  <c r="H257" i="7"/>
  <c r="I257" i="7"/>
  <c r="J257" i="7"/>
  <c r="K257" i="7"/>
  <c r="A258" i="7"/>
  <c r="B258" i="7"/>
  <c r="C258" i="7"/>
  <c r="D258" i="7"/>
  <c r="E258" i="7"/>
  <c r="F258" i="7"/>
  <c r="H258" i="7"/>
  <c r="I258" i="7"/>
  <c r="J258" i="7"/>
  <c r="K258" i="7"/>
  <c r="A259" i="7"/>
  <c r="B259" i="7"/>
  <c r="C259" i="7"/>
  <c r="D259" i="7"/>
  <c r="E259" i="7"/>
  <c r="F259" i="7"/>
  <c r="H259" i="7"/>
  <c r="I259" i="7"/>
  <c r="J259" i="7"/>
  <c r="K259" i="7"/>
  <c r="A260" i="7"/>
  <c r="B260" i="7"/>
  <c r="C260" i="7"/>
  <c r="D260" i="7"/>
  <c r="E260" i="7"/>
  <c r="F260" i="7"/>
  <c r="H260" i="7"/>
  <c r="I260" i="7"/>
  <c r="J260" i="7"/>
  <c r="K260" i="7"/>
  <c r="A261" i="7"/>
  <c r="B261" i="7"/>
  <c r="C261" i="7"/>
  <c r="D261" i="7"/>
  <c r="E261" i="7"/>
  <c r="F261" i="7"/>
  <c r="H261" i="7"/>
  <c r="I261" i="7"/>
  <c r="J261" i="7"/>
  <c r="K261" i="7"/>
  <c r="A262" i="7"/>
  <c r="B262" i="7"/>
  <c r="C262" i="7"/>
  <c r="D262" i="7"/>
  <c r="E262" i="7"/>
  <c r="F262" i="7"/>
  <c r="H262" i="7"/>
  <c r="I262" i="7"/>
  <c r="J262" i="7"/>
  <c r="K262" i="7"/>
  <c r="A263" i="7"/>
  <c r="B263" i="7"/>
  <c r="C263" i="7"/>
  <c r="D263" i="7"/>
  <c r="E263" i="7"/>
  <c r="F263" i="7"/>
  <c r="H263" i="7"/>
  <c r="I263" i="7"/>
  <c r="J263" i="7"/>
  <c r="K263" i="7"/>
  <c r="A264" i="7"/>
  <c r="B264" i="7"/>
  <c r="C264" i="7"/>
  <c r="D264" i="7"/>
  <c r="E264" i="7"/>
  <c r="F264" i="7"/>
  <c r="H264" i="7"/>
  <c r="I264" i="7"/>
  <c r="J264" i="7"/>
  <c r="K264" i="7"/>
  <c r="A265" i="7"/>
  <c r="B265" i="7"/>
  <c r="C265" i="7"/>
  <c r="D265" i="7"/>
  <c r="E265" i="7"/>
  <c r="F265" i="7"/>
  <c r="H265" i="7"/>
  <c r="I265" i="7"/>
  <c r="J265" i="7"/>
  <c r="K265" i="7"/>
  <c r="A266" i="7"/>
  <c r="B266" i="7"/>
  <c r="C266" i="7"/>
  <c r="D266" i="7"/>
  <c r="E266" i="7"/>
  <c r="F266" i="7"/>
  <c r="H266" i="7"/>
  <c r="I266" i="7"/>
  <c r="J266" i="7"/>
  <c r="K266" i="7"/>
  <c r="A267" i="7"/>
  <c r="B267" i="7"/>
  <c r="C267" i="7"/>
  <c r="D267" i="7"/>
  <c r="E267" i="7"/>
  <c r="F267" i="7"/>
  <c r="H267" i="7"/>
  <c r="I267" i="7"/>
  <c r="J267" i="7"/>
  <c r="K267" i="7"/>
  <c r="A268" i="7"/>
  <c r="B268" i="7"/>
  <c r="C268" i="7"/>
  <c r="D268" i="7"/>
  <c r="E268" i="7"/>
  <c r="F268" i="7"/>
  <c r="H268" i="7"/>
  <c r="I268" i="7"/>
  <c r="J268" i="7"/>
  <c r="K268" i="7"/>
  <c r="A269" i="7"/>
  <c r="B269" i="7"/>
  <c r="C269" i="7"/>
  <c r="D269" i="7"/>
  <c r="E269" i="7"/>
  <c r="F269" i="7"/>
  <c r="H269" i="7"/>
  <c r="I269" i="7"/>
  <c r="J269" i="7"/>
  <c r="K269" i="7"/>
  <c r="A270" i="7"/>
  <c r="B270" i="7"/>
  <c r="C270" i="7"/>
  <c r="D270" i="7"/>
  <c r="E270" i="7"/>
  <c r="F270" i="7"/>
  <c r="H270" i="7"/>
  <c r="I270" i="7"/>
  <c r="J270" i="7"/>
  <c r="K270" i="7"/>
  <c r="D274" i="7"/>
  <c r="E274" i="7"/>
  <c r="I274" i="7"/>
  <c r="C274" i="7"/>
  <c r="F274" i="7"/>
  <c r="K274" i="7"/>
  <c r="B274" i="7"/>
  <c r="H274" i="7"/>
  <c r="J274" i="7"/>
  <c r="A274" i="7"/>
  <c r="B284" i="7"/>
  <c r="E284" i="7"/>
  <c r="D284" i="7"/>
  <c r="I284" i="7"/>
  <c r="J284" i="7"/>
  <c r="A284" i="7"/>
  <c r="H284" i="7"/>
  <c r="C284" i="7"/>
  <c r="F284" i="7"/>
  <c r="K284" i="7"/>
  <c r="F285" i="7"/>
  <c r="I285" i="7"/>
  <c r="A285" i="7"/>
  <c r="D285" i="7"/>
  <c r="H285" i="7"/>
  <c r="J285" i="7"/>
  <c r="B285" i="7"/>
  <c r="E285" i="7"/>
  <c r="K285" i="7"/>
  <c r="C285" i="7"/>
  <c r="A294" i="7"/>
  <c r="D294" i="7"/>
  <c r="C294" i="7"/>
  <c r="F294" i="7"/>
  <c r="J294" i="7"/>
  <c r="H294" i="7"/>
  <c r="K294" i="7"/>
  <c r="B294" i="7"/>
  <c r="E294" i="7"/>
  <c r="I294" i="7"/>
  <c r="B297" i="7"/>
  <c r="H297" i="7"/>
  <c r="E297" i="7"/>
  <c r="I297" i="7"/>
  <c r="D297" i="7"/>
  <c r="K297" i="7"/>
  <c r="F297" i="7"/>
  <c r="J297" i="7"/>
  <c r="A297" i="7"/>
  <c r="C297" i="7"/>
  <c r="E305" i="7"/>
  <c r="F305" i="7"/>
  <c r="J305" i="7"/>
  <c r="C305" i="7"/>
  <c r="I305" i="7"/>
  <c r="K305" i="7"/>
  <c r="A305" i="7"/>
  <c r="D305" i="7"/>
  <c r="H305" i="7"/>
  <c r="B305" i="7"/>
  <c r="E307" i="7"/>
  <c r="H307" i="7"/>
  <c r="K307" i="7"/>
  <c r="C307" i="7"/>
  <c r="A307" i="7"/>
  <c r="D307" i="7"/>
  <c r="J307" i="7"/>
  <c r="B307" i="7"/>
  <c r="F307" i="7"/>
  <c r="I307" i="7"/>
  <c r="C314" i="7"/>
  <c r="F314" i="7"/>
  <c r="J314" i="7"/>
  <c r="A314" i="7"/>
  <c r="I314" i="7"/>
  <c r="K314" i="7"/>
  <c r="D314" i="7"/>
  <c r="B314" i="7"/>
  <c r="E314" i="7"/>
  <c r="H314" i="7"/>
  <c r="D317" i="7"/>
  <c r="B317" i="7"/>
  <c r="E317" i="7"/>
  <c r="H317" i="7"/>
  <c r="K317" i="7"/>
  <c r="F317" i="7"/>
  <c r="J317" i="7"/>
  <c r="C317" i="7"/>
  <c r="I317" i="7"/>
  <c r="A317" i="7"/>
  <c r="J336" i="7"/>
  <c r="B336" i="7"/>
  <c r="I336" i="7"/>
  <c r="C336" i="7"/>
  <c r="F336" i="7"/>
  <c r="A336" i="7"/>
  <c r="D336" i="7"/>
  <c r="H336" i="7"/>
  <c r="E336" i="7"/>
  <c r="K336" i="7"/>
  <c r="D338" i="7"/>
  <c r="F338" i="7"/>
  <c r="J338" i="7"/>
  <c r="A338" i="7"/>
  <c r="E338" i="7"/>
  <c r="K338" i="7"/>
  <c r="B338" i="7"/>
  <c r="H338" i="7"/>
  <c r="C338" i="7"/>
  <c r="I338" i="7"/>
  <c r="C343" i="7"/>
  <c r="E343" i="7"/>
  <c r="F343" i="7"/>
  <c r="H343" i="7"/>
  <c r="K343" i="7"/>
  <c r="D343" i="7"/>
  <c r="I343" i="7"/>
  <c r="B343" i="7"/>
  <c r="J343" i="7"/>
  <c r="A343" i="7"/>
  <c r="C354" i="7"/>
  <c r="J354" i="7"/>
  <c r="A354" i="7"/>
  <c r="E354" i="7"/>
  <c r="I354" i="7"/>
  <c r="D354" i="7"/>
  <c r="F354" i="7"/>
  <c r="B354" i="7"/>
  <c r="H354" i="7"/>
  <c r="K354" i="7"/>
  <c r="B356" i="7"/>
  <c r="K356" i="7"/>
  <c r="A356" i="7"/>
  <c r="E356" i="7"/>
  <c r="I356" i="7"/>
  <c r="C356" i="7"/>
  <c r="F356" i="7"/>
  <c r="J356" i="7"/>
  <c r="D356" i="7"/>
  <c r="H356" i="7"/>
  <c r="C370" i="7"/>
  <c r="F370" i="7"/>
  <c r="J370" i="7"/>
  <c r="H370" i="7"/>
  <c r="B370" i="7"/>
  <c r="E370" i="7"/>
  <c r="I370" i="7"/>
  <c r="D370" i="7"/>
  <c r="K370" i="7"/>
  <c r="A370" i="7"/>
  <c r="A371" i="7"/>
  <c r="D371" i="7"/>
  <c r="H371" i="7"/>
  <c r="K371" i="7"/>
  <c r="C371" i="7"/>
  <c r="F371" i="7"/>
  <c r="J371" i="7"/>
  <c r="B371" i="7"/>
  <c r="E371" i="7"/>
  <c r="I371" i="7"/>
  <c r="F374" i="7"/>
  <c r="K374" i="7"/>
  <c r="B374" i="7"/>
  <c r="I374" i="7"/>
  <c r="C374" i="7"/>
  <c r="E374" i="7"/>
  <c r="J374" i="7"/>
  <c r="A374" i="7"/>
  <c r="D374" i="7"/>
  <c r="H374" i="7"/>
  <c r="C380" i="7"/>
  <c r="F380" i="7"/>
  <c r="K380" i="7"/>
  <c r="B380" i="7"/>
  <c r="J380" i="7"/>
  <c r="A380" i="7"/>
  <c r="E380" i="7"/>
  <c r="I380" i="7"/>
  <c r="D380" i="7"/>
  <c r="H380" i="7"/>
  <c r="C382" i="7"/>
  <c r="F382" i="7"/>
  <c r="J382" i="7"/>
  <c r="D382" i="7"/>
  <c r="E382" i="7"/>
  <c r="I382" i="7"/>
  <c r="A382" i="7"/>
  <c r="H382" i="7"/>
  <c r="K382" i="7"/>
  <c r="B382" i="7"/>
  <c r="E383" i="7"/>
  <c r="I383" i="7"/>
  <c r="F383" i="7"/>
  <c r="K383" i="7"/>
  <c r="A383" i="7"/>
  <c r="C383" i="7"/>
  <c r="J383" i="7"/>
  <c r="D383" i="7"/>
  <c r="H383" i="7"/>
  <c r="B383" i="7"/>
  <c r="B386" i="7"/>
  <c r="E386" i="7"/>
  <c r="I386" i="7"/>
  <c r="C386" i="7"/>
  <c r="F386" i="7"/>
  <c r="K386" i="7"/>
  <c r="A386" i="7"/>
  <c r="D386" i="7"/>
  <c r="J386" i="7"/>
  <c r="H386" i="7"/>
  <c r="E395" i="7"/>
  <c r="C395" i="7"/>
  <c r="H395" i="7"/>
  <c r="K395" i="7"/>
  <c r="A395" i="7"/>
  <c r="I395" i="7"/>
  <c r="D395" i="7"/>
  <c r="F395" i="7"/>
  <c r="J395" i="7"/>
  <c r="B395" i="7"/>
  <c r="A398" i="7"/>
  <c r="E398" i="7"/>
  <c r="J398" i="7"/>
  <c r="C398" i="7"/>
  <c r="I398" i="7"/>
  <c r="D398" i="7"/>
  <c r="H398" i="7"/>
  <c r="F398" i="7"/>
  <c r="K398" i="7"/>
  <c r="B398" i="7"/>
  <c r="C400" i="7"/>
  <c r="H400" i="7"/>
  <c r="B400" i="7"/>
  <c r="E400" i="7"/>
  <c r="J400" i="7"/>
  <c r="F400" i="7"/>
  <c r="K400" i="7"/>
  <c r="A400" i="7"/>
  <c r="D400" i="7"/>
  <c r="I400" i="7"/>
  <c r="B401" i="7"/>
  <c r="D401" i="7"/>
  <c r="I401" i="7"/>
  <c r="A401" i="7"/>
  <c r="K401" i="7"/>
  <c r="F401" i="7"/>
  <c r="J401" i="7"/>
  <c r="C401" i="7"/>
  <c r="E401" i="7"/>
  <c r="H401" i="7"/>
  <c r="E405" i="7"/>
  <c r="J405" i="7"/>
  <c r="D405" i="7"/>
  <c r="I405" i="7"/>
  <c r="B405" i="7"/>
  <c r="F405" i="7"/>
  <c r="K405" i="7"/>
  <c r="C405" i="7"/>
  <c r="H405" i="7"/>
  <c r="A405" i="7"/>
  <c r="D407" i="7"/>
  <c r="I407" i="7"/>
  <c r="B407" i="7"/>
  <c r="F407" i="7"/>
  <c r="E407" i="7"/>
  <c r="J407" i="7"/>
  <c r="C407" i="7"/>
  <c r="H407" i="7"/>
  <c r="K407" i="7"/>
  <c r="A407" i="7"/>
  <c r="A415" i="7"/>
  <c r="E415" i="7"/>
  <c r="I415" i="7"/>
  <c r="B415" i="7"/>
  <c r="H415" i="7"/>
  <c r="C415" i="7"/>
  <c r="J415" i="7"/>
  <c r="D415" i="7"/>
  <c r="F415" i="7"/>
  <c r="K415" i="7"/>
  <c r="B420" i="7"/>
  <c r="E420" i="7"/>
  <c r="I420" i="7"/>
  <c r="A420" i="7"/>
  <c r="F420" i="7"/>
  <c r="D420" i="7"/>
  <c r="J420" i="7"/>
  <c r="C420" i="7"/>
  <c r="H420" i="7"/>
  <c r="K420" i="7"/>
  <c r="E430" i="7"/>
  <c r="I430" i="7"/>
  <c r="B430" i="7"/>
  <c r="H430" i="7"/>
  <c r="K430" i="7"/>
  <c r="C430" i="7"/>
  <c r="F430" i="7"/>
  <c r="J430" i="7"/>
  <c r="A430" i="7"/>
  <c r="D430" i="7"/>
  <c r="B432" i="7"/>
  <c r="F432" i="7"/>
  <c r="J432" i="7"/>
  <c r="A432" i="7"/>
  <c r="D432" i="7"/>
  <c r="I432" i="7"/>
  <c r="E432" i="7"/>
  <c r="K432" i="7"/>
  <c r="C432" i="7"/>
  <c r="H432" i="7"/>
  <c r="D433" i="7"/>
  <c r="I433" i="7"/>
  <c r="B433" i="7"/>
  <c r="H433" i="7"/>
  <c r="C433" i="7"/>
  <c r="F433" i="7"/>
  <c r="K433" i="7"/>
  <c r="A433" i="7"/>
  <c r="E433" i="7"/>
  <c r="J433" i="7"/>
  <c r="D435" i="7"/>
  <c r="B435" i="7"/>
  <c r="H435" i="7"/>
  <c r="K435" i="7"/>
  <c r="F435" i="7"/>
  <c r="J435" i="7"/>
  <c r="A435" i="7"/>
  <c r="E435" i="7"/>
  <c r="I435" i="7"/>
  <c r="C435" i="7"/>
  <c r="J436" i="7"/>
  <c r="D436" i="7"/>
  <c r="H436" i="7"/>
  <c r="A436" i="7"/>
  <c r="C436" i="7"/>
  <c r="F436" i="7"/>
  <c r="B436" i="7"/>
  <c r="E436" i="7"/>
  <c r="I436" i="7"/>
  <c r="K436" i="7"/>
  <c r="F442" i="7"/>
  <c r="K442" i="7"/>
  <c r="B442" i="7"/>
  <c r="E442" i="7"/>
  <c r="H442" i="7"/>
  <c r="A442" i="7"/>
  <c r="D442" i="7"/>
  <c r="J442" i="7"/>
  <c r="C442" i="7"/>
  <c r="I442" i="7"/>
  <c r="A457" i="7"/>
  <c r="D457" i="7"/>
  <c r="I457" i="7"/>
  <c r="B457" i="7"/>
  <c r="H457" i="7"/>
  <c r="F457" i="7"/>
  <c r="K457" i="7"/>
  <c r="C457" i="7"/>
  <c r="E457" i="7"/>
  <c r="J457" i="7"/>
  <c r="K48" i="1"/>
  <c r="AD4" i="1"/>
  <c r="J50" i="1"/>
  <c r="J51" i="1" s="1"/>
  <c r="K49" i="1"/>
  <c r="AC5" i="1"/>
  <c r="K7" i="2" l="1"/>
  <c r="B6" i="2"/>
  <c r="B36" i="1" s="1"/>
  <c r="J6" i="2"/>
  <c r="A6" i="2"/>
  <c r="A36" i="1" s="1"/>
  <c r="C6" i="2"/>
  <c r="D6" i="2"/>
  <c r="C36" i="1" s="1"/>
  <c r="E6" i="2"/>
  <c r="F6" i="2"/>
  <c r="E36" i="1" s="1"/>
  <c r="G6" i="2"/>
  <c r="D36" i="1" s="1"/>
  <c r="H6" i="2"/>
  <c r="F36" i="1" s="1"/>
  <c r="I6" i="2"/>
  <c r="K7" i="5"/>
  <c r="A6" i="5"/>
  <c r="B6" i="5"/>
  <c r="C6" i="5"/>
  <c r="D6" i="5"/>
  <c r="E6" i="5"/>
  <c r="F6" i="5"/>
  <c r="G6" i="5"/>
  <c r="H6" i="5"/>
  <c r="I6" i="5"/>
  <c r="J6" i="5"/>
  <c r="K7" i="4"/>
  <c r="A6" i="4"/>
  <c r="B6" i="4"/>
  <c r="C6" i="4"/>
  <c r="D6" i="4"/>
  <c r="E6" i="4"/>
  <c r="F6" i="4"/>
  <c r="G6" i="4"/>
  <c r="H6" i="4"/>
  <c r="I6" i="4"/>
  <c r="J6" i="4"/>
  <c r="K7" i="3"/>
  <c r="A6" i="3"/>
  <c r="B6" i="3"/>
  <c r="C6" i="3"/>
  <c r="D6" i="3"/>
  <c r="E6" i="3"/>
  <c r="F6" i="3"/>
  <c r="G6" i="3"/>
  <c r="H6" i="3"/>
  <c r="I6" i="3"/>
  <c r="J6" i="3"/>
  <c r="G35" i="1"/>
  <c r="H35" i="1"/>
  <c r="I35" i="1"/>
  <c r="J35" i="1"/>
  <c r="K35" i="1"/>
  <c r="L35" i="1"/>
  <c r="N34" i="1"/>
  <c r="O34" i="1"/>
  <c r="P34" i="1"/>
  <c r="Q34" i="1"/>
  <c r="R34" i="1"/>
  <c r="N35" i="1"/>
  <c r="O35" i="1"/>
  <c r="P35" i="1"/>
  <c r="Q35" i="1"/>
  <c r="R35" i="1"/>
  <c r="N36" i="1"/>
  <c r="O36" i="1"/>
  <c r="P36" i="1"/>
  <c r="Q36" i="1"/>
  <c r="R36" i="1"/>
  <c r="N37" i="1"/>
  <c r="O37" i="1"/>
  <c r="P37" i="1"/>
  <c r="Q37" i="1"/>
  <c r="R37" i="1"/>
  <c r="N38" i="1"/>
  <c r="O38" i="1"/>
  <c r="P38" i="1"/>
  <c r="Q38" i="1"/>
  <c r="R38" i="1"/>
  <c r="N39" i="1"/>
  <c r="O39" i="1"/>
  <c r="P39" i="1"/>
  <c r="Q39" i="1"/>
  <c r="R39" i="1"/>
  <c r="N40" i="1"/>
  <c r="O40" i="1"/>
  <c r="P40" i="1"/>
  <c r="Q40" i="1"/>
  <c r="R40" i="1"/>
  <c r="N41" i="1"/>
  <c r="O41" i="1"/>
  <c r="P41" i="1"/>
  <c r="Q41" i="1"/>
  <c r="R41" i="1"/>
  <c r="K50" i="1"/>
  <c r="K51" i="1"/>
  <c r="J52" i="1"/>
  <c r="AD5" i="1"/>
  <c r="AC6" i="1"/>
  <c r="AC7" i="1" l="1"/>
  <c r="K8" i="2"/>
  <c r="B7" i="2"/>
  <c r="B37" i="1" s="1"/>
  <c r="H7" i="2"/>
  <c r="F37" i="1" s="1"/>
  <c r="J7" i="2"/>
  <c r="A7" i="2"/>
  <c r="A37" i="1" s="1"/>
  <c r="C7" i="2"/>
  <c r="D7" i="2"/>
  <c r="C37" i="1" s="1"/>
  <c r="E7" i="2"/>
  <c r="F7" i="2"/>
  <c r="E37" i="1" s="1"/>
  <c r="G7" i="2"/>
  <c r="D37" i="1" s="1"/>
  <c r="I7" i="2"/>
  <c r="K8" i="5"/>
  <c r="A7" i="5"/>
  <c r="B7" i="5"/>
  <c r="C7" i="5"/>
  <c r="D7" i="5"/>
  <c r="E7" i="5"/>
  <c r="F7" i="5"/>
  <c r="G7" i="5"/>
  <c r="H7" i="5"/>
  <c r="I7" i="5"/>
  <c r="J7" i="5"/>
  <c r="K8" i="4"/>
  <c r="A7" i="4"/>
  <c r="B7" i="4"/>
  <c r="C7" i="4"/>
  <c r="D7" i="4"/>
  <c r="E7" i="4"/>
  <c r="F7" i="4"/>
  <c r="G7" i="4"/>
  <c r="H7" i="4"/>
  <c r="I7" i="4"/>
  <c r="J7" i="4"/>
  <c r="K8" i="3"/>
  <c r="A7" i="3"/>
  <c r="B7" i="3"/>
  <c r="C7" i="3"/>
  <c r="D7" i="3"/>
  <c r="E7" i="3"/>
  <c r="F7" i="3"/>
  <c r="G7" i="3"/>
  <c r="H7" i="3"/>
  <c r="I7" i="3"/>
  <c r="J7" i="3"/>
  <c r="G36" i="1"/>
  <c r="H36" i="1"/>
  <c r="I36" i="1"/>
  <c r="J36" i="1"/>
  <c r="K36" i="1"/>
  <c r="L36" i="1"/>
  <c r="K52" i="1"/>
  <c r="AD6" i="1"/>
  <c r="J53" i="1"/>
  <c r="AC8" i="1" l="1"/>
  <c r="AD7" i="1"/>
  <c r="K9" i="2"/>
  <c r="A8" i="2"/>
  <c r="A38" i="1" s="1"/>
  <c r="C8" i="2"/>
  <c r="F8" i="2"/>
  <c r="E38" i="1" s="1"/>
  <c r="H8" i="2"/>
  <c r="F38" i="1" s="1"/>
  <c r="J8" i="2"/>
  <c r="B8" i="2"/>
  <c r="B38" i="1" s="1"/>
  <c r="D8" i="2"/>
  <c r="C38" i="1" s="1"/>
  <c r="E8" i="2"/>
  <c r="G8" i="2"/>
  <c r="D38" i="1" s="1"/>
  <c r="I8" i="2"/>
  <c r="K9" i="5"/>
  <c r="A8" i="5"/>
  <c r="B8" i="5"/>
  <c r="C8" i="5"/>
  <c r="D8" i="5"/>
  <c r="E8" i="5"/>
  <c r="F8" i="5"/>
  <c r="G8" i="5"/>
  <c r="H8" i="5"/>
  <c r="I8" i="5"/>
  <c r="J8" i="5"/>
  <c r="K9" i="4"/>
  <c r="A8" i="4"/>
  <c r="B8" i="4"/>
  <c r="C8" i="4"/>
  <c r="D8" i="4"/>
  <c r="E8" i="4"/>
  <c r="F8" i="4"/>
  <c r="G8" i="4"/>
  <c r="H8" i="4"/>
  <c r="I8" i="4"/>
  <c r="J8" i="4"/>
  <c r="K9" i="3"/>
  <c r="A8" i="3"/>
  <c r="B8" i="3"/>
  <c r="C8" i="3"/>
  <c r="D8" i="3"/>
  <c r="E8" i="3"/>
  <c r="F8" i="3"/>
  <c r="G8" i="3"/>
  <c r="H8" i="3"/>
  <c r="I8" i="3"/>
  <c r="J8" i="3"/>
  <c r="G37" i="1"/>
  <c r="H37" i="1"/>
  <c r="I37" i="1"/>
  <c r="J37" i="1"/>
  <c r="K37" i="1"/>
  <c r="L37" i="1"/>
  <c r="J54" i="1"/>
  <c r="K53" i="1"/>
  <c r="AD8" i="1" l="1"/>
  <c r="AC9" i="1"/>
  <c r="K10" i="2"/>
  <c r="A9" i="2"/>
  <c r="A39" i="1" s="1"/>
  <c r="C9" i="2"/>
  <c r="E9" i="2"/>
  <c r="G9" i="2"/>
  <c r="D39" i="1" s="1"/>
  <c r="J9" i="2"/>
  <c r="B9" i="2"/>
  <c r="B39" i="1" s="1"/>
  <c r="D9" i="2"/>
  <c r="C39" i="1" s="1"/>
  <c r="F9" i="2"/>
  <c r="E39" i="1" s="1"/>
  <c r="H9" i="2"/>
  <c r="F39" i="1" s="1"/>
  <c r="I9" i="2"/>
  <c r="K10" i="5"/>
  <c r="A9" i="5"/>
  <c r="B9" i="5"/>
  <c r="C9" i="5"/>
  <c r="D9" i="5"/>
  <c r="E9" i="5"/>
  <c r="F9" i="5"/>
  <c r="G9" i="5"/>
  <c r="H9" i="5"/>
  <c r="I9" i="5"/>
  <c r="J9" i="5"/>
  <c r="K10" i="4"/>
  <c r="A9" i="4"/>
  <c r="B9" i="4"/>
  <c r="C9" i="4"/>
  <c r="D9" i="4"/>
  <c r="E9" i="4"/>
  <c r="F9" i="4"/>
  <c r="G9" i="4"/>
  <c r="H9" i="4"/>
  <c r="I9" i="4"/>
  <c r="J9" i="4"/>
  <c r="K10" i="3"/>
  <c r="A9" i="3"/>
  <c r="B9" i="3"/>
  <c r="C9" i="3"/>
  <c r="D9" i="3"/>
  <c r="E9" i="3"/>
  <c r="F9" i="3"/>
  <c r="G9" i="3"/>
  <c r="H9" i="3"/>
  <c r="I9" i="3"/>
  <c r="J9" i="3"/>
  <c r="G38" i="1"/>
  <c r="H38" i="1"/>
  <c r="I38" i="1"/>
  <c r="J38" i="1"/>
  <c r="K38" i="1"/>
  <c r="L38" i="1"/>
  <c r="J55" i="1"/>
  <c r="K54" i="1"/>
  <c r="AD9" i="1" l="1"/>
  <c r="AC10" i="1"/>
  <c r="K11" i="2"/>
  <c r="B10" i="2"/>
  <c r="B40" i="1" s="1"/>
  <c r="D10" i="2"/>
  <c r="C40" i="1" s="1"/>
  <c r="F10" i="2"/>
  <c r="E40" i="1" s="1"/>
  <c r="I10" i="2"/>
  <c r="A10" i="2"/>
  <c r="A40" i="1" s="1"/>
  <c r="C10" i="2"/>
  <c r="E10" i="2"/>
  <c r="G10" i="2"/>
  <c r="D40" i="1" s="1"/>
  <c r="H10" i="2"/>
  <c r="F40" i="1" s="1"/>
  <c r="J10" i="2"/>
  <c r="K11" i="5"/>
  <c r="A10" i="5"/>
  <c r="B10" i="5"/>
  <c r="C10" i="5"/>
  <c r="D10" i="5"/>
  <c r="E10" i="5"/>
  <c r="F10" i="5"/>
  <c r="G10" i="5"/>
  <c r="H10" i="5"/>
  <c r="I10" i="5"/>
  <c r="J10" i="5"/>
  <c r="K11" i="4"/>
  <c r="A10" i="4"/>
  <c r="B10" i="4"/>
  <c r="C10" i="4"/>
  <c r="D10" i="4"/>
  <c r="E10" i="4"/>
  <c r="F10" i="4"/>
  <c r="G10" i="4"/>
  <c r="H10" i="4"/>
  <c r="I10" i="4"/>
  <c r="J10" i="4"/>
  <c r="K11" i="3"/>
  <c r="A10" i="3"/>
  <c r="B10" i="3"/>
  <c r="C10" i="3"/>
  <c r="D10" i="3"/>
  <c r="E10" i="3"/>
  <c r="F10" i="3"/>
  <c r="G10" i="3"/>
  <c r="H10" i="3"/>
  <c r="I10" i="3"/>
  <c r="J10" i="3"/>
  <c r="G39" i="1"/>
  <c r="H39" i="1"/>
  <c r="I39" i="1"/>
  <c r="J39" i="1"/>
  <c r="K39" i="1"/>
  <c r="L39" i="1"/>
  <c r="J56" i="1"/>
  <c r="K55" i="1"/>
  <c r="AD10" i="1" l="1"/>
  <c r="AC11" i="1"/>
  <c r="A11" i="2"/>
  <c r="A41" i="1" s="1"/>
  <c r="C11" i="2"/>
  <c r="E11" i="2"/>
  <c r="G11" i="2"/>
  <c r="D41" i="1" s="1"/>
  <c r="J11" i="2"/>
  <c r="K12" i="2"/>
  <c r="B11" i="2"/>
  <c r="B41" i="1" s="1"/>
  <c r="D11" i="2"/>
  <c r="C41" i="1" s="1"/>
  <c r="F11" i="2"/>
  <c r="E41" i="1" s="1"/>
  <c r="H11" i="2"/>
  <c r="F41" i="1" s="1"/>
  <c r="I11" i="2"/>
  <c r="K12" i="5"/>
  <c r="A11" i="5"/>
  <c r="B11" i="5"/>
  <c r="C11" i="5"/>
  <c r="D11" i="5"/>
  <c r="E11" i="5"/>
  <c r="F11" i="5"/>
  <c r="G11" i="5"/>
  <c r="H11" i="5"/>
  <c r="I11" i="5"/>
  <c r="J11" i="5"/>
  <c r="K12" i="4"/>
  <c r="A11" i="4"/>
  <c r="B11" i="4"/>
  <c r="C11" i="4"/>
  <c r="D11" i="4"/>
  <c r="E11" i="4"/>
  <c r="F11" i="4"/>
  <c r="G11" i="4"/>
  <c r="H11" i="4"/>
  <c r="I11" i="4"/>
  <c r="J11" i="4"/>
  <c r="K12" i="3"/>
  <c r="A11" i="3"/>
  <c r="B11" i="3"/>
  <c r="C11" i="3"/>
  <c r="D11" i="3"/>
  <c r="E11" i="3"/>
  <c r="F11" i="3"/>
  <c r="G11" i="3"/>
  <c r="H11" i="3"/>
  <c r="I11" i="3"/>
  <c r="J11" i="3"/>
  <c r="G40" i="1"/>
  <c r="H40" i="1"/>
  <c r="I40" i="1"/>
  <c r="J40" i="1"/>
  <c r="K40" i="1"/>
  <c r="L40" i="1"/>
  <c r="J57" i="1"/>
  <c r="K56" i="1"/>
  <c r="AD11" i="1" l="1"/>
  <c r="AC12" i="1"/>
  <c r="A12" i="2"/>
  <c r="C12" i="2"/>
  <c r="E12" i="2"/>
  <c r="F12" i="2"/>
  <c r="G12" i="2"/>
  <c r="I12" i="2"/>
  <c r="J12" i="2"/>
  <c r="K13" i="2"/>
  <c r="B12" i="2"/>
  <c r="D12" i="2"/>
  <c r="H12" i="2"/>
  <c r="K13" i="5"/>
  <c r="A12" i="5"/>
  <c r="B12" i="5"/>
  <c r="C12" i="5"/>
  <c r="D12" i="5"/>
  <c r="E12" i="5"/>
  <c r="F12" i="5"/>
  <c r="G12" i="5"/>
  <c r="H12" i="5"/>
  <c r="I12" i="5"/>
  <c r="J12" i="5"/>
  <c r="K13" i="4"/>
  <c r="A12" i="4"/>
  <c r="B12" i="4"/>
  <c r="C12" i="4"/>
  <c r="D12" i="4"/>
  <c r="E12" i="4"/>
  <c r="F12" i="4"/>
  <c r="G12" i="4"/>
  <c r="H12" i="4"/>
  <c r="I12" i="4"/>
  <c r="J12" i="4"/>
  <c r="K13" i="3"/>
  <c r="A12" i="3"/>
  <c r="B12" i="3"/>
  <c r="C12" i="3"/>
  <c r="D12" i="3"/>
  <c r="E12" i="3"/>
  <c r="F12" i="3"/>
  <c r="G12" i="3"/>
  <c r="H12" i="3"/>
  <c r="I12" i="3"/>
  <c r="J12" i="3"/>
  <c r="G41" i="1"/>
  <c r="H41" i="1"/>
  <c r="I41" i="1"/>
  <c r="J41" i="1"/>
  <c r="K41" i="1"/>
  <c r="L41" i="1"/>
  <c r="K57" i="1"/>
  <c r="J58" i="1"/>
  <c r="AD12" i="1" l="1"/>
  <c r="AC13" i="1"/>
  <c r="K14" i="2"/>
  <c r="C13" i="2"/>
  <c r="H13" i="2"/>
  <c r="A13" i="2"/>
  <c r="B13" i="2"/>
  <c r="D13" i="2"/>
  <c r="E13" i="2"/>
  <c r="F13" i="2"/>
  <c r="G13" i="2"/>
  <c r="I13" i="2"/>
  <c r="J13" i="2"/>
  <c r="K14" i="5"/>
  <c r="A13" i="5"/>
  <c r="B13" i="5"/>
  <c r="C13" i="5"/>
  <c r="D13" i="5"/>
  <c r="E13" i="5"/>
  <c r="F13" i="5"/>
  <c r="G13" i="5"/>
  <c r="H13" i="5"/>
  <c r="I13" i="5"/>
  <c r="J13" i="5"/>
  <c r="K14" i="4"/>
  <c r="A13" i="4"/>
  <c r="B13" i="4"/>
  <c r="C13" i="4"/>
  <c r="D13" i="4"/>
  <c r="E13" i="4"/>
  <c r="F13" i="4"/>
  <c r="G13" i="4"/>
  <c r="H13" i="4"/>
  <c r="I13" i="4"/>
  <c r="J13" i="4"/>
  <c r="K14" i="3"/>
  <c r="A13" i="3"/>
  <c r="B13" i="3"/>
  <c r="C13" i="3"/>
  <c r="D13" i="3"/>
  <c r="E13" i="3"/>
  <c r="F13" i="3"/>
  <c r="G13" i="3"/>
  <c r="H13" i="3"/>
  <c r="I13" i="3"/>
  <c r="J13" i="3"/>
  <c r="J59" i="1"/>
  <c r="K58" i="1"/>
  <c r="AD13" i="1" l="1"/>
  <c r="AC14" i="1"/>
  <c r="K15" i="2"/>
  <c r="B14" i="2"/>
  <c r="I14" i="2"/>
  <c r="A14" i="2"/>
  <c r="C14" i="2"/>
  <c r="D14" i="2"/>
  <c r="E14" i="2"/>
  <c r="F14" i="2"/>
  <c r="G14" i="2"/>
  <c r="H14" i="2"/>
  <c r="J14" i="2"/>
  <c r="K15" i="5"/>
  <c r="A14" i="5"/>
  <c r="B14" i="5"/>
  <c r="C14" i="5"/>
  <c r="D14" i="5"/>
  <c r="E14" i="5"/>
  <c r="F14" i="5"/>
  <c r="G14" i="5"/>
  <c r="H14" i="5"/>
  <c r="I14" i="5"/>
  <c r="J14" i="5"/>
  <c r="K15" i="4"/>
  <c r="A14" i="4"/>
  <c r="B14" i="4"/>
  <c r="C14" i="4"/>
  <c r="D14" i="4"/>
  <c r="E14" i="4"/>
  <c r="F14" i="4"/>
  <c r="G14" i="4"/>
  <c r="H14" i="4"/>
  <c r="I14" i="4"/>
  <c r="J14" i="4"/>
  <c r="K15" i="3"/>
  <c r="A14" i="3"/>
  <c r="B14" i="3"/>
  <c r="C14" i="3"/>
  <c r="D14" i="3"/>
  <c r="E14" i="3"/>
  <c r="F14" i="3"/>
  <c r="G14" i="3"/>
  <c r="H14" i="3"/>
  <c r="I14" i="3"/>
  <c r="J14" i="3"/>
  <c r="J60" i="1"/>
  <c r="K59" i="1"/>
  <c r="AD14" i="1" l="1"/>
  <c r="AC15" i="1"/>
  <c r="K16" i="2"/>
  <c r="J15" i="2"/>
  <c r="A15" i="2"/>
  <c r="B15" i="2"/>
  <c r="C15" i="2"/>
  <c r="D15" i="2"/>
  <c r="E15" i="2"/>
  <c r="F15" i="2"/>
  <c r="G15" i="2"/>
  <c r="H15" i="2"/>
  <c r="I15" i="2"/>
  <c r="K16" i="5"/>
  <c r="A15" i="5"/>
  <c r="B15" i="5"/>
  <c r="C15" i="5"/>
  <c r="D15" i="5"/>
  <c r="E15" i="5"/>
  <c r="F15" i="5"/>
  <c r="G15" i="5"/>
  <c r="H15" i="5"/>
  <c r="I15" i="5"/>
  <c r="J15" i="5"/>
  <c r="K16" i="4"/>
  <c r="A15" i="4"/>
  <c r="B15" i="4"/>
  <c r="C15" i="4"/>
  <c r="D15" i="4"/>
  <c r="E15" i="4"/>
  <c r="F15" i="4"/>
  <c r="G15" i="4"/>
  <c r="H15" i="4"/>
  <c r="I15" i="4"/>
  <c r="J15" i="4"/>
  <c r="K16" i="3"/>
  <c r="A15" i="3"/>
  <c r="B15" i="3"/>
  <c r="C15" i="3"/>
  <c r="D15" i="3"/>
  <c r="E15" i="3"/>
  <c r="F15" i="3"/>
  <c r="G15" i="3"/>
  <c r="H15" i="3"/>
  <c r="I15" i="3"/>
  <c r="J15" i="3"/>
  <c r="J61" i="1"/>
  <c r="K60" i="1"/>
  <c r="AD15" i="1" l="1"/>
  <c r="AC16" i="1"/>
  <c r="A16" i="2"/>
  <c r="C16" i="2"/>
  <c r="E16" i="2"/>
  <c r="G16" i="2"/>
  <c r="I16" i="2"/>
  <c r="J16" i="2"/>
  <c r="K17" i="2"/>
  <c r="B16" i="2"/>
  <c r="D16" i="2"/>
  <c r="F16" i="2"/>
  <c r="H16" i="2"/>
  <c r="K17" i="5"/>
  <c r="A16" i="5"/>
  <c r="B16" i="5"/>
  <c r="C16" i="5"/>
  <c r="D16" i="5"/>
  <c r="E16" i="5"/>
  <c r="F16" i="5"/>
  <c r="G16" i="5"/>
  <c r="H16" i="5"/>
  <c r="I16" i="5"/>
  <c r="J16" i="5"/>
  <c r="K17" i="4"/>
  <c r="A16" i="4"/>
  <c r="B16" i="4"/>
  <c r="C16" i="4"/>
  <c r="D16" i="4"/>
  <c r="E16" i="4"/>
  <c r="F16" i="4"/>
  <c r="G16" i="4"/>
  <c r="H16" i="4"/>
  <c r="I16" i="4"/>
  <c r="J16" i="4"/>
  <c r="K17" i="3"/>
  <c r="A16" i="3"/>
  <c r="B16" i="3"/>
  <c r="C16" i="3"/>
  <c r="D16" i="3"/>
  <c r="E16" i="3"/>
  <c r="F16" i="3"/>
  <c r="G16" i="3"/>
  <c r="H16" i="3"/>
  <c r="I16" i="3"/>
  <c r="J16" i="3"/>
  <c r="J62" i="1"/>
  <c r="K61" i="1"/>
  <c r="AD16" i="1" l="1"/>
  <c r="AC17" i="1"/>
  <c r="K18" i="2"/>
  <c r="A17" i="2"/>
  <c r="B17" i="2"/>
  <c r="C17" i="2"/>
  <c r="D17" i="2"/>
  <c r="E17" i="2"/>
  <c r="F17" i="2"/>
  <c r="G17" i="2"/>
  <c r="H17" i="2"/>
  <c r="I17" i="2"/>
  <c r="J17" i="2"/>
  <c r="K18" i="5"/>
  <c r="A17" i="5"/>
  <c r="B17" i="5"/>
  <c r="C17" i="5"/>
  <c r="D17" i="5"/>
  <c r="E17" i="5"/>
  <c r="F17" i="5"/>
  <c r="G17" i="5"/>
  <c r="H17" i="5"/>
  <c r="I17" i="5"/>
  <c r="J17" i="5"/>
  <c r="K18" i="4"/>
  <c r="A17" i="4"/>
  <c r="B17" i="4"/>
  <c r="C17" i="4"/>
  <c r="D17" i="4"/>
  <c r="E17" i="4"/>
  <c r="F17" i="4"/>
  <c r="G17" i="4"/>
  <c r="H17" i="4"/>
  <c r="I17" i="4"/>
  <c r="J17" i="4"/>
  <c r="K18" i="3"/>
  <c r="A17" i="3"/>
  <c r="B17" i="3"/>
  <c r="C17" i="3"/>
  <c r="D17" i="3"/>
  <c r="E17" i="3"/>
  <c r="F17" i="3"/>
  <c r="G17" i="3"/>
  <c r="H17" i="3"/>
  <c r="I17" i="3"/>
  <c r="J17" i="3"/>
  <c r="K62" i="1"/>
  <c r="J63" i="1"/>
  <c r="AD17" i="1" l="1"/>
  <c r="AC18" i="1"/>
  <c r="A18" i="2"/>
  <c r="C18" i="2"/>
  <c r="D18" i="2"/>
  <c r="E18" i="2"/>
  <c r="F18" i="2"/>
  <c r="H18" i="2"/>
  <c r="I18" i="2"/>
  <c r="J18" i="2"/>
  <c r="K19" i="2"/>
  <c r="B18" i="2"/>
  <c r="G18" i="2"/>
  <c r="K19" i="5"/>
  <c r="A18" i="5"/>
  <c r="B18" i="5"/>
  <c r="C18" i="5"/>
  <c r="D18" i="5"/>
  <c r="E18" i="5"/>
  <c r="F18" i="5"/>
  <c r="G18" i="5"/>
  <c r="H18" i="5"/>
  <c r="I18" i="5"/>
  <c r="J18" i="5"/>
  <c r="K19" i="4"/>
  <c r="A18" i="4"/>
  <c r="B18" i="4"/>
  <c r="C18" i="4"/>
  <c r="D18" i="4"/>
  <c r="E18" i="4"/>
  <c r="F18" i="4"/>
  <c r="G18" i="4"/>
  <c r="H18" i="4"/>
  <c r="I18" i="4"/>
  <c r="J18" i="4"/>
  <c r="K19" i="3"/>
  <c r="A18" i="3"/>
  <c r="B18" i="3"/>
  <c r="C18" i="3"/>
  <c r="D18" i="3"/>
  <c r="E18" i="3"/>
  <c r="F18" i="3"/>
  <c r="G18" i="3"/>
  <c r="H18" i="3"/>
  <c r="I18" i="3"/>
  <c r="J18" i="3"/>
  <c r="J64" i="1"/>
  <c r="K63" i="1"/>
  <c r="AD18" i="1" l="1"/>
  <c r="AC19" i="1"/>
  <c r="K20" i="2"/>
  <c r="B19" i="2"/>
  <c r="D19" i="2"/>
  <c r="F19" i="2"/>
  <c r="J19" i="2"/>
  <c r="A19" i="2"/>
  <c r="C19" i="2"/>
  <c r="E19" i="2"/>
  <c r="G19" i="2"/>
  <c r="H19" i="2"/>
  <c r="I19" i="2"/>
  <c r="K20" i="5"/>
  <c r="A19" i="5"/>
  <c r="B19" i="5"/>
  <c r="C19" i="5"/>
  <c r="D19" i="5"/>
  <c r="E19" i="5"/>
  <c r="F19" i="5"/>
  <c r="G19" i="5"/>
  <c r="H19" i="5"/>
  <c r="I19" i="5"/>
  <c r="J19" i="5"/>
  <c r="K20" i="4"/>
  <c r="A19" i="4"/>
  <c r="B19" i="4"/>
  <c r="C19" i="4"/>
  <c r="D19" i="4"/>
  <c r="E19" i="4"/>
  <c r="F19" i="4"/>
  <c r="G19" i="4"/>
  <c r="H19" i="4"/>
  <c r="I19" i="4"/>
  <c r="J19" i="4"/>
  <c r="K20" i="3"/>
  <c r="A19" i="3"/>
  <c r="B19" i="3"/>
  <c r="C19" i="3"/>
  <c r="D19" i="3"/>
  <c r="E19" i="3"/>
  <c r="F19" i="3"/>
  <c r="G19" i="3"/>
  <c r="H19" i="3"/>
  <c r="I19" i="3"/>
  <c r="J19" i="3"/>
  <c r="J65" i="1"/>
  <c r="K64" i="1"/>
  <c r="AD19" i="1" l="1"/>
  <c r="AC20" i="1"/>
  <c r="A20" i="2"/>
  <c r="D20" i="2"/>
  <c r="F20" i="2"/>
  <c r="H20" i="2"/>
  <c r="K21" i="2"/>
  <c r="B20" i="2"/>
  <c r="C20" i="2"/>
  <c r="E20" i="2"/>
  <c r="G20" i="2"/>
  <c r="I20" i="2"/>
  <c r="J20" i="2"/>
  <c r="K21" i="5"/>
  <c r="A20" i="5"/>
  <c r="B20" i="5"/>
  <c r="C20" i="5"/>
  <c r="D20" i="5"/>
  <c r="E20" i="5"/>
  <c r="F20" i="5"/>
  <c r="G20" i="5"/>
  <c r="H20" i="5"/>
  <c r="I20" i="5"/>
  <c r="J20" i="5"/>
  <c r="K21" i="4"/>
  <c r="A20" i="4"/>
  <c r="B20" i="4"/>
  <c r="C20" i="4"/>
  <c r="D20" i="4"/>
  <c r="E20" i="4"/>
  <c r="F20" i="4"/>
  <c r="G20" i="4"/>
  <c r="H20" i="4"/>
  <c r="I20" i="4"/>
  <c r="J20" i="4"/>
  <c r="K21" i="3"/>
  <c r="A20" i="3"/>
  <c r="B20" i="3"/>
  <c r="C20" i="3"/>
  <c r="D20" i="3"/>
  <c r="E20" i="3"/>
  <c r="F20" i="3"/>
  <c r="G20" i="3"/>
  <c r="H20" i="3"/>
  <c r="I20" i="3"/>
  <c r="J20" i="3"/>
  <c r="J66" i="1"/>
  <c r="K65" i="1"/>
  <c r="AD20" i="1" l="1"/>
  <c r="AC21" i="1"/>
  <c r="B21" i="2"/>
  <c r="C21" i="2"/>
  <c r="D21" i="2"/>
  <c r="E21" i="2"/>
  <c r="F21" i="2"/>
  <c r="H21" i="2"/>
  <c r="I21" i="2"/>
  <c r="J21" i="2"/>
  <c r="K22" i="2"/>
  <c r="A21" i="2"/>
  <c r="G21" i="2"/>
  <c r="K22" i="5"/>
  <c r="A21" i="5"/>
  <c r="B21" i="5"/>
  <c r="C21" i="5"/>
  <c r="D21" i="5"/>
  <c r="E21" i="5"/>
  <c r="F21" i="5"/>
  <c r="G21" i="5"/>
  <c r="H21" i="5"/>
  <c r="I21" i="5"/>
  <c r="J21" i="5"/>
  <c r="K22" i="4"/>
  <c r="A21" i="4"/>
  <c r="B21" i="4"/>
  <c r="C21" i="4"/>
  <c r="D21" i="4"/>
  <c r="E21" i="4"/>
  <c r="F21" i="4"/>
  <c r="G21" i="4"/>
  <c r="H21" i="4"/>
  <c r="I21" i="4"/>
  <c r="J21" i="4"/>
  <c r="K22" i="3"/>
  <c r="A21" i="3"/>
  <c r="B21" i="3"/>
  <c r="C21" i="3"/>
  <c r="D21" i="3"/>
  <c r="E21" i="3"/>
  <c r="F21" i="3"/>
  <c r="G21" i="3"/>
  <c r="H21" i="3"/>
  <c r="I21" i="3"/>
  <c r="J21" i="3"/>
  <c r="J67" i="1"/>
  <c r="K66" i="1"/>
  <c r="AD21" i="1" l="1"/>
  <c r="AC22" i="1"/>
  <c r="A22" i="2"/>
  <c r="C22" i="2"/>
  <c r="E22" i="2"/>
  <c r="G22" i="2"/>
  <c r="H22" i="2"/>
  <c r="J22" i="2"/>
  <c r="K23" i="2"/>
  <c r="B22" i="2"/>
  <c r="D22" i="2"/>
  <c r="F22" i="2"/>
  <c r="I22" i="2"/>
  <c r="K23" i="5"/>
  <c r="A22" i="5"/>
  <c r="B22" i="5"/>
  <c r="C22" i="5"/>
  <c r="D22" i="5"/>
  <c r="E22" i="5"/>
  <c r="F22" i="5"/>
  <c r="G22" i="5"/>
  <c r="H22" i="5"/>
  <c r="I22" i="5"/>
  <c r="J22" i="5"/>
  <c r="K23" i="4"/>
  <c r="A22" i="4"/>
  <c r="B22" i="4"/>
  <c r="C22" i="4"/>
  <c r="D22" i="4"/>
  <c r="E22" i="4"/>
  <c r="F22" i="4"/>
  <c r="G22" i="4"/>
  <c r="H22" i="4"/>
  <c r="I22" i="4"/>
  <c r="J22" i="4"/>
  <c r="K23" i="3"/>
  <c r="A22" i="3"/>
  <c r="B22" i="3"/>
  <c r="C22" i="3"/>
  <c r="D22" i="3"/>
  <c r="E22" i="3"/>
  <c r="F22" i="3"/>
  <c r="G22" i="3"/>
  <c r="H22" i="3"/>
  <c r="I22" i="3"/>
  <c r="J22" i="3"/>
  <c r="J68" i="1"/>
  <c r="K67" i="1"/>
  <c r="AD22" i="1" l="1"/>
  <c r="AC23" i="1"/>
  <c r="K24" i="2"/>
  <c r="A23" i="2"/>
  <c r="C23" i="2"/>
  <c r="E23" i="2"/>
  <c r="G23" i="2"/>
  <c r="H23" i="2"/>
  <c r="J23" i="2"/>
  <c r="B23" i="2"/>
  <c r="D23" i="2"/>
  <c r="F23" i="2"/>
  <c r="I23" i="2"/>
  <c r="K24" i="5"/>
  <c r="A23" i="5"/>
  <c r="B23" i="5"/>
  <c r="C23" i="5"/>
  <c r="D23" i="5"/>
  <c r="E23" i="5"/>
  <c r="F23" i="5"/>
  <c r="G23" i="5"/>
  <c r="H23" i="5"/>
  <c r="I23" i="5"/>
  <c r="J23" i="5"/>
  <c r="K24" i="4"/>
  <c r="A23" i="4"/>
  <c r="B23" i="4"/>
  <c r="C23" i="4"/>
  <c r="D23" i="4"/>
  <c r="E23" i="4"/>
  <c r="F23" i="4"/>
  <c r="G23" i="4"/>
  <c r="H23" i="4"/>
  <c r="I23" i="4"/>
  <c r="J23" i="4"/>
  <c r="K24" i="3"/>
  <c r="A23" i="3"/>
  <c r="B23" i="3"/>
  <c r="C23" i="3"/>
  <c r="D23" i="3"/>
  <c r="E23" i="3"/>
  <c r="F23" i="3"/>
  <c r="G23" i="3"/>
  <c r="H23" i="3"/>
  <c r="I23" i="3"/>
  <c r="J23" i="3"/>
  <c r="K68" i="1"/>
  <c r="J69" i="1"/>
  <c r="AD23" i="1" l="1"/>
  <c r="AC24" i="1"/>
  <c r="K25" i="2"/>
  <c r="A24" i="2"/>
  <c r="C24" i="2"/>
  <c r="D24" i="2"/>
  <c r="F24" i="2"/>
  <c r="H24" i="2"/>
  <c r="I24" i="2"/>
  <c r="J24" i="2"/>
  <c r="B24" i="2"/>
  <c r="E24" i="2"/>
  <c r="G24" i="2"/>
  <c r="K25" i="5"/>
  <c r="A24" i="5"/>
  <c r="B24" i="5"/>
  <c r="C24" i="5"/>
  <c r="D24" i="5"/>
  <c r="E24" i="5"/>
  <c r="F24" i="5"/>
  <c r="G24" i="5"/>
  <c r="H24" i="5"/>
  <c r="I24" i="5"/>
  <c r="J24" i="5"/>
  <c r="K25" i="4"/>
  <c r="A24" i="4"/>
  <c r="B24" i="4"/>
  <c r="C24" i="4"/>
  <c r="D24" i="4"/>
  <c r="E24" i="4"/>
  <c r="F24" i="4"/>
  <c r="G24" i="4"/>
  <c r="H24" i="4"/>
  <c r="I24" i="4"/>
  <c r="J24" i="4"/>
  <c r="K25" i="3"/>
  <c r="A24" i="3"/>
  <c r="B24" i="3"/>
  <c r="C24" i="3"/>
  <c r="D24" i="3"/>
  <c r="E24" i="3"/>
  <c r="F24" i="3"/>
  <c r="G24" i="3"/>
  <c r="H24" i="3"/>
  <c r="I24" i="3"/>
  <c r="J24" i="3"/>
  <c r="J70" i="1"/>
  <c r="K69" i="1"/>
  <c r="AD24" i="1" l="1"/>
  <c r="AC25" i="1"/>
  <c r="A25" i="2"/>
  <c r="C25" i="2"/>
  <c r="E25" i="2"/>
  <c r="F25" i="2"/>
  <c r="G25" i="2"/>
  <c r="H25" i="2"/>
  <c r="J25" i="2"/>
  <c r="K26" i="2"/>
  <c r="B25" i="2"/>
  <c r="D25" i="2"/>
  <c r="I25" i="2"/>
  <c r="K26" i="5"/>
  <c r="A25" i="5"/>
  <c r="B25" i="5"/>
  <c r="C25" i="5"/>
  <c r="D25" i="5"/>
  <c r="E25" i="5"/>
  <c r="F25" i="5"/>
  <c r="G25" i="5"/>
  <c r="H25" i="5"/>
  <c r="I25" i="5"/>
  <c r="J25" i="5"/>
  <c r="K26" i="4"/>
  <c r="A25" i="4"/>
  <c r="B25" i="4"/>
  <c r="C25" i="4"/>
  <c r="D25" i="4"/>
  <c r="E25" i="4"/>
  <c r="F25" i="4"/>
  <c r="G25" i="4"/>
  <c r="H25" i="4"/>
  <c r="I25" i="4"/>
  <c r="J25" i="4"/>
  <c r="K26" i="3"/>
  <c r="A25" i="3"/>
  <c r="B25" i="3"/>
  <c r="C25" i="3"/>
  <c r="D25" i="3"/>
  <c r="E25" i="3"/>
  <c r="F25" i="3"/>
  <c r="G25" i="3"/>
  <c r="H25" i="3"/>
  <c r="I25" i="3"/>
  <c r="J25" i="3"/>
  <c r="J71" i="1"/>
  <c r="K70" i="1"/>
  <c r="AD25" i="1" l="1"/>
  <c r="AC26" i="1"/>
  <c r="B26" i="2"/>
  <c r="D26" i="2"/>
  <c r="F26" i="2"/>
  <c r="H26" i="2"/>
  <c r="J26" i="2"/>
  <c r="K27" i="2"/>
  <c r="A26" i="2"/>
  <c r="C26" i="2"/>
  <c r="E26" i="2"/>
  <c r="G26" i="2"/>
  <c r="I26" i="2"/>
  <c r="K27" i="5"/>
  <c r="A26" i="5"/>
  <c r="B26" i="5"/>
  <c r="C26" i="5"/>
  <c r="D26" i="5"/>
  <c r="E26" i="5"/>
  <c r="F26" i="5"/>
  <c r="G26" i="5"/>
  <c r="H26" i="5"/>
  <c r="I26" i="5"/>
  <c r="J26" i="5"/>
  <c r="K27" i="4"/>
  <c r="A26" i="4"/>
  <c r="B26" i="4"/>
  <c r="C26" i="4"/>
  <c r="D26" i="4"/>
  <c r="E26" i="4"/>
  <c r="F26" i="4"/>
  <c r="G26" i="4"/>
  <c r="H26" i="4"/>
  <c r="I26" i="4"/>
  <c r="J26" i="4"/>
  <c r="K27" i="3"/>
  <c r="A26" i="3"/>
  <c r="B26" i="3"/>
  <c r="C26" i="3"/>
  <c r="D26" i="3"/>
  <c r="E26" i="3"/>
  <c r="F26" i="3"/>
  <c r="G26" i="3"/>
  <c r="H26" i="3"/>
  <c r="I26" i="3"/>
  <c r="J26" i="3"/>
  <c r="J72" i="1"/>
  <c r="K71" i="1"/>
  <c r="AD26" i="1" l="1"/>
  <c r="AC27" i="1"/>
  <c r="A27" i="2"/>
  <c r="B27" i="2"/>
  <c r="D27" i="2"/>
  <c r="E27" i="2"/>
  <c r="F27" i="2"/>
  <c r="H27" i="2"/>
  <c r="I27" i="2"/>
  <c r="J27" i="2"/>
  <c r="K28" i="2"/>
  <c r="C27" i="2"/>
  <c r="G27" i="2"/>
  <c r="K28" i="5"/>
  <c r="A27" i="5"/>
  <c r="B27" i="5"/>
  <c r="C27" i="5"/>
  <c r="D27" i="5"/>
  <c r="E27" i="5"/>
  <c r="F27" i="5"/>
  <c r="G27" i="5"/>
  <c r="H27" i="5"/>
  <c r="I27" i="5"/>
  <c r="J27" i="5"/>
  <c r="K28" i="4"/>
  <c r="A27" i="4"/>
  <c r="B27" i="4"/>
  <c r="C27" i="4"/>
  <c r="D27" i="4"/>
  <c r="E27" i="4"/>
  <c r="F27" i="4"/>
  <c r="G27" i="4"/>
  <c r="H27" i="4"/>
  <c r="I27" i="4"/>
  <c r="J27" i="4"/>
  <c r="K28" i="3"/>
  <c r="A27" i="3"/>
  <c r="B27" i="3"/>
  <c r="C27" i="3"/>
  <c r="D27" i="3"/>
  <c r="E27" i="3"/>
  <c r="F27" i="3"/>
  <c r="G27" i="3"/>
  <c r="H27" i="3"/>
  <c r="I27" i="3"/>
  <c r="J27" i="3"/>
  <c r="J73" i="1"/>
  <c r="K72" i="1"/>
  <c r="AD27" i="1" l="1"/>
  <c r="AC28" i="1"/>
  <c r="B28" i="2"/>
  <c r="C28" i="2"/>
  <c r="E28" i="2"/>
  <c r="G28" i="2"/>
  <c r="J28" i="2"/>
  <c r="K29" i="2"/>
  <c r="A28" i="2"/>
  <c r="D28" i="2"/>
  <c r="F28" i="2"/>
  <c r="H28" i="2"/>
  <c r="I28" i="2"/>
  <c r="K29" i="5"/>
  <c r="A28" i="5"/>
  <c r="B28" i="5"/>
  <c r="C28" i="5"/>
  <c r="D28" i="5"/>
  <c r="E28" i="5"/>
  <c r="F28" i="5"/>
  <c r="G28" i="5"/>
  <c r="H28" i="5"/>
  <c r="I28" i="5"/>
  <c r="J28" i="5"/>
  <c r="K29" i="4"/>
  <c r="A28" i="4"/>
  <c r="B28" i="4"/>
  <c r="C28" i="4"/>
  <c r="D28" i="4"/>
  <c r="E28" i="4"/>
  <c r="F28" i="4"/>
  <c r="G28" i="4"/>
  <c r="H28" i="4"/>
  <c r="I28" i="4"/>
  <c r="J28" i="4"/>
  <c r="K29" i="3"/>
  <c r="A28" i="3"/>
  <c r="B28" i="3"/>
  <c r="C28" i="3"/>
  <c r="D28" i="3"/>
  <c r="E28" i="3"/>
  <c r="F28" i="3"/>
  <c r="G28" i="3"/>
  <c r="H28" i="3"/>
  <c r="I28" i="3"/>
  <c r="J28" i="3"/>
  <c r="J74" i="1"/>
  <c r="K73" i="1"/>
  <c r="AD28" i="1" l="1"/>
  <c r="AC29" i="1"/>
  <c r="K30" i="2"/>
  <c r="B29" i="2"/>
  <c r="C29" i="2"/>
  <c r="D29" i="2"/>
  <c r="F29" i="2"/>
  <c r="G29" i="2"/>
  <c r="H29" i="2"/>
  <c r="I29" i="2"/>
  <c r="J29" i="2"/>
  <c r="A29" i="2"/>
  <c r="E29" i="2"/>
  <c r="K30" i="5"/>
  <c r="A29" i="5"/>
  <c r="B29" i="5"/>
  <c r="C29" i="5"/>
  <c r="D29" i="5"/>
  <c r="E29" i="5"/>
  <c r="F29" i="5"/>
  <c r="G29" i="5"/>
  <c r="H29" i="5"/>
  <c r="I29" i="5"/>
  <c r="J29" i="5"/>
  <c r="K30" i="4"/>
  <c r="A29" i="4"/>
  <c r="B29" i="4"/>
  <c r="C29" i="4"/>
  <c r="D29" i="4"/>
  <c r="E29" i="4"/>
  <c r="F29" i="4"/>
  <c r="G29" i="4"/>
  <c r="H29" i="4"/>
  <c r="I29" i="4"/>
  <c r="J29" i="4"/>
  <c r="K30" i="3"/>
  <c r="A29" i="3"/>
  <c r="B29" i="3"/>
  <c r="C29" i="3"/>
  <c r="D29" i="3"/>
  <c r="E29" i="3"/>
  <c r="F29" i="3"/>
  <c r="G29" i="3"/>
  <c r="H29" i="3"/>
  <c r="I29" i="3"/>
  <c r="J29" i="3"/>
  <c r="J75" i="1"/>
  <c r="K74" i="1"/>
  <c r="AD29" i="1" l="1"/>
  <c r="AC30" i="1"/>
  <c r="K31" i="2"/>
  <c r="A30" i="2"/>
  <c r="C30" i="2"/>
  <c r="E30" i="2"/>
  <c r="G30" i="2"/>
  <c r="I30" i="2"/>
  <c r="J30" i="2"/>
  <c r="B30" i="2"/>
  <c r="D30" i="2"/>
  <c r="F30" i="2"/>
  <c r="H30" i="2"/>
  <c r="K31" i="5"/>
  <c r="A30" i="5"/>
  <c r="B30" i="5"/>
  <c r="C30" i="5"/>
  <c r="D30" i="5"/>
  <c r="E30" i="5"/>
  <c r="F30" i="5"/>
  <c r="G30" i="5"/>
  <c r="H30" i="5"/>
  <c r="I30" i="5"/>
  <c r="J30" i="5"/>
  <c r="K31" i="4"/>
  <c r="A30" i="4"/>
  <c r="B30" i="4"/>
  <c r="C30" i="4"/>
  <c r="D30" i="4"/>
  <c r="E30" i="4"/>
  <c r="F30" i="4"/>
  <c r="G30" i="4"/>
  <c r="H30" i="4"/>
  <c r="I30" i="4"/>
  <c r="J30" i="4"/>
  <c r="K31" i="3"/>
  <c r="A30" i="3"/>
  <c r="B30" i="3"/>
  <c r="C30" i="3"/>
  <c r="D30" i="3"/>
  <c r="E30" i="3"/>
  <c r="F30" i="3"/>
  <c r="G30" i="3"/>
  <c r="H30" i="3"/>
  <c r="I30" i="3"/>
  <c r="J30" i="3"/>
  <c r="K75" i="1"/>
  <c r="J76" i="1"/>
  <c r="AD30" i="1" l="1"/>
  <c r="AC31" i="1"/>
  <c r="K32" i="2"/>
  <c r="A31" i="2"/>
  <c r="C31" i="2"/>
  <c r="E31" i="2"/>
  <c r="G31" i="2"/>
  <c r="H31" i="2"/>
  <c r="J31" i="2"/>
  <c r="B31" i="2"/>
  <c r="D31" i="2"/>
  <c r="F31" i="2"/>
  <c r="I31" i="2"/>
  <c r="K32" i="5"/>
  <c r="A31" i="5"/>
  <c r="B31" i="5"/>
  <c r="C31" i="5"/>
  <c r="D31" i="5"/>
  <c r="E31" i="5"/>
  <c r="F31" i="5"/>
  <c r="G31" i="5"/>
  <c r="H31" i="5"/>
  <c r="I31" i="5"/>
  <c r="J31" i="5"/>
  <c r="K32" i="4"/>
  <c r="A31" i="4"/>
  <c r="B31" i="4"/>
  <c r="C31" i="4"/>
  <c r="D31" i="4"/>
  <c r="E31" i="4"/>
  <c r="F31" i="4"/>
  <c r="G31" i="4"/>
  <c r="H31" i="4"/>
  <c r="I31" i="4"/>
  <c r="J31" i="4"/>
  <c r="K32" i="3"/>
  <c r="A31" i="3"/>
  <c r="B31" i="3"/>
  <c r="C31" i="3"/>
  <c r="D31" i="3"/>
  <c r="E31" i="3"/>
  <c r="F31" i="3"/>
  <c r="G31" i="3"/>
  <c r="H31" i="3"/>
  <c r="I31" i="3"/>
  <c r="J31" i="3"/>
  <c r="J77" i="1"/>
  <c r="K76" i="1"/>
  <c r="AD31" i="1" l="1"/>
  <c r="AC32" i="1"/>
  <c r="K33" i="2"/>
  <c r="A32" i="2"/>
  <c r="B32" i="2"/>
  <c r="C32" i="2"/>
  <c r="E32" i="2"/>
  <c r="G32" i="2"/>
  <c r="H32" i="2"/>
  <c r="I32" i="2"/>
  <c r="J32" i="2"/>
  <c r="D32" i="2"/>
  <c r="F32" i="2"/>
  <c r="K33" i="5"/>
  <c r="A32" i="5"/>
  <c r="B32" i="5"/>
  <c r="C32" i="5"/>
  <c r="D32" i="5"/>
  <c r="E32" i="5"/>
  <c r="F32" i="5"/>
  <c r="G32" i="5"/>
  <c r="H32" i="5"/>
  <c r="I32" i="5"/>
  <c r="J32" i="5"/>
  <c r="K33" i="4"/>
  <c r="A32" i="4"/>
  <c r="B32" i="4"/>
  <c r="C32" i="4"/>
  <c r="D32" i="4"/>
  <c r="E32" i="4"/>
  <c r="F32" i="4"/>
  <c r="G32" i="4"/>
  <c r="H32" i="4"/>
  <c r="I32" i="4"/>
  <c r="J32" i="4"/>
  <c r="K33" i="3"/>
  <c r="A32" i="3"/>
  <c r="B32" i="3"/>
  <c r="C32" i="3"/>
  <c r="D32" i="3"/>
  <c r="E32" i="3"/>
  <c r="F32" i="3"/>
  <c r="G32" i="3"/>
  <c r="H32" i="3"/>
  <c r="I32" i="3"/>
  <c r="J32" i="3"/>
  <c r="J78" i="1"/>
  <c r="K77" i="1"/>
  <c r="AD32" i="1" l="1"/>
  <c r="AC33" i="1"/>
  <c r="B33" i="2"/>
  <c r="D33" i="2"/>
  <c r="F33" i="2"/>
  <c r="H33" i="2"/>
  <c r="I33" i="2"/>
  <c r="J33" i="2"/>
  <c r="K34" i="2"/>
  <c r="A33" i="2"/>
  <c r="C33" i="2"/>
  <c r="E33" i="2"/>
  <c r="G33" i="2"/>
  <c r="K34" i="5"/>
  <c r="A33" i="5"/>
  <c r="B33" i="5"/>
  <c r="C33" i="5"/>
  <c r="D33" i="5"/>
  <c r="E33" i="5"/>
  <c r="F33" i="5"/>
  <c r="G33" i="5"/>
  <c r="H33" i="5"/>
  <c r="I33" i="5"/>
  <c r="J33" i="5"/>
  <c r="K34" i="4"/>
  <c r="A33" i="4"/>
  <c r="B33" i="4"/>
  <c r="C33" i="4"/>
  <c r="D33" i="4"/>
  <c r="E33" i="4"/>
  <c r="F33" i="4"/>
  <c r="G33" i="4"/>
  <c r="H33" i="4"/>
  <c r="I33" i="4"/>
  <c r="J33" i="4"/>
  <c r="K34" i="3"/>
  <c r="A33" i="3"/>
  <c r="B33" i="3"/>
  <c r="C33" i="3"/>
  <c r="D33" i="3"/>
  <c r="E33" i="3"/>
  <c r="F33" i="3"/>
  <c r="G33" i="3"/>
  <c r="H33" i="3"/>
  <c r="I33" i="3"/>
  <c r="J33" i="3"/>
  <c r="J79" i="1"/>
  <c r="K78" i="1"/>
  <c r="AD33" i="1" l="1"/>
  <c r="AC34" i="1"/>
  <c r="K35" i="2"/>
  <c r="B34" i="2"/>
  <c r="D34" i="2"/>
  <c r="F34" i="2"/>
  <c r="H34" i="2"/>
  <c r="J34" i="2"/>
  <c r="A34" i="2"/>
  <c r="C34" i="2"/>
  <c r="E34" i="2"/>
  <c r="G34" i="2"/>
  <c r="I34" i="2"/>
  <c r="K35" i="5"/>
  <c r="A34" i="5"/>
  <c r="B34" i="5"/>
  <c r="C34" i="5"/>
  <c r="D34" i="5"/>
  <c r="E34" i="5"/>
  <c r="F34" i="5"/>
  <c r="G34" i="5"/>
  <c r="H34" i="5"/>
  <c r="I34" i="5"/>
  <c r="J34" i="5"/>
  <c r="K35" i="4"/>
  <c r="A34" i="4"/>
  <c r="B34" i="4"/>
  <c r="C34" i="4"/>
  <c r="D34" i="4"/>
  <c r="E34" i="4"/>
  <c r="F34" i="4"/>
  <c r="G34" i="4"/>
  <c r="H34" i="4"/>
  <c r="I34" i="4"/>
  <c r="J34" i="4"/>
  <c r="K35" i="3"/>
  <c r="A34" i="3"/>
  <c r="B34" i="3"/>
  <c r="C34" i="3"/>
  <c r="D34" i="3"/>
  <c r="E34" i="3"/>
  <c r="F34" i="3"/>
  <c r="G34" i="3"/>
  <c r="H34" i="3"/>
  <c r="I34" i="3"/>
  <c r="J34" i="3"/>
  <c r="J80" i="1"/>
  <c r="K79" i="1"/>
  <c r="AD34" i="1" l="1"/>
  <c r="AC35" i="1"/>
  <c r="K36" i="2"/>
  <c r="A35" i="2"/>
  <c r="C35" i="2"/>
  <c r="E35" i="2"/>
  <c r="G35" i="2"/>
  <c r="J35" i="2"/>
  <c r="B35" i="2"/>
  <c r="D35" i="2"/>
  <c r="F35" i="2"/>
  <c r="H35" i="2"/>
  <c r="I35" i="2"/>
  <c r="K36" i="5"/>
  <c r="A35" i="5"/>
  <c r="B35" i="5"/>
  <c r="C35" i="5"/>
  <c r="D35" i="5"/>
  <c r="E35" i="5"/>
  <c r="F35" i="5"/>
  <c r="G35" i="5"/>
  <c r="H35" i="5"/>
  <c r="I35" i="5"/>
  <c r="J35" i="5"/>
  <c r="K36" i="4"/>
  <c r="A35" i="4"/>
  <c r="B35" i="4"/>
  <c r="C35" i="4"/>
  <c r="D35" i="4"/>
  <c r="E35" i="4"/>
  <c r="F35" i="4"/>
  <c r="G35" i="4"/>
  <c r="H35" i="4"/>
  <c r="I35" i="4"/>
  <c r="J35" i="4"/>
  <c r="K36" i="3"/>
  <c r="A35" i="3"/>
  <c r="B35" i="3"/>
  <c r="C35" i="3"/>
  <c r="D35" i="3"/>
  <c r="E35" i="3"/>
  <c r="F35" i="3"/>
  <c r="G35" i="3"/>
  <c r="H35" i="3"/>
  <c r="I35" i="3"/>
  <c r="J35" i="3"/>
  <c r="J81" i="1"/>
  <c r="K80" i="1"/>
  <c r="AD35" i="1" l="1"/>
  <c r="AC36" i="1"/>
  <c r="K37" i="2"/>
  <c r="A36" i="2"/>
  <c r="C36" i="2"/>
  <c r="E36" i="2"/>
  <c r="G36" i="2"/>
  <c r="J36" i="2"/>
  <c r="B36" i="2"/>
  <c r="D36" i="2"/>
  <c r="F36" i="2"/>
  <c r="H36" i="2"/>
  <c r="I36" i="2"/>
  <c r="K37" i="5"/>
  <c r="A36" i="5"/>
  <c r="B36" i="5"/>
  <c r="C36" i="5"/>
  <c r="D36" i="5"/>
  <c r="E36" i="5"/>
  <c r="F36" i="5"/>
  <c r="G36" i="5"/>
  <c r="H36" i="5"/>
  <c r="I36" i="5"/>
  <c r="J36" i="5"/>
  <c r="K37" i="4"/>
  <c r="A36" i="4"/>
  <c r="B36" i="4"/>
  <c r="C36" i="4"/>
  <c r="D36" i="4"/>
  <c r="E36" i="4"/>
  <c r="F36" i="4"/>
  <c r="G36" i="4"/>
  <c r="H36" i="4"/>
  <c r="I36" i="4"/>
  <c r="J36" i="4"/>
  <c r="K37" i="3"/>
  <c r="A36" i="3"/>
  <c r="B36" i="3"/>
  <c r="C36" i="3"/>
  <c r="D36" i="3"/>
  <c r="E36" i="3"/>
  <c r="F36" i="3"/>
  <c r="G36" i="3"/>
  <c r="H36" i="3"/>
  <c r="I36" i="3"/>
  <c r="J36" i="3"/>
  <c r="J82" i="1"/>
  <c r="K81" i="1"/>
  <c r="AD36" i="1" l="1"/>
  <c r="AC37" i="1"/>
  <c r="K38" i="2"/>
  <c r="A37" i="2"/>
  <c r="E37" i="2"/>
  <c r="G37" i="2"/>
  <c r="I37" i="2"/>
  <c r="B37" i="2"/>
  <c r="C37" i="2"/>
  <c r="D37" i="2"/>
  <c r="F37" i="2"/>
  <c r="H37" i="2"/>
  <c r="J37" i="2"/>
  <c r="K38" i="5"/>
  <c r="A37" i="5"/>
  <c r="B37" i="5"/>
  <c r="C37" i="5"/>
  <c r="D37" i="5"/>
  <c r="E37" i="5"/>
  <c r="F37" i="5"/>
  <c r="G37" i="5"/>
  <c r="H37" i="5"/>
  <c r="I37" i="5"/>
  <c r="J37" i="5"/>
  <c r="K38" i="4"/>
  <c r="A37" i="4"/>
  <c r="B37" i="4"/>
  <c r="C37" i="4"/>
  <c r="D37" i="4"/>
  <c r="E37" i="4"/>
  <c r="F37" i="4"/>
  <c r="G37" i="4"/>
  <c r="H37" i="4"/>
  <c r="I37" i="4"/>
  <c r="J37" i="4"/>
  <c r="K38" i="3"/>
  <c r="A37" i="3"/>
  <c r="B37" i="3"/>
  <c r="C37" i="3"/>
  <c r="D37" i="3"/>
  <c r="E37" i="3"/>
  <c r="F37" i="3"/>
  <c r="G37" i="3"/>
  <c r="H37" i="3"/>
  <c r="I37" i="3"/>
  <c r="J37" i="3"/>
  <c r="K82" i="1"/>
  <c r="J83" i="1"/>
  <c r="AD37" i="1" l="1"/>
  <c r="AC38" i="1"/>
  <c r="K39" i="2"/>
  <c r="A38" i="2"/>
  <c r="C38" i="2"/>
  <c r="E38" i="2"/>
  <c r="J38" i="2"/>
  <c r="B38" i="2"/>
  <c r="D38" i="2"/>
  <c r="F38" i="2"/>
  <c r="G38" i="2"/>
  <c r="H38" i="2"/>
  <c r="I38" i="2"/>
  <c r="K39" i="5"/>
  <c r="A38" i="5"/>
  <c r="B38" i="5"/>
  <c r="C38" i="5"/>
  <c r="D38" i="5"/>
  <c r="E38" i="5"/>
  <c r="F38" i="5"/>
  <c r="G38" i="5"/>
  <c r="H38" i="5"/>
  <c r="I38" i="5"/>
  <c r="J38" i="5"/>
  <c r="K39" i="4"/>
  <c r="A38" i="4"/>
  <c r="B38" i="4"/>
  <c r="C38" i="4"/>
  <c r="D38" i="4"/>
  <c r="E38" i="4"/>
  <c r="F38" i="4"/>
  <c r="G38" i="4"/>
  <c r="H38" i="4"/>
  <c r="I38" i="4"/>
  <c r="J38" i="4"/>
  <c r="K39" i="3"/>
  <c r="A38" i="3"/>
  <c r="B38" i="3"/>
  <c r="C38" i="3"/>
  <c r="D38" i="3"/>
  <c r="E38" i="3"/>
  <c r="F38" i="3"/>
  <c r="G38" i="3"/>
  <c r="H38" i="3"/>
  <c r="I38" i="3"/>
  <c r="J38" i="3"/>
  <c r="J84" i="1"/>
  <c r="K83" i="1"/>
  <c r="AD38" i="1" l="1"/>
  <c r="AC39" i="1"/>
  <c r="K40" i="2"/>
  <c r="B39" i="2"/>
  <c r="D39" i="2"/>
  <c r="F39" i="2"/>
  <c r="H39" i="2"/>
  <c r="J39" i="2"/>
  <c r="A39" i="2"/>
  <c r="C39" i="2"/>
  <c r="E39" i="2"/>
  <c r="G39" i="2"/>
  <c r="I39" i="2"/>
  <c r="K40" i="5"/>
  <c r="A39" i="5"/>
  <c r="B39" i="5"/>
  <c r="C39" i="5"/>
  <c r="D39" i="5"/>
  <c r="E39" i="5"/>
  <c r="F39" i="5"/>
  <c r="G39" i="5"/>
  <c r="H39" i="5"/>
  <c r="I39" i="5"/>
  <c r="J39" i="5"/>
  <c r="K40" i="4"/>
  <c r="A39" i="4"/>
  <c r="B39" i="4"/>
  <c r="C39" i="4"/>
  <c r="D39" i="4"/>
  <c r="E39" i="4"/>
  <c r="F39" i="4"/>
  <c r="G39" i="4"/>
  <c r="H39" i="4"/>
  <c r="I39" i="4"/>
  <c r="J39" i="4"/>
  <c r="K40" i="3"/>
  <c r="A39" i="3"/>
  <c r="B39" i="3"/>
  <c r="C39" i="3"/>
  <c r="D39" i="3"/>
  <c r="E39" i="3"/>
  <c r="F39" i="3"/>
  <c r="G39" i="3"/>
  <c r="H39" i="3"/>
  <c r="I39" i="3"/>
  <c r="J39" i="3"/>
  <c r="K84" i="1"/>
  <c r="J85" i="1" a="1"/>
  <c r="J85" i="1" s="1"/>
  <c r="AD39" i="1" l="1"/>
  <c r="AC40" i="1"/>
  <c r="B40" i="2"/>
  <c r="D40" i="2"/>
  <c r="G40" i="2"/>
  <c r="J40" i="2"/>
  <c r="K41" i="2"/>
  <c r="A40" i="2"/>
  <c r="C40" i="2"/>
  <c r="E40" i="2"/>
  <c r="F40" i="2"/>
  <c r="H40" i="2"/>
  <c r="I40" i="2"/>
  <c r="K41" i="5"/>
  <c r="A40" i="5"/>
  <c r="B40" i="5"/>
  <c r="C40" i="5"/>
  <c r="D40" i="5"/>
  <c r="E40" i="5"/>
  <c r="F40" i="5"/>
  <c r="G40" i="5"/>
  <c r="H40" i="5"/>
  <c r="I40" i="5"/>
  <c r="J40" i="5"/>
  <c r="K41" i="4"/>
  <c r="A40" i="4"/>
  <c r="B40" i="4"/>
  <c r="C40" i="4"/>
  <c r="D40" i="4"/>
  <c r="E40" i="4"/>
  <c r="F40" i="4"/>
  <c r="G40" i="4"/>
  <c r="H40" i="4"/>
  <c r="I40" i="4"/>
  <c r="J40" i="4"/>
  <c r="K41" i="3"/>
  <c r="A40" i="3"/>
  <c r="B40" i="3"/>
  <c r="C40" i="3"/>
  <c r="D40" i="3"/>
  <c r="E40" i="3"/>
  <c r="F40" i="3"/>
  <c r="G40" i="3"/>
  <c r="H40" i="3"/>
  <c r="I40" i="3"/>
  <c r="J40" i="3"/>
  <c r="J86" i="1"/>
  <c r="K85" i="1"/>
  <c r="AD40" i="1" l="1"/>
  <c r="AC41" i="1"/>
  <c r="K42" i="2"/>
  <c r="B41" i="2"/>
  <c r="D41" i="2"/>
  <c r="F41" i="2"/>
  <c r="G41" i="2"/>
  <c r="H41" i="2"/>
  <c r="J41" i="2"/>
  <c r="A41" i="2"/>
  <c r="C41" i="2"/>
  <c r="E41" i="2"/>
  <c r="I41" i="2"/>
  <c r="K42" i="5"/>
  <c r="A41" i="5"/>
  <c r="B41" i="5"/>
  <c r="C41" i="5"/>
  <c r="D41" i="5"/>
  <c r="E41" i="5"/>
  <c r="F41" i="5"/>
  <c r="G41" i="5"/>
  <c r="H41" i="5"/>
  <c r="I41" i="5"/>
  <c r="J41" i="5"/>
  <c r="K42" i="4"/>
  <c r="A41" i="4"/>
  <c r="B41" i="4"/>
  <c r="C41" i="4"/>
  <c r="D41" i="4"/>
  <c r="E41" i="4"/>
  <c r="F41" i="4"/>
  <c r="G41" i="4"/>
  <c r="H41" i="4"/>
  <c r="I41" i="4"/>
  <c r="J41" i="4"/>
  <c r="K42" i="3"/>
  <c r="A41" i="3"/>
  <c r="B41" i="3"/>
  <c r="C41" i="3"/>
  <c r="D41" i="3"/>
  <c r="E41" i="3"/>
  <c r="F41" i="3"/>
  <c r="G41" i="3"/>
  <c r="H41" i="3"/>
  <c r="I41" i="3"/>
  <c r="J41" i="3"/>
  <c r="J87" i="1"/>
  <c r="K86" i="1"/>
  <c r="AD41" i="1" l="1"/>
  <c r="AC42" i="1"/>
  <c r="K43" i="2"/>
  <c r="B42" i="2"/>
  <c r="D42" i="2"/>
  <c r="F42" i="2"/>
  <c r="G42" i="2"/>
  <c r="H42" i="2"/>
  <c r="J42" i="2"/>
  <c r="A42" i="2"/>
  <c r="C42" i="2"/>
  <c r="E42" i="2"/>
  <c r="I42" i="2"/>
  <c r="K43" i="5"/>
  <c r="A42" i="5"/>
  <c r="B42" i="5"/>
  <c r="C42" i="5"/>
  <c r="D42" i="5"/>
  <c r="E42" i="5"/>
  <c r="F42" i="5"/>
  <c r="G42" i="5"/>
  <c r="H42" i="5"/>
  <c r="I42" i="5"/>
  <c r="J42" i="5"/>
  <c r="K43" i="4"/>
  <c r="A42" i="4"/>
  <c r="B42" i="4"/>
  <c r="C42" i="4"/>
  <c r="D42" i="4"/>
  <c r="E42" i="4"/>
  <c r="F42" i="4"/>
  <c r="G42" i="4"/>
  <c r="H42" i="4"/>
  <c r="I42" i="4"/>
  <c r="J42" i="4"/>
  <c r="K43" i="3"/>
  <c r="A42" i="3"/>
  <c r="B42" i="3"/>
  <c r="C42" i="3"/>
  <c r="D42" i="3"/>
  <c r="E42" i="3"/>
  <c r="F42" i="3"/>
  <c r="G42" i="3"/>
  <c r="H42" i="3"/>
  <c r="I42" i="3"/>
  <c r="J42" i="3"/>
  <c r="J88" i="1"/>
  <c r="K87" i="1"/>
  <c r="AD42" i="1" l="1"/>
  <c r="AC43" i="1"/>
  <c r="A43" i="2"/>
  <c r="C43" i="2"/>
  <c r="E43" i="2"/>
  <c r="F43" i="2"/>
  <c r="H43" i="2"/>
  <c r="I43" i="2"/>
  <c r="J43" i="2"/>
  <c r="K44" i="2"/>
  <c r="B43" i="2"/>
  <c r="D43" i="2"/>
  <c r="G43" i="2"/>
  <c r="K44" i="5"/>
  <c r="A43" i="5"/>
  <c r="B43" i="5"/>
  <c r="C43" i="5"/>
  <c r="D43" i="5"/>
  <c r="E43" i="5"/>
  <c r="F43" i="5"/>
  <c r="G43" i="5"/>
  <c r="H43" i="5"/>
  <c r="I43" i="5"/>
  <c r="J43" i="5"/>
  <c r="K44" i="4"/>
  <c r="A43" i="4"/>
  <c r="B43" i="4"/>
  <c r="C43" i="4"/>
  <c r="D43" i="4"/>
  <c r="E43" i="4"/>
  <c r="F43" i="4"/>
  <c r="G43" i="4"/>
  <c r="H43" i="4"/>
  <c r="I43" i="4"/>
  <c r="J43" i="4"/>
  <c r="K44" i="3"/>
  <c r="A43" i="3"/>
  <c r="B43" i="3"/>
  <c r="C43" i="3"/>
  <c r="D43" i="3"/>
  <c r="E43" i="3"/>
  <c r="F43" i="3"/>
  <c r="G43" i="3"/>
  <c r="H43" i="3"/>
  <c r="I43" i="3"/>
  <c r="J43" i="3"/>
  <c r="J89" i="1"/>
  <c r="K88" i="1"/>
  <c r="AD43" i="1" l="1"/>
  <c r="AC44" i="1"/>
  <c r="K45" i="2"/>
  <c r="B44" i="2"/>
  <c r="D44" i="2"/>
  <c r="H44" i="2"/>
  <c r="J44" i="2"/>
  <c r="A44" i="2"/>
  <c r="C44" i="2"/>
  <c r="E44" i="2"/>
  <c r="F44" i="2"/>
  <c r="G44" i="2"/>
  <c r="I44" i="2"/>
  <c r="K45" i="5"/>
  <c r="A44" i="5"/>
  <c r="B44" i="5"/>
  <c r="C44" i="5"/>
  <c r="D44" i="5"/>
  <c r="E44" i="5"/>
  <c r="F44" i="5"/>
  <c r="G44" i="5"/>
  <c r="H44" i="5"/>
  <c r="I44" i="5"/>
  <c r="J44" i="5"/>
  <c r="K45" i="4"/>
  <c r="A44" i="4"/>
  <c r="B44" i="4"/>
  <c r="C44" i="4"/>
  <c r="D44" i="4"/>
  <c r="E44" i="4"/>
  <c r="F44" i="4"/>
  <c r="G44" i="4"/>
  <c r="H44" i="4"/>
  <c r="I44" i="4"/>
  <c r="J44" i="4"/>
  <c r="K45" i="3"/>
  <c r="A44" i="3"/>
  <c r="B44" i="3"/>
  <c r="C44" i="3"/>
  <c r="D44" i="3"/>
  <c r="E44" i="3"/>
  <c r="F44" i="3"/>
  <c r="G44" i="3"/>
  <c r="H44" i="3"/>
  <c r="I44" i="3"/>
  <c r="J44" i="3"/>
  <c r="K89" i="1"/>
  <c r="J90" i="1"/>
  <c r="AD44" i="1" l="1"/>
  <c r="AC45" i="1"/>
  <c r="A45" i="2"/>
  <c r="D45" i="2"/>
  <c r="F45" i="2"/>
  <c r="H45" i="2"/>
  <c r="J45" i="2"/>
  <c r="K46" i="2"/>
  <c r="B45" i="2"/>
  <c r="C45" i="2"/>
  <c r="E45" i="2"/>
  <c r="G45" i="2"/>
  <c r="I45" i="2"/>
  <c r="K46" i="5"/>
  <c r="A45" i="5"/>
  <c r="B45" i="5"/>
  <c r="C45" i="5"/>
  <c r="D45" i="5"/>
  <c r="E45" i="5"/>
  <c r="F45" i="5"/>
  <c r="G45" i="5"/>
  <c r="H45" i="5"/>
  <c r="I45" i="5"/>
  <c r="J45" i="5"/>
  <c r="K46" i="4"/>
  <c r="A45" i="4"/>
  <c r="B45" i="4"/>
  <c r="C45" i="4"/>
  <c r="D45" i="4"/>
  <c r="E45" i="4"/>
  <c r="F45" i="4"/>
  <c r="G45" i="4"/>
  <c r="H45" i="4"/>
  <c r="I45" i="4"/>
  <c r="J45" i="4"/>
  <c r="K46" i="3"/>
  <c r="A45" i="3"/>
  <c r="B45" i="3"/>
  <c r="C45" i="3"/>
  <c r="D45" i="3"/>
  <c r="E45" i="3"/>
  <c r="F45" i="3"/>
  <c r="G45" i="3"/>
  <c r="H45" i="3"/>
  <c r="I45" i="3"/>
  <c r="J45" i="3"/>
  <c r="J91" i="1"/>
  <c r="K90" i="1"/>
  <c r="AD45" i="1" l="1"/>
  <c r="AC46" i="1"/>
  <c r="K47" i="2"/>
  <c r="B46" i="2"/>
  <c r="D46" i="2"/>
  <c r="E46" i="2"/>
  <c r="G46" i="2"/>
  <c r="H46" i="2"/>
  <c r="J46" i="2"/>
  <c r="A46" i="2"/>
  <c r="C46" i="2"/>
  <c r="F46" i="2"/>
  <c r="I46" i="2"/>
  <c r="K47" i="5"/>
  <c r="A46" i="5"/>
  <c r="B46" i="5"/>
  <c r="C46" i="5"/>
  <c r="D46" i="5"/>
  <c r="E46" i="5"/>
  <c r="F46" i="5"/>
  <c r="G46" i="5"/>
  <c r="H46" i="5"/>
  <c r="I46" i="5"/>
  <c r="J46" i="5"/>
  <c r="K47" i="4"/>
  <c r="A46" i="4"/>
  <c r="B46" i="4"/>
  <c r="C46" i="4"/>
  <c r="D46" i="4"/>
  <c r="E46" i="4"/>
  <c r="F46" i="4"/>
  <c r="G46" i="4"/>
  <c r="H46" i="4"/>
  <c r="I46" i="4"/>
  <c r="J46" i="4"/>
  <c r="K47" i="3"/>
  <c r="A46" i="3"/>
  <c r="B46" i="3"/>
  <c r="C46" i="3"/>
  <c r="D46" i="3"/>
  <c r="E46" i="3"/>
  <c r="F46" i="3"/>
  <c r="G46" i="3"/>
  <c r="H46" i="3"/>
  <c r="I46" i="3"/>
  <c r="J46" i="3"/>
  <c r="J92" i="1"/>
  <c r="K91" i="1"/>
  <c r="AD46" i="1" l="1"/>
  <c r="AC47" i="1"/>
  <c r="K48" i="2"/>
  <c r="B47" i="2"/>
  <c r="A47" i="2"/>
  <c r="C47" i="2"/>
  <c r="D47" i="2"/>
  <c r="E47" i="2"/>
  <c r="F47" i="2"/>
  <c r="G47" i="2"/>
  <c r="H47" i="2"/>
  <c r="I47" i="2"/>
  <c r="J47" i="2"/>
  <c r="K48" i="5"/>
  <c r="A47" i="5"/>
  <c r="B47" i="5"/>
  <c r="C47" i="5"/>
  <c r="D47" i="5"/>
  <c r="E47" i="5"/>
  <c r="F47" i="5"/>
  <c r="G47" i="5"/>
  <c r="H47" i="5"/>
  <c r="I47" i="5"/>
  <c r="J47" i="5"/>
  <c r="K48" i="4"/>
  <c r="A47" i="4"/>
  <c r="B47" i="4"/>
  <c r="C47" i="4"/>
  <c r="D47" i="4"/>
  <c r="E47" i="4"/>
  <c r="F47" i="4"/>
  <c r="G47" i="4"/>
  <c r="H47" i="4"/>
  <c r="I47" i="4"/>
  <c r="J47" i="4"/>
  <c r="K48" i="3"/>
  <c r="A47" i="3"/>
  <c r="B47" i="3"/>
  <c r="C47" i="3"/>
  <c r="D47" i="3"/>
  <c r="E47" i="3"/>
  <c r="F47" i="3"/>
  <c r="G47" i="3"/>
  <c r="H47" i="3"/>
  <c r="I47" i="3"/>
  <c r="J47" i="3"/>
  <c r="J93" i="1"/>
  <c r="K93" i="1" s="1"/>
  <c r="K92" i="1"/>
  <c r="AD47" i="1" l="1"/>
  <c r="AC48" i="1"/>
  <c r="K49" i="2"/>
  <c r="A48" i="2"/>
  <c r="B48" i="2"/>
  <c r="C48" i="2"/>
  <c r="D48" i="2"/>
  <c r="E48" i="2"/>
  <c r="F48" i="2"/>
  <c r="G48" i="2"/>
  <c r="H48" i="2"/>
  <c r="I48" i="2"/>
  <c r="J48" i="2"/>
  <c r="K49" i="5"/>
  <c r="A48" i="5"/>
  <c r="B48" i="5"/>
  <c r="C48" i="5"/>
  <c r="D48" i="5"/>
  <c r="E48" i="5"/>
  <c r="F48" i="5"/>
  <c r="G48" i="5"/>
  <c r="H48" i="5"/>
  <c r="I48" i="5"/>
  <c r="J48" i="5"/>
  <c r="K49" i="4"/>
  <c r="A48" i="4"/>
  <c r="B48" i="4"/>
  <c r="C48" i="4"/>
  <c r="D48" i="4"/>
  <c r="E48" i="4"/>
  <c r="F48" i="4"/>
  <c r="G48" i="4"/>
  <c r="H48" i="4"/>
  <c r="I48" i="4"/>
  <c r="J48" i="4"/>
  <c r="K49" i="3"/>
  <c r="A48" i="3"/>
  <c r="B48" i="3"/>
  <c r="C48" i="3"/>
  <c r="D48" i="3"/>
  <c r="E48" i="3"/>
  <c r="F48" i="3"/>
  <c r="G48" i="3"/>
  <c r="H48" i="3"/>
  <c r="I48" i="3"/>
  <c r="J48" i="3"/>
  <c r="AD48" i="1" l="1"/>
  <c r="AC49" i="1"/>
  <c r="K50" i="2"/>
  <c r="A49" i="2"/>
  <c r="B49" i="2"/>
  <c r="C49" i="2"/>
  <c r="D49" i="2"/>
  <c r="E49" i="2"/>
  <c r="F49" i="2"/>
  <c r="G49" i="2"/>
  <c r="H49" i="2"/>
  <c r="I49" i="2"/>
  <c r="J49" i="2"/>
  <c r="K50" i="5"/>
  <c r="A49" i="5"/>
  <c r="B49" i="5"/>
  <c r="C49" i="5"/>
  <c r="D49" i="5"/>
  <c r="E49" i="5"/>
  <c r="F49" i="5"/>
  <c r="G49" i="5"/>
  <c r="H49" i="5"/>
  <c r="I49" i="5"/>
  <c r="J49" i="5"/>
  <c r="K50" i="4"/>
  <c r="A49" i="4"/>
  <c r="B49" i="4"/>
  <c r="C49" i="4"/>
  <c r="D49" i="4"/>
  <c r="E49" i="4"/>
  <c r="F49" i="4"/>
  <c r="G49" i="4"/>
  <c r="H49" i="4"/>
  <c r="I49" i="4"/>
  <c r="J49" i="4"/>
  <c r="K50" i="3"/>
  <c r="A49" i="3"/>
  <c r="B49" i="3"/>
  <c r="C49" i="3"/>
  <c r="D49" i="3"/>
  <c r="E49" i="3"/>
  <c r="F49" i="3"/>
  <c r="G49" i="3"/>
  <c r="H49" i="3"/>
  <c r="I49" i="3"/>
  <c r="J49" i="3"/>
  <c r="AD49" i="1" l="1"/>
  <c r="AC50" i="1"/>
  <c r="K51" i="2"/>
  <c r="A50" i="2"/>
  <c r="B50" i="2"/>
  <c r="C50" i="2"/>
  <c r="D50" i="2"/>
  <c r="E50" i="2"/>
  <c r="F50" i="2"/>
  <c r="G50" i="2"/>
  <c r="H50" i="2"/>
  <c r="I50" i="2"/>
  <c r="J50" i="2"/>
  <c r="K51" i="5"/>
  <c r="A50" i="5"/>
  <c r="B50" i="5"/>
  <c r="C50" i="5"/>
  <c r="D50" i="5"/>
  <c r="E50" i="5"/>
  <c r="F50" i="5"/>
  <c r="G50" i="5"/>
  <c r="H50" i="5"/>
  <c r="I50" i="5"/>
  <c r="J50" i="5"/>
  <c r="K51" i="4"/>
  <c r="A50" i="4"/>
  <c r="B50" i="4"/>
  <c r="C50" i="4"/>
  <c r="D50" i="4"/>
  <c r="E50" i="4"/>
  <c r="F50" i="4"/>
  <c r="G50" i="4"/>
  <c r="H50" i="4"/>
  <c r="I50" i="4"/>
  <c r="J50" i="4"/>
  <c r="K51" i="3"/>
  <c r="A50" i="3"/>
  <c r="B50" i="3"/>
  <c r="C50" i="3"/>
  <c r="D50" i="3"/>
  <c r="E50" i="3"/>
  <c r="F50" i="3"/>
  <c r="G50" i="3"/>
  <c r="H50" i="3"/>
  <c r="I50" i="3"/>
  <c r="J50" i="3"/>
  <c r="AD50" i="1" l="1"/>
  <c r="AC51" i="1"/>
  <c r="K52" i="2"/>
  <c r="A51" i="2"/>
  <c r="B51" i="2"/>
  <c r="C51" i="2"/>
  <c r="D51" i="2"/>
  <c r="E51" i="2"/>
  <c r="F51" i="2"/>
  <c r="G51" i="2"/>
  <c r="H51" i="2"/>
  <c r="I51" i="2"/>
  <c r="J51" i="2"/>
  <c r="K52" i="5"/>
  <c r="A51" i="5"/>
  <c r="B51" i="5"/>
  <c r="C51" i="5"/>
  <c r="D51" i="5"/>
  <c r="E51" i="5"/>
  <c r="F51" i="5"/>
  <c r="G51" i="5"/>
  <c r="H51" i="5"/>
  <c r="I51" i="5"/>
  <c r="J51" i="5"/>
  <c r="K52" i="4"/>
  <c r="A51" i="4"/>
  <c r="B51" i="4"/>
  <c r="C51" i="4"/>
  <c r="D51" i="4"/>
  <c r="E51" i="4"/>
  <c r="F51" i="4"/>
  <c r="G51" i="4"/>
  <c r="H51" i="4"/>
  <c r="I51" i="4"/>
  <c r="J51" i="4"/>
  <c r="K52" i="3"/>
  <c r="A51" i="3"/>
  <c r="B51" i="3"/>
  <c r="C51" i="3"/>
  <c r="D51" i="3"/>
  <c r="E51" i="3"/>
  <c r="F51" i="3"/>
  <c r="G51" i="3"/>
  <c r="H51" i="3"/>
  <c r="I51" i="3"/>
  <c r="J51" i="3"/>
  <c r="AD51" i="1" l="1"/>
  <c r="AC52" i="1"/>
  <c r="K53" i="2"/>
  <c r="A52" i="2"/>
  <c r="B52" i="2"/>
  <c r="C52" i="2"/>
  <c r="D52" i="2"/>
  <c r="E52" i="2"/>
  <c r="F52" i="2"/>
  <c r="G52" i="2"/>
  <c r="H52" i="2"/>
  <c r="I52" i="2"/>
  <c r="J52" i="2"/>
  <c r="K53" i="5"/>
  <c r="A52" i="5"/>
  <c r="B52" i="5"/>
  <c r="C52" i="5"/>
  <c r="D52" i="5"/>
  <c r="E52" i="5"/>
  <c r="F52" i="5"/>
  <c r="G52" i="5"/>
  <c r="H52" i="5"/>
  <c r="I52" i="5"/>
  <c r="J52" i="5"/>
  <c r="K53" i="4"/>
  <c r="A52" i="4"/>
  <c r="B52" i="4"/>
  <c r="C52" i="4"/>
  <c r="D52" i="4"/>
  <c r="E52" i="4"/>
  <c r="F52" i="4"/>
  <c r="G52" i="4"/>
  <c r="H52" i="4"/>
  <c r="I52" i="4"/>
  <c r="J52" i="4"/>
  <c r="K53" i="3"/>
  <c r="A52" i="3"/>
  <c r="B52" i="3"/>
  <c r="C52" i="3"/>
  <c r="D52" i="3"/>
  <c r="E52" i="3"/>
  <c r="F52" i="3"/>
  <c r="G52" i="3"/>
  <c r="H52" i="3"/>
  <c r="I52" i="3"/>
  <c r="J52" i="3"/>
  <c r="AD52" i="1" l="1"/>
  <c r="AC53" i="1"/>
  <c r="K54" i="2"/>
  <c r="A53" i="2"/>
  <c r="B53" i="2"/>
  <c r="C53" i="2"/>
  <c r="D53" i="2"/>
  <c r="E53" i="2"/>
  <c r="F53" i="2"/>
  <c r="G53" i="2"/>
  <c r="H53" i="2"/>
  <c r="I53" i="2"/>
  <c r="J53" i="2"/>
  <c r="K54" i="5"/>
  <c r="A53" i="5"/>
  <c r="B53" i="5"/>
  <c r="C53" i="5"/>
  <c r="D53" i="5"/>
  <c r="E53" i="5"/>
  <c r="F53" i="5"/>
  <c r="G53" i="5"/>
  <c r="H53" i="5"/>
  <c r="I53" i="5"/>
  <c r="J53" i="5"/>
  <c r="K54" i="4"/>
  <c r="A53" i="4"/>
  <c r="B53" i="4"/>
  <c r="C53" i="4"/>
  <c r="D53" i="4"/>
  <c r="E53" i="4"/>
  <c r="F53" i="4"/>
  <c r="G53" i="4"/>
  <c r="H53" i="4"/>
  <c r="I53" i="4"/>
  <c r="J53" i="4"/>
  <c r="K54" i="3"/>
  <c r="A53" i="3"/>
  <c r="B53" i="3"/>
  <c r="C53" i="3"/>
  <c r="D53" i="3"/>
  <c r="E53" i="3"/>
  <c r="F53" i="3"/>
  <c r="G53" i="3"/>
  <c r="H53" i="3"/>
  <c r="I53" i="3"/>
  <c r="J53" i="3"/>
  <c r="AD53" i="1" l="1"/>
  <c r="AC54" i="1"/>
  <c r="K55" i="2"/>
  <c r="A54" i="2"/>
  <c r="B54" i="2"/>
  <c r="C54" i="2"/>
  <c r="D54" i="2"/>
  <c r="E54" i="2"/>
  <c r="F54" i="2"/>
  <c r="G54" i="2"/>
  <c r="H54" i="2"/>
  <c r="I54" i="2"/>
  <c r="J54" i="2"/>
  <c r="K55" i="5"/>
  <c r="A54" i="5"/>
  <c r="B54" i="5"/>
  <c r="C54" i="5"/>
  <c r="D54" i="5"/>
  <c r="E54" i="5"/>
  <c r="F54" i="5"/>
  <c r="G54" i="5"/>
  <c r="H54" i="5"/>
  <c r="I54" i="5"/>
  <c r="J54" i="5"/>
  <c r="K55" i="4"/>
  <c r="A54" i="4"/>
  <c r="B54" i="4"/>
  <c r="C54" i="4"/>
  <c r="D54" i="4"/>
  <c r="E54" i="4"/>
  <c r="F54" i="4"/>
  <c r="G54" i="4"/>
  <c r="H54" i="4"/>
  <c r="I54" i="4"/>
  <c r="J54" i="4"/>
  <c r="K55" i="3"/>
  <c r="A54" i="3"/>
  <c r="B54" i="3"/>
  <c r="C54" i="3"/>
  <c r="D54" i="3"/>
  <c r="E54" i="3"/>
  <c r="F54" i="3"/>
  <c r="G54" i="3"/>
  <c r="H54" i="3"/>
  <c r="I54" i="3"/>
  <c r="J54" i="3"/>
  <c r="AD54" i="1" l="1"/>
  <c r="AC55" i="1"/>
  <c r="K56" i="2"/>
  <c r="A55" i="2"/>
  <c r="B55" i="2"/>
  <c r="C55" i="2"/>
  <c r="D55" i="2"/>
  <c r="E55" i="2"/>
  <c r="F55" i="2"/>
  <c r="G55" i="2"/>
  <c r="H55" i="2"/>
  <c r="I55" i="2"/>
  <c r="J55" i="2"/>
  <c r="K56" i="5"/>
  <c r="A55" i="5"/>
  <c r="B55" i="5"/>
  <c r="C55" i="5"/>
  <c r="D55" i="5"/>
  <c r="E55" i="5"/>
  <c r="F55" i="5"/>
  <c r="G55" i="5"/>
  <c r="H55" i="5"/>
  <c r="I55" i="5"/>
  <c r="J55" i="5"/>
  <c r="K56" i="4"/>
  <c r="A55" i="4"/>
  <c r="B55" i="4"/>
  <c r="C55" i="4"/>
  <c r="D55" i="4"/>
  <c r="E55" i="4"/>
  <c r="F55" i="4"/>
  <c r="G55" i="4"/>
  <c r="H55" i="4"/>
  <c r="I55" i="4"/>
  <c r="J55" i="4"/>
  <c r="K56" i="3"/>
  <c r="A55" i="3"/>
  <c r="B55" i="3"/>
  <c r="C55" i="3"/>
  <c r="D55" i="3"/>
  <c r="E55" i="3"/>
  <c r="F55" i="3"/>
  <c r="G55" i="3"/>
  <c r="H55" i="3"/>
  <c r="I55" i="3"/>
  <c r="J55" i="3"/>
  <c r="AD55" i="1" l="1"/>
  <c r="AC56" i="1"/>
  <c r="K57" i="2"/>
  <c r="A56" i="2"/>
  <c r="B56" i="2"/>
  <c r="C56" i="2"/>
  <c r="D56" i="2"/>
  <c r="E56" i="2"/>
  <c r="F56" i="2"/>
  <c r="G56" i="2"/>
  <c r="H56" i="2"/>
  <c r="I56" i="2"/>
  <c r="J56" i="2"/>
  <c r="K57" i="5"/>
  <c r="A56" i="5"/>
  <c r="B56" i="5"/>
  <c r="C56" i="5"/>
  <c r="D56" i="5"/>
  <c r="E56" i="5"/>
  <c r="F56" i="5"/>
  <c r="G56" i="5"/>
  <c r="H56" i="5"/>
  <c r="I56" i="5"/>
  <c r="J56" i="5"/>
  <c r="K57" i="4"/>
  <c r="A56" i="4"/>
  <c r="B56" i="4"/>
  <c r="C56" i="4"/>
  <c r="D56" i="4"/>
  <c r="E56" i="4"/>
  <c r="F56" i="4"/>
  <c r="G56" i="4"/>
  <c r="H56" i="4"/>
  <c r="I56" i="4"/>
  <c r="J56" i="4"/>
  <c r="K57" i="3"/>
  <c r="A56" i="3"/>
  <c r="B56" i="3"/>
  <c r="C56" i="3"/>
  <c r="D56" i="3"/>
  <c r="E56" i="3"/>
  <c r="F56" i="3"/>
  <c r="G56" i="3"/>
  <c r="H56" i="3"/>
  <c r="I56" i="3"/>
  <c r="J56" i="3"/>
  <c r="AD56" i="1" l="1"/>
  <c r="AC57" i="1"/>
  <c r="K58" i="2"/>
  <c r="I57" i="2"/>
  <c r="A57" i="2"/>
  <c r="B57" i="2"/>
  <c r="C57" i="2"/>
  <c r="D57" i="2"/>
  <c r="E57" i="2"/>
  <c r="F57" i="2"/>
  <c r="G57" i="2"/>
  <c r="H57" i="2"/>
  <c r="J57" i="2"/>
  <c r="K58" i="5"/>
  <c r="A57" i="5"/>
  <c r="B57" i="5"/>
  <c r="C57" i="5"/>
  <c r="D57" i="5"/>
  <c r="E57" i="5"/>
  <c r="F57" i="5"/>
  <c r="G57" i="5"/>
  <c r="H57" i="5"/>
  <c r="I57" i="5"/>
  <c r="J57" i="5"/>
  <c r="K58" i="4"/>
  <c r="A57" i="4"/>
  <c r="B57" i="4"/>
  <c r="C57" i="4"/>
  <c r="D57" i="4"/>
  <c r="E57" i="4"/>
  <c r="F57" i="4"/>
  <c r="G57" i="4"/>
  <c r="H57" i="4"/>
  <c r="I57" i="4"/>
  <c r="J57" i="4"/>
  <c r="K58" i="3"/>
  <c r="A57" i="3"/>
  <c r="B57" i="3"/>
  <c r="C57" i="3"/>
  <c r="D57" i="3"/>
  <c r="E57" i="3"/>
  <c r="F57" i="3"/>
  <c r="G57" i="3"/>
  <c r="H57" i="3"/>
  <c r="I57" i="3"/>
  <c r="J57" i="3"/>
  <c r="AD57" i="1" l="1"/>
  <c r="AC58" i="1"/>
  <c r="K59" i="2"/>
  <c r="A58" i="2"/>
  <c r="B58" i="2"/>
  <c r="C58" i="2"/>
  <c r="D58" i="2"/>
  <c r="E58" i="2"/>
  <c r="F58" i="2"/>
  <c r="G58" i="2"/>
  <c r="H58" i="2"/>
  <c r="I58" i="2"/>
  <c r="J58" i="2"/>
  <c r="K59" i="5"/>
  <c r="A58" i="5"/>
  <c r="B58" i="5"/>
  <c r="C58" i="5"/>
  <c r="D58" i="5"/>
  <c r="E58" i="5"/>
  <c r="F58" i="5"/>
  <c r="G58" i="5"/>
  <c r="H58" i="5"/>
  <c r="I58" i="5"/>
  <c r="J58" i="5"/>
  <c r="K59" i="4"/>
  <c r="A58" i="4"/>
  <c r="B58" i="4"/>
  <c r="C58" i="4"/>
  <c r="D58" i="4"/>
  <c r="E58" i="4"/>
  <c r="F58" i="4"/>
  <c r="G58" i="4"/>
  <c r="H58" i="4"/>
  <c r="I58" i="4"/>
  <c r="J58" i="4"/>
  <c r="K59" i="3"/>
  <c r="A58" i="3"/>
  <c r="B58" i="3"/>
  <c r="C58" i="3"/>
  <c r="D58" i="3"/>
  <c r="E58" i="3"/>
  <c r="F58" i="3"/>
  <c r="G58" i="3"/>
  <c r="H58" i="3"/>
  <c r="I58" i="3"/>
  <c r="J58" i="3"/>
  <c r="AD58" i="1" l="1"/>
  <c r="AC59" i="1"/>
  <c r="C59" i="2"/>
  <c r="D59" i="2"/>
  <c r="E59" i="2"/>
  <c r="G59" i="2"/>
  <c r="I59" i="2"/>
  <c r="J59" i="2"/>
  <c r="K60" i="2"/>
  <c r="A59" i="2"/>
  <c r="B59" i="2"/>
  <c r="F59" i="2"/>
  <c r="H59" i="2"/>
  <c r="K60" i="5"/>
  <c r="A59" i="5"/>
  <c r="B59" i="5"/>
  <c r="C59" i="5"/>
  <c r="D59" i="5"/>
  <c r="E59" i="5"/>
  <c r="F59" i="5"/>
  <c r="G59" i="5"/>
  <c r="H59" i="5"/>
  <c r="I59" i="5"/>
  <c r="J59" i="5"/>
  <c r="K60" i="4"/>
  <c r="A59" i="4"/>
  <c r="B59" i="4"/>
  <c r="C59" i="4"/>
  <c r="D59" i="4"/>
  <c r="E59" i="4"/>
  <c r="F59" i="4"/>
  <c r="G59" i="4"/>
  <c r="H59" i="4"/>
  <c r="I59" i="4"/>
  <c r="J59" i="4"/>
  <c r="K60" i="3"/>
  <c r="A59" i="3"/>
  <c r="B59" i="3"/>
  <c r="C59" i="3"/>
  <c r="D59" i="3"/>
  <c r="E59" i="3"/>
  <c r="F59" i="3"/>
  <c r="G59" i="3"/>
  <c r="H59" i="3"/>
  <c r="I59" i="3"/>
  <c r="J59" i="3"/>
  <c r="AD59" i="1" l="1"/>
  <c r="AC60" i="1"/>
  <c r="B60" i="2"/>
  <c r="D60" i="2"/>
  <c r="H60" i="2"/>
  <c r="J60" i="2"/>
  <c r="K61" i="2"/>
  <c r="A60" i="2"/>
  <c r="C60" i="2"/>
  <c r="E60" i="2"/>
  <c r="F60" i="2"/>
  <c r="G60" i="2"/>
  <c r="I60" i="2"/>
  <c r="K61" i="5"/>
  <c r="A60" i="5"/>
  <c r="B60" i="5"/>
  <c r="C60" i="5"/>
  <c r="D60" i="5"/>
  <c r="E60" i="5"/>
  <c r="F60" i="5"/>
  <c r="G60" i="5"/>
  <c r="H60" i="5"/>
  <c r="I60" i="5"/>
  <c r="J60" i="5"/>
  <c r="K61" i="4"/>
  <c r="A60" i="4"/>
  <c r="B60" i="4"/>
  <c r="C60" i="4"/>
  <c r="D60" i="4"/>
  <c r="E60" i="4"/>
  <c r="F60" i="4"/>
  <c r="G60" i="4"/>
  <c r="H60" i="4"/>
  <c r="I60" i="4"/>
  <c r="J60" i="4"/>
  <c r="K61" i="3"/>
  <c r="A60" i="3"/>
  <c r="B60" i="3"/>
  <c r="C60" i="3"/>
  <c r="D60" i="3"/>
  <c r="E60" i="3"/>
  <c r="F60" i="3"/>
  <c r="G60" i="3"/>
  <c r="H60" i="3"/>
  <c r="I60" i="3"/>
  <c r="J60" i="3"/>
  <c r="AD60" i="1" l="1"/>
  <c r="AC61" i="1"/>
  <c r="B61" i="2"/>
  <c r="C61" i="2"/>
  <c r="F61" i="2"/>
  <c r="H61" i="2"/>
  <c r="J61" i="2"/>
  <c r="K62" i="2"/>
  <c r="A61" i="2"/>
  <c r="D61" i="2"/>
  <c r="E61" i="2"/>
  <c r="G61" i="2"/>
  <c r="I61" i="2"/>
  <c r="K62" i="5"/>
  <c r="A61" i="5"/>
  <c r="B61" i="5"/>
  <c r="C61" i="5"/>
  <c r="D61" i="5"/>
  <c r="E61" i="5"/>
  <c r="F61" i="5"/>
  <c r="G61" i="5"/>
  <c r="H61" i="5"/>
  <c r="I61" i="5"/>
  <c r="J61" i="5"/>
  <c r="K62" i="4"/>
  <c r="A61" i="4"/>
  <c r="B61" i="4"/>
  <c r="C61" i="4"/>
  <c r="D61" i="4"/>
  <c r="E61" i="4"/>
  <c r="F61" i="4"/>
  <c r="G61" i="4"/>
  <c r="H61" i="4"/>
  <c r="I61" i="4"/>
  <c r="J61" i="4"/>
  <c r="K62" i="3"/>
  <c r="A61" i="3"/>
  <c r="B61" i="3"/>
  <c r="C61" i="3"/>
  <c r="D61" i="3"/>
  <c r="E61" i="3"/>
  <c r="F61" i="3"/>
  <c r="G61" i="3"/>
  <c r="H61" i="3"/>
  <c r="I61" i="3"/>
  <c r="J61" i="3"/>
  <c r="AD61" i="1" l="1"/>
  <c r="AC62" i="1"/>
  <c r="K63" i="2"/>
  <c r="B62" i="2"/>
  <c r="D62" i="2"/>
  <c r="F62" i="2"/>
  <c r="H62" i="2"/>
  <c r="A62" i="2"/>
  <c r="C62" i="2"/>
  <c r="E62" i="2"/>
  <c r="G62" i="2"/>
  <c r="I62" i="2"/>
  <c r="J62" i="2"/>
  <c r="K63" i="5"/>
  <c r="A62" i="5"/>
  <c r="B62" i="5"/>
  <c r="C62" i="5"/>
  <c r="D62" i="5"/>
  <c r="E62" i="5"/>
  <c r="F62" i="5"/>
  <c r="G62" i="5"/>
  <c r="H62" i="5"/>
  <c r="I62" i="5"/>
  <c r="J62" i="5"/>
  <c r="K63" i="4"/>
  <c r="A62" i="4"/>
  <c r="B62" i="4"/>
  <c r="C62" i="4"/>
  <c r="D62" i="4"/>
  <c r="E62" i="4"/>
  <c r="F62" i="4"/>
  <c r="G62" i="4"/>
  <c r="H62" i="4"/>
  <c r="I62" i="4"/>
  <c r="J62" i="4"/>
  <c r="K63" i="3"/>
  <c r="A62" i="3"/>
  <c r="B62" i="3"/>
  <c r="C62" i="3"/>
  <c r="D62" i="3"/>
  <c r="E62" i="3"/>
  <c r="F62" i="3"/>
  <c r="G62" i="3"/>
  <c r="H62" i="3"/>
  <c r="I62" i="3"/>
  <c r="J62" i="3"/>
  <c r="AD62" i="1" l="1"/>
  <c r="AC63" i="1"/>
  <c r="K64" i="2"/>
  <c r="A63" i="2"/>
  <c r="C63" i="2"/>
  <c r="E63" i="2"/>
  <c r="G63" i="2"/>
  <c r="J63" i="2"/>
  <c r="B63" i="2"/>
  <c r="D63" i="2"/>
  <c r="F63" i="2"/>
  <c r="H63" i="2"/>
  <c r="I63" i="2"/>
  <c r="K64" i="5"/>
  <c r="A63" i="5"/>
  <c r="B63" i="5"/>
  <c r="C63" i="5"/>
  <c r="D63" i="5"/>
  <c r="E63" i="5"/>
  <c r="F63" i="5"/>
  <c r="G63" i="5"/>
  <c r="H63" i="5"/>
  <c r="I63" i="5"/>
  <c r="J63" i="5"/>
  <c r="K64" i="4"/>
  <c r="A63" i="4"/>
  <c r="B63" i="4"/>
  <c r="C63" i="4"/>
  <c r="D63" i="4"/>
  <c r="E63" i="4"/>
  <c r="F63" i="4"/>
  <c r="G63" i="4"/>
  <c r="H63" i="4"/>
  <c r="I63" i="4"/>
  <c r="J63" i="4"/>
  <c r="K64" i="3"/>
  <c r="A63" i="3"/>
  <c r="B63" i="3"/>
  <c r="C63" i="3"/>
  <c r="D63" i="3"/>
  <c r="E63" i="3"/>
  <c r="F63" i="3"/>
  <c r="G63" i="3"/>
  <c r="H63" i="3"/>
  <c r="I63" i="3"/>
  <c r="J63" i="3"/>
  <c r="AD63" i="1" l="1"/>
  <c r="AC64" i="1"/>
  <c r="K65" i="2"/>
  <c r="A64" i="2"/>
  <c r="C64" i="2"/>
  <c r="F64" i="2"/>
  <c r="J64" i="2"/>
  <c r="B64" i="2"/>
  <c r="D64" i="2"/>
  <c r="E64" i="2"/>
  <c r="G64" i="2"/>
  <c r="H64" i="2"/>
  <c r="I64" i="2"/>
  <c r="K65" i="5"/>
  <c r="A64" i="5"/>
  <c r="B64" i="5"/>
  <c r="C64" i="5"/>
  <c r="D64" i="5"/>
  <c r="E64" i="5"/>
  <c r="F64" i="5"/>
  <c r="G64" i="5"/>
  <c r="H64" i="5"/>
  <c r="I64" i="5"/>
  <c r="J64" i="5"/>
  <c r="K65" i="4"/>
  <c r="A64" i="4"/>
  <c r="B64" i="4"/>
  <c r="C64" i="4"/>
  <c r="D64" i="4"/>
  <c r="E64" i="4"/>
  <c r="F64" i="4"/>
  <c r="G64" i="4"/>
  <c r="H64" i="4"/>
  <c r="I64" i="4"/>
  <c r="J64" i="4"/>
  <c r="K65" i="3"/>
  <c r="A64" i="3"/>
  <c r="B64" i="3"/>
  <c r="C64" i="3"/>
  <c r="D64" i="3"/>
  <c r="E64" i="3"/>
  <c r="F64" i="3"/>
  <c r="G64" i="3"/>
  <c r="H64" i="3"/>
  <c r="I64" i="3"/>
  <c r="J64" i="3"/>
  <c r="AD64" i="1" l="1"/>
  <c r="AC65" i="1"/>
  <c r="A65" i="2"/>
  <c r="C65" i="2"/>
  <c r="H65" i="2"/>
  <c r="J65" i="2"/>
  <c r="K66" i="2"/>
  <c r="B65" i="2"/>
  <c r="D65" i="2"/>
  <c r="E65" i="2"/>
  <c r="F65" i="2"/>
  <c r="G65" i="2"/>
  <c r="I65" i="2"/>
  <c r="K66" i="5"/>
  <c r="A65" i="5"/>
  <c r="B65" i="5"/>
  <c r="C65" i="5"/>
  <c r="D65" i="5"/>
  <c r="E65" i="5"/>
  <c r="F65" i="5"/>
  <c r="G65" i="5"/>
  <c r="H65" i="5"/>
  <c r="I65" i="5"/>
  <c r="J65" i="5"/>
  <c r="K66" i="4"/>
  <c r="A65" i="4"/>
  <c r="B65" i="4"/>
  <c r="C65" i="4"/>
  <c r="D65" i="4"/>
  <c r="E65" i="4"/>
  <c r="F65" i="4"/>
  <c r="G65" i="4"/>
  <c r="H65" i="4"/>
  <c r="I65" i="4"/>
  <c r="J65" i="4"/>
  <c r="K66" i="3"/>
  <c r="A65" i="3"/>
  <c r="B65" i="3"/>
  <c r="C65" i="3"/>
  <c r="D65" i="3"/>
  <c r="E65" i="3"/>
  <c r="F65" i="3"/>
  <c r="G65" i="3"/>
  <c r="H65" i="3"/>
  <c r="I65" i="3"/>
  <c r="J65" i="3"/>
  <c r="AD65" i="1" l="1"/>
  <c r="AC66" i="1"/>
  <c r="B66" i="2"/>
  <c r="C66" i="2"/>
  <c r="D66" i="2"/>
  <c r="E66" i="2"/>
  <c r="G66" i="2"/>
  <c r="H66" i="2"/>
  <c r="J66" i="2"/>
  <c r="K67" i="2"/>
  <c r="A66" i="2"/>
  <c r="F66" i="2"/>
  <c r="I66" i="2"/>
  <c r="K67" i="5"/>
  <c r="A66" i="5"/>
  <c r="B66" i="5"/>
  <c r="C66" i="5"/>
  <c r="D66" i="5"/>
  <c r="E66" i="5"/>
  <c r="F66" i="5"/>
  <c r="G66" i="5"/>
  <c r="H66" i="5"/>
  <c r="I66" i="5"/>
  <c r="J66" i="5"/>
  <c r="K67" i="4"/>
  <c r="A66" i="4"/>
  <c r="B66" i="4"/>
  <c r="C66" i="4"/>
  <c r="D66" i="4"/>
  <c r="E66" i="4"/>
  <c r="F66" i="4"/>
  <c r="G66" i="4"/>
  <c r="H66" i="4"/>
  <c r="I66" i="4"/>
  <c r="J66" i="4"/>
  <c r="K67" i="3"/>
  <c r="A66" i="3"/>
  <c r="B66" i="3"/>
  <c r="C66" i="3"/>
  <c r="D66" i="3"/>
  <c r="E66" i="3"/>
  <c r="F66" i="3"/>
  <c r="G66" i="3"/>
  <c r="H66" i="3"/>
  <c r="I66" i="3"/>
  <c r="J66" i="3"/>
  <c r="AD66" i="1" l="1"/>
  <c r="AC67" i="1"/>
  <c r="K68" i="2"/>
  <c r="E67" i="2"/>
  <c r="G67" i="2"/>
  <c r="J67" i="2"/>
  <c r="A67" i="2"/>
  <c r="B67" i="2"/>
  <c r="C67" i="2"/>
  <c r="D67" i="2"/>
  <c r="F67" i="2"/>
  <c r="H67" i="2"/>
  <c r="I67" i="2"/>
  <c r="K68" i="5"/>
  <c r="A67" i="5"/>
  <c r="B67" i="5"/>
  <c r="C67" i="5"/>
  <c r="D67" i="5"/>
  <c r="E67" i="5"/>
  <c r="F67" i="5"/>
  <c r="G67" i="5"/>
  <c r="H67" i="5"/>
  <c r="I67" i="5"/>
  <c r="J67" i="5"/>
  <c r="K68" i="4"/>
  <c r="A67" i="4"/>
  <c r="B67" i="4"/>
  <c r="C67" i="4"/>
  <c r="D67" i="4"/>
  <c r="E67" i="4"/>
  <c r="F67" i="4"/>
  <c r="G67" i="4"/>
  <c r="H67" i="4"/>
  <c r="I67" i="4"/>
  <c r="J67" i="4"/>
  <c r="K68" i="3"/>
  <c r="A67" i="3"/>
  <c r="B67" i="3"/>
  <c r="C67" i="3"/>
  <c r="D67" i="3"/>
  <c r="E67" i="3"/>
  <c r="F67" i="3"/>
  <c r="G67" i="3"/>
  <c r="H67" i="3"/>
  <c r="I67" i="3"/>
  <c r="J67" i="3"/>
  <c r="AD67" i="1" l="1"/>
  <c r="AC68" i="1"/>
  <c r="K69" i="2"/>
  <c r="A68" i="2"/>
  <c r="D68" i="2"/>
  <c r="H68" i="2"/>
  <c r="B68" i="2"/>
  <c r="C68" i="2"/>
  <c r="E68" i="2"/>
  <c r="F68" i="2"/>
  <c r="G68" i="2"/>
  <c r="I68" i="2"/>
  <c r="J68" i="2"/>
  <c r="K69" i="5"/>
  <c r="A68" i="5"/>
  <c r="B68" i="5"/>
  <c r="C68" i="5"/>
  <c r="D68" i="5"/>
  <c r="E68" i="5"/>
  <c r="F68" i="5"/>
  <c r="G68" i="5"/>
  <c r="H68" i="5"/>
  <c r="I68" i="5"/>
  <c r="J68" i="5"/>
  <c r="K69" i="4"/>
  <c r="A68" i="4"/>
  <c r="B68" i="4"/>
  <c r="C68" i="4"/>
  <c r="D68" i="4"/>
  <c r="E68" i="4"/>
  <c r="F68" i="4"/>
  <c r="G68" i="4"/>
  <c r="H68" i="4"/>
  <c r="I68" i="4"/>
  <c r="J68" i="4"/>
  <c r="K69" i="3"/>
  <c r="A68" i="3"/>
  <c r="B68" i="3"/>
  <c r="C68" i="3"/>
  <c r="D68" i="3"/>
  <c r="E68" i="3"/>
  <c r="F68" i="3"/>
  <c r="G68" i="3"/>
  <c r="H68" i="3"/>
  <c r="I68" i="3"/>
  <c r="J68" i="3"/>
  <c r="AD68" i="1" l="1"/>
  <c r="AC69" i="1"/>
  <c r="A69" i="2"/>
  <c r="D69" i="2"/>
  <c r="F69" i="2"/>
  <c r="J69" i="2"/>
  <c r="K70" i="2"/>
  <c r="B69" i="2"/>
  <c r="C69" i="2"/>
  <c r="E69" i="2"/>
  <c r="G69" i="2"/>
  <c r="H69" i="2"/>
  <c r="I69" i="2"/>
  <c r="K70" i="5"/>
  <c r="A69" i="5"/>
  <c r="B69" i="5"/>
  <c r="C69" i="5"/>
  <c r="D69" i="5"/>
  <c r="E69" i="5"/>
  <c r="F69" i="5"/>
  <c r="G69" i="5"/>
  <c r="H69" i="5"/>
  <c r="I69" i="5"/>
  <c r="J69" i="5"/>
  <c r="K70" i="4"/>
  <c r="A69" i="4"/>
  <c r="B69" i="4"/>
  <c r="C69" i="4"/>
  <c r="D69" i="4"/>
  <c r="E69" i="4"/>
  <c r="F69" i="4"/>
  <c r="G69" i="4"/>
  <c r="H69" i="4"/>
  <c r="I69" i="4"/>
  <c r="J69" i="4"/>
  <c r="K70" i="3"/>
  <c r="A69" i="3"/>
  <c r="B69" i="3"/>
  <c r="C69" i="3"/>
  <c r="D69" i="3"/>
  <c r="E69" i="3"/>
  <c r="F69" i="3"/>
  <c r="G69" i="3"/>
  <c r="H69" i="3"/>
  <c r="I69" i="3"/>
  <c r="J69" i="3"/>
  <c r="AD69" i="1" l="1"/>
  <c r="AC70" i="1"/>
  <c r="B70" i="2"/>
  <c r="D70" i="2"/>
  <c r="F70" i="2"/>
  <c r="G70" i="2"/>
  <c r="I70" i="2"/>
  <c r="J70" i="2"/>
  <c r="K71" i="2"/>
  <c r="A70" i="2"/>
  <c r="C70" i="2"/>
  <c r="E70" i="2"/>
  <c r="H70" i="2"/>
  <c r="K71" i="5"/>
  <c r="A70" i="5"/>
  <c r="B70" i="5"/>
  <c r="C70" i="5"/>
  <c r="D70" i="5"/>
  <c r="E70" i="5"/>
  <c r="F70" i="5"/>
  <c r="G70" i="5"/>
  <c r="H70" i="5"/>
  <c r="I70" i="5"/>
  <c r="J70" i="5"/>
  <c r="K71" i="4"/>
  <c r="A70" i="4"/>
  <c r="B70" i="4"/>
  <c r="C70" i="4"/>
  <c r="D70" i="4"/>
  <c r="E70" i="4"/>
  <c r="F70" i="4"/>
  <c r="G70" i="4"/>
  <c r="H70" i="4"/>
  <c r="I70" i="4"/>
  <c r="J70" i="4"/>
  <c r="K71" i="3"/>
  <c r="A70" i="3"/>
  <c r="B70" i="3"/>
  <c r="C70" i="3"/>
  <c r="D70" i="3"/>
  <c r="E70" i="3"/>
  <c r="F70" i="3"/>
  <c r="G70" i="3"/>
  <c r="H70" i="3"/>
  <c r="I70" i="3"/>
  <c r="J70" i="3"/>
  <c r="AD70" i="1" l="1"/>
  <c r="AC71" i="1"/>
  <c r="K72" i="2"/>
  <c r="B71" i="2"/>
  <c r="E71" i="2"/>
  <c r="G71" i="2"/>
  <c r="H71" i="2"/>
  <c r="J71" i="2"/>
  <c r="A71" i="2"/>
  <c r="C71" i="2"/>
  <c r="D71" i="2"/>
  <c r="F71" i="2"/>
  <c r="I71" i="2"/>
  <c r="K72" i="5"/>
  <c r="A71" i="5"/>
  <c r="B71" i="5"/>
  <c r="C71" i="5"/>
  <c r="D71" i="5"/>
  <c r="E71" i="5"/>
  <c r="F71" i="5"/>
  <c r="G71" i="5"/>
  <c r="H71" i="5"/>
  <c r="I71" i="5"/>
  <c r="J71" i="5"/>
  <c r="K72" i="4"/>
  <c r="A71" i="4"/>
  <c r="B71" i="4"/>
  <c r="C71" i="4"/>
  <c r="D71" i="4"/>
  <c r="E71" i="4"/>
  <c r="F71" i="4"/>
  <c r="G71" i="4"/>
  <c r="H71" i="4"/>
  <c r="I71" i="4"/>
  <c r="J71" i="4"/>
  <c r="K72" i="3"/>
  <c r="A71" i="3"/>
  <c r="B71" i="3"/>
  <c r="C71" i="3"/>
  <c r="D71" i="3"/>
  <c r="E71" i="3"/>
  <c r="F71" i="3"/>
  <c r="G71" i="3"/>
  <c r="H71" i="3"/>
  <c r="I71" i="3"/>
  <c r="J71" i="3"/>
  <c r="AD71" i="1" l="1"/>
  <c r="AC72" i="1"/>
  <c r="B72" i="2"/>
  <c r="D72" i="2"/>
  <c r="I72" i="2"/>
  <c r="K73" i="2"/>
  <c r="A72" i="2"/>
  <c r="C72" i="2"/>
  <c r="E72" i="2"/>
  <c r="F72" i="2"/>
  <c r="G72" i="2"/>
  <c r="H72" i="2"/>
  <c r="J72" i="2"/>
  <c r="K73" i="5"/>
  <c r="A72" i="5"/>
  <c r="B72" i="5"/>
  <c r="C72" i="5"/>
  <c r="D72" i="5"/>
  <c r="E72" i="5"/>
  <c r="F72" i="5"/>
  <c r="G72" i="5"/>
  <c r="H72" i="5"/>
  <c r="I72" i="5"/>
  <c r="J72" i="5"/>
  <c r="K73" i="4"/>
  <c r="A72" i="4"/>
  <c r="B72" i="4"/>
  <c r="C72" i="4"/>
  <c r="D72" i="4"/>
  <c r="E72" i="4"/>
  <c r="F72" i="4"/>
  <c r="G72" i="4"/>
  <c r="H72" i="4"/>
  <c r="I72" i="4"/>
  <c r="J72" i="4"/>
  <c r="K73" i="3"/>
  <c r="A72" i="3"/>
  <c r="B72" i="3"/>
  <c r="C72" i="3"/>
  <c r="D72" i="3"/>
  <c r="E72" i="3"/>
  <c r="F72" i="3"/>
  <c r="G72" i="3"/>
  <c r="H72" i="3"/>
  <c r="I72" i="3"/>
  <c r="J72" i="3"/>
  <c r="AD72" i="1" l="1"/>
  <c r="AC73" i="1"/>
  <c r="B73" i="2"/>
  <c r="D73" i="2"/>
  <c r="F73" i="2"/>
  <c r="G73" i="2"/>
  <c r="I73" i="2"/>
  <c r="J73" i="2"/>
  <c r="K74" i="2"/>
  <c r="A73" i="2"/>
  <c r="C73" i="2"/>
  <c r="E73" i="2"/>
  <c r="H73" i="2"/>
  <c r="K74" i="5"/>
  <c r="A73" i="5"/>
  <c r="B73" i="5"/>
  <c r="C73" i="5"/>
  <c r="D73" i="5"/>
  <c r="E73" i="5"/>
  <c r="F73" i="5"/>
  <c r="G73" i="5"/>
  <c r="H73" i="5"/>
  <c r="I73" i="5"/>
  <c r="J73" i="5"/>
  <c r="K74" i="4"/>
  <c r="A73" i="4"/>
  <c r="B73" i="4"/>
  <c r="C73" i="4"/>
  <c r="D73" i="4"/>
  <c r="E73" i="4"/>
  <c r="F73" i="4"/>
  <c r="G73" i="4"/>
  <c r="H73" i="4"/>
  <c r="I73" i="4"/>
  <c r="J73" i="4"/>
  <c r="K74" i="3"/>
  <c r="A73" i="3"/>
  <c r="B73" i="3"/>
  <c r="C73" i="3"/>
  <c r="D73" i="3"/>
  <c r="E73" i="3"/>
  <c r="F73" i="3"/>
  <c r="G73" i="3"/>
  <c r="H73" i="3"/>
  <c r="I73" i="3"/>
  <c r="J73" i="3"/>
  <c r="AD73" i="1" l="1"/>
  <c r="AC74" i="1"/>
  <c r="K75" i="2"/>
  <c r="B74" i="2"/>
  <c r="C74" i="2"/>
  <c r="D74" i="2"/>
  <c r="F74" i="2"/>
  <c r="H74" i="2"/>
  <c r="J74" i="2"/>
  <c r="A74" i="2"/>
  <c r="E74" i="2"/>
  <c r="G74" i="2"/>
  <c r="I74" i="2"/>
  <c r="K75" i="5"/>
  <c r="A74" i="5"/>
  <c r="B74" i="5"/>
  <c r="C74" i="5"/>
  <c r="D74" i="5"/>
  <c r="E74" i="5"/>
  <c r="F74" i="5"/>
  <c r="G74" i="5"/>
  <c r="H74" i="5"/>
  <c r="I74" i="5"/>
  <c r="J74" i="5"/>
  <c r="K75" i="4"/>
  <c r="A74" i="4"/>
  <c r="B74" i="4"/>
  <c r="C74" i="4"/>
  <c r="D74" i="4"/>
  <c r="E74" i="4"/>
  <c r="F74" i="4"/>
  <c r="G74" i="4"/>
  <c r="H74" i="4"/>
  <c r="I74" i="4"/>
  <c r="J74" i="4"/>
  <c r="K75" i="3"/>
  <c r="A74" i="3"/>
  <c r="B74" i="3"/>
  <c r="C74" i="3"/>
  <c r="D74" i="3"/>
  <c r="E74" i="3"/>
  <c r="F74" i="3"/>
  <c r="G74" i="3"/>
  <c r="H74" i="3"/>
  <c r="I74" i="3"/>
  <c r="J74" i="3"/>
  <c r="AD74" i="1" l="1"/>
  <c r="AC75" i="1"/>
  <c r="A75" i="2"/>
  <c r="B75" i="2"/>
  <c r="E75" i="2"/>
  <c r="G75" i="2"/>
  <c r="J75" i="2"/>
  <c r="K76" i="2"/>
  <c r="C75" i="2"/>
  <c r="D75" i="2"/>
  <c r="F75" i="2"/>
  <c r="H75" i="2"/>
  <c r="I75" i="2"/>
  <c r="K76" i="5"/>
  <c r="A75" i="5"/>
  <c r="B75" i="5"/>
  <c r="C75" i="5"/>
  <c r="D75" i="5"/>
  <c r="E75" i="5"/>
  <c r="F75" i="5"/>
  <c r="G75" i="5"/>
  <c r="H75" i="5"/>
  <c r="I75" i="5"/>
  <c r="J75" i="5"/>
  <c r="K76" i="4"/>
  <c r="A75" i="4"/>
  <c r="B75" i="4"/>
  <c r="C75" i="4"/>
  <c r="D75" i="4"/>
  <c r="E75" i="4"/>
  <c r="F75" i="4"/>
  <c r="G75" i="4"/>
  <c r="H75" i="4"/>
  <c r="I75" i="4"/>
  <c r="J75" i="4"/>
  <c r="K76" i="3"/>
  <c r="A75" i="3"/>
  <c r="B75" i="3"/>
  <c r="C75" i="3"/>
  <c r="D75" i="3"/>
  <c r="E75" i="3"/>
  <c r="F75" i="3"/>
  <c r="G75" i="3"/>
  <c r="H75" i="3"/>
  <c r="I75" i="3"/>
  <c r="J75" i="3"/>
  <c r="AD75" i="1" l="1"/>
  <c r="AC76" i="1"/>
  <c r="K77" i="2"/>
  <c r="B76" i="2"/>
  <c r="D76" i="2"/>
  <c r="E76" i="2"/>
  <c r="G76" i="2"/>
  <c r="H76" i="2"/>
  <c r="I76" i="2"/>
  <c r="J76" i="2"/>
  <c r="A76" i="2"/>
  <c r="C76" i="2"/>
  <c r="F76" i="2"/>
  <c r="K77" i="5"/>
  <c r="A76" i="5"/>
  <c r="B76" i="5"/>
  <c r="C76" i="5"/>
  <c r="D76" i="5"/>
  <c r="E76" i="5"/>
  <c r="F76" i="5"/>
  <c r="G76" i="5"/>
  <c r="H76" i="5"/>
  <c r="I76" i="5"/>
  <c r="J76" i="5"/>
  <c r="K77" i="4"/>
  <c r="A76" i="4"/>
  <c r="B76" i="4"/>
  <c r="C76" i="4"/>
  <c r="D76" i="4"/>
  <c r="E76" i="4"/>
  <c r="F76" i="4"/>
  <c r="G76" i="4"/>
  <c r="H76" i="4"/>
  <c r="I76" i="4"/>
  <c r="J76" i="4"/>
  <c r="K77" i="3"/>
  <c r="A76" i="3"/>
  <c r="B76" i="3"/>
  <c r="C76" i="3"/>
  <c r="D76" i="3"/>
  <c r="E76" i="3"/>
  <c r="F76" i="3"/>
  <c r="G76" i="3"/>
  <c r="H76" i="3"/>
  <c r="I76" i="3"/>
  <c r="J76" i="3"/>
  <c r="AD76" i="1" l="1"/>
  <c r="AC77" i="1"/>
  <c r="K78" i="2"/>
  <c r="A77" i="2"/>
  <c r="B77" i="2"/>
  <c r="C77" i="2"/>
  <c r="D77" i="2"/>
  <c r="F77" i="2"/>
  <c r="G77" i="2"/>
  <c r="H77" i="2"/>
  <c r="I77" i="2"/>
  <c r="J77" i="2"/>
  <c r="E77" i="2"/>
  <c r="K78" i="5"/>
  <c r="A77" i="5"/>
  <c r="B77" i="5"/>
  <c r="C77" i="5"/>
  <c r="D77" i="5"/>
  <c r="E77" i="5"/>
  <c r="F77" i="5"/>
  <c r="G77" i="5"/>
  <c r="H77" i="5"/>
  <c r="I77" i="5"/>
  <c r="J77" i="5"/>
  <c r="K78" i="4"/>
  <c r="A77" i="4"/>
  <c r="B77" i="4"/>
  <c r="C77" i="4"/>
  <c r="D77" i="4"/>
  <c r="E77" i="4"/>
  <c r="F77" i="4"/>
  <c r="G77" i="4"/>
  <c r="H77" i="4"/>
  <c r="I77" i="4"/>
  <c r="J77" i="4"/>
  <c r="K78" i="3"/>
  <c r="A77" i="3"/>
  <c r="B77" i="3"/>
  <c r="C77" i="3"/>
  <c r="D77" i="3"/>
  <c r="E77" i="3"/>
  <c r="F77" i="3"/>
  <c r="G77" i="3"/>
  <c r="H77" i="3"/>
  <c r="I77" i="3"/>
  <c r="J77" i="3"/>
  <c r="AD77" i="1" l="1"/>
  <c r="AC78" i="1"/>
  <c r="A78" i="2"/>
  <c r="B78" i="2"/>
  <c r="D78" i="2"/>
  <c r="E78" i="2"/>
  <c r="G78" i="2"/>
  <c r="H78" i="2"/>
  <c r="J78" i="2"/>
  <c r="K79" i="2"/>
  <c r="C78" i="2"/>
  <c r="F78" i="2"/>
  <c r="I78" i="2"/>
  <c r="K79" i="5"/>
  <c r="A78" i="5"/>
  <c r="B78" i="5"/>
  <c r="C78" i="5"/>
  <c r="D78" i="5"/>
  <c r="E78" i="5"/>
  <c r="F78" i="5"/>
  <c r="G78" i="5"/>
  <c r="H78" i="5"/>
  <c r="I78" i="5"/>
  <c r="J78" i="5"/>
  <c r="K79" i="4"/>
  <c r="A78" i="4"/>
  <c r="B78" i="4"/>
  <c r="C78" i="4"/>
  <c r="D78" i="4"/>
  <c r="E78" i="4"/>
  <c r="F78" i="4"/>
  <c r="G78" i="4"/>
  <c r="H78" i="4"/>
  <c r="I78" i="4"/>
  <c r="J78" i="4"/>
  <c r="K79" i="3"/>
  <c r="A78" i="3"/>
  <c r="B78" i="3"/>
  <c r="C78" i="3"/>
  <c r="D78" i="3"/>
  <c r="E78" i="3"/>
  <c r="F78" i="3"/>
  <c r="G78" i="3"/>
  <c r="H78" i="3"/>
  <c r="I78" i="3"/>
  <c r="J78" i="3"/>
  <c r="AD78" i="1" l="1"/>
  <c r="AC79" i="1"/>
  <c r="E79" i="2"/>
  <c r="G79" i="2"/>
  <c r="J79" i="2"/>
  <c r="K80" i="2"/>
  <c r="A79" i="2"/>
  <c r="B79" i="2"/>
  <c r="C79" i="2"/>
  <c r="D79" i="2"/>
  <c r="F79" i="2"/>
  <c r="H79" i="2"/>
  <c r="I79" i="2"/>
  <c r="K80" i="5"/>
  <c r="A79" i="5"/>
  <c r="B79" i="5"/>
  <c r="C79" i="5"/>
  <c r="D79" i="5"/>
  <c r="E79" i="5"/>
  <c r="F79" i="5"/>
  <c r="G79" i="5"/>
  <c r="H79" i="5"/>
  <c r="I79" i="5"/>
  <c r="J79" i="5"/>
  <c r="K80" i="4"/>
  <c r="A79" i="4"/>
  <c r="B79" i="4"/>
  <c r="C79" i="4"/>
  <c r="D79" i="4"/>
  <c r="E79" i="4"/>
  <c r="F79" i="4"/>
  <c r="G79" i="4"/>
  <c r="H79" i="4"/>
  <c r="I79" i="4"/>
  <c r="J79" i="4"/>
  <c r="K80" i="3"/>
  <c r="A79" i="3"/>
  <c r="B79" i="3"/>
  <c r="C79" i="3"/>
  <c r="D79" i="3"/>
  <c r="E79" i="3"/>
  <c r="F79" i="3"/>
  <c r="G79" i="3"/>
  <c r="H79" i="3"/>
  <c r="I79" i="3"/>
  <c r="J79" i="3"/>
  <c r="AD79" i="1" l="1"/>
  <c r="AC80" i="1"/>
  <c r="K81" i="2"/>
  <c r="C80" i="2"/>
  <c r="E80" i="2"/>
  <c r="G80" i="2"/>
  <c r="I80" i="2"/>
  <c r="J80" i="2"/>
  <c r="A80" i="2"/>
  <c r="B80" i="2"/>
  <c r="D80" i="2"/>
  <c r="F80" i="2"/>
  <c r="H80" i="2"/>
  <c r="K81" i="5"/>
  <c r="A80" i="5"/>
  <c r="B80" i="5"/>
  <c r="C80" i="5"/>
  <c r="D80" i="5"/>
  <c r="E80" i="5"/>
  <c r="F80" i="5"/>
  <c r="G80" i="5"/>
  <c r="H80" i="5"/>
  <c r="I80" i="5"/>
  <c r="J80" i="5"/>
  <c r="K81" i="4"/>
  <c r="A80" i="4"/>
  <c r="B80" i="4"/>
  <c r="C80" i="4"/>
  <c r="D80" i="4"/>
  <c r="E80" i="4"/>
  <c r="F80" i="4"/>
  <c r="G80" i="4"/>
  <c r="H80" i="4"/>
  <c r="I80" i="4"/>
  <c r="J80" i="4"/>
  <c r="K81" i="3"/>
  <c r="A80" i="3"/>
  <c r="B80" i="3"/>
  <c r="C80" i="3"/>
  <c r="D80" i="3"/>
  <c r="E80" i="3"/>
  <c r="F80" i="3"/>
  <c r="G80" i="3"/>
  <c r="H80" i="3"/>
  <c r="I80" i="3"/>
  <c r="J80" i="3"/>
  <c r="AD80" i="1" l="1"/>
  <c r="AC81" i="1"/>
  <c r="K82" i="2"/>
  <c r="B81" i="2"/>
  <c r="D81" i="2"/>
  <c r="F81" i="2"/>
  <c r="H81" i="2"/>
  <c r="I81" i="2"/>
  <c r="J81" i="2"/>
  <c r="A81" i="2"/>
  <c r="C81" i="2"/>
  <c r="E81" i="2"/>
  <c r="G81" i="2"/>
  <c r="K82" i="5"/>
  <c r="A81" i="5"/>
  <c r="B81" i="5"/>
  <c r="C81" i="5"/>
  <c r="D81" i="5"/>
  <c r="E81" i="5"/>
  <c r="F81" i="5"/>
  <c r="G81" i="5"/>
  <c r="H81" i="5"/>
  <c r="I81" i="5"/>
  <c r="J81" i="5"/>
  <c r="K82" i="4"/>
  <c r="A81" i="4"/>
  <c r="B81" i="4"/>
  <c r="C81" i="4"/>
  <c r="D81" i="4"/>
  <c r="E81" i="4"/>
  <c r="F81" i="4"/>
  <c r="G81" i="4"/>
  <c r="H81" i="4"/>
  <c r="I81" i="4"/>
  <c r="J81" i="4"/>
  <c r="K82" i="3"/>
  <c r="A81" i="3"/>
  <c r="B81" i="3"/>
  <c r="C81" i="3"/>
  <c r="D81" i="3"/>
  <c r="E81" i="3"/>
  <c r="F81" i="3"/>
  <c r="G81" i="3"/>
  <c r="H81" i="3"/>
  <c r="I81" i="3"/>
  <c r="J81" i="3"/>
  <c r="AD81" i="1" l="1"/>
  <c r="AC82" i="1"/>
  <c r="K83" i="2"/>
  <c r="A82" i="2"/>
  <c r="B82" i="2"/>
  <c r="D82" i="2"/>
  <c r="F82" i="2"/>
  <c r="H82" i="2"/>
  <c r="J82" i="2"/>
  <c r="C82" i="2"/>
  <c r="E82" i="2"/>
  <c r="G82" i="2"/>
  <c r="I82" i="2"/>
  <c r="K83" i="5"/>
  <c r="A82" i="5"/>
  <c r="B82" i="5"/>
  <c r="C82" i="5"/>
  <c r="D82" i="5"/>
  <c r="E82" i="5"/>
  <c r="F82" i="5"/>
  <c r="G82" i="5"/>
  <c r="H82" i="5"/>
  <c r="I82" i="5"/>
  <c r="J82" i="5"/>
  <c r="K83" i="4"/>
  <c r="A82" i="4"/>
  <c r="B82" i="4"/>
  <c r="C82" i="4"/>
  <c r="D82" i="4"/>
  <c r="E82" i="4"/>
  <c r="F82" i="4"/>
  <c r="G82" i="4"/>
  <c r="H82" i="4"/>
  <c r="I82" i="4"/>
  <c r="J82" i="4"/>
  <c r="K83" i="3"/>
  <c r="A82" i="3"/>
  <c r="B82" i="3"/>
  <c r="C82" i="3"/>
  <c r="D82" i="3"/>
  <c r="E82" i="3"/>
  <c r="F82" i="3"/>
  <c r="G82" i="3"/>
  <c r="H82" i="3"/>
  <c r="I82" i="3"/>
  <c r="J82" i="3"/>
  <c r="AD82" i="1" l="1"/>
  <c r="AC83" i="1"/>
  <c r="B83" i="2"/>
  <c r="D83" i="2"/>
  <c r="E83" i="2"/>
  <c r="G83" i="2"/>
  <c r="H83" i="2"/>
  <c r="J83" i="2"/>
  <c r="K84" i="2"/>
  <c r="A83" i="2"/>
  <c r="C83" i="2"/>
  <c r="F83" i="2"/>
  <c r="I83" i="2"/>
  <c r="K84" i="5"/>
  <c r="A83" i="5"/>
  <c r="B83" i="5"/>
  <c r="C83" i="5"/>
  <c r="D83" i="5"/>
  <c r="E83" i="5"/>
  <c r="F83" i="5"/>
  <c r="G83" i="5"/>
  <c r="H83" i="5"/>
  <c r="I83" i="5"/>
  <c r="J83" i="5"/>
  <c r="K84" i="4"/>
  <c r="A83" i="4"/>
  <c r="B83" i="4"/>
  <c r="C83" i="4"/>
  <c r="D83" i="4"/>
  <c r="E83" i="4"/>
  <c r="F83" i="4"/>
  <c r="G83" i="4"/>
  <c r="H83" i="4"/>
  <c r="I83" i="4"/>
  <c r="J83" i="4"/>
  <c r="K84" i="3"/>
  <c r="A83" i="3"/>
  <c r="B83" i="3"/>
  <c r="C83" i="3"/>
  <c r="D83" i="3"/>
  <c r="E83" i="3"/>
  <c r="F83" i="3"/>
  <c r="G83" i="3"/>
  <c r="H83" i="3"/>
  <c r="I83" i="3"/>
  <c r="J83" i="3"/>
  <c r="AD83" i="1" l="1"/>
  <c r="AC84" i="1"/>
  <c r="B84" i="2"/>
  <c r="D84" i="2"/>
  <c r="F84" i="2"/>
  <c r="H84" i="2"/>
  <c r="J84" i="2"/>
  <c r="K85" i="2"/>
  <c r="A84" i="2"/>
  <c r="C84" i="2"/>
  <c r="E84" i="2"/>
  <c r="G84" i="2"/>
  <c r="I84" i="2"/>
  <c r="K85" i="5"/>
  <c r="A84" i="5"/>
  <c r="B84" i="5"/>
  <c r="C84" i="5"/>
  <c r="D84" i="5"/>
  <c r="E84" i="5"/>
  <c r="F84" i="5"/>
  <c r="G84" i="5"/>
  <c r="H84" i="5"/>
  <c r="I84" i="5"/>
  <c r="J84" i="5"/>
  <c r="K85" i="4"/>
  <c r="A84" i="4"/>
  <c r="B84" i="4"/>
  <c r="C84" i="4"/>
  <c r="D84" i="4"/>
  <c r="E84" i="4"/>
  <c r="F84" i="4"/>
  <c r="G84" i="4"/>
  <c r="H84" i="4"/>
  <c r="I84" i="4"/>
  <c r="J84" i="4"/>
  <c r="K85" i="3"/>
  <c r="A84" i="3"/>
  <c r="B84" i="3"/>
  <c r="C84" i="3"/>
  <c r="D84" i="3"/>
  <c r="E84" i="3"/>
  <c r="F84" i="3"/>
  <c r="G84" i="3"/>
  <c r="H84" i="3"/>
  <c r="I84" i="3"/>
  <c r="J84" i="3"/>
  <c r="AD84" i="1" l="1"/>
  <c r="AC85" i="1"/>
  <c r="A85" i="2"/>
  <c r="C85" i="2"/>
  <c r="E85" i="2"/>
  <c r="G85" i="2"/>
  <c r="H85" i="2"/>
  <c r="J85" i="2"/>
  <c r="K86" i="2"/>
  <c r="B85" i="2"/>
  <c r="D85" i="2"/>
  <c r="F85" i="2"/>
  <c r="I85" i="2"/>
  <c r="K86" i="5"/>
  <c r="A85" i="5"/>
  <c r="B85" i="5"/>
  <c r="C85" i="5"/>
  <c r="D85" i="5"/>
  <c r="E85" i="5"/>
  <c r="F85" i="5"/>
  <c r="G85" i="5"/>
  <c r="H85" i="5"/>
  <c r="I85" i="5"/>
  <c r="J85" i="5"/>
  <c r="K86" i="4"/>
  <c r="A85" i="4"/>
  <c r="B85" i="4"/>
  <c r="C85" i="4"/>
  <c r="D85" i="4"/>
  <c r="E85" i="4"/>
  <c r="F85" i="4"/>
  <c r="G85" i="4"/>
  <c r="H85" i="4"/>
  <c r="I85" i="4"/>
  <c r="J85" i="4"/>
  <c r="K86" i="3"/>
  <c r="A85" i="3"/>
  <c r="B85" i="3"/>
  <c r="C85" i="3"/>
  <c r="D85" i="3"/>
  <c r="E85" i="3"/>
  <c r="F85" i="3"/>
  <c r="G85" i="3"/>
  <c r="H85" i="3"/>
  <c r="I85" i="3"/>
  <c r="J85" i="3"/>
  <c r="AD85" i="1" l="1"/>
  <c r="AC86" i="1"/>
  <c r="K87" i="2"/>
  <c r="B86" i="2"/>
  <c r="D86" i="2"/>
  <c r="F86" i="2"/>
  <c r="J86" i="2"/>
  <c r="A86" i="2"/>
  <c r="C86" i="2"/>
  <c r="E86" i="2"/>
  <c r="G86" i="2"/>
  <c r="H86" i="2"/>
  <c r="I86" i="2"/>
  <c r="K87" i="5"/>
  <c r="A86" i="5"/>
  <c r="B86" i="5"/>
  <c r="C86" i="5"/>
  <c r="D86" i="5"/>
  <c r="E86" i="5"/>
  <c r="F86" i="5"/>
  <c r="G86" i="5"/>
  <c r="H86" i="5"/>
  <c r="I86" i="5"/>
  <c r="J86" i="5"/>
  <c r="K87" i="4"/>
  <c r="A86" i="4"/>
  <c r="B86" i="4"/>
  <c r="C86" i="4"/>
  <c r="D86" i="4"/>
  <c r="E86" i="4"/>
  <c r="F86" i="4"/>
  <c r="G86" i="4"/>
  <c r="H86" i="4"/>
  <c r="I86" i="4"/>
  <c r="J86" i="4"/>
  <c r="K87" i="3"/>
  <c r="A86" i="3"/>
  <c r="B86" i="3"/>
  <c r="C86" i="3"/>
  <c r="D86" i="3"/>
  <c r="E86" i="3"/>
  <c r="F86" i="3"/>
  <c r="G86" i="3"/>
  <c r="H86" i="3"/>
  <c r="I86" i="3"/>
  <c r="J86" i="3"/>
  <c r="AD86" i="1" l="1"/>
  <c r="AC87" i="1"/>
  <c r="A87" i="2"/>
  <c r="B87" i="2"/>
  <c r="D87" i="2"/>
  <c r="G87" i="2"/>
  <c r="J87" i="2"/>
  <c r="K88" i="2"/>
  <c r="C87" i="2"/>
  <c r="E87" i="2"/>
  <c r="F87" i="2"/>
  <c r="H87" i="2"/>
  <c r="I87" i="2"/>
  <c r="K88" i="5"/>
  <c r="A87" i="5"/>
  <c r="B87" i="5"/>
  <c r="C87" i="5"/>
  <c r="D87" i="5"/>
  <c r="E87" i="5"/>
  <c r="F87" i="5"/>
  <c r="G87" i="5"/>
  <c r="H87" i="5"/>
  <c r="I87" i="5"/>
  <c r="J87" i="5"/>
  <c r="K88" i="4"/>
  <c r="A87" i="4"/>
  <c r="B87" i="4"/>
  <c r="C87" i="4"/>
  <c r="D87" i="4"/>
  <c r="E87" i="4"/>
  <c r="F87" i="4"/>
  <c r="G87" i="4"/>
  <c r="H87" i="4"/>
  <c r="I87" i="4"/>
  <c r="J87" i="4"/>
  <c r="K88" i="3"/>
  <c r="A87" i="3"/>
  <c r="B87" i="3"/>
  <c r="C87" i="3"/>
  <c r="D87" i="3"/>
  <c r="E87" i="3"/>
  <c r="F87" i="3"/>
  <c r="G87" i="3"/>
  <c r="H87" i="3"/>
  <c r="I87" i="3"/>
  <c r="J87" i="3"/>
  <c r="AD87" i="1" l="1"/>
  <c r="AC88" i="1"/>
  <c r="B88" i="2"/>
  <c r="D88" i="2"/>
  <c r="F88" i="2"/>
  <c r="G88" i="2"/>
  <c r="H88" i="2"/>
  <c r="I88" i="2"/>
  <c r="J88" i="2"/>
  <c r="K89" i="2"/>
  <c r="A88" i="2"/>
  <c r="C88" i="2"/>
  <c r="E88" i="2"/>
  <c r="K89" i="5"/>
  <c r="A88" i="5"/>
  <c r="B88" i="5"/>
  <c r="C88" i="5"/>
  <c r="D88" i="5"/>
  <c r="E88" i="5"/>
  <c r="F88" i="5"/>
  <c r="G88" i="5"/>
  <c r="H88" i="5"/>
  <c r="I88" i="5"/>
  <c r="J88" i="5"/>
  <c r="K89" i="4"/>
  <c r="A88" i="4"/>
  <c r="B88" i="4"/>
  <c r="C88" i="4"/>
  <c r="D88" i="4"/>
  <c r="E88" i="4"/>
  <c r="F88" i="4"/>
  <c r="G88" i="4"/>
  <c r="H88" i="4"/>
  <c r="I88" i="4"/>
  <c r="J88" i="4"/>
  <c r="K89" i="3"/>
  <c r="A88" i="3"/>
  <c r="B88" i="3"/>
  <c r="C88" i="3"/>
  <c r="D88" i="3"/>
  <c r="E88" i="3"/>
  <c r="F88" i="3"/>
  <c r="G88" i="3"/>
  <c r="H88" i="3"/>
  <c r="I88" i="3"/>
  <c r="J88" i="3"/>
  <c r="AD88" i="1" l="1"/>
  <c r="AC89" i="1"/>
  <c r="K90" i="2"/>
  <c r="E89" i="2"/>
  <c r="I89" i="2"/>
  <c r="A89" i="2"/>
  <c r="B89" i="2"/>
  <c r="C89" i="2"/>
  <c r="D89" i="2"/>
  <c r="F89" i="2"/>
  <c r="G89" i="2"/>
  <c r="H89" i="2"/>
  <c r="J89" i="2"/>
  <c r="K90" i="5"/>
  <c r="A89" i="5"/>
  <c r="B89" i="5"/>
  <c r="C89" i="5"/>
  <c r="D89" i="5"/>
  <c r="E89" i="5"/>
  <c r="F89" i="5"/>
  <c r="G89" i="5"/>
  <c r="H89" i="5"/>
  <c r="I89" i="5"/>
  <c r="J89" i="5"/>
  <c r="K90" i="4"/>
  <c r="A89" i="4"/>
  <c r="B89" i="4"/>
  <c r="C89" i="4"/>
  <c r="D89" i="4"/>
  <c r="E89" i="4"/>
  <c r="F89" i="4"/>
  <c r="G89" i="4"/>
  <c r="H89" i="4"/>
  <c r="I89" i="4"/>
  <c r="J89" i="4"/>
  <c r="K90" i="3"/>
  <c r="A89" i="3"/>
  <c r="B89" i="3"/>
  <c r="C89" i="3"/>
  <c r="D89" i="3"/>
  <c r="E89" i="3"/>
  <c r="F89" i="3"/>
  <c r="G89" i="3"/>
  <c r="H89" i="3"/>
  <c r="I89" i="3"/>
  <c r="J89" i="3"/>
  <c r="AD89" i="1" l="1"/>
  <c r="AC90" i="1"/>
  <c r="K91" i="2"/>
  <c r="A90" i="2"/>
  <c r="C90" i="2"/>
  <c r="E90" i="2"/>
  <c r="J90" i="2"/>
  <c r="B90" i="2"/>
  <c r="D90" i="2"/>
  <c r="F90" i="2"/>
  <c r="G90" i="2"/>
  <c r="H90" i="2"/>
  <c r="I90" i="2"/>
  <c r="K91" i="5"/>
  <c r="A90" i="5"/>
  <c r="B90" i="5"/>
  <c r="C90" i="5"/>
  <c r="D90" i="5"/>
  <c r="E90" i="5"/>
  <c r="F90" i="5"/>
  <c r="G90" i="5"/>
  <c r="H90" i="5"/>
  <c r="I90" i="5"/>
  <c r="J90" i="5"/>
  <c r="K91" i="4"/>
  <c r="A90" i="4"/>
  <c r="B90" i="4"/>
  <c r="C90" i="4"/>
  <c r="D90" i="4"/>
  <c r="E90" i="4"/>
  <c r="F90" i="4"/>
  <c r="G90" i="4"/>
  <c r="H90" i="4"/>
  <c r="I90" i="4"/>
  <c r="J90" i="4"/>
  <c r="K91" i="3"/>
  <c r="A90" i="3"/>
  <c r="B90" i="3"/>
  <c r="C90" i="3"/>
  <c r="D90" i="3"/>
  <c r="E90" i="3"/>
  <c r="F90" i="3"/>
  <c r="G90" i="3"/>
  <c r="H90" i="3"/>
  <c r="I90" i="3"/>
  <c r="J90" i="3"/>
  <c r="AD90" i="1" l="1"/>
  <c r="AC91" i="1"/>
  <c r="K92" i="2"/>
  <c r="B91" i="2"/>
  <c r="D91" i="2"/>
  <c r="G91" i="2"/>
  <c r="I91" i="2"/>
  <c r="A91" i="2"/>
  <c r="C91" i="2"/>
  <c r="E91" i="2"/>
  <c r="F91" i="2"/>
  <c r="H91" i="2"/>
  <c r="J91" i="2"/>
  <c r="K92" i="5"/>
  <c r="A91" i="5"/>
  <c r="B91" i="5"/>
  <c r="C91" i="5"/>
  <c r="D91" i="5"/>
  <c r="E91" i="5"/>
  <c r="F91" i="5"/>
  <c r="G91" i="5"/>
  <c r="H91" i="5"/>
  <c r="I91" i="5"/>
  <c r="J91" i="5"/>
  <c r="K92" i="4"/>
  <c r="A91" i="4"/>
  <c r="B91" i="4"/>
  <c r="C91" i="4"/>
  <c r="D91" i="4"/>
  <c r="E91" i="4"/>
  <c r="F91" i="4"/>
  <c r="G91" i="4"/>
  <c r="H91" i="4"/>
  <c r="I91" i="4"/>
  <c r="J91" i="4"/>
  <c r="K92" i="3"/>
  <c r="A91" i="3"/>
  <c r="B91" i="3"/>
  <c r="C91" i="3"/>
  <c r="D91" i="3"/>
  <c r="E91" i="3"/>
  <c r="F91" i="3"/>
  <c r="G91" i="3"/>
  <c r="H91" i="3"/>
  <c r="I91" i="3"/>
  <c r="J91" i="3"/>
  <c r="AD91" i="1" l="1"/>
  <c r="AC92" i="1"/>
  <c r="K93" i="2"/>
  <c r="A92" i="2"/>
  <c r="C92" i="2"/>
  <c r="E92" i="2"/>
  <c r="H92" i="2"/>
  <c r="J92" i="2"/>
  <c r="B92" i="2"/>
  <c r="D92" i="2"/>
  <c r="F92" i="2"/>
  <c r="G92" i="2"/>
  <c r="I92" i="2"/>
  <c r="K93" i="5"/>
  <c r="A92" i="5"/>
  <c r="B92" i="5"/>
  <c r="C92" i="5"/>
  <c r="D92" i="5"/>
  <c r="E92" i="5"/>
  <c r="F92" i="5"/>
  <c r="G92" i="5"/>
  <c r="H92" i="5"/>
  <c r="I92" i="5"/>
  <c r="J92" i="5"/>
  <c r="K93" i="4"/>
  <c r="A92" i="4"/>
  <c r="B92" i="4"/>
  <c r="C92" i="4"/>
  <c r="D92" i="4"/>
  <c r="E92" i="4"/>
  <c r="F92" i="4"/>
  <c r="G92" i="4"/>
  <c r="H92" i="4"/>
  <c r="I92" i="4"/>
  <c r="J92" i="4"/>
  <c r="K93" i="3"/>
  <c r="A92" i="3"/>
  <c r="B92" i="3"/>
  <c r="C92" i="3"/>
  <c r="D92" i="3"/>
  <c r="E92" i="3"/>
  <c r="F92" i="3"/>
  <c r="G92" i="3"/>
  <c r="H92" i="3"/>
  <c r="I92" i="3"/>
  <c r="J92" i="3"/>
  <c r="AD92" i="1" l="1"/>
  <c r="AC93" i="1"/>
  <c r="K94" i="2"/>
  <c r="A93" i="2"/>
  <c r="B93" i="2"/>
  <c r="D93" i="2"/>
  <c r="F93" i="2"/>
  <c r="I93" i="2"/>
  <c r="C93" i="2"/>
  <c r="E93" i="2"/>
  <c r="G93" i="2"/>
  <c r="H93" i="2"/>
  <c r="J93" i="2"/>
  <c r="K94" i="5"/>
  <c r="A93" i="5"/>
  <c r="B93" i="5"/>
  <c r="C93" i="5"/>
  <c r="D93" i="5"/>
  <c r="E93" i="5"/>
  <c r="F93" i="5"/>
  <c r="G93" i="5"/>
  <c r="H93" i="5"/>
  <c r="I93" i="5"/>
  <c r="J93" i="5"/>
  <c r="K94" i="4"/>
  <c r="A93" i="4"/>
  <c r="B93" i="4"/>
  <c r="C93" i="4"/>
  <c r="D93" i="4"/>
  <c r="E93" i="4"/>
  <c r="F93" i="4"/>
  <c r="G93" i="4"/>
  <c r="H93" i="4"/>
  <c r="I93" i="4"/>
  <c r="J93" i="4"/>
  <c r="K94" i="3"/>
  <c r="A93" i="3"/>
  <c r="B93" i="3"/>
  <c r="C93" i="3"/>
  <c r="D93" i="3"/>
  <c r="E93" i="3"/>
  <c r="F93" i="3"/>
  <c r="G93" i="3"/>
  <c r="H93" i="3"/>
  <c r="I93" i="3"/>
  <c r="J93" i="3"/>
  <c r="AD93" i="1" l="1"/>
  <c r="AC94" i="1"/>
  <c r="A94" i="2"/>
  <c r="D94" i="2"/>
  <c r="F94" i="2"/>
  <c r="J94" i="2"/>
  <c r="K95" i="2"/>
  <c r="B94" i="2"/>
  <c r="C94" i="2"/>
  <c r="E94" i="2"/>
  <c r="G94" i="2"/>
  <c r="H94" i="2"/>
  <c r="I94" i="2"/>
  <c r="K95" i="5"/>
  <c r="A94" i="5"/>
  <c r="B94" i="5"/>
  <c r="C94" i="5"/>
  <c r="D94" i="5"/>
  <c r="E94" i="5"/>
  <c r="F94" i="5"/>
  <c r="G94" i="5"/>
  <c r="H94" i="5"/>
  <c r="I94" i="5"/>
  <c r="J94" i="5"/>
  <c r="K95" i="4"/>
  <c r="A94" i="4"/>
  <c r="B94" i="4"/>
  <c r="C94" i="4"/>
  <c r="D94" i="4"/>
  <c r="E94" i="4"/>
  <c r="F94" i="4"/>
  <c r="G94" i="4"/>
  <c r="H94" i="4"/>
  <c r="I94" i="4"/>
  <c r="J94" i="4"/>
  <c r="K95" i="3"/>
  <c r="A94" i="3"/>
  <c r="B94" i="3"/>
  <c r="C94" i="3"/>
  <c r="D94" i="3"/>
  <c r="E94" i="3"/>
  <c r="F94" i="3"/>
  <c r="G94" i="3"/>
  <c r="H94" i="3"/>
  <c r="I94" i="3"/>
  <c r="J94" i="3"/>
  <c r="AD94" i="1" l="1"/>
  <c r="AC95" i="1"/>
  <c r="K96" i="2"/>
  <c r="B95" i="2"/>
  <c r="D95" i="2"/>
  <c r="E95" i="2"/>
  <c r="G95" i="2"/>
  <c r="H95" i="2"/>
  <c r="I95" i="2"/>
  <c r="J95" i="2"/>
  <c r="A95" i="2"/>
  <c r="C95" i="2"/>
  <c r="F95" i="2"/>
  <c r="K96" i="5"/>
  <c r="A95" i="5"/>
  <c r="B95" i="5"/>
  <c r="C95" i="5"/>
  <c r="D95" i="5"/>
  <c r="E95" i="5"/>
  <c r="F95" i="5"/>
  <c r="G95" i="5"/>
  <c r="H95" i="5"/>
  <c r="I95" i="5"/>
  <c r="J95" i="5"/>
  <c r="K96" i="4"/>
  <c r="A95" i="4"/>
  <c r="B95" i="4"/>
  <c r="C95" i="4"/>
  <c r="D95" i="4"/>
  <c r="E95" i="4"/>
  <c r="F95" i="4"/>
  <c r="G95" i="4"/>
  <c r="H95" i="4"/>
  <c r="I95" i="4"/>
  <c r="J95" i="4"/>
  <c r="K96" i="3"/>
  <c r="A95" i="3"/>
  <c r="B95" i="3"/>
  <c r="C95" i="3"/>
  <c r="D95" i="3"/>
  <c r="E95" i="3"/>
  <c r="F95" i="3"/>
  <c r="G95" i="3"/>
  <c r="H95" i="3"/>
  <c r="I95" i="3"/>
  <c r="J95" i="3"/>
  <c r="AD95" i="1" l="1"/>
  <c r="AC96" i="1"/>
  <c r="A96" i="2"/>
  <c r="B96" i="2"/>
  <c r="C96" i="2"/>
  <c r="E96" i="2"/>
  <c r="F96" i="2"/>
  <c r="G96" i="2"/>
  <c r="H96" i="2"/>
  <c r="I96" i="2"/>
  <c r="J96" i="2"/>
  <c r="K97" i="2"/>
  <c r="D96" i="2"/>
  <c r="K97" i="5"/>
  <c r="A96" i="5"/>
  <c r="B96" i="5"/>
  <c r="C96" i="5"/>
  <c r="D96" i="5"/>
  <c r="E96" i="5"/>
  <c r="F96" i="5"/>
  <c r="G96" i="5"/>
  <c r="H96" i="5"/>
  <c r="I96" i="5"/>
  <c r="J96" i="5"/>
  <c r="K97" i="4"/>
  <c r="A96" i="4"/>
  <c r="B96" i="4"/>
  <c r="C96" i="4"/>
  <c r="D96" i="4"/>
  <c r="E96" i="4"/>
  <c r="F96" i="4"/>
  <c r="G96" i="4"/>
  <c r="H96" i="4"/>
  <c r="I96" i="4"/>
  <c r="J96" i="4"/>
  <c r="K97" i="3"/>
  <c r="A96" i="3"/>
  <c r="B96" i="3"/>
  <c r="C96" i="3"/>
  <c r="D96" i="3"/>
  <c r="E96" i="3"/>
  <c r="F96" i="3"/>
  <c r="G96" i="3"/>
  <c r="H96" i="3"/>
  <c r="I96" i="3"/>
  <c r="J96" i="3"/>
  <c r="AD96" i="1" l="1"/>
  <c r="AC97" i="1"/>
  <c r="K98" i="2"/>
  <c r="B97" i="2"/>
  <c r="D97" i="2"/>
  <c r="E97" i="2"/>
  <c r="G97" i="2"/>
  <c r="I97" i="2"/>
  <c r="J97" i="2"/>
  <c r="A97" i="2"/>
  <c r="C97" i="2"/>
  <c r="F97" i="2"/>
  <c r="H97" i="2"/>
  <c r="K98" i="5"/>
  <c r="A97" i="5"/>
  <c r="B97" i="5"/>
  <c r="C97" i="5"/>
  <c r="D97" i="5"/>
  <c r="E97" i="5"/>
  <c r="F97" i="5"/>
  <c r="G97" i="5"/>
  <c r="H97" i="5"/>
  <c r="I97" i="5"/>
  <c r="J97" i="5"/>
  <c r="K98" i="4"/>
  <c r="A97" i="4"/>
  <c r="B97" i="4"/>
  <c r="C97" i="4"/>
  <c r="D97" i="4"/>
  <c r="E97" i="4"/>
  <c r="F97" i="4"/>
  <c r="G97" i="4"/>
  <c r="H97" i="4"/>
  <c r="I97" i="4"/>
  <c r="J97" i="4"/>
  <c r="K98" i="3"/>
  <c r="A97" i="3"/>
  <c r="B97" i="3"/>
  <c r="C97" i="3"/>
  <c r="D97" i="3"/>
  <c r="E97" i="3"/>
  <c r="F97" i="3"/>
  <c r="G97" i="3"/>
  <c r="H97" i="3"/>
  <c r="I97" i="3"/>
  <c r="J97" i="3"/>
  <c r="AD97" i="1" l="1"/>
  <c r="AC98" i="1"/>
  <c r="A98" i="2"/>
  <c r="C98" i="2"/>
  <c r="E98" i="2"/>
  <c r="H98" i="2"/>
  <c r="J98" i="2"/>
  <c r="K99" i="2"/>
  <c r="B98" i="2"/>
  <c r="D98" i="2"/>
  <c r="F98" i="2"/>
  <c r="G98" i="2"/>
  <c r="I98" i="2"/>
  <c r="K99" i="5"/>
  <c r="A98" i="5"/>
  <c r="B98" i="5"/>
  <c r="C98" i="5"/>
  <c r="D98" i="5"/>
  <c r="E98" i="5"/>
  <c r="F98" i="5"/>
  <c r="G98" i="5"/>
  <c r="H98" i="5"/>
  <c r="I98" i="5"/>
  <c r="J98" i="5"/>
  <c r="K99" i="4"/>
  <c r="A98" i="4"/>
  <c r="B98" i="4"/>
  <c r="C98" i="4"/>
  <c r="D98" i="4"/>
  <c r="E98" i="4"/>
  <c r="F98" i="4"/>
  <c r="G98" i="4"/>
  <c r="H98" i="4"/>
  <c r="I98" i="4"/>
  <c r="J98" i="4"/>
  <c r="K99" i="3"/>
  <c r="A98" i="3"/>
  <c r="B98" i="3"/>
  <c r="C98" i="3"/>
  <c r="D98" i="3"/>
  <c r="E98" i="3"/>
  <c r="F98" i="3"/>
  <c r="G98" i="3"/>
  <c r="H98" i="3"/>
  <c r="I98" i="3"/>
  <c r="J98" i="3"/>
  <c r="AD98" i="1" l="1"/>
  <c r="AC99" i="1"/>
  <c r="A99" i="2"/>
  <c r="B99" i="2"/>
  <c r="E99" i="2"/>
  <c r="G99" i="2"/>
  <c r="H99" i="2"/>
  <c r="I99" i="2"/>
  <c r="J99" i="2"/>
  <c r="K100" i="2"/>
  <c r="C99" i="2"/>
  <c r="D99" i="2"/>
  <c r="F99" i="2"/>
  <c r="K100" i="5"/>
  <c r="A99" i="5"/>
  <c r="B99" i="5"/>
  <c r="C99" i="5"/>
  <c r="D99" i="5"/>
  <c r="E99" i="5"/>
  <c r="F99" i="5"/>
  <c r="G99" i="5"/>
  <c r="H99" i="5"/>
  <c r="I99" i="5"/>
  <c r="J99" i="5"/>
  <c r="K100" i="4"/>
  <c r="A99" i="4"/>
  <c r="B99" i="4"/>
  <c r="C99" i="4"/>
  <c r="D99" i="4"/>
  <c r="E99" i="4"/>
  <c r="F99" i="4"/>
  <c r="G99" i="4"/>
  <c r="H99" i="4"/>
  <c r="I99" i="4"/>
  <c r="J99" i="4"/>
  <c r="K100" i="3"/>
  <c r="A99" i="3"/>
  <c r="B99" i="3"/>
  <c r="C99" i="3"/>
  <c r="D99" i="3"/>
  <c r="E99" i="3"/>
  <c r="F99" i="3"/>
  <c r="G99" i="3"/>
  <c r="H99" i="3"/>
  <c r="I99" i="3"/>
  <c r="J99" i="3"/>
  <c r="AD99" i="1" l="1"/>
  <c r="AC100" i="1"/>
  <c r="AD100" i="1" s="1"/>
  <c r="K101" i="2"/>
  <c r="B100" i="2"/>
  <c r="H100" i="2"/>
  <c r="J100" i="2"/>
  <c r="A100" i="2"/>
  <c r="C100" i="2"/>
  <c r="D100" i="2"/>
  <c r="E100" i="2"/>
  <c r="F100" i="2"/>
  <c r="G100" i="2"/>
  <c r="I100" i="2"/>
  <c r="K101" i="5"/>
  <c r="A100" i="5"/>
  <c r="B100" i="5"/>
  <c r="C100" i="5"/>
  <c r="D100" i="5"/>
  <c r="E100" i="5"/>
  <c r="F100" i="5"/>
  <c r="G100" i="5"/>
  <c r="H100" i="5"/>
  <c r="I100" i="5"/>
  <c r="J100" i="5"/>
  <c r="K101" i="4"/>
  <c r="A100" i="4"/>
  <c r="B100" i="4"/>
  <c r="C100" i="4"/>
  <c r="D100" i="4"/>
  <c r="E100" i="4"/>
  <c r="F100" i="4"/>
  <c r="G100" i="4"/>
  <c r="H100" i="4"/>
  <c r="I100" i="4"/>
  <c r="J100" i="4"/>
  <c r="K101" i="3"/>
  <c r="A100" i="3"/>
  <c r="B100" i="3"/>
  <c r="C100" i="3"/>
  <c r="D100" i="3"/>
  <c r="E100" i="3"/>
  <c r="F100" i="3"/>
  <c r="G100" i="3"/>
  <c r="H100" i="3"/>
  <c r="I100" i="3"/>
  <c r="J100" i="3"/>
  <c r="A101" i="2" l="1"/>
  <c r="D101" i="2"/>
  <c r="G101" i="2"/>
  <c r="I101" i="2"/>
  <c r="K102" i="2"/>
  <c r="B101" i="2"/>
  <c r="C101" i="2"/>
  <c r="E101" i="2"/>
  <c r="F101" i="2"/>
  <c r="H101" i="2"/>
  <c r="J101" i="2"/>
  <c r="K102" i="5"/>
  <c r="A101" i="5"/>
  <c r="B101" i="5"/>
  <c r="C101" i="5"/>
  <c r="D101" i="5"/>
  <c r="E101" i="5"/>
  <c r="F101" i="5"/>
  <c r="G101" i="5"/>
  <c r="H101" i="5"/>
  <c r="I101" i="5"/>
  <c r="J101" i="5"/>
  <c r="K102" i="4"/>
  <c r="A101" i="4"/>
  <c r="B101" i="4"/>
  <c r="C101" i="4"/>
  <c r="D101" i="4"/>
  <c r="E101" i="4"/>
  <c r="F101" i="4"/>
  <c r="G101" i="4"/>
  <c r="H101" i="4"/>
  <c r="I101" i="4"/>
  <c r="J101" i="4"/>
  <c r="K102" i="3"/>
  <c r="A101" i="3"/>
  <c r="B101" i="3"/>
  <c r="C101" i="3"/>
  <c r="D101" i="3"/>
  <c r="E101" i="3"/>
  <c r="F101" i="3"/>
  <c r="G101" i="3"/>
  <c r="H101" i="3"/>
  <c r="I101" i="3"/>
  <c r="J101" i="3"/>
  <c r="A102" i="2" l="1"/>
  <c r="C102" i="2"/>
  <c r="E102" i="2"/>
  <c r="F102" i="2"/>
  <c r="H102" i="2"/>
  <c r="J102" i="2"/>
  <c r="K103" i="2"/>
  <c r="B102" i="2"/>
  <c r="D102" i="2"/>
  <c r="G102" i="2"/>
  <c r="I102" i="2"/>
  <c r="K103" i="5"/>
  <c r="A102" i="5"/>
  <c r="B102" i="5"/>
  <c r="C102" i="5"/>
  <c r="D102" i="5"/>
  <c r="E102" i="5"/>
  <c r="F102" i="5"/>
  <c r="G102" i="5"/>
  <c r="H102" i="5"/>
  <c r="I102" i="5"/>
  <c r="J102" i="5"/>
  <c r="K103" i="4"/>
  <c r="A102" i="4"/>
  <c r="B102" i="4"/>
  <c r="C102" i="4"/>
  <c r="D102" i="4"/>
  <c r="E102" i="4"/>
  <c r="F102" i="4"/>
  <c r="G102" i="4"/>
  <c r="H102" i="4"/>
  <c r="I102" i="4"/>
  <c r="J102" i="4"/>
  <c r="K103" i="3"/>
  <c r="A102" i="3"/>
  <c r="B102" i="3"/>
  <c r="C102" i="3"/>
  <c r="D102" i="3"/>
  <c r="E102" i="3"/>
  <c r="F102" i="3"/>
  <c r="G102" i="3"/>
  <c r="H102" i="3"/>
  <c r="I102" i="3"/>
  <c r="J102" i="3"/>
  <c r="B103" i="2" l="1"/>
  <c r="D103" i="2"/>
  <c r="F103" i="2"/>
  <c r="J103" i="2"/>
  <c r="K104" i="2"/>
  <c r="A103" i="2"/>
  <c r="C103" i="2"/>
  <c r="E103" i="2"/>
  <c r="G103" i="2"/>
  <c r="H103" i="2"/>
  <c r="I103" i="2"/>
  <c r="K104" i="5"/>
  <c r="A103" i="5"/>
  <c r="B103" i="5"/>
  <c r="C103" i="5"/>
  <c r="D103" i="5"/>
  <c r="E103" i="5"/>
  <c r="F103" i="5"/>
  <c r="G103" i="5"/>
  <c r="H103" i="5"/>
  <c r="I103" i="5"/>
  <c r="J103" i="5"/>
  <c r="K104" i="4"/>
  <c r="A103" i="4"/>
  <c r="B103" i="4"/>
  <c r="C103" i="4"/>
  <c r="D103" i="4"/>
  <c r="E103" i="4"/>
  <c r="F103" i="4"/>
  <c r="G103" i="4"/>
  <c r="H103" i="4"/>
  <c r="I103" i="4"/>
  <c r="J103" i="4"/>
  <c r="K104" i="3"/>
  <c r="A103" i="3"/>
  <c r="B103" i="3"/>
  <c r="C103" i="3"/>
  <c r="D103" i="3"/>
  <c r="E103" i="3"/>
  <c r="F103" i="3"/>
  <c r="G103" i="3"/>
  <c r="H103" i="3"/>
  <c r="I103" i="3"/>
  <c r="J103" i="3"/>
  <c r="A104" i="2" l="1"/>
  <c r="B104" i="2"/>
  <c r="C104" i="2"/>
  <c r="D104" i="2"/>
  <c r="E104" i="2"/>
  <c r="G104" i="2"/>
  <c r="H104" i="2"/>
  <c r="I104" i="2"/>
  <c r="J104" i="2"/>
  <c r="K105" i="2"/>
  <c r="F104" i="2"/>
  <c r="K105" i="5"/>
  <c r="A104" i="5"/>
  <c r="B104" i="5"/>
  <c r="C104" i="5"/>
  <c r="D104" i="5"/>
  <c r="E104" i="5"/>
  <c r="F104" i="5"/>
  <c r="G104" i="5"/>
  <c r="H104" i="5"/>
  <c r="I104" i="5"/>
  <c r="J104" i="5"/>
  <c r="K105" i="4"/>
  <c r="A104" i="4"/>
  <c r="B104" i="4"/>
  <c r="C104" i="4"/>
  <c r="D104" i="4"/>
  <c r="E104" i="4"/>
  <c r="F104" i="4"/>
  <c r="G104" i="4"/>
  <c r="H104" i="4"/>
  <c r="I104" i="4"/>
  <c r="J104" i="4"/>
  <c r="K105" i="3"/>
  <c r="A104" i="3"/>
  <c r="B104" i="3"/>
  <c r="C104" i="3"/>
  <c r="D104" i="3"/>
  <c r="E104" i="3"/>
  <c r="F104" i="3"/>
  <c r="G104" i="3"/>
  <c r="H104" i="3"/>
  <c r="I104" i="3"/>
  <c r="J104" i="3"/>
  <c r="B105" i="2" l="1"/>
  <c r="E105" i="2"/>
  <c r="H105" i="2"/>
  <c r="J105" i="2"/>
  <c r="K106" i="2"/>
  <c r="A105" i="2"/>
  <c r="C105" i="2"/>
  <c r="D105" i="2"/>
  <c r="F105" i="2"/>
  <c r="G105" i="2"/>
  <c r="I105" i="2"/>
  <c r="K106" i="5"/>
  <c r="A105" i="5"/>
  <c r="B105" i="5"/>
  <c r="C105" i="5"/>
  <c r="D105" i="5"/>
  <c r="E105" i="5"/>
  <c r="F105" i="5"/>
  <c r="G105" i="5"/>
  <c r="H105" i="5"/>
  <c r="I105" i="5"/>
  <c r="J105" i="5"/>
  <c r="K106" i="4"/>
  <c r="A105" i="4"/>
  <c r="B105" i="4"/>
  <c r="C105" i="4"/>
  <c r="D105" i="4"/>
  <c r="E105" i="4"/>
  <c r="F105" i="4"/>
  <c r="G105" i="4"/>
  <c r="H105" i="4"/>
  <c r="I105" i="4"/>
  <c r="J105" i="4"/>
  <c r="K106" i="3"/>
  <c r="A105" i="3"/>
  <c r="B105" i="3"/>
  <c r="C105" i="3"/>
  <c r="D105" i="3"/>
  <c r="E105" i="3"/>
  <c r="F105" i="3"/>
  <c r="G105" i="3"/>
  <c r="H105" i="3"/>
  <c r="I105" i="3"/>
  <c r="J105" i="3"/>
  <c r="A106" i="2" l="1"/>
  <c r="B106" i="2"/>
  <c r="C106" i="2"/>
  <c r="D106" i="2"/>
  <c r="F106" i="2"/>
  <c r="G106" i="2"/>
  <c r="H106" i="2"/>
  <c r="I106" i="2"/>
  <c r="J106" i="2"/>
  <c r="K107" i="2"/>
  <c r="E106" i="2"/>
  <c r="K107" i="5"/>
  <c r="A106" i="5"/>
  <c r="B106" i="5"/>
  <c r="C106" i="5"/>
  <c r="D106" i="5"/>
  <c r="E106" i="5"/>
  <c r="F106" i="5"/>
  <c r="G106" i="5"/>
  <c r="H106" i="5"/>
  <c r="I106" i="5"/>
  <c r="J106" i="5"/>
  <c r="K107" i="4"/>
  <c r="A106" i="4"/>
  <c r="B106" i="4"/>
  <c r="C106" i="4"/>
  <c r="D106" i="4"/>
  <c r="E106" i="4"/>
  <c r="F106" i="4"/>
  <c r="G106" i="4"/>
  <c r="H106" i="4"/>
  <c r="I106" i="4"/>
  <c r="J106" i="4"/>
  <c r="K107" i="3"/>
  <c r="A106" i="3"/>
  <c r="B106" i="3"/>
  <c r="C106" i="3"/>
  <c r="D106" i="3"/>
  <c r="E106" i="3"/>
  <c r="F106" i="3"/>
  <c r="G106" i="3"/>
  <c r="H106" i="3"/>
  <c r="I106" i="3"/>
  <c r="J106" i="3"/>
  <c r="B107" i="2" l="1"/>
  <c r="D107" i="2"/>
  <c r="G107" i="2"/>
  <c r="J107" i="2"/>
  <c r="K108" i="2"/>
  <c r="A107" i="2"/>
  <c r="C107" i="2"/>
  <c r="E107" i="2"/>
  <c r="F107" i="2"/>
  <c r="H107" i="2"/>
  <c r="I107" i="2"/>
  <c r="K108" i="5"/>
  <c r="A107" i="5"/>
  <c r="B107" i="5"/>
  <c r="C107" i="5"/>
  <c r="D107" i="5"/>
  <c r="E107" i="5"/>
  <c r="F107" i="5"/>
  <c r="G107" i="5"/>
  <c r="H107" i="5"/>
  <c r="I107" i="5"/>
  <c r="J107" i="5"/>
  <c r="K108" i="4"/>
  <c r="A107" i="4"/>
  <c r="B107" i="4"/>
  <c r="C107" i="4"/>
  <c r="D107" i="4"/>
  <c r="E107" i="4"/>
  <c r="F107" i="4"/>
  <c r="G107" i="4"/>
  <c r="H107" i="4"/>
  <c r="I107" i="4"/>
  <c r="J107" i="4"/>
  <c r="K108" i="3"/>
  <c r="A107" i="3"/>
  <c r="B107" i="3"/>
  <c r="C107" i="3"/>
  <c r="D107" i="3"/>
  <c r="E107" i="3"/>
  <c r="F107" i="3"/>
  <c r="G107" i="3"/>
  <c r="H107" i="3"/>
  <c r="I107" i="3"/>
  <c r="J107" i="3"/>
  <c r="A108" i="2" l="1"/>
  <c r="C108" i="2"/>
  <c r="D108" i="2"/>
  <c r="E108" i="2"/>
  <c r="F108" i="2"/>
  <c r="G108" i="2"/>
  <c r="H108" i="2"/>
  <c r="I108" i="2"/>
  <c r="J108" i="2"/>
  <c r="K109" i="2"/>
  <c r="B108" i="2"/>
  <c r="K109" i="5"/>
  <c r="A108" i="5"/>
  <c r="B108" i="5"/>
  <c r="C108" i="5"/>
  <c r="D108" i="5"/>
  <c r="E108" i="5"/>
  <c r="F108" i="5"/>
  <c r="G108" i="5"/>
  <c r="H108" i="5"/>
  <c r="I108" i="5"/>
  <c r="J108" i="5"/>
  <c r="K109" i="4"/>
  <c r="A108" i="4"/>
  <c r="B108" i="4"/>
  <c r="C108" i="4"/>
  <c r="D108" i="4"/>
  <c r="E108" i="4"/>
  <c r="F108" i="4"/>
  <c r="G108" i="4"/>
  <c r="H108" i="4"/>
  <c r="I108" i="4"/>
  <c r="J108" i="4"/>
  <c r="K109" i="3"/>
  <c r="A108" i="3"/>
  <c r="B108" i="3"/>
  <c r="C108" i="3"/>
  <c r="D108" i="3"/>
  <c r="E108" i="3"/>
  <c r="F108" i="3"/>
  <c r="G108" i="3"/>
  <c r="H108" i="3"/>
  <c r="I108" i="3"/>
  <c r="J108" i="3"/>
  <c r="K110" i="2" l="1"/>
  <c r="B109" i="2"/>
  <c r="D109" i="2"/>
  <c r="G109" i="2"/>
  <c r="J109" i="2"/>
  <c r="A109" i="2"/>
  <c r="C109" i="2"/>
  <c r="E109" i="2"/>
  <c r="F109" i="2"/>
  <c r="H109" i="2"/>
  <c r="I109" i="2"/>
  <c r="K110" i="5"/>
  <c r="A109" i="5"/>
  <c r="B109" i="5"/>
  <c r="C109" i="5"/>
  <c r="D109" i="5"/>
  <c r="E109" i="5"/>
  <c r="F109" i="5"/>
  <c r="G109" i="5"/>
  <c r="H109" i="5"/>
  <c r="I109" i="5"/>
  <c r="J109" i="5"/>
  <c r="K110" i="4"/>
  <c r="A109" i="4"/>
  <c r="B109" i="4"/>
  <c r="C109" i="4"/>
  <c r="D109" i="4"/>
  <c r="E109" i="4"/>
  <c r="F109" i="4"/>
  <c r="G109" i="4"/>
  <c r="H109" i="4"/>
  <c r="I109" i="4"/>
  <c r="J109" i="4"/>
  <c r="K110" i="3"/>
  <c r="A109" i="3"/>
  <c r="B109" i="3"/>
  <c r="C109" i="3"/>
  <c r="D109" i="3"/>
  <c r="E109" i="3"/>
  <c r="F109" i="3"/>
  <c r="G109" i="3"/>
  <c r="H109" i="3"/>
  <c r="I109" i="3"/>
  <c r="J109" i="3"/>
  <c r="A110" i="2" l="1"/>
  <c r="D110" i="2"/>
  <c r="F110" i="2"/>
  <c r="I110" i="2"/>
  <c r="K111" i="2"/>
  <c r="B110" i="2"/>
  <c r="C110" i="2"/>
  <c r="E110" i="2"/>
  <c r="G110" i="2"/>
  <c r="H110" i="2"/>
  <c r="J110" i="2"/>
  <c r="K111" i="5"/>
  <c r="A110" i="5"/>
  <c r="B110" i="5"/>
  <c r="C110" i="5"/>
  <c r="D110" i="5"/>
  <c r="E110" i="5"/>
  <c r="F110" i="5"/>
  <c r="G110" i="5"/>
  <c r="H110" i="5"/>
  <c r="I110" i="5"/>
  <c r="J110" i="5"/>
  <c r="K111" i="4"/>
  <c r="A110" i="4"/>
  <c r="B110" i="4"/>
  <c r="C110" i="4"/>
  <c r="D110" i="4"/>
  <c r="E110" i="4"/>
  <c r="F110" i="4"/>
  <c r="G110" i="4"/>
  <c r="H110" i="4"/>
  <c r="I110" i="4"/>
  <c r="J110" i="4"/>
  <c r="K111" i="3"/>
  <c r="A110" i="3"/>
  <c r="B110" i="3"/>
  <c r="C110" i="3"/>
  <c r="D110" i="3"/>
  <c r="E110" i="3"/>
  <c r="F110" i="3"/>
  <c r="G110" i="3"/>
  <c r="H110" i="3"/>
  <c r="I110" i="3"/>
  <c r="J110" i="3"/>
  <c r="A111" i="2" l="1"/>
  <c r="B111" i="2"/>
  <c r="D111" i="2"/>
  <c r="E111" i="2"/>
  <c r="F111" i="2"/>
  <c r="G111" i="2"/>
  <c r="H111" i="2"/>
  <c r="I111" i="2"/>
  <c r="J111" i="2"/>
  <c r="K112" i="2"/>
  <c r="C111" i="2"/>
  <c r="K112" i="5"/>
  <c r="A111" i="5"/>
  <c r="B111" i="5"/>
  <c r="C111" i="5"/>
  <c r="D111" i="5"/>
  <c r="E111" i="5"/>
  <c r="F111" i="5"/>
  <c r="G111" i="5"/>
  <c r="H111" i="5"/>
  <c r="I111" i="5"/>
  <c r="J111" i="5"/>
  <c r="K112" i="4"/>
  <c r="A111" i="4"/>
  <c r="B111" i="4"/>
  <c r="C111" i="4"/>
  <c r="D111" i="4"/>
  <c r="E111" i="4"/>
  <c r="F111" i="4"/>
  <c r="G111" i="4"/>
  <c r="H111" i="4"/>
  <c r="I111" i="4"/>
  <c r="J111" i="4"/>
  <c r="K112" i="3"/>
  <c r="A111" i="3"/>
  <c r="B111" i="3"/>
  <c r="C111" i="3"/>
  <c r="D111" i="3"/>
  <c r="E111" i="3"/>
  <c r="F111" i="3"/>
  <c r="G111" i="3"/>
  <c r="H111" i="3"/>
  <c r="I111" i="3"/>
  <c r="J111" i="3"/>
  <c r="K113" i="2" l="1"/>
  <c r="F112" i="2"/>
  <c r="H112" i="2"/>
  <c r="J112" i="2"/>
  <c r="A112" i="2"/>
  <c r="B112" i="2"/>
  <c r="C112" i="2"/>
  <c r="D112" i="2"/>
  <c r="E112" i="2"/>
  <c r="G112" i="2"/>
  <c r="I112" i="2"/>
  <c r="K113" i="5"/>
  <c r="A112" i="5"/>
  <c r="B112" i="5"/>
  <c r="C112" i="5"/>
  <c r="D112" i="5"/>
  <c r="E112" i="5"/>
  <c r="F112" i="5"/>
  <c r="G112" i="5"/>
  <c r="H112" i="5"/>
  <c r="I112" i="5"/>
  <c r="J112" i="5"/>
  <c r="K113" i="4"/>
  <c r="A112" i="4"/>
  <c r="B112" i="4"/>
  <c r="C112" i="4"/>
  <c r="D112" i="4"/>
  <c r="E112" i="4"/>
  <c r="F112" i="4"/>
  <c r="G112" i="4"/>
  <c r="H112" i="4"/>
  <c r="I112" i="4"/>
  <c r="J112" i="4"/>
  <c r="K113" i="3"/>
  <c r="A112" i="3"/>
  <c r="B112" i="3"/>
  <c r="C112" i="3"/>
  <c r="D112" i="3"/>
  <c r="E112" i="3"/>
  <c r="F112" i="3"/>
  <c r="G112" i="3"/>
  <c r="H112" i="3"/>
  <c r="I112" i="3"/>
  <c r="J112" i="3"/>
  <c r="K114" i="2" l="1"/>
  <c r="A113" i="2"/>
  <c r="C113" i="2"/>
  <c r="G113" i="2"/>
  <c r="I113" i="2"/>
  <c r="J113" i="2"/>
  <c r="B113" i="2"/>
  <c r="D113" i="2"/>
  <c r="E113" i="2"/>
  <c r="F113" i="2"/>
  <c r="H113" i="2"/>
  <c r="K114" i="5"/>
  <c r="A113" i="5"/>
  <c r="B113" i="5"/>
  <c r="C113" i="5"/>
  <c r="D113" i="5"/>
  <c r="E113" i="5"/>
  <c r="F113" i="5"/>
  <c r="G113" i="5"/>
  <c r="H113" i="5"/>
  <c r="I113" i="5"/>
  <c r="J113" i="5"/>
  <c r="K114" i="4"/>
  <c r="A113" i="4"/>
  <c r="B113" i="4"/>
  <c r="C113" i="4"/>
  <c r="D113" i="4"/>
  <c r="E113" i="4"/>
  <c r="F113" i="4"/>
  <c r="G113" i="4"/>
  <c r="H113" i="4"/>
  <c r="I113" i="4"/>
  <c r="J113" i="4"/>
  <c r="K114" i="3"/>
  <c r="A113" i="3"/>
  <c r="B113" i="3"/>
  <c r="C113" i="3"/>
  <c r="D113" i="3"/>
  <c r="E113" i="3"/>
  <c r="F113" i="3"/>
  <c r="G113" i="3"/>
  <c r="H113" i="3"/>
  <c r="I113" i="3"/>
  <c r="J113" i="3"/>
  <c r="K115" i="2" l="1"/>
  <c r="A114" i="2"/>
  <c r="D114" i="2"/>
  <c r="F114" i="2"/>
  <c r="H114" i="2"/>
  <c r="J114" i="2"/>
  <c r="B114" i="2"/>
  <c r="C114" i="2"/>
  <c r="E114" i="2"/>
  <c r="G114" i="2"/>
  <c r="I114" i="2"/>
  <c r="K115" i="5"/>
  <c r="A114" i="5"/>
  <c r="B114" i="5"/>
  <c r="C114" i="5"/>
  <c r="D114" i="5"/>
  <c r="E114" i="5"/>
  <c r="F114" i="5"/>
  <c r="G114" i="5"/>
  <c r="H114" i="5"/>
  <c r="I114" i="5"/>
  <c r="J114" i="5"/>
  <c r="K115" i="4"/>
  <c r="A114" i="4"/>
  <c r="B114" i="4"/>
  <c r="C114" i="4"/>
  <c r="D114" i="4"/>
  <c r="E114" i="4"/>
  <c r="F114" i="4"/>
  <c r="G114" i="4"/>
  <c r="H114" i="4"/>
  <c r="I114" i="4"/>
  <c r="J114" i="4"/>
  <c r="K115" i="3"/>
  <c r="A114" i="3"/>
  <c r="B114" i="3"/>
  <c r="C114" i="3"/>
  <c r="D114" i="3"/>
  <c r="E114" i="3"/>
  <c r="F114" i="3"/>
  <c r="G114" i="3"/>
  <c r="H114" i="3"/>
  <c r="I114" i="3"/>
  <c r="J114" i="3"/>
  <c r="K116" i="2" l="1"/>
  <c r="A115" i="2"/>
  <c r="C115" i="2"/>
  <c r="E115" i="2"/>
  <c r="H115" i="2"/>
  <c r="J115" i="2"/>
  <c r="B115" i="2"/>
  <c r="D115" i="2"/>
  <c r="F115" i="2"/>
  <c r="G115" i="2"/>
  <c r="I115" i="2"/>
  <c r="K116" i="5"/>
  <c r="A115" i="5"/>
  <c r="B115" i="5"/>
  <c r="C115" i="5"/>
  <c r="D115" i="5"/>
  <c r="E115" i="5"/>
  <c r="F115" i="5"/>
  <c r="G115" i="5"/>
  <c r="H115" i="5"/>
  <c r="I115" i="5"/>
  <c r="J115" i="5"/>
  <c r="K116" i="4"/>
  <c r="A115" i="4"/>
  <c r="B115" i="4"/>
  <c r="C115" i="4"/>
  <c r="D115" i="4"/>
  <c r="E115" i="4"/>
  <c r="F115" i="4"/>
  <c r="G115" i="4"/>
  <c r="H115" i="4"/>
  <c r="I115" i="4"/>
  <c r="J115" i="4"/>
  <c r="K116" i="3"/>
  <c r="A115" i="3"/>
  <c r="B115" i="3"/>
  <c r="C115" i="3"/>
  <c r="D115" i="3"/>
  <c r="E115" i="3"/>
  <c r="F115" i="3"/>
  <c r="G115" i="3"/>
  <c r="H115" i="3"/>
  <c r="I115" i="3"/>
  <c r="J115" i="3"/>
  <c r="K117" i="2" l="1"/>
  <c r="C116" i="2"/>
  <c r="E116" i="2"/>
  <c r="G116" i="2"/>
  <c r="I116" i="2"/>
  <c r="A116" i="2"/>
  <c r="B116" i="2"/>
  <c r="D116" i="2"/>
  <c r="F116" i="2"/>
  <c r="H116" i="2"/>
  <c r="J116" i="2"/>
  <c r="K117" i="5"/>
  <c r="A116" i="5"/>
  <c r="B116" i="5"/>
  <c r="C116" i="5"/>
  <c r="D116" i="5"/>
  <c r="E116" i="5"/>
  <c r="F116" i="5"/>
  <c r="G116" i="5"/>
  <c r="H116" i="5"/>
  <c r="I116" i="5"/>
  <c r="J116" i="5"/>
  <c r="K117" i="4"/>
  <c r="A116" i="4"/>
  <c r="B116" i="4"/>
  <c r="C116" i="4"/>
  <c r="D116" i="4"/>
  <c r="E116" i="4"/>
  <c r="F116" i="4"/>
  <c r="G116" i="4"/>
  <c r="H116" i="4"/>
  <c r="I116" i="4"/>
  <c r="J116" i="4"/>
  <c r="K117" i="3"/>
  <c r="A116" i="3"/>
  <c r="B116" i="3"/>
  <c r="C116" i="3"/>
  <c r="D116" i="3"/>
  <c r="E116" i="3"/>
  <c r="F116" i="3"/>
  <c r="G116" i="3"/>
  <c r="H116" i="3"/>
  <c r="I116" i="3"/>
  <c r="J116" i="3"/>
  <c r="A117" i="2" l="1"/>
  <c r="D117" i="2"/>
  <c r="E117" i="2"/>
  <c r="G117" i="2"/>
  <c r="J117" i="2"/>
  <c r="K118" i="2"/>
  <c r="B117" i="2"/>
  <c r="C117" i="2"/>
  <c r="F117" i="2"/>
  <c r="H117" i="2"/>
  <c r="I117" i="2"/>
  <c r="K118" i="5"/>
  <c r="A117" i="5"/>
  <c r="B117" i="5"/>
  <c r="C117" i="5"/>
  <c r="D117" i="5"/>
  <c r="E117" i="5"/>
  <c r="F117" i="5"/>
  <c r="G117" i="5"/>
  <c r="H117" i="5"/>
  <c r="I117" i="5"/>
  <c r="J117" i="5"/>
  <c r="K118" i="4"/>
  <c r="A117" i="4"/>
  <c r="B117" i="4"/>
  <c r="C117" i="4"/>
  <c r="D117" i="4"/>
  <c r="E117" i="4"/>
  <c r="F117" i="4"/>
  <c r="G117" i="4"/>
  <c r="H117" i="4"/>
  <c r="I117" i="4"/>
  <c r="J117" i="4"/>
  <c r="K118" i="3"/>
  <c r="A117" i="3"/>
  <c r="B117" i="3"/>
  <c r="C117" i="3"/>
  <c r="D117" i="3"/>
  <c r="E117" i="3"/>
  <c r="F117" i="3"/>
  <c r="G117" i="3"/>
  <c r="H117" i="3"/>
  <c r="I117" i="3"/>
  <c r="J117" i="3"/>
  <c r="B118" i="2" l="1"/>
  <c r="C118" i="2"/>
  <c r="D118" i="2"/>
  <c r="E118" i="2"/>
  <c r="F118" i="2"/>
  <c r="G118" i="2"/>
  <c r="H118" i="2"/>
  <c r="I118" i="2"/>
  <c r="J118" i="2"/>
  <c r="K119" i="2"/>
  <c r="A118" i="2"/>
  <c r="K119" i="5"/>
  <c r="A118" i="5"/>
  <c r="B118" i="5"/>
  <c r="C118" i="5"/>
  <c r="D118" i="5"/>
  <c r="E118" i="5"/>
  <c r="F118" i="5"/>
  <c r="G118" i="5"/>
  <c r="H118" i="5"/>
  <c r="I118" i="5"/>
  <c r="J118" i="5"/>
  <c r="K119" i="4"/>
  <c r="A118" i="4"/>
  <c r="B118" i="4"/>
  <c r="C118" i="4"/>
  <c r="D118" i="4"/>
  <c r="E118" i="4"/>
  <c r="F118" i="4"/>
  <c r="G118" i="4"/>
  <c r="H118" i="4"/>
  <c r="I118" i="4"/>
  <c r="J118" i="4"/>
  <c r="K119" i="3"/>
  <c r="A118" i="3"/>
  <c r="B118" i="3"/>
  <c r="C118" i="3"/>
  <c r="D118" i="3"/>
  <c r="E118" i="3"/>
  <c r="F118" i="3"/>
  <c r="G118" i="3"/>
  <c r="H118" i="3"/>
  <c r="I118" i="3"/>
  <c r="J118" i="3"/>
  <c r="B119" i="2" l="1"/>
  <c r="D119" i="2"/>
  <c r="F119" i="2"/>
  <c r="J119" i="2"/>
  <c r="K120" i="2"/>
  <c r="A119" i="2"/>
  <c r="C119" i="2"/>
  <c r="E119" i="2"/>
  <c r="G119" i="2"/>
  <c r="H119" i="2"/>
  <c r="I119" i="2"/>
  <c r="K120" i="5"/>
  <c r="A119" i="5"/>
  <c r="B119" i="5"/>
  <c r="C119" i="5"/>
  <c r="D119" i="5"/>
  <c r="E119" i="5"/>
  <c r="F119" i="5"/>
  <c r="G119" i="5"/>
  <c r="H119" i="5"/>
  <c r="I119" i="5"/>
  <c r="J119" i="5"/>
  <c r="K120" i="4"/>
  <c r="A119" i="4"/>
  <c r="B119" i="4"/>
  <c r="C119" i="4"/>
  <c r="D119" i="4"/>
  <c r="E119" i="4"/>
  <c r="F119" i="4"/>
  <c r="G119" i="4"/>
  <c r="H119" i="4"/>
  <c r="I119" i="4"/>
  <c r="J119" i="4"/>
  <c r="K120" i="3"/>
  <c r="A119" i="3"/>
  <c r="B119" i="3"/>
  <c r="C119" i="3"/>
  <c r="D119" i="3"/>
  <c r="E119" i="3"/>
  <c r="F119" i="3"/>
  <c r="G119" i="3"/>
  <c r="H119" i="3"/>
  <c r="I119" i="3"/>
  <c r="J119" i="3"/>
  <c r="K121" i="2" l="1"/>
  <c r="B120" i="2"/>
  <c r="D120" i="2"/>
  <c r="F120" i="2"/>
  <c r="G120" i="2"/>
  <c r="H120" i="2"/>
  <c r="I120" i="2"/>
  <c r="J120" i="2"/>
  <c r="A120" i="2"/>
  <c r="C120" i="2"/>
  <c r="E120" i="2"/>
  <c r="K121" i="5"/>
  <c r="A120" i="5"/>
  <c r="B120" i="5"/>
  <c r="C120" i="5"/>
  <c r="D120" i="5"/>
  <c r="E120" i="5"/>
  <c r="F120" i="5"/>
  <c r="G120" i="5"/>
  <c r="H120" i="5"/>
  <c r="I120" i="5"/>
  <c r="J120" i="5"/>
  <c r="K121" i="4"/>
  <c r="A120" i="4"/>
  <c r="B120" i="4"/>
  <c r="C120" i="4"/>
  <c r="D120" i="4"/>
  <c r="E120" i="4"/>
  <c r="F120" i="4"/>
  <c r="G120" i="4"/>
  <c r="H120" i="4"/>
  <c r="I120" i="4"/>
  <c r="J120" i="4"/>
  <c r="K121" i="3"/>
  <c r="A120" i="3"/>
  <c r="B120" i="3"/>
  <c r="C120" i="3"/>
  <c r="D120" i="3"/>
  <c r="E120" i="3"/>
  <c r="F120" i="3"/>
  <c r="G120" i="3"/>
  <c r="H120" i="3"/>
  <c r="I120" i="3"/>
  <c r="J120" i="3"/>
  <c r="A121" i="2" l="1"/>
  <c r="C121" i="2"/>
  <c r="E121" i="2"/>
  <c r="F121" i="2"/>
  <c r="H121" i="2"/>
  <c r="I121" i="2"/>
  <c r="J121" i="2"/>
  <c r="K122" i="2"/>
  <c r="B121" i="2"/>
  <c r="D121" i="2"/>
  <c r="G121" i="2"/>
  <c r="K122" i="5"/>
  <c r="A121" i="5"/>
  <c r="B121" i="5"/>
  <c r="C121" i="5"/>
  <c r="D121" i="5"/>
  <c r="E121" i="5"/>
  <c r="F121" i="5"/>
  <c r="G121" i="5"/>
  <c r="H121" i="5"/>
  <c r="I121" i="5"/>
  <c r="J121" i="5"/>
  <c r="K122" i="4"/>
  <c r="A121" i="4"/>
  <c r="B121" i="4"/>
  <c r="C121" i="4"/>
  <c r="D121" i="4"/>
  <c r="E121" i="4"/>
  <c r="F121" i="4"/>
  <c r="G121" i="4"/>
  <c r="H121" i="4"/>
  <c r="I121" i="4"/>
  <c r="J121" i="4"/>
  <c r="K122" i="3"/>
  <c r="A121" i="3"/>
  <c r="B121" i="3"/>
  <c r="C121" i="3"/>
  <c r="D121" i="3"/>
  <c r="E121" i="3"/>
  <c r="F121" i="3"/>
  <c r="G121" i="3"/>
  <c r="H121" i="3"/>
  <c r="I121" i="3"/>
  <c r="J121" i="3"/>
  <c r="K123" i="2" l="1"/>
  <c r="B122" i="2"/>
  <c r="D122" i="2"/>
  <c r="F122" i="2"/>
  <c r="H122" i="2"/>
  <c r="J122" i="2"/>
  <c r="A122" i="2"/>
  <c r="C122" i="2"/>
  <c r="E122" i="2"/>
  <c r="G122" i="2"/>
  <c r="I122" i="2"/>
  <c r="K123" i="5"/>
  <c r="A122" i="5"/>
  <c r="B122" i="5"/>
  <c r="C122" i="5"/>
  <c r="D122" i="5"/>
  <c r="E122" i="5"/>
  <c r="F122" i="5"/>
  <c r="G122" i="5"/>
  <c r="H122" i="5"/>
  <c r="I122" i="5"/>
  <c r="J122" i="5"/>
  <c r="K123" i="4"/>
  <c r="A122" i="4"/>
  <c r="B122" i="4"/>
  <c r="C122" i="4"/>
  <c r="D122" i="4"/>
  <c r="E122" i="4"/>
  <c r="F122" i="4"/>
  <c r="G122" i="4"/>
  <c r="H122" i="4"/>
  <c r="I122" i="4"/>
  <c r="J122" i="4"/>
  <c r="K123" i="3"/>
  <c r="A122" i="3"/>
  <c r="B122" i="3"/>
  <c r="C122" i="3"/>
  <c r="D122" i="3"/>
  <c r="E122" i="3"/>
  <c r="F122" i="3"/>
  <c r="G122" i="3"/>
  <c r="H122" i="3"/>
  <c r="I122" i="3"/>
  <c r="J122" i="3"/>
  <c r="K124" i="2" l="1"/>
  <c r="A123" i="2"/>
  <c r="C123" i="2"/>
  <c r="E123" i="2"/>
  <c r="G123" i="2"/>
  <c r="I123" i="2"/>
  <c r="J123" i="2"/>
  <c r="B123" i="2"/>
  <c r="D123" i="2"/>
  <c r="F123" i="2"/>
  <c r="H123" i="2"/>
  <c r="K124" i="5"/>
  <c r="A123" i="5"/>
  <c r="B123" i="5"/>
  <c r="C123" i="5"/>
  <c r="D123" i="5"/>
  <c r="E123" i="5"/>
  <c r="F123" i="5"/>
  <c r="G123" i="5"/>
  <c r="H123" i="5"/>
  <c r="I123" i="5"/>
  <c r="J123" i="5"/>
  <c r="K124" i="4"/>
  <c r="A123" i="4"/>
  <c r="B123" i="4"/>
  <c r="C123" i="4"/>
  <c r="D123" i="4"/>
  <c r="E123" i="4"/>
  <c r="F123" i="4"/>
  <c r="G123" i="4"/>
  <c r="H123" i="4"/>
  <c r="I123" i="4"/>
  <c r="J123" i="4"/>
  <c r="K124" i="3"/>
  <c r="A123" i="3"/>
  <c r="B123" i="3"/>
  <c r="C123" i="3"/>
  <c r="D123" i="3"/>
  <c r="E123" i="3"/>
  <c r="F123" i="3"/>
  <c r="G123" i="3"/>
  <c r="H123" i="3"/>
  <c r="I123" i="3"/>
  <c r="J123" i="3"/>
  <c r="A124" i="2" l="1"/>
  <c r="C124" i="2"/>
  <c r="E124" i="2"/>
  <c r="G124" i="2"/>
  <c r="J124" i="2"/>
  <c r="K125" i="2"/>
  <c r="B124" i="2"/>
  <c r="D124" i="2"/>
  <c r="F124" i="2"/>
  <c r="H124" i="2"/>
  <c r="I124" i="2"/>
  <c r="K125" i="5"/>
  <c r="A124" i="5"/>
  <c r="B124" i="5"/>
  <c r="C124" i="5"/>
  <c r="D124" i="5"/>
  <c r="E124" i="5"/>
  <c r="F124" i="5"/>
  <c r="G124" i="5"/>
  <c r="H124" i="5"/>
  <c r="I124" i="5"/>
  <c r="J124" i="5"/>
  <c r="K125" i="4"/>
  <c r="A124" i="4"/>
  <c r="B124" i="4"/>
  <c r="C124" i="4"/>
  <c r="D124" i="4"/>
  <c r="E124" i="4"/>
  <c r="F124" i="4"/>
  <c r="G124" i="4"/>
  <c r="H124" i="4"/>
  <c r="I124" i="4"/>
  <c r="J124" i="4"/>
  <c r="K125" i="3"/>
  <c r="A124" i="3"/>
  <c r="B124" i="3"/>
  <c r="C124" i="3"/>
  <c r="D124" i="3"/>
  <c r="E124" i="3"/>
  <c r="F124" i="3"/>
  <c r="G124" i="3"/>
  <c r="H124" i="3"/>
  <c r="I124" i="3"/>
  <c r="J124" i="3"/>
  <c r="K126" i="2" l="1"/>
  <c r="B125" i="2"/>
  <c r="D125" i="2"/>
  <c r="F125" i="2"/>
  <c r="G125" i="2"/>
  <c r="H125" i="2"/>
  <c r="J125" i="2"/>
  <c r="A125" i="2"/>
  <c r="C125" i="2"/>
  <c r="E125" i="2"/>
  <c r="I125" i="2"/>
  <c r="K126" i="5"/>
  <c r="A125" i="5"/>
  <c r="B125" i="5"/>
  <c r="C125" i="5"/>
  <c r="D125" i="5"/>
  <c r="E125" i="5"/>
  <c r="F125" i="5"/>
  <c r="G125" i="5"/>
  <c r="H125" i="5"/>
  <c r="I125" i="5"/>
  <c r="J125" i="5"/>
  <c r="K126" i="4"/>
  <c r="A125" i="4"/>
  <c r="B125" i="4"/>
  <c r="C125" i="4"/>
  <c r="D125" i="4"/>
  <c r="E125" i="4"/>
  <c r="F125" i="4"/>
  <c r="G125" i="4"/>
  <c r="H125" i="4"/>
  <c r="I125" i="4"/>
  <c r="J125" i="4"/>
  <c r="K126" i="3"/>
  <c r="A125" i="3"/>
  <c r="B125" i="3"/>
  <c r="C125" i="3"/>
  <c r="D125" i="3"/>
  <c r="E125" i="3"/>
  <c r="F125" i="3"/>
  <c r="G125" i="3"/>
  <c r="H125" i="3"/>
  <c r="I125" i="3"/>
  <c r="J125" i="3"/>
  <c r="A126" i="2" l="1"/>
  <c r="C126" i="2"/>
  <c r="E126" i="2"/>
  <c r="G126" i="2"/>
  <c r="I126" i="2"/>
  <c r="J126" i="2"/>
  <c r="K127" i="2"/>
  <c r="B126" i="2"/>
  <c r="D126" i="2"/>
  <c r="F126" i="2"/>
  <c r="H126" i="2"/>
  <c r="K127" i="5"/>
  <c r="A126" i="5"/>
  <c r="B126" i="5"/>
  <c r="C126" i="5"/>
  <c r="D126" i="5"/>
  <c r="E126" i="5"/>
  <c r="F126" i="5"/>
  <c r="G126" i="5"/>
  <c r="H126" i="5"/>
  <c r="I126" i="5"/>
  <c r="J126" i="5"/>
  <c r="K127" i="4"/>
  <c r="A126" i="4"/>
  <c r="B126" i="4"/>
  <c r="C126" i="4"/>
  <c r="D126" i="4"/>
  <c r="E126" i="4"/>
  <c r="F126" i="4"/>
  <c r="G126" i="4"/>
  <c r="H126" i="4"/>
  <c r="I126" i="4"/>
  <c r="J126" i="4"/>
  <c r="K127" i="3"/>
  <c r="A126" i="3"/>
  <c r="B126" i="3"/>
  <c r="C126" i="3"/>
  <c r="D126" i="3"/>
  <c r="E126" i="3"/>
  <c r="F126" i="3"/>
  <c r="G126" i="3"/>
  <c r="H126" i="3"/>
  <c r="I126" i="3"/>
  <c r="J126" i="3"/>
  <c r="K128" i="2" l="1"/>
  <c r="B127" i="2"/>
  <c r="F127" i="2"/>
  <c r="J127" i="2"/>
  <c r="A127" i="2"/>
  <c r="C127" i="2"/>
  <c r="D127" i="2"/>
  <c r="E127" i="2"/>
  <c r="G127" i="2"/>
  <c r="H127" i="2"/>
  <c r="I127" i="2"/>
  <c r="K128" i="5"/>
  <c r="A127" i="5"/>
  <c r="B127" i="5"/>
  <c r="C127" i="5"/>
  <c r="D127" i="5"/>
  <c r="E127" i="5"/>
  <c r="F127" i="5"/>
  <c r="G127" i="5"/>
  <c r="H127" i="5"/>
  <c r="I127" i="5"/>
  <c r="J127" i="5"/>
  <c r="K128" i="4"/>
  <c r="A127" i="4"/>
  <c r="B127" i="4"/>
  <c r="C127" i="4"/>
  <c r="D127" i="4"/>
  <c r="E127" i="4"/>
  <c r="F127" i="4"/>
  <c r="G127" i="4"/>
  <c r="H127" i="4"/>
  <c r="I127" i="4"/>
  <c r="J127" i="4"/>
  <c r="K128" i="3"/>
  <c r="A127" i="3"/>
  <c r="B127" i="3"/>
  <c r="C127" i="3"/>
  <c r="D127" i="3"/>
  <c r="E127" i="3"/>
  <c r="F127" i="3"/>
  <c r="G127" i="3"/>
  <c r="H127" i="3"/>
  <c r="I127" i="3"/>
  <c r="J127" i="3"/>
  <c r="K129" i="2" l="1"/>
  <c r="A128" i="2"/>
  <c r="C128" i="2"/>
  <c r="E128" i="2"/>
  <c r="J128" i="2"/>
  <c r="B128" i="2"/>
  <c r="D128" i="2"/>
  <c r="F128" i="2"/>
  <c r="G128" i="2"/>
  <c r="H128" i="2"/>
  <c r="I128" i="2"/>
  <c r="K129" i="5"/>
  <c r="A128" i="5"/>
  <c r="B128" i="5"/>
  <c r="C128" i="5"/>
  <c r="D128" i="5"/>
  <c r="E128" i="5"/>
  <c r="F128" i="5"/>
  <c r="G128" i="5"/>
  <c r="H128" i="5"/>
  <c r="I128" i="5"/>
  <c r="J128" i="5"/>
  <c r="K129" i="4"/>
  <c r="A128" i="4"/>
  <c r="B128" i="4"/>
  <c r="C128" i="4"/>
  <c r="D128" i="4"/>
  <c r="E128" i="4"/>
  <c r="F128" i="4"/>
  <c r="G128" i="4"/>
  <c r="H128" i="4"/>
  <c r="I128" i="4"/>
  <c r="J128" i="4"/>
  <c r="K129" i="3"/>
  <c r="A128" i="3"/>
  <c r="B128" i="3"/>
  <c r="C128" i="3"/>
  <c r="D128" i="3"/>
  <c r="E128" i="3"/>
  <c r="F128" i="3"/>
  <c r="G128" i="3"/>
  <c r="H128" i="3"/>
  <c r="I128" i="3"/>
  <c r="J128" i="3"/>
  <c r="K130" i="2" l="1"/>
  <c r="A129" i="2"/>
  <c r="D129" i="2"/>
  <c r="G129" i="2"/>
  <c r="I129" i="2"/>
  <c r="B129" i="2"/>
  <c r="C129" i="2"/>
  <c r="E129" i="2"/>
  <c r="F129" i="2"/>
  <c r="H129" i="2"/>
  <c r="J129" i="2"/>
  <c r="K130" i="5"/>
  <c r="A129" i="5"/>
  <c r="B129" i="5"/>
  <c r="C129" i="5"/>
  <c r="D129" i="5"/>
  <c r="E129" i="5"/>
  <c r="F129" i="5"/>
  <c r="G129" i="5"/>
  <c r="H129" i="5"/>
  <c r="I129" i="5"/>
  <c r="J129" i="5"/>
  <c r="K130" i="4"/>
  <c r="A129" i="4"/>
  <c r="B129" i="4"/>
  <c r="C129" i="4"/>
  <c r="D129" i="4"/>
  <c r="E129" i="4"/>
  <c r="F129" i="4"/>
  <c r="G129" i="4"/>
  <c r="H129" i="4"/>
  <c r="I129" i="4"/>
  <c r="J129" i="4"/>
  <c r="K130" i="3"/>
  <c r="A129" i="3"/>
  <c r="B129" i="3"/>
  <c r="C129" i="3"/>
  <c r="D129" i="3"/>
  <c r="E129" i="3"/>
  <c r="F129" i="3"/>
  <c r="G129" i="3"/>
  <c r="H129" i="3"/>
  <c r="I129" i="3"/>
  <c r="J129" i="3"/>
  <c r="A130" i="2" l="1"/>
  <c r="C130" i="2"/>
  <c r="E130" i="2"/>
  <c r="G130" i="2"/>
  <c r="J130" i="2"/>
  <c r="K131" i="2"/>
  <c r="B130" i="2"/>
  <c r="D130" i="2"/>
  <c r="F130" i="2"/>
  <c r="H130" i="2"/>
  <c r="I130" i="2"/>
  <c r="K131" i="5"/>
  <c r="A130" i="5"/>
  <c r="B130" i="5"/>
  <c r="C130" i="5"/>
  <c r="D130" i="5"/>
  <c r="E130" i="5"/>
  <c r="F130" i="5"/>
  <c r="G130" i="5"/>
  <c r="H130" i="5"/>
  <c r="I130" i="5"/>
  <c r="J130" i="5"/>
  <c r="K131" i="4"/>
  <c r="A130" i="4"/>
  <c r="B130" i="4"/>
  <c r="C130" i="4"/>
  <c r="D130" i="4"/>
  <c r="E130" i="4"/>
  <c r="F130" i="4"/>
  <c r="G130" i="4"/>
  <c r="H130" i="4"/>
  <c r="I130" i="4"/>
  <c r="J130" i="4"/>
  <c r="K131" i="3"/>
  <c r="A130" i="3"/>
  <c r="B130" i="3"/>
  <c r="C130" i="3"/>
  <c r="D130" i="3"/>
  <c r="E130" i="3"/>
  <c r="F130" i="3"/>
  <c r="G130" i="3"/>
  <c r="H130" i="3"/>
  <c r="I130" i="3"/>
  <c r="J130" i="3"/>
  <c r="B131" i="2" l="1"/>
  <c r="C131" i="2"/>
  <c r="E131" i="2"/>
  <c r="G131" i="2"/>
  <c r="H131" i="2"/>
  <c r="J131" i="2"/>
  <c r="K132" i="2"/>
  <c r="A131" i="2"/>
  <c r="D131" i="2"/>
  <c r="F131" i="2"/>
  <c r="I131" i="2"/>
  <c r="K132" i="5"/>
  <c r="A131" i="5"/>
  <c r="B131" i="5"/>
  <c r="C131" i="5"/>
  <c r="D131" i="5"/>
  <c r="E131" i="5"/>
  <c r="F131" i="5"/>
  <c r="G131" i="5"/>
  <c r="H131" i="5"/>
  <c r="I131" i="5"/>
  <c r="J131" i="5"/>
  <c r="K132" i="4"/>
  <c r="A131" i="4"/>
  <c r="B131" i="4"/>
  <c r="C131" i="4"/>
  <c r="D131" i="4"/>
  <c r="E131" i="4"/>
  <c r="F131" i="4"/>
  <c r="G131" i="4"/>
  <c r="H131" i="4"/>
  <c r="I131" i="4"/>
  <c r="J131" i="4"/>
  <c r="K132" i="3"/>
  <c r="A131" i="3"/>
  <c r="B131" i="3"/>
  <c r="C131" i="3"/>
  <c r="D131" i="3"/>
  <c r="E131" i="3"/>
  <c r="F131" i="3"/>
  <c r="G131" i="3"/>
  <c r="H131" i="3"/>
  <c r="I131" i="3"/>
  <c r="J131" i="3"/>
  <c r="K133" i="2" l="1"/>
  <c r="B132" i="2"/>
  <c r="D132" i="2"/>
  <c r="F132" i="2"/>
  <c r="J132" i="2"/>
  <c r="A132" i="2"/>
  <c r="C132" i="2"/>
  <c r="E132" i="2"/>
  <c r="G132" i="2"/>
  <c r="H132" i="2"/>
  <c r="I132" i="2"/>
  <c r="K133" i="5"/>
  <c r="A132" i="5"/>
  <c r="B132" i="5"/>
  <c r="C132" i="5"/>
  <c r="D132" i="5"/>
  <c r="E132" i="5"/>
  <c r="F132" i="5"/>
  <c r="G132" i="5"/>
  <c r="H132" i="5"/>
  <c r="I132" i="5"/>
  <c r="J132" i="5"/>
  <c r="K133" i="4"/>
  <c r="A132" i="4"/>
  <c r="B132" i="4"/>
  <c r="C132" i="4"/>
  <c r="D132" i="4"/>
  <c r="E132" i="4"/>
  <c r="F132" i="4"/>
  <c r="G132" i="4"/>
  <c r="H132" i="4"/>
  <c r="I132" i="4"/>
  <c r="J132" i="4"/>
  <c r="K133" i="3"/>
  <c r="A132" i="3"/>
  <c r="B132" i="3"/>
  <c r="C132" i="3"/>
  <c r="D132" i="3"/>
  <c r="E132" i="3"/>
  <c r="F132" i="3"/>
  <c r="G132" i="3"/>
  <c r="H132" i="3"/>
  <c r="I132" i="3"/>
  <c r="J132" i="3"/>
  <c r="A133" i="2" l="1"/>
  <c r="D133" i="2"/>
  <c r="F133" i="2"/>
  <c r="H133" i="2"/>
  <c r="K134" i="2"/>
  <c r="B133" i="2"/>
  <c r="C133" i="2"/>
  <c r="E133" i="2"/>
  <c r="G133" i="2"/>
  <c r="I133" i="2"/>
  <c r="J133" i="2"/>
  <c r="K134" i="5"/>
  <c r="A133" i="5"/>
  <c r="B133" i="5"/>
  <c r="C133" i="5"/>
  <c r="D133" i="5"/>
  <c r="E133" i="5"/>
  <c r="F133" i="5"/>
  <c r="G133" i="5"/>
  <c r="H133" i="5"/>
  <c r="I133" i="5"/>
  <c r="J133" i="5"/>
  <c r="K134" i="4"/>
  <c r="A133" i="4"/>
  <c r="B133" i="4"/>
  <c r="C133" i="4"/>
  <c r="D133" i="4"/>
  <c r="E133" i="4"/>
  <c r="F133" i="4"/>
  <c r="G133" i="4"/>
  <c r="H133" i="4"/>
  <c r="I133" i="4"/>
  <c r="J133" i="4"/>
  <c r="K134" i="3"/>
  <c r="A133" i="3"/>
  <c r="B133" i="3"/>
  <c r="C133" i="3"/>
  <c r="D133" i="3"/>
  <c r="E133" i="3"/>
  <c r="F133" i="3"/>
  <c r="G133" i="3"/>
  <c r="H133" i="3"/>
  <c r="I133" i="3"/>
  <c r="J133" i="3"/>
  <c r="A134" i="2" l="1"/>
  <c r="C134" i="2"/>
  <c r="E134" i="2"/>
  <c r="F134" i="2"/>
  <c r="H134" i="2"/>
  <c r="J134" i="2"/>
  <c r="K135" i="2"/>
  <c r="B134" i="2"/>
  <c r="D134" i="2"/>
  <c r="G134" i="2"/>
  <c r="I134" i="2"/>
  <c r="K135" i="5"/>
  <c r="A134" i="5"/>
  <c r="B134" i="5"/>
  <c r="C134" i="5"/>
  <c r="D134" i="5"/>
  <c r="E134" i="5"/>
  <c r="F134" i="5"/>
  <c r="G134" i="5"/>
  <c r="H134" i="5"/>
  <c r="I134" i="5"/>
  <c r="J134" i="5"/>
  <c r="K135" i="4"/>
  <c r="A134" i="4"/>
  <c r="B134" i="4"/>
  <c r="C134" i="4"/>
  <c r="D134" i="4"/>
  <c r="E134" i="4"/>
  <c r="F134" i="4"/>
  <c r="G134" i="4"/>
  <c r="H134" i="4"/>
  <c r="I134" i="4"/>
  <c r="J134" i="4"/>
  <c r="K135" i="3"/>
  <c r="A134" i="3"/>
  <c r="B134" i="3"/>
  <c r="C134" i="3"/>
  <c r="D134" i="3"/>
  <c r="E134" i="3"/>
  <c r="F134" i="3"/>
  <c r="G134" i="3"/>
  <c r="H134" i="3"/>
  <c r="I134" i="3"/>
  <c r="J134" i="3"/>
  <c r="K136" i="2" l="1"/>
  <c r="H135" i="2"/>
  <c r="J135" i="2"/>
  <c r="A135" i="2"/>
  <c r="B135" i="2"/>
  <c r="C135" i="2"/>
  <c r="D135" i="2"/>
  <c r="E135" i="2"/>
  <c r="F135" i="2"/>
  <c r="G135" i="2"/>
  <c r="I135" i="2"/>
  <c r="K136" i="5"/>
  <c r="A135" i="5"/>
  <c r="B135" i="5"/>
  <c r="C135" i="5"/>
  <c r="D135" i="5"/>
  <c r="E135" i="5"/>
  <c r="F135" i="5"/>
  <c r="G135" i="5"/>
  <c r="H135" i="5"/>
  <c r="I135" i="5"/>
  <c r="J135" i="5"/>
  <c r="K136" i="4"/>
  <c r="A135" i="4"/>
  <c r="B135" i="4"/>
  <c r="C135" i="4"/>
  <c r="D135" i="4"/>
  <c r="E135" i="4"/>
  <c r="F135" i="4"/>
  <c r="G135" i="4"/>
  <c r="H135" i="4"/>
  <c r="I135" i="4"/>
  <c r="J135" i="4"/>
  <c r="K136" i="3"/>
  <c r="A135" i="3"/>
  <c r="B135" i="3"/>
  <c r="C135" i="3"/>
  <c r="D135" i="3"/>
  <c r="E135" i="3"/>
  <c r="F135" i="3"/>
  <c r="G135" i="3"/>
  <c r="H135" i="3"/>
  <c r="I135" i="3"/>
  <c r="J135" i="3"/>
  <c r="K137" i="2" l="1"/>
  <c r="A136" i="2"/>
  <c r="C136" i="2"/>
  <c r="E136" i="2"/>
  <c r="G136" i="2"/>
  <c r="J136" i="2"/>
  <c r="B136" i="2"/>
  <c r="D136" i="2"/>
  <c r="F136" i="2"/>
  <c r="H136" i="2"/>
  <c r="I136" i="2"/>
  <c r="K137" i="5"/>
  <c r="A136" i="5"/>
  <c r="B136" i="5"/>
  <c r="C136" i="5"/>
  <c r="D136" i="5"/>
  <c r="E136" i="5"/>
  <c r="F136" i="5"/>
  <c r="G136" i="5"/>
  <c r="H136" i="5"/>
  <c r="I136" i="5"/>
  <c r="J136" i="5"/>
  <c r="K137" i="4"/>
  <c r="A136" i="4"/>
  <c r="B136" i="4"/>
  <c r="C136" i="4"/>
  <c r="D136" i="4"/>
  <c r="E136" i="4"/>
  <c r="F136" i="4"/>
  <c r="G136" i="4"/>
  <c r="H136" i="4"/>
  <c r="I136" i="4"/>
  <c r="J136" i="4"/>
  <c r="K137" i="3"/>
  <c r="A136" i="3"/>
  <c r="B136" i="3"/>
  <c r="C136" i="3"/>
  <c r="D136" i="3"/>
  <c r="E136" i="3"/>
  <c r="F136" i="3"/>
  <c r="G136" i="3"/>
  <c r="H136" i="3"/>
  <c r="I136" i="3"/>
  <c r="J136" i="3"/>
  <c r="A137" i="2" l="1"/>
  <c r="D137" i="2"/>
  <c r="E137" i="2"/>
  <c r="I137" i="2"/>
  <c r="K138" i="2"/>
  <c r="B137" i="2"/>
  <c r="C137" i="2"/>
  <c r="F137" i="2"/>
  <c r="G137" i="2"/>
  <c r="H137" i="2"/>
  <c r="J137" i="2"/>
  <c r="K138" i="5"/>
  <c r="A137" i="5"/>
  <c r="B137" i="5"/>
  <c r="C137" i="5"/>
  <c r="D137" i="5"/>
  <c r="E137" i="5"/>
  <c r="F137" i="5"/>
  <c r="G137" i="5"/>
  <c r="H137" i="5"/>
  <c r="I137" i="5"/>
  <c r="J137" i="5"/>
  <c r="K138" i="4"/>
  <c r="A137" i="4"/>
  <c r="B137" i="4"/>
  <c r="C137" i="4"/>
  <c r="D137" i="4"/>
  <c r="E137" i="4"/>
  <c r="F137" i="4"/>
  <c r="G137" i="4"/>
  <c r="H137" i="4"/>
  <c r="I137" i="4"/>
  <c r="J137" i="4"/>
  <c r="K138" i="3"/>
  <c r="A137" i="3"/>
  <c r="B137" i="3"/>
  <c r="C137" i="3"/>
  <c r="D137" i="3"/>
  <c r="E137" i="3"/>
  <c r="F137" i="3"/>
  <c r="G137" i="3"/>
  <c r="H137" i="3"/>
  <c r="I137" i="3"/>
  <c r="J137" i="3"/>
  <c r="K139" i="2" l="1"/>
  <c r="A138" i="2"/>
  <c r="C138" i="2"/>
  <c r="D138" i="2"/>
  <c r="E138" i="2"/>
  <c r="F138" i="2"/>
  <c r="G138" i="2"/>
  <c r="H138" i="2"/>
  <c r="I138" i="2"/>
  <c r="J138" i="2"/>
  <c r="B138" i="2"/>
  <c r="K139" i="5"/>
  <c r="A138" i="5"/>
  <c r="B138" i="5"/>
  <c r="C138" i="5"/>
  <c r="D138" i="5"/>
  <c r="E138" i="5"/>
  <c r="F138" i="5"/>
  <c r="G138" i="5"/>
  <c r="H138" i="5"/>
  <c r="I138" i="5"/>
  <c r="J138" i="5"/>
  <c r="K139" i="4"/>
  <c r="A138" i="4"/>
  <c r="B138" i="4"/>
  <c r="C138" i="4"/>
  <c r="D138" i="4"/>
  <c r="E138" i="4"/>
  <c r="F138" i="4"/>
  <c r="G138" i="4"/>
  <c r="H138" i="4"/>
  <c r="I138" i="4"/>
  <c r="J138" i="4"/>
  <c r="K139" i="3"/>
  <c r="A138" i="3"/>
  <c r="B138" i="3"/>
  <c r="C138" i="3"/>
  <c r="D138" i="3"/>
  <c r="E138" i="3"/>
  <c r="F138" i="3"/>
  <c r="G138" i="3"/>
  <c r="H138" i="3"/>
  <c r="I138" i="3"/>
  <c r="J138" i="3"/>
  <c r="A139" i="2" l="1"/>
  <c r="C139" i="2"/>
  <c r="E139" i="2"/>
  <c r="F139" i="2"/>
  <c r="G139" i="2"/>
  <c r="H139" i="2"/>
  <c r="I139" i="2"/>
  <c r="J139" i="2"/>
  <c r="K140" i="2"/>
  <c r="B139" i="2"/>
  <c r="D139" i="2"/>
  <c r="K140" i="5"/>
  <c r="A139" i="5"/>
  <c r="B139" i="5"/>
  <c r="C139" i="5"/>
  <c r="D139" i="5"/>
  <c r="E139" i="5"/>
  <c r="F139" i="5"/>
  <c r="G139" i="5"/>
  <c r="H139" i="5"/>
  <c r="I139" i="5"/>
  <c r="J139" i="5"/>
  <c r="K140" i="4"/>
  <c r="A139" i="4"/>
  <c r="B139" i="4"/>
  <c r="C139" i="4"/>
  <c r="D139" i="4"/>
  <c r="E139" i="4"/>
  <c r="F139" i="4"/>
  <c r="G139" i="4"/>
  <c r="H139" i="4"/>
  <c r="I139" i="4"/>
  <c r="J139" i="4"/>
  <c r="K140" i="3"/>
  <c r="A139" i="3"/>
  <c r="B139" i="3"/>
  <c r="C139" i="3"/>
  <c r="D139" i="3"/>
  <c r="E139" i="3"/>
  <c r="F139" i="3"/>
  <c r="G139" i="3"/>
  <c r="H139" i="3"/>
  <c r="I139" i="3"/>
  <c r="J139" i="3"/>
  <c r="B140" i="2" l="1"/>
  <c r="D140" i="2"/>
  <c r="F140" i="2"/>
  <c r="H140" i="2"/>
  <c r="J140" i="2"/>
  <c r="K141" i="2"/>
  <c r="A140" i="2"/>
  <c r="C140" i="2"/>
  <c r="E140" i="2"/>
  <c r="G140" i="2"/>
  <c r="I140" i="2"/>
  <c r="K141" i="5"/>
  <c r="A140" i="5"/>
  <c r="B140" i="5"/>
  <c r="C140" i="5"/>
  <c r="D140" i="5"/>
  <c r="E140" i="5"/>
  <c r="F140" i="5"/>
  <c r="G140" i="5"/>
  <c r="H140" i="5"/>
  <c r="I140" i="5"/>
  <c r="J140" i="5"/>
  <c r="K141" i="4"/>
  <c r="A140" i="4"/>
  <c r="B140" i="4"/>
  <c r="C140" i="4"/>
  <c r="D140" i="4"/>
  <c r="E140" i="4"/>
  <c r="F140" i="4"/>
  <c r="G140" i="4"/>
  <c r="H140" i="4"/>
  <c r="I140" i="4"/>
  <c r="J140" i="4"/>
  <c r="K141" i="3"/>
  <c r="A140" i="3"/>
  <c r="B140" i="3"/>
  <c r="C140" i="3"/>
  <c r="D140" i="3"/>
  <c r="E140" i="3"/>
  <c r="F140" i="3"/>
  <c r="G140" i="3"/>
  <c r="H140" i="3"/>
  <c r="I140" i="3"/>
  <c r="J140" i="3"/>
  <c r="K142" i="2" l="1"/>
  <c r="B141" i="2"/>
  <c r="D141" i="2"/>
  <c r="F141" i="2"/>
  <c r="G141" i="2"/>
  <c r="H141" i="2"/>
  <c r="I141" i="2"/>
  <c r="J141" i="2"/>
  <c r="A141" i="2"/>
  <c r="C141" i="2"/>
  <c r="E141" i="2"/>
  <c r="K142" i="5"/>
  <c r="A141" i="5"/>
  <c r="B141" i="5"/>
  <c r="C141" i="5"/>
  <c r="D141" i="5"/>
  <c r="E141" i="5"/>
  <c r="F141" i="5"/>
  <c r="G141" i="5"/>
  <c r="H141" i="5"/>
  <c r="I141" i="5"/>
  <c r="J141" i="5"/>
  <c r="K142" i="4"/>
  <c r="A141" i="4"/>
  <c r="B141" i="4"/>
  <c r="C141" i="4"/>
  <c r="D141" i="4"/>
  <c r="E141" i="4"/>
  <c r="F141" i="4"/>
  <c r="G141" i="4"/>
  <c r="H141" i="4"/>
  <c r="I141" i="4"/>
  <c r="J141" i="4"/>
  <c r="K142" i="3"/>
  <c r="A141" i="3"/>
  <c r="B141" i="3"/>
  <c r="C141" i="3"/>
  <c r="D141" i="3"/>
  <c r="E141" i="3"/>
  <c r="F141" i="3"/>
  <c r="G141" i="3"/>
  <c r="H141" i="3"/>
  <c r="I141" i="3"/>
  <c r="J141" i="3"/>
  <c r="A142" i="2" l="1"/>
  <c r="B142" i="2"/>
  <c r="C142" i="2"/>
  <c r="D142" i="2"/>
  <c r="F142" i="2"/>
  <c r="G142" i="2"/>
  <c r="H142" i="2"/>
  <c r="I142" i="2"/>
  <c r="J142" i="2"/>
  <c r="K143" i="2"/>
  <c r="E142" i="2"/>
  <c r="K143" i="5"/>
  <c r="A142" i="5"/>
  <c r="B142" i="5"/>
  <c r="C142" i="5"/>
  <c r="D142" i="5"/>
  <c r="E142" i="5"/>
  <c r="F142" i="5"/>
  <c r="G142" i="5"/>
  <c r="H142" i="5"/>
  <c r="I142" i="5"/>
  <c r="J142" i="5"/>
  <c r="K143" i="4"/>
  <c r="A142" i="4"/>
  <c r="B142" i="4"/>
  <c r="C142" i="4"/>
  <c r="D142" i="4"/>
  <c r="E142" i="4"/>
  <c r="F142" i="4"/>
  <c r="G142" i="4"/>
  <c r="H142" i="4"/>
  <c r="I142" i="4"/>
  <c r="J142" i="4"/>
  <c r="K143" i="3"/>
  <c r="A142" i="3"/>
  <c r="B142" i="3"/>
  <c r="C142" i="3"/>
  <c r="D142" i="3"/>
  <c r="E142" i="3"/>
  <c r="F142" i="3"/>
  <c r="G142" i="3"/>
  <c r="H142" i="3"/>
  <c r="I142" i="3"/>
  <c r="J142" i="3"/>
  <c r="K144" i="2" l="1"/>
  <c r="B143" i="2"/>
  <c r="D143" i="2"/>
  <c r="F143" i="2"/>
  <c r="J143" i="2"/>
  <c r="A143" i="2"/>
  <c r="C143" i="2"/>
  <c r="E143" i="2"/>
  <c r="G143" i="2"/>
  <c r="H143" i="2"/>
  <c r="I143" i="2"/>
  <c r="K144" i="5"/>
  <c r="A143" i="5"/>
  <c r="B143" i="5"/>
  <c r="C143" i="5"/>
  <c r="D143" i="5"/>
  <c r="E143" i="5"/>
  <c r="F143" i="5"/>
  <c r="G143" i="5"/>
  <c r="H143" i="5"/>
  <c r="I143" i="5"/>
  <c r="J143" i="5"/>
  <c r="K144" i="4"/>
  <c r="A143" i="4"/>
  <c r="B143" i="4"/>
  <c r="C143" i="4"/>
  <c r="D143" i="4"/>
  <c r="E143" i="4"/>
  <c r="F143" i="4"/>
  <c r="G143" i="4"/>
  <c r="H143" i="4"/>
  <c r="I143" i="4"/>
  <c r="J143" i="4"/>
  <c r="K144" i="3"/>
  <c r="A143" i="3"/>
  <c r="B143" i="3"/>
  <c r="C143" i="3"/>
  <c r="D143" i="3"/>
  <c r="E143" i="3"/>
  <c r="F143" i="3"/>
  <c r="G143" i="3"/>
  <c r="H143" i="3"/>
  <c r="I143" i="3"/>
  <c r="J143" i="3"/>
  <c r="K145" i="2" l="1"/>
  <c r="B144" i="2"/>
  <c r="D144" i="2"/>
  <c r="H144" i="2"/>
  <c r="J144" i="2"/>
  <c r="A144" i="2"/>
  <c r="C144" i="2"/>
  <c r="E144" i="2"/>
  <c r="F144" i="2"/>
  <c r="G144" i="2"/>
  <c r="I144" i="2"/>
  <c r="K145" i="5"/>
  <c r="A144" i="5"/>
  <c r="B144" i="5"/>
  <c r="C144" i="5"/>
  <c r="D144" i="5"/>
  <c r="E144" i="5"/>
  <c r="F144" i="5"/>
  <c r="G144" i="5"/>
  <c r="H144" i="5"/>
  <c r="I144" i="5"/>
  <c r="J144" i="5"/>
  <c r="K145" i="4"/>
  <c r="A144" i="4"/>
  <c r="B144" i="4"/>
  <c r="C144" i="4"/>
  <c r="D144" i="4"/>
  <c r="E144" i="4"/>
  <c r="F144" i="4"/>
  <c r="G144" i="4"/>
  <c r="H144" i="4"/>
  <c r="I144" i="4"/>
  <c r="J144" i="4"/>
  <c r="K145" i="3"/>
  <c r="A144" i="3"/>
  <c r="B144" i="3"/>
  <c r="C144" i="3"/>
  <c r="D144" i="3"/>
  <c r="E144" i="3"/>
  <c r="F144" i="3"/>
  <c r="G144" i="3"/>
  <c r="H144" i="3"/>
  <c r="I144" i="3"/>
  <c r="J144" i="3"/>
  <c r="K146" i="2" l="1"/>
  <c r="B145" i="2"/>
  <c r="D145" i="2"/>
  <c r="G145" i="2"/>
  <c r="J145" i="2"/>
  <c r="A145" i="2"/>
  <c r="C145" i="2"/>
  <c r="E145" i="2"/>
  <c r="F145" i="2"/>
  <c r="H145" i="2"/>
  <c r="I145" i="2"/>
  <c r="K146" i="5"/>
  <c r="A145" i="5"/>
  <c r="B145" i="5"/>
  <c r="C145" i="5"/>
  <c r="D145" i="5"/>
  <c r="E145" i="5"/>
  <c r="F145" i="5"/>
  <c r="G145" i="5"/>
  <c r="H145" i="5"/>
  <c r="I145" i="5"/>
  <c r="J145" i="5"/>
  <c r="K146" i="4"/>
  <c r="A145" i="4"/>
  <c r="B145" i="4"/>
  <c r="C145" i="4"/>
  <c r="D145" i="4"/>
  <c r="E145" i="4"/>
  <c r="F145" i="4"/>
  <c r="G145" i="4"/>
  <c r="H145" i="4"/>
  <c r="I145" i="4"/>
  <c r="J145" i="4"/>
  <c r="K146" i="3"/>
  <c r="A145" i="3"/>
  <c r="B145" i="3"/>
  <c r="C145" i="3"/>
  <c r="D145" i="3"/>
  <c r="E145" i="3"/>
  <c r="F145" i="3"/>
  <c r="G145" i="3"/>
  <c r="H145" i="3"/>
  <c r="I145" i="3"/>
  <c r="J145" i="3"/>
  <c r="A146" i="2" l="1"/>
  <c r="G146" i="2"/>
  <c r="I146" i="2"/>
  <c r="K147" i="2"/>
  <c r="B146" i="2"/>
  <c r="C146" i="2"/>
  <c r="D146" i="2"/>
  <c r="E146" i="2"/>
  <c r="F146" i="2"/>
  <c r="H146" i="2"/>
  <c r="J146" i="2"/>
  <c r="K147" i="5"/>
  <c r="A146" i="5"/>
  <c r="B146" i="5"/>
  <c r="C146" i="5"/>
  <c r="D146" i="5"/>
  <c r="E146" i="5"/>
  <c r="F146" i="5"/>
  <c r="G146" i="5"/>
  <c r="H146" i="5"/>
  <c r="I146" i="5"/>
  <c r="J146" i="5"/>
  <c r="K147" i="4"/>
  <c r="A146" i="4"/>
  <c r="B146" i="4"/>
  <c r="C146" i="4"/>
  <c r="D146" i="4"/>
  <c r="E146" i="4"/>
  <c r="F146" i="4"/>
  <c r="G146" i="4"/>
  <c r="H146" i="4"/>
  <c r="I146" i="4"/>
  <c r="J146" i="4"/>
  <c r="K147" i="3"/>
  <c r="A146" i="3"/>
  <c r="B146" i="3"/>
  <c r="C146" i="3"/>
  <c r="D146" i="3"/>
  <c r="E146" i="3"/>
  <c r="F146" i="3"/>
  <c r="G146" i="3"/>
  <c r="H146" i="3"/>
  <c r="I146" i="3"/>
  <c r="J146" i="3"/>
  <c r="K148" i="2" l="1"/>
  <c r="A147" i="2"/>
  <c r="B147" i="2"/>
  <c r="D147" i="2"/>
  <c r="F147" i="2"/>
  <c r="G147" i="2"/>
  <c r="H147" i="2"/>
  <c r="J147" i="2"/>
  <c r="C147" i="2"/>
  <c r="E147" i="2"/>
  <c r="I147" i="2"/>
  <c r="K148" i="5"/>
  <c r="A147" i="5"/>
  <c r="B147" i="5"/>
  <c r="C147" i="5"/>
  <c r="D147" i="5"/>
  <c r="E147" i="5"/>
  <c r="F147" i="5"/>
  <c r="G147" i="5"/>
  <c r="H147" i="5"/>
  <c r="I147" i="5"/>
  <c r="J147" i="5"/>
  <c r="K148" i="4"/>
  <c r="A147" i="4"/>
  <c r="B147" i="4"/>
  <c r="C147" i="4"/>
  <c r="D147" i="4"/>
  <c r="E147" i="4"/>
  <c r="F147" i="4"/>
  <c r="G147" i="4"/>
  <c r="H147" i="4"/>
  <c r="I147" i="4"/>
  <c r="J147" i="4"/>
  <c r="K148" i="3"/>
  <c r="A147" i="3"/>
  <c r="B147" i="3"/>
  <c r="C147" i="3"/>
  <c r="D147" i="3"/>
  <c r="E147" i="3"/>
  <c r="F147" i="3"/>
  <c r="G147" i="3"/>
  <c r="H147" i="3"/>
  <c r="I147" i="3"/>
  <c r="J147" i="3"/>
  <c r="A148" i="2" l="1"/>
  <c r="C148" i="2"/>
  <c r="D148" i="2"/>
  <c r="F148" i="2"/>
  <c r="H148" i="2"/>
  <c r="J148" i="2"/>
  <c r="K149" i="2"/>
  <c r="B148" i="2"/>
  <c r="E148" i="2"/>
  <c r="G148" i="2"/>
  <c r="I148" i="2"/>
  <c r="K149" i="5"/>
  <c r="A148" i="5"/>
  <c r="B148" i="5"/>
  <c r="C148" i="5"/>
  <c r="D148" i="5"/>
  <c r="E148" i="5"/>
  <c r="F148" i="5"/>
  <c r="G148" i="5"/>
  <c r="H148" i="5"/>
  <c r="I148" i="5"/>
  <c r="J148" i="5"/>
  <c r="K149" i="4"/>
  <c r="A148" i="4"/>
  <c r="B148" i="4"/>
  <c r="C148" i="4"/>
  <c r="D148" i="4"/>
  <c r="E148" i="4"/>
  <c r="F148" i="4"/>
  <c r="G148" i="4"/>
  <c r="H148" i="4"/>
  <c r="I148" i="4"/>
  <c r="J148" i="4"/>
  <c r="K149" i="3"/>
  <c r="A148" i="3"/>
  <c r="B148" i="3"/>
  <c r="C148" i="3"/>
  <c r="D148" i="3"/>
  <c r="E148" i="3"/>
  <c r="F148" i="3"/>
  <c r="G148" i="3"/>
  <c r="H148" i="3"/>
  <c r="I148" i="3"/>
  <c r="J148" i="3"/>
  <c r="E149" i="2" l="1"/>
  <c r="G149" i="2"/>
  <c r="I149" i="2"/>
  <c r="K150" i="2"/>
  <c r="A149" i="2"/>
  <c r="B149" i="2"/>
  <c r="C149" i="2"/>
  <c r="D149" i="2"/>
  <c r="F149" i="2"/>
  <c r="H149" i="2"/>
  <c r="J149" i="2"/>
  <c r="K150" i="5"/>
  <c r="A149" i="5"/>
  <c r="B149" i="5"/>
  <c r="C149" i="5"/>
  <c r="D149" i="5"/>
  <c r="E149" i="5"/>
  <c r="F149" i="5"/>
  <c r="G149" i="5"/>
  <c r="H149" i="5"/>
  <c r="I149" i="5"/>
  <c r="J149" i="5"/>
  <c r="K150" i="4"/>
  <c r="A149" i="4"/>
  <c r="B149" i="4"/>
  <c r="C149" i="4"/>
  <c r="D149" i="4"/>
  <c r="E149" i="4"/>
  <c r="F149" i="4"/>
  <c r="G149" i="4"/>
  <c r="H149" i="4"/>
  <c r="I149" i="4"/>
  <c r="J149" i="4"/>
  <c r="K150" i="3"/>
  <c r="A149" i="3"/>
  <c r="B149" i="3"/>
  <c r="C149" i="3"/>
  <c r="D149" i="3"/>
  <c r="E149" i="3"/>
  <c r="F149" i="3"/>
  <c r="G149" i="3"/>
  <c r="H149" i="3"/>
  <c r="I149" i="3"/>
  <c r="J149" i="3"/>
  <c r="A150" i="2" l="1"/>
  <c r="B150" i="2"/>
  <c r="C150" i="2"/>
  <c r="D150" i="2"/>
  <c r="E150" i="2"/>
  <c r="F150" i="2"/>
  <c r="G150" i="2"/>
  <c r="I150" i="2"/>
  <c r="J150" i="2"/>
  <c r="K151" i="2"/>
  <c r="H150" i="2"/>
  <c r="K151" i="5"/>
  <c r="A150" i="5"/>
  <c r="B150" i="5"/>
  <c r="C150" i="5"/>
  <c r="D150" i="5"/>
  <c r="E150" i="5"/>
  <c r="F150" i="5"/>
  <c r="G150" i="5"/>
  <c r="H150" i="5"/>
  <c r="I150" i="5"/>
  <c r="J150" i="5"/>
  <c r="K151" i="4"/>
  <c r="A150" i="4"/>
  <c r="B150" i="4"/>
  <c r="C150" i="4"/>
  <c r="D150" i="4"/>
  <c r="E150" i="4"/>
  <c r="F150" i="4"/>
  <c r="G150" i="4"/>
  <c r="H150" i="4"/>
  <c r="I150" i="4"/>
  <c r="J150" i="4"/>
  <c r="K151" i="3"/>
  <c r="A150" i="3"/>
  <c r="B150" i="3"/>
  <c r="C150" i="3"/>
  <c r="D150" i="3"/>
  <c r="E150" i="3"/>
  <c r="F150" i="3"/>
  <c r="G150" i="3"/>
  <c r="H150" i="3"/>
  <c r="I150" i="3"/>
  <c r="J150" i="3"/>
  <c r="B151" i="2" l="1"/>
  <c r="D151" i="2"/>
  <c r="F151" i="2"/>
  <c r="G151" i="2"/>
  <c r="I151" i="2"/>
  <c r="K152" i="2"/>
  <c r="A151" i="2"/>
  <c r="C151" i="2"/>
  <c r="E151" i="2"/>
  <c r="H151" i="2"/>
  <c r="J151" i="2"/>
  <c r="K152" i="5"/>
  <c r="A151" i="5"/>
  <c r="B151" i="5"/>
  <c r="C151" i="5"/>
  <c r="D151" i="5"/>
  <c r="E151" i="5"/>
  <c r="F151" i="5"/>
  <c r="G151" i="5"/>
  <c r="H151" i="5"/>
  <c r="I151" i="5"/>
  <c r="J151" i="5"/>
  <c r="K152" i="4"/>
  <c r="A151" i="4"/>
  <c r="B151" i="4"/>
  <c r="C151" i="4"/>
  <c r="D151" i="4"/>
  <c r="E151" i="4"/>
  <c r="F151" i="4"/>
  <c r="G151" i="4"/>
  <c r="H151" i="4"/>
  <c r="I151" i="4"/>
  <c r="J151" i="4"/>
  <c r="K152" i="3"/>
  <c r="A151" i="3"/>
  <c r="B151" i="3"/>
  <c r="C151" i="3"/>
  <c r="D151" i="3"/>
  <c r="E151" i="3"/>
  <c r="F151" i="3"/>
  <c r="G151" i="3"/>
  <c r="H151" i="3"/>
  <c r="I151" i="3"/>
  <c r="J151" i="3"/>
  <c r="K153" i="2" l="1"/>
  <c r="A152" i="2"/>
  <c r="C152" i="2"/>
  <c r="D152" i="2"/>
  <c r="E152" i="2"/>
  <c r="F152" i="2"/>
  <c r="G152" i="2"/>
  <c r="I152" i="2"/>
  <c r="J152" i="2"/>
  <c r="B152" i="2"/>
  <c r="H152" i="2"/>
  <c r="K153" i="5"/>
  <c r="A152" i="5"/>
  <c r="B152" i="5"/>
  <c r="C152" i="5"/>
  <c r="D152" i="5"/>
  <c r="E152" i="5"/>
  <c r="F152" i="5"/>
  <c r="G152" i="5"/>
  <c r="H152" i="5"/>
  <c r="I152" i="5"/>
  <c r="J152" i="5"/>
  <c r="K153" i="4"/>
  <c r="A152" i="4"/>
  <c r="B152" i="4"/>
  <c r="C152" i="4"/>
  <c r="D152" i="4"/>
  <c r="E152" i="4"/>
  <c r="F152" i="4"/>
  <c r="G152" i="4"/>
  <c r="H152" i="4"/>
  <c r="I152" i="4"/>
  <c r="J152" i="4"/>
  <c r="K153" i="3"/>
  <c r="A152" i="3"/>
  <c r="B152" i="3"/>
  <c r="C152" i="3"/>
  <c r="D152" i="3"/>
  <c r="E152" i="3"/>
  <c r="F152" i="3"/>
  <c r="G152" i="3"/>
  <c r="H152" i="3"/>
  <c r="I152" i="3"/>
  <c r="J152" i="3"/>
  <c r="K154" i="2" l="1"/>
  <c r="A153" i="2"/>
  <c r="C153" i="2"/>
  <c r="E153" i="2"/>
  <c r="G153" i="2"/>
  <c r="J153" i="2"/>
  <c r="B153" i="2"/>
  <c r="D153" i="2"/>
  <c r="F153" i="2"/>
  <c r="H153" i="2"/>
  <c r="I153" i="2"/>
  <c r="K154" i="5"/>
  <c r="A153" i="5"/>
  <c r="B153" i="5"/>
  <c r="C153" i="5"/>
  <c r="D153" i="5"/>
  <c r="E153" i="5"/>
  <c r="F153" i="5"/>
  <c r="G153" i="5"/>
  <c r="H153" i="5"/>
  <c r="I153" i="5"/>
  <c r="J153" i="5"/>
  <c r="K154" i="4"/>
  <c r="A153" i="4"/>
  <c r="B153" i="4"/>
  <c r="C153" i="4"/>
  <c r="D153" i="4"/>
  <c r="E153" i="4"/>
  <c r="F153" i="4"/>
  <c r="G153" i="4"/>
  <c r="H153" i="4"/>
  <c r="I153" i="4"/>
  <c r="J153" i="4"/>
  <c r="K154" i="3"/>
  <c r="A153" i="3"/>
  <c r="B153" i="3"/>
  <c r="C153" i="3"/>
  <c r="D153" i="3"/>
  <c r="E153" i="3"/>
  <c r="F153" i="3"/>
  <c r="G153" i="3"/>
  <c r="H153" i="3"/>
  <c r="I153" i="3"/>
  <c r="J153" i="3"/>
  <c r="K155" i="2" l="1"/>
  <c r="A154" i="2"/>
  <c r="B154" i="2"/>
  <c r="D154" i="2"/>
  <c r="F154" i="2"/>
  <c r="H154" i="2"/>
  <c r="J154" i="2"/>
  <c r="C154" i="2"/>
  <c r="E154" i="2"/>
  <c r="G154" i="2"/>
  <c r="I154" i="2"/>
  <c r="K155" i="5"/>
  <c r="A154" i="5"/>
  <c r="B154" i="5"/>
  <c r="C154" i="5"/>
  <c r="D154" i="5"/>
  <c r="E154" i="5"/>
  <c r="F154" i="5"/>
  <c r="G154" i="5"/>
  <c r="H154" i="5"/>
  <c r="I154" i="5"/>
  <c r="J154" i="5"/>
  <c r="K155" i="4"/>
  <c r="A154" i="4"/>
  <c r="B154" i="4"/>
  <c r="C154" i="4"/>
  <c r="D154" i="4"/>
  <c r="E154" i="4"/>
  <c r="F154" i="4"/>
  <c r="G154" i="4"/>
  <c r="H154" i="4"/>
  <c r="I154" i="4"/>
  <c r="J154" i="4"/>
  <c r="K155" i="3"/>
  <c r="A154" i="3"/>
  <c r="B154" i="3"/>
  <c r="C154" i="3"/>
  <c r="D154" i="3"/>
  <c r="E154" i="3"/>
  <c r="F154" i="3"/>
  <c r="G154" i="3"/>
  <c r="H154" i="3"/>
  <c r="I154" i="3"/>
  <c r="J154" i="3"/>
  <c r="A155" i="2" l="1"/>
  <c r="D155" i="2"/>
  <c r="F155" i="2"/>
  <c r="H155" i="2"/>
  <c r="J155" i="2"/>
  <c r="K156" i="2"/>
  <c r="B155" i="2"/>
  <c r="C155" i="2"/>
  <c r="E155" i="2"/>
  <c r="G155" i="2"/>
  <c r="I155" i="2"/>
  <c r="K156" i="5"/>
  <c r="A155" i="5"/>
  <c r="B155" i="5"/>
  <c r="C155" i="5"/>
  <c r="D155" i="5"/>
  <c r="E155" i="5"/>
  <c r="F155" i="5"/>
  <c r="G155" i="5"/>
  <c r="H155" i="5"/>
  <c r="I155" i="5"/>
  <c r="J155" i="5"/>
  <c r="K156" i="4"/>
  <c r="A155" i="4"/>
  <c r="B155" i="4"/>
  <c r="C155" i="4"/>
  <c r="D155" i="4"/>
  <c r="E155" i="4"/>
  <c r="F155" i="4"/>
  <c r="G155" i="4"/>
  <c r="H155" i="4"/>
  <c r="I155" i="4"/>
  <c r="J155" i="4"/>
  <c r="K156" i="3"/>
  <c r="A155" i="3"/>
  <c r="B155" i="3"/>
  <c r="C155" i="3"/>
  <c r="D155" i="3"/>
  <c r="E155" i="3"/>
  <c r="F155" i="3"/>
  <c r="G155" i="3"/>
  <c r="H155" i="3"/>
  <c r="I155" i="3"/>
  <c r="J155" i="3"/>
  <c r="B156" i="2" l="1"/>
  <c r="D156" i="2"/>
  <c r="F156" i="2"/>
  <c r="H156" i="2"/>
  <c r="J156" i="2"/>
  <c r="K157" i="2"/>
  <c r="A156" i="2"/>
  <c r="C156" i="2"/>
  <c r="E156" i="2"/>
  <c r="G156" i="2"/>
  <c r="I156" i="2"/>
  <c r="K157" i="5"/>
  <c r="A156" i="5"/>
  <c r="B156" i="5"/>
  <c r="C156" i="5"/>
  <c r="D156" i="5"/>
  <c r="E156" i="5"/>
  <c r="F156" i="5"/>
  <c r="G156" i="5"/>
  <c r="H156" i="5"/>
  <c r="I156" i="5"/>
  <c r="J156" i="5"/>
  <c r="K157" i="4"/>
  <c r="A156" i="4"/>
  <c r="B156" i="4"/>
  <c r="C156" i="4"/>
  <c r="D156" i="4"/>
  <c r="E156" i="4"/>
  <c r="F156" i="4"/>
  <c r="G156" i="4"/>
  <c r="H156" i="4"/>
  <c r="I156" i="4"/>
  <c r="J156" i="4"/>
  <c r="K157" i="3"/>
  <c r="A156" i="3"/>
  <c r="B156" i="3"/>
  <c r="C156" i="3"/>
  <c r="D156" i="3"/>
  <c r="E156" i="3"/>
  <c r="F156" i="3"/>
  <c r="G156" i="3"/>
  <c r="H156" i="3"/>
  <c r="I156" i="3"/>
  <c r="J156" i="3"/>
  <c r="K158" i="2" l="1"/>
  <c r="C157" i="2"/>
  <c r="E157" i="2"/>
  <c r="G157" i="2"/>
  <c r="H157" i="2"/>
  <c r="J157" i="2"/>
  <c r="A157" i="2"/>
  <c r="B157" i="2"/>
  <c r="D157" i="2"/>
  <c r="F157" i="2"/>
  <c r="I157" i="2"/>
  <c r="K158" i="5"/>
  <c r="A157" i="5"/>
  <c r="B157" i="5"/>
  <c r="C157" i="5"/>
  <c r="D157" i="5"/>
  <c r="E157" i="5"/>
  <c r="F157" i="5"/>
  <c r="G157" i="5"/>
  <c r="H157" i="5"/>
  <c r="I157" i="5"/>
  <c r="J157" i="5"/>
  <c r="K158" i="4"/>
  <c r="A157" i="4"/>
  <c r="B157" i="4"/>
  <c r="C157" i="4"/>
  <c r="D157" i="4"/>
  <c r="E157" i="4"/>
  <c r="F157" i="4"/>
  <c r="G157" i="4"/>
  <c r="H157" i="4"/>
  <c r="I157" i="4"/>
  <c r="J157" i="4"/>
  <c r="K158" i="3"/>
  <c r="A157" i="3"/>
  <c r="B157" i="3"/>
  <c r="C157" i="3"/>
  <c r="D157" i="3"/>
  <c r="E157" i="3"/>
  <c r="F157" i="3"/>
  <c r="G157" i="3"/>
  <c r="H157" i="3"/>
  <c r="I157" i="3"/>
  <c r="J157" i="3"/>
  <c r="K159" i="2" l="1"/>
  <c r="A158" i="2"/>
  <c r="B158" i="2"/>
  <c r="C158" i="2"/>
  <c r="E158" i="2"/>
  <c r="D158" i="2"/>
  <c r="F158" i="2"/>
  <c r="G158" i="2"/>
  <c r="H158" i="2"/>
  <c r="I158" i="2"/>
  <c r="J158" i="2"/>
  <c r="K159" i="5"/>
  <c r="A158" i="5"/>
  <c r="B158" i="5"/>
  <c r="C158" i="5"/>
  <c r="D158" i="5"/>
  <c r="E158" i="5"/>
  <c r="F158" i="5"/>
  <c r="G158" i="5"/>
  <c r="H158" i="5"/>
  <c r="I158" i="5"/>
  <c r="J158" i="5"/>
  <c r="K159" i="4"/>
  <c r="A158" i="4"/>
  <c r="B158" i="4"/>
  <c r="C158" i="4"/>
  <c r="D158" i="4"/>
  <c r="E158" i="4"/>
  <c r="F158" i="4"/>
  <c r="G158" i="4"/>
  <c r="H158" i="4"/>
  <c r="I158" i="4"/>
  <c r="J158" i="4"/>
  <c r="K159" i="3"/>
  <c r="A158" i="3"/>
  <c r="B158" i="3"/>
  <c r="C158" i="3"/>
  <c r="D158" i="3"/>
  <c r="E158" i="3"/>
  <c r="F158" i="3"/>
  <c r="G158" i="3"/>
  <c r="H158" i="3"/>
  <c r="I158" i="3"/>
  <c r="J158" i="3"/>
  <c r="B159" i="2" l="1"/>
  <c r="C159" i="2"/>
  <c r="D159" i="2"/>
  <c r="F159" i="2"/>
  <c r="G159" i="2"/>
  <c r="I159" i="2"/>
  <c r="J159" i="2"/>
  <c r="K160" i="2"/>
  <c r="A159" i="2"/>
  <c r="E159" i="2"/>
  <c r="H159" i="2"/>
  <c r="K160" i="5"/>
  <c r="A159" i="5"/>
  <c r="B159" i="5"/>
  <c r="C159" i="5"/>
  <c r="D159" i="5"/>
  <c r="E159" i="5"/>
  <c r="F159" i="5"/>
  <c r="G159" i="5"/>
  <c r="H159" i="5"/>
  <c r="I159" i="5"/>
  <c r="J159" i="5"/>
  <c r="K160" i="4"/>
  <c r="A159" i="4"/>
  <c r="B159" i="4"/>
  <c r="C159" i="4"/>
  <c r="D159" i="4"/>
  <c r="E159" i="4"/>
  <c r="F159" i="4"/>
  <c r="G159" i="4"/>
  <c r="H159" i="4"/>
  <c r="I159" i="4"/>
  <c r="J159" i="4"/>
  <c r="K160" i="3"/>
  <c r="A159" i="3"/>
  <c r="B159" i="3"/>
  <c r="C159" i="3"/>
  <c r="D159" i="3"/>
  <c r="E159" i="3"/>
  <c r="F159" i="3"/>
  <c r="G159" i="3"/>
  <c r="H159" i="3"/>
  <c r="I159" i="3"/>
  <c r="J159" i="3"/>
  <c r="C160" i="2" l="1"/>
  <c r="E160" i="2"/>
  <c r="G160" i="2"/>
  <c r="J160" i="2"/>
  <c r="K161" i="2"/>
  <c r="A160" i="2"/>
  <c r="B160" i="2"/>
  <c r="D160" i="2"/>
  <c r="F160" i="2"/>
  <c r="H160" i="2"/>
  <c r="I160" i="2"/>
  <c r="K161" i="5"/>
  <c r="A160" i="5"/>
  <c r="B160" i="5"/>
  <c r="C160" i="5"/>
  <c r="D160" i="5"/>
  <c r="E160" i="5"/>
  <c r="F160" i="5"/>
  <c r="G160" i="5"/>
  <c r="H160" i="5"/>
  <c r="I160" i="5"/>
  <c r="J160" i="5"/>
  <c r="K161" i="4"/>
  <c r="A160" i="4"/>
  <c r="B160" i="4"/>
  <c r="C160" i="4"/>
  <c r="D160" i="4"/>
  <c r="E160" i="4"/>
  <c r="F160" i="4"/>
  <c r="G160" i="4"/>
  <c r="H160" i="4"/>
  <c r="I160" i="4"/>
  <c r="J160" i="4"/>
  <c r="K161" i="3"/>
  <c r="A160" i="3"/>
  <c r="B160" i="3"/>
  <c r="C160" i="3"/>
  <c r="D160" i="3"/>
  <c r="E160" i="3"/>
  <c r="F160" i="3"/>
  <c r="G160" i="3"/>
  <c r="H160" i="3"/>
  <c r="I160" i="3"/>
  <c r="J160" i="3"/>
  <c r="B161" i="2" l="1"/>
  <c r="D161" i="2"/>
  <c r="E161" i="2"/>
  <c r="F161" i="2"/>
  <c r="H161" i="2"/>
  <c r="I161" i="2"/>
  <c r="J161" i="2"/>
  <c r="K162" i="2"/>
  <c r="A161" i="2"/>
  <c r="C161" i="2"/>
  <c r="G161" i="2"/>
  <c r="K162" i="5"/>
  <c r="A161" i="5"/>
  <c r="B161" i="5"/>
  <c r="C161" i="5"/>
  <c r="D161" i="5"/>
  <c r="E161" i="5"/>
  <c r="F161" i="5"/>
  <c r="G161" i="5"/>
  <c r="H161" i="5"/>
  <c r="I161" i="5"/>
  <c r="J161" i="5"/>
  <c r="K162" i="4"/>
  <c r="A161" i="4"/>
  <c r="B161" i="4"/>
  <c r="C161" i="4"/>
  <c r="D161" i="4"/>
  <c r="E161" i="4"/>
  <c r="F161" i="4"/>
  <c r="G161" i="4"/>
  <c r="H161" i="4"/>
  <c r="I161" i="4"/>
  <c r="J161" i="4"/>
  <c r="K162" i="3"/>
  <c r="A161" i="3"/>
  <c r="B161" i="3"/>
  <c r="C161" i="3"/>
  <c r="D161" i="3"/>
  <c r="E161" i="3"/>
  <c r="F161" i="3"/>
  <c r="G161" i="3"/>
  <c r="H161" i="3"/>
  <c r="I161" i="3"/>
  <c r="J161" i="3"/>
  <c r="B162" i="2" l="1"/>
  <c r="C162" i="2"/>
  <c r="E162" i="2"/>
  <c r="G162" i="2"/>
  <c r="J162" i="2"/>
  <c r="K163" i="2"/>
  <c r="A162" i="2"/>
  <c r="D162" i="2"/>
  <c r="F162" i="2"/>
  <c r="H162" i="2"/>
  <c r="I162" i="2"/>
  <c r="K163" i="5"/>
  <c r="A162" i="5"/>
  <c r="B162" i="5"/>
  <c r="C162" i="5"/>
  <c r="D162" i="5"/>
  <c r="E162" i="5"/>
  <c r="F162" i="5"/>
  <c r="G162" i="5"/>
  <c r="H162" i="5"/>
  <c r="I162" i="5"/>
  <c r="J162" i="5"/>
  <c r="K163" i="4"/>
  <c r="A162" i="4"/>
  <c r="B162" i="4"/>
  <c r="C162" i="4"/>
  <c r="D162" i="4"/>
  <c r="E162" i="4"/>
  <c r="F162" i="4"/>
  <c r="G162" i="4"/>
  <c r="H162" i="4"/>
  <c r="I162" i="4"/>
  <c r="J162" i="4"/>
  <c r="K163" i="3"/>
  <c r="A162" i="3"/>
  <c r="B162" i="3"/>
  <c r="C162" i="3"/>
  <c r="D162" i="3"/>
  <c r="E162" i="3"/>
  <c r="F162" i="3"/>
  <c r="G162" i="3"/>
  <c r="H162" i="3"/>
  <c r="I162" i="3"/>
  <c r="J162" i="3"/>
  <c r="K164" i="2" l="1"/>
  <c r="B163" i="2"/>
  <c r="C163" i="2"/>
  <c r="E163" i="2"/>
  <c r="G163" i="2"/>
  <c r="H163" i="2"/>
  <c r="J163" i="2"/>
  <c r="A163" i="2"/>
  <c r="D163" i="2"/>
  <c r="F163" i="2"/>
  <c r="I163" i="2"/>
  <c r="K164" i="5"/>
  <c r="A163" i="5"/>
  <c r="B163" i="5"/>
  <c r="C163" i="5"/>
  <c r="D163" i="5"/>
  <c r="E163" i="5"/>
  <c r="F163" i="5"/>
  <c r="G163" i="5"/>
  <c r="H163" i="5"/>
  <c r="I163" i="5"/>
  <c r="J163" i="5"/>
  <c r="K164" i="4"/>
  <c r="A163" i="4"/>
  <c r="B163" i="4"/>
  <c r="C163" i="4"/>
  <c r="D163" i="4"/>
  <c r="E163" i="4"/>
  <c r="F163" i="4"/>
  <c r="G163" i="4"/>
  <c r="H163" i="4"/>
  <c r="I163" i="4"/>
  <c r="J163" i="4"/>
  <c r="K164" i="3"/>
  <c r="A163" i="3"/>
  <c r="B163" i="3"/>
  <c r="C163" i="3"/>
  <c r="D163" i="3"/>
  <c r="E163" i="3"/>
  <c r="F163" i="3"/>
  <c r="G163" i="3"/>
  <c r="H163" i="3"/>
  <c r="I163" i="3"/>
  <c r="J163" i="3"/>
  <c r="A164" i="2" l="1"/>
  <c r="C164" i="2"/>
  <c r="E164" i="2"/>
  <c r="G164" i="2"/>
  <c r="H164" i="2"/>
  <c r="J164" i="2"/>
  <c r="K165" i="2"/>
  <c r="B164" i="2"/>
  <c r="D164" i="2"/>
  <c r="F164" i="2"/>
  <c r="I164" i="2"/>
  <c r="K165" i="5"/>
  <c r="A164" i="5"/>
  <c r="B164" i="5"/>
  <c r="C164" i="5"/>
  <c r="D164" i="5"/>
  <c r="E164" i="5"/>
  <c r="F164" i="5"/>
  <c r="G164" i="5"/>
  <c r="H164" i="5"/>
  <c r="I164" i="5"/>
  <c r="J164" i="5"/>
  <c r="K165" i="4"/>
  <c r="A164" i="4"/>
  <c r="B164" i="4"/>
  <c r="C164" i="4"/>
  <c r="D164" i="4"/>
  <c r="E164" i="4"/>
  <c r="F164" i="4"/>
  <c r="G164" i="4"/>
  <c r="H164" i="4"/>
  <c r="I164" i="4"/>
  <c r="J164" i="4"/>
  <c r="K165" i="3"/>
  <c r="A164" i="3"/>
  <c r="B164" i="3"/>
  <c r="C164" i="3"/>
  <c r="D164" i="3"/>
  <c r="E164" i="3"/>
  <c r="F164" i="3"/>
  <c r="G164" i="3"/>
  <c r="H164" i="3"/>
  <c r="I164" i="3"/>
  <c r="J164" i="3"/>
  <c r="B165" i="2" l="1"/>
  <c r="D165" i="2"/>
  <c r="F165" i="2"/>
  <c r="H165" i="2"/>
  <c r="J165" i="2"/>
  <c r="K166" i="2"/>
  <c r="A165" i="2"/>
  <c r="C165" i="2"/>
  <c r="E165" i="2"/>
  <c r="G165" i="2"/>
  <c r="I165" i="2"/>
  <c r="K166" i="5"/>
  <c r="A165" i="5"/>
  <c r="B165" i="5"/>
  <c r="C165" i="5"/>
  <c r="D165" i="5"/>
  <c r="E165" i="5"/>
  <c r="F165" i="5"/>
  <c r="G165" i="5"/>
  <c r="H165" i="5"/>
  <c r="I165" i="5"/>
  <c r="J165" i="5"/>
  <c r="K166" i="4"/>
  <c r="A165" i="4"/>
  <c r="B165" i="4"/>
  <c r="C165" i="4"/>
  <c r="D165" i="4"/>
  <c r="E165" i="4"/>
  <c r="F165" i="4"/>
  <c r="G165" i="4"/>
  <c r="H165" i="4"/>
  <c r="I165" i="4"/>
  <c r="J165" i="4"/>
  <c r="K166" i="3"/>
  <c r="A165" i="3"/>
  <c r="B165" i="3"/>
  <c r="C165" i="3"/>
  <c r="D165" i="3"/>
  <c r="E165" i="3"/>
  <c r="F165" i="3"/>
  <c r="G165" i="3"/>
  <c r="H165" i="3"/>
  <c r="I165" i="3"/>
  <c r="J165" i="3"/>
  <c r="A166" i="2" l="1"/>
  <c r="C166" i="2"/>
  <c r="E166" i="2"/>
  <c r="G166" i="2"/>
  <c r="H166" i="2"/>
  <c r="J166" i="2"/>
  <c r="K167" i="2"/>
  <c r="B166" i="2"/>
  <c r="D166" i="2"/>
  <c r="F166" i="2"/>
  <c r="I166" i="2"/>
  <c r="K167" i="5"/>
  <c r="A166" i="5"/>
  <c r="B166" i="5"/>
  <c r="C166" i="5"/>
  <c r="D166" i="5"/>
  <c r="E166" i="5"/>
  <c r="F166" i="5"/>
  <c r="G166" i="5"/>
  <c r="H166" i="5"/>
  <c r="I166" i="5"/>
  <c r="J166" i="5"/>
  <c r="K167" i="4"/>
  <c r="A166" i="4"/>
  <c r="B166" i="4"/>
  <c r="C166" i="4"/>
  <c r="D166" i="4"/>
  <c r="E166" i="4"/>
  <c r="F166" i="4"/>
  <c r="G166" i="4"/>
  <c r="H166" i="4"/>
  <c r="I166" i="4"/>
  <c r="J166" i="4"/>
  <c r="K167" i="3"/>
  <c r="A166" i="3"/>
  <c r="B166" i="3"/>
  <c r="C166" i="3"/>
  <c r="D166" i="3"/>
  <c r="E166" i="3"/>
  <c r="F166" i="3"/>
  <c r="G166" i="3"/>
  <c r="H166" i="3"/>
  <c r="I166" i="3"/>
  <c r="J166" i="3"/>
  <c r="B167" i="2" l="1"/>
  <c r="D167" i="2"/>
  <c r="E167" i="2"/>
  <c r="G167" i="2"/>
  <c r="H167" i="2"/>
  <c r="J167" i="2"/>
  <c r="K168" i="2"/>
  <c r="A167" i="2"/>
  <c r="C167" i="2"/>
  <c r="F167" i="2"/>
  <c r="I167" i="2"/>
  <c r="K168" i="5"/>
  <c r="A167" i="5"/>
  <c r="B167" i="5"/>
  <c r="C167" i="5"/>
  <c r="D167" i="5"/>
  <c r="E167" i="5"/>
  <c r="F167" i="5"/>
  <c r="G167" i="5"/>
  <c r="H167" i="5"/>
  <c r="I167" i="5"/>
  <c r="J167" i="5"/>
  <c r="K168" i="4"/>
  <c r="A167" i="4"/>
  <c r="B167" i="4"/>
  <c r="C167" i="4"/>
  <c r="D167" i="4"/>
  <c r="E167" i="4"/>
  <c r="F167" i="4"/>
  <c r="G167" i="4"/>
  <c r="H167" i="4"/>
  <c r="I167" i="4"/>
  <c r="J167" i="4"/>
  <c r="K168" i="3"/>
  <c r="A167" i="3"/>
  <c r="B167" i="3"/>
  <c r="C167" i="3"/>
  <c r="D167" i="3"/>
  <c r="E167" i="3"/>
  <c r="F167" i="3"/>
  <c r="G167" i="3"/>
  <c r="H167" i="3"/>
  <c r="I167" i="3"/>
  <c r="J167" i="3"/>
  <c r="K169" i="2" l="1"/>
  <c r="B168" i="2"/>
  <c r="D168" i="2"/>
  <c r="F168" i="2"/>
  <c r="H168" i="2"/>
  <c r="I168" i="2"/>
  <c r="J168" i="2"/>
  <c r="A168" i="2"/>
  <c r="C168" i="2"/>
  <c r="E168" i="2"/>
  <c r="G168" i="2"/>
  <c r="K169" i="5"/>
  <c r="A168" i="5"/>
  <c r="B168" i="5"/>
  <c r="C168" i="5"/>
  <c r="D168" i="5"/>
  <c r="E168" i="5"/>
  <c r="F168" i="5"/>
  <c r="G168" i="5"/>
  <c r="H168" i="5"/>
  <c r="I168" i="5"/>
  <c r="J168" i="5"/>
  <c r="K169" i="4"/>
  <c r="A168" i="4"/>
  <c r="B168" i="4"/>
  <c r="C168" i="4"/>
  <c r="D168" i="4"/>
  <c r="E168" i="4"/>
  <c r="F168" i="4"/>
  <c r="G168" i="4"/>
  <c r="H168" i="4"/>
  <c r="I168" i="4"/>
  <c r="J168" i="4"/>
  <c r="K169" i="3"/>
  <c r="A168" i="3"/>
  <c r="B168" i="3"/>
  <c r="C168" i="3"/>
  <c r="D168" i="3"/>
  <c r="E168" i="3"/>
  <c r="F168" i="3"/>
  <c r="G168" i="3"/>
  <c r="H168" i="3"/>
  <c r="I168" i="3"/>
  <c r="J168" i="3"/>
  <c r="A169" i="2" l="1"/>
  <c r="C169" i="2"/>
  <c r="E169" i="2"/>
  <c r="F169" i="2"/>
  <c r="G169" i="2"/>
  <c r="I169" i="2"/>
  <c r="J169" i="2"/>
  <c r="K170" i="2"/>
  <c r="B169" i="2"/>
  <c r="D169" i="2"/>
  <c r="H169" i="2"/>
  <c r="K170" i="5"/>
  <c r="A169" i="5"/>
  <c r="B169" i="5"/>
  <c r="C169" i="5"/>
  <c r="D169" i="5"/>
  <c r="E169" i="5"/>
  <c r="F169" i="5"/>
  <c r="G169" i="5"/>
  <c r="H169" i="5"/>
  <c r="I169" i="5"/>
  <c r="J169" i="5"/>
  <c r="K170" i="4"/>
  <c r="A169" i="4"/>
  <c r="B169" i="4"/>
  <c r="C169" i="4"/>
  <c r="D169" i="4"/>
  <c r="E169" i="4"/>
  <c r="F169" i="4"/>
  <c r="G169" i="4"/>
  <c r="H169" i="4"/>
  <c r="I169" i="4"/>
  <c r="J169" i="4"/>
  <c r="K170" i="3"/>
  <c r="A169" i="3"/>
  <c r="B169" i="3"/>
  <c r="C169" i="3"/>
  <c r="D169" i="3"/>
  <c r="E169" i="3"/>
  <c r="F169" i="3"/>
  <c r="G169" i="3"/>
  <c r="H169" i="3"/>
  <c r="I169" i="3"/>
  <c r="J169" i="3"/>
  <c r="K171" i="2" l="1"/>
  <c r="C170" i="2"/>
  <c r="J170" i="2"/>
  <c r="A170" i="2"/>
  <c r="B170" i="2"/>
  <c r="D170" i="2"/>
  <c r="E170" i="2"/>
  <c r="F170" i="2"/>
  <c r="G170" i="2"/>
  <c r="H170" i="2"/>
  <c r="I170" i="2"/>
  <c r="K171" i="5"/>
  <c r="A170" i="5"/>
  <c r="B170" i="5"/>
  <c r="C170" i="5"/>
  <c r="D170" i="5"/>
  <c r="E170" i="5"/>
  <c r="F170" i="5"/>
  <c r="G170" i="5"/>
  <c r="H170" i="5"/>
  <c r="I170" i="5"/>
  <c r="J170" i="5"/>
  <c r="K171" i="4"/>
  <c r="A170" i="4"/>
  <c r="B170" i="4"/>
  <c r="C170" i="4"/>
  <c r="D170" i="4"/>
  <c r="E170" i="4"/>
  <c r="F170" i="4"/>
  <c r="G170" i="4"/>
  <c r="H170" i="4"/>
  <c r="I170" i="4"/>
  <c r="J170" i="4"/>
  <c r="K171" i="3"/>
  <c r="A170" i="3"/>
  <c r="B170" i="3"/>
  <c r="C170" i="3"/>
  <c r="D170" i="3"/>
  <c r="E170" i="3"/>
  <c r="F170" i="3"/>
  <c r="G170" i="3"/>
  <c r="H170" i="3"/>
  <c r="I170" i="3"/>
  <c r="J170" i="3"/>
  <c r="K172" i="2" l="1"/>
  <c r="A171" i="2"/>
  <c r="C171" i="2"/>
  <c r="F171" i="2"/>
  <c r="J171" i="2"/>
  <c r="B171" i="2"/>
  <c r="D171" i="2"/>
  <c r="E171" i="2"/>
  <c r="G171" i="2"/>
  <c r="H171" i="2"/>
  <c r="I171" i="2"/>
  <c r="K172" i="5"/>
  <c r="A171" i="5"/>
  <c r="B171" i="5"/>
  <c r="C171" i="5"/>
  <c r="D171" i="5"/>
  <c r="E171" i="5"/>
  <c r="F171" i="5"/>
  <c r="G171" i="5"/>
  <c r="H171" i="5"/>
  <c r="I171" i="5"/>
  <c r="J171" i="5"/>
  <c r="K172" i="4"/>
  <c r="A171" i="4"/>
  <c r="B171" i="4"/>
  <c r="C171" i="4"/>
  <c r="D171" i="4"/>
  <c r="E171" i="4"/>
  <c r="F171" i="4"/>
  <c r="G171" i="4"/>
  <c r="H171" i="4"/>
  <c r="I171" i="4"/>
  <c r="J171" i="4"/>
  <c r="K172" i="3"/>
  <c r="A171" i="3"/>
  <c r="B171" i="3"/>
  <c r="C171" i="3"/>
  <c r="D171" i="3"/>
  <c r="E171" i="3"/>
  <c r="F171" i="3"/>
  <c r="G171" i="3"/>
  <c r="H171" i="3"/>
  <c r="I171" i="3"/>
  <c r="J171" i="3"/>
  <c r="K173" i="2" l="1"/>
  <c r="A172" i="2"/>
  <c r="C172" i="2"/>
  <c r="D172" i="2"/>
  <c r="F172" i="2"/>
  <c r="J172" i="2"/>
  <c r="B172" i="2"/>
  <c r="E172" i="2"/>
  <c r="G172" i="2"/>
  <c r="H172" i="2"/>
  <c r="I172" i="2"/>
  <c r="K173" i="5"/>
  <c r="A172" i="5"/>
  <c r="B172" i="5"/>
  <c r="C172" i="5"/>
  <c r="D172" i="5"/>
  <c r="E172" i="5"/>
  <c r="F172" i="5"/>
  <c r="G172" i="5"/>
  <c r="H172" i="5"/>
  <c r="I172" i="5"/>
  <c r="J172" i="5"/>
  <c r="K173" i="4"/>
  <c r="A172" i="4"/>
  <c r="B172" i="4"/>
  <c r="C172" i="4"/>
  <c r="D172" i="4"/>
  <c r="E172" i="4"/>
  <c r="F172" i="4"/>
  <c r="G172" i="4"/>
  <c r="H172" i="4"/>
  <c r="I172" i="4"/>
  <c r="J172" i="4"/>
  <c r="K173" i="3"/>
  <c r="A172" i="3"/>
  <c r="B172" i="3"/>
  <c r="C172" i="3"/>
  <c r="D172" i="3"/>
  <c r="E172" i="3"/>
  <c r="F172" i="3"/>
  <c r="G172" i="3"/>
  <c r="H172" i="3"/>
  <c r="I172" i="3"/>
  <c r="J172" i="3"/>
  <c r="K174" i="2" l="1"/>
  <c r="B173" i="2"/>
  <c r="D173" i="2"/>
  <c r="E173" i="2"/>
  <c r="I173" i="2"/>
  <c r="A173" i="2"/>
  <c r="C173" i="2"/>
  <c r="F173" i="2"/>
  <c r="G173" i="2"/>
  <c r="H173" i="2"/>
  <c r="J173" i="2"/>
  <c r="K174" i="5"/>
  <c r="A173" i="5"/>
  <c r="B173" i="5"/>
  <c r="C173" i="5"/>
  <c r="D173" i="5"/>
  <c r="E173" i="5"/>
  <c r="F173" i="5"/>
  <c r="G173" i="5"/>
  <c r="H173" i="5"/>
  <c r="I173" i="5"/>
  <c r="J173" i="5"/>
  <c r="K174" i="4"/>
  <c r="A173" i="4"/>
  <c r="B173" i="4"/>
  <c r="C173" i="4"/>
  <c r="D173" i="4"/>
  <c r="E173" i="4"/>
  <c r="F173" i="4"/>
  <c r="G173" i="4"/>
  <c r="H173" i="4"/>
  <c r="I173" i="4"/>
  <c r="J173" i="4"/>
  <c r="K174" i="3"/>
  <c r="A173" i="3"/>
  <c r="B173" i="3"/>
  <c r="C173" i="3"/>
  <c r="D173" i="3"/>
  <c r="E173" i="3"/>
  <c r="F173" i="3"/>
  <c r="G173" i="3"/>
  <c r="H173" i="3"/>
  <c r="I173" i="3"/>
  <c r="J173" i="3"/>
  <c r="B174" i="2" l="1"/>
  <c r="D174" i="2"/>
  <c r="F174" i="2"/>
  <c r="H174" i="2"/>
  <c r="J174" i="2"/>
  <c r="K175" i="2"/>
  <c r="A174" i="2"/>
  <c r="C174" i="2"/>
  <c r="E174" i="2"/>
  <c r="G174" i="2"/>
  <c r="I174" i="2"/>
  <c r="K175" i="5"/>
  <c r="A174" i="5"/>
  <c r="B174" i="5"/>
  <c r="C174" i="5"/>
  <c r="D174" i="5"/>
  <c r="E174" i="5"/>
  <c r="F174" i="5"/>
  <c r="G174" i="5"/>
  <c r="H174" i="5"/>
  <c r="I174" i="5"/>
  <c r="J174" i="5"/>
  <c r="K175" i="4"/>
  <c r="A174" i="4"/>
  <c r="B174" i="4"/>
  <c r="C174" i="4"/>
  <c r="D174" i="4"/>
  <c r="E174" i="4"/>
  <c r="F174" i="4"/>
  <c r="G174" i="4"/>
  <c r="H174" i="4"/>
  <c r="I174" i="4"/>
  <c r="J174" i="4"/>
  <c r="K175" i="3"/>
  <c r="A174" i="3"/>
  <c r="B174" i="3"/>
  <c r="C174" i="3"/>
  <c r="D174" i="3"/>
  <c r="E174" i="3"/>
  <c r="F174" i="3"/>
  <c r="G174" i="3"/>
  <c r="H174" i="3"/>
  <c r="I174" i="3"/>
  <c r="J174" i="3"/>
  <c r="A175" i="2" l="1"/>
  <c r="C175" i="2"/>
  <c r="D175" i="2"/>
  <c r="E175" i="2"/>
  <c r="F175" i="2"/>
  <c r="H175" i="2"/>
  <c r="I175" i="2"/>
  <c r="J175" i="2"/>
  <c r="K176" i="2"/>
  <c r="B175" i="2"/>
  <c r="G175" i="2"/>
  <c r="K176" i="5"/>
  <c r="A175" i="5"/>
  <c r="B175" i="5"/>
  <c r="C175" i="5"/>
  <c r="D175" i="5"/>
  <c r="E175" i="5"/>
  <c r="F175" i="5"/>
  <c r="G175" i="5"/>
  <c r="H175" i="5"/>
  <c r="I175" i="5"/>
  <c r="J175" i="5"/>
  <c r="K176" i="4"/>
  <c r="A175" i="4"/>
  <c r="B175" i="4"/>
  <c r="C175" i="4"/>
  <c r="D175" i="4"/>
  <c r="E175" i="4"/>
  <c r="F175" i="4"/>
  <c r="G175" i="4"/>
  <c r="H175" i="4"/>
  <c r="I175" i="4"/>
  <c r="J175" i="4"/>
  <c r="K176" i="3"/>
  <c r="A175" i="3"/>
  <c r="B175" i="3"/>
  <c r="C175" i="3"/>
  <c r="D175" i="3"/>
  <c r="E175" i="3"/>
  <c r="F175" i="3"/>
  <c r="G175" i="3"/>
  <c r="H175" i="3"/>
  <c r="I175" i="3"/>
  <c r="J175" i="3"/>
  <c r="K177" i="2" l="1"/>
  <c r="D176" i="2"/>
  <c r="J176" i="2"/>
  <c r="A176" i="2"/>
  <c r="B176" i="2"/>
  <c r="C176" i="2"/>
  <c r="E176" i="2"/>
  <c r="F176" i="2"/>
  <c r="G176" i="2"/>
  <c r="H176" i="2"/>
  <c r="I176" i="2"/>
  <c r="K177" i="5"/>
  <c r="A176" i="5"/>
  <c r="B176" i="5"/>
  <c r="C176" i="5"/>
  <c r="D176" i="5"/>
  <c r="E176" i="5"/>
  <c r="F176" i="5"/>
  <c r="G176" i="5"/>
  <c r="H176" i="5"/>
  <c r="I176" i="5"/>
  <c r="J176" i="5"/>
  <c r="K177" i="4"/>
  <c r="A176" i="4"/>
  <c r="B176" i="4"/>
  <c r="C176" i="4"/>
  <c r="D176" i="4"/>
  <c r="E176" i="4"/>
  <c r="F176" i="4"/>
  <c r="G176" i="4"/>
  <c r="H176" i="4"/>
  <c r="I176" i="4"/>
  <c r="J176" i="4"/>
  <c r="K177" i="3"/>
  <c r="A176" i="3"/>
  <c r="B176" i="3"/>
  <c r="C176" i="3"/>
  <c r="D176" i="3"/>
  <c r="E176" i="3"/>
  <c r="F176" i="3"/>
  <c r="G176" i="3"/>
  <c r="H176" i="3"/>
  <c r="I176" i="3"/>
  <c r="J176" i="3"/>
  <c r="K178" i="2" l="1"/>
  <c r="A177" i="2"/>
  <c r="D177" i="2"/>
  <c r="F177" i="2"/>
  <c r="H177" i="2"/>
  <c r="J177" i="2"/>
  <c r="B177" i="2"/>
  <c r="C177" i="2"/>
  <c r="E177" i="2"/>
  <c r="G177" i="2"/>
  <c r="I177" i="2"/>
  <c r="K178" i="5"/>
  <c r="A177" i="5"/>
  <c r="B177" i="5"/>
  <c r="C177" i="5"/>
  <c r="D177" i="5"/>
  <c r="E177" i="5"/>
  <c r="F177" i="5"/>
  <c r="G177" i="5"/>
  <c r="H177" i="5"/>
  <c r="I177" i="5"/>
  <c r="J177" i="5"/>
  <c r="K178" i="4"/>
  <c r="A177" i="4"/>
  <c r="B177" i="4"/>
  <c r="C177" i="4"/>
  <c r="D177" i="4"/>
  <c r="E177" i="4"/>
  <c r="F177" i="4"/>
  <c r="G177" i="4"/>
  <c r="H177" i="4"/>
  <c r="I177" i="4"/>
  <c r="J177" i="4"/>
  <c r="K178" i="3"/>
  <c r="A177" i="3"/>
  <c r="B177" i="3"/>
  <c r="C177" i="3"/>
  <c r="D177" i="3"/>
  <c r="E177" i="3"/>
  <c r="F177" i="3"/>
  <c r="G177" i="3"/>
  <c r="H177" i="3"/>
  <c r="I177" i="3"/>
  <c r="J177" i="3"/>
  <c r="K179" i="2" l="1"/>
  <c r="A178" i="2"/>
  <c r="E178" i="2"/>
  <c r="J178" i="2"/>
  <c r="B178" i="2"/>
  <c r="C178" i="2"/>
  <c r="D178" i="2"/>
  <c r="F178" i="2"/>
  <c r="G178" i="2"/>
  <c r="H178" i="2"/>
  <c r="I178" i="2"/>
  <c r="K179" i="5"/>
  <c r="A178" i="5"/>
  <c r="B178" i="5"/>
  <c r="C178" i="5"/>
  <c r="D178" i="5"/>
  <c r="E178" i="5"/>
  <c r="F178" i="5"/>
  <c r="G178" i="5"/>
  <c r="H178" i="5"/>
  <c r="I178" i="5"/>
  <c r="J178" i="5"/>
  <c r="K179" i="4"/>
  <c r="A178" i="4"/>
  <c r="B178" i="4"/>
  <c r="C178" i="4"/>
  <c r="D178" i="4"/>
  <c r="E178" i="4"/>
  <c r="F178" i="4"/>
  <c r="G178" i="4"/>
  <c r="H178" i="4"/>
  <c r="I178" i="4"/>
  <c r="J178" i="4"/>
  <c r="K179" i="3"/>
  <c r="A178" i="3"/>
  <c r="B178" i="3"/>
  <c r="C178" i="3"/>
  <c r="D178" i="3"/>
  <c r="E178" i="3"/>
  <c r="F178" i="3"/>
  <c r="G178" i="3"/>
  <c r="H178" i="3"/>
  <c r="I178" i="3"/>
  <c r="J178" i="3"/>
  <c r="K180" i="2" l="1"/>
  <c r="A179" i="2"/>
  <c r="C179" i="2"/>
  <c r="E179" i="2"/>
  <c r="G179" i="2"/>
  <c r="J179" i="2"/>
  <c r="B179" i="2"/>
  <c r="D179" i="2"/>
  <c r="F179" i="2"/>
  <c r="H179" i="2"/>
  <c r="I179" i="2"/>
  <c r="K180" i="5"/>
  <c r="A179" i="5"/>
  <c r="B179" i="5"/>
  <c r="C179" i="5"/>
  <c r="D179" i="5"/>
  <c r="E179" i="5"/>
  <c r="F179" i="5"/>
  <c r="G179" i="5"/>
  <c r="H179" i="5"/>
  <c r="I179" i="5"/>
  <c r="J179" i="5"/>
  <c r="K180" i="4"/>
  <c r="A179" i="4"/>
  <c r="B179" i="4"/>
  <c r="C179" i="4"/>
  <c r="D179" i="4"/>
  <c r="E179" i="4"/>
  <c r="F179" i="4"/>
  <c r="G179" i="4"/>
  <c r="H179" i="4"/>
  <c r="I179" i="4"/>
  <c r="J179" i="4"/>
  <c r="K180" i="3"/>
  <c r="A179" i="3"/>
  <c r="B179" i="3"/>
  <c r="C179" i="3"/>
  <c r="D179" i="3"/>
  <c r="E179" i="3"/>
  <c r="F179" i="3"/>
  <c r="G179" i="3"/>
  <c r="H179" i="3"/>
  <c r="I179" i="3"/>
  <c r="J179" i="3"/>
  <c r="A180" i="2" l="1"/>
  <c r="C180" i="2"/>
  <c r="G180" i="2"/>
  <c r="K181" i="2"/>
  <c r="B180" i="2"/>
  <c r="D180" i="2"/>
  <c r="E180" i="2"/>
  <c r="F180" i="2"/>
  <c r="H180" i="2"/>
  <c r="I180" i="2"/>
  <c r="J180" i="2"/>
  <c r="K181" i="5"/>
  <c r="A180" i="5"/>
  <c r="B180" i="5"/>
  <c r="C180" i="5"/>
  <c r="D180" i="5"/>
  <c r="E180" i="5"/>
  <c r="F180" i="5"/>
  <c r="G180" i="5"/>
  <c r="H180" i="5"/>
  <c r="I180" i="5"/>
  <c r="J180" i="5"/>
  <c r="K181" i="4"/>
  <c r="A180" i="4"/>
  <c r="B180" i="4"/>
  <c r="C180" i="4"/>
  <c r="D180" i="4"/>
  <c r="E180" i="4"/>
  <c r="F180" i="4"/>
  <c r="G180" i="4"/>
  <c r="H180" i="4"/>
  <c r="I180" i="4"/>
  <c r="J180" i="4"/>
  <c r="K181" i="3"/>
  <c r="A180" i="3"/>
  <c r="B180" i="3"/>
  <c r="C180" i="3"/>
  <c r="D180" i="3"/>
  <c r="E180" i="3"/>
  <c r="F180" i="3"/>
  <c r="G180" i="3"/>
  <c r="H180" i="3"/>
  <c r="I180" i="3"/>
  <c r="J180" i="3"/>
  <c r="B181" i="2" l="1"/>
  <c r="D181" i="2"/>
  <c r="E181" i="2"/>
  <c r="F181" i="2"/>
  <c r="G181" i="2"/>
  <c r="I181" i="2"/>
  <c r="J181" i="2"/>
  <c r="K182" i="2"/>
  <c r="A181" i="2"/>
  <c r="C181" i="2"/>
  <c r="H181" i="2"/>
  <c r="K182" i="5"/>
  <c r="A181" i="5"/>
  <c r="B181" i="5"/>
  <c r="C181" i="5"/>
  <c r="D181" i="5"/>
  <c r="E181" i="5"/>
  <c r="F181" i="5"/>
  <c r="G181" i="5"/>
  <c r="H181" i="5"/>
  <c r="I181" i="5"/>
  <c r="J181" i="5"/>
  <c r="K182" i="4"/>
  <c r="A181" i="4"/>
  <c r="B181" i="4"/>
  <c r="C181" i="4"/>
  <c r="D181" i="4"/>
  <c r="E181" i="4"/>
  <c r="F181" i="4"/>
  <c r="G181" i="4"/>
  <c r="H181" i="4"/>
  <c r="I181" i="4"/>
  <c r="J181" i="4"/>
  <c r="K182" i="3"/>
  <c r="A181" i="3"/>
  <c r="B181" i="3"/>
  <c r="C181" i="3"/>
  <c r="D181" i="3"/>
  <c r="E181" i="3"/>
  <c r="F181" i="3"/>
  <c r="G181" i="3"/>
  <c r="H181" i="3"/>
  <c r="I181" i="3"/>
  <c r="J181" i="3"/>
  <c r="K183" i="2" l="1"/>
  <c r="C182" i="2"/>
  <c r="J182" i="2"/>
  <c r="A182" i="2"/>
  <c r="B182" i="2"/>
  <c r="D182" i="2"/>
  <c r="E182" i="2"/>
  <c r="F182" i="2"/>
  <c r="G182" i="2"/>
  <c r="H182" i="2"/>
  <c r="I182" i="2"/>
  <c r="K183" i="5"/>
  <c r="A182" i="5"/>
  <c r="B182" i="5"/>
  <c r="C182" i="5"/>
  <c r="D182" i="5"/>
  <c r="E182" i="5"/>
  <c r="F182" i="5"/>
  <c r="G182" i="5"/>
  <c r="H182" i="5"/>
  <c r="I182" i="5"/>
  <c r="J182" i="5"/>
  <c r="K183" i="4"/>
  <c r="A182" i="4"/>
  <c r="B182" i="4"/>
  <c r="C182" i="4"/>
  <c r="D182" i="4"/>
  <c r="E182" i="4"/>
  <c r="F182" i="4"/>
  <c r="G182" i="4"/>
  <c r="H182" i="4"/>
  <c r="I182" i="4"/>
  <c r="J182" i="4"/>
  <c r="K183" i="3"/>
  <c r="A182" i="3"/>
  <c r="B182" i="3"/>
  <c r="C182" i="3"/>
  <c r="D182" i="3"/>
  <c r="E182" i="3"/>
  <c r="F182" i="3"/>
  <c r="G182" i="3"/>
  <c r="H182" i="3"/>
  <c r="I182" i="3"/>
  <c r="J182" i="3"/>
  <c r="K184" i="2" l="1"/>
  <c r="C183" i="2"/>
  <c r="E183" i="2"/>
  <c r="G183" i="2"/>
  <c r="J183" i="2"/>
  <c r="A183" i="2"/>
  <c r="B183" i="2"/>
  <c r="D183" i="2"/>
  <c r="F183" i="2"/>
  <c r="H183" i="2"/>
  <c r="I183" i="2"/>
  <c r="K184" i="5"/>
  <c r="A183" i="5"/>
  <c r="B183" i="5"/>
  <c r="C183" i="5"/>
  <c r="D183" i="5"/>
  <c r="E183" i="5"/>
  <c r="F183" i="5"/>
  <c r="G183" i="5"/>
  <c r="H183" i="5"/>
  <c r="I183" i="5"/>
  <c r="J183" i="5"/>
  <c r="K184" i="4"/>
  <c r="A183" i="4"/>
  <c r="B183" i="4"/>
  <c r="C183" i="4"/>
  <c r="D183" i="4"/>
  <c r="E183" i="4"/>
  <c r="F183" i="4"/>
  <c r="G183" i="4"/>
  <c r="H183" i="4"/>
  <c r="I183" i="4"/>
  <c r="J183" i="4"/>
  <c r="K184" i="3"/>
  <c r="A183" i="3"/>
  <c r="B183" i="3"/>
  <c r="C183" i="3"/>
  <c r="D183" i="3"/>
  <c r="E183" i="3"/>
  <c r="F183" i="3"/>
  <c r="G183" i="3"/>
  <c r="H183" i="3"/>
  <c r="I183" i="3"/>
  <c r="J183" i="3"/>
  <c r="F184" i="2" l="1"/>
  <c r="J184" i="2"/>
  <c r="K185" i="2"/>
  <c r="A184" i="2"/>
  <c r="B184" i="2"/>
  <c r="C184" i="2"/>
  <c r="D184" i="2"/>
  <c r="E184" i="2"/>
  <c r="G184" i="2"/>
  <c r="H184" i="2"/>
  <c r="I184" i="2"/>
  <c r="K185" i="5"/>
  <c r="A184" i="5"/>
  <c r="B184" i="5"/>
  <c r="C184" i="5"/>
  <c r="D184" i="5"/>
  <c r="E184" i="5"/>
  <c r="F184" i="5"/>
  <c r="G184" i="5"/>
  <c r="H184" i="5"/>
  <c r="I184" i="5"/>
  <c r="J184" i="5"/>
  <c r="K185" i="4"/>
  <c r="A184" i="4"/>
  <c r="B184" i="4"/>
  <c r="C184" i="4"/>
  <c r="D184" i="4"/>
  <c r="E184" i="4"/>
  <c r="F184" i="4"/>
  <c r="G184" i="4"/>
  <c r="H184" i="4"/>
  <c r="I184" i="4"/>
  <c r="J184" i="4"/>
  <c r="K185" i="3"/>
  <c r="A184" i="3"/>
  <c r="B184" i="3"/>
  <c r="C184" i="3"/>
  <c r="D184" i="3"/>
  <c r="E184" i="3"/>
  <c r="F184" i="3"/>
  <c r="G184" i="3"/>
  <c r="H184" i="3"/>
  <c r="I184" i="3"/>
  <c r="J184" i="3"/>
  <c r="A185" i="2" l="1"/>
  <c r="C185" i="2"/>
  <c r="D185" i="2"/>
  <c r="F185" i="2"/>
  <c r="H185" i="2"/>
  <c r="J185" i="2"/>
  <c r="K186" i="2"/>
  <c r="B185" i="2"/>
  <c r="E185" i="2"/>
  <c r="G185" i="2"/>
  <c r="I185" i="2"/>
  <c r="K186" i="5"/>
  <c r="A185" i="5"/>
  <c r="B185" i="5"/>
  <c r="C185" i="5"/>
  <c r="D185" i="5"/>
  <c r="E185" i="5"/>
  <c r="F185" i="5"/>
  <c r="G185" i="5"/>
  <c r="H185" i="5"/>
  <c r="I185" i="5"/>
  <c r="J185" i="5"/>
  <c r="K186" i="4"/>
  <c r="A185" i="4"/>
  <c r="B185" i="4"/>
  <c r="C185" i="4"/>
  <c r="D185" i="4"/>
  <c r="E185" i="4"/>
  <c r="F185" i="4"/>
  <c r="G185" i="4"/>
  <c r="H185" i="4"/>
  <c r="I185" i="4"/>
  <c r="J185" i="4"/>
  <c r="K186" i="3"/>
  <c r="A185" i="3"/>
  <c r="B185" i="3"/>
  <c r="C185" i="3"/>
  <c r="D185" i="3"/>
  <c r="E185" i="3"/>
  <c r="F185" i="3"/>
  <c r="G185" i="3"/>
  <c r="H185" i="3"/>
  <c r="I185" i="3"/>
  <c r="J185" i="3"/>
  <c r="B186" i="2" l="1"/>
  <c r="D186" i="2"/>
  <c r="F186" i="2"/>
  <c r="H186" i="2"/>
  <c r="J186" i="2"/>
  <c r="K187" i="2"/>
  <c r="A186" i="2"/>
  <c r="C186" i="2"/>
  <c r="E186" i="2"/>
  <c r="G186" i="2"/>
  <c r="I186" i="2"/>
  <c r="K187" i="5"/>
  <c r="A186" i="5"/>
  <c r="B186" i="5"/>
  <c r="C186" i="5"/>
  <c r="D186" i="5"/>
  <c r="E186" i="5"/>
  <c r="F186" i="5"/>
  <c r="G186" i="5"/>
  <c r="H186" i="5"/>
  <c r="I186" i="5"/>
  <c r="J186" i="5"/>
  <c r="K187" i="4"/>
  <c r="A186" i="4"/>
  <c r="B186" i="4"/>
  <c r="C186" i="4"/>
  <c r="D186" i="4"/>
  <c r="E186" i="4"/>
  <c r="F186" i="4"/>
  <c r="G186" i="4"/>
  <c r="H186" i="4"/>
  <c r="I186" i="4"/>
  <c r="J186" i="4"/>
  <c r="K187" i="3"/>
  <c r="A186" i="3"/>
  <c r="B186" i="3"/>
  <c r="C186" i="3"/>
  <c r="D186" i="3"/>
  <c r="E186" i="3"/>
  <c r="F186" i="3"/>
  <c r="G186" i="3"/>
  <c r="H186" i="3"/>
  <c r="I186" i="3"/>
  <c r="J186" i="3"/>
  <c r="B187" i="2" l="1"/>
  <c r="C187" i="2"/>
  <c r="D187" i="2"/>
  <c r="F187" i="2"/>
  <c r="G187" i="2"/>
  <c r="H187" i="2"/>
  <c r="I187" i="2"/>
  <c r="J187" i="2"/>
  <c r="K188" i="2"/>
  <c r="A187" i="2"/>
  <c r="E187" i="2"/>
  <c r="K188" i="5"/>
  <c r="A187" i="5"/>
  <c r="B187" i="5"/>
  <c r="C187" i="5"/>
  <c r="D187" i="5"/>
  <c r="E187" i="5"/>
  <c r="F187" i="5"/>
  <c r="G187" i="5"/>
  <c r="H187" i="5"/>
  <c r="I187" i="5"/>
  <c r="J187" i="5"/>
  <c r="K188" i="4"/>
  <c r="A187" i="4"/>
  <c r="B187" i="4"/>
  <c r="C187" i="4"/>
  <c r="D187" i="4"/>
  <c r="E187" i="4"/>
  <c r="F187" i="4"/>
  <c r="G187" i="4"/>
  <c r="H187" i="4"/>
  <c r="I187" i="4"/>
  <c r="J187" i="4"/>
  <c r="K188" i="3"/>
  <c r="A187" i="3"/>
  <c r="B187" i="3"/>
  <c r="C187" i="3"/>
  <c r="D187" i="3"/>
  <c r="E187" i="3"/>
  <c r="F187" i="3"/>
  <c r="G187" i="3"/>
  <c r="H187" i="3"/>
  <c r="I187" i="3"/>
  <c r="J187" i="3"/>
  <c r="A188" i="2" l="1"/>
  <c r="C188" i="2"/>
  <c r="D188" i="2"/>
  <c r="F188" i="2"/>
  <c r="H188" i="2"/>
  <c r="K189" i="2"/>
  <c r="B188" i="2"/>
  <c r="E188" i="2"/>
  <c r="G188" i="2"/>
  <c r="I188" i="2"/>
  <c r="J188" i="2"/>
  <c r="K189" i="5"/>
  <c r="A188" i="5"/>
  <c r="B188" i="5"/>
  <c r="C188" i="5"/>
  <c r="D188" i="5"/>
  <c r="E188" i="5"/>
  <c r="F188" i="5"/>
  <c r="G188" i="5"/>
  <c r="H188" i="5"/>
  <c r="I188" i="5"/>
  <c r="J188" i="5"/>
  <c r="K189" i="4"/>
  <c r="A188" i="4"/>
  <c r="B188" i="4"/>
  <c r="C188" i="4"/>
  <c r="D188" i="4"/>
  <c r="E188" i="4"/>
  <c r="F188" i="4"/>
  <c r="G188" i="4"/>
  <c r="H188" i="4"/>
  <c r="I188" i="4"/>
  <c r="J188" i="4"/>
  <c r="K189" i="3"/>
  <c r="A188" i="3"/>
  <c r="B188" i="3"/>
  <c r="C188" i="3"/>
  <c r="D188" i="3"/>
  <c r="E188" i="3"/>
  <c r="F188" i="3"/>
  <c r="G188" i="3"/>
  <c r="H188" i="3"/>
  <c r="I188" i="3"/>
  <c r="J188" i="3"/>
  <c r="B189" i="2" l="1"/>
  <c r="C189" i="2"/>
  <c r="E189" i="2"/>
  <c r="F189" i="2"/>
  <c r="G189" i="2"/>
  <c r="H189" i="2"/>
  <c r="I189" i="2"/>
  <c r="J189" i="2"/>
  <c r="K190" i="2"/>
  <c r="A189" i="2"/>
  <c r="D189" i="2"/>
  <c r="K190" i="5"/>
  <c r="A189" i="5"/>
  <c r="B189" i="5"/>
  <c r="C189" i="5"/>
  <c r="D189" i="5"/>
  <c r="E189" i="5"/>
  <c r="F189" i="5"/>
  <c r="G189" i="5"/>
  <c r="H189" i="5"/>
  <c r="I189" i="5"/>
  <c r="J189" i="5"/>
  <c r="K190" i="4"/>
  <c r="A189" i="4"/>
  <c r="B189" i="4"/>
  <c r="C189" i="4"/>
  <c r="D189" i="4"/>
  <c r="E189" i="4"/>
  <c r="F189" i="4"/>
  <c r="G189" i="4"/>
  <c r="H189" i="4"/>
  <c r="I189" i="4"/>
  <c r="J189" i="4"/>
  <c r="K190" i="3"/>
  <c r="A189" i="3"/>
  <c r="B189" i="3"/>
  <c r="C189" i="3"/>
  <c r="D189" i="3"/>
  <c r="E189" i="3"/>
  <c r="F189" i="3"/>
  <c r="G189" i="3"/>
  <c r="H189" i="3"/>
  <c r="I189" i="3"/>
  <c r="J189" i="3"/>
  <c r="K191" i="2" l="1"/>
  <c r="B190" i="2"/>
  <c r="D190" i="2"/>
  <c r="F190" i="2"/>
  <c r="J190" i="2"/>
  <c r="A190" i="2"/>
  <c r="C190" i="2"/>
  <c r="E190" i="2"/>
  <c r="G190" i="2"/>
  <c r="H190" i="2"/>
  <c r="I190" i="2"/>
  <c r="K191" i="5"/>
  <c r="A190" i="5"/>
  <c r="B190" i="5"/>
  <c r="C190" i="5"/>
  <c r="D190" i="5"/>
  <c r="E190" i="5"/>
  <c r="F190" i="5"/>
  <c r="G190" i="5"/>
  <c r="H190" i="5"/>
  <c r="I190" i="5"/>
  <c r="J190" i="5"/>
  <c r="K191" i="4"/>
  <c r="A190" i="4"/>
  <c r="B190" i="4"/>
  <c r="C190" i="4"/>
  <c r="D190" i="4"/>
  <c r="E190" i="4"/>
  <c r="F190" i="4"/>
  <c r="G190" i="4"/>
  <c r="H190" i="4"/>
  <c r="I190" i="4"/>
  <c r="J190" i="4"/>
  <c r="K191" i="3"/>
  <c r="A190" i="3"/>
  <c r="B190" i="3"/>
  <c r="C190" i="3"/>
  <c r="D190" i="3"/>
  <c r="E190" i="3"/>
  <c r="F190" i="3"/>
  <c r="G190" i="3"/>
  <c r="H190" i="3"/>
  <c r="I190" i="3"/>
  <c r="J190" i="3"/>
  <c r="K192" i="2" l="1"/>
  <c r="A191" i="2"/>
  <c r="C191" i="2"/>
  <c r="J191" i="2"/>
  <c r="B191" i="2"/>
  <c r="D191" i="2"/>
  <c r="E191" i="2"/>
  <c r="F191" i="2"/>
  <c r="G191" i="2"/>
  <c r="H191" i="2"/>
  <c r="I191" i="2"/>
  <c r="K192" i="5"/>
  <c r="A191" i="5"/>
  <c r="B191" i="5"/>
  <c r="C191" i="5"/>
  <c r="D191" i="5"/>
  <c r="E191" i="5"/>
  <c r="F191" i="5"/>
  <c r="G191" i="5"/>
  <c r="H191" i="5"/>
  <c r="I191" i="5"/>
  <c r="J191" i="5"/>
  <c r="K192" i="4"/>
  <c r="A191" i="4"/>
  <c r="B191" i="4"/>
  <c r="C191" i="4"/>
  <c r="D191" i="4"/>
  <c r="E191" i="4"/>
  <c r="F191" i="4"/>
  <c r="G191" i="4"/>
  <c r="H191" i="4"/>
  <c r="I191" i="4"/>
  <c r="J191" i="4"/>
  <c r="K192" i="3"/>
  <c r="A191" i="3"/>
  <c r="B191" i="3"/>
  <c r="C191" i="3"/>
  <c r="D191" i="3"/>
  <c r="E191" i="3"/>
  <c r="F191" i="3"/>
  <c r="G191" i="3"/>
  <c r="H191" i="3"/>
  <c r="I191" i="3"/>
  <c r="J191" i="3"/>
  <c r="A192" i="2" l="1"/>
  <c r="C192" i="2"/>
  <c r="E192" i="2"/>
  <c r="H192" i="2"/>
  <c r="I192" i="2"/>
  <c r="J192" i="2"/>
  <c r="K193" i="2"/>
  <c r="B192" i="2"/>
  <c r="D192" i="2"/>
  <c r="F192" i="2"/>
  <c r="G192" i="2"/>
  <c r="K193" i="5"/>
  <c r="A192" i="5"/>
  <c r="B192" i="5"/>
  <c r="C192" i="5"/>
  <c r="D192" i="5"/>
  <c r="E192" i="5"/>
  <c r="F192" i="5"/>
  <c r="G192" i="5"/>
  <c r="H192" i="5"/>
  <c r="I192" i="5"/>
  <c r="J192" i="5"/>
  <c r="K193" i="4"/>
  <c r="A192" i="4"/>
  <c r="B192" i="4"/>
  <c r="C192" i="4"/>
  <c r="D192" i="4"/>
  <c r="E192" i="4"/>
  <c r="F192" i="4"/>
  <c r="G192" i="4"/>
  <c r="H192" i="4"/>
  <c r="I192" i="4"/>
  <c r="J192" i="4"/>
  <c r="K193" i="3"/>
  <c r="A192" i="3"/>
  <c r="B192" i="3"/>
  <c r="C192" i="3"/>
  <c r="D192" i="3"/>
  <c r="E192" i="3"/>
  <c r="F192" i="3"/>
  <c r="G192" i="3"/>
  <c r="H192" i="3"/>
  <c r="I192" i="3"/>
  <c r="J192" i="3"/>
  <c r="B193" i="2" l="1"/>
  <c r="D193" i="2"/>
  <c r="F193" i="2"/>
  <c r="H193" i="2"/>
  <c r="I193" i="2"/>
  <c r="J193" i="2"/>
  <c r="K194" i="2"/>
  <c r="A193" i="2"/>
  <c r="C193" i="2"/>
  <c r="E193" i="2"/>
  <c r="G193" i="2"/>
  <c r="K194" i="5"/>
  <c r="A193" i="5"/>
  <c r="B193" i="5"/>
  <c r="C193" i="5"/>
  <c r="D193" i="5"/>
  <c r="E193" i="5"/>
  <c r="F193" i="5"/>
  <c r="G193" i="5"/>
  <c r="H193" i="5"/>
  <c r="I193" i="5"/>
  <c r="J193" i="5"/>
  <c r="K194" i="4"/>
  <c r="A193" i="4"/>
  <c r="B193" i="4"/>
  <c r="C193" i="4"/>
  <c r="D193" i="4"/>
  <c r="E193" i="4"/>
  <c r="F193" i="4"/>
  <c r="G193" i="4"/>
  <c r="H193" i="4"/>
  <c r="I193" i="4"/>
  <c r="J193" i="4"/>
  <c r="K194" i="3"/>
  <c r="A193" i="3"/>
  <c r="B193" i="3"/>
  <c r="C193" i="3"/>
  <c r="D193" i="3"/>
  <c r="E193" i="3"/>
  <c r="F193" i="3"/>
  <c r="G193" i="3"/>
  <c r="H193" i="3"/>
  <c r="I193" i="3"/>
  <c r="J193" i="3"/>
  <c r="B194" i="2" l="1"/>
  <c r="E194" i="2"/>
  <c r="G194" i="2"/>
  <c r="H194" i="2"/>
  <c r="J194" i="2"/>
  <c r="K195" i="2"/>
  <c r="A194" i="2"/>
  <c r="C194" i="2"/>
  <c r="D194" i="2"/>
  <c r="F194" i="2"/>
  <c r="I194" i="2"/>
  <c r="K195" i="5"/>
  <c r="A194" i="5"/>
  <c r="B194" i="5"/>
  <c r="C194" i="5"/>
  <c r="D194" i="5"/>
  <c r="E194" i="5"/>
  <c r="F194" i="5"/>
  <c r="G194" i="5"/>
  <c r="H194" i="5"/>
  <c r="I194" i="5"/>
  <c r="J194" i="5"/>
  <c r="K195" i="4"/>
  <c r="A194" i="4"/>
  <c r="B194" i="4"/>
  <c r="C194" i="4"/>
  <c r="D194" i="4"/>
  <c r="E194" i="4"/>
  <c r="F194" i="4"/>
  <c r="G194" i="4"/>
  <c r="H194" i="4"/>
  <c r="I194" i="4"/>
  <c r="J194" i="4"/>
  <c r="K195" i="3"/>
  <c r="A194" i="3"/>
  <c r="B194" i="3"/>
  <c r="C194" i="3"/>
  <c r="D194" i="3"/>
  <c r="E194" i="3"/>
  <c r="F194" i="3"/>
  <c r="G194" i="3"/>
  <c r="H194" i="3"/>
  <c r="I194" i="3"/>
  <c r="J194" i="3"/>
  <c r="B195" i="2" l="1"/>
  <c r="D195" i="2"/>
  <c r="E195" i="2"/>
  <c r="G195" i="2"/>
  <c r="H195" i="2"/>
  <c r="I195" i="2"/>
  <c r="J195" i="2"/>
  <c r="K196" i="2"/>
  <c r="A195" i="2"/>
  <c r="C195" i="2"/>
  <c r="F195" i="2"/>
  <c r="K196" i="5"/>
  <c r="A195" i="5"/>
  <c r="B195" i="5"/>
  <c r="C195" i="5"/>
  <c r="D195" i="5"/>
  <c r="E195" i="5"/>
  <c r="F195" i="5"/>
  <c r="G195" i="5"/>
  <c r="H195" i="5"/>
  <c r="I195" i="5"/>
  <c r="J195" i="5"/>
  <c r="K196" i="4"/>
  <c r="A195" i="4"/>
  <c r="B195" i="4"/>
  <c r="C195" i="4"/>
  <c r="D195" i="4"/>
  <c r="E195" i="4"/>
  <c r="F195" i="4"/>
  <c r="G195" i="4"/>
  <c r="H195" i="4"/>
  <c r="I195" i="4"/>
  <c r="J195" i="4"/>
  <c r="K196" i="3"/>
  <c r="A195" i="3"/>
  <c r="B195" i="3"/>
  <c r="C195" i="3"/>
  <c r="D195" i="3"/>
  <c r="E195" i="3"/>
  <c r="F195" i="3"/>
  <c r="G195" i="3"/>
  <c r="H195" i="3"/>
  <c r="I195" i="3"/>
  <c r="J195" i="3"/>
  <c r="K197" i="2" l="1"/>
  <c r="C196" i="2"/>
  <c r="F196" i="2"/>
  <c r="J196" i="2"/>
  <c r="A196" i="2"/>
  <c r="B196" i="2"/>
  <c r="D196" i="2"/>
  <c r="E196" i="2"/>
  <c r="G196" i="2"/>
  <c r="H196" i="2"/>
  <c r="I196" i="2"/>
  <c r="K197" i="5"/>
  <c r="A196" i="5"/>
  <c r="B196" i="5"/>
  <c r="C196" i="5"/>
  <c r="D196" i="5"/>
  <c r="E196" i="5"/>
  <c r="F196" i="5"/>
  <c r="G196" i="5"/>
  <c r="H196" i="5"/>
  <c r="I196" i="5"/>
  <c r="J196" i="5"/>
  <c r="K197" i="4"/>
  <c r="A196" i="4"/>
  <c r="B196" i="4"/>
  <c r="C196" i="4"/>
  <c r="D196" i="4"/>
  <c r="E196" i="4"/>
  <c r="F196" i="4"/>
  <c r="G196" i="4"/>
  <c r="H196" i="4"/>
  <c r="I196" i="4"/>
  <c r="J196" i="4"/>
  <c r="K197" i="3"/>
  <c r="A196" i="3"/>
  <c r="B196" i="3"/>
  <c r="C196" i="3"/>
  <c r="D196" i="3"/>
  <c r="E196" i="3"/>
  <c r="F196" i="3"/>
  <c r="G196" i="3"/>
  <c r="H196" i="3"/>
  <c r="I196" i="3"/>
  <c r="J196" i="3"/>
  <c r="A197" i="2" l="1"/>
  <c r="D197" i="2"/>
  <c r="F197" i="2"/>
  <c r="H197" i="2"/>
  <c r="J197" i="2"/>
  <c r="K198" i="2"/>
  <c r="B197" i="2"/>
  <c r="C197" i="2"/>
  <c r="E197" i="2"/>
  <c r="G197" i="2"/>
  <c r="I197" i="2"/>
  <c r="K198" i="5"/>
  <c r="A197" i="5"/>
  <c r="B197" i="5"/>
  <c r="C197" i="5"/>
  <c r="D197" i="5"/>
  <c r="E197" i="5"/>
  <c r="F197" i="5"/>
  <c r="G197" i="5"/>
  <c r="H197" i="5"/>
  <c r="I197" i="5"/>
  <c r="J197" i="5"/>
  <c r="K198" i="4"/>
  <c r="A197" i="4"/>
  <c r="B197" i="4"/>
  <c r="C197" i="4"/>
  <c r="D197" i="4"/>
  <c r="E197" i="4"/>
  <c r="F197" i="4"/>
  <c r="G197" i="4"/>
  <c r="H197" i="4"/>
  <c r="I197" i="4"/>
  <c r="J197" i="4"/>
  <c r="K198" i="3"/>
  <c r="A197" i="3"/>
  <c r="B197" i="3"/>
  <c r="C197" i="3"/>
  <c r="D197" i="3"/>
  <c r="E197" i="3"/>
  <c r="F197" i="3"/>
  <c r="G197" i="3"/>
  <c r="H197" i="3"/>
  <c r="I197" i="3"/>
  <c r="J197" i="3"/>
  <c r="K199" i="2" l="1"/>
  <c r="B198" i="2"/>
  <c r="D198" i="2"/>
  <c r="E198" i="2"/>
  <c r="F198" i="2"/>
  <c r="G198" i="2"/>
  <c r="H198" i="2"/>
  <c r="J198" i="2"/>
  <c r="A198" i="2"/>
  <c r="C198" i="2"/>
  <c r="I198" i="2"/>
  <c r="K199" i="5"/>
  <c r="A198" i="5"/>
  <c r="B198" i="5"/>
  <c r="C198" i="5"/>
  <c r="D198" i="5"/>
  <c r="E198" i="5"/>
  <c r="F198" i="5"/>
  <c r="G198" i="5"/>
  <c r="H198" i="5"/>
  <c r="I198" i="5"/>
  <c r="J198" i="5"/>
  <c r="K199" i="4"/>
  <c r="A198" i="4"/>
  <c r="B198" i="4"/>
  <c r="C198" i="4"/>
  <c r="D198" i="4"/>
  <c r="E198" i="4"/>
  <c r="F198" i="4"/>
  <c r="G198" i="4"/>
  <c r="H198" i="4"/>
  <c r="I198" i="4"/>
  <c r="J198" i="4"/>
  <c r="K199" i="3"/>
  <c r="A198" i="3"/>
  <c r="B198" i="3"/>
  <c r="C198" i="3"/>
  <c r="D198" i="3"/>
  <c r="E198" i="3"/>
  <c r="F198" i="3"/>
  <c r="G198" i="3"/>
  <c r="H198" i="3"/>
  <c r="I198" i="3"/>
  <c r="J198" i="3"/>
  <c r="K200" i="2" l="1"/>
  <c r="A199" i="2"/>
  <c r="D199" i="2"/>
  <c r="F199" i="2"/>
  <c r="G199" i="2"/>
  <c r="I199" i="2"/>
  <c r="J199" i="2"/>
  <c r="B199" i="2"/>
  <c r="C199" i="2"/>
  <c r="E199" i="2"/>
  <c r="H199" i="2"/>
  <c r="K200" i="5"/>
  <c r="A199" i="5"/>
  <c r="B199" i="5"/>
  <c r="C199" i="5"/>
  <c r="D199" i="5"/>
  <c r="E199" i="5"/>
  <c r="F199" i="5"/>
  <c r="G199" i="5"/>
  <c r="H199" i="5"/>
  <c r="I199" i="5"/>
  <c r="J199" i="5"/>
  <c r="K200" i="4"/>
  <c r="A199" i="4"/>
  <c r="B199" i="4"/>
  <c r="C199" i="4"/>
  <c r="D199" i="4"/>
  <c r="E199" i="4"/>
  <c r="F199" i="4"/>
  <c r="G199" i="4"/>
  <c r="H199" i="4"/>
  <c r="I199" i="4"/>
  <c r="J199" i="4"/>
  <c r="K200" i="3"/>
  <c r="A199" i="3"/>
  <c r="B199" i="3"/>
  <c r="C199" i="3"/>
  <c r="D199" i="3"/>
  <c r="E199" i="3"/>
  <c r="F199" i="3"/>
  <c r="G199" i="3"/>
  <c r="H199" i="3"/>
  <c r="I199" i="3"/>
  <c r="J199" i="3"/>
  <c r="A200" i="2" l="1"/>
  <c r="C200" i="2"/>
  <c r="E200" i="2"/>
  <c r="F200" i="2"/>
  <c r="H200" i="2"/>
  <c r="J200" i="2"/>
  <c r="K201" i="2"/>
  <c r="B200" i="2"/>
  <c r="D200" i="2"/>
  <c r="G200" i="2"/>
  <c r="I200" i="2"/>
  <c r="K201" i="5"/>
  <c r="A200" i="5"/>
  <c r="B200" i="5"/>
  <c r="C200" i="5"/>
  <c r="D200" i="5"/>
  <c r="E200" i="5"/>
  <c r="F200" i="5"/>
  <c r="G200" i="5"/>
  <c r="H200" i="5"/>
  <c r="I200" i="5"/>
  <c r="J200" i="5"/>
  <c r="K201" i="4"/>
  <c r="A200" i="4"/>
  <c r="B200" i="4"/>
  <c r="C200" i="4"/>
  <c r="D200" i="4"/>
  <c r="E200" i="4"/>
  <c r="F200" i="4"/>
  <c r="G200" i="4"/>
  <c r="H200" i="4"/>
  <c r="I200" i="4"/>
  <c r="J200" i="4"/>
  <c r="K201" i="3"/>
  <c r="A200" i="3"/>
  <c r="B200" i="3"/>
  <c r="C200" i="3"/>
  <c r="D200" i="3"/>
  <c r="E200" i="3"/>
  <c r="F200" i="3"/>
  <c r="G200" i="3"/>
  <c r="H200" i="3"/>
  <c r="I200" i="3"/>
  <c r="J200" i="3"/>
  <c r="C201" i="2" l="1"/>
  <c r="E201" i="2"/>
  <c r="I201" i="2"/>
  <c r="K202" i="2"/>
  <c r="A201" i="2"/>
  <c r="B201" i="2"/>
  <c r="D201" i="2"/>
  <c r="F201" i="2"/>
  <c r="G201" i="2"/>
  <c r="H201" i="2"/>
  <c r="J201" i="2"/>
  <c r="K202" i="5"/>
  <c r="A201" i="5"/>
  <c r="B201" i="5"/>
  <c r="C201" i="5"/>
  <c r="D201" i="5"/>
  <c r="E201" i="5"/>
  <c r="F201" i="5"/>
  <c r="G201" i="5"/>
  <c r="H201" i="5"/>
  <c r="I201" i="5"/>
  <c r="J201" i="5"/>
  <c r="K202" i="4"/>
  <c r="A201" i="4"/>
  <c r="B201" i="4"/>
  <c r="C201" i="4"/>
  <c r="D201" i="4"/>
  <c r="E201" i="4"/>
  <c r="F201" i="4"/>
  <c r="G201" i="4"/>
  <c r="H201" i="4"/>
  <c r="I201" i="4"/>
  <c r="J201" i="4"/>
  <c r="K202" i="3"/>
  <c r="A201" i="3"/>
  <c r="B201" i="3"/>
  <c r="C201" i="3"/>
  <c r="D201" i="3"/>
  <c r="E201" i="3"/>
  <c r="F201" i="3"/>
  <c r="G201" i="3"/>
  <c r="H201" i="3"/>
  <c r="I201" i="3"/>
  <c r="J201" i="3"/>
  <c r="A202" i="2" l="1"/>
  <c r="C202" i="2"/>
  <c r="D202" i="2"/>
  <c r="F202" i="2"/>
  <c r="G202" i="2"/>
  <c r="H202" i="2"/>
  <c r="I202" i="2"/>
  <c r="J202" i="2"/>
  <c r="K203" i="2"/>
  <c r="B202" i="2"/>
  <c r="E202" i="2"/>
  <c r="K203" i="5"/>
  <c r="A202" i="5"/>
  <c r="B202" i="5"/>
  <c r="C202" i="5"/>
  <c r="D202" i="5"/>
  <c r="E202" i="5"/>
  <c r="F202" i="5"/>
  <c r="G202" i="5"/>
  <c r="H202" i="5"/>
  <c r="I202" i="5"/>
  <c r="J202" i="5"/>
  <c r="K203" i="4"/>
  <c r="A202" i="4"/>
  <c r="B202" i="4"/>
  <c r="C202" i="4"/>
  <c r="D202" i="4"/>
  <c r="E202" i="4"/>
  <c r="F202" i="4"/>
  <c r="G202" i="4"/>
  <c r="H202" i="4"/>
  <c r="I202" i="4"/>
  <c r="J202" i="4"/>
  <c r="K203" i="3"/>
  <c r="A202" i="3"/>
  <c r="B202" i="3"/>
  <c r="C202" i="3"/>
  <c r="D202" i="3"/>
  <c r="E202" i="3"/>
  <c r="F202" i="3"/>
  <c r="G202" i="3"/>
  <c r="H202" i="3"/>
  <c r="I202" i="3"/>
  <c r="J202" i="3"/>
  <c r="K204" i="2" l="1"/>
  <c r="B203" i="2"/>
  <c r="G203" i="2"/>
  <c r="A203" i="2"/>
  <c r="C203" i="2"/>
  <c r="D203" i="2"/>
  <c r="E203" i="2"/>
  <c r="F203" i="2"/>
  <c r="H203" i="2"/>
  <c r="I203" i="2"/>
  <c r="J203" i="2"/>
  <c r="K204" i="5"/>
  <c r="A203" i="5"/>
  <c r="B203" i="5"/>
  <c r="C203" i="5"/>
  <c r="D203" i="5"/>
  <c r="E203" i="5"/>
  <c r="F203" i="5"/>
  <c r="G203" i="5"/>
  <c r="H203" i="5"/>
  <c r="I203" i="5"/>
  <c r="J203" i="5"/>
  <c r="K204" i="4"/>
  <c r="A203" i="4"/>
  <c r="B203" i="4"/>
  <c r="C203" i="4"/>
  <c r="D203" i="4"/>
  <c r="E203" i="4"/>
  <c r="F203" i="4"/>
  <c r="G203" i="4"/>
  <c r="H203" i="4"/>
  <c r="I203" i="4"/>
  <c r="J203" i="4"/>
  <c r="K204" i="3"/>
  <c r="A203" i="3"/>
  <c r="B203" i="3"/>
  <c r="C203" i="3"/>
  <c r="D203" i="3"/>
  <c r="E203" i="3"/>
  <c r="F203" i="3"/>
  <c r="G203" i="3"/>
  <c r="H203" i="3"/>
  <c r="I203" i="3"/>
  <c r="J203" i="3"/>
  <c r="K205" i="2" l="1"/>
  <c r="C204" i="2"/>
  <c r="A204" i="2"/>
  <c r="B204" i="2"/>
  <c r="D204" i="2"/>
  <c r="E204" i="2"/>
  <c r="F204" i="2"/>
  <c r="G204" i="2"/>
  <c r="H204" i="2"/>
  <c r="I204" i="2"/>
  <c r="J204" i="2"/>
  <c r="K205" i="5"/>
  <c r="A204" i="5"/>
  <c r="B204" i="5"/>
  <c r="C204" i="5"/>
  <c r="D204" i="5"/>
  <c r="E204" i="5"/>
  <c r="F204" i="5"/>
  <c r="G204" i="5"/>
  <c r="H204" i="5"/>
  <c r="I204" i="5"/>
  <c r="J204" i="5"/>
  <c r="K205" i="4"/>
  <c r="A204" i="4"/>
  <c r="B204" i="4"/>
  <c r="C204" i="4"/>
  <c r="D204" i="4"/>
  <c r="E204" i="4"/>
  <c r="F204" i="4"/>
  <c r="G204" i="4"/>
  <c r="H204" i="4"/>
  <c r="I204" i="4"/>
  <c r="J204" i="4"/>
  <c r="K205" i="3"/>
  <c r="A204" i="3"/>
  <c r="B204" i="3"/>
  <c r="C204" i="3"/>
  <c r="D204" i="3"/>
  <c r="E204" i="3"/>
  <c r="F204" i="3"/>
  <c r="G204" i="3"/>
  <c r="H204" i="3"/>
  <c r="I204" i="3"/>
  <c r="J204" i="3"/>
  <c r="K206" i="2" l="1"/>
  <c r="A205" i="2"/>
  <c r="B205" i="2"/>
  <c r="C205" i="2"/>
  <c r="D205" i="2"/>
  <c r="E205" i="2"/>
  <c r="F205" i="2"/>
  <c r="G205" i="2"/>
  <c r="H205" i="2"/>
  <c r="I205" i="2"/>
  <c r="J205" i="2"/>
  <c r="K206" i="5"/>
  <c r="A205" i="5"/>
  <c r="B205" i="5"/>
  <c r="C205" i="5"/>
  <c r="D205" i="5"/>
  <c r="E205" i="5"/>
  <c r="F205" i="5"/>
  <c r="G205" i="5"/>
  <c r="H205" i="5"/>
  <c r="I205" i="5"/>
  <c r="J205" i="5"/>
  <c r="K206" i="4"/>
  <c r="A205" i="4"/>
  <c r="B205" i="4"/>
  <c r="C205" i="4"/>
  <c r="D205" i="4"/>
  <c r="E205" i="4"/>
  <c r="F205" i="4"/>
  <c r="G205" i="4"/>
  <c r="H205" i="4"/>
  <c r="I205" i="4"/>
  <c r="J205" i="4"/>
  <c r="K206" i="3"/>
  <c r="A205" i="3"/>
  <c r="B205" i="3"/>
  <c r="C205" i="3"/>
  <c r="D205" i="3"/>
  <c r="E205" i="3"/>
  <c r="F205" i="3"/>
  <c r="G205" i="3"/>
  <c r="H205" i="3"/>
  <c r="I205" i="3"/>
  <c r="J205" i="3"/>
  <c r="K207" i="2" l="1"/>
  <c r="A206" i="2"/>
  <c r="B206" i="2"/>
  <c r="C206" i="2"/>
  <c r="D206" i="2"/>
  <c r="E206" i="2"/>
  <c r="F206" i="2"/>
  <c r="G206" i="2"/>
  <c r="H206" i="2"/>
  <c r="I206" i="2"/>
  <c r="J206" i="2"/>
  <c r="K207" i="5"/>
  <c r="A206" i="5"/>
  <c r="B206" i="5"/>
  <c r="C206" i="5"/>
  <c r="D206" i="5"/>
  <c r="E206" i="5"/>
  <c r="F206" i="5"/>
  <c r="G206" i="5"/>
  <c r="H206" i="5"/>
  <c r="I206" i="5"/>
  <c r="J206" i="5"/>
  <c r="K207" i="4"/>
  <c r="A206" i="4"/>
  <c r="B206" i="4"/>
  <c r="C206" i="4"/>
  <c r="D206" i="4"/>
  <c r="E206" i="4"/>
  <c r="F206" i="4"/>
  <c r="G206" i="4"/>
  <c r="H206" i="4"/>
  <c r="I206" i="4"/>
  <c r="J206" i="4"/>
  <c r="K207" i="3"/>
  <c r="A206" i="3"/>
  <c r="B206" i="3"/>
  <c r="C206" i="3"/>
  <c r="D206" i="3"/>
  <c r="E206" i="3"/>
  <c r="F206" i="3"/>
  <c r="G206" i="3"/>
  <c r="H206" i="3"/>
  <c r="I206" i="3"/>
  <c r="J206" i="3"/>
  <c r="K208" i="2" l="1"/>
  <c r="A207" i="2"/>
  <c r="B207" i="2"/>
  <c r="C207" i="2"/>
  <c r="D207" i="2"/>
  <c r="E207" i="2"/>
  <c r="F207" i="2"/>
  <c r="G207" i="2"/>
  <c r="H207" i="2"/>
  <c r="I207" i="2"/>
  <c r="J207" i="2"/>
  <c r="K208" i="5"/>
  <c r="A207" i="5"/>
  <c r="B207" i="5"/>
  <c r="C207" i="5"/>
  <c r="D207" i="5"/>
  <c r="E207" i="5"/>
  <c r="F207" i="5"/>
  <c r="G207" i="5"/>
  <c r="H207" i="5"/>
  <c r="I207" i="5"/>
  <c r="J207" i="5"/>
  <c r="K208" i="4"/>
  <c r="A207" i="4"/>
  <c r="B207" i="4"/>
  <c r="C207" i="4"/>
  <c r="D207" i="4"/>
  <c r="E207" i="4"/>
  <c r="F207" i="4"/>
  <c r="G207" i="4"/>
  <c r="H207" i="4"/>
  <c r="I207" i="4"/>
  <c r="J207" i="4"/>
  <c r="K208" i="3"/>
  <c r="A207" i="3"/>
  <c r="B207" i="3"/>
  <c r="C207" i="3"/>
  <c r="D207" i="3"/>
  <c r="E207" i="3"/>
  <c r="F207" i="3"/>
  <c r="G207" i="3"/>
  <c r="H207" i="3"/>
  <c r="I207" i="3"/>
  <c r="J207" i="3"/>
  <c r="K209" i="2" l="1"/>
  <c r="A208" i="2"/>
  <c r="B208" i="2"/>
  <c r="C208" i="2"/>
  <c r="D208" i="2"/>
  <c r="E208" i="2"/>
  <c r="F208" i="2"/>
  <c r="G208" i="2"/>
  <c r="H208" i="2"/>
  <c r="I208" i="2"/>
  <c r="J208" i="2"/>
  <c r="K209" i="5"/>
  <c r="A208" i="5"/>
  <c r="B208" i="5"/>
  <c r="C208" i="5"/>
  <c r="D208" i="5"/>
  <c r="E208" i="5"/>
  <c r="F208" i="5"/>
  <c r="G208" i="5"/>
  <c r="H208" i="5"/>
  <c r="I208" i="5"/>
  <c r="J208" i="5"/>
  <c r="K209" i="4"/>
  <c r="A208" i="4"/>
  <c r="B208" i="4"/>
  <c r="C208" i="4"/>
  <c r="D208" i="4"/>
  <c r="E208" i="4"/>
  <c r="F208" i="4"/>
  <c r="G208" i="4"/>
  <c r="H208" i="4"/>
  <c r="I208" i="4"/>
  <c r="J208" i="4"/>
  <c r="K209" i="3"/>
  <c r="A208" i="3"/>
  <c r="B208" i="3"/>
  <c r="C208" i="3"/>
  <c r="D208" i="3"/>
  <c r="E208" i="3"/>
  <c r="F208" i="3"/>
  <c r="G208" i="3"/>
  <c r="H208" i="3"/>
  <c r="I208" i="3"/>
  <c r="J208" i="3"/>
  <c r="K210" i="2" l="1"/>
  <c r="A209" i="2"/>
  <c r="B209" i="2"/>
  <c r="C209" i="2"/>
  <c r="D209" i="2"/>
  <c r="E209" i="2"/>
  <c r="F209" i="2"/>
  <c r="G209" i="2"/>
  <c r="H209" i="2"/>
  <c r="I209" i="2"/>
  <c r="J209" i="2"/>
  <c r="K210" i="5"/>
  <c r="A209" i="5"/>
  <c r="B209" i="5"/>
  <c r="C209" i="5"/>
  <c r="D209" i="5"/>
  <c r="E209" i="5"/>
  <c r="F209" i="5"/>
  <c r="G209" i="5"/>
  <c r="H209" i="5"/>
  <c r="I209" i="5"/>
  <c r="J209" i="5"/>
  <c r="K210" i="4"/>
  <c r="A209" i="4"/>
  <c r="B209" i="4"/>
  <c r="C209" i="4"/>
  <c r="D209" i="4"/>
  <c r="E209" i="4"/>
  <c r="F209" i="4"/>
  <c r="G209" i="4"/>
  <c r="H209" i="4"/>
  <c r="I209" i="4"/>
  <c r="J209" i="4"/>
  <c r="K210" i="3"/>
  <c r="A209" i="3"/>
  <c r="B209" i="3"/>
  <c r="C209" i="3"/>
  <c r="D209" i="3"/>
  <c r="E209" i="3"/>
  <c r="F209" i="3"/>
  <c r="G209" i="3"/>
  <c r="H209" i="3"/>
  <c r="I209" i="3"/>
  <c r="J209" i="3"/>
  <c r="K211" i="2" l="1"/>
  <c r="A210" i="2"/>
  <c r="B210" i="2"/>
  <c r="C210" i="2"/>
  <c r="D210" i="2"/>
  <c r="E210" i="2"/>
  <c r="F210" i="2"/>
  <c r="G210" i="2"/>
  <c r="H210" i="2"/>
  <c r="I210" i="2"/>
  <c r="J210" i="2"/>
  <c r="K211" i="5"/>
  <c r="A210" i="5"/>
  <c r="B210" i="5"/>
  <c r="C210" i="5"/>
  <c r="D210" i="5"/>
  <c r="E210" i="5"/>
  <c r="F210" i="5"/>
  <c r="G210" i="5"/>
  <c r="H210" i="5"/>
  <c r="I210" i="5"/>
  <c r="J210" i="5"/>
  <c r="K211" i="4"/>
  <c r="A210" i="4"/>
  <c r="B210" i="4"/>
  <c r="C210" i="4"/>
  <c r="D210" i="4"/>
  <c r="E210" i="4"/>
  <c r="F210" i="4"/>
  <c r="G210" i="4"/>
  <c r="H210" i="4"/>
  <c r="I210" i="4"/>
  <c r="J210" i="4"/>
  <c r="K211" i="3"/>
  <c r="A210" i="3"/>
  <c r="B210" i="3"/>
  <c r="C210" i="3"/>
  <c r="D210" i="3"/>
  <c r="E210" i="3"/>
  <c r="F210" i="3"/>
  <c r="G210" i="3"/>
  <c r="H210" i="3"/>
  <c r="I210" i="3"/>
  <c r="J210" i="3"/>
  <c r="K212" i="2" l="1"/>
  <c r="A211" i="2"/>
  <c r="B211" i="2"/>
  <c r="C211" i="2"/>
  <c r="D211" i="2"/>
  <c r="E211" i="2"/>
  <c r="F211" i="2"/>
  <c r="G211" i="2"/>
  <c r="H211" i="2"/>
  <c r="I211" i="2"/>
  <c r="J211" i="2"/>
  <c r="K212" i="5"/>
  <c r="A211" i="5"/>
  <c r="B211" i="5"/>
  <c r="C211" i="5"/>
  <c r="D211" i="5"/>
  <c r="E211" i="5"/>
  <c r="F211" i="5"/>
  <c r="G211" i="5"/>
  <c r="H211" i="5"/>
  <c r="I211" i="5"/>
  <c r="J211" i="5"/>
  <c r="K212" i="4"/>
  <c r="A211" i="4"/>
  <c r="B211" i="4"/>
  <c r="C211" i="4"/>
  <c r="D211" i="4"/>
  <c r="E211" i="4"/>
  <c r="F211" i="4"/>
  <c r="G211" i="4"/>
  <c r="H211" i="4"/>
  <c r="I211" i="4"/>
  <c r="J211" i="4"/>
  <c r="K212" i="3"/>
  <c r="A211" i="3"/>
  <c r="B211" i="3"/>
  <c r="C211" i="3"/>
  <c r="D211" i="3"/>
  <c r="E211" i="3"/>
  <c r="F211" i="3"/>
  <c r="G211" i="3"/>
  <c r="H211" i="3"/>
  <c r="I211" i="3"/>
  <c r="J211" i="3"/>
  <c r="K213" i="2" l="1"/>
  <c r="A212" i="2"/>
  <c r="B212" i="2"/>
  <c r="C212" i="2"/>
  <c r="D212" i="2"/>
  <c r="E212" i="2"/>
  <c r="F212" i="2"/>
  <c r="G212" i="2"/>
  <c r="H212" i="2"/>
  <c r="I212" i="2"/>
  <c r="J212" i="2"/>
  <c r="K213" i="5"/>
  <c r="A212" i="5"/>
  <c r="B212" i="5"/>
  <c r="C212" i="5"/>
  <c r="D212" i="5"/>
  <c r="E212" i="5"/>
  <c r="F212" i="5"/>
  <c r="G212" i="5"/>
  <c r="H212" i="5"/>
  <c r="I212" i="5"/>
  <c r="J212" i="5"/>
  <c r="K213" i="4"/>
  <c r="A212" i="4"/>
  <c r="B212" i="4"/>
  <c r="C212" i="4"/>
  <c r="D212" i="4"/>
  <c r="E212" i="4"/>
  <c r="F212" i="4"/>
  <c r="G212" i="4"/>
  <c r="H212" i="4"/>
  <c r="I212" i="4"/>
  <c r="J212" i="4"/>
  <c r="K213" i="3"/>
  <c r="A212" i="3"/>
  <c r="B212" i="3"/>
  <c r="C212" i="3"/>
  <c r="D212" i="3"/>
  <c r="E212" i="3"/>
  <c r="F212" i="3"/>
  <c r="G212" i="3"/>
  <c r="H212" i="3"/>
  <c r="I212" i="3"/>
  <c r="J212" i="3"/>
  <c r="K214" i="2" l="1"/>
  <c r="A213" i="2"/>
  <c r="B213" i="2"/>
  <c r="C213" i="2"/>
  <c r="D213" i="2"/>
  <c r="E213" i="2"/>
  <c r="F213" i="2"/>
  <c r="G213" i="2"/>
  <c r="H213" i="2"/>
  <c r="I213" i="2"/>
  <c r="J213" i="2"/>
  <c r="K214" i="5"/>
  <c r="A213" i="5"/>
  <c r="B213" i="5"/>
  <c r="C213" i="5"/>
  <c r="D213" i="5"/>
  <c r="E213" i="5"/>
  <c r="F213" i="5"/>
  <c r="G213" i="5"/>
  <c r="H213" i="5"/>
  <c r="I213" i="5"/>
  <c r="J213" i="5"/>
  <c r="K214" i="4"/>
  <c r="A213" i="4"/>
  <c r="B213" i="4"/>
  <c r="C213" i="4"/>
  <c r="D213" i="4"/>
  <c r="E213" i="4"/>
  <c r="F213" i="4"/>
  <c r="G213" i="4"/>
  <c r="H213" i="4"/>
  <c r="I213" i="4"/>
  <c r="J213" i="4"/>
  <c r="K214" i="3"/>
  <c r="A213" i="3"/>
  <c r="B213" i="3"/>
  <c r="C213" i="3"/>
  <c r="D213" i="3"/>
  <c r="E213" i="3"/>
  <c r="F213" i="3"/>
  <c r="G213" i="3"/>
  <c r="H213" i="3"/>
  <c r="I213" i="3"/>
  <c r="J213" i="3"/>
  <c r="K215" i="2" l="1"/>
  <c r="A214" i="2"/>
  <c r="B214" i="2"/>
  <c r="C214" i="2"/>
  <c r="D214" i="2"/>
  <c r="E214" i="2"/>
  <c r="F214" i="2"/>
  <c r="G214" i="2"/>
  <c r="H214" i="2"/>
  <c r="I214" i="2"/>
  <c r="J214" i="2"/>
  <c r="K215" i="5"/>
  <c r="A214" i="5"/>
  <c r="B214" i="5"/>
  <c r="C214" i="5"/>
  <c r="D214" i="5"/>
  <c r="E214" i="5"/>
  <c r="F214" i="5"/>
  <c r="G214" i="5"/>
  <c r="H214" i="5"/>
  <c r="I214" i="5"/>
  <c r="J214" i="5"/>
  <c r="K215" i="4"/>
  <c r="A214" i="4"/>
  <c r="B214" i="4"/>
  <c r="C214" i="4"/>
  <c r="D214" i="4"/>
  <c r="E214" i="4"/>
  <c r="F214" i="4"/>
  <c r="G214" i="4"/>
  <c r="H214" i="4"/>
  <c r="I214" i="4"/>
  <c r="J214" i="4"/>
  <c r="K215" i="3"/>
  <c r="A214" i="3"/>
  <c r="B214" i="3"/>
  <c r="C214" i="3"/>
  <c r="D214" i="3"/>
  <c r="E214" i="3"/>
  <c r="F214" i="3"/>
  <c r="G214" i="3"/>
  <c r="H214" i="3"/>
  <c r="I214" i="3"/>
  <c r="J214" i="3"/>
  <c r="K216" i="2" l="1"/>
  <c r="A215" i="2"/>
  <c r="B215" i="2"/>
  <c r="C215" i="2"/>
  <c r="D215" i="2"/>
  <c r="E215" i="2"/>
  <c r="F215" i="2"/>
  <c r="G215" i="2"/>
  <c r="H215" i="2"/>
  <c r="I215" i="2"/>
  <c r="J215" i="2"/>
  <c r="K216" i="5"/>
  <c r="A215" i="5"/>
  <c r="B215" i="5"/>
  <c r="C215" i="5"/>
  <c r="D215" i="5"/>
  <c r="E215" i="5"/>
  <c r="F215" i="5"/>
  <c r="G215" i="5"/>
  <c r="H215" i="5"/>
  <c r="I215" i="5"/>
  <c r="J215" i="5"/>
  <c r="K216" i="4"/>
  <c r="A215" i="4"/>
  <c r="B215" i="4"/>
  <c r="C215" i="4"/>
  <c r="D215" i="4"/>
  <c r="E215" i="4"/>
  <c r="F215" i="4"/>
  <c r="G215" i="4"/>
  <c r="H215" i="4"/>
  <c r="I215" i="4"/>
  <c r="J215" i="4"/>
  <c r="K216" i="3"/>
  <c r="A215" i="3"/>
  <c r="B215" i="3"/>
  <c r="C215" i="3"/>
  <c r="D215" i="3"/>
  <c r="E215" i="3"/>
  <c r="F215" i="3"/>
  <c r="G215" i="3"/>
  <c r="H215" i="3"/>
  <c r="I215" i="3"/>
  <c r="J215" i="3"/>
  <c r="K217" i="2" l="1"/>
  <c r="A216" i="2"/>
  <c r="B216" i="2"/>
  <c r="C216" i="2"/>
  <c r="D216" i="2"/>
  <c r="E216" i="2"/>
  <c r="F216" i="2"/>
  <c r="G216" i="2"/>
  <c r="H216" i="2"/>
  <c r="I216" i="2"/>
  <c r="J216" i="2"/>
  <c r="K217" i="5"/>
  <c r="A216" i="5"/>
  <c r="B216" i="5"/>
  <c r="C216" i="5"/>
  <c r="D216" i="5"/>
  <c r="E216" i="5"/>
  <c r="F216" i="5"/>
  <c r="G216" i="5"/>
  <c r="H216" i="5"/>
  <c r="I216" i="5"/>
  <c r="J216" i="5"/>
  <c r="K217" i="4"/>
  <c r="A216" i="4"/>
  <c r="B216" i="4"/>
  <c r="C216" i="4"/>
  <c r="D216" i="4"/>
  <c r="E216" i="4"/>
  <c r="F216" i="4"/>
  <c r="G216" i="4"/>
  <c r="H216" i="4"/>
  <c r="I216" i="4"/>
  <c r="J216" i="4"/>
  <c r="K217" i="3"/>
  <c r="A216" i="3"/>
  <c r="B216" i="3"/>
  <c r="C216" i="3"/>
  <c r="D216" i="3"/>
  <c r="E216" i="3"/>
  <c r="F216" i="3"/>
  <c r="G216" i="3"/>
  <c r="H216" i="3"/>
  <c r="I216" i="3"/>
  <c r="J216" i="3"/>
  <c r="K218" i="2" l="1"/>
  <c r="A217" i="2"/>
  <c r="B217" i="2"/>
  <c r="C217" i="2"/>
  <c r="D217" i="2"/>
  <c r="E217" i="2"/>
  <c r="F217" i="2"/>
  <c r="G217" i="2"/>
  <c r="H217" i="2"/>
  <c r="I217" i="2"/>
  <c r="J217" i="2"/>
  <c r="K218" i="5"/>
  <c r="A217" i="5"/>
  <c r="B217" i="5"/>
  <c r="C217" i="5"/>
  <c r="D217" i="5"/>
  <c r="E217" i="5"/>
  <c r="F217" i="5"/>
  <c r="G217" i="5"/>
  <c r="H217" i="5"/>
  <c r="I217" i="5"/>
  <c r="J217" i="5"/>
  <c r="K218" i="4"/>
  <c r="A217" i="4"/>
  <c r="B217" i="4"/>
  <c r="C217" i="4"/>
  <c r="D217" i="4"/>
  <c r="E217" i="4"/>
  <c r="F217" i="4"/>
  <c r="G217" i="4"/>
  <c r="H217" i="4"/>
  <c r="I217" i="4"/>
  <c r="J217" i="4"/>
  <c r="K218" i="3"/>
  <c r="A217" i="3"/>
  <c r="B217" i="3"/>
  <c r="C217" i="3"/>
  <c r="D217" i="3"/>
  <c r="E217" i="3"/>
  <c r="F217" i="3"/>
  <c r="G217" i="3"/>
  <c r="H217" i="3"/>
  <c r="I217" i="3"/>
  <c r="J217" i="3"/>
  <c r="K219" i="2" l="1"/>
  <c r="A218" i="2"/>
  <c r="B218" i="2"/>
  <c r="C218" i="2"/>
  <c r="D218" i="2"/>
  <c r="E218" i="2"/>
  <c r="F218" i="2"/>
  <c r="G218" i="2"/>
  <c r="H218" i="2"/>
  <c r="I218" i="2"/>
  <c r="J218" i="2"/>
  <c r="K219" i="5"/>
  <c r="A218" i="5"/>
  <c r="B218" i="5"/>
  <c r="C218" i="5"/>
  <c r="D218" i="5"/>
  <c r="E218" i="5"/>
  <c r="F218" i="5"/>
  <c r="G218" i="5"/>
  <c r="H218" i="5"/>
  <c r="I218" i="5"/>
  <c r="J218" i="5"/>
  <c r="K219" i="4"/>
  <c r="A218" i="4"/>
  <c r="B218" i="4"/>
  <c r="C218" i="4"/>
  <c r="D218" i="4"/>
  <c r="E218" i="4"/>
  <c r="F218" i="4"/>
  <c r="G218" i="4"/>
  <c r="H218" i="4"/>
  <c r="I218" i="4"/>
  <c r="J218" i="4"/>
  <c r="K219" i="3"/>
  <c r="A218" i="3"/>
  <c r="B218" i="3"/>
  <c r="C218" i="3"/>
  <c r="D218" i="3"/>
  <c r="E218" i="3"/>
  <c r="F218" i="3"/>
  <c r="G218" i="3"/>
  <c r="H218" i="3"/>
  <c r="I218" i="3"/>
  <c r="J218" i="3"/>
  <c r="K220" i="2" l="1"/>
  <c r="A219" i="2"/>
  <c r="B219" i="2"/>
  <c r="C219" i="2"/>
  <c r="D219" i="2"/>
  <c r="E219" i="2"/>
  <c r="F219" i="2"/>
  <c r="G219" i="2"/>
  <c r="H219" i="2"/>
  <c r="I219" i="2"/>
  <c r="J219" i="2"/>
  <c r="K220" i="5"/>
  <c r="A219" i="5"/>
  <c r="B219" i="5"/>
  <c r="C219" i="5"/>
  <c r="D219" i="5"/>
  <c r="E219" i="5"/>
  <c r="F219" i="5"/>
  <c r="G219" i="5"/>
  <c r="H219" i="5"/>
  <c r="I219" i="5"/>
  <c r="J219" i="5"/>
  <c r="K220" i="4"/>
  <c r="A219" i="4"/>
  <c r="B219" i="4"/>
  <c r="C219" i="4"/>
  <c r="D219" i="4"/>
  <c r="E219" i="4"/>
  <c r="F219" i="4"/>
  <c r="G219" i="4"/>
  <c r="H219" i="4"/>
  <c r="I219" i="4"/>
  <c r="J219" i="4"/>
  <c r="K220" i="3"/>
  <c r="A219" i="3"/>
  <c r="B219" i="3"/>
  <c r="C219" i="3"/>
  <c r="D219" i="3"/>
  <c r="E219" i="3"/>
  <c r="F219" i="3"/>
  <c r="G219" i="3"/>
  <c r="H219" i="3"/>
  <c r="I219" i="3"/>
  <c r="J219" i="3"/>
  <c r="K221" i="2" l="1"/>
  <c r="A220" i="2"/>
  <c r="B220" i="2"/>
  <c r="C220" i="2"/>
  <c r="D220" i="2"/>
  <c r="E220" i="2"/>
  <c r="F220" i="2"/>
  <c r="G220" i="2"/>
  <c r="H220" i="2"/>
  <c r="I220" i="2"/>
  <c r="J220" i="2"/>
  <c r="K221" i="5"/>
  <c r="A220" i="5"/>
  <c r="B220" i="5"/>
  <c r="C220" i="5"/>
  <c r="D220" i="5"/>
  <c r="E220" i="5"/>
  <c r="F220" i="5"/>
  <c r="G220" i="5"/>
  <c r="H220" i="5"/>
  <c r="I220" i="5"/>
  <c r="J220" i="5"/>
  <c r="K221" i="4"/>
  <c r="A220" i="4"/>
  <c r="B220" i="4"/>
  <c r="C220" i="4"/>
  <c r="D220" i="4"/>
  <c r="E220" i="4"/>
  <c r="F220" i="4"/>
  <c r="G220" i="4"/>
  <c r="H220" i="4"/>
  <c r="I220" i="4"/>
  <c r="J220" i="4"/>
  <c r="K221" i="3"/>
  <c r="A220" i="3"/>
  <c r="B220" i="3"/>
  <c r="C220" i="3"/>
  <c r="D220" i="3"/>
  <c r="E220" i="3"/>
  <c r="F220" i="3"/>
  <c r="G220" i="3"/>
  <c r="H220" i="3"/>
  <c r="I220" i="3"/>
  <c r="J220" i="3"/>
  <c r="K222" i="2" l="1"/>
  <c r="A221" i="2"/>
  <c r="B221" i="2"/>
  <c r="C221" i="2"/>
  <c r="D221" i="2"/>
  <c r="E221" i="2"/>
  <c r="F221" i="2"/>
  <c r="G221" i="2"/>
  <c r="H221" i="2"/>
  <c r="I221" i="2"/>
  <c r="J221" i="2"/>
  <c r="K222" i="5"/>
  <c r="A221" i="5"/>
  <c r="B221" i="5"/>
  <c r="C221" i="5"/>
  <c r="D221" i="5"/>
  <c r="E221" i="5"/>
  <c r="F221" i="5"/>
  <c r="G221" i="5"/>
  <c r="H221" i="5"/>
  <c r="I221" i="5"/>
  <c r="J221" i="5"/>
  <c r="K222" i="4"/>
  <c r="A221" i="4"/>
  <c r="B221" i="4"/>
  <c r="C221" i="4"/>
  <c r="D221" i="4"/>
  <c r="E221" i="4"/>
  <c r="F221" i="4"/>
  <c r="G221" i="4"/>
  <c r="H221" i="4"/>
  <c r="I221" i="4"/>
  <c r="J221" i="4"/>
  <c r="K222" i="3"/>
  <c r="A221" i="3"/>
  <c r="B221" i="3"/>
  <c r="C221" i="3"/>
  <c r="D221" i="3"/>
  <c r="E221" i="3"/>
  <c r="F221" i="3"/>
  <c r="G221" i="3"/>
  <c r="H221" i="3"/>
  <c r="I221" i="3"/>
  <c r="J221" i="3"/>
  <c r="K223" i="2" l="1"/>
  <c r="A222" i="2"/>
  <c r="B222" i="2"/>
  <c r="C222" i="2"/>
  <c r="D222" i="2"/>
  <c r="E222" i="2"/>
  <c r="F222" i="2"/>
  <c r="G222" i="2"/>
  <c r="H222" i="2"/>
  <c r="I222" i="2"/>
  <c r="J222" i="2"/>
  <c r="K223" i="5"/>
  <c r="A222" i="5"/>
  <c r="B222" i="5"/>
  <c r="C222" i="5"/>
  <c r="D222" i="5"/>
  <c r="E222" i="5"/>
  <c r="F222" i="5"/>
  <c r="G222" i="5"/>
  <c r="H222" i="5"/>
  <c r="I222" i="5"/>
  <c r="J222" i="5"/>
  <c r="K223" i="4"/>
  <c r="A222" i="4"/>
  <c r="B222" i="4"/>
  <c r="C222" i="4"/>
  <c r="D222" i="4"/>
  <c r="E222" i="4"/>
  <c r="F222" i="4"/>
  <c r="G222" i="4"/>
  <c r="H222" i="4"/>
  <c r="I222" i="4"/>
  <c r="J222" i="4"/>
  <c r="K223" i="3"/>
  <c r="A222" i="3"/>
  <c r="B222" i="3"/>
  <c r="C222" i="3"/>
  <c r="D222" i="3"/>
  <c r="E222" i="3"/>
  <c r="F222" i="3"/>
  <c r="G222" i="3"/>
  <c r="H222" i="3"/>
  <c r="I222" i="3"/>
  <c r="J222" i="3"/>
  <c r="K224" i="2" l="1"/>
  <c r="A223" i="2"/>
  <c r="B223" i="2"/>
  <c r="C223" i="2"/>
  <c r="D223" i="2"/>
  <c r="E223" i="2"/>
  <c r="F223" i="2"/>
  <c r="G223" i="2"/>
  <c r="H223" i="2"/>
  <c r="I223" i="2"/>
  <c r="J223" i="2"/>
  <c r="K224" i="5"/>
  <c r="A223" i="5"/>
  <c r="B223" i="5"/>
  <c r="C223" i="5"/>
  <c r="D223" i="5"/>
  <c r="E223" i="5"/>
  <c r="F223" i="5"/>
  <c r="G223" i="5"/>
  <c r="H223" i="5"/>
  <c r="I223" i="5"/>
  <c r="J223" i="5"/>
  <c r="K224" i="4"/>
  <c r="A223" i="4"/>
  <c r="B223" i="4"/>
  <c r="C223" i="4"/>
  <c r="D223" i="4"/>
  <c r="E223" i="4"/>
  <c r="F223" i="4"/>
  <c r="G223" i="4"/>
  <c r="H223" i="4"/>
  <c r="I223" i="4"/>
  <c r="J223" i="4"/>
  <c r="K224" i="3"/>
  <c r="A223" i="3"/>
  <c r="B223" i="3"/>
  <c r="C223" i="3"/>
  <c r="D223" i="3"/>
  <c r="E223" i="3"/>
  <c r="F223" i="3"/>
  <c r="G223" i="3"/>
  <c r="H223" i="3"/>
  <c r="I223" i="3"/>
  <c r="J223" i="3"/>
  <c r="K225" i="2" l="1"/>
  <c r="A224" i="2"/>
  <c r="B224" i="2"/>
  <c r="C224" i="2"/>
  <c r="D224" i="2"/>
  <c r="E224" i="2"/>
  <c r="F224" i="2"/>
  <c r="G224" i="2"/>
  <c r="H224" i="2"/>
  <c r="I224" i="2"/>
  <c r="J224" i="2"/>
  <c r="K225" i="5"/>
  <c r="A224" i="5"/>
  <c r="B224" i="5"/>
  <c r="C224" i="5"/>
  <c r="D224" i="5"/>
  <c r="E224" i="5"/>
  <c r="F224" i="5"/>
  <c r="G224" i="5"/>
  <c r="H224" i="5"/>
  <c r="I224" i="5"/>
  <c r="J224" i="5"/>
  <c r="K225" i="4"/>
  <c r="A224" i="4"/>
  <c r="B224" i="4"/>
  <c r="C224" i="4"/>
  <c r="D224" i="4"/>
  <c r="E224" i="4"/>
  <c r="F224" i="4"/>
  <c r="G224" i="4"/>
  <c r="H224" i="4"/>
  <c r="I224" i="4"/>
  <c r="J224" i="4"/>
  <c r="K225" i="3"/>
  <c r="A224" i="3"/>
  <c r="B224" i="3"/>
  <c r="C224" i="3"/>
  <c r="D224" i="3"/>
  <c r="E224" i="3"/>
  <c r="F224" i="3"/>
  <c r="G224" i="3"/>
  <c r="H224" i="3"/>
  <c r="I224" i="3"/>
  <c r="J224" i="3"/>
  <c r="K226" i="2" l="1"/>
  <c r="A225" i="2"/>
  <c r="B225" i="2"/>
  <c r="C225" i="2"/>
  <c r="D225" i="2"/>
  <c r="E225" i="2"/>
  <c r="F225" i="2"/>
  <c r="G225" i="2"/>
  <c r="H225" i="2"/>
  <c r="I225" i="2"/>
  <c r="J225" i="2"/>
  <c r="K226" i="5"/>
  <c r="A225" i="5"/>
  <c r="B225" i="5"/>
  <c r="C225" i="5"/>
  <c r="D225" i="5"/>
  <c r="E225" i="5"/>
  <c r="F225" i="5"/>
  <c r="G225" i="5"/>
  <c r="H225" i="5"/>
  <c r="I225" i="5"/>
  <c r="J225" i="5"/>
  <c r="K226" i="4"/>
  <c r="A225" i="4"/>
  <c r="B225" i="4"/>
  <c r="C225" i="4"/>
  <c r="D225" i="4"/>
  <c r="E225" i="4"/>
  <c r="F225" i="4"/>
  <c r="G225" i="4"/>
  <c r="H225" i="4"/>
  <c r="I225" i="4"/>
  <c r="J225" i="4"/>
  <c r="K226" i="3"/>
  <c r="A225" i="3"/>
  <c r="B225" i="3"/>
  <c r="C225" i="3"/>
  <c r="D225" i="3"/>
  <c r="E225" i="3"/>
  <c r="F225" i="3"/>
  <c r="G225" i="3"/>
  <c r="H225" i="3"/>
  <c r="I225" i="3"/>
  <c r="J225" i="3"/>
  <c r="K227" i="2" l="1"/>
  <c r="A226" i="2"/>
  <c r="B226" i="2"/>
  <c r="C226" i="2"/>
  <c r="D226" i="2"/>
  <c r="E226" i="2"/>
  <c r="F226" i="2"/>
  <c r="G226" i="2"/>
  <c r="H226" i="2"/>
  <c r="I226" i="2"/>
  <c r="J226" i="2"/>
  <c r="K227" i="5"/>
  <c r="A226" i="5"/>
  <c r="B226" i="5"/>
  <c r="C226" i="5"/>
  <c r="D226" i="5"/>
  <c r="E226" i="5"/>
  <c r="F226" i="5"/>
  <c r="G226" i="5"/>
  <c r="H226" i="5"/>
  <c r="I226" i="5"/>
  <c r="J226" i="5"/>
  <c r="K227" i="4"/>
  <c r="A226" i="4"/>
  <c r="B226" i="4"/>
  <c r="C226" i="4"/>
  <c r="D226" i="4"/>
  <c r="E226" i="4"/>
  <c r="F226" i="4"/>
  <c r="G226" i="4"/>
  <c r="H226" i="4"/>
  <c r="I226" i="4"/>
  <c r="J226" i="4"/>
  <c r="K227" i="3"/>
  <c r="A226" i="3"/>
  <c r="B226" i="3"/>
  <c r="C226" i="3"/>
  <c r="D226" i="3"/>
  <c r="E226" i="3"/>
  <c r="F226" i="3"/>
  <c r="G226" i="3"/>
  <c r="H226" i="3"/>
  <c r="I226" i="3"/>
  <c r="J226" i="3"/>
  <c r="K228" i="2" l="1"/>
  <c r="A227" i="2"/>
  <c r="B227" i="2"/>
  <c r="C227" i="2"/>
  <c r="D227" i="2"/>
  <c r="E227" i="2"/>
  <c r="F227" i="2"/>
  <c r="G227" i="2"/>
  <c r="H227" i="2"/>
  <c r="I227" i="2"/>
  <c r="J227" i="2"/>
  <c r="K228" i="5"/>
  <c r="A227" i="5"/>
  <c r="B227" i="5"/>
  <c r="C227" i="5"/>
  <c r="D227" i="5"/>
  <c r="E227" i="5"/>
  <c r="F227" i="5"/>
  <c r="G227" i="5"/>
  <c r="H227" i="5"/>
  <c r="I227" i="5"/>
  <c r="J227" i="5"/>
  <c r="K228" i="4"/>
  <c r="A227" i="4"/>
  <c r="B227" i="4"/>
  <c r="C227" i="4"/>
  <c r="D227" i="4"/>
  <c r="E227" i="4"/>
  <c r="F227" i="4"/>
  <c r="G227" i="4"/>
  <c r="H227" i="4"/>
  <c r="I227" i="4"/>
  <c r="J227" i="4"/>
  <c r="K228" i="3"/>
  <c r="A227" i="3"/>
  <c r="B227" i="3"/>
  <c r="C227" i="3"/>
  <c r="D227" i="3"/>
  <c r="E227" i="3"/>
  <c r="F227" i="3"/>
  <c r="G227" i="3"/>
  <c r="H227" i="3"/>
  <c r="I227" i="3"/>
  <c r="J227" i="3"/>
  <c r="K229" i="2" l="1"/>
  <c r="A228" i="2"/>
  <c r="B228" i="2"/>
  <c r="C228" i="2"/>
  <c r="D228" i="2"/>
  <c r="E228" i="2"/>
  <c r="F228" i="2"/>
  <c r="G228" i="2"/>
  <c r="H228" i="2"/>
  <c r="I228" i="2"/>
  <c r="J228" i="2"/>
  <c r="K229" i="5"/>
  <c r="A228" i="5"/>
  <c r="B228" i="5"/>
  <c r="C228" i="5"/>
  <c r="D228" i="5"/>
  <c r="E228" i="5"/>
  <c r="F228" i="5"/>
  <c r="G228" i="5"/>
  <c r="H228" i="5"/>
  <c r="I228" i="5"/>
  <c r="J228" i="5"/>
  <c r="K229" i="4"/>
  <c r="A228" i="4"/>
  <c r="B228" i="4"/>
  <c r="C228" i="4"/>
  <c r="D228" i="4"/>
  <c r="E228" i="4"/>
  <c r="F228" i="4"/>
  <c r="G228" i="4"/>
  <c r="H228" i="4"/>
  <c r="I228" i="4"/>
  <c r="J228" i="4"/>
  <c r="K229" i="3"/>
  <c r="A228" i="3"/>
  <c r="B228" i="3"/>
  <c r="C228" i="3"/>
  <c r="D228" i="3"/>
  <c r="E228" i="3"/>
  <c r="F228" i="3"/>
  <c r="G228" i="3"/>
  <c r="H228" i="3"/>
  <c r="I228" i="3"/>
  <c r="J228" i="3"/>
  <c r="K230" i="2" l="1"/>
  <c r="A229" i="2"/>
  <c r="B229" i="2"/>
  <c r="C229" i="2"/>
  <c r="D229" i="2"/>
  <c r="E229" i="2"/>
  <c r="F229" i="2"/>
  <c r="G229" i="2"/>
  <c r="H229" i="2"/>
  <c r="I229" i="2"/>
  <c r="J229" i="2"/>
  <c r="K230" i="5"/>
  <c r="A229" i="5"/>
  <c r="B229" i="5"/>
  <c r="C229" i="5"/>
  <c r="D229" i="5"/>
  <c r="E229" i="5"/>
  <c r="F229" i="5"/>
  <c r="G229" i="5"/>
  <c r="H229" i="5"/>
  <c r="I229" i="5"/>
  <c r="J229" i="5"/>
  <c r="K230" i="4"/>
  <c r="A229" i="4"/>
  <c r="B229" i="4"/>
  <c r="C229" i="4"/>
  <c r="D229" i="4"/>
  <c r="E229" i="4"/>
  <c r="F229" i="4"/>
  <c r="G229" i="4"/>
  <c r="H229" i="4"/>
  <c r="I229" i="4"/>
  <c r="J229" i="4"/>
  <c r="K230" i="3"/>
  <c r="A229" i="3"/>
  <c r="B229" i="3"/>
  <c r="C229" i="3"/>
  <c r="D229" i="3"/>
  <c r="E229" i="3"/>
  <c r="F229" i="3"/>
  <c r="G229" i="3"/>
  <c r="H229" i="3"/>
  <c r="I229" i="3"/>
  <c r="J229" i="3"/>
  <c r="K231" i="2" l="1"/>
  <c r="A230" i="2"/>
  <c r="B230" i="2"/>
  <c r="C230" i="2"/>
  <c r="D230" i="2"/>
  <c r="E230" i="2"/>
  <c r="F230" i="2"/>
  <c r="G230" i="2"/>
  <c r="H230" i="2"/>
  <c r="I230" i="2"/>
  <c r="J230" i="2"/>
  <c r="K231" i="5"/>
  <c r="A230" i="5"/>
  <c r="B230" i="5"/>
  <c r="C230" i="5"/>
  <c r="D230" i="5"/>
  <c r="E230" i="5"/>
  <c r="F230" i="5"/>
  <c r="G230" i="5"/>
  <c r="H230" i="5"/>
  <c r="I230" i="5"/>
  <c r="J230" i="5"/>
  <c r="K231" i="4"/>
  <c r="A230" i="4"/>
  <c r="B230" i="4"/>
  <c r="C230" i="4"/>
  <c r="D230" i="4"/>
  <c r="E230" i="4"/>
  <c r="F230" i="4"/>
  <c r="G230" i="4"/>
  <c r="H230" i="4"/>
  <c r="I230" i="4"/>
  <c r="J230" i="4"/>
  <c r="K231" i="3"/>
  <c r="A230" i="3"/>
  <c r="B230" i="3"/>
  <c r="C230" i="3"/>
  <c r="D230" i="3"/>
  <c r="E230" i="3"/>
  <c r="F230" i="3"/>
  <c r="G230" i="3"/>
  <c r="H230" i="3"/>
  <c r="I230" i="3"/>
  <c r="J230" i="3"/>
  <c r="K232" i="2" l="1"/>
  <c r="A231" i="2"/>
  <c r="B231" i="2"/>
  <c r="C231" i="2"/>
  <c r="D231" i="2"/>
  <c r="E231" i="2"/>
  <c r="F231" i="2"/>
  <c r="G231" i="2"/>
  <c r="H231" i="2"/>
  <c r="I231" i="2"/>
  <c r="J231" i="2"/>
  <c r="K232" i="5"/>
  <c r="A231" i="5"/>
  <c r="B231" i="5"/>
  <c r="C231" i="5"/>
  <c r="D231" i="5"/>
  <c r="E231" i="5"/>
  <c r="F231" i="5"/>
  <c r="G231" i="5"/>
  <c r="H231" i="5"/>
  <c r="I231" i="5"/>
  <c r="J231" i="5"/>
  <c r="K232" i="4"/>
  <c r="A231" i="4"/>
  <c r="B231" i="4"/>
  <c r="C231" i="4"/>
  <c r="D231" i="4"/>
  <c r="E231" i="4"/>
  <c r="F231" i="4"/>
  <c r="G231" i="4"/>
  <c r="H231" i="4"/>
  <c r="I231" i="4"/>
  <c r="J231" i="4"/>
  <c r="K232" i="3"/>
  <c r="A231" i="3"/>
  <c r="B231" i="3"/>
  <c r="C231" i="3"/>
  <c r="D231" i="3"/>
  <c r="E231" i="3"/>
  <c r="F231" i="3"/>
  <c r="G231" i="3"/>
  <c r="H231" i="3"/>
  <c r="I231" i="3"/>
  <c r="J231" i="3"/>
  <c r="K233" i="2" l="1"/>
  <c r="A232" i="2"/>
  <c r="B232" i="2"/>
  <c r="C232" i="2"/>
  <c r="D232" i="2"/>
  <c r="E232" i="2"/>
  <c r="F232" i="2"/>
  <c r="G232" i="2"/>
  <c r="H232" i="2"/>
  <c r="I232" i="2"/>
  <c r="J232" i="2"/>
  <c r="K233" i="5"/>
  <c r="A232" i="5"/>
  <c r="B232" i="5"/>
  <c r="C232" i="5"/>
  <c r="D232" i="5"/>
  <c r="E232" i="5"/>
  <c r="F232" i="5"/>
  <c r="G232" i="5"/>
  <c r="H232" i="5"/>
  <c r="I232" i="5"/>
  <c r="J232" i="5"/>
  <c r="K233" i="4"/>
  <c r="A232" i="4"/>
  <c r="B232" i="4"/>
  <c r="C232" i="4"/>
  <c r="D232" i="4"/>
  <c r="E232" i="4"/>
  <c r="F232" i="4"/>
  <c r="G232" i="4"/>
  <c r="H232" i="4"/>
  <c r="I232" i="4"/>
  <c r="J232" i="4"/>
  <c r="K233" i="3"/>
  <c r="A232" i="3"/>
  <c r="B232" i="3"/>
  <c r="C232" i="3"/>
  <c r="D232" i="3"/>
  <c r="E232" i="3"/>
  <c r="F232" i="3"/>
  <c r="G232" i="3"/>
  <c r="H232" i="3"/>
  <c r="I232" i="3"/>
  <c r="J232" i="3"/>
  <c r="K234" i="2" l="1"/>
  <c r="A233" i="2"/>
  <c r="B233" i="2"/>
  <c r="C233" i="2"/>
  <c r="D233" i="2"/>
  <c r="E233" i="2"/>
  <c r="F233" i="2"/>
  <c r="G233" i="2"/>
  <c r="H233" i="2"/>
  <c r="I233" i="2"/>
  <c r="J233" i="2"/>
  <c r="K234" i="5"/>
  <c r="A233" i="5"/>
  <c r="B233" i="5"/>
  <c r="C233" i="5"/>
  <c r="D233" i="5"/>
  <c r="E233" i="5"/>
  <c r="F233" i="5"/>
  <c r="G233" i="5"/>
  <c r="H233" i="5"/>
  <c r="I233" i="5"/>
  <c r="J233" i="5"/>
  <c r="K234" i="4"/>
  <c r="A233" i="4"/>
  <c r="B233" i="4"/>
  <c r="C233" i="4"/>
  <c r="D233" i="4"/>
  <c r="E233" i="4"/>
  <c r="F233" i="4"/>
  <c r="G233" i="4"/>
  <c r="H233" i="4"/>
  <c r="I233" i="4"/>
  <c r="J233" i="4"/>
  <c r="K234" i="3"/>
  <c r="A233" i="3"/>
  <c r="B233" i="3"/>
  <c r="C233" i="3"/>
  <c r="D233" i="3"/>
  <c r="E233" i="3"/>
  <c r="F233" i="3"/>
  <c r="G233" i="3"/>
  <c r="H233" i="3"/>
  <c r="I233" i="3"/>
  <c r="J233" i="3"/>
  <c r="K235" i="2" l="1"/>
  <c r="A234" i="2"/>
  <c r="B234" i="2"/>
  <c r="C234" i="2"/>
  <c r="D234" i="2"/>
  <c r="E234" i="2"/>
  <c r="F234" i="2"/>
  <c r="G234" i="2"/>
  <c r="H234" i="2"/>
  <c r="I234" i="2"/>
  <c r="J234" i="2"/>
  <c r="K235" i="5"/>
  <c r="A234" i="5"/>
  <c r="B234" i="5"/>
  <c r="C234" i="5"/>
  <c r="D234" i="5"/>
  <c r="E234" i="5"/>
  <c r="F234" i="5"/>
  <c r="G234" i="5"/>
  <c r="H234" i="5"/>
  <c r="I234" i="5"/>
  <c r="J234" i="5"/>
  <c r="K235" i="4"/>
  <c r="A234" i="4"/>
  <c r="B234" i="4"/>
  <c r="C234" i="4"/>
  <c r="D234" i="4"/>
  <c r="E234" i="4"/>
  <c r="F234" i="4"/>
  <c r="G234" i="4"/>
  <c r="H234" i="4"/>
  <c r="I234" i="4"/>
  <c r="J234" i="4"/>
  <c r="K235" i="3"/>
  <c r="A234" i="3"/>
  <c r="B234" i="3"/>
  <c r="C234" i="3"/>
  <c r="D234" i="3"/>
  <c r="E234" i="3"/>
  <c r="F234" i="3"/>
  <c r="G234" i="3"/>
  <c r="H234" i="3"/>
  <c r="I234" i="3"/>
  <c r="J234" i="3"/>
  <c r="K236" i="2" l="1"/>
  <c r="A235" i="2"/>
  <c r="B235" i="2"/>
  <c r="C235" i="2"/>
  <c r="D235" i="2"/>
  <c r="E235" i="2"/>
  <c r="F235" i="2"/>
  <c r="G235" i="2"/>
  <c r="H235" i="2"/>
  <c r="I235" i="2"/>
  <c r="J235" i="2"/>
  <c r="K236" i="5"/>
  <c r="A235" i="5"/>
  <c r="B235" i="5"/>
  <c r="C235" i="5"/>
  <c r="D235" i="5"/>
  <c r="E235" i="5"/>
  <c r="F235" i="5"/>
  <c r="G235" i="5"/>
  <c r="H235" i="5"/>
  <c r="I235" i="5"/>
  <c r="J235" i="5"/>
  <c r="K236" i="4"/>
  <c r="A235" i="4"/>
  <c r="B235" i="4"/>
  <c r="C235" i="4"/>
  <c r="D235" i="4"/>
  <c r="E235" i="4"/>
  <c r="F235" i="4"/>
  <c r="G235" i="4"/>
  <c r="H235" i="4"/>
  <c r="I235" i="4"/>
  <c r="J235" i="4"/>
  <c r="K236" i="3"/>
  <c r="A235" i="3"/>
  <c r="B235" i="3"/>
  <c r="C235" i="3"/>
  <c r="D235" i="3"/>
  <c r="E235" i="3"/>
  <c r="F235" i="3"/>
  <c r="G235" i="3"/>
  <c r="H235" i="3"/>
  <c r="I235" i="3"/>
  <c r="J235" i="3"/>
  <c r="K237" i="2" l="1"/>
  <c r="A236" i="2"/>
  <c r="B236" i="2"/>
  <c r="C236" i="2"/>
  <c r="D236" i="2"/>
  <c r="E236" i="2"/>
  <c r="F236" i="2"/>
  <c r="G236" i="2"/>
  <c r="H236" i="2"/>
  <c r="I236" i="2"/>
  <c r="J236" i="2"/>
  <c r="K237" i="5"/>
  <c r="A236" i="5"/>
  <c r="B236" i="5"/>
  <c r="C236" i="5"/>
  <c r="D236" i="5"/>
  <c r="E236" i="5"/>
  <c r="F236" i="5"/>
  <c r="G236" i="5"/>
  <c r="H236" i="5"/>
  <c r="I236" i="5"/>
  <c r="J236" i="5"/>
  <c r="K237" i="4"/>
  <c r="A236" i="4"/>
  <c r="B236" i="4"/>
  <c r="C236" i="4"/>
  <c r="D236" i="4"/>
  <c r="E236" i="4"/>
  <c r="F236" i="4"/>
  <c r="G236" i="4"/>
  <c r="H236" i="4"/>
  <c r="I236" i="4"/>
  <c r="J236" i="4"/>
  <c r="K237" i="3"/>
  <c r="A236" i="3"/>
  <c r="B236" i="3"/>
  <c r="C236" i="3"/>
  <c r="D236" i="3"/>
  <c r="E236" i="3"/>
  <c r="F236" i="3"/>
  <c r="G236" i="3"/>
  <c r="H236" i="3"/>
  <c r="I236" i="3"/>
  <c r="J236" i="3"/>
  <c r="K238" i="2" l="1"/>
  <c r="A237" i="2"/>
  <c r="B237" i="2"/>
  <c r="C237" i="2"/>
  <c r="D237" i="2"/>
  <c r="E237" i="2"/>
  <c r="F237" i="2"/>
  <c r="G237" i="2"/>
  <c r="H237" i="2"/>
  <c r="I237" i="2"/>
  <c r="J237" i="2"/>
  <c r="K238" i="5"/>
  <c r="A237" i="5"/>
  <c r="B237" i="5"/>
  <c r="C237" i="5"/>
  <c r="D237" i="5"/>
  <c r="E237" i="5"/>
  <c r="F237" i="5"/>
  <c r="G237" i="5"/>
  <c r="H237" i="5"/>
  <c r="I237" i="5"/>
  <c r="J237" i="5"/>
  <c r="K238" i="4"/>
  <c r="A237" i="4"/>
  <c r="B237" i="4"/>
  <c r="C237" i="4"/>
  <c r="D237" i="4"/>
  <c r="E237" i="4"/>
  <c r="F237" i="4"/>
  <c r="G237" i="4"/>
  <c r="H237" i="4"/>
  <c r="I237" i="4"/>
  <c r="J237" i="4"/>
  <c r="K238" i="3"/>
  <c r="A237" i="3"/>
  <c r="B237" i="3"/>
  <c r="C237" i="3"/>
  <c r="D237" i="3"/>
  <c r="E237" i="3"/>
  <c r="F237" i="3"/>
  <c r="G237" i="3"/>
  <c r="H237" i="3"/>
  <c r="I237" i="3"/>
  <c r="J237" i="3"/>
  <c r="K239" i="2" l="1"/>
  <c r="A238" i="2"/>
  <c r="B238" i="2"/>
  <c r="C238" i="2"/>
  <c r="D238" i="2"/>
  <c r="E238" i="2"/>
  <c r="F238" i="2"/>
  <c r="G238" i="2"/>
  <c r="H238" i="2"/>
  <c r="I238" i="2"/>
  <c r="J238" i="2"/>
  <c r="K239" i="5"/>
  <c r="A238" i="5"/>
  <c r="B238" i="5"/>
  <c r="C238" i="5"/>
  <c r="D238" i="5"/>
  <c r="E238" i="5"/>
  <c r="F238" i="5"/>
  <c r="G238" i="5"/>
  <c r="H238" i="5"/>
  <c r="I238" i="5"/>
  <c r="J238" i="5"/>
  <c r="K239" i="4"/>
  <c r="A238" i="4"/>
  <c r="B238" i="4"/>
  <c r="C238" i="4"/>
  <c r="D238" i="4"/>
  <c r="E238" i="4"/>
  <c r="F238" i="4"/>
  <c r="G238" i="4"/>
  <c r="H238" i="4"/>
  <c r="I238" i="4"/>
  <c r="J238" i="4"/>
  <c r="K239" i="3"/>
  <c r="A238" i="3"/>
  <c r="B238" i="3"/>
  <c r="C238" i="3"/>
  <c r="D238" i="3"/>
  <c r="E238" i="3"/>
  <c r="F238" i="3"/>
  <c r="G238" i="3"/>
  <c r="H238" i="3"/>
  <c r="I238" i="3"/>
  <c r="J238" i="3"/>
  <c r="K240" i="2" l="1"/>
  <c r="A239" i="2"/>
  <c r="B239" i="2"/>
  <c r="C239" i="2"/>
  <c r="D239" i="2"/>
  <c r="E239" i="2"/>
  <c r="F239" i="2"/>
  <c r="G239" i="2"/>
  <c r="H239" i="2"/>
  <c r="I239" i="2"/>
  <c r="J239" i="2"/>
  <c r="K240" i="5"/>
  <c r="A239" i="5"/>
  <c r="B239" i="5"/>
  <c r="C239" i="5"/>
  <c r="D239" i="5"/>
  <c r="E239" i="5"/>
  <c r="F239" i="5"/>
  <c r="G239" i="5"/>
  <c r="H239" i="5"/>
  <c r="I239" i="5"/>
  <c r="J239" i="5"/>
  <c r="K240" i="4"/>
  <c r="A239" i="4"/>
  <c r="B239" i="4"/>
  <c r="C239" i="4"/>
  <c r="D239" i="4"/>
  <c r="E239" i="4"/>
  <c r="F239" i="4"/>
  <c r="G239" i="4"/>
  <c r="H239" i="4"/>
  <c r="I239" i="4"/>
  <c r="J239" i="4"/>
  <c r="K240" i="3"/>
  <c r="A239" i="3"/>
  <c r="B239" i="3"/>
  <c r="C239" i="3"/>
  <c r="D239" i="3"/>
  <c r="E239" i="3"/>
  <c r="F239" i="3"/>
  <c r="G239" i="3"/>
  <c r="H239" i="3"/>
  <c r="I239" i="3"/>
  <c r="J239" i="3"/>
  <c r="K241" i="2" l="1"/>
  <c r="A240" i="2"/>
  <c r="B240" i="2"/>
  <c r="C240" i="2"/>
  <c r="D240" i="2"/>
  <c r="E240" i="2"/>
  <c r="F240" i="2"/>
  <c r="G240" i="2"/>
  <c r="H240" i="2"/>
  <c r="I240" i="2"/>
  <c r="J240" i="2"/>
  <c r="K241" i="5"/>
  <c r="A240" i="5"/>
  <c r="B240" i="5"/>
  <c r="C240" i="5"/>
  <c r="D240" i="5"/>
  <c r="E240" i="5"/>
  <c r="F240" i="5"/>
  <c r="G240" i="5"/>
  <c r="H240" i="5"/>
  <c r="I240" i="5"/>
  <c r="J240" i="5"/>
  <c r="K241" i="4"/>
  <c r="A240" i="4"/>
  <c r="B240" i="4"/>
  <c r="C240" i="4"/>
  <c r="D240" i="4"/>
  <c r="E240" i="4"/>
  <c r="F240" i="4"/>
  <c r="G240" i="4"/>
  <c r="H240" i="4"/>
  <c r="I240" i="4"/>
  <c r="J240" i="4"/>
  <c r="K241" i="3"/>
  <c r="A240" i="3"/>
  <c r="B240" i="3"/>
  <c r="C240" i="3"/>
  <c r="D240" i="3"/>
  <c r="E240" i="3"/>
  <c r="F240" i="3"/>
  <c r="G240" i="3"/>
  <c r="H240" i="3"/>
  <c r="I240" i="3"/>
  <c r="J240" i="3"/>
  <c r="K242" i="2" l="1"/>
  <c r="A241" i="2"/>
  <c r="B241" i="2"/>
  <c r="C241" i="2"/>
  <c r="D241" i="2"/>
  <c r="E241" i="2"/>
  <c r="F241" i="2"/>
  <c r="G241" i="2"/>
  <c r="H241" i="2"/>
  <c r="I241" i="2"/>
  <c r="J241" i="2"/>
  <c r="K242" i="5"/>
  <c r="A241" i="5"/>
  <c r="B241" i="5"/>
  <c r="C241" i="5"/>
  <c r="D241" i="5"/>
  <c r="E241" i="5"/>
  <c r="F241" i="5"/>
  <c r="G241" i="5"/>
  <c r="H241" i="5"/>
  <c r="I241" i="5"/>
  <c r="J241" i="5"/>
  <c r="K242" i="4"/>
  <c r="A241" i="4"/>
  <c r="B241" i="4"/>
  <c r="C241" i="4"/>
  <c r="D241" i="4"/>
  <c r="E241" i="4"/>
  <c r="F241" i="4"/>
  <c r="G241" i="4"/>
  <c r="H241" i="4"/>
  <c r="I241" i="4"/>
  <c r="J241" i="4"/>
  <c r="K242" i="3"/>
  <c r="A241" i="3"/>
  <c r="B241" i="3"/>
  <c r="C241" i="3"/>
  <c r="D241" i="3"/>
  <c r="E241" i="3"/>
  <c r="F241" i="3"/>
  <c r="G241" i="3"/>
  <c r="H241" i="3"/>
  <c r="I241" i="3"/>
  <c r="J241" i="3"/>
  <c r="K243" i="2" l="1"/>
  <c r="A242" i="2"/>
  <c r="B242" i="2"/>
  <c r="C242" i="2"/>
  <c r="D242" i="2"/>
  <c r="E242" i="2"/>
  <c r="F242" i="2"/>
  <c r="G242" i="2"/>
  <c r="H242" i="2"/>
  <c r="I242" i="2"/>
  <c r="J242" i="2"/>
  <c r="K243" i="5"/>
  <c r="A242" i="5"/>
  <c r="B242" i="5"/>
  <c r="C242" i="5"/>
  <c r="D242" i="5"/>
  <c r="E242" i="5"/>
  <c r="F242" i="5"/>
  <c r="G242" i="5"/>
  <c r="H242" i="5"/>
  <c r="I242" i="5"/>
  <c r="J242" i="5"/>
  <c r="K243" i="4"/>
  <c r="A242" i="4"/>
  <c r="B242" i="4"/>
  <c r="C242" i="4"/>
  <c r="D242" i="4"/>
  <c r="E242" i="4"/>
  <c r="F242" i="4"/>
  <c r="G242" i="4"/>
  <c r="H242" i="4"/>
  <c r="I242" i="4"/>
  <c r="J242" i="4"/>
  <c r="K243" i="3"/>
  <c r="A242" i="3"/>
  <c r="B242" i="3"/>
  <c r="C242" i="3"/>
  <c r="D242" i="3"/>
  <c r="E242" i="3"/>
  <c r="F242" i="3"/>
  <c r="G242" i="3"/>
  <c r="H242" i="3"/>
  <c r="I242" i="3"/>
  <c r="J242" i="3"/>
  <c r="K244" i="2" l="1"/>
  <c r="A243" i="2"/>
  <c r="B243" i="2"/>
  <c r="C243" i="2"/>
  <c r="D243" i="2"/>
  <c r="E243" i="2"/>
  <c r="F243" i="2"/>
  <c r="G243" i="2"/>
  <c r="H243" i="2"/>
  <c r="I243" i="2"/>
  <c r="J243" i="2"/>
  <c r="K244" i="5"/>
  <c r="A243" i="5"/>
  <c r="B243" i="5"/>
  <c r="C243" i="5"/>
  <c r="D243" i="5"/>
  <c r="E243" i="5"/>
  <c r="F243" i="5"/>
  <c r="G243" i="5"/>
  <c r="H243" i="5"/>
  <c r="I243" i="5"/>
  <c r="J243" i="5"/>
  <c r="K244" i="4"/>
  <c r="A243" i="4"/>
  <c r="B243" i="4"/>
  <c r="C243" i="4"/>
  <c r="D243" i="4"/>
  <c r="E243" i="4"/>
  <c r="F243" i="4"/>
  <c r="G243" i="4"/>
  <c r="H243" i="4"/>
  <c r="I243" i="4"/>
  <c r="J243" i="4"/>
  <c r="K244" i="3"/>
  <c r="A243" i="3"/>
  <c r="B243" i="3"/>
  <c r="C243" i="3"/>
  <c r="D243" i="3"/>
  <c r="E243" i="3"/>
  <c r="F243" i="3"/>
  <c r="G243" i="3"/>
  <c r="H243" i="3"/>
  <c r="I243" i="3"/>
  <c r="J243" i="3"/>
  <c r="K245" i="2" l="1"/>
  <c r="A244" i="2"/>
  <c r="B244" i="2"/>
  <c r="C244" i="2"/>
  <c r="D244" i="2"/>
  <c r="E244" i="2"/>
  <c r="F244" i="2"/>
  <c r="G244" i="2"/>
  <c r="H244" i="2"/>
  <c r="I244" i="2"/>
  <c r="J244" i="2"/>
  <c r="K245" i="5"/>
  <c r="A244" i="5"/>
  <c r="B244" i="5"/>
  <c r="C244" i="5"/>
  <c r="D244" i="5"/>
  <c r="E244" i="5"/>
  <c r="F244" i="5"/>
  <c r="G244" i="5"/>
  <c r="H244" i="5"/>
  <c r="I244" i="5"/>
  <c r="J244" i="5"/>
  <c r="K245" i="4"/>
  <c r="A244" i="4"/>
  <c r="B244" i="4"/>
  <c r="C244" i="4"/>
  <c r="D244" i="4"/>
  <c r="E244" i="4"/>
  <c r="F244" i="4"/>
  <c r="G244" i="4"/>
  <c r="H244" i="4"/>
  <c r="I244" i="4"/>
  <c r="J244" i="4"/>
  <c r="K245" i="3"/>
  <c r="A244" i="3"/>
  <c r="B244" i="3"/>
  <c r="C244" i="3"/>
  <c r="D244" i="3"/>
  <c r="E244" i="3"/>
  <c r="F244" i="3"/>
  <c r="G244" i="3"/>
  <c r="H244" i="3"/>
  <c r="I244" i="3"/>
  <c r="J244" i="3"/>
  <c r="K246" i="2" l="1"/>
  <c r="A245" i="2"/>
  <c r="B245" i="2"/>
  <c r="C245" i="2"/>
  <c r="D245" i="2"/>
  <c r="E245" i="2"/>
  <c r="F245" i="2"/>
  <c r="G245" i="2"/>
  <c r="H245" i="2"/>
  <c r="I245" i="2"/>
  <c r="J245" i="2"/>
  <c r="K246" i="5"/>
  <c r="A245" i="5"/>
  <c r="B245" i="5"/>
  <c r="C245" i="5"/>
  <c r="D245" i="5"/>
  <c r="E245" i="5"/>
  <c r="F245" i="5"/>
  <c r="G245" i="5"/>
  <c r="H245" i="5"/>
  <c r="I245" i="5"/>
  <c r="J245" i="5"/>
  <c r="K246" i="4"/>
  <c r="A245" i="4"/>
  <c r="B245" i="4"/>
  <c r="C245" i="4"/>
  <c r="D245" i="4"/>
  <c r="E245" i="4"/>
  <c r="F245" i="4"/>
  <c r="G245" i="4"/>
  <c r="H245" i="4"/>
  <c r="I245" i="4"/>
  <c r="J245" i="4"/>
  <c r="K246" i="3"/>
  <c r="A245" i="3"/>
  <c r="B245" i="3"/>
  <c r="C245" i="3"/>
  <c r="D245" i="3"/>
  <c r="E245" i="3"/>
  <c r="F245" i="3"/>
  <c r="G245" i="3"/>
  <c r="H245" i="3"/>
  <c r="I245" i="3"/>
  <c r="J245" i="3"/>
  <c r="K247" i="2" l="1"/>
  <c r="A246" i="2"/>
  <c r="B246" i="2"/>
  <c r="C246" i="2"/>
  <c r="D246" i="2"/>
  <c r="E246" i="2"/>
  <c r="F246" i="2"/>
  <c r="G246" i="2"/>
  <c r="H246" i="2"/>
  <c r="I246" i="2"/>
  <c r="J246" i="2"/>
  <c r="K247" i="5"/>
  <c r="A246" i="5"/>
  <c r="B246" i="5"/>
  <c r="C246" i="5"/>
  <c r="D246" i="5"/>
  <c r="E246" i="5"/>
  <c r="F246" i="5"/>
  <c r="G246" i="5"/>
  <c r="H246" i="5"/>
  <c r="I246" i="5"/>
  <c r="J246" i="5"/>
  <c r="K247" i="4"/>
  <c r="A246" i="4"/>
  <c r="B246" i="4"/>
  <c r="C246" i="4"/>
  <c r="D246" i="4"/>
  <c r="E246" i="4"/>
  <c r="F246" i="4"/>
  <c r="G246" i="4"/>
  <c r="H246" i="4"/>
  <c r="I246" i="4"/>
  <c r="J246" i="4"/>
  <c r="K247" i="3"/>
  <c r="A246" i="3"/>
  <c r="B246" i="3"/>
  <c r="C246" i="3"/>
  <c r="D246" i="3"/>
  <c r="E246" i="3"/>
  <c r="F246" i="3"/>
  <c r="G246" i="3"/>
  <c r="H246" i="3"/>
  <c r="I246" i="3"/>
  <c r="J246" i="3"/>
  <c r="K248" i="2" l="1"/>
  <c r="A247" i="2"/>
  <c r="B247" i="2"/>
  <c r="C247" i="2"/>
  <c r="D247" i="2"/>
  <c r="E247" i="2"/>
  <c r="F247" i="2"/>
  <c r="G247" i="2"/>
  <c r="H247" i="2"/>
  <c r="I247" i="2"/>
  <c r="J247" i="2"/>
  <c r="K248" i="5"/>
  <c r="A247" i="5"/>
  <c r="B247" i="5"/>
  <c r="C247" i="5"/>
  <c r="D247" i="5"/>
  <c r="E247" i="5"/>
  <c r="F247" i="5"/>
  <c r="G247" i="5"/>
  <c r="H247" i="5"/>
  <c r="I247" i="5"/>
  <c r="J247" i="5"/>
  <c r="K248" i="4"/>
  <c r="A247" i="4"/>
  <c r="B247" i="4"/>
  <c r="C247" i="4"/>
  <c r="D247" i="4"/>
  <c r="E247" i="4"/>
  <c r="F247" i="4"/>
  <c r="G247" i="4"/>
  <c r="H247" i="4"/>
  <c r="I247" i="4"/>
  <c r="J247" i="4"/>
  <c r="K248" i="3"/>
  <c r="A247" i="3"/>
  <c r="B247" i="3"/>
  <c r="C247" i="3"/>
  <c r="D247" i="3"/>
  <c r="E247" i="3"/>
  <c r="F247" i="3"/>
  <c r="G247" i="3"/>
  <c r="H247" i="3"/>
  <c r="I247" i="3"/>
  <c r="J247" i="3"/>
  <c r="K249" i="2" l="1"/>
  <c r="A248" i="2"/>
  <c r="B248" i="2"/>
  <c r="C248" i="2"/>
  <c r="D248" i="2"/>
  <c r="E248" i="2"/>
  <c r="F248" i="2"/>
  <c r="G248" i="2"/>
  <c r="H248" i="2"/>
  <c r="I248" i="2"/>
  <c r="J248" i="2"/>
  <c r="K249" i="5"/>
  <c r="A248" i="5"/>
  <c r="B248" i="5"/>
  <c r="C248" i="5"/>
  <c r="D248" i="5"/>
  <c r="E248" i="5"/>
  <c r="F248" i="5"/>
  <c r="G248" i="5"/>
  <c r="H248" i="5"/>
  <c r="I248" i="5"/>
  <c r="J248" i="5"/>
  <c r="K249" i="4"/>
  <c r="A248" i="4"/>
  <c r="B248" i="4"/>
  <c r="C248" i="4"/>
  <c r="D248" i="4"/>
  <c r="E248" i="4"/>
  <c r="F248" i="4"/>
  <c r="G248" i="4"/>
  <c r="H248" i="4"/>
  <c r="I248" i="4"/>
  <c r="J248" i="4"/>
  <c r="K249" i="3"/>
  <c r="A248" i="3"/>
  <c r="B248" i="3"/>
  <c r="C248" i="3"/>
  <c r="D248" i="3"/>
  <c r="E248" i="3"/>
  <c r="F248" i="3"/>
  <c r="G248" i="3"/>
  <c r="H248" i="3"/>
  <c r="I248" i="3"/>
  <c r="J248" i="3"/>
  <c r="K250" i="2" l="1"/>
  <c r="A249" i="2"/>
  <c r="B249" i="2"/>
  <c r="C249" i="2"/>
  <c r="D249" i="2"/>
  <c r="E249" i="2"/>
  <c r="F249" i="2"/>
  <c r="G249" i="2"/>
  <c r="H249" i="2"/>
  <c r="I249" i="2"/>
  <c r="J249" i="2"/>
  <c r="K250" i="5"/>
  <c r="A249" i="5"/>
  <c r="B249" i="5"/>
  <c r="C249" i="5"/>
  <c r="D249" i="5"/>
  <c r="E249" i="5"/>
  <c r="F249" i="5"/>
  <c r="G249" i="5"/>
  <c r="H249" i="5"/>
  <c r="I249" i="5"/>
  <c r="J249" i="5"/>
  <c r="K250" i="4"/>
  <c r="A249" i="4"/>
  <c r="B249" i="4"/>
  <c r="C249" i="4"/>
  <c r="D249" i="4"/>
  <c r="E249" i="4"/>
  <c r="F249" i="4"/>
  <c r="G249" i="4"/>
  <c r="H249" i="4"/>
  <c r="I249" i="4"/>
  <c r="J249" i="4"/>
  <c r="K250" i="3"/>
  <c r="A249" i="3"/>
  <c r="B249" i="3"/>
  <c r="C249" i="3"/>
  <c r="D249" i="3"/>
  <c r="E249" i="3"/>
  <c r="F249" i="3"/>
  <c r="G249" i="3"/>
  <c r="H249" i="3"/>
  <c r="I249" i="3"/>
  <c r="J249" i="3"/>
  <c r="A250" i="2" l="1"/>
  <c r="B250" i="2"/>
  <c r="C250" i="2"/>
  <c r="D250" i="2"/>
  <c r="E250" i="2"/>
  <c r="F250" i="2"/>
  <c r="G250" i="2"/>
  <c r="H250" i="2"/>
  <c r="I250" i="2"/>
  <c r="J250" i="2"/>
  <c r="A250" i="5"/>
  <c r="B250" i="5"/>
  <c r="C250" i="5"/>
  <c r="D250" i="5"/>
  <c r="E250" i="5"/>
  <c r="F250" i="5"/>
  <c r="G250" i="5"/>
  <c r="H250" i="5"/>
  <c r="I250" i="5"/>
  <c r="J250" i="5"/>
  <c r="A250" i="4"/>
  <c r="B250" i="4"/>
  <c r="C250" i="4"/>
  <c r="D250" i="4"/>
  <c r="E250" i="4"/>
  <c r="F250" i="4"/>
  <c r="G250" i="4"/>
  <c r="H250" i="4"/>
  <c r="I250" i="4"/>
  <c r="J250" i="4"/>
  <c r="A250" i="3"/>
  <c r="B250" i="3"/>
  <c r="C250" i="3"/>
  <c r="D250" i="3"/>
  <c r="E250" i="3"/>
  <c r="F250" i="3"/>
  <c r="G250" i="3"/>
  <c r="H250" i="3"/>
  <c r="I250" i="3"/>
  <c r="J250" i="3"/>
</calcChain>
</file>

<file path=xl/sharedStrings.xml><?xml version="1.0" encoding="utf-8"?>
<sst xmlns="http://schemas.openxmlformats.org/spreadsheetml/2006/main" count="3811" uniqueCount="1023">
  <si>
    <t>STOPERLER</t>
  </si>
  <si>
    <t>Adı Soyadı</t>
  </si>
  <si>
    <t>Uyruk</t>
  </si>
  <si>
    <t>Doğum Tarihi</t>
  </si>
  <si>
    <t>Yaş</t>
  </si>
  <si>
    <t>Mevki</t>
  </si>
  <si>
    <t>Profil</t>
  </si>
  <si>
    <t>Kulübü</t>
  </si>
  <si>
    <t>Sözleşme Bitiş Tarihi</t>
  </si>
  <si>
    <t>Durum</t>
  </si>
  <si>
    <t>Oyuncu Raporu</t>
  </si>
  <si>
    <t>Oyuncu Profili</t>
  </si>
  <si>
    <t>Teknik</t>
  </si>
  <si>
    <t>Fiziksel</t>
  </si>
  <si>
    <t>Taktik</t>
  </si>
  <si>
    <t>Mental</t>
  </si>
  <si>
    <t>Potansiyel</t>
  </si>
  <si>
    <t>Lig Uyumu</t>
  </si>
  <si>
    <t>Maliyet/Fayda</t>
  </si>
  <si>
    <t>Scout Skoru</t>
  </si>
  <si>
    <t>Karar</t>
  </si>
  <si>
    <t>Son İzlenme</t>
  </si>
  <si>
    <t>FEDERICO GOTTONI</t>
  </si>
  <si>
    <t>ARJANTİN</t>
  </si>
  <si>
    <t>Stoper</t>
  </si>
  <si>
    <t>ASCOLI</t>
  </si>
  <si>
    <t>Sarı</t>
  </si>
  <si>
    <t>B Liste</t>
  </si>
  <si>
    <t>TUNGAY NIANZOU</t>
  </si>
  <si>
    <t>FRANSA</t>
  </si>
  <si>
    <t>LILLE</t>
  </si>
  <si>
    <t>Yeşil</t>
  </si>
  <si>
    <t>A Liste</t>
  </si>
  <si>
    <t>MARCAO</t>
  </si>
  <si>
    <t>BREZİLYA</t>
  </si>
  <si>
    <t>SEVILLA</t>
  </si>
  <si>
    <t>Kırmızı</t>
  </si>
  <si>
    <t xml:space="preserve">Sakatlık geçmişi ve son dönem maç sayıları istikrarsız. </t>
  </si>
  <si>
    <t>Ele</t>
  </si>
  <si>
    <t>ZE IVALDO</t>
  </si>
  <si>
    <t>REMO</t>
  </si>
  <si>
    <t>Tekrar İzle</t>
  </si>
  <si>
    <t>LEONARDO PİNHEİRO DA CONCEİÇAO</t>
  </si>
  <si>
    <t>ATLETICA-PR</t>
  </si>
  <si>
    <t>Takip</t>
  </si>
  <si>
    <t>MİLOS VELJKOVİC</t>
  </si>
  <si>
    <t>SIRBİSTAN</t>
  </si>
  <si>
    <t>KIZILYILDIZ</t>
  </si>
  <si>
    <t>JOSEPH AIDOO</t>
  </si>
  <si>
    <t>GANA</t>
  </si>
  <si>
    <t>FREE</t>
  </si>
  <si>
    <t>-</t>
  </si>
  <si>
    <t>SOHAIB NAIR</t>
  </si>
  <si>
    <t>CEZAYİR</t>
  </si>
  <si>
    <t>ST.ETTIEN</t>
  </si>
  <si>
    <t>AXEL TUANZEBE</t>
  </si>
  <si>
    <t>KONGO</t>
  </si>
  <si>
    <t>AUXERRE</t>
  </si>
  <si>
    <t>ADAMO NAGALO</t>
  </si>
  <si>
    <t>BURKINA FASO</t>
  </si>
  <si>
    <t>PSV</t>
  </si>
  <si>
    <t>JAKOV MEDIC</t>
  </si>
  <si>
    <t>HIRVATİSTAN</t>
  </si>
  <si>
    <t>UTRECHT</t>
  </si>
  <si>
    <t>DUJE CALETE-CAR</t>
  </si>
  <si>
    <t>SASSUOLO</t>
  </si>
  <si>
    <t>JOAO MARCELO MESSİAS FERREIRA</t>
  </si>
  <si>
    <t>CRUZEİRO</t>
  </si>
  <si>
    <t>NENAD CVETKOVIC</t>
  </si>
  <si>
    <t>RAPİD WİEN</t>
  </si>
  <si>
    <t>MUJAID SADICK</t>
  </si>
  <si>
    <t>İSPANYA</t>
  </si>
  <si>
    <t>RAYO VALLECANO</t>
  </si>
  <si>
    <t>AHMED HADZIMUJOVIC</t>
  </si>
  <si>
    <t>NOVI PAZAR</t>
  </si>
  <si>
    <t>https://www.transfermarkt.com.tr/ahmed-hadzimujovic/profil/spieler/1245543</t>
  </si>
  <si>
    <t>MEES HILGERS</t>
  </si>
  <si>
    <t>ENDONEZYA</t>
  </si>
  <si>
    <t>HEERENVEEN</t>
  </si>
  <si>
    <t>https://www.transfermarkt.com.tr/mees-hilgers/profil/spieler/562702</t>
  </si>
  <si>
    <t>NERMIN MUJKIC</t>
  </si>
  <si>
    <t>BOSNA</t>
  </si>
  <si>
    <t>AL-JAZIRA</t>
  </si>
  <si>
    <t>https://www.transfermarkt.com.tr/nermin-mujkic/profil/spieler/651762</t>
  </si>
  <si>
    <t>MARIO TUDOSE</t>
  </si>
  <si>
    <t>ROMANYA</t>
  </si>
  <si>
    <t>FC ARGES</t>
  </si>
  <si>
    <t>https://www.transfermarkt.com.tr/mario-tudose/profil/spieler/837239</t>
  </si>
  <si>
    <t>DOMINGOS DUARTE</t>
  </si>
  <si>
    <t>PORTEKİZ</t>
  </si>
  <si>
    <t>SAO PAULO</t>
  </si>
  <si>
    <t>https://www.transfermarkt.com.tr/domingos-duarte/profil/spieler/257376</t>
  </si>
  <si>
    <t>GIVANNI VAN ZWAM</t>
  </si>
  <si>
    <t>HOLLANDA</t>
  </si>
  <si>
    <t>GO AHEAD</t>
  </si>
  <si>
    <t>https://www.transfermarkt.com.tr/giovanni-van-zwam/profil/spieler/805149#google_vignette</t>
  </si>
  <si>
    <t>MARASH KUMBULLA</t>
  </si>
  <si>
    <t>ARNAVUTLUK</t>
  </si>
  <si>
    <t>https://www.transfermarkt.com.tr/marash-kumbulla/profil/spieler/371371</t>
  </si>
  <si>
    <t>CHECK KEITA</t>
  </si>
  <si>
    <t>MALİ / FRANSA</t>
  </si>
  <si>
    <t>Stoper / Sağ Bek | Sağ ayak | 1,85 m</t>
  </si>
  <si>
    <t>ROYAL CHARLEROI SC</t>
  </si>
  <si>
    <t>https://www.transfermarkt.com.tr/check-keita/profil/spieler/820146</t>
  </si>
  <si>
    <t>GIOVANNI VAN ZWAM</t>
  </si>
  <si>
    <t>Stoper | Sağ ayak | 1,85 m</t>
  </si>
  <si>
    <t>GO AHEAD EAGLES</t>
  </si>
  <si>
    <t>Transfermarkt Profili</t>
  </si>
  <si>
    <t>DUJE CALETA-CAR</t>
  </si>
  <si>
    <t>Stoper | Sağ ayak | 1,93 m</t>
  </si>
  <si>
    <t>US SASSUOLO</t>
  </si>
  <si>
    <t>JACY</t>
  </si>
  <si>
    <t>Stoper / 6 Numara | Sağ ayak | 1,92 m</t>
  </si>
  <si>
    <t>CORITIBA FC</t>
  </si>
  <si>
    <t>https://www.transfermarkt.com.br/jacy/profil/spieler/593382</t>
  </si>
  <si>
    <t>LÉO</t>
  </si>
  <si>
    <t>Stoper | 1,83 m</t>
  </si>
  <si>
    <t>ATHLETICO PARANAENSE</t>
  </si>
  <si>
    <t>https://www.transfermarkt.com.br/leotm/profil/spieler/403296</t>
  </si>
  <si>
    <t>TONI BOREVKOVIC</t>
  </si>
  <si>
    <t>SAMSUNSPOR</t>
  </si>
  <si>
    <t>https://www.transfermarkt.com.tr/toni-borevkovic/profil/spieler/396342</t>
  </si>
  <si>
    <t>MESSIAS</t>
  </si>
  <si>
    <t>Stoper | Sağ ayak | 1,91 m</t>
  </si>
  <si>
    <t>JUVENTUDE</t>
  </si>
  <si>
    <t>https://www.transfermarkt.com.br/messias/profil/spieler/401539</t>
  </si>
  <si>
    <t>PEDRO HENRIQUE</t>
  </si>
  <si>
    <t>Stoper | Sağ ayak | 1,88 m</t>
  </si>
  <si>
    <t>RB BRAGANTINO</t>
  </si>
  <si>
    <t>https://www.transfermarkt.com.br/pedro-henrique/profil/spieler/329720</t>
  </si>
  <si>
    <t>ÇORUM FK SCOUTING | CONTROL CENTER</t>
  </si>
  <si>
    <t>ÜLKE</t>
  </si>
  <si>
    <t>OYUNCU</t>
  </si>
  <si>
    <t>TOPLAM OYUNCU</t>
  </si>
  <si>
    <t>YEŞİL</t>
  </si>
  <si>
    <t>SARI</t>
  </si>
  <si>
    <t>KIRMIZI</t>
  </si>
  <si>
    <t>ORT. YAŞ</t>
  </si>
  <si>
    <t>≤12 AY SÖZLEŞME</t>
  </si>
  <si>
    <t>İZLENEN OYUNCU SAYISI</t>
  </si>
  <si>
    <t>BEĞENİLEN</t>
  </si>
  <si>
    <t>TEKRAR DEĞERLENDİR</t>
  </si>
  <si>
    <t>BEĞENİLMEDİ</t>
  </si>
  <si>
    <t>İZLENEN OYUNCULARIN YAŞ ORTALAMASI</t>
  </si>
  <si>
    <t>SÖZLEŞMESİ BİTEN</t>
  </si>
  <si>
    <t>A LİSTE</t>
  </si>
  <si>
    <t>B LİSTE</t>
  </si>
  <si>
    <t>TAKİP</t>
  </si>
  <si>
    <t>2003+ KONTENJAN</t>
  </si>
  <si>
    <t>KADRONUN YAPISI | POZİSYON &amp; YAŞ</t>
  </si>
  <si>
    <t>Ana Pozisyon</t>
  </si>
  <si>
    <t>Oyuncu</t>
  </si>
  <si>
    <t>Pay %</t>
  </si>
  <si>
    <t>SCOUTING FUNNEL</t>
  </si>
  <si>
    <t>Kaleci</t>
  </si>
  <si>
    <t>Toplam Havuz</t>
  </si>
  <si>
    <t>≤20</t>
  </si>
  <si>
    <t>Takip +</t>
  </si>
  <si>
    <t>21-23</t>
  </si>
  <si>
    <t>Bek</t>
  </si>
  <si>
    <t>B Liste +</t>
  </si>
  <si>
    <t>24-26</t>
  </si>
  <si>
    <t>Orta Saha</t>
  </si>
  <si>
    <t>27-29</t>
  </si>
  <si>
    <t>Kanat</t>
  </si>
  <si>
    <t>30+</t>
  </si>
  <si>
    <t>Forvet</t>
  </si>
  <si>
    <t>TRANSFER ÖNCELİKLERİ</t>
  </si>
  <si>
    <t>SÖZLEŞME / KONTENJAN RİSKLERİ</t>
  </si>
  <si>
    <t>TOPLAM HAVUZ</t>
  </si>
  <si>
    <t>2003+</t>
  </si>
  <si>
    <t>A LİSTE | İLK 8 TRANSFER ÖNCELİĞİ</t>
  </si>
  <si>
    <t>B LİSTE | İLK 8 TRANSFER ÖNCELİĞİ</t>
  </si>
  <si>
    <t>≤12 AY | SÖZLEŞMESİ BİTENLER</t>
  </si>
  <si>
    <t>Kulüp</t>
  </si>
  <si>
    <t>Sözleşme</t>
  </si>
  <si>
    <t>Kalan Gün</t>
  </si>
  <si>
    <t>PAZAR HARİTASI | ÜLKE DAĞILIMI</t>
  </si>
  <si>
    <t>KONTENJAN | 2003+ DAĞILIMI</t>
  </si>
  <si>
    <t>2003 ve Sonrası</t>
  </si>
  <si>
    <t>2003 Öncesi</t>
  </si>
  <si>
    <t>A LİSTE | ÖNCELİKLİ OYUNCU HAVUZU</t>
  </si>
  <si>
    <t>Kaynak Sayfa</t>
  </si>
  <si>
    <t>B LİSTE | OYUNCU HAVUZU</t>
  </si>
  <si>
    <t>TAKİP EDİLECEKLER | TAKİP HAVUZU</t>
  </si>
  <si>
    <t>YENİDEN İZLENECEKLER | TEKRAR İZLEME HAVUZU</t>
  </si>
  <si>
    <t>KONTENJAN FUTBOLCULAR</t>
  </si>
  <si>
    <t>SÖZLEŞMESİ BİTENLER | TEK LİSTE • 12 AYLIK OTOMATİK TAKİP</t>
  </si>
  <si>
    <t>Sıra</t>
  </si>
  <si>
    <t>Sözleşme Bitiş</t>
  </si>
  <si>
    <t>KALECILER</t>
  </si>
  <si>
    <t>Maliyet</t>
  </si>
  <si>
    <t>SAĞ BEKLER</t>
  </si>
  <si>
    <t>ELSEİD HYSAJ</t>
  </si>
  <si>
    <t>Sağ Bek</t>
  </si>
  <si>
    <t>https://www.transfermarkt.com.tr/elseid-hysaj/profil/spieler/200056</t>
  </si>
  <si>
    <t>ISAI VALLADARES</t>
  </si>
  <si>
    <t>VENEZULLA</t>
  </si>
  <si>
    <t>ZAMORA</t>
  </si>
  <si>
    <t>https://www.transfermarkt.com.tr/isai-valladares/profil/spieler/1232141</t>
  </si>
  <si>
    <t>JOAO PEDRO MOTURANO</t>
  </si>
  <si>
    <t>GREMIO</t>
  </si>
  <si>
    <t>https://www.transfermarkt.com.tr/joao-pedro/profil/spieler/342024</t>
  </si>
  <si>
    <t>NICOLAS BARROS SCHELOTTO</t>
  </si>
  <si>
    <t>https://www.transfermarkt.com.tr/nicolas-barros-schelotto/profil/spieler/1123309</t>
  </si>
  <si>
    <t>LIVANO COMENENCIA</t>
  </si>
  <si>
    <t>CURAÇAO / HOLLANDA</t>
  </si>
  <si>
    <t>Sağ Bek / Sol Bek / 6 Numara | Sağ ayak | 1,85 m</t>
  </si>
  <si>
    <t>FC ZÜRICH</t>
  </si>
  <si>
    <t>https://www.transfermarkt.com/livano-comenencia/profil/spieler/626764</t>
  </si>
  <si>
    <t>SOL BEKLER</t>
  </si>
  <si>
    <t>ADRIA PEDROSA</t>
  </si>
  <si>
    <t>Sol Bek</t>
  </si>
  <si>
    <t>ROYO VALLECANO</t>
  </si>
  <si>
    <t>ARTHUR ZAGRE</t>
  </si>
  <si>
    <t>BURKİNA FASO</t>
  </si>
  <si>
    <t>PEDRO AMARAL</t>
  </si>
  <si>
    <t>RIO AVE</t>
  </si>
  <si>
    <t>https://www.transfermarkt.com.tr/pedro-amaral/profil/spieler/319623</t>
  </si>
  <si>
    <t>RODRIGO INSUA</t>
  </si>
  <si>
    <t>BARRACAS</t>
  </si>
  <si>
    <t>https://www.transfermarkt.com.tr/rodrigo-insua/profil/spieler/721235</t>
  </si>
  <si>
    <t>CASPER HOJER</t>
  </si>
  <si>
    <t>DANİMARKA</t>
  </si>
  <si>
    <t>https://www.transfermarkt.com.tr/casper-hojer/profil/spieler/222977</t>
  </si>
  <si>
    <t>LEONARDO LELO</t>
  </si>
  <si>
    <t>ALMERIA</t>
  </si>
  <si>
    <t>https://www.transfermarkt.com.tr/leonardo-lelo/profil/spieler/669956</t>
  </si>
  <si>
    <t>LÉO DERIK</t>
  </si>
  <si>
    <t>Sol Bek / Sol Orta Saha / Sol Kanat | Sol ayak | 1,66 m</t>
  </si>
  <si>
    <t>https://www.transfermarkt.com.br/leo-derik/profil/spieler/1052819</t>
  </si>
  <si>
    <t>RICARDO RODRIGUEZ</t>
  </si>
  <si>
    <t>İSVİÇRE</t>
  </si>
  <si>
    <t>Sol Bek / Stoper | Sol ayak | 1,80 m</t>
  </si>
  <si>
    <t>https://www.transfermarkt.com.tr/ricardo-rodriguez/leistungsdaten/spieler/86784</t>
  </si>
  <si>
    <t>ENZO DIAZ</t>
  </si>
  <si>
    <t>https://www.transfermarkt.es/enzo-diaz/profil/spieler/540458</t>
  </si>
  <si>
    <t>6 NUMARALAR</t>
  </si>
  <si>
    <t>YVES BISSOUMA</t>
  </si>
  <si>
    <t>MALİ</t>
  </si>
  <si>
    <t>6 Numara</t>
  </si>
  <si>
    <t>YUSSIF SAIDU</t>
  </si>
  <si>
    <t>REAL ZARAGOZA</t>
  </si>
  <si>
    <t>LUCA REGIARDO</t>
  </si>
  <si>
    <t>NEWELL'S</t>
  </si>
  <si>
    <t>KEVIN CASTANO</t>
  </si>
  <si>
    <t>KOLOMBİYA</t>
  </si>
  <si>
    <t>ATLETİCO MG</t>
  </si>
  <si>
    <t>AGUSTIN DOFFO</t>
  </si>
  <si>
    <t>NK OLIMPIJA</t>
  </si>
  <si>
    <t>DANİLO BARBOSA</t>
  </si>
  <si>
    <t>https://www.transfermarkt.com.tr/danilo-barbosa/profil/spieler/273438</t>
  </si>
  <si>
    <t>RAMIZ ZERROUKI</t>
  </si>
  <si>
    <t>TWENTE</t>
  </si>
  <si>
    <t>https://www.transfermarkt.com.tr/ramiz-zerrouki/profil/spieler/416660</t>
  </si>
  <si>
    <t>CHARLYS MATHEUS LİMA</t>
  </si>
  <si>
    <t>İNTER</t>
  </si>
  <si>
    <t>https://www.transfermarkt.com.tr/charlys/profil/spieler/1082519</t>
  </si>
  <si>
    <t>MAHMOUD DAHOUD</t>
  </si>
  <si>
    <t>SURİYE</t>
  </si>
  <si>
    <t>https://www.transfermarkt.com.tr/mahmoud-dahoud/profil/spieler/191422</t>
  </si>
  <si>
    <t>DANILO BARBOSA</t>
  </si>
  <si>
    <t>Ön Libero / Merkez Orta Saha / Stoper | Sağ ayak | 1,83 m</t>
  </si>
  <si>
    <t>GRÊMIO</t>
  </si>
  <si>
    <t>https://www.transfermarkt.pt/danilo-barbosa/profil/spieler/273438</t>
  </si>
  <si>
    <t>FLORIAN GRILLITSCH</t>
  </si>
  <si>
    <t>AVUSTURYA</t>
  </si>
  <si>
    <t>6 Numara / Stoper / Merkez Orta Saha | Sağ ayak | 1,86 m</t>
  </si>
  <si>
    <t>KULÜPSÜZ</t>
  </si>
  <si>
    <t>https://www.transfermarkt.com.tr/florian-grillitsch/profil/spieler/195736</t>
  </si>
  <si>
    <t>PATRICKSON DELGADO</t>
  </si>
  <si>
    <t>EKVADOR</t>
  </si>
  <si>
    <t>6 Numara / Merkez Orta Saha / 10 Numara | Sağ ayak | 1,80 m</t>
  </si>
  <si>
    <t>FC DALLAS</t>
  </si>
  <si>
    <t>https://www.transfermarkt.com.tr/patrickson-delgado/profil/spieler/659802</t>
  </si>
  <si>
    <t>LINDON SELAHI</t>
  </si>
  <si>
    <t>ARNAVUTLUK / BELÇİKA</t>
  </si>
  <si>
    <t>WIDZEW ŁÓDŹ</t>
  </si>
  <si>
    <t>https://www.transfermarkt.com.tr/lindon-selahi/profil/spieler/340172</t>
  </si>
  <si>
    <t>MATE TUBOLY</t>
  </si>
  <si>
    <t>MACARİSTAN</t>
  </si>
  <si>
    <t>6 Numara / Merkez Orta Saha | Sağ ayak | 1,85 m</t>
  </si>
  <si>
    <t>DAC DUNAJSKA STREDA</t>
  </si>
  <si>
    <t>https://www.transfermarkt.co.uk/mate-tuboly/profil/spieler/874947</t>
  </si>
  <si>
    <t>8 NUMARALAR</t>
  </si>
  <si>
    <t>JOAN JORDAN</t>
  </si>
  <si>
    <t>8 Numara</t>
  </si>
  <si>
    <t>ESTRELA</t>
  </si>
  <si>
    <t>STEPHEN EUSTAQUO</t>
  </si>
  <si>
    <t>KANADA</t>
  </si>
  <si>
    <t>SWANSEA</t>
  </si>
  <si>
    <t>URAN BISLIMI</t>
  </si>
  <si>
    <t>LUGANO</t>
  </si>
  <si>
    <t>ALPHA TOURE</t>
  </si>
  <si>
    <t>SENEGAL</t>
  </si>
  <si>
    <t>METZ</t>
  </si>
  <si>
    <t>JEAN LUCAS DE SOUZA</t>
  </si>
  <si>
    <t>BAHIA</t>
  </si>
  <si>
    <t>https://www.transfermarkt.com.tr/jean-lucas/profil/spieler/578872</t>
  </si>
  <si>
    <t>MONCHU</t>
  </si>
  <si>
    <t>FC JUAREZ</t>
  </si>
  <si>
    <t>https://www.transfermarkt.com.tr/monchu/profil/spieler/282727</t>
  </si>
  <si>
    <t>MATIAS GALARZA</t>
  </si>
  <si>
    <t>PARAGUAY</t>
  </si>
  <si>
    <t>RIVER PLATE</t>
  </si>
  <si>
    <t>https://www.transfermarkt.com.tr/matias-galarza/profil/spieler/661269</t>
  </si>
  <si>
    <t>YARI VERSHAEREN</t>
  </si>
  <si>
    <t>BELÇİKA</t>
  </si>
  <si>
    <t>OFANSİF ORTA SAHA TEMPOLU</t>
  </si>
  <si>
    <t>SAMPDORIA</t>
  </si>
  <si>
    <t>https://www.transfermarkt.com.tr/yari-verschaeren/profil/spieler/502302</t>
  </si>
  <si>
    <t>SANDI LOVRIC</t>
  </si>
  <si>
    <t>SLOVENYA</t>
  </si>
  <si>
    <t>UDINESE</t>
  </si>
  <si>
    <t>https://www.transfermarkt.com.tr/sandi-lovric/profil/spieler/268429</t>
  </si>
  <si>
    <t>ALAN DE SOUZA</t>
  </si>
  <si>
    <t xml:space="preserve">VITORIA </t>
  </si>
  <si>
    <t>https://www.transfermarkt.com.tr/alan/profil/spieler/428786</t>
  </si>
  <si>
    <t>GLEN KAMARA</t>
  </si>
  <si>
    <t>FİNLANDİYA</t>
  </si>
  <si>
    <t>QPR</t>
  </si>
  <si>
    <t>https://www.transfermarkt.com.tr/glen-kamara/profil/spieler/242632</t>
  </si>
  <si>
    <t>JOVAN SLJIVIC</t>
  </si>
  <si>
    <t>OFK BEOGRAD</t>
  </si>
  <si>
    <t>https://www.transfermarkt.com.tr/jovan-sljivic/profil/spieler/673436</t>
  </si>
  <si>
    <t>NOAH CADİO</t>
  </si>
  <si>
    <t>GUADELOUPE</t>
  </si>
  <si>
    <t>LORIENT</t>
  </si>
  <si>
    <t>https://www.transfermarkt.com.tr/noah-cadiou/profil/spieler/691958</t>
  </si>
  <si>
    <t>IVAN ILIC</t>
  </si>
  <si>
    <t>LECCE</t>
  </si>
  <si>
    <t>https://www.transfermarkt.com.tr/ivan-ilic/profil/spieler/470794</t>
  </si>
  <si>
    <t>EBENEZER AKSİNSANMİRO</t>
  </si>
  <si>
    <t>NİJERYA</t>
  </si>
  <si>
    <t>MONZA</t>
  </si>
  <si>
    <t>https://www.transfermarkt.com.tr/ebenezer-akinsanmiro/profil/spieler/969192</t>
  </si>
  <si>
    <t>ABDELLAH BAALLAL</t>
  </si>
  <si>
    <t>FAS</t>
  </si>
  <si>
    <t>Merkez Orta Saha / 10 Numara / Sağ Kanat | Sağ ayak | 1,88 m</t>
  </si>
  <si>
    <t>CLERMONT FOOT 63</t>
  </si>
  <si>
    <t>https://www.transfermarkt.com.tr/abdellah-baallal/profil/spieler/1028125</t>
  </si>
  <si>
    <t>JEAN LUCAS</t>
  </si>
  <si>
    <t>Merkez Orta Saha / 6 Numara / 10 Numara | Sağ ayak | 1,81 m</t>
  </si>
  <si>
    <t>EC BAHIA</t>
  </si>
  <si>
    <t>ADAM GNEZDA CERIN</t>
  </si>
  <si>
    <t>Merkez Orta Saha | 1,80 m</t>
  </si>
  <si>
    <t>PANATHINAIKOS</t>
  </si>
  <si>
    <t>https://www.transfermarkt.com.tr/adam-gnezda-cerin/profil/spieler/401394</t>
  </si>
  <si>
    <t>MADY CAMARA</t>
  </si>
  <si>
    <t>GİNE</t>
  </si>
  <si>
    <t>Merkez Orta Saha / 6 Numara / 10 Numara | Sağ ayak | 1,82 m</t>
  </si>
  <si>
    <t>PAOK</t>
  </si>
  <si>
    <t>https://www.transfermarkt.com.tr/mady-camara/profil/spieler/481173</t>
  </si>
  <si>
    <t>CATALIN CIRJAN</t>
  </si>
  <si>
    <t>Merkez Orta Saha / 10 Numara / Sağ Orta Saha | Sağ ayak | 1,74 m</t>
  </si>
  <si>
    <t>DINAMO BÜKREŞ</t>
  </si>
  <si>
    <t>https://www.transfermarkt.com/catalin-cirjan/profil/spieler/575219</t>
  </si>
  <si>
    <t>MARTIN PAYERO</t>
  </si>
  <si>
    <t>ARJANTİN / İTALYA</t>
  </si>
  <si>
    <t>Merkez Orta Saha / 10 Numara | Sağ ayak | 1,82 m</t>
  </si>
  <si>
    <t>WATFORD FC</t>
  </si>
  <si>
    <t>https://www.transfermarkt.com.tr/martin-payero/profil/spieler/555820</t>
  </si>
  <si>
    <t>JIN-GYU KIM</t>
  </si>
  <si>
    <t>GÜNEY KORE</t>
  </si>
  <si>
    <t>Merkez Orta Saha / 10 Numara / 6 Numara | Sağ ayak | 1,77 m</t>
  </si>
  <si>
    <t>JEONBUK HYUNDAI</t>
  </si>
  <si>
    <t>https://www.transfermarkt.com.tr/jin-gyu-kim/profil/spieler/365377</t>
  </si>
  <si>
    <t>PABLO MARTINEZ</t>
  </si>
  <si>
    <t>https://www.transfermarkt.com.tr/pablo-martinez/profil/spieler/568835</t>
  </si>
  <si>
    <t>NOAH CADIOU</t>
  </si>
  <si>
    <t>GUADELOUPE / FRANSA</t>
  </si>
  <si>
    <t>Merkez Orta Saha / 6 Numara / 10 Numara | Sağ ayak | 1,91 m</t>
  </si>
  <si>
    <t>FC LORIENT</t>
  </si>
  <si>
    <t>EBENEZER AKINSANMIRO</t>
  </si>
  <si>
    <t>Merkez Orta Saha / 10 Numara / Sağ Orta Saha | Sağ ayak | 1,84 m</t>
  </si>
  <si>
    <t>INTER MILAN</t>
  </si>
  <si>
    <t>https://www.transfermarkt.de/ebenezer-akinsanmiro/profil/spieler/969192</t>
  </si>
  <si>
    <t>WARREN BONDO</t>
  </si>
  <si>
    <t>FRANSA / DR KONGO</t>
  </si>
  <si>
    <t>Merkez Orta Saha / 6 Numara | Sağ ayak | 1,77 m</t>
  </si>
  <si>
    <t>AC MILAN</t>
  </si>
  <si>
    <t>ISAAC SOLET</t>
  </si>
  <si>
    <t>ORTA AFRİKA CUMHURİYETİ / FRANSA</t>
  </si>
  <si>
    <t>Merkez Orta Saha / 6 Numara / Stoper | Sağ ayak | 1,84 m</t>
  </si>
  <si>
    <t>CSKA SOFIA</t>
  </si>
  <si>
    <t>JOÃO CRUZ</t>
  </si>
  <si>
    <t>Merkez Orta Saha / 10 Numara / İkinci Forvet | Sağ ayak | 1,72 m</t>
  </si>
  <si>
    <t>DAVY GUI</t>
  </si>
  <si>
    <t>FİLDİŞİ SAHİLİ / FRANSA</t>
  </si>
  <si>
    <t>Merkez Orta Saha / 6 Numara | Sağ ayak | 1,85 m</t>
  </si>
  <si>
    <t>FC ALVERCA</t>
  </si>
  <si>
    <t>https://www.transfermarkt.com.tr/davy-gui/profil/spieler/1321322</t>
  </si>
  <si>
    <t>MATHIAS DELORGE</t>
  </si>
  <si>
    <t>Merkez Orta Saha / 6 Numara | Sol ayak | 1,89 m</t>
  </si>
  <si>
    <t>KAA GENT</t>
  </si>
  <si>
    <t>https://www.transfermarkt.de/mathias-delorge/profil/spieler/723487</t>
  </si>
  <si>
    <t>KOBA KOINDREDI</t>
  </si>
  <si>
    <t>Merkez Orta Saha / 6 Numara | Sol ayak | 1,86 m</t>
  </si>
  <si>
    <t>SPORTING CP</t>
  </si>
  <si>
    <t>https://www.transfermarkt.co.uk/koba-koindredi/profil/spieler/569375</t>
  </si>
  <si>
    <t>MAHAMADOU DIAWARA</t>
  </si>
  <si>
    <t>FRANSA / MALİ</t>
  </si>
  <si>
    <t>Merkez Orta Saha | Sol ayak | 1,87 m</t>
  </si>
  <si>
    <t>OLYMPIQUE LYON</t>
  </si>
  <si>
    <t>https://www.transfermarkt.com.tr/mahamadou-diawara/profil/spieler/1053147</t>
  </si>
  <si>
    <t>DU QUEIROZ</t>
  </si>
  <si>
    <t>Merkez Orta Saha / 6 Numara / Sağ Bek | Sağ ayak | 1,71 m</t>
  </si>
  <si>
    <t>ZENIT ST. PETERSBURG</t>
  </si>
  <si>
    <t>https://www.transfermarkt.com/du-queiroz/profil/spieler/906774</t>
  </si>
  <si>
    <t>JOSH BROWNHILL</t>
  </si>
  <si>
    <t>İNGİLTERE</t>
  </si>
  <si>
    <t>Merkez Orta Saha / 6 Numara / 10 Numara | Sağ ayak | 1,79 m</t>
  </si>
  <si>
    <t>AL-SHABAB FC</t>
  </si>
  <si>
    <t>https://www.transfermarkt.com.tr/josh-brownhill/profil/spieler/293569</t>
  </si>
  <si>
    <t>EMRE AYTUN</t>
  </si>
  <si>
    <t>TÜRKİYE</t>
  </si>
  <si>
    <t>Merkez Orta Saha</t>
  </si>
  <si>
    <t>https://www.transfermarkt.com/emre-aytun/profil/spieler/459686</t>
  </si>
  <si>
    <t>10 NUMARALAR</t>
  </si>
  <si>
    <t>ALPHADJO CISSE</t>
  </si>
  <si>
    <t>İTALYA</t>
  </si>
  <si>
    <t>10 Numara</t>
  </si>
  <si>
    <t>MİLAN</t>
  </si>
  <si>
    <t>MELK COSTA DE OLIVEIRA</t>
  </si>
  <si>
    <t>CEARA</t>
  </si>
  <si>
    <t>LORENZO PELLEGRINI</t>
  </si>
  <si>
    <t>ROMA</t>
  </si>
  <si>
    <t>NOE LEBRETON</t>
  </si>
  <si>
    <t>NEC NIJMEGEN</t>
  </si>
  <si>
    <t>ISI PALAZON</t>
  </si>
  <si>
    <t>https://www.transfermarkt.com.tr/isi-palazon/profil/spieler/362086</t>
  </si>
  <si>
    <t>ABU-BEKİR ÖMER EL-ZEIN</t>
  </si>
  <si>
    <t>https://www.transfermarkt.com.tr/abu-bekir-omer-el-zein/profil/spieler/574195</t>
  </si>
  <si>
    <t>GIORGI CHAKVETADZE</t>
  </si>
  <si>
    <t>GÜRCİSTAN</t>
  </si>
  <si>
    <t>https://www.transfermarkt.com.tr/giorgi-chakvetadze/profil/spieler/412616</t>
  </si>
  <si>
    <t>FABRICIO YAN</t>
  </si>
  <si>
    <t>VERES</t>
  </si>
  <si>
    <t>https://www.transfermarkt.com.tr/fabricio-yan/profil/spieler/1082597</t>
  </si>
  <si>
    <t>NABİL FEKİR</t>
  </si>
  <si>
    <t>ABHA</t>
  </si>
  <si>
    <t>https://www.transfermarkt.com.tr/nabil-fekir/profil/spieler/203496</t>
  </si>
  <si>
    <t>MİLAN VUKOTİC</t>
  </si>
  <si>
    <t>KARADAĞ</t>
  </si>
  <si>
    <t>PARTİZAN</t>
  </si>
  <si>
    <t>https://www.transfermarkt.com.tr/milan-vukotic/profil/spieler/624353</t>
  </si>
  <si>
    <t>YANİS MASSOLİN</t>
  </si>
  <si>
    <t>CAGLIARI</t>
  </si>
  <si>
    <t>https://www.transfermarkt.com.tr/yanis-massolin/profil/spieler/915849</t>
  </si>
  <si>
    <t>ALAN</t>
  </si>
  <si>
    <t>10 Numara / Merkez Orta Saha | Sağ ayak | 1,65 m</t>
  </si>
  <si>
    <t>YARI VERSCHAEREN</t>
  </si>
  <si>
    <t>10 Numara / Merkez Orta Saha / Kanat | Sağ ayak | 1,72 m</t>
  </si>
  <si>
    <t>UC SAMPDORIA</t>
  </si>
  <si>
    <t>GUSTAVO SCARPA</t>
  </si>
  <si>
    <t>BREZİLYA / İTALYA</t>
  </si>
  <si>
    <t>10 Numara / Sağ Orta Saha / Sol Orta Saha | Sol ayak | 1,77 m</t>
  </si>
  <si>
    <t>ATLÉTICO-MG</t>
  </si>
  <si>
    <t>https://www.transfermarkt.com.br/gustavo-scarpa/profil/spieler/330085</t>
  </si>
  <si>
    <t>KAMORY DOUMBIA</t>
  </si>
  <si>
    <t>10 Numara / Merkez Orta Saha | 1,70 m</t>
  </si>
  <si>
    <t>STADE BRESTOIS</t>
  </si>
  <si>
    <t>https://www.transfermarkt.com.tr/kamory-doumbia/profil/spieler/671594</t>
  </si>
  <si>
    <t>LUCIANO CABRAL</t>
  </si>
  <si>
    <t>ŞİLİ / ARJANTİN</t>
  </si>
  <si>
    <t>10 Numara / Merkez Orta Saha</t>
  </si>
  <si>
    <t>INDEPENDIENTE</t>
  </si>
  <si>
    <t>https://www.transfermarkt.com.tr/luciano-cabral/profil/spieler/322610</t>
  </si>
  <si>
    <t>ZIDAN SERTDEMIR</t>
  </si>
  <si>
    <t>DANİMARKA / TÜRKİYE</t>
  </si>
  <si>
    <t>10 Numara / Sağ Orta Saha / Merkez Orta Saha | Sol ayak | 1,86 m</t>
  </si>
  <si>
    <t>PREUSSEN MÜNSTER</t>
  </si>
  <si>
    <t>LUCAS RODRÍGUEZ</t>
  </si>
  <si>
    <t>10 Numara / Sol Kanat / Sağ Kanat | Sağ ayak | 1,65 m</t>
  </si>
  <si>
    <t>FABIAN BZDYL</t>
  </si>
  <si>
    <t>POLONYA</t>
  </si>
  <si>
    <t>10 Numara / Merkez Orta Saha / 6 Numara | Sağ ayak | 1,80 m</t>
  </si>
  <si>
    <t>MSK ŽILINA</t>
  </si>
  <si>
    <t>https://www.transfermarkt.com.tr/fabian-bzdyl/profil/spieler/1143311</t>
  </si>
  <si>
    <t>JEAN CARLOS</t>
  </si>
  <si>
    <t>https://www.transfermarkt.com.br/jean-carlos/profil/spieler/1092857</t>
  </si>
  <si>
    <t>UROS MILADINOVIC</t>
  </si>
  <si>
    <t>https://www.transfermarkt.com.tr/uros-miladinovic/profil/spieler/851543</t>
  </si>
  <si>
    <t>MIGUELITO</t>
  </si>
  <si>
    <t>https://www.transfermarkt.co.uk/miguelito/profil/spieler/1063811</t>
  </si>
  <si>
    <t>KENDRY PAEZ</t>
  </si>
  <si>
    <t>10 Numara | Sol ayak | 1,78 m</t>
  </si>
  <si>
    <t>RIVER PLATE (Chelsea'den kiralık)</t>
  </si>
  <si>
    <t>https://www.transfermarkt.com.ar/kendry-paez/profil/spieler/1052439</t>
  </si>
  <si>
    <t>KANATLAR</t>
  </si>
  <si>
    <t>AHIDERA EJUKE</t>
  </si>
  <si>
    <t>ALEHANDRO MARTINEZ</t>
  </si>
  <si>
    <t>NACIONAL</t>
  </si>
  <si>
    <t>EMRE ERDOĞAN</t>
  </si>
  <si>
    <t>1860 MUNIH</t>
  </si>
  <si>
    <t>GONCALO SOUSA</t>
  </si>
  <si>
    <t>KOCAELİSPOR/PORTO</t>
  </si>
  <si>
    <t>ARBER HOXHA</t>
  </si>
  <si>
    <t>DINAMO ZAGREB</t>
  </si>
  <si>
    <t>GUSTAVO HENRICK DA SILVA</t>
  </si>
  <si>
    <t>MIRASSOL</t>
  </si>
  <si>
    <t>https://www.transfermarkt.com.tr/gustavo-silva/profil/spieler/636314</t>
  </si>
  <si>
    <t>SAM SILVERE</t>
  </si>
  <si>
    <t>MK DONS</t>
  </si>
  <si>
    <t>https://www.transfermarkt.com.tr/sam-silvera/profil/spieler/680531</t>
  </si>
  <si>
    <t>LURİ TAVARES</t>
  </si>
  <si>
    <t xml:space="preserve">YEŞİL BURUN </t>
  </si>
  <si>
    <t>NK VARAZDIN</t>
  </si>
  <si>
    <t>https://www.transfermarkt.com.tr/iuri-tavares/profil/spieler/549016</t>
  </si>
  <si>
    <t>MARİN PETKOV</t>
  </si>
  <si>
    <t>BULGARİSTAN</t>
  </si>
  <si>
    <t>AL-TAAWOUN</t>
  </si>
  <si>
    <t>https://www.transfermarkt.com.tr/marin-petkov/profil/spieler/675946</t>
  </si>
  <si>
    <t>OLEKSANDR NAZARENKO</t>
  </si>
  <si>
    <t>UKRAYNA</t>
  </si>
  <si>
    <t>POLİSSYA</t>
  </si>
  <si>
    <t>https://www.transfermarkt.com.tr/oleksandr-nazarenko/profil/spieler/495920</t>
  </si>
  <si>
    <t>THIERNO BALLO</t>
  </si>
  <si>
    <t>https://www.transfermarkt.com.tr/thierno-ballo/profil/spieler/406608</t>
  </si>
  <si>
    <t>STEFAN BITCA</t>
  </si>
  <si>
    <t>MOLDOVA</t>
  </si>
  <si>
    <t>FC SHERIFF</t>
  </si>
  <si>
    <t>https://www.transfermarkt.com.tr/stefan-bitca/profil/spieler/1034636</t>
  </si>
  <si>
    <t>THAPELO MASEKO</t>
  </si>
  <si>
    <t>GÜNEY AFRİKA</t>
  </si>
  <si>
    <t>KOPENHAG</t>
  </si>
  <si>
    <t>https://www.transfermarkt.com.tr/thapelo-maseko/profil/spieler/983330</t>
  </si>
  <si>
    <t>MIKAEL FELIPE VIANA</t>
  </si>
  <si>
    <t>CLUBE DE REGATAS</t>
  </si>
  <si>
    <t>https://www.transfermarkt.com.tr/mikael/profil/spieler/642689</t>
  </si>
  <si>
    <t>JOVANE CABRAL</t>
  </si>
  <si>
    <t>https://www.transfermarkt.com.tr/jovane-cabral/profil/spieler/448466</t>
  </si>
  <si>
    <t>OSWIN APPOLLİS</t>
  </si>
  <si>
    <t>PİRATES</t>
  </si>
  <si>
    <t>https://www.transfermarkt.com.tr/oswin-appollis/profil/spieler/673381</t>
  </si>
  <si>
    <t>BENJAMIN BOAKYE</t>
  </si>
  <si>
    <t>ALMANYA</t>
  </si>
  <si>
    <t>BIELEFELD</t>
  </si>
  <si>
    <t>https://www.transfermarkt.com.tr/benjamin-boakye/profil/spieler/800988</t>
  </si>
  <si>
    <t>OLEKSIY GUTSULYAK</t>
  </si>
  <si>
    <t>https://www.transfermarkt.com.tr/oleksiy-gutsulyak/profil/spieler/296366</t>
  </si>
  <si>
    <t>JONATHAN IKONE</t>
  </si>
  <si>
    <t>PARIS FC</t>
  </si>
  <si>
    <t>https://www.transfermarkt.com.tr/jonathan-ikone/profil/spieler/324690#google_vignette</t>
  </si>
  <si>
    <t>THIAGO CRUZ FERNANDEZ</t>
  </si>
  <si>
    <t>LEVANTE</t>
  </si>
  <si>
    <t>https://www.transfermarkt.com.tr/thiago-fernandez/profil/spieler/1127730</t>
  </si>
  <si>
    <t>MOHAMMAD MOHEBİ</t>
  </si>
  <si>
    <t>İRAN</t>
  </si>
  <si>
    <t>HNK RIJEKA</t>
  </si>
  <si>
    <t>https://www.transfermarkt.com.tr/mohammad-mohebi/profil/spieler/603149</t>
  </si>
  <si>
    <t>MARIN PETKOV</t>
  </si>
  <si>
    <t>Sağ Kanat / 10 Numara / Sol Kanat | Sol ayak | 1,79 m</t>
  </si>
  <si>
    <t>AL-TAAWOUN FC</t>
  </si>
  <si>
    <t>IURI TAVARES</t>
  </si>
  <si>
    <t>YEŞİL BURUN ADALARI / PORTEKİZ</t>
  </si>
  <si>
    <t>Sol Kanat / Santrafor | Sağ ayak | 1,91 m</t>
  </si>
  <si>
    <t>NK VARAŽDIN</t>
  </si>
  <si>
    <t>GUSTAVO SILVA</t>
  </si>
  <si>
    <t>Sağ Kanat / Sol Kanat / Forvet Arkası | Sağ ayak | 1,68 m</t>
  </si>
  <si>
    <t>https://www.transfermarkt.com.br/gustavo-silva/profil/spieler/636314</t>
  </si>
  <si>
    <t>THIAGO FERNANDEZ</t>
  </si>
  <si>
    <t>Sol Kanat / Sağ Kanat / 10 Numara | Sağ ayak | 1,75 m</t>
  </si>
  <si>
    <t>LEVANTE UD (Villarreal'den kiralık)</t>
  </si>
  <si>
    <t>NICOLAS PAYS</t>
  </si>
  <si>
    <t>Sağ Kanat / 10 Numara | Sol ayak | 1,77 m</t>
  </si>
  <si>
    <t>MONTPELLIER HSC</t>
  </si>
  <si>
    <t>AMINE HARIT</t>
  </si>
  <si>
    <t>FAS / FRANSA</t>
  </si>
  <si>
    <t>Sol Kanat / 10 Numara / Sağ Kanat | Sağ ayak | 1,80 m</t>
  </si>
  <si>
    <t>OLYMPIQUE MARSEILLE</t>
  </si>
  <si>
    <t>https://www.transfermarkt.com.tr/amine-harit/profil/spieler/372711</t>
  </si>
  <si>
    <t>DIEGO LAINEZ</t>
  </si>
  <si>
    <t>MEKSİKA / İSPANYA</t>
  </si>
  <si>
    <t>Sağ Kanat / Sol Kanat / 10 Numara | Sol ayak | 1,67 m</t>
  </si>
  <si>
    <t>TIGRES UANL</t>
  </si>
  <si>
    <t>https://www.transfermarkt.com.tr/diego-lainez/profil/spieler/371174</t>
  </si>
  <si>
    <t>YOUNES TAHA</t>
  </si>
  <si>
    <t>FAS / HOLLANDA</t>
  </si>
  <si>
    <t>Sağ Kanat | 1,76 m</t>
  </si>
  <si>
    <t>FC TWENTE</t>
  </si>
  <si>
    <t>https://www.transfermarkt.de/younes-taha/profil/spieler/866328</t>
  </si>
  <si>
    <t>OUSSAMA IDRISSI</t>
  </si>
  <si>
    <t>Sol Kanat | 1,79 m</t>
  </si>
  <si>
    <t>CF PACHUCA</t>
  </si>
  <si>
    <t>https://www.transfermarkt.nl/oussama-idrissi/profil/spieler/241391</t>
  </si>
  <si>
    <t>YEFERSON SOTELDO</t>
  </si>
  <si>
    <t>VENEZUELA</t>
  </si>
  <si>
    <t>Sol Kanat / Sağ Kanat / Forvet Arkası | Sağ ayak | 1,60 m</t>
  </si>
  <si>
    <t>FLUMINENSE</t>
  </si>
  <si>
    <t>https://www.transfermarkt.com.br/yeferson-soteldo/profil/spieler/312294</t>
  </si>
  <si>
    <t>WILLIAN</t>
  </si>
  <si>
    <t>https://www.transfermarkt.com.br/willian/profil/spieler/52769</t>
  </si>
  <si>
    <t>VITINHO</t>
  </si>
  <si>
    <t>Sol Kanat / 10 Numara / Santrafor | Sağ ayak | 1,80 m</t>
  </si>
  <si>
    <t>CORINTHIANS</t>
  </si>
  <si>
    <t>https://www.transfermarkt.com.br/vitinho/profil/spieler/213605</t>
  </si>
  <si>
    <t>RAYN KIZITO</t>
  </si>
  <si>
    <t>UGANDA</t>
  </si>
  <si>
    <t xml:space="preserve">- </t>
  </si>
  <si>
    <t>https://www.transfermarkt.com/rayn-kizito/profil/spieler/1325325</t>
  </si>
  <si>
    <t>RONALD</t>
  </si>
  <si>
    <t>Sağ Kanat / Sol Kanat | Sağ ayak | 1,77 m</t>
  </si>
  <si>
    <t>SWANSEA CITY</t>
  </si>
  <si>
    <t>https://www.transfermarkt.com/ronald/profil/spieler/862554</t>
  </si>
  <si>
    <t>STIPE BIUK</t>
  </si>
  <si>
    <t>Sol Kanat / Sağ Kanat | Sağ ayak | 1,84 m</t>
  </si>
  <si>
    <t>REAL VALLADOLID</t>
  </si>
  <si>
    <t>https://www.transfermarkt.com.tr/stipe-biuk/profil/spieler/587520</t>
  </si>
  <si>
    <t>MUSA BARROW</t>
  </si>
  <si>
    <t>GAMBİYA</t>
  </si>
  <si>
    <t>Sol Kanat / Santrafor / Forvet Arkası | Sağ ayak | 1,84 m</t>
  </si>
  <si>
    <t>https://www.transfermarkt.de/musa-barrow/profil/spieler/486624</t>
  </si>
  <si>
    <t>JESPER KARLSSON</t>
  </si>
  <si>
    <t>İSVEÇ</t>
  </si>
  <si>
    <t>Sol Kanat / Sağ Kanat | Sağ ayak | 1,79 m</t>
  </si>
  <si>
    <t>BOLOGNA FC</t>
  </si>
  <si>
    <t>https://www.transfermarkt.it/jesper-karlsson/profil/spieler/367992</t>
  </si>
  <si>
    <t>OUSSEYNOU NIANG</t>
  </si>
  <si>
    <t>Sol Orta Saha / Kanat | Sağ ayak | 1,68 m</t>
  </si>
  <si>
    <t>ZULTE WAREGEM</t>
  </si>
  <si>
    <t>https://www.transfermarkt.com.tr/ousseynou-niang/profil/spieler/509463</t>
  </si>
  <si>
    <t>YOUSSOUPHA SANYANG</t>
  </si>
  <si>
    <t>Sol Kanat | Sol ayak | 1,75 m</t>
  </si>
  <si>
    <t>SLAVIA PRAG</t>
  </si>
  <si>
    <t>https://www.transfermarkt.com.tr/youssoupha-sanyang/profil/spieler/1238634</t>
  </si>
  <si>
    <t>TOMAS CHANCALAY</t>
  </si>
  <si>
    <t>MINNESOTA UNITED</t>
  </si>
  <si>
    <t>https://www.transfermarkt.com.tr/tomas-chancalay/profil/spieler/533565</t>
  </si>
  <si>
    <t>BONGOKUHLE HLONGWANE</t>
  </si>
  <si>
    <t>Sağ Kanat | 1,82 m</t>
  </si>
  <si>
    <t>https://www.transfermarkt.com.tr/bongokuhle-hlongwane/profil/spieler/669202</t>
  </si>
  <si>
    <t>BERTRAND TRAORE</t>
  </si>
  <si>
    <t>Sağ Kanat / Santrafor / Sol Kanat | Sol ayak | 1,81 m</t>
  </si>
  <si>
    <t>https://www.transfermarkt.com.tr/bertrand-traore/profil/spieler/131996</t>
  </si>
  <si>
    <t>IBRAHIM SADIQ</t>
  </si>
  <si>
    <t>Sağ Kanat / Sol Kanat / Santrafor | Sağ ayak | 1,67 m</t>
  </si>
  <si>
    <t>AZ ALKMAAR</t>
  </si>
  <si>
    <t>https://www.transfermarkt.com/ibrahim-sadiq/profil/spieler/543501</t>
  </si>
  <si>
    <t>ISMAEL GHARBI</t>
  </si>
  <si>
    <t>TUNUS / İSPANYA</t>
  </si>
  <si>
    <t>SC BRAGA</t>
  </si>
  <si>
    <t>https://www.transfermarkt.com/ismael-gharbi/profil/spieler/810096</t>
  </si>
  <si>
    <t>JESÚS MEDINA</t>
  </si>
  <si>
    <t>Sağ Kanat / Sol Kanat / 10 Numara | Sol ayak | 1,78 m</t>
  </si>
  <si>
    <t>ATLÉTICO DE SAN LUIS</t>
  </si>
  <si>
    <t>YANN KARAMOH</t>
  </si>
  <si>
    <t>FRANSA / FİLDİŞİ SAHİLİ</t>
  </si>
  <si>
    <t>Sol Kanat / Sağ Kanat / Santrafor | Sağ ayak | 1,84 m</t>
  </si>
  <si>
    <t>LECHI SADULAEV</t>
  </si>
  <si>
    <t>RUSYA</t>
  </si>
  <si>
    <t>Sol Kanat / Sağ Kanat / 10 Numara | Sol ayak | 1,79 m</t>
  </si>
  <si>
    <t>AKHMAT GROZNY</t>
  </si>
  <si>
    <t>MARCOS PAULO</t>
  </si>
  <si>
    <t>PORTEKİZ / BREZİLYA</t>
  </si>
  <si>
    <t>Sol Kanat / Sağ Kanat / Santrafor | Sağ ayak | 1,86 m</t>
  </si>
  <si>
    <t>EHIJE UKAKI</t>
  </si>
  <si>
    <t>Sağ Kanat / Sağ Bek / Sol Kanat | Sağ ayak | 1,75 m</t>
  </si>
  <si>
    <t>SHEFFIELD UNITED</t>
  </si>
  <si>
    <t>WELLITON</t>
  </si>
  <si>
    <t>Sağ Kanat / Sol Kanat / İkinci Forvet | Sağ ayak | 1,80 m</t>
  </si>
  <si>
    <t>FORTALEZA</t>
  </si>
  <si>
    <t>ADRIANO</t>
  </si>
  <si>
    <t>Sol Orta Saha / Sağ Orta Saha / 10 Numara | Sağ ayak | 1,75 m</t>
  </si>
  <si>
    <t>RAKÓW CZĘSTOCHOWA</t>
  </si>
  <si>
    <t>FAROUCK ADEKAMI</t>
  </si>
  <si>
    <t>https://www.transfermarkt.com/farouck-adekami/profil/spieler/1293796</t>
  </si>
  <si>
    <t>ADNANE ABID</t>
  </si>
  <si>
    <t>BELÇİKA / FAS</t>
  </si>
  <si>
    <t>Sağ Kanat / Sol Kanat / 10 Numara | Sağ ayak | 1,67 m</t>
  </si>
  <si>
    <t>STANDARD LIÈGE</t>
  </si>
  <si>
    <t>https://www.transfermarkt.fr/adnane-abid/profil/spieler/583899</t>
  </si>
  <si>
    <t>MYRON VAN BREDERODE</t>
  </si>
  <si>
    <t>Sol Kanat / 10 Numara | Sağ ayak | 1,74 m</t>
  </si>
  <si>
    <t>KV MECHELEN</t>
  </si>
  <si>
    <t>https://www.transfermarkt.com.tr/myron-van-brederode/profil/spieler/650712</t>
  </si>
  <si>
    <t>CEDRIC NUOZZI</t>
  </si>
  <si>
    <t>Sol Kanat / Sağ Kanat | Sağ ayak | 1,77 m</t>
  </si>
  <si>
    <t>https://www.transfermarkt.com.tr/cedric-nuozzi/profil/spieler/859923</t>
  </si>
  <si>
    <t>CHIQUINHO</t>
  </si>
  <si>
    <t>PORTEKİZ / YEŞİL BURUN ADALARI</t>
  </si>
  <si>
    <t>https://www.transfermarkt.com.tr/chiquinho/profil/spieler/695454</t>
  </si>
  <si>
    <t>SULEMAN SANI</t>
  </si>
  <si>
    <t>Sol Kanat / Sağ Kanat | Sağ ayak | 1,75 m</t>
  </si>
  <si>
    <t>RB LEIPZIG</t>
  </si>
  <si>
    <t>https://www.transfermarkt.com/suleman-sani/profil/spieler/1235583</t>
  </si>
  <si>
    <t>ZAKARIA ABOUKHLAL</t>
  </si>
  <si>
    <t>Sağ Kanat / Sol Kanat / İkinci Forvet | Çift ayak | 1,79 m</t>
  </si>
  <si>
    <t>TORINO FC</t>
  </si>
  <si>
    <t>https://www.transfermarkt.com.tr/zakaria-aboukhlal/leistungsdatendetails/spieler/393238</t>
  </si>
  <si>
    <t>FABRICE TAMBA</t>
  </si>
  <si>
    <t>Sağ Kanat / Sol Kanat / Santrafor | Sağ ayak | 1,75 m</t>
  </si>
  <si>
    <t>SHKENDIJA TETOVO</t>
  </si>
  <si>
    <t>https://www.transfermarkt.com.tr/fabrice-tamba/profil/spieler/1008877</t>
  </si>
  <si>
    <t>LUCA OYEN</t>
  </si>
  <si>
    <t>Sol Kanat</t>
  </si>
  <si>
    <t>SC HEERENVEEN</t>
  </si>
  <si>
    <t>https://www.transfermarkt.com.tr/luca-oyen/profil/spieler/551085</t>
  </si>
  <si>
    <t>NICOLAS VALLEJO</t>
  </si>
  <si>
    <t>https://www.transfermarkt.com.ar/nicolas-vallejo/profil/spieler/1040204</t>
  </si>
  <si>
    <t>NEMANJA TRIFUNOVIC</t>
  </si>
  <si>
    <t>Sol Kanat / Sağ Kanat | Sağ ayak | 1,80 m</t>
  </si>
  <si>
    <t>PARTIZAN</t>
  </si>
  <si>
    <t>https://www.transfermarkt.com/nemanja-trifunovic/profil/spieler/848660</t>
  </si>
  <si>
    <t>ADRIAN BLAKE</t>
  </si>
  <si>
    <t>İNGİLTERE / JAMAİKA</t>
  </si>
  <si>
    <t>Sol Kanat / Sağ Kanat | Sağ ayak | 1,82 m</t>
  </si>
  <si>
    <t>FC UTRECHT</t>
  </si>
  <si>
    <t>https://www.transfermarkt.com.tr/adrian-blake/profil/spieler/875581</t>
  </si>
  <si>
    <t>VITINHO MOTA</t>
  </si>
  <si>
    <t>https://www.transfermarkt.com.br/vitinho-mota/profil/spieler/1090856</t>
  </si>
  <si>
    <t>WARREN MADRIGAL</t>
  </si>
  <si>
    <t>KOSTA RİKA</t>
  </si>
  <si>
    <t>Sol Kanat / Sağ Kanat / Santrafor | Sağ ayak | 1,85 m</t>
  </si>
  <si>
    <t>NASHVILLE SC</t>
  </si>
  <si>
    <t>https://www.transfermarkt.com.tr/warren-madrigal/profil/spieler/799682</t>
  </si>
  <si>
    <t>JOB OCHIENG</t>
  </si>
  <si>
    <t>KENYA</t>
  </si>
  <si>
    <t>Sağ Kanat / Sol Kanat | Sağ ayak | 1,85 m</t>
  </si>
  <si>
    <t>REAL SOCIEDAD B</t>
  </si>
  <si>
    <t>https://www.transfermarkt.com.tr/job-ochieng/profil/spieler/1105810</t>
  </si>
  <si>
    <t>NINO MARCELLI</t>
  </si>
  <si>
    <t>https://www.transfermarkt.com.tr/nino-marcelli/profil/spieler/726661</t>
  </si>
  <si>
    <t>GUILHERME BIRO</t>
  </si>
  <si>
    <t>Sağ Kanat / Sol Kanat / 10 Numara | Sol ayak | 1,71 m</t>
  </si>
  <si>
    <t>SHARJAH FC</t>
  </si>
  <si>
    <t>https://www.transfermarkt.com.tr/guilherme-biro/profil/spieler/743590</t>
  </si>
  <si>
    <t>LUKA ROMERO</t>
  </si>
  <si>
    <t>ARJANTİN / İSPANYA</t>
  </si>
  <si>
    <t>Sağ Kanat / 10 Numara | Sol ayak | 1,69 m</t>
  </si>
  <si>
    <t>CRUZ AZUL</t>
  </si>
  <si>
    <t>https://www.transfermarkt.com.tr/luka-romero/profil/spieler/769063</t>
  </si>
  <si>
    <t>MAURO COUTO</t>
  </si>
  <si>
    <t>https://www.transfermarkt.com.tr/mauro-couto/profil/spieler/1056907</t>
  </si>
  <si>
    <t>OSCAR KABWIT</t>
  </si>
  <si>
    <t>https://www.transfermarkt.com.tr/oscar-kabwit/leistungsdatendetails/spieler/1087164</t>
  </si>
  <si>
    <t>ANTHONY VALENCIA</t>
  </si>
  <si>
    <t>Sağ Kanat | Sol ayak | 1,73 m</t>
  </si>
  <si>
    <t>ROYAL ANTWERP</t>
  </si>
  <si>
    <t>https://www.transfermarkt.de/anthony-valencia/profil/spieler/974374</t>
  </si>
  <si>
    <t>UMEH EMMANUEL</t>
  </si>
  <si>
    <t>https://www.transfermarkt.com/umeh-emmanuel/profil/spieler/1068245</t>
  </si>
  <si>
    <t>MARQUINHOS</t>
  </si>
  <si>
    <t>Sağ Kanat / Sol Kanat | Sol ayak | 1,75 m</t>
  </si>
  <si>
    <t>CRUZEIRO</t>
  </si>
  <si>
    <t>https://www.transfermarkt.com.br/marquinhos/profil/spieler/668268</t>
  </si>
  <si>
    <t>RENE</t>
  </si>
  <si>
    <t>https://www.transfermarkt.com.br/rene/profil/spieler/1093951</t>
  </si>
  <si>
    <t>LOIC ESSOMBA</t>
  </si>
  <si>
    <t>https://www.transfermarkt.com.tr/loic-essomba/profil/spieler/1040825</t>
  </si>
  <si>
    <t>MAXIMILIANO GUTIERREZ</t>
  </si>
  <si>
    <t>https://www.transfermarkt.es/maximiliano-gutierrez/profil/spieler/965323</t>
  </si>
  <si>
    <t>JORDHY THOMPSON</t>
  </si>
  <si>
    <t>https://www.transfermarkt.com/jordhy-thompson/profil/spieler/889462</t>
  </si>
  <si>
    <t>LUCA ORELLANO</t>
  </si>
  <si>
    <t>https://www.transfermarkt.co.uk/luca-orellano/profil/spieler/636784</t>
  </si>
  <si>
    <t>DANIO DJASSI</t>
  </si>
  <si>
    <t>https://www.transfermarkt.com.tr/danio-djassi/profil/spieler/1294213</t>
  </si>
  <si>
    <t>LEONARDO BOVIO</t>
  </si>
  <si>
    <t>https://www.transfermarkt.com/leonardo-bovio/profil/spieler/1058350</t>
  </si>
  <si>
    <t>SAMUEL AKERE</t>
  </si>
  <si>
    <t>https://www.transfermarkt.com.tr/samuel-akere/profil/spieler/1012052</t>
  </si>
  <si>
    <t>JORGE MEIRELES</t>
  </si>
  <si>
    <t>Sol Kanat / Santrafor / Sağ Kanat | Sağ ayak | 1,80 m</t>
  </si>
  <si>
    <t>ESTRELA AMADORA</t>
  </si>
  <si>
    <t>https://www.transfermarkt.com.tr/jorge-meireles/profil/spieler/742454</t>
  </si>
  <si>
    <t>HERBA GUIRASSY</t>
  </si>
  <si>
    <t>https://www.transfermarkt.us/herba-guirassy/profil/spieler/1119453</t>
  </si>
  <si>
    <t>LAZAR RANDJELOVIC</t>
  </si>
  <si>
    <t>https://www.transfermarkt.com.tr/lazar-randjelovic/profil/spieler/512394</t>
  </si>
  <si>
    <t>YANNICK CARRASCO</t>
  </si>
  <si>
    <t>Sol Kanat / Sağ Kanat</t>
  </si>
  <si>
    <t>https://www.transfermarkt.de/yannick-carrasco/profil/spieler/140776</t>
  </si>
  <si>
    <t>KREPIN DIATTA</t>
  </si>
  <si>
    <t>Sağ Orta Saha / Sağ Kanat / Sağ Bek | Sağ ayak | 1,73 m</t>
  </si>
  <si>
    <t>https://www.transfermarkt.com.tr/krepin-diatta/profil/spieler/490426</t>
  </si>
  <si>
    <t>JAMINTON CAMPAZ</t>
  </si>
  <si>
    <t>Sol Kanat / 10 Numara / Sağ Kanat | Sol ayak | 1,66 m</t>
  </si>
  <si>
    <t>ROSARIO CENTRAL</t>
  </si>
  <si>
    <t>https://www.transfermarkt.us/jaminton-campaz/profil/spieler/491553</t>
  </si>
  <si>
    <t>RAMIRO ARCIGA</t>
  </si>
  <si>
    <t>MEKSİKA</t>
  </si>
  <si>
    <t>https://www.transfermarkt.com.tr/ramiro-arciga/profil/spieler/1087349</t>
  </si>
  <si>
    <t>DANTE SEALY</t>
  </si>
  <si>
    <t>TRİNİDAD VE TOBAGO</t>
  </si>
  <si>
    <t>Sağ Kanat | 1,78 m</t>
  </si>
  <si>
    <t>COLORADO RAPIDS</t>
  </si>
  <si>
    <t>https://www.transfermarkt.com.tr/dante-sealy/profil/spieler/568179</t>
  </si>
  <si>
    <t>MOMOH KAMARA</t>
  </si>
  <si>
    <t>https://www.transfermarkt.com.tr/momoh-kamara/profil/spieler/1129935</t>
  </si>
  <si>
    <t>NUNO MOREIRA</t>
  </si>
  <si>
    <t>https://www.transfermarkt.com.tr/nuno-moreira/profil/spieler/461937</t>
  </si>
  <si>
    <t>MARCO PASALIC</t>
  </si>
  <si>
    <t>HIRVATİSTAN / ALMANYA</t>
  </si>
  <si>
    <t>Sağ Kanat / Sol Kanat / Sağ Orta Saha | Sol ayak | 1,77 m</t>
  </si>
  <si>
    <t>ORLANDO CITY</t>
  </si>
  <si>
    <t>https://www.transfermarkt.com/marco-pasalic/profil/spieler/395928</t>
  </si>
  <si>
    <t>SANKARA KARAMOKO</t>
  </si>
  <si>
    <t>https://www.transfermarkt.co.uk/sankara-karamoko/profil/spieler/1067902</t>
  </si>
  <si>
    <t>LORENZO BILIBOC</t>
  </si>
  <si>
    <t>https://www.transfermarkt.com/lorenzo-biliboc/profil/spieler/993687</t>
  </si>
  <si>
    <t>SILVA KANI</t>
  </si>
  <si>
    <t>İSRAİL</t>
  </si>
  <si>
    <t>https://www.transfermarkt.com.tr/silva-kani/profil/spieler/783327</t>
  </si>
  <si>
    <t>FORVETLER</t>
  </si>
  <si>
    <t>FILIP AKDEMIR</t>
  </si>
  <si>
    <t>LUNDS BK</t>
  </si>
  <si>
    <t>KELECHI IHEANACHO</t>
  </si>
  <si>
    <t>BURSASPOR</t>
  </si>
  <si>
    <t>BISMARK EDJEODJI</t>
  </si>
  <si>
    <t>VEJLE</t>
  </si>
  <si>
    <t>TAWANDA MASWANHISE</t>
  </si>
  <si>
    <t>ZİMBABVE</t>
  </si>
  <si>
    <t>MOTHERWELL</t>
  </si>
  <si>
    <t>GUI NEGAO</t>
  </si>
  <si>
    <t>CORİNTHİANS</t>
  </si>
  <si>
    <t>ABDOUL KARIM TRAORE</t>
  </si>
  <si>
    <t>OH LEUVEN</t>
  </si>
  <si>
    <t>MOCTAR DIOP</t>
  </si>
  <si>
    <t xml:space="preserve">GENT II </t>
  </si>
  <si>
    <t>BİL NSONGO</t>
  </si>
  <si>
    <t>KAMERUN</t>
  </si>
  <si>
    <t>DEPORTİVO</t>
  </si>
  <si>
    <t>https://www.transfermarkt.com.tr/bil-nsongo/profil/spieler/1299392#google_vignette</t>
  </si>
  <si>
    <t>IKER BRAVO</t>
  </si>
  <si>
    <t>WATFORD</t>
  </si>
  <si>
    <t>https://www.transfermarkt.com.tr/iker-bravo/profil/spieler/741292/from/newsansicht</t>
  </si>
  <si>
    <t>FARIS MOUMBAGNA</t>
  </si>
  <si>
    <t>MARSİLYA</t>
  </si>
  <si>
    <t>https://www.transfermarkt.com.tr/faris-moumbagna/profil/spieler/599663</t>
  </si>
  <si>
    <t>VLADISLAV BLANUTA</t>
  </si>
  <si>
    <t>LECHIA GDANSK</t>
  </si>
  <si>
    <t>https://www.transfermarkt.com.tr/vladislav-blanuta/profil/spieler/706166</t>
  </si>
  <si>
    <t>BRAYAN ALEXANDER GIL</t>
  </si>
  <si>
    <t>EL SALVADOR</t>
  </si>
  <si>
    <t>BALTIKA</t>
  </si>
  <si>
    <t>https://www.transfermarkt.com.tr/brayan-gil/profil/spieler/736202</t>
  </si>
  <si>
    <t>GIFT ORBAN</t>
  </si>
  <si>
    <t>AMED</t>
  </si>
  <si>
    <t>https://www.transfermarkt.com.tr/gift-orban/profil/spieler/1018259</t>
  </si>
  <si>
    <t>RAFA MIR</t>
  </si>
  <si>
    <t>ARIS</t>
  </si>
  <si>
    <t>https://www.transfermarkt.com.tr/rafa-mir/profil/spieler/361254</t>
  </si>
  <si>
    <t>ANGEL RODADO</t>
  </si>
  <si>
    <t>WISLA KRAKOW</t>
  </si>
  <si>
    <t>https://www.transfermarkt.com.tr/angel-rodado/profil/spieler/440332</t>
  </si>
  <si>
    <t>SAMUEL ADENIRAN</t>
  </si>
  <si>
    <t>ABD</t>
  </si>
  <si>
    <t>PİVOT,HAREKETLİ,SIRTI DÖNÜK İYİ</t>
  </si>
  <si>
    <t>LASK</t>
  </si>
  <si>
    <t>https://www.transfermarkt.com.tr/samuel-adeniran/profil/spieler/643088</t>
  </si>
  <si>
    <t>CHRISTIAN BENTEKE</t>
  </si>
  <si>
    <t>AL WAHDA</t>
  </si>
  <si>
    <t>https://www.transfermarkt.com.tr/christian-benteke/profil/spieler/50201</t>
  </si>
  <si>
    <t>CHUKWUBUIKEM IKWUEMESI</t>
  </si>
  <si>
    <t>https://www.transfermarkt.com.tr/chukwubuikem-ikwuemesi/profil/spieler/929494</t>
  </si>
  <si>
    <t>ROMAN YAREMCHUK</t>
  </si>
  <si>
    <t>OLYMPIAKOS</t>
  </si>
  <si>
    <t>https://www.transfermarkt.com.tr/roman-yaremchuk/profil/spieler/221958</t>
  </si>
  <si>
    <t>BIL NSONGO</t>
  </si>
  <si>
    <t>Santrafor | 1,82 m</t>
  </si>
  <si>
    <t>DEPORTIVO A CORUÑA</t>
  </si>
  <si>
    <t>https://www.transfermarkt.com.tr/bil-nsongo/profil/spieler/1299392</t>
  </si>
  <si>
    <t>RONY</t>
  </si>
  <si>
    <t>Santrafor / Sol Kanat / Sağ Kanat | Sağ ayak | 1,67 m</t>
  </si>
  <si>
    <t>SANTOS FC</t>
  </si>
  <si>
    <t>https://www.transfermarkt.com.br/rony/profil/spieler/371009</t>
  </si>
  <si>
    <t>LUIS SEMEDO</t>
  </si>
  <si>
    <t>Santrafor | 1,92 m</t>
  </si>
  <si>
    <t>SUNDERLAND AFC</t>
  </si>
  <si>
    <t>https://www.transfermarkt.de/luis-semedo/profil/spieler/840687</t>
  </si>
  <si>
    <t>ANTHONY MARTIAL</t>
  </si>
  <si>
    <t>FRANSA / GUADELOUPE</t>
  </si>
  <si>
    <t>Santrafor / Sol Kanat / Sağ Kanat | Sağ ayak | 1,84 m</t>
  </si>
  <si>
    <t>https://www.transfermarkt.fr/anthony-martial/profil/spieler/182877</t>
  </si>
  <si>
    <t>LEVI GARCIA</t>
  </si>
  <si>
    <t>Santrafor / Sağ Kanat / Sol Kanat | Sol ayak | 1,82 m</t>
  </si>
  <si>
    <t>SPARTAK MOSKOVA</t>
  </si>
  <si>
    <t>https://www.transfermarkt.nl/levi-garcia/profil/spieler/354587</t>
  </si>
  <si>
    <t>DAVID DATRO FOFANA</t>
  </si>
  <si>
    <t>FİLDİŞİ SAHİLİ</t>
  </si>
  <si>
    <t>Santrafor / Sağ Kanat / Sol Kanat | Sağ ayak | 1,82 m</t>
  </si>
  <si>
    <t>CHELSEA FC</t>
  </si>
  <si>
    <t>YOSHAN VALOIS</t>
  </si>
  <si>
    <t>Santrafor / İkinci Forvet | Sağ ayak | 1,87 m</t>
  </si>
  <si>
    <t>CA LANÚS</t>
  </si>
  <si>
    <t>https://www.transfermarkt.com.tr/yoshan-valois/leistungsdatendetails/spieler/1258292</t>
  </si>
  <si>
    <t>STIVEN SHPENDI</t>
  </si>
  <si>
    <t>ARNAVUTLUK / İTALYA</t>
  </si>
  <si>
    <t>Santrafor / Sağ Kanat / Sol Kanat | Sağ ayak | 1,81 m</t>
  </si>
  <si>
    <t>EMPOLI FC</t>
  </si>
  <si>
    <t>https://www.transfermarkt.com.tr/stiven-shpendi/leistungsdatendetails/spieler/931567</t>
  </si>
  <si>
    <t>MAX DEAN</t>
  </si>
  <si>
    <t>Santrafor / Sağ Kanat / Sol Kanat | Sağ ayak | 1,78 m</t>
  </si>
  <si>
    <t>https://www.transfermarkt.de/max-dean/profil/spieler/805889</t>
  </si>
  <si>
    <t>MEISSA DIOP</t>
  </si>
  <si>
    <t>https://www.transfermarkt.com/meissa-diop/profil/spieler/880102</t>
  </si>
  <si>
    <t>ABUBAKAR ABDULLAHI</t>
  </si>
  <si>
    <t>https://www.transfermarkt.us/abubakar-abdullahi/profil/spieler/1133955</t>
  </si>
  <si>
    <t>HALIL OZDEMIR</t>
  </si>
  <si>
    <t>https://www.transfermarkt.com.tr/halil-ozdemir/profil/spieler/988711</t>
  </si>
  <si>
    <t>JEREMY AREVALO</t>
  </si>
  <si>
    <t>EKVADOR / İSPANYA</t>
  </si>
  <si>
    <t>Santrafor / 10 Numara / Merkez Orta Saha | Sol ayak | 1,82 m</t>
  </si>
  <si>
    <t>VFB STUTTGART</t>
  </si>
  <si>
    <t>https://www.transfermarkt.com.tr/jeremy-arevalo/profil/spieler/971663</t>
  </si>
  <si>
    <t>TAWFIK BENTAYEB</t>
  </si>
  <si>
    <t>https://www.transfermarkt.com.tr/tawfik-bentayeb/profil/spieler/667995</t>
  </si>
  <si>
    <t>ZSOMBOR GRUBER</t>
  </si>
  <si>
    <t>Santrafor | 1,80 m</t>
  </si>
  <si>
    <t>FERENCVÁROS</t>
  </si>
  <si>
    <t>https://www.transfermarkt.com/zsombor-gruber/profil/spieler/648895</t>
  </si>
  <si>
    <t>MUHAMET HAJDARI</t>
  </si>
  <si>
    <t>https://www.transfermarkt.at/muhamet-hajdari/profil/spieler/1055036</t>
  </si>
  <si>
    <t>MOHAMED EL AMINE RAMDAOUI</t>
  </si>
  <si>
    <t>https://www.transfermarkt.com.tr/mohamed-el-amine-ramdaoui/profil/spieler/1133118</t>
  </si>
  <si>
    <t>ROBIN MIRISOLA</t>
  </si>
  <si>
    <t>Santrafor</t>
  </si>
  <si>
    <t>https://www.transfermarkt.de/robin-mirisola/profil/spieler/952439</t>
  </si>
  <si>
    <t>WALLACE YAN</t>
  </si>
  <si>
    <t>Santrafor / Kanat</t>
  </si>
  <si>
    <t>https://www.transfermarkt.com.br/wallace-yan/profil/spieler/1082602</t>
  </si>
  <si>
    <t>TAKIP EDILEN TÜRK FUTBOLCULAR</t>
  </si>
  <si>
    <t>Kaynak Satır</t>
  </si>
  <si>
    <t>Sözleşme Sırası</t>
  </si>
  <si>
    <t>Kontenjan Sırası</t>
  </si>
  <si>
    <t>Kaleciler</t>
  </si>
  <si>
    <t>Stoperler</t>
  </si>
  <si>
    <t>Sağ Bekler</t>
  </si>
  <si>
    <t>Sol Bekler</t>
  </si>
  <si>
    <t>6 Numaralar</t>
  </si>
  <si>
    <t>8 Numaralar</t>
  </si>
  <si>
    <t>10 Numaralar</t>
  </si>
  <si>
    <t>Kanatlar</t>
  </si>
  <si>
    <t>Forvetler</t>
  </si>
  <si>
    <t>Takip Edilen Türk Futbolcular</t>
  </si>
  <si>
    <t>MEVCUT KADRO | SEZON PERFORMANS TAKİBİ</t>
  </si>
  <si>
    <t>Sıra No</t>
  </si>
  <si>
    <t>Kadroda</t>
  </si>
  <si>
    <t>Maç</t>
  </si>
  <si>
    <t>İlk 11</t>
  </si>
  <si>
    <t>Dakika</t>
  </si>
  <si>
    <t>Gol</t>
  </si>
  <si>
    <t>Asist</t>
  </si>
  <si>
    <t>Sarı Kart</t>
  </si>
  <si>
    <t>Kırmızı Kart</t>
  </si>
  <si>
    <t>Gol Katkısı</t>
  </si>
  <si>
    <t>90 dk Katkı</t>
  </si>
  <si>
    <t>Dakika / Maç</t>
  </si>
  <si>
    <t>Teknik Not</t>
  </si>
  <si>
    <t>MARCOS FELİPE</t>
  </si>
  <si>
    <t>KALECİ</t>
  </si>
  <si>
    <t>ERHAN ERENTÜRK</t>
  </si>
  <si>
    <t>ARİF ŞİMŞİR</t>
  </si>
  <si>
    <t>ALİHAN DULOĞLU</t>
  </si>
  <si>
    <t>HRVOJE SMOLCIC</t>
  </si>
  <si>
    <t>STOPER</t>
  </si>
  <si>
    <t>ARDA ŞENGÜL</t>
  </si>
  <si>
    <t>ALEXANDER PENETRA</t>
  </si>
  <si>
    <t>SERDAR SAATCI</t>
  </si>
  <si>
    <t>ÇAĞLAR SÖYÜNCÜ</t>
  </si>
  <si>
    <t>GÖKHAN SAZDAĞI</t>
  </si>
  <si>
    <t>SAĞ BEK</t>
  </si>
  <si>
    <t>HÜSEYİN BULUT</t>
  </si>
  <si>
    <t>GÖKALP ÖZDEMİR</t>
  </si>
  <si>
    <t>ANDREI BORZA</t>
  </si>
  <si>
    <t>SOL BEK</t>
  </si>
  <si>
    <t>CEMALİ SERTEL</t>
  </si>
  <si>
    <t>YLBER RAMADANI</t>
  </si>
  <si>
    <t>ORTA SAHA</t>
  </si>
  <si>
    <t>BERAT ÖZDEMİR</t>
  </si>
  <si>
    <t>MARKUS KARLSBAKK</t>
  </si>
  <si>
    <t>FREDY</t>
  </si>
  <si>
    <t>ERMIN MAHMIC</t>
  </si>
  <si>
    <t>MOHAMED DIOMANDE</t>
  </si>
  <si>
    <t>AHMED ILDIZ</t>
  </si>
  <si>
    <t>GÖKTAN GÜRPÜZ</t>
  </si>
  <si>
    <t>CENGİZ ÜNDER</t>
  </si>
  <si>
    <t>KANAT</t>
  </si>
  <si>
    <t>ALEXANDROS KYZIRIDIS</t>
  </si>
  <si>
    <t>EMİRCAN GÜRLÜK</t>
  </si>
  <si>
    <t>YOUSSOUFA MOUKOKO</t>
  </si>
  <si>
    <t>FORVET</t>
  </si>
  <si>
    <t>JESUS RAMIREZ</t>
  </si>
  <si>
    <t>HASAN EGE AKDOĞAN</t>
  </si>
  <si>
    <t>CANLI İZLENEN MAÇLAR | SCOUTING AKTİVİTE MERKEZİ</t>
  </si>
  <si>
    <t>SIRA</t>
  </si>
  <si>
    <t>TARİH</t>
  </si>
  <si>
    <t>SAAT</t>
  </si>
  <si>
    <t>YER</t>
  </si>
  <si>
    <t>LİG</t>
  </si>
  <si>
    <t>MAÇ</t>
  </si>
  <si>
    <t>SKOR</t>
  </si>
  <si>
    <t>İZLEYEN</t>
  </si>
  <si>
    <t>İzlenen Oyuncu Sayısı</t>
  </si>
  <si>
    <t>Öne Çıkan Oyuncular</t>
  </si>
  <si>
    <t>Rapor Durumu</t>
  </si>
  <si>
    <t>Video / Rapor Ref.</t>
  </si>
  <si>
    <t>19.00</t>
  </si>
  <si>
    <t>İSTANBUL</t>
  </si>
  <si>
    <t>SÜPER LİG</t>
  </si>
  <si>
    <t xml:space="preserve">KASIMPAŞA - TRABZONSPOR </t>
  </si>
  <si>
    <t>21.30</t>
  </si>
  <si>
    <t>BEŞİKTAŞ - EYÜPSPOR</t>
  </si>
  <si>
    <t>ANKARA</t>
  </si>
  <si>
    <t>1.LİG</t>
  </si>
  <si>
    <t>IĞDIR FK - KAYSERİSPOR</t>
  </si>
  <si>
    <t>17.00</t>
  </si>
  <si>
    <t>BANDIRMA</t>
  </si>
  <si>
    <t>BANDIRMASPOR - KEÇİÖRENGÜCÜ</t>
  </si>
  <si>
    <t>AKHİSAR</t>
  </si>
  <si>
    <t>VANSPOR - İSTANBULSPOR</t>
  </si>
  <si>
    <t>GENÇLERBİRLİĞİ - ERZURUMSPOR</t>
  </si>
  <si>
    <t>KAYSERİ</t>
  </si>
  <si>
    <t>KAYSERİSPOR - BURSASPOR</t>
  </si>
  <si>
    <t>SAMSUN</t>
  </si>
  <si>
    <t>SAMSUNSPOR - FENERBAHÇE</t>
  </si>
  <si>
    <t>BURSA</t>
  </si>
  <si>
    <t>3.LİG</t>
  </si>
  <si>
    <t>BURSA YILDIRIM - SÖKE</t>
  </si>
  <si>
    <t>20.00</t>
  </si>
  <si>
    <t>MUĞLA</t>
  </si>
  <si>
    <t>MUĞLASPOR - VANSPOR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</si>
</sst>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"/>
    <numFmt numFmtId="166" formatCode=";;;"/>
  </numFmts>
  <fonts count="30">
    <font>
      <sz val="11"/>
      <name val="Carlito"/>
    </font>
    <font>
      <b/>
      <sz val="16"/>
      <color rgb="FFFFFFFF"/>
      <name val="Carlito"/>
    </font>
    <font>
      <i/>
      <sz val="11"/>
      <color rgb="FFD1D5DB"/>
      <name val="Carlito"/>
    </font>
    <font>
      <b/>
      <sz val="11"/>
      <color rgb="FFFFFFFF"/>
      <name val="Carlito"/>
    </font>
    <font>
      <sz val="11"/>
      <color theme="10"/>
      <name val="Carlito"/>
    </font>
    <font>
      <b/>
      <sz val="10"/>
      <color rgb="FFFFFFFF"/>
      <name val="Carlito"/>
    </font>
    <font>
      <sz val="10"/>
      <color rgb="FF111827"/>
      <name val="Carlito"/>
    </font>
    <font>
      <b/>
      <sz val="18"/>
      <color rgb="FFFFFFFF"/>
      <name val="Carlito"/>
    </font>
    <font>
      <b/>
      <sz val="20"/>
      <color rgb="FF171717"/>
      <name val="Carlito"/>
    </font>
    <font>
      <b/>
      <sz val="11"/>
      <color rgb="FFC8102E"/>
      <name val="Carlito"/>
    </font>
    <font>
      <sz val="8"/>
      <color rgb="FF111827"/>
      <name val="Carlito"/>
    </font>
    <font>
      <sz val="11"/>
      <color theme="1"/>
      <name val="Carlito"/>
    </font>
    <font>
      <sz val="20"/>
      <name val="Carlito"/>
    </font>
    <font>
      <b/>
      <sz val="20"/>
      <color rgb="FFFFFFFF"/>
      <name val="Carlito"/>
    </font>
    <font>
      <b/>
      <sz val="20"/>
      <color rgb="FF00B050"/>
      <name val="Carlito"/>
      <charset val="162"/>
    </font>
    <font>
      <b/>
      <sz val="16"/>
      <color rgb="FF171717"/>
      <name val="Carlito"/>
    </font>
    <font>
      <b/>
      <sz val="16"/>
      <color rgb="FFFFFF00"/>
      <name val="Carlito"/>
    </font>
    <font>
      <b/>
      <sz val="20"/>
      <color rgb="FF002060"/>
      <name val="Carlito"/>
    </font>
    <font>
      <b/>
      <sz val="20"/>
      <color rgb="FFFF0000"/>
      <name val="Carlito"/>
      <charset val="162"/>
    </font>
    <font>
      <b/>
      <sz val="16"/>
      <color rgb="FFC00000"/>
      <name val="Carlito"/>
    </font>
    <font>
      <b/>
      <sz val="11"/>
      <color theme="1"/>
      <name val="Carlito"/>
    </font>
    <font>
      <b/>
      <sz val="72"/>
      <color theme="1"/>
      <name val="Carlito"/>
    </font>
    <font>
      <sz val="12"/>
      <color theme="10"/>
      <name val="Calibri"/>
      <family val="2"/>
      <scheme val="minor"/>
    </font>
    <font>
      <b/>
      <sz val="48"/>
      <color rgb="FFFF0000"/>
      <name val="Carlito"/>
    </font>
    <font>
      <sz val="48"/>
      <name val="Carlito"/>
    </font>
    <font>
      <b/>
      <sz val="48"/>
      <color rgb="FF171717"/>
      <name val="Carlito"/>
    </font>
    <font>
      <b/>
      <sz val="48"/>
      <color rgb="FFC00000"/>
      <name val="Carlito"/>
    </font>
    <font>
      <b/>
      <sz val="48"/>
      <color rgb="FFFFFF00"/>
      <name val="Carlito"/>
    </font>
    <font>
      <b/>
      <sz val="48"/>
      <color rgb="FF00B050"/>
      <name val="Carlito"/>
    </font>
    <font>
      <b/>
      <sz val="48"/>
      <color rgb="FF002060"/>
      <name val="Carlito"/>
    </font>
  </fonts>
  <fills count="23">
    <fill>
      <patternFill patternType="none"/>
    </fill>
    <fill>
      <patternFill patternType="gray125"/>
    </fill>
    <fill>
      <patternFill patternType="solid">
        <fgColor rgb="FFC51F2B"/>
      </patternFill>
    </fill>
    <fill>
      <patternFill patternType="solid">
        <fgColor theme="1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171717"/>
      </patternFill>
    </fill>
    <fill>
      <patternFill patternType="solid">
        <fgColor rgb="FFC8102E"/>
      </patternFill>
    </fill>
    <fill>
      <patternFill patternType="solid">
        <fgColor rgb="FF242424"/>
      </patternFill>
    </fill>
    <fill>
      <patternFill patternType="solid">
        <fgColor rgb="FF2E7D32"/>
      </patternFill>
    </fill>
    <fill>
      <patternFill patternType="solid">
        <fgColor rgb="FFF2C94C"/>
      </patternFill>
    </fill>
    <fill>
      <patternFill patternType="solid">
        <fgColor rgb="FFC62828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2" fillId="0" borderId="0"/>
  </cellStyleXfs>
  <cellXfs count="97">
    <xf numFmtId="0" fontId="0" fillId="0" borderId="0" xfId="0"/>
    <xf numFmtId="0" fontId="3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0" xfId="0" applyFill="1"/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1" fontId="0" fillId="0" borderId="2" xfId="0" applyNumberFormat="1" applyBorder="1"/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3" fillId="7" borderId="0" xfId="0" applyFont="1" applyFill="1" applyAlignment="1">
      <alignment horizontal="center" wrapText="1"/>
    </xf>
    <xf numFmtId="0" fontId="5" fillId="9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165" fontId="3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 wrapText="1"/>
    </xf>
    <xf numFmtId="0" fontId="3" fillId="8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13" borderId="0" xfId="0" applyFill="1"/>
    <xf numFmtId="0" fontId="0" fillId="14" borderId="0" xfId="0" applyFill="1"/>
    <xf numFmtId="0" fontId="8" fillId="15" borderId="0" xfId="0" applyFont="1" applyFill="1" applyAlignment="1">
      <alignment horizontal="center" vertical="center"/>
    </xf>
    <xf numFmtId="164" fontId="0" fillId="13" borderId="2" xfId="0" applyNumberFormat="1" applyFill="1" applyBorder="1" applyAlignment="1">
      <alignment vertical="center"/>
    </xf>
    <xf numFmtId="0" fontId="0" fillId="13" borderId="2" xfId="0" applyFill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/>
    <xf numFmtId="0" fontId="4" fillId="0" borderId="0" xfId="1" applyFont="1"/>
    <xf numFmtId="0" fontId="12" fillId="15" borderId="0" xfId="0" applyFont="1" applyFill="1"/>
    <xf numFmtId="0" fontId="13" fillId="15" borderId="0" xfId="0" applyFont="1" applyFill="1" applyAlignment="1">
      <alignment horizontal="center"/>
    </xf>
    <xf numFmtId="0" fontId="0" fillId="16" borderId="1" xfId="0" applyFill="1" applyBorder="1" applyAlignment="1">
      <alignment horizontal="center" vertical="center"/>
    </xf>
    <xf numFmtId="164" fontId="0" fillId="16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9" fillId="14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11" fillId="14" borderId="0" xfId="0" applyFont="1" applyFill="1"/>
    <xf numFmtId="0" fontId="20" fillId="14" borderId="0" xfId="0" applyFont="1" applyFill="1" applyAlignment="1">
      <alignment horizontal="center" vertical="center"/>
    </xf>
    <xf numFmtId="0" fontId="0" fillId="17" borderId="3" xfId="0" applyFill="1" applyBorder="1"/>
    <xf numFmtId="0" fontId="0" fillId="17" borderId="3" xfId="0" applyFill="1" applyBorder="1" applyAlignment="1">
      <alignment wrapText="1"/>
    </xf>
    <xf numFmtId="0" fontId="0" fillId="15" borderId="3" xfId="0" applyFill="1" applyBorder="1"/>
    <xf numFmtId="0" fontId="0" fillId="15" borderId="3" xfId="0" applyFill="1" applyBorder="1" applyAlignment="1">
      <alignment wrapText="1"/>
    </xf>
    <xf numFmtId="0" fontId="0" fillId="18" borderId="3" xfId="0" applyFill="1" applyBorder="1"/>
    <xf numFmtId="0" fontId="0" fillId="18" borderId="3" xfId="0" applyFill="1" applyBorder="1" applyAlignment="1">
      <alignment wrapText="1"/>
    </xf>
    <xf numFmtId="0" fontId="0" fillId="19" borderId="3" xfId="0" applyFill="1" applyBorder="1"/>
    <xf numFmtId="0" fontId="0" fillId="19" borderId="3" xfId="0" applyFill="1" applyBorder="1" applyAlignment="1">
      <alignment wrapText="1"/>
    </xf>
    <xf numFmtId="0" fontId="0" fillId="20" borderId="3" xfId="0" applyFill="1" applyBorder="1"/>
    <xf numFmtId="0" fontId="0" fillId="20" borderId="3" xfId="0" applyFill="1" applyBorder="1" applyAlignment="1">
      <alignment wrapText="1"/>
    </xf>
    <xf numFmtId="0" fontId="0" fillId="21" borderId="3" xfId="0" applyFill="1" applyBorder="1"/>
    <xf numFmtId="0" fontId="0" fillId="21" borderId="3" xfId="0" applyFill="1" applyBorder="1" applyAlignment="1">
      <alignment wrapText="1"/>
    </xf>
    <xf numFmtId="0" fontId="0" fillId="22" borderId="3" xfId="0" applyFill="1" applyBorder="1"/>
    <xf numFmtId="0" fontId="0" fillId="22" borderId="3" xfId="0" applyFill="1" applyBorder="1" applyAlignment="1">
      <alignment wrapText="1"/>
    </xf>
    <xf numFmtId="0" fontId="4" fillId="0" borderId="0" xfId="1" applyFont="1" applyAlignment="1">
      <alignment horizontal="center"/>
    </xf>
    <xf numFmtId="0" fontId="22" fillId="0" borderId="0" xfId="1"/>
    <xf numFmtId="0" fontId="24" fillId="15" borderId="0" xfId="0" applyFont="1" applyFill="1"/>
    <xf numFmtId="0" fontId="1" fillId="1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wrapText="1"/>
    </xf>
    <xf numFmtId="0" fontId="7" fillId="14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0" fontId="24" fillId="0" borderId="0" xfId="0" applyFont="1"/>
    <xf numFmtId="0" fontId="20" fillId="14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6" fillId="15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27" fillId="15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/>
    </xf>
    <xf numFmtId="0" fontId="5" fillId="11" borderId="0" xfId="0" applyFont="1" applyFill="1" applyAlignment="1">
      <alignment horizontal="center" vertical="center"/>
    </xf>
    <xf numFmtId="165" fontId="15" fillId="15" borderId="0" xfId="0" applyNumberFormat="1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0" fontId="28" fillId="15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1" fontId="23" fillId="15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2" fillId="14" borderId="0" xfId="0" applyFont="1" applyFill="1" applyAlignment="1">
      <alignment wrapText="1"/>
    </xf>
  </cellXfs>
  <cellStyles count="2">
    <cellStyle name="Köprü" xfId="1" xr:uid="{00000000-0005-0000-0000-000001000000}"/>
    <cellStyle name="Normal" xfId="0" builtinId="0"/>
  </cellStyles>
  <dxfs count="64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r>
              <a:rPr lang="tr-TR" sz="1200" b="1"/>
              <a:t>Ana Pozisyon Dağılımı</a:t>
            </a:r>
          </a:p>
        </c:rich>
      </c:tx>
      <c:layout>
        <c:manualLayout>
          <c:xMode val="edge"/>
          <c:yMode val="edge"/>
          <c:x val="0.3686060606060606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Oyuncu Sayısı</c:v>
          </c:tx>
          <c:spPr>
            <a:solidFill>
              <a:srgbClr val="FF0000"/>
            </a:solidFill>
            <a:ln>
              <a:prstDash val="solid"/>
            </a:ln>
          </c:spPr>
          <c:invertIfNegative val="1"/>
          <c:cat>
            <c:strRef>
              <c:f>Dashboard!$A$17:$A$22</c:f>
              <c:strCache>
                <c:ptCount val="6"/>
                <c:pt idx="0">
                  <c:v>Kaleci</c:v>
                </c:pt>
                <c:pt idx="1">
                  <c:v>Stoper</c:v>
                </c:pt>
                <c:pt idx="2">
                  <c:v>Bek</c:v>
                </c:pt>
                <c:pt idx="3">
                  <c:v>Orta Saha</c:v>
                </c:pt>
                <c:pt idx="4">
                  <c:v>Kanat</c:v>
                </c:pt>
                <c:pt idx="5">
                  <c:v>Forvet</c:v>
                </c:pt>
              </c:strCache>
            </c:strRef>
          </c:cat>
          <c:val>
            <c:numRef>
              <c:f>Dashboard!$C$17:$C$22</c:f>
              <c:numCache>
                <c:formatCode>0.0</c:formatCode>
                <c:ptCount val="6"/>
                <c:pt idx="0">
                  <c:v>0</c:v>
                </c:pt>
                <c:pt idx="1">
                  <c:v>0.11952191235059761</c:v>
                </c:pt>
                <c:pt idx="2">
                  <c:v>5.5776892430278883E-2</c:v>
                </c:pt>
                <c:pt idx="3">
                  <c:v>0.28685258964143429</c:v>
                </c:pt>
                <c:pt idx="4">
                  <c:v>0.38645418326693226</c:v>
                </c:pt>
                <c:pt idx="5">
                  <c:v>0.15139442231075698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E80-A14D-BAD9-CF2A999F9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r>
              <a:rPr lang="tr-TR" sz="1200" b="1"/>
              <a:t>Karar Dağılımı</a:t>
            </a:r>
          </a:p>
        </c:rich>
      </c:tx>
      <c:layout>
        <c:manualLayout>
          <c:xMode val="edge"/>
          <c:yMode val="edge"/>
          <c:x val="0.40087489063867021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Oyuncu Sayısı</c:v>
          </c:tx>
          <c:spPr>
            <a:solidFill>
              <a:srgbClr val="FF0000"/>
            </a:solidFill>
            <a:ln>
              <a:prstDash val="solid"/>
            </a:ln>
          </c:spPr>
          <c:invertIfNegative val="1"/>
          <c:cat>
            <c:strRef>
              <c:f>Dashboard!$E$22:$E$26</c:f>
              <c:strCache>
                <c:ptCount val="5"/>
                <c:pt idx="0">
                  <c:v>A Liste</c:v>
                </c:pt>
                <c:pt idx="1">
                  <c:v>B Liste</c:v>
                </c:pt>
                <c:pt idx="2">
                  <c:v>Takip</c:v>
                </c:pt>
                <c:pt idx="3">
                  <c:v>Tekrar İzle</c:v>
                </c:pt>
                <c:pt idx="4">
                  <c:v>Ele</c:v>
                </c:pt>
              </c:strCache>
            </c:strRef>
          </c:cat>
          <c:val>
            <c:numRef>
              <c:f>Dashboard!$F$22:$F$26</c:f>
              <c:numCache>
                <c:formatCode>General</c:formatCode>
                <c:ptCount val="5"/>
                <c:pt idx="0">
                  <c:v>7.5697211155378488E-2</c:v>
                </c:pt>
                <c:pt idx="1">
                  <c:v>9.1633466135458169E-2</c:v>
                </c:pt>
                <c:pt idx="2">
                  <c:v>9.1633466135458169E-2</c:v>
                </c:pt>
                <c:pt idx="3">
                  <c:v>5.5776892430278883E-2</c:v>
                </c:pt>
                <c:pt idx="4">
                  <c:v>0.12350597609561753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78-7047-86EA-A8220512C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650112"/>
        <c:axId val="58672768"/>
      </c:barChart>
      <c:catAx>
        <c:axId val="5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58672768"/>
        <c:crosses val="autoZero"/>
        <c:auto val="1"/>
        <c:lblAlgn val="ctr"/>
        <c:lblOffset val="100"/>
        <c:noMultiLvlLbl val="0"/>
      </c:catAx>
      <c:valAx>
        <c:axId val="5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5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r>
              <a:rPr lang="tr-TR" sz="1200" b="1"/>
              <a:t>Ülke Dağılımı</a:t>
            </a:r>
          </a:p>
        </c:rich>
      </c:tx>
      <c:layout>
        <c:manualLayout>
          <c:xMode val="edge"/>
          <c:yMode val="edge"/>
          <c:x val="0.3686060606060606"/>
          <c:y val="0"/>
        </c:manualLayout>
      </c:layout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Oyuncu Sayısı</c:v>
          </c:tx>
          <c:spPr>
            <a:solidFill>
              <a:srgbClr val="FF0000"/>
            </a:solidFill>
            <a:ln>
              <a:prstDash val="solid"/>
            </a:ln>
          </c:spPr>
          <c:invertIfNegative val="1"/>
          <c:cat>
            <c:strRef>
              <c:f>Dashboard!$J$45:$J$93</c:f>
              <c:strCache>
                <c:ptCount val="49"/>
                <c:pt idx="0">
                  <c:v>ARJANTİN</c:v>
                </c:pt>
                <c:pt idx="1">
                  <c:v>FRANSA</c:v>
                </c:pt>
                <c:pt idx="2">
                  <c:v>BREZİLYA</c:v>
                </c:pt>
                <c:pt idx="3">
                  <c:v>SIRBİSTAN</c:v>
                </c:pt>
                <c:pt idx="4">
                  <c:v>GANA</c:v>
                </c:pt>
                <c:pt idx="5">
                  <c:v>CEZAYİR</c:v>
                </c:pt>
                <c:pt idx="6">
                  <c:v>KONGO</c:v>
                </c:pt>
                <c:pt idx="7">
                  <c:v>BURKINA FASO</c:v>
                </c:pt>
                <c:pt idx="8">
                  <c:v>HIRVATİSTAN</c:v>
                </c:pt>
                <c:pt idx="9">
                  <c:v>İSPANYA</c:v>
                </c:pt>
                <c:pt idx="10">
                  <c:v>ENDONEZYA</c:v>
                </c:pt>
                <c:pt idx="11">
                  <c:v>BOSNA</c:v>
                </c:pt>
                <c:pt idx="12">
                  <c:v>ROMANYA</c:v>
                </c:pt>
                <c:pt idx="13">
                  <c:v>PORTEKİZ</c:v>
                </c:pt>
                <c:pt idx="14">
                  <c:v>HOLLANDA</c:v>
                </c:pt>
                <c:pt idx="15">
                  <c:v>ARNAVUTLUK</c:v>
                </c:pt>
                <c:pt idx="16">
                  <c:v>MALİ / FRANSA</c:v>
                </c:pt>
                <c:pt idx="17">
                  <c:v>VENEZULLA</c:v>
                </c:pt>
                <c:pt idx="18">
                  <c:v>CURAÇAO / HOLLANDA</c:v>
                </c:pt>
                <c:pt idx="19">
                  <c:v>BURKİNA FASO</c:v>
                </c:pt>
                <c:pt idx="20">
                  <c:v>DANİMARKA</c:v>
                </c:pt>
                <c:pt idx="21">
                  <c:v>İSVİÇRE</c:v>
                </c:pt>
                <c:pt idx="22">
                  <c:v>MALİ</c:v>
                </c:pt>
                <c:pt idx="23">
                  <c:v>KOLOMBİYA</c:v>
                </c:pt>
                <c:pt idx="24">
                  <c:v>SURİYE</c:v>
                </c:pt>
                <c:pt idx="25">
                  <c:v>AVUSTURYA</c:v>
                </c:pt>
                <c:pt idx="26">
                  <c:v>EKVADOR</c:v>
                </c:pt>
                <c:pt idx="27">
                  <c:v>ARNAVUTLUK / BELÇİKA</c:v>
                </c:pt>
                <c:pt idx="28">
                  <c:v>MACARİSTAN</c:v>
                </c:pt>
                <c:pt idx="29">
                  <c:v>KANADA</c:v>
                </c:pt>
                <c:pt idx="30">
                  <c:v>SENEGAL</c:v>
                </c:pt>
                <c:pt idx="31">
                  <c:v>PARAGUAY</c:v>
                </c:pt>
                <c:pt idx="32">
                  <c:v>BELÇİKA</c:v>
                </c:pt>
                <c:pt idx="33">
                  <c:v>SLOVENYA</c:v>
                </c:pt>
                <c:pt idx="34">
                  <c:v>FİNLANDİYA</c:v>
                </c:pt>
                <c:pt idx="35">
                  <c:v>GUADELOUPE</c:v>
                </c:pt>
                <c:pt idx="36">
                  <c:v>NİJERYA</c:v>
                </c:pt>
                <c:pt idx="37">
                  <c:v>FAS</c:v>
                </c:pt>
                <c:pt idx="38">
                  <c:v>GİNE</c:v>
                </c:pt>
                <c:pt idx="39">
                  <c:v>ARJANTİN / İTALYA</c:v>
                </c:pt>
                <c:pt idx="40">
                  <c:v>GÜNEY KORE</c:v>
                </c:pt>
                <c:pt idx="41">
                  <c:v>GUADELOUPE / FRANSA</c:v>
                </c:pt>
                <c:pt idx="42">
                  <c:v>FRANSA / DR KONGO</c:v>
                </c:pt>
                <c:pt idx="43">
                  <c:v>ORTA AFRİKA CUMHURİYETİ / FRANSA</c:v>
                </c:pt>
                <c:pt idx="44">
                  <c:v>FİLDİŞİ SAHİLİ / FRANSA</c:v>
                </c:pt>
                <c:pt idx="45">
                  <c:v>FRANSA / MALİ</c:v>
                </c:pt>
                <c:pt idx="46">
                  <c:v>İNGİLTERE</c:v>
                </c:pt>
                <c:pt idx="47">
                  <c:v>TÜRKİYE</c:v>
                </c:pt>
                <c:pt idx="48">
                  <c:v>İTALYA</c:v>
                </c:pt>
              </c:strCache>
            </c:strRef>
          </c:cat>
          <c:val>
            <c:numRef>
              <c:f>Dashboard!$K$45:$K$93</c:f>
              <c:numCache>
                <c:formatCode>General</c:formatCode>
                <c:ptCount val="49"/>
                <c:pt idx="0">
                  <c:v>10</c:v>
                </c:pt>
                <c:pt idx="1">
                  <c:v>7</c:v>
                </c:pt>
                <c:pt idx="2">
                  <c:v>34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5</c:v>
                </c:pt>
                <c:pt idx="9">
                  <c:v>9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5</c:v>
                </c:pt>
                <c:pt idx="31">
                  <c:v>2</c:v>
                </c:pt>
                <c:pt idx="32">
                  <c:v>7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8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4</c:v>
                </c:pt>
                <c:pt idx="48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DE-AE4C-8BA3-68D0BFF16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r>
              <a:rPr lang="tr-TR" sz="1200" b="1"/>
              <a:t>2003 Kontenjan Dağılımı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Oyuncu Sayısı</c:v>
          </c:tx>
          <c:spPr>
            <a:solidFill>
              <a:srgbClr val="FF0000"/>
            </a:solidFill>
            <a:ln>
              <a:prstDash val="solid"/>
            </a:ln>
          </c:spPr>
          <c:invertIfNegative val="1"/>
          <c:cat>
            <c:strRef>
              <c:f>Dashboard!$AA$44:$AA$45</c:f>
              <c:strCache>
                <c:ptCount val="2"/>
                <c:pt idx="0">
                  <c:v>2003 ve Sonrası</c:v>
                </c:pt>
                <c:pt idx="1">
                  <c:v>2003 Öncesi</c:v>
                </c:pt>
              </c:strCache>
            </c:strRef>
          </c:cat>
          <c:val>
            <c:numRef>
              <c:f>Dashboard!$AB$44:$AB$45</c:f>
              <c:numCache>
                <c:formatCode>General</c:formatCode>
                <c:ptCount val="2"/>
                <c:pt idx="0">
                  <c:v>77</c:v>
                </c:pt>
                <c:pt idx="1">
                  <c:v>137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CCE-1C49-B263-C4EFEF461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1049130</xdr:colOff>
      <xdr:row>13</xdr:row>
      <xdr:rowOff>138044</xdr:rowOff>
    </xdr:from>
    <xdr:to>
      <xdr:col>23</xdr:col>
      <xdr:colOff>345109</xdr:colOff>
      <xdr:row>26</xdr:row>
      <xdr:rowOff>41414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193262</xdr:colOff>
      <xdr:row>13</xdr:row>
      <xdr:rowOff>165653</xdr:rowOff>
    </xdr:from>
    <xdr:to>
      <xdr:col>13</xdr:col>
      <xdr:colOff>897282</xdr:colOff>
      <xdr:row>26</xdr:row>
      <xdr:rowOff>69022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151848</xdr:rowOff>
    </xdr:from>
    <xdr:to>
      <xdr:col>8</xdr:col>
      <xdr:colOff>662608</xdr:colOff>
      <xdr:row>93</xdr:row>
      <xdr:rowOff>55217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773042</xdr:colOff>
      <xdr:row>43</xdr:row>
      <xdr:rowOff>41414</xdr:rowOff>
    </xdr:from>
    <xdr:to>
      <xdr:col>17</xdr:col>
      <xdr:colOff>469347</xdr:colOff>
      <xdr:row>59</xdr:row>
      <xdr:rowOff>41414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243779</xdr:colOff>
      <xdr:row>3</xdr:row>
      <xdr:rowOff>159989</xdr:rowOff>
    </xdr:from>
    <xdr:to>
      <xdr:col>24</xdr:col>
      <xdr:colOff>500564</xdr:colOff>
      <xdr:row>10</xdr:row>
      <xdr:rowOff>773044</xdr:rowOff>
    </xdr:to>
    <xdr:pic>
      <xdr:nvPicPr>
        <xdr:cNvPr id="6" name="/xl/media/image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35518" y="698359"/>
          <a:ext cx="2962437" cy="290457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107830</xdr:colOff>
      <xdr:row>0</xdr:row>
      <xdr:rowOff>35943</xdr:rowOff>
    </xdr:from>
    <xdr:to>
      <xdr:col>0</xdr:col>
      <xdr:colOff>611038</xdr:colOff>
      <xdr:row>1</xdr:row>
      <xdr:rowOff>155755</xdr:rowOff>
    </xdr:to>
    <xdr:pic>
      <xdr:nvPicPr>
        <xdr:cNvPr id="2" name="/xl/media/image1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1283897</xdr:colOff>
      <xdr:row>0</xdr:row>
      <xdr:rowOff>19170</xdr:rowOff>
    </xdr:from>
    <xdr:to>
      <xdr:col>9</xdr:col>
      <xdr:colOff>1787105</xdr:colOff>
      <xdr:row>1</xdr:row>
      <xdr:rowOff>138982</xdr:rowOff>
    </xdr:to>
    <xdr:pic>
      <xdr:nvPicPr>
        <xdr:cNvPr id="3" name="/xl/media/image1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18497" y="19170"/>
          <a:ext cx="503208" cy="50081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25400</xdr:rowOff>
    </xdr:from>
    <xdr:to>
      <xdr:col>0</xdr:col>
      <xdr:colOff>596900</xdr:colOff>
      <xdr:row>1</xdr:row>
      <xdr:rowOff>139700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0</xdr:rowOff>
    </xdr:from>
    <xdr:to>
      <xdr:col>0</xdr:col>
      <xdr:colOff>546100</xdr:colOff>
      <xdr:row>1</xdr:row>
      <xdr:rowOff>114300</xdr:rowOff>
    </xdr:to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25400</xdr:rowOff>
    </xdr:from>
    <xdr:to>
      <xdr:col>0</xdr:col>
      <xdr:colOff>622300</xdr:colOff>
      <xdr:row>1</xdr:row>
      <xdr:rowOff>139700</xdr:rowOff>
    </xdr:to>
    <xdr:pic>
      <xdr:nvPicPr>
        <xdr:cNvPr id="2" name="/xl/media/image4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12700</xdr:rowOff>
    </xdr:from>
    <xdr:to>
      <xdr:col>0</xdr:col>
      <xdr:colOff>596900</xdr:colOff>
      <xdr:row>1</xdr:row>
      <xdr:rowOff>127000</xdr:rowOff>
    </xdr:to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25400</xdr:rowOff>
    </xdr:from>
    <xdr:to>
      <xdr:col>0</xdr:col>
      <xdr:colOff>584200</xdr:colOff>
      <xdr:row>1</xdr:row>
      <xdr:rowOff>139700</xdr:rowOff>
    </xdr:to>
    <xdr:pic>
      <xdr:nvPicPr>
        <xdr:cNvPr id="2" name="/xl/media/image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25400</xdr:rowOff>
    </xdr:from>
    <xdr:to>
      <xdr:col>0</xdr:col>
      <xdr:colOff>596900</xdr:colOff>
      <xdr:row>1</xdr:row>
      <xdr:rowOff>139700</xdr:rowOff>
    </xdr:to>
    <xdr:pic>
      <xdr:nvPicPr>
        <xdr:cNvPr id="2" name="/xl/media/image7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25400"/>
          <a:ext cx="495300" cy="495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38100</xdr:rowOff>
    </xdr:from>
    <xdr:to>
      <xdr:col>0</xdr:col>
      <xdr:colOff>584200</xdr:colOff>
      <xdr:row>1</xdr:row>
      <xdr:rowOff>152400</xdr:rowOff>
    </xdr:to>
    <xdr:pic>
      <xdr:nvPicPr>
        <xdr:cNvPr id="2" name="/xl/media/image8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" y="38100"/>
          <a:ext cx="495300" cy="495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25400</xdr:rowOff>
    </xdr:from>
    <xdr:to>
      <xdr:col>0</xdr:col>
      <xdr:colOff>596900</xdr:colOff>
      <xdr:row>1</xdr:row>
      <xdr:rowOff>139700</xdr:rowOff>
    </xdr:to>
    <xdr:pic>
      <xdr:nvPicPr>
        <xdr:cNvPr id="2" name="/xl/media/image9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25400"/>
          <a:ext cx="495300" cy="495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495300</xdr:colOff>
      <xdr:row>1</xdr:row>
      <xdr:rowOff>114300</xdr:rowOff>
    </xdr:to>
    <xdr:pic>
      <xdr:nvPicPr>
        <xdr:cNvPr id="2" name="/xl/media/image10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25400</xdr:rowOff>
    </xdr:from>
    <xdr:to>
      <xdr:col>0</xdr:col>
      <xdr:colOff>571500</xdr:colOff>
      <xdr:row>1</xdr:row>
      <xdr:rowOff>139700</xdr:rowOff>
    </xdr:to>
    <xdr:pic>
      <xdr:nvPicPr>
        <xdr:cNvPr id="2" name="/xl/media/image12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25400</xdr:rowOff>
    </xdr:from>
    <xdr:to>
      <xdr:col>1</xdr:col>
      <xdr:colOff>0</xdr:colOff>
      <xdr:row>1</xdr:row>
      <xdr:rowOff>139700</xdr:rowOff>
    </xdr:to>
    <xdr:pic>
      <xdr:nvPicPr>
        <xdr:cNvPr id="2" name="/xl/media/image13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1447800</xdr:colOff>
      <xdr:row>0</xdr:row>
      <xdr:rowOff>88900</xdr:rowOff>
    </xdr:from>
    <xdr:to>
      <xdr:col>11</xdr:col>
      <xdr:colOff>1917700</xdr:colOff>
      <xdr:row>2</xdr:row>
      <xdr:rowOff>12700</xdr:rowOff>
    </xdr:to>
    <xdr:pic>
      <xdr:nvPicPr>
        <xdr:cNvPr id="4" name="/xl/media/image13.png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43200" y="88900"/>
          <a:ext cx="469900" cy="495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.br/pedro-henrique/profil/spieler/329720" TargetMode="External"/><Relationship Id="rId3" Type="http://schemas.openxmlformats.org/officeDocument/2006/relationships/hyperlink" Target="https://www.transfermarkt.de/duje-caleta-car/profil/spieler/238266" TargetMode="External"/><Relationship Id="rId7" Type="http://schemas.openxmlformats.org/officeDocument/2006/relationships/hyperlink" Target="https://www.transfermarkt.com.br/messias/profil/spieler/401539" TargetMode="External"/><Relationship Id="rId2" Type="http://schemas.openxmlformats.org/officeDocument/2006/relationships/hyperlink" Target="https://www.transfermarkt.com.tr/giovanni-van-zwam/profil/spieler/805149" TargetMode="External"/><Relationship Id="rId1" Type="http://schemas.openxmlformats.org/officeDocument/2006/relationships/hyperlink" Target="https://www.transfermarkt.com.tr/check-keita/profil/spieler/820146" TargetMode="External"/><Relationship Id="rId6" Type="http://schemas.openxmlformats.org/officeDocument/2006/relationships/hyperlink" Target="https://www.transfermarkt.com.tr/toni-borevkovic/profil/spieler/396342" TargetMode="External"/><Relationship Id="rId5" Type="http://schemas.openxmlformats.org/officeDocument/2006/relationships/hyperlink" Target="https://www.transfermarkt.com.br/leotm/profil/spieler/403296" TargetMode="External"/><Relationship Id="rId4" Type="http://schemas.openxmlformats.org/officeDocument/2006/relationships/hyperlink" Target="https://www.transfermarkt.com.br/jacy/profil/spieler/593382" TargetMode="External"/><Relationship Id="rId9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nsfermarkt.com/livano-comenencia/profil/spieler/626764" TargetMode="External"/><Relationship Id="rId2" Type="http://schemas.openxmlformats.org/officeDocument/2006/relationships/hyperlink" Target="https://www.transfermarkt.com.tr/nicolas-barros-schelotto/profil/spieler/1123309" TargetMode="External"/><Relationship Id="rId1" Type="http://schemas.openxmlformats.org/officeDocument/2006/relationships/hyperlink" Target="https://www.transfermarkt.com.tr/joao-pedro/profil/spieler/342024" TargetMode="External"/><Relationship Id="rId4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nsfermarkt.es/enzo-diaz/profil/spieler/540458" TargetMode="External"/><Relationship Id="rId2" Type="http://schemas.openxmlformats.org/officeDocument/2006/relationships/hyperlink" Target="https://www.transfermarkt.com.tr/ricardo-rodriguez/leistungsdaten/spieler/86784" TargetMode="External"/><Relationship Id="rId1" Type="http://schemas.openxmlformats.org/officeDocument/2006/relationships/hyperlink" Target="https://www.transfermarkt.com.br/leo-derik/profil/spieler/1052819" TargetMode="External"/><Relationship Id="rId4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nsfermarkt.com.tr/florian-grillitsch/profil/spieler/195736" TargetMode="External"/><Relationship Id="rId7" Type="http://schemas.openxmlformats.org/officeDocument/2006/relationships/drawing" Target="../drawings/drawing7.xml"/><Relationship Id="rId2" Type="http://schemas.openxmlformats.org/officeDocument/2006/relationships/hyperlink" Target="https://www.transfermarkt.pt/danilo-barbosa/profil/spieler/273438" TargetMode="External"/><Relationship Id="rId1" Type="http://schemas.openxmlformats.org/officeDocument/2006/relationships/hyperlink" Target="https://www.transfermarkt.com.tr/mahmoud-dahoud/profil/spieler/191422" TargetMode="External"/><Relationship Id="rId6" Type="http://schemas.openxmlformats.org/officeDocument/2006/relationships/hyperlink" Target="https://www.transfermarkt.co.uk/mate-tuboly/profil/spieler/874947" TargetMode="External"/><Relationship Id="rId5" Type="http://schemas.openxmlformats.org/officeDocument/2006/relationships/hyperlink" Target="https://www.transfermarkt.com.tr/lindon-selahi/profil/spieler/340172" TargetMode="External"/><Relationship Id="rId4" Type="http://schemas.openxmlformats.org/officeDocument/2006/relationships/hyperlink" Target="https://www.transfermarkt.com.tr/patrickson-delgado/profil/spieler/659802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.tr/martin-payero/profil/spieler/555820" TargetMode="External"/><Relationship Id="rId13" Type="http://schemas.openxmlformats.org/officeDocument/2006/relationships/hyperlink" Target="https://www.transfermarkt.com/warren-bondo/profil/spieler/659516" TargetMode="External"/><Relationship Id="rId18" Type="http://schemas.openxmlformats.org/officeDocument/2006/relationships/hyperlink" Target="https://www.transfermarkt.co.uk/koba-koindredi/profil/spieler/569375" TargetMode="External"/><Relationship Id="rId3" Type="http://schemas.openxmlformats.org/officeDocument/2006/relationships/hyperlink" Target="https://www.transfermarkt.com.tr/abdellah-baallal/profil/spieler/1028125" TargetMode="External"/><Relationship Id="rId21" Type="http://schemas.openxmlformats.org/officeDocument/2006/relationships/hyperlink" Target="https://www.transfermarkt.com.tr/josh-brownhill/profil/spieler/293569" TargetMode="External"/><Relationship Id="rId7" Type="http://schemas.openxmlformats.org/officeDocument/2006/relationships/hyperlink" Target="https://www.transfermarkt.com/catalin-cirjan/profil/spieler/575219" TargetMode="External"/><Relationship Id="rId12" Type="http://schemas.openxmlformats.org/officeDocument/2006/relationships/hyperlink" Target="https://www.transfermarkt.de/ebenezer-akinsanmiro/profil/spieler/969192" TargetMode="External"/><Relationship Id="rId17" Type="http://schemas.openxmlformats.org/officeDocument/2006/relationships/hyperlink" Target="https://www.transfermarkt.de/mathias-delorge/profil/spieler/723487" TargetMode="External"/><Relationship Id="rId2" Type="http://schemas.openxmlformats.org/officeDocument/2006/relationships/hyperlink" Target="https://www.transfermarkt.com.tr/noah-cadiou/profil/spieler/691958" TargetMode="External"/><Relationship Id="rId16" Type="http://schemas.openxmlformats.org/officeDocument/2006/relationships/hyperlink" Target="https://www.transfermarkt.com.tr/davy-gui/profil/spieler/1321322" TargetMode="External"/><Relationship Id="rId20" Type="http://schemas.openxmlformats.org/officeDocument/2006/relationships/hyperlink" Target="https://www.transfermarkt.com/du-queiroz/profil/spieler/906774" TargetMode="External"/><Relationship Id="rId1" Type="http://schemas.openxmlformats.org/officeDocument/2006/relationships/hyperlink" Target="https://www.transfermarkt.com.tr/yari-verschaeren/profil/spieler/502302" TargetMode="External"/><Relationship Id="rId6" Type="http://schemas.openxmlformats.org/officeDocument/2006/relationships/hyperlink" Target="https://www.transfermarkt.com.tr/mady-camara/profil/spieler/481173" TargetMode="External"/><Relationship Id="rId11" Type="http://schemas.openxmlformats.org/officeDocument/2006/relationships/hyperlink" Target="https://www.transfermarkt.com.tr/noah-cadiou/profil/spieler/691958" TargetMode="External"/><Relationship Id="rId5" Type="http://schemas.openxmlformats.org/officeDocument/2006/relationships/hyperlink" Target="https://www.transfermarkt.com.tr/adam-gnezda-cerin/profil/spieler/401394" TargetMode="External"/><Relationship Id="rId15" Type="http://schemas.openxmlformats.org/officeDocument/2006/relationships/hyperlink" Target="https://www.transfermarkt.com.br/joao-cruz/profil/spieler/1004738" TargetMode="External"/><Relationship Id="rId23" Type="http://schemas.openxmlformats.org/officeDocument/2006/relationships/drawing" Target="../drawings/drawing8.xml"/><Relationship Id="rId10" Type="http://schemas.openxmlformats.org/officeDocument/2006/relationships/hyperlink" Target="https://www.transfermarkt.com.tr/pablo-martinez/profil/spieler/568835" TargetMode="External"/><Relationship Id="rId19" Type="http://schemas.openxmlformats.org/officeDocument/2006/relationships/hyperlink" Target="https://www.transfermarkt.com.tr/mahamadou-diawara/profil/spieler/1053147" TargetMode="External"/><Relationship Id="rId4" Type="http://schemas.openxmlformats.org/officeDocument/2006/relationships/hyperlink" Target="https://www.transfermarkt.com.tr/jean-lucas/profil/spieler/578872" TargetMode="External"/><Relationship Id="rId9" Type="http://schemas.openxmlformats.org/officeDocument/2006/relationships/hyperlink" Target="https://www.transfermarkt.com.tr/jin-gyu-kim/profil/spieler/365377" TargetMode="External"/><Relationship Id="rId14" Type="http://schemas.openxmlformats.org/officeDocument/2006/relationships/hyperlink" Target="https://www.transfermarkt.com.tr/isaac-solet/profil/spieler/569373" TargetMode="External"/><Relationship Id="rId22" Type="http://schemas.openxmlformats.org/officeDocument/2006/relationships/hyperlink" Target="https://www.transfermarkt.com/emre-aytun/profil/spieler/459686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lucas-rodriguez/profil/spieler/380996" TargetMode="External"/><Relationship Id="rId13" Type="http://schemas.openxmlformats.org/officeDocument/2006/relationships/hyperlink" Target="https://www.transfermarkt.com.ar/kendry-paez/profil/spieler/1052439" TargetMode="External"/><Relationship Id="rId3" Type="http://schemas.openxmlformats.org/officeDocument/2006/relationships/hyperlink" Target="https://www.transfermarkt.com/yari-verschaeren/profil/spieler/502302" TargetMode="External"/><Relationship Id="rId7" Type="http://schemas.openxmlformats.org/officeDocument/2006/relationships/hyperlink" Target="https://www.transfermarkt.nl/zidan-sertdemir/profil/spieler/788445" TargetMode="External"/><Relationship Id="rId12" Type="http://schemas.openxmlformats.org/officeDocument/2006/relationships/hyperlink" Target="https://www.transfermarkt.co.uk/miguelito/profil/spieler/1063811" TargetMode="External"/><Relationship Id="rId2" Type="http://schemas.openxmlformats.org/officeDocument/2006/relationships/hyperlink" Target="https://www.transfermarkt.com/alan/profil/spieler/428786" TargetMode="External"/><Relationship Id="rId1" Type="http://schemas.openxmlformats.org/officeDocument/2006/relationships/hyperlink" Target="https://www.transfermarkt.com.tr/milan-vukotic/profil/spieler/624353" TargetMode="External"/><Relationship Id="rId6" Type="http://schemas.openxmlformats.org/officeDocument/2006/relationships/hyperlink" Target="https://www.transfermarkt.com.tr/luciano-cabral/profil/spieler/322610" TargetMode="External"/><Relationship Id="rId11" Type="http://schemas.openxmlformats.org/officeDocument/2006/relationships/hyperlink" Target="https://www.transfermarkt.com.tr/uros-miladinovic/profil/spieler/851543" TargetMode="External"/><Relationship Id="rId5" Type="http://schemas.openxmlformats.org/officeDocument/2006/relationships/hyperlink" Target="https://www.transfermarkt.com.tr/kamory-doumbia/profil/spieler/671594" TargetMode="External"/><Relationship Id="rId10" Type="http://schemas.openxmlformats.org/officeDocument/2006/relationships/hyperlink" Target="https://www.transfermarkt.com.br/jean-carlos/profil/spieler/1092857" TargetMode="External"/><Relationship Id="rId4" Type="http://schemas.openxmlformats.org/officeDocument/2006/relationships/hyperlink" Target="https://www.transfermarkt.com.br/gustavo-scarpa/profil/spieler/330085" TargetMode="External"/><Relationship Id="rId9" Type="http://schemas.openxmlformats.org/officeDocument/2006/relationships/hyperlink" Target="https://www.transfermarkt.com.tr/fabian-bzdyl/profil/spieler/1143311" TargetMode="External"/><Relationship Id="rId14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ransfermarkt.com/ismael-gharbi/profil/spieler/810096" TargetMode="External"/><Relationship Id="rId21" Type="http://schemas.openxmlformats.org/officeDocument/2006/relationships/hyperlink" Target="https://www.transfermarkt.com.tr/youssoupha-sanyang/profil/spieler/1238634" TargetMode="External"/><Relationship Id="rId42" Type="http://schemas.openxmlformats.org/officeDocument/2006/relationships/hyperlink" Target="https://www.transfermarkt.com.tr/luca-oyen/profil/spieler/551085" TargetMode="External"/><Relationship Id="rId47" Type="http://schemas.openxmlformats.org/officeDocument/2006/relationships/hyperlink" Target="https://www.transfermarkt.com.tr/warren-madrigal/profil/spieler/799682" TargetMode="External"/><Relationship Id="rId63" Type="http://schemas.openxmlformats.org/officeDocument/2006/relationships/hyperlink" Target="https://www.transfermarkt.com/leonardo-bovio/profil/spieler/1058350" TargetMode="External"/><Relationship Id="rId68" Type="http://schemas.openxmlformats.org/officeDocument/2006/relationships/hyperlink" Target="https://www.transfermarkt.de/yannick-carrasco/profil/spieler/140776" TargetMode="External"/><Relationship Id="rId16" Type="http://schemas.openxmlformats.org/officeDocument/2006/relationships/hyperlink" Target="https://www.transfermarkt.com/ronald/profil/spieler/862554" TargetMode="External"/><Relationship Id="rId11" Type="http://schemas.openxmlformats.org/officeDocument/2006/relationships/hyperlink" Target="https://www.transfermarkt.nl/oussama-idrissi/profil/spieler/241391" TargetMode="External"/><Relationship Id="rId24" Type="http://schemas.openxmlformats.org/officeDocument/2006/relationships/hyperlink" Target="https://www.transfermarkt.com.tr/bertrand-traore/profil/spieler/131996" TargetMode="External"/><Relationship Id="rId32" Type="http://schemas.openxmlformats.org/officeDocument/2006/relationships/hyperlink" Target="https://www.transfermarkt.com.br/welliton/profil/spieler/697848" TargetMode="External"/><Relationship Id="rId37" Type="http://schemas.openxmlformats.org/officeDocument/2006/relationships/hyperlink" Target="https://www.transfermarkt.com.tr/cedric-nuozzi/profil/spieler/859923" TargetMode="External"/><Relationship Id="rId40" Type="http://schemas.openxmlformats.org/officeDocument/2006/relationships/hyperlink" Target="https://www.transfermarkt.com.tr/zakaria-aboukhlal/leistungsdatendetails/spieler/393238" TargetMode="External"/><Relationship Id="rId45" Type="http://schemas.openxmlformats.org/officeDocument/2006/relationships/hyperlink" Target="https://www.transfermarkt.com.tr/adrian-blake/profil/spieler/875581" TargetMode="External"/><Relationship Id="rId53" Type="http://schemas.openxmlformats.org/officeDocument/2006/relationships/hyperlink" Target="https://www.transfermarkt.com.tr/oscar-kabwit/leistungsdatendetails/spieler/1087164" TargetMode="External"/><Relationship Id="rId58" Type="http://schemas.openxmlformats.org/officeDocument/2006/relationships/hyperlink" Target="https://www.transfermarkt.com.tr/loic-essomba/profil/spieler/1040825" TargetMode="External"/><Relationship Id="rId66" Type="http://schemas.openxmlformats.org/officeDocument/2006/relationships/hyperlink" Target="https://www.transfermarkt.us/herba-guirassy/profil/spieler/1119453" TargetMode="External"/><Relationship Id="rId74" Type="http://schemas.openxmlformats.org/officeDocument/2006/relationships/hyperlink" Target="https://www.transfermarkt.com.tr/nuno-moreira/profil/spieler/461937" TargetMode="External"/><Relationship Id="rId79" Type="http://schemas.openxmlformats.org/officeDocument/2006/relationships/drawing" Target="../drawings/drawing10.xml"/><Relationship Id="rId5" Type="http://schemas.openxmlformats.org/officeDocument/2006/relationships/hyperlink" Target="https://www.transfermarkt.com.br/gustavo-silva/profil/spieler/636314" TargetMode="External"/><Relationship Id="rId61" Type="http://schemas.openxmlformats.org/officeDocument/2006/relationships/hyperlink" Target="https://www.transfermarkt.co.uk/luca-orellano/profil/spieler/636784" TargetMode="External"/><Relationship Id="rId19" Type="http://schemas.openxmlformats.org/officeDocument/2006/relationships/hyperlink" Target="https://www.transfermarkt.it/jesper-karlsson/profil/spieler/367992" TargetMode="External"/><Relationship Id="rId14" Type="http://schemas.openxmlformats.org/officeDocument/2006/relationships/hyperlink" Target="https://www.transfermarkt.com.br/vitinho/profil/spieler/213605" TargetMode="External"/><Relationship Id="rId22" Type="http://schemas.openxmlformats.org/officeDocument/2006/relationships/hyperlink" Target="https://www.transfermarkt.com.tr/tomas-chancalay/profil/spieler/533565" TargetMode="External"/><Relationship Id="rId27" Type="http://schemas.openxmlformats.org/officeDocument/2006/relationships/hyperlink" Target="https://www.transfermarkt.com.tr/jesus-medina/profil/spieler/353037" TargetMode="External"/><Relationship Id="rId30" Type="http://schemas.openxmlformats.org/officeDocument/2006/relationships/hyperlink" Target="https://www.transfermarkt.com.br/marcos-paulo/profil/spieler/612496" TargetMode="External"/><Relationship Id="rId35" Type="http://schemas.openxmlformats.org/officeDocument/2006/relationships/hyperlink" Target="https://www.transfermarkt.fr/adnane-abid/profil/spieler/583899" TargetMode="External"/><Relationship Id="rId43" Type="http://schemas.openxmlformats.org/officeDocument/2006/relationships/hyperlink" Target="https://www.transfermarkt.com.ar/nicolas-vallejo/profil/spieler/1040204" TargetMode="External"/><Relationship Id="rId48" Type="http://schemas.openxmlformats.org/officeDocument/2006/relationships/hyperlink" Target="https://www.transfermarkt.com.tr/job-ochieng/profil/spieler/1105810" TargetMode="External"/><Relationship Id="rId56" Type="http://schemas.openxmlformats.org/officeDocument/2006/relationships/hyperlink" Target="https://www.transfermarkt.com.br/marquinhos/profil/spieler/668268" TargetMode="External"/><Relationship Id="rId64" Type="http://schemas.openxmlformats.org/officeDocument/2006/relationships/hyperlink" Target="https://www.transfermarkt.com.tr/samuel-akere/profil/spieler/1012052" TargetMode="External"/><Relationship Id="rId69" Type="http://schemas.openxmlformats.org/officeDocument/2006/relationships/hyperlink" Target="https://www.transfermarkt.com.tr/krepin-diatta/profil/spieler/490426" TargetMode="External"/><Relationship Id="rId77" Type="http://schemas.openxmlformats.org/officeDocument/2006/relationships/hyperlink" Target="https://www.transfermarkt.com/lorenzo-biliboc/profil/spieler/993687" TargetMode="External"/><Relationship Id="rId8" Type="http://schemas.openxmlformats.org/officeDocument/2006/relationships/hyperlink" Target="https://www.transfermarkt.com.tr/amine-harit/profil/spieler/372711" TargetMode="External"/><Relationship Id="rId51" Type="http://schemas.openxmlformats.org/officeDocument/2006/relationships/hyperlink" Target="https://www.transfermarkt.com.tr/luka-romero/profil/spieler/769063" TargetMode="External"/><Relationship Id="rId72" Type="http://schemas.openxmlformats.org/officeDocument/2006/relationships/hyperlink" Target="https://www.transfermarkt.com.tr/dante-sealy/profil/spieler/568179" TargetMode="External"/><Relationship Id="rId3" Type="http://schemas.openxmlformats.org/officeDocument/2006/relationships/hyperlink" Target="https://www.transfermarkt.com.tr/marin-petkov/profil/spieler/675946" TargetMode="External"/><Relationship Id="rId12" Type="http://schemas.openxmlformats.org/officeDocument/2006/relationships/hyperlink" Target="https://www.transfermarkt.com.br/yeferson-soteldo/profil/spieler/312294" TargetMode="External"/><Relationship Id="rId17" Type="http://schemas.openxmlformats.org/officeDocument/2006/relationships/hyperlink" Target="https://www.transfermarkt.com.tr/stipe-biuk/profil/spieler/587520" TargetMode="External"/><Relationship Id="rId25" Type="http://schemas.openxmlformats.org/officeDocument/2006/relationships/hyperlink" Target="https://www.transfermarkt.com/ibrahim-sadiq/profil/spieler/543501" TargetMode="External"/><Relationship Id="rId33" Type="http://schemas.openxmlformats.org/officeDocument/2006/relationships/hyperlink" Target="https://www.transfermarkt.com.br/adriano/profil/spieler/1046580" TargetMode="External"/><Relationship Id="rId38" Type="http://schemas.openxmlformats.org/officeDocument/2006/relationships/hyperlink" Target="https://www.transfermarkt.com.tr/chiquinho/profil/spieler/695454" TargetMode="External"/><Relationship Id="rId46" Type="http://schemas.openxmlformats.org/officeDocument/2006/relationships/hyperlink" Target="https://www.transfermarkt.com.br/vitinho-mota/profil/spieler/1090856" TargetMode="External"/><Relationship Id="rId59" Type="http://schemas.openxmlformats.org/officeDocument/2006/relationships/hyperlink" Target="https://www.transfermarkt.es/maximiliano-gutierrez/profil/spieler/965323" TargetMode="External"/><Relationship Id="rId67" Type="http://schemas.openxmlformats.org/officeDocument/2006/relationships/hyperlink" Target="https://www.transfermarkt.com.tr/lazar-randjelovic/profil/spieler/512394" TargetMode="External"/><Relationship Id="rId20" Type="http://schemas.openxmlformats.org/officeDocument/2006/relationships/hyperlink" Target="https://www.transfermarkt.com.tr/ousseynou-niang/profil/spieler/509463" TargetMode="External"/><Relationship Id="rId41" Type="http://schemas.openxmlformats.org/officeDocument/2006/relationships/hyperlink" Target="https://www.transfermarkt.com.tr/fabrice-tamba/profil/spieler/1008877" TargetMode="External"/><Relationship Id="rId54" Type="http://schemas.openxmlformats.org/officeDocument/2006/relationships/hyperlink" Target="https://www.transfermarkt.de/anthony-valencia/profil/spieler/974374" TargetMode="External"/><Relationship Id="rId62" Type="http://schemas.openxmlformats.org/officeDocument/2006/relationships/hyperlink" Target="https://www.transfermarkt.com.tr/danio-djassi/profil/spieler/1294213" TargetMode="External"/><Relationship Id="rId70" Type="http://schemas.openxmlformats.org/officeDocument/2006/relationships/hyperlink" Target="https://www.transfermarkt.us/jaminton-campaz/profil/spieler/491553" TargetMode="External"/><Relationship Id="rId75" Type="http://schemas.openxmlformats.org/officeDocument/2006/relationships/hyperlink" Target="https://www.transfermarkt.com/marco-pasalic/profil/spieler/395928" TargetMode="External"/><Relationship Id="rId1" Type="http://schemas.openxmlformats.org/officeDocument/2006/relationships/hyperlink" Target="https://www.transfermarkt.com.tr/gustavo-silva/profil/spieler/636314" TargetMode="External"/><Relationship Id="rId6" Type="http://schemas.openxmlformats.org/officeDocument/2006/relationships/hyperlink" Target="https://www.transfermarkt.com.tr/thiago-fernandez/profil/spieler/1127730" TargetMode="External"/><Relationship Id="rId15" Type="http://schemas.openxmlformats.org/officeDocument/2006/relationships/hyperlink" Target="https://www.transfermarkt.com/rayn-kizito/profil/spieler/1325325" TargetMode="External"/><Relationship Id="rId23" Type="http://schemas.openxmlformats.org/officeDocument/2006/relationships/hyperlink" Target="https://www.transfermarkt.com.tr/bongokuhle-hlongwane/profil/spieler/669202" TargetMode="External"/><Relationship Id="rId28" Type="http://schemas.openxmlformats.org/officeDocument/2006/relationships/hyperlink" Target="https://www.transfermarkt.co.uk/yann-karamoh/profil/spieler/324804" TargetMode="External"/><Relationship Id="rId36" Type="http://schemas.openxmlformats.org/officeDocument/2006/relationships/hyperlink" Target="https://www.transfermarkt.com.tr/myron-van-brederode/profil/spieler/650712" TargetMode="External"/><Relationship Id="rId49" Type="http://schemas.openxmlformats.org/officeDocument/2006/relationships/hyperlink" Target="https://www.transfermarkt.com.tr/nino-marcelli/profil/spieler/726661" TargetMode="External"/><Relationship Id="rId57" Type="http://schemas.openxmlformats.org/officeDocument/2006/relationships/hyperlink" Target="https://www.transfermarkt.com.br/rene/profil/spieler/1093951" TargetMode="External"/><Relationship Id="rId10" Type="http://schemas.openxmlformats.org/officeDocument/2006/relationships/hyperlink" Target="https://www.transfermarkt.de/younes-taha/profil/spieler/866328" TargetMode="External"/><Relationship Id="rId31" Type="http://schemas.openxmlformats.org/officeDocument/2006/relationships/hyperlink" Target="https://www.transfermarkt.com/ehije-ukaki/profil/spieler/1225900" TargetMode="External"/><Relationship Id="rId44" Type="http://schemas.openxmlformats.org/officeDocument/2006/relationships/hyperlink" Target="https://www.transfermarkt.com/nemanja-trifunovic/profil/spieler/848660" TargetMode="External"/><Relationship Id="rId52" Type="http://schemas.openxmlformats.org/officeDocument/2006/relationships/hyperlink" Target="https://www.transfermarkt.com.tr/mauro-couto/profil/spieler/1056907" TargetMode="External"/><Relationship Id="rId60" Type="http://schemas.openxmlformats.org/officeDocument/2006/relationships/hyperlink" Target="https://www.transfermarkt.com/jordhy-thompson/profil/spieler/889462" TargetMode="External"/><Relationship Id="rId65" Type="http://schemas.openxmlformats.org/officeDocument/2006/relationships/hyperlink" Target="https://www.transfermarkt.com.tr/jorge-meireles/profil/spieler/742454" TargetMode="External"/><Relationship Id="rId73" Type="http://schemas.openxmlformats.org/officeDocument/2006/relationships/hyperlink" Target="https://www.transfermarkt.com.tr/momoh-kamara/profil/spieler/1129935" TargetMode="External"/><Relationship Id="rId78" Type="http://schemas.openxmlformats.org/officeDocument/2006/relationships/hyperlink" Target="https://www.transfermarkt.com.tr/silva-kani/profil/spieler/783327" TargetMode="External"/><Relationship Id="rId4" Type="http://schemas.openxmlformats.org/officeDocument/2006/relationships/hyperlink" Target="https://www.transfermarkt.com.tr/iuri-tavares/profil/spieler/549016" TargetMode="External"/><Relationship Id="rId9" Type="http://schemas.openxmlformats.org/officeDocument/2006/relationships/hyperlink" Target="https://www.transfermarkt.com.tr/diego-lainez/profil/spieler/371174" TargetMode="External"/><Relationship Id="rId13" Type="http://schemas.openxmlformats.org/officeDocument/2006/relationships/hyperlink" Target="https://www.transfermarkt.com.br/willian/profil/spieler/52769" TargetMode="External"/><Relationship Id="rId18" Type="http://schemas.openxmlformats.org/officeDocument/2006/relationships/hyperlink" Target="https://www.transfermarkt.de/musa-barrow/profil/spieler/486624" TargetMode="External"/><Relationship Id="rId39" Type="http://schemas.openxmlformats.org/officeDocument/2006/relationships/hyperlink" Target="https://www.transfermarkt.com/suleman-sani/profil/spieler/1235583" TargetMode="External"/><Relationship Id="rId34" Type="http://schemas.openxmlformats.org/officeDocument/2006/relationships/hyperlink" Target="https://www.transfermarkt.com/farouck-adekami/profil/spieler/1293796" TargetMode="External"/><Relationship Id="rId50" Type="http://schemas.openxmlformats.org/officeDocument/2006/relationships/hyperlink" Target="https://www.transfermarkt.com.tr/guilherme-biro/profil/spieler/743590" TargetMode="External"/><Relationship Id="rId55" Type="http://schemas.openxmlformats.org/officeDocument/2006/relationships/hyperlink" Target="https://www.transfermarkt.com/umeh-emmanuel/profil/spieler/1068245" TargetMode="External"/><Relationship Id="rId76" Type="http://schemas.openxmlformats.org/officeDocument/2006/relationships/hyperlink" Target="https://www.transfermarkt.co.uk/sankara-karamoko/profil/spieler/1067902" TargetMode="External"/><Relationship Id="rId7" Type="http://schemas.openxmlformats.org/officeDocument/2006/relationships/hyperlink" Target="https://www.transfermarkt.fr/nicolas-pays/profil/spieler/1093482" TargetMode="External"/><Relationship Id="rId71" Type="http://schemas.openxmlformats.org/officeDocument/2006/relationships/hyperlink" Target="https://www.transfermarkt.com.tr/ramiro-arciga/profil/spieler/1087349" TargetMode="External"/><Relationship Id="rId2" Type="http://schemas.openxmlformats.org/officeDocument/2006/relationships/hyperlink" Target="https://www.transfermarkt.com.tr/sam-silvera/profil/spieler/680531" TargetMode="External"/><Relationship Id="rId29" Type="http://schemas.openxmlformats.org/officeDocument/2006/relationships/hyperlink" Target="https://www.transfermarkt.com/lechi-sadulaev/profil/spieler/623553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.tr/yoshan-valois/leistungsdatendetails/spieler/1258292" TargetMode="External"/><Relationship Id="rId13" Type="http://schemas.openxmlformats.org/officeDocument/2006/relationships/hyperlink" Target="https://www.transfermarkt.com.tr/halil-ozdemir/profil/spieler/988711" TargetMode="External"/><Relationship Id="rId18" Type="http://schemas.openxmlformats.org/officeDocument/2006/relationships/hyperlink" Target="https://www.transfermarkt.com.tr/mohamed-el-amine-ramdaoui/profil/spieler/1133118" TargetMode="External"/><Relationship Id="rId3" Type="http://schemas.openxmlformats.org/officeDocument/2006/relationships/hyperlink" Target="https://www.transfermarkt.com.br/rony/profil/spieler/371009" TargetMode="External"/><Relationship Id="rId21" Type="http://schemas.openxmlformats.org/officeDocument/2006/relationships/drawing" Target="../drawings/drawing11.xml"/><Relationship Id="rId7" Type="http://schemas.openxmlformats.org/officeDocument/2006/relationships/hyperlink" Target="https://www.transfermarkt.fr/david-datro-fofana/profil/spieler/787232" TargetMode="External"/><Relationship Id="rId12" Type="http://schemas.openxmlformats.org/officeDocument/2006/relationships/hyperlink" Target="https://www.transfermarkt.us/abubakar-abdullahi/profil/spieler/1133955" TargetMode="External"/><Relationship Id="rId17" Type="http://schemas.openxmlformats.org/officeDocument/2006/relationships/hyperlink" Target="https://www.transfermarkt.at/muhamet-hajdari/profil/spieler/1055036" TargetMode="External"/><Relationship Id="rId2" Type="http://schemas.openxmlformats.org/officeDocument/2006/relationships/hyperlink" Target="https://www.transfermarkt.com.tr/bil-nsongo/profil/spieler/1299392" TargetMode="External"/><Relationship Id="rId16" Type="http://schemas.openxmlformats.org/officeDocument/2006/relationships/hyperlink" Target="https://www.transfermarkt.com/zsombor-gruber/profil/spieler/648895" TargetMode="External"/><Relationship Id="rId20" Type="http://schemas.openxmlformats.org/officeDocument/2006/relationships/hyperlink" Target="https://www.transfermarkt.com.br/wallace-yan/profil/spieler/1082602" TargetMode="External"/><Relationship Id="rId1" Type="http://schemas.openxmlformats.org/officeDocument/2006/relationships/hyperlink" Target="https://www.transfermarkt.com.tr/roman-yaremchuk/profil/spieler/221958" TargetMode="External"/><Relationship Id="rId6" Type="http://schemas.openxmlformats.org/officeDocument/2006/relationships/hyperlink" Target="https://www.transfermarkt.nl/levi-garcia/profil/spieler/354587" TargetMode="External"/><Relationship Id="rId11" Type="http://schemas.openxmlformats.org/officeDocument/2006/relationships/hyperlink" Target="https://www.transfermarkt.com/meissa-diop/profil/spieler/880102" TargetMode="External"/><Relationship Id="rId5" Type="http://schemas.openxmlformats.org/officeDocument/2006/relationships/hyperlink" Target="https://www.transfermarkt.fr/anthony-martial/profil/spieler/182877" TargetMode="External"/><Relationship Id="rId15" Type="http://schemas.openxmlformats.org/officeDocument/2006/relationships/hyperlink" Target="https://www.transfermarkt.com.tr/tawfik-bentayeb/profil/spieler/667995" TargetMode="External"/><Relationship Id="rId10" Type="http://schemas.openxmlformats.org/officeDocument/2006/relationships/hyperlink" Target="https://www.transfermarkt.de/max-dean/profil/spieler/805889" TargetMode="External"/><Relationship Id="rId19" Type="http://schemas.openxmlformats.org/officeDocument/2006/relationships/hyperlink" Target="https://www.transfermarkt.de/robin-mirisola/profil/spieler/952439" TargetMode="External"/><Relationship Id="rId4" Type="http://schemas.openxmlformats.org/officeDocument/2006/relationships/hyperlink" Target="https://www.transfermarkt.de/luis-semedo/profil/spieler/840687" TargetMode="External"/><Relationship Id="rId9" Type="http://schemas.openxmlformats.org/officeDocument/2006/relationships/hyperlink" Target="https://www.transfermarkt.com.tr/stiven-shpendi/leistungsdatendetails/spieler/931567" TargetMode="External"/><Relationship Id="rId14" Type="http://schemas.openxmlformats.org/officeDocument/2006/relationships/hyperlink" Target="https://www.transfermarkt.com.tr/jeremy-arevalo/profil/spieler/971663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"/>
  <sheetViews>
    <sheetView showGridLines="0" tabSelected="1" zoomScale="92" workbookViewId="0">
      <selection activeCell="R11" sqref="R11"/>
    </sheetView>
  </sheetViews>
  <sheetFormatPr baseColWidth="10" defaultColWidth="8.83203125" defaultRowHeight="14"/>
  <cols>
    <col min="1" max="1" width="24" bestFit="1" customWidth="1"/>
    <col min="2" max="2" width="13.83203125" bestFit="1" customWidth="1"/>
    <col min="3" max="3" width="12.83203125" bestFit="1" customWidth="1"/>
    <col min="4" max="4" width="12" bestFit="1" customWidth="1"/>
    <col min="5" max="5" width="19.1640625" bestFit="1" customWidth="1"/>
    <col min="6" max="6" width="13.83203125" bestFit="1" customWidth="1"/>
    <col min="7" max="9" width="11" customWidth="1"/>
    <col min="10" max="10" width="19.33203125" bestFit="1" customWidth="1"/>
    <col min="11" max="13" width="11" customWidth="1"/>
    <col min="14" max="14" width="23.1640625" bestFit="1" customWidth="1"/>
    <col min="15" max="15" width="11" customWidth="1"/>
    <col min="16" max="16" width="18.33203125" bestFit="1" customWidth="1"/>
    <col min="17" max="18" width="11" customWidth="1"/>
    <col min="19" max="20" width="13" hidden="1" customWidth="1"/>
    <col min="29" max="30" width="0.1640625" hidden="1" customWidth="1"/>
  </cols>
  <sheetData>
    <row r="1" spans="1:30">
      <c r="A1" s="70" t="s">
        <v>130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C1" t="s">
        <v>131</v>
      </c>
      <c r="AD1" t="s">
        <v>132</v>
      </c>
    </row>
    <row r="2" spans="1:30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C2" t="str">
        <f>IFERROR(INDEX('Veri Merkezi'!$B$2:$B$1001,MATCH(0,INDEX(COUNTIF($AC$1:AC1,'Veri Merkezi'!$B$2:$B$1001)+('Veri Merkezi'!$B$2:$B$1001=""),0),0)),"")</f>
        <v>ARJANTİN</v>
      </c>
      <c r="AD2">
        <f>IF(AC2="","",COUNTIF('Veri Merkezi'!$B$2:$B$1001,AC2))</f>
        <v>10</v>
      </c>
    </row>
    <row r="3" spans="1:30">
      <c r="Z3" s="34"/>
      <c r="AC3" t="str">
        <f>IFERROR(INDEX('Veri Merkezi'!$B$2:$B$1001,MATCH(0,INDEX(COUNTIF($AC$1:AC2,'Veri Merkezi'!$B$2:$B$1001)+('Veri Merkezi'!$B$2:$B$1001=""),0),0)),"")</f>
        <v>FRANSA</v>
      </c>
      <c r="AD3">
        <f>IF(AC3="","",COUNTIF('Veri Merkezi'!$B$2:$B$1001,AC3))</f>
        <v>7</v>
      </c>
    </row>
    <row r="4" spans="1:30">
      <c r="A4" s="71" t="s">
        <v>133</v>
      </c>
      <c r="B4" s="68"/>
      <c r="C4" s="68"/>
      <c r="D4" s="83" t="s">
        <v>134</v>
      </c>
      <c r="E4" s="68"/>
      <c r="F4" s="68"/>
      <c r="G4" s="85" t="s">
        <v>135</v>
      </c>
      <c r="H4" s="68"/>
      <c r="I4" s="68"/>
      <c r="J4" s="87" t="s">
        <v>136</v>
      </c>
      <c r="K4" s="68"/>
      <c r="L4" s="68"/>
      <c r="M4" s="71" t="s">
        <v>137</v>
      </c>
      <c r="N4" s="68"/>
      <c r="O4" s="27"/>
      <c r="P4" s="73" t="s">
        <v>138</v>
      </c>
      <c r="Q4" s="68"/>
      <c r="R4" s="68"/>
      <c r="Z4" s="34"/>
      <c r="AC4" t="str">
        <f>IFERROR(INDEX('Veri Merkezi'!$B$2:$B$1001,MATCH(0,INDEX(COUNTIF($AC$1:AC3,'Veri Merkezi'!$B$2:$B$1001)+('Veri Merkezi'!$B$2:$B$1001=""),0),0)),"")</f>
        <v>BREZİLYA</v>
      </c>
      <c r="AD4">
        <f>IF(AC4="","",COUNTIF('Veri Merkezi'!$B$2:$B$1001,AC4))</f>
        <v>34</v>
      </c>
    </row>
    <row r="5" spans="1:30" ht="67" customHeight="1">
      <c r="A5" s="74">
        <f>COUNTA(Kaleciler!$A$4:$A$103)+COUNTA(Stoperler!$A$4:$A$103)+COUNTA('Sağ Bekler'!$A$4:$A$103)+COUNTA('Sol Bekler'!$A$4:$A$103)+COUNTA('6 Numaralar'!$A$4:$A$103)+COUNTA('8 Numaralar'!$A$4:$A$103)+COUNTA('10 Numaralar'!$A$4:$A$103)+COUNTA(Kanatlar!$A$4:$A$103)+COUNTA(Forvetler!$A$4:$A$103)+COUNTA('Takip Edilen Türk Futbolcular'!$A$4:$A$103)</f>
        <v>251</v>
      </c>
      <c r="B5" s="75"/>
      <c r="C5" s="75"/>
      <c r="D5" s="90">
        <f>COUNTIF(Kaleciler!$I$4:$I$103,"Yeşil")+COUNTIF(Stoperler!$H$4:$I$103,"Yeşil")+COUNTIF('Sağ Bekler'!$I$4:$I$103,"Yeşil")+COUNTIF('Sol Bekler'!$I$4:$I$103,"Yeşil")+COUNTIF('6 Numaralar'!$I$4:$I$103,"Yeşil")+COUNTIF('8 Numaralar'!$I$4:$I$103,"Yeşil")+COUNTIF('10 Numaralar'!$I$4:$I$103,"Yeşil")+COUNTIF(Kanatlar!$I$4:$I$103,"Yeşil")+COUNTIF(Forvetler!$I$4:$I$103,"Yeşil")+COUNTIF('Takip Edilen Türk Futbolcular'!$H$4:$H$103,"Yeşil")</f>
        <v>35</v>
      </c>
      <c r="E5" s="75"/>
      <c r="F5" s="75"/>
      <c r="G5" s="82">
        <f>COUNTIF(Kaleciler!$I$4:$I$103,"Sarı")+COUNTIF(Stoperler!$H$4:$I$103,"Sarı")+COUNTIF('Sağ Bekler'!$I$4:$I$103,"Sarı")+COUNTIF('Sol Bekler'!$I$4:$I$103,"Sarı")+COUNTIF('6 Numaralar'!$I$4:$I$103,"Sarı")+COUNTIF('8 Numaralar'!$I$4:$I$103,"Sarı")+COUNTIF('10 Numaralar'!$I$4:$I$103,"Sarı")+COUNTIF(Kanatlar!$I$4:$I$103,"Sarı")+COUNTIF(Forvetler!$I$4:$I$103,"Sarı")+COUNTIF('Takip Edilen Türk Futbolcular'!$H$4:$H$103,"Sarı")</f>
        <v>42</v>
      </c>
      <c r="H5" s="75"/>
      <c r="I5" s="75"/>
      <c r="J5" s="78">
        <f>COUNTIF(Kaleciler!$I$4:$I$103,"Kırmızı")+COUNTIF(Stoperler!$H$4:$I$103,"Kırmızı")+COUNTIF('Sağ Bekler'!$I$4:$I$103,"Kırmızı")+COUNTIF('Sol Bekler'!$I$4:$I$103,"Kırmızı")+COUNTIF('6 Numaralar'!$I$4:$I$103,"Kırmızı")+COUNTIF('8 Numaralar'!$I$4:$I$103,"Kırmızı")+COUNTIF('10 Numaralar'!$I$4:$I$103,"Kırmızı")+COUNTIF(Kanatlar!$I$4:$I$103,"Kırmızı")+COUNTIF(Forvetler!$I$4:$I$103,"Kırmızı")+COUNTIF('Takip Edilen Türk Futbolcular'!$H$4:$H$103,"Kırmızı")</f>
        <v>33</v>
      </c>
      <c r="K5" s="75"/>
      <c r="L5" s="75"/>
      <c r="M5" s="88">
        <f ca="1">IFERROR(ROUND((SUM(Kaleciler!$D$4:$D$103)+SUM(Stoperler!$D$4:$D$103)+SUM('Sağ Bekler'!$D$4:$D$103)+SUM('Sol Bekler'!$D$4:$D$103)+SUM('6 Numaralar'!$D$4:$D$103)+SUM('8 Numaralar'!$D$4:$D$103)+SUM('10 Numaralar'!$D$4:$D$103)+SUM(Kanatlar!$D$4:$D$103)+SUM(Forvetler!$D$4:$D$103)+SUM('Takip Edilen Türk Futbolcular'!$D$4:$D$103))/(COUNTIF(Kaleciler!$D$4:$D$103,"&gt;0")+COUNTIF(Stoperler!$D$4:$D$103,"&gt;0")+COUNTIF('Sağ Bekler'!$D$4:$D$103,"&gt;0")+COUNTIF('Sol Bekler'!$D$4:$D$103,"&gt;0")+COUNTIF('6 Numaralar'!$D$4:$D$103,"&gt;0")+COUNTIF('8 Numaralar'!$D$4:$D$103,"&gt;0")+COUNTIF('10 Numaralar'!$D$4:$D$103,"&gt;0")+COUNTIF(Kanatlar!$D$4:$D$103,"&gt;0")+COUNTIF(Forvetler!$D$4:$D$103,"&gt;0")+COUNTIF('Takip Edilen Türk Futbolcular'!$D$4:$D$103,"&gt;0")),1),0)</f>
        <v>25.5</v>
      </c>
      <c r="N5" s="75"/>
      <c r="O5" s="35"/>
      <c r="P5" s="93">
        <f ca="1">COUNTIFS(Kaleciler!$H$4:$H$103,"&gt;="&amp;TODAY(),Kaleciler!$H$4:$H$103,"&lt;="&amp;EDATE(TODAY(),12))+COUNTIFS(Stoperler!$G$4:$H$103,"&gt;="&amp;TODAY(),Stoperler!$G$4:$H$103,"&lt;="&amp;EDATE(TODAY(),12))+COUNTIFS('Sağ Bekler'!$H$4:$H$103,"&gt;="&amp;TODAY(),'Sağ Bekler'!$H$4:$H$103,"&lt;="&amp;EDATE(TODAY(),12))+COUNTIFS('Sol Bekler'!$H$4:$H$103,"&gt;="&amp;TODAY(),'Sol Bekler'!$H$4:$H$103,"&lt;="&amp;EDATE(TODAY(),12))+COUNTIFS('6 Numaralar'!$H$4:$H$103,"&gt;="&amp;TODAY(),'6 Numaralar'!$H$4:$H$103,"&lt;="&amp;EDATE(TODAY(),12))+COUNTIFS('8 Numaralar'!$H$4:$H$103,"&gt;="&amp;TODAY(),'8 Numaralar'!$H$4:$H$103,"&lt;="&amp;EDATE(TODAY(),12))+COUNTIFS('10 Numaralar'!$H$4:$H$103,"&gt;="&amp;TODAY(),'10 Numaralar'!$H$4:$H$103,"&lt;="&amp;EDATE(TODAY(),12))+COUNTIFS(Kanatlar!$H$4:$H$103,"&gt;="&amp;TODAY(),Kanatlar!$H$4:$H$103,"&lt;="&amp;EDATE(TODAY(),12))+COUNTIFS(Forvetler!$H$4:$H$103,"&gt;="&amp;TODAY(),Forvetler!$H$4:$H$103,"&lt;="&amp;EDATE(TODAY(),12))+COUNTIFS('Takip Edilen Türk Futbolcular'!$G$4:$G$103,"&gt;="&amp;TODAY(),'Takip Edilen Türk Futbolcular'!$G$4:$G$103,"&lt;="&amp;EDATE(TODAY(),12))</f>
        <v>57</v>
      </c>
      <c r="Q5" s="75"/>
      <c r="R5" s="75"/>
      <c r="Z5" s="34"/>
      <c r="AC5" t="str">
        <f>IFERROR(INDEX('Veri Merkezi'!$B$2:$B$1001,MATCH(0,INDEX(COUNTIF($AC$1:AC4,'Veri Merkezi'!$B$2:$B$1001)+('Veri Merkezi'!$B$2:$B$1001=""),0),0)),"")</f>
        <v>SIRBİSTAN</v>
      </c>
      <c r="AD5">
        <f>IF(AC5="","",COUNTIF('Veri Merkezi'!$B$2:$B$1001,AC5))</f>
        <v>6</v>
      </c>
    </row>
    <row r="6" spans="1:30" ht="26" customHeight="1">
      <c r="A6" s="91" t="s">
        <v>139</v>
      </c>
      <c r="B6" s="68"/>
      <c r="C6" s="68"/>
      <c r="D6" s="81" t="s">
        <v>140</v>
      </c>
      <c r="E6" s="68"/>
      <c r="F6" s="68"/>
      <c r="G6" s="89" t="s">
        <v>141</v>
      </c>
      <c r="H6" s="68"/>
      <c r="I6" s="68"/>
      <c r="J6" s="92" t="s">
        <v>142</v>
      </c>
      <c r="K6" s="68"/>
      <c r="L6" s="68"/>
      <c r="M6" s="86" t="s">
        <v>143</v>
      </c>
      <c r="N6" s="68"/>
      <c r="O6" s="35"/>
      <c r="P6" s="75"/>
      <c r="Q6" s="75"/>
      <c r="R6" s="75"/>
      <c r="Z6" s="34"/>
      <c r="AC6" t="str">
        <f>IFERROR(INDEX('Veri Merkezi'!$B$2:$B$1001,MATCH(0,INDEX(COUNTIF($AC$1:AC5,'Veri Merkezi'!$B$2:$B$1001)+('Veri Merkezi'!$B$2:$B$1001=""),0),0)),"")</f>
        <v>GANA</v>
      </c>
      <c r="AD6">
        <f>IF(AC6="","",COUNTIF('Veri Merkezi'!$B$2:$B$1001,AC6))</f>
        <v>4</v>
      </c>
    </row>
    <row r="7" spans="1:30" ht="25" customHeigh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41"/>
      <c r="P7" s="79" t="s">
        <v>144</v>
      </c>
      <c r="Q7" s="68"/>
      <c r="R7" s="68"/>
      <c r="Z7" s="34"/>
      <c r="AC7" t="str">
        <f>IFERROR(INDEX('Veri Merkezi'!$B$2:$B$1001,MATCH(0,INDEX(COUNTIF($AC$1:AC6,'Veri Merkezi'!$B$2:$B$1001)+('Veri Merkezi'!$B$2:$B$1001=""),0),0)),"")</f>
        <v>CEZAYİR</v>
      </c>
      <c r="AD7">
        <f>IF(AC7="","",COUNTIF('Veri Merkezi'!$B$2:$B$1001,AC7))</f>
        <v>2</v>
      </c>
    </row>
    <row r="8" spans="1:30" ht="16" customHeight="1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42"/>
      <c r="P8" s="68"/>
      <c r="Q8" s="68"/>
      <c r="R8" s="68"/>
      <c r="Z8" s="34"/>
      <c r="AC8" t="str">
        <f>IFERROR(INDEX('Veri Merkezi'!$B$2:$B$1001,MATCH(0,INDEX(COUNTIF($AC$1:AC7,'Veri Merkezi'!$B$2:$B$1001)+('Veri Merkezi'!$B$2:$B$1001=""),0),0)),"")</f>
        <v>KONGO</v>
      </c>
      <c r="AD8">
        <f>IF(AC8="","",COUNTIF('Veri Merkezi'!$B$2:$B$1001,AC8))</f>
        <v>1</v>
      </c>
    </row>
    <row r="9" spans="1:30" ht="15" customHeight="1">
      <c r="A9" s="80" t="s">
        <v>145</v>
      </c>
      <c r="B9" s="68"/>
      <c r="C9" s="68"/>
      <c r="D9" s="68"/>
      <c r="E9" s="80" t="s">
        <v>146</v>
      </c>
      <c r="F9" s="68"/>
      <c r="G9" s="68"/>
      <c r="H9" s="68"/>
      <c r="I9" s="80" t="s">
        <v>147</v>
      </c>
      <c r="J9" s="68"/>
      <c r="K9" s="68"/>
      <c r="L9" s="68"/>
      <c r="M9" s="80" t="s">
        <v>148</v>
      </c>
      <c r="N9" s="68"/>
      <c r="O9" s="68"/>
      <c r="P9" s="68"/>
      <c r="Q9" s="34"/>
      <c r="R9" s="34"/>
      <c r="Z9" s="34"/>
      <c r="AC9" t="str">
        <f>IFERROR(INDEX('Veri Merkezi'!$B$2:$B$1001,MATCH(0,INDEX(COUNTIF($AC$1:AC8,'Veri Merkezi'!$B$2:$B$1001)+('Veri Merkezi'!$B$2:$B$1001=""),0),0)),"")</f>
        <v>BURKINA FASO</v>
      </c>
      <c r="AD9">
        <f>IF(AC9="","",COUNTIF('Veri Merkezi'!$B$2:$B$1001,AC9))</f>
        <v>1</v>
      </c>
    </row>
    <row r="10" spans="1:30" ht="16" customHeight="1">
      <c r="A10" s="74">
        <f>COUNTIFS('Veri Merkezi'!$A$2:$A$1001,"&lt;&gt;",'Veri Merkezi'!$S$2:$S$1001,"A Liste")</f>
        <v>19</v>
      </c>
      <c r="B10" s="75"/>
      <c r="C10" s="75"/>
      <c r="D10" s="75"/>
      <c r="E10" s="74">
        <f>COUNTIFS('Veri Merkezi'!$A$2:$A$1001,"&lt;&gt;",'Veri Merkezi'!$S$2:$S$1001,"B Liste")</f>
        <v>23</v>
      </c>
      <c r="F10" s="75"/>
      <c r="G10" s="75"/>
      <c r="H10" s="75"/>
      <c r="I10" s="74">
        <f>COUNTIFS('Veri Merkezi'!$A$2:$A$1001,"&lt;&gt;",'Veri Merkezi'!$S$2:$S$1001,"Takip")</f>
        <v>23</v>
      </c>
      <c r="J10" s="75"/>
      <c r="K10" s="75"/>
      <c r="L10" s="75"/>
      <c r="M10" s="74">
        <f>COUNTIFS('Veri Merkezi'!$A$2:$A$1001,"&lt;&gt;",'Veri Merkezi'!$C$2:$C$1001,"&gt;="&amp;DATE(2003,1,1))</f>
        <v>77</v>
      </c>
      <c r="N10" s="75"/>
      <c r="O10" s="75"/>
      <c r="P10" s="75"/>
      <c r="Q10" s="66"/>
      <c r="R10" s="66"/>
      <c r="Z10" s="34"/>
      <c r="AC10" t="str">
        <f>IFERROR(INDEX('Veri Merkezi'!$B$2:$B$1001,MATCH(0,INDEX(COUNTIF($AC$1:AC9,'Veri Merkezi'!$B$2:$B$1001)+('Veri Merkezi'!$B$2:$B$1001=""),0),0)),"")</f>
        <v>HIRVATİSTAN</v>
      </c>
      <c r="AD10">
        <f>IF(AC10="","",COUNTIF('Veri Merkezi'!$B$2:$B$1001,AC10))</f>
        <v>5</v>
      </c>
    </row>
    <row r="11" spans="1:30" ht="79" customHeight="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66"/>
      <c r="R11" s="66"/>
      <c r="Z11" s="34"/>
      <c r="AC11" t="str">
        <f>IFERROR(INDEX('Veri Merkezi'!$B$2:$B$1001,MATCH(0,INDEX(COUNTIF($AC$1:AC10,'Veri Merkezi'!$B$2:$B$1001)+('Veri Merkezi'!$B$2:$B$1001=""),0),0)),"")</f>
        <v>İSPANYA</v>
      </c>
      <c r="AD11">
        <f>IF(AC11="","",COUNTIF('Veri Merkezi'!$B$2:$B$1001,AC11))</f>
        <v>9</v>
      </c>
    </row>
    <row r="12" spans="1:30" ht="15" customHeight="1">
      <c r="A12" s="84"/>
      <c r="B12" s="68"/>
      <c r="C12" s="68"/>
      <c r="D12" s="84"/>
      <c r="E12" s="68"/>
      <c r="F12" s="68"/>
      <c r="G12" s="84"/>
      <c r="H12" s="68"/>
      <c r="I12" s="68"/>
      <c r="J12" s="84"/>
      <c r="K12" s="68"/>
      <c r="L12" s="68"/>
      <c r="M12" s="84"/>
      <c r="N12" s="68"/>
      <c r="O12" s="68"/>
      <c r="P12" s="46"/>
      <c r="Q12" s="34"/>
      <c r="R12" s="34"/>
      <c r="U12" s="34"/>
      <c r="V12" s="34"/>
      <c r="W12" s="34"/>
      <c r="X12" s="34"/>
      <c r="Y12" s="34"/>
      <c r="Z12" s="34"/>
      <c r="AC12" t="str">
        <f>IFERROR(INDEX('Veri Merkezi'!$B$2:$B$1001,MATCH(0,INDEX(COUNTIF($AC$1:AC11,'Veri Merkezi'!$B$2:$B$1001)+('Veri Merkezi'!$B$2:$B$1001=""),0),0)),"")</f>
        <v>ENDONEZYA</v>
      </c>
      <c r="AD12">
        <f>IF(AC12="","",COUNTIF('Veri Merkezi'!$B$2:$B$1001,AC12))</f>
        <v>1</v>
      </c>
    </row>
    <row r="13" spans="1:30" ht="15" customHeight="1">
      <c r="A13" s="77" t="s">
        <v>149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77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C13" t="str">
        <f>IFERROR(INDEX('Veri Merkezi'!$B$2:$B$1001,MATCH(0,INDEX(COUNTIF($AC$1:AC12,'Veri Merkezi'!$B$2:$B$1001)+('Veri Merkezi'!$B$2:$B$1001=""),0),0)),"")</f>
        <v>BOSNA</v>
      </c>
      <c r="AD13">
        <f>IF(AC13="","",COUNTIF('Veri Merkezi'!$B$2:$B$1001,AC13))</f>
        <v>1</v>
      </c>
    </row>
    <row r="14" spans="1:30" ht="15" customHeight="1">
      <c r="A14" s="1"/>
      <c r="B14" s="1"/>
      <c r="C14" s="1"/>
      <c r="E14" s="1"/>
      <c r="F14" s="1"/>
      <c r="Z14" s="34"/>
      <c r="AC14" t="str">
        <f>IFERROR(INDEX('Veri Merkezi'!$B$2:$B$1001,MATCH(0,INDEX(COUNTIF($AC$1:AC13,'Veri Merkezi'!$B$2:$B$1001)+('Veri Merkezi'!$B$2:$B$1001=""),0),0)),"")</f>
        <v>ROMANYA</v>
      </c>
      <c r="AD14">
        <f>IF(AC14="","",COUNTIF('Veri Merkezi'!$B$2:$B$1001,AC14))</f>
        <v>3</v>
      </c>
    </row>
    <row r="15" spans="1:30">
      <c r="C15" s="3"/>
      <c r="Z15" s="34"/>
      <c r="AC15" t="str">
        <f>IFERROR(INDEX('Veri Merkezi'!$B$2:$B$1001,MATCH(0,INDEX(COUNTIF($AC$1:AC14,'Veri Merkezi'!$B$2:$B$1001)+('Veri Merkezi'!$B$2:$B$1001=""),0),0)),"")</f>
        <v>PORTEKİZ</v>
      </c>
      <c r="AD15">
        <f>IF(AC15="","",COUNTIF('Veri Merkezi'!$B$2:$B$1001,AC15))</f>
        <v>6</v>
      </c>
    </row>
    <row r="16" spans="1:30" ht="15" customHeight="1">
      <c r="A16" s="28" t="s">
        <v>150</v>
      </c>
      <c r="B16" s="28" t="s">
        <v>151</v>
      </c>
      <c r="C16" s="29" t="s">
        <v>152</v>
      </c>
      <c r="E16" s="28" t="s">
        <v>153</v>
      </c>
      <c r="F16" s="28" t="s">
        <v>151</v>
      </c>
      <c r="Z16" s="34"/>
      <c r="AC16" t="str">
        <f>IFERROR(INDEX('Veri Merkezi'!$B$2:$B$1001,MATCH(0,INDEX(COUNTIF($AC$1:AC15,'Veri Merkezi'!$B$2:$B$1001)+('Veri Merkezi'!$B$2:$B$1001=""),0),0)),"")</f>
        <v>HOLLANDA</v>
      </c>
      <c r="AD16">
        <f>IF(AC16="","",COUNTIF('Veri Merkezi'!$B$2:$B$1001,AC16))</f>
        <v>3</v>
      </c>
    </row>
    <row r="17" spans="1:30">
      <c r="A17" t="s">
        <v>154</v>
      </c>
      <c r="B17">
        <f>COUNTIF(Kaleciler!$A$4:$A$103,"&lt;&gt;")</f>
        <v>0</v>
      </c>
      <c r="C17" s="3">
        <f t="shared" ref="C17:C22" si="0">IFERROR(B17/$A$5,0)</f>
        <v>0</v>
      </c>
      <c r="E17" t="s">
        <v>155</v>
      </c>
      <c r="F17">
        <f>COUNTA(Kaleciler!$A$4:$A$103)+COUNTA(Stoperler!$A$4:$A$103)+COUNTA('Sağ Bekler'!$A$4:$A$103)+COUNTA('Sol Bekler'!$A$4:$A$103)+COUNTA('6 Numaralar'!$A$4:$A$103)+COUNTA('8 Numaralar'!$A$4:$A$103)+COUNTA('10 Numaralar'!$A$4:$A$103)+COUNTA(Kanatlar!$A$4:$A$103)+COUNTA(Forvetler!$A$4:$A$103)+COUNTA('Takip Edilen Türk Futbolcular'!$A$4:$A$103)</f>
        <v>251</v>
      </c>
      <c r="S17" t="s">
        <v>156</v>
      </c>
      <c r="Z17" s="34"/>
      <c r="AC17" t="str">
        <f>IFERROR(INDEX('Veri Merkezi'!$B$2:$B$1001,MATCH(0,INDEX(COUNTIF($AC$1:AC16,'Veri Merkezi'!$B$2:$B$1001)+('Veri Merkezi'!$B$2:$B$1001=""),0),0)),"")</f>
        <v>ARNAVUTLUK</v>
      </c>
      <c r="AD17">
        <f>IF(AC17="","",COUNTIF('Veri Merkezi'!$B$2:$B$1001,AC17))</f>
        <v>3</v>
      </c>
    </row>
    <row r="18" spans="1:30">
      <c r="A18" t="s">
        <v>24</v>
      </c>
      <c r="B18">
        <f>COUNTIF(Stoperler!$A$4:$A$103,"&lt;&gt;")</f>
        <v>30</v>
      </c>
      <c r="C18" s="3">
        <f t="shared" si="0"/>
        <v>0.11952191235059761</v>
      </c>
      <c r="E18" t="s">
        <v>157</v>
      </c>
      <c r="F18">
        <f>COUNTIF(Kaleciler!$T$4:$T$103,"Takip")+COUNTIF(Stoperler!$S$4:$T$103,"Takip")+COUNTIF('Sağ Bekler'!$T$4:$T$103,"Takip")+COUNTIF('Sol Bekler'!$T$4:$T$103,"Takip")+COUNTIF('6 Numaralar'!$T$4:$T$103,"Takip")+COUNTIF('8 Numaralar'!$T$4:$T$103,"Takip")+COUNTIF('10 Numaralar'!$T$4:$T$103,"Takip")+COUNTIF(Kanatlar!$T$4:$T$103,"Takip")+COUNTIF(Forvetler!$T$4:$T$103,"Takip")+COUNTIF('Takip Edilen Türk Futbolcular'!$S$4:$S$103,"Takip")+COUNTIF(Kaleciler!$T$4:$T$103,"B Liste")+COUNTIF(Stoperler!$S$4:$T$103,"B Liste")+COUNTIF('Sağ Bekler'!$T$4:$T$103,"B Liste")+COUNTIF('Sol Bekler'!$T$4:$T$103,"B Liste")+COUNTIF('6 Numaralar'!$T$4:$T$103,"B Liste")+COUNTIF('8 Numaralar'!$T$4:$T$103,"B Liste")+COUNTIF('10 Numaralar'!$T$4:$T$103,"B Liste")+COUNTIF(Kanatlar!$T$4:$T$103,"B Liste")+COUNTIF(Forvetler!$T$4:$T$103,"B Liste")+COUNTIF('Takip Edilen Türk Futbolcular'!$S$4:$S$103,"B Liste")+COUNTIF(Kaleciler!$T$4:$T$103,"A Liste")+COUNTIF(Stoperler!$S$4:$T$103,"A Liste")+COUNTIF('Sağ Bekler'!$T$4:$T$103,"A Liste")+COUNTIF('Sol Bekler'!$T$4:$T$103,"A Liste")+COUNTIF('6 Numaralar'!$T$4:$T$103,"A Liste")+COUNTIF('8 Numaralar'!$T$4:$T$103,"A Liste")+COUNTIF('10 Numaralar'!$T$4:$T$103,"A Liste")+COUNTIF(Kanatlar!$T$4:$T$103,"A Liste")+COUNTIF(Forvetler!$T$4:$T$103,"A Liste")+COUNTIF('Takip Edilen Türk Futbolcular'!$S$4:$S$103,"A Liste")</f>
        <v>65</v>
      </c>
      <c r="S18" t="s">
        <v>158</v>
      </c>
      <c r="Z18" s="34"/>
      <c r="AC18" t="str">
        <f>IFERROR(INDEX('Veri Merkezi'!$B$2:$B$1001,MATCH(0,INDEX(COUNTIF($AC$1:AC17,'Veri Merkezi'!$B$2:$B$1001)+('Veri Merkezi'!$B$2:$B$1001=""),0),0)),"")</f>
        <v>MALİ / FRANSA</v>
      </c>
      <c r="AD18">
        <f>IF(AC18="","",COUNTIF('Veri Merkezi'!$B$2:$B$1001,AC18))</f>
        <v>1</v>
      </c>
    </row>
    <row r="19" spans="1:30">
      <c r="A19" t="s">
        <v>159</v>
      </c>
      <c r="B19">
        <f>COUNTIF('Sağ Bekler'!$A$4:$A$103,"&lt;&gt;")+COUNTIF('Sol Bekler'!$A$4:$A$103,"&lt;&gt;")</f>
        <v>14</v>
      </c>
      <c r="C19" s="3">
        <f t="shared" si="0"/>
        <v>5.5776892430278883E-2</v>
      </c>
      <c r="E19" t="s">
        <v>160</v>
      </c>
      <c r="F19">
        <f>COUNTIF(Kaleciler!$T$4:$T$103,"B Liste")+COUNTIF(Stoperler!$S$4:$T$103,"B Liste")+COUNTIF('Sağ Bekler'!$T$4:$T$103,"B Liste")+COUNTIF('Sol Bekler'!$T$4:$T$103,"B Liste")+COUNTIF('6 Numaralar'!$T$4:$T$103,"B Liste")+COUNTIF('8 Numaralar'!$T$4:$T$103,"B Liste")+COUNTIF('10 Numaralar'!$T$4:$T$103,"B Liste")+COUNTIF(Kanatlar!$T$4:$T$103,"B Liste")+COUNTIF(Forvetler!$T$4:$T$103,"B Liste")+COUNTIF('Takip Edilen Türk Futbolcular'!$S$4:$S$103,"B Liste")+COUNTIF(Kaleciler!$T$4:$T$103,"A Liste")+COUNTIF(Stoperler!$S$4:$T$103,"A Liste")+COUNTIF('Sağ Bekler'!$T$4:$T$103,"A Liste")+COUNTIF('Sol Bekler'!$T$4:$T$103,"A Liste")+COUNTIF('6 Numaralar'!$T$4:$T$103,"A Liste")+COUNTIF('8 Numaralar'!$T$4:$T$103,"A Liste")+COUNTIF('10 Numaralar'!$T$4:$T$103,"A Liste")+COUNTIF(Kanatlar!$T$4:$T$103,"A Liste")+COUNTIF(Forvetler!$T$4:$T$103,"A Liste")+COUNTIF('Takip Edilen Türk Futbolcular'!$S$4:$S$103,"A Liste")</f>
        <v>42</v>
      </c>
      <c r="S19" t="s">
        <v>161</v>
      </c>
      <c r="Z19" s="34"/>
      <c r="AC19" t="str">
        <f>IFERROR(INDEX('Veri Merkezi'!$B$2:$B$1001,MATCH(0,INDEX(COUNTIF($AC$1:AC18,'Veri Merkezi'!$B$2:$B$1001)+('Veri Merkezi'!$B$2:$B$1001=""),0),0)),"")</f>
        <v>VENEZULLA</v>
      </c>
      <c r="AD19">
        <f>IF(AC19="","",COUNTIF('Veri Merkezi'!$B$2:$B$1001,AC19))</f>
        <v>1</v>
      </c>
    </row>
    <row r="20" spans="1:30">
      <c r="A20" t="s">
        <v>162</v>
      </c>
      <c r="B20">
        <f>COUNTIF('6 Numaralar'!$A$4:$A$103,"&lt;&gt;")+COUNTIF('8 Numaralar'!$A$4:$A$103,"&lt;&gt;")+COUNTIF('10 Numaralar'!$A$4:$A$103,"&lt;&gt;")</f>
        <v>72</v>
      </c>
      <c r="C20" s="3">
        <f t="shared" si="0"/>
        <v>0.28685258964143429</v>
      </c>
      <c r="S20" t="s">
        <v>163</v>
      </c>
      <c r="Z20" s="34"/>
      <c r="AC20" t="str">
        <f>IFERROR(INDEX('Veri Merkezi'!$B$2:$B$1001,MATCH(0,INDEX(COUNTIF($AC$1:AC19,'Veri Merkezi'!$B$2:$B$1001)+('Veri Merkezi'!$B$2:$B$1001=""),0),0)),"")</f>
        <v>CURAÇAO / HOLLANDA</v>
      </c>
      <c r="AD20">
        <f>IF(AC20="","",COUNTIF('Veri Merkezi'!$B$2:$B$1001,AC20))</f>
        <v>1</v>
      </c>
    </row>
    <row r="21" spans="1:30" ht="15" customHeight="1">
      <c r="A21" t="s">
        <v>164</v>
      </c>
      <c r="B21">
        <f>COUNTIF(Kanatlar!$A$4:$A$103,"&lt;&gt;")</f>
        <v>97</v>
      </c>
      <c r="C21" s="3">
        <f t="shared" si="0"/>
        <v>0.38645418326693226</v>
      </c>
      <c r="E21" s="28" t="s">
        <v>20</v>
      </c>
      <c r="F21" s="28" t="s">
        <v>152</v>
      </c>
      <c r="S21" t="s">
        <v>165</v>
      </c>
      <c r="Z21" s="34"/>
      <c r="AC21" t="str">
        <f>IFERROR(INDEX('Veri Merkezi'!$B$2:$B$1001,MATCH(0,INDEX(COUNTIF($AC$1:AC20,'Veri Merkezi'!$B$2:$B$1001)+('Veri Merkezi'!$B$2:$B$1001=""),0),0)),"")</f>
        <v>BURKİNA FASO</v>
      </c>
      <c r="AD21">
        <f>IF(AC21="","",COUNTIF('Veri Merkezi'!$B$2:$B$1001,AC21))</f>
        <v>2</v>
      </c>
    </row>
    <row r="22" spans="1:30">
      <c r="A22" t="s">
        <v>166</v>
      </c>
      <c r="B22">
        <f>COUNTIF(Forvetler!$A$4:$A$103,"&lt;&gt;")</f>
        <v>38</v>
      </c>
      <c r="C22" s="3">
        <f t="shared" si="0"/>
        <v>0.15139442231075698</v>
      </c>
      <c r="E22" t="s">
        <v>32</v>
      </c>
      <c r="F22">
        <f>IFERROR((COUNTIF(Kaleciler!$T$4:$T$103,"A Liste")+COUNTIF(Stoperler!$S$4:$T$103,"A Liste")+COUNTIF('Sağ Bekler'!$T$4:$T$103,"A Liste")+COUNTIF('Sol Bekler'!$T$4:$T$103,"A Liste")+COUNTIF('6 Numaralar'!$T$4:$T$103,"A Liste")+COUNTIF('8 Numaralar'!$T$4:$T$103,"A Liste")+COUNTIF('10 Numaralar'!$T$4:$T$103,"A Liste")+COUNTIF(Kanatlar!$T$4:$T$103,"A Liste")+COUNTIF(Forvetler!$T$4:$T$103,"A Liste")+COUNTIF('Takip Edilen Türk Futbolcular'!$S$4:$S$103,"A Liste"))/$A$5,0)</f>
        <v>7.5697211155378488E-2</v>
      </c>
      <c r="Z22" s="34"/>
      <c r="AC22" t="str">
        <f>IFERROR(INDEX('Veri Merkezi'!$B$2:$B$1001,MATCH(0,INDEX(COUNTIF($AC$1:AC21,'Veri Merkezi'!$B$2:$B$1001)+('Veri Merkezi'!$B$2:$B$1001=""),0),0)),"")</f>
        <v>DANİMARKA</v>
      </c>
      <c r="AD22">
        <f>IF(AC22="","",COUNTIF('Veri Merkezi'!$B$2:$B$1001,AC22))</f>
        <v>1</v>
      </c>
    </row>
    <row r="23" spans="1:30">
      <c r="C23" s="3"/>
      <c r="E23" t="s">
        <v>27</v>
      </c>
      <c r="F23">
        <f>IFERROR((COUNTIF(Kaleciler!$T$4:$T$103,"B Liste")+COUNTIF(Stoperler!$S$4:$T$103,"B Liste")+COUNTIF('Sağ Bekler'!$T$4:$T$103,"B Liste")+COUNTIF('Sol Bekler'!$T$4:$T$103,"B Liste")+COUNTIF('6 Numaralar'!$T$4:$T$103,"B Liste")+COUNTIF('8 Numaralar'!$T$4:$T$103,"B Liste")+COUNTIF('10 Numaralar'!$T$4:$T$103,"B Liste")+COUNTIF(Kanatlar!$T$4:$T$103,"B Liste")+COUNTIF(Forvetler!$T$4:$T$103,"B Liste")+COUNTIF('Takip Edilen Türk Futbolcular'!$S$4:$S$103,"B Liste"))/$A$5,0)</f>
        <v>9.1633466135458169E-2</v>
      </c>
      <c r="Z23" s="34"/>
      <c r="AC23" t="str">
        <f>IFERROR(INDEX('Veri Merkezi'!$B$2:$B$1001,MATCH(0,INDEX(COUNTIF($AC$1:AC22,'Veri Merkezi'!$B$2:$B$1001)+('Veri Merkezi'!$B$2:$B$1001=""),0),0)),"")</f>
        <v>İSVİÇRE</v>
      </c>
      <c r="AD23">
        <f>IF(AC23="","",COUNTIF('Veri Merkezi'!$B$2:$B$1001,AC23))</f>
        <v>2</v>
      </c>
    </row>
    <row r="24" spans="1:30">
      <c r="E24" t="s">
        <v>44</v>
      </c>
      <c r="F24">
        <f>IFERROR((COUNTIF(Kaleciler!$T$4:$T$103,"Takip")+COUNTIF(Stoperler!$S$4:$T$103,"Takip")+COUNTIF('Sağ Bekler'!$T$4:$T$103,"Takip")+COUNTIF('Sol Bekler'!$T$4:$T$103,"Takip")+COUNTIF('6 Numaralar'!$T$4:$T$103,"Takip")+COUNTIF('8 Numaralar'!$T$4:$T$103,"Takip")+COUNTIF('10 Numaralar'!$T$4:$T$103,"Takip")+COUNTIF(Kanatlar!$T$4:$T$103,"Takip")+COUNTIF(Forvetler!$T$4:$T$103,"Takip")+COUNTIF('Takip Edilen Türk Futbolcular'!$S$4:$S$103,"Takip"))/$A$5,0)</f>
        <v>9.1633466135458169E-2</v>
      </c>
      <c r="Z24" s="34"/>
      <c r="AC24" t="str">
        <f>IFERROR(INDEX('Veri Merkezi'!$B$2:$B$1001,MATCH(0,INDEX(COUNTIF($AC$1:AC23,'Veri Merkezi'!$B$2:$B$1001)+('Veri Merkezi'!$B$2:$B$1001=""),0),0)),"")</f>
        <v>MALİ</v>
      </c>
      <c r="AD24">
        <f>IF(AC24="","",COUNTIF('Veri Merkezi'!$B$2:$B$1001,AC24))</f>
        <v>2</v>
      </c>
    </row>
    <row r="25" spans="1:30">
      <c r="E25" t="s">
        <v>41</v>
      </c>
      <c r="F25">
        <f>IFERROR((COUNTIF(Kaleciler!$T$4:$T$103,"Tekrar İzle")+COUNTIF(Stoperler!$S$4:$T$103,"Tekrar İzle")+COUNTIF('Sağ Bekler'!$T$4:$T$103,"Tekrar İzle")+COUNTIF('Sol Bekler'!$T$4:$T$103,"Tekrar İzle")+COUNTIF('6 Numaralar'!$T$4:$T$103,"Tekrar İzle")+COUNTIF('8 Numaralar'!$T$4:$T$103,"Tekrar İzle")+COUNTIF('10 Numaralar'!$T$4:$T$103,"Tekrar İzle")+COUNTIF(Kanatlar!$T$4:$T$103,"Tekrar İzle")+COUNTIF(Forvetler!$T$4:$T$103,"Tekrar İzle")+COUNTIF('Takip Edilen Türk Futbolcular'!$S$4:$S$103,"Tekrar İzle"))/$A$5,0)</f>
        <v>5.5776892430278883E-2</v>
      </c>
      <c r="Z25" s="34"/>
      <c r="AC25" t="str">
        <f>IFERROR(INDEX('Veri Merkezi'!$B$2:$B$1001,MATCH(0,INDEX(COUNTIF($AC$1:AC24,'Veri Merkezi'!$B$2:$B$1001)+('Veri Merkezi'!$B$2:$B$1001=""),0),0)),"")</f>
        <v>KOLOMBİYA</v>
      </c>
      <c r="AD25">
        <f>IF(AC25="","",COUNTIF('Veri Merkezi'!$B$2:$B$1001,AC25))</f>
        <v>3</v>
      </c>
    </row>
    <row r="26" spans="1:30">
      <c r="E26" t="s">
        <v>38</v>
      </c>
      <c r="F26">
        <f>IFERROR((COUNTIF(Kaleciler!$T$4:$T$103,"Ele")+COUNTIF(Stoperler!$S$4:$T$103,"Ele")+COUNTIF('Sağ Bekler'!$T$4:$T$103,"Ele")+COUNTIF('Sol Bekler'!$T$4:$T$103,"Ele")+COUNTIF('6 Numaralar'!$T$4:$T$103,"Ele")+COUNTIF('8 Numaralar'!$T$4:$T$103,"Ele")+COUNTIF('10 Numaralar'!$T$4:$T$103,"Ele")+COUNTIF(Kanatlar!$T$4:$T$103,"Ele")+COUNTIF(Forvetler!$T$4:$T$103,"Ele")+COUNTIF('Takip Edilen Türk Futbolcular'!$S$4:$S$103,"Ele"))/$A$5,0)</f>
        <v>0.12350597609561753</v>
      </c>
      <c r="Z26" s="34"/>
      <c r="AC26" t="str">
        <f>IFERROR(INDEX('Veri Merkezi'!$B$2:$B$1001,MATCH(0,INDEX(COUNTIF($AC$1:AC25,'Veri Merkezi'!$B$2:$B$1001)+('Veri Merkezi'!$B$2:$B$1001=""),0),0)),"")</f>
        <v>SURİYE</v>
      </c>
      <c r="AD26">
        <f>IF(AC26="","",COUNTIF('Veri Merkezi'!$B$2:$B$1001,AC26))</f>
        <v>1</v>
      </c>
    </row>
    <row r="27" spans="1:30">
      <c r="Z27" s="34"/>
      <c r="AC27" t="str">
        <f>IFERROR(INDEX('Veri Merkezi'!$B$2:$B$1001,MATCH(0,INDEX(COUNTIF($AC$1:AC26,'Veri Merkezi'!$B$2:$B$1001)+('Veri Merkezi'!$B$2:$B$1001=""),0),0)),"")</f>
        <v>AVUSTURYA</v>
      </c>
      <c r="AD27">
        <f>IF(AC27="","",COUNTIF('Veri Merkezi'!$B$2:$B$1001,AC27))</f>
        <v>3</v>
      </c>
    </row>
    <row r="28" spans="1:30" ht="15" customHeight="1">
      <c r="A28" s="76" t="s">
        <v>167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48"/>
      <c r="N28" s="76" t="s">
        <v>168</v>
      </c>
      <c r="O28" s="68"/>
      <c r="P28" s="68"/>
      <c r="Q28" s="68"/>
      <c r="R28" s="68"/>
      <c r="S28" s="48"/>
      <c r="T28" s="48"/>
      <c r="U28" s="48"/>
      <c r="V28" s="48"/>
      <c r="W28" s="48"/>
      <c r="X28" s="48"/>
      <c r="Y28" s="48"/>
      <c r="Z28" s="34"/>
      <c r="AC28" t="str">
        <f>IFERROR(INDEX('Veri Merkezi'!$B$2:$B$1001,MATCH(0,INDEX(COUNTIF($AC$1:AC27,'Veri Merkezi'!$B$2:$B$1001)+('Veri Merkezi'!$B$2:$B$1001=""),0),0)),"")</f>
        <v>EKVADOR</v>
      </c>
      <c r="AD28">
        <f>IF(AC28="","",COUNTIF('Veri Merkezi'!$B$2:$B$1001,AC28))</f>
        <v>3</v>
      </c>
    </row>
    <row r="29" spans="1:30" ht="15" customHeight="1">
      <c r="A29" s="76" t="s">
        <v>169</v>
      </c>
      <c r="B29" s="68"/>
      <c r="C29" s="68"/>
      <c r="D29" s="76" t="s">
        <v>147</v>
      </c>
      <c r="E29" s="68"/>
      <c r="F29" s="68"/>
      <c r="G29" s="76" t="s">
        <v>146</v>
      </c>
      <c r="H29" s="68"/>
      <c r="I29" s="68"/>
      <c r="J29" s="76" t="s">
        <v>145</v>
      </c>
      <c r="K29" s="68"/>
      <c r="L29" s="68"/>
      <c r="M29" s="49"/>
      <c r="N29" s="76" t="s">
        <v>138</v>
      </c>
      <c r="O29" s="68"/>
      <c r="P29" s="68"/>
      <c r="Q29" s="76" t="s">
        <v>170</v>
      </c>
      <c r="R29" s="68"/>
      <c r="S29" s="48"/>
      <c r="T29" s="48"/>
      <c r="U29" s="48"/>
      <c r="V29" s="48"/>
      <c r="W29" s="48"/>
      <c r="X29" s="48"/>
      <c r="Y29" s="48"/>
      <c r="Z29" s="34"/>
      <c r="AC29" t="str">
        <f>IFERROR(INDEX('Veri Merkezi'!$B$2:$B$1001,MATCH(0,INDEX(COUNTIF($AC$1:AC28,'Veri Merkezi'!$B$2:$B$1001)+('Veri Merkezi'!$B$2:$B$1001=""),0),0)),"")</f>
        <v>ARNAVUTLUK / BELÇİKA</v>
      </c>
      <c r="AD29">
        <f>IF(AC29="","",COUNTIF('Veri Merkezi'!$B$2:$B$1001,AC29))</f>
        <v>1</v>
      </c>
    </row>
    <row r="30" spans="1:30" ht="17" customHeight="1">
      <c r="A30" s="72"/>
      <c r="B30" s="68"/>
      <c r="C30" s="68"/>
      <c r="D30" s="72"/>
      <c r="E30" s="68"/>
      <c r="F30" s="68"/>
      <c r="G30" s="72"/>
      <c r="H30" s="68"/>
      <c r="I30" s="68"/>
      <c r="J30" s="72"/>
      <c r="K30" s="68"/>
      <c r="L30" s="68"/>
      <c r="M30" s="48"/>
      <c r="N30" s="72"/>
      <c r="O30" s="68"/>
      <c r="P30" s="68"/>
      <c r="Q30" s="72"/>
      <c r="R30" s="68"/>
      <c r="S30" s="48"/>
      <c r="T30" s="48"/>
      <c r="U30" s="48"/>
      <c r="V30" s="48"/>
      <c r="W30" s="48"/>
      <c r="X30" s="48"/>
      <c r="Y30" s="48"/>
      <c r="Z30" s="34"/>
      <c r="AC30" t="str">
        <f>IFERROR(INDEX('Veri Merkezi'!$B$2:$B$1001,MATCH(0,INDEX(COUNTIF($AC$1:AC29,'Veri Merkezi'!$B$2:$B$1001)+('Veri Merkezi'!$B$2:$B$1001=""),0),0)),"")</f>
        <v>MACARİSTAN</v>
      </c>
      <c r="AD30">
        <f>IF(AC30="","",COUNTIF('Veri Merkezi'!$B$2:$B$1001,AC30))</f>
        <v>2</v>
      </c>
    </row>
    <row r="31" spans="1:30">
      <c r="Z31" s="34"/>
      <c r="AC31" t="str">
        <f>IFERROR(INDEX('Veri Merkezi'!$B$2:$B$1001,MATCH(0,INDEX(COUNTIF($AC$1:AC30,'Veri Merkezi'!$B$2:$B$1001)+('Veri Merkezi'!$B$2:$B$1001=""),0),0)),"")</f>
        <v>KANADA</v>
      </c>
      <c r="AD31">
        <f>IF(AC31="","",COUNTIF('Veri Merkezi'!$B$2:$B$1001,AC31))</f>
        <v>1</v>
      </c>
    </row>
    <row r="32" spans="1:30" ht="15" customHeight="1">
      <c r="A32" s="77" t="s">
        <v>171</v>
      </c>
      <c r="B32" s="68"/>
      <c r="C32" s="68"/>
      <c r="D32" s="68"/>
      <c r="E32" s="68"/>
      <c r="F32" s="68"/>
      <c r="G32" s="77" t="s">
        <v>172</v>
      </c>
      <c r="H32" s="68"/>
      <c r="I32" s="68"/>
      <c r="J32" s="68"/>
      <c r="K32" s="68"/>
      <c r="L32" s="68"/>
      <c r="N32" s="77" t="s">
        <v>173</v>
      </c>
      <c r="O32" s="68"/>
      <c r="P32" s="68"/>
      <c r="Q32" s="68"/>
      <c r="R32" s="68"/>
      <c r="Z32" s="34"/>
      <c r="AC32" t="str">
        <f>IFERROR(INDEX('Veri Merkezi'!$B$2:$B$1001,MATCH(0,INDEX(COUNTIF($AC$1:AC31,'Veri Merkezi'!$B$2:$B$1001)+('Veri Merkezi'!$B$2:$B$1001=""),0),0)),"")</f>
        <v>SENEGAL</v>
      </c>
      <c r="AD32">
        <f>IF(AC32="","",COUNTIF('Veri Merkezi'!$B$2:$B$1001,AC32))</f>
        <v>5</v>
      </c>
    </row>
    <row r="33" spans="1:30" ht="15" customHeight="1">
      <c r="A33" s="28" t="s">
        <v>151</v>
      </c>
      <c r="B33" s="28" t="s">
        <v>5</v>
      </c>
      <c r="C33" s="28" t="s">
        <v>174</v>
      </c>
      <c r="D33" s="28" t="s">
        <v>19</v>
      </c>
      <c r="E33" s="28" t="s">
        <v>9</v>
      </c>
      <c r="F33" s="28" t="s">
        <v>20</v>
      </c>
      <c r="G33" s="28" t="s">
        <v>151</v>
      </c>
      <c r="H33" s="28" t="s">
        <v>5</v>
      </c>
      <c r="I33" s="28" t="s">
        <v>174</v>
      </c>
      <c r="J33" s="28" t="s">
        <v>19</v>
      </c>
      <c r="K33" s="28" t="s">
        <v>9</v>
      </c>
      <c r="L33" s="28" t="s">
        <v>20</v>
      </c>
      <c r="N33" s="28" t="s">
        <v>151</v>
      </c>
      <c r="O33" s="28" t="s">
        <v>5</v>
      </c>
      <c r="P33" s="28" t="s">
        <v>174</v>
      </c>
      <c r="Q33" s="28" t="s">
        <v>175</v>
      </c>
      <c r="R33" s="28" t="s">
        <v>176</v>
      </c>
      <c r="Z33" s="34"/>
      <c r="AC33" t="str">
        <f>IFERROR(INDEX('Veri Merkezi'!$B$2:$B$1001,MATCH(0,INDEX(COUNTIF($AC$1:AC32,'Veri Merkezi'!$B$2:$B$1001)+('Veri Merkezi'!$B$2:$B$1001=""),0),0)),"")</f>
        <v>PARAGUAY</v>
      </c>
      <c r="AD33">
        <f>IF(AC33="","",COUNTIF('Veri Merkezi'!$B$2:$B$1001,AC33))</f>
        <v>2</v>
      </c>
    </row>
    <row r="34" spans="1:30">
      <c r="A34" t="str">
        <f>IF('A Liste'!$A4="","",'A Liste'!$A4)</f>
        <v>TUNGAY NIANZOU</v>
      </c>
      <c r="B34" t="str">
        <f>IF('A Liste'!$B4="","",'A Liste'!$B4)</f>
        <v>Stoper</v>
      </c>
      <c r="C34" t="str">
        <f>IF('A Liste'!$D4="","",'A Liste'!$D4)</f>
        <v>LILLE</v>
      </c>
      <c r="D34" t="str">
        <f>IF('A Liste'!$G4="","",'A Liste'!$G4)</f>
        <v/>
      </c>
      <c r="E34" t="str">
        <f>IF('A Liste'!$F4="","",'A Liste'!$F4)</f>
        <v>Yeşil</v>
      </c>
      <c r="F34" t="str">
        <f>IF('A Liste'!$H4="","",'A Liste'!$H4)</f>
        <v>A Liste</v>
      </c>
      <c r="G34" t="str">
        <f>IF('B Liste'!$A4="","",'B Liste'!$A4)</f>
        <v>FEDERICO GOTTONI</v>
      </c>
      <c r="H34" t="str">
        <f>IF('B Liste'!$A4="","",'B Liste'!$B4)</f>
        <v>Stoper</v>
      </c>
      <c r="I34" t="str">
        <f>IF('B Liste'!$A4="","",'B Liste'!$D4)</f>
        <v>ASCOLI</v>
      </c>
      <c r="J34" t="str">
        <f>IF('B Liste'!$A4="","",'B Liste'!$G4)</f>
        <v/>
      </c>
      <c r="K34" t="str">
        <f>IF('B Liste'!$A4="","",'B Liste'!$F4)</f>
        <v>Sarı</v>
      </c>
      <c r="L34" t="str">
        <f>IF('B Liste'!$A4="","",'B Liste'!$H4)</f>
        <v>B Liste</v>
      </c>
      <c r="N34" t="str">
        <f ca="1">IF('Sözleşmesi Bitenler'!$B4="","",'Sözleşmesi Bitenler'!$B4)</f>
        <v>WELLITON</v>
      </c>
      <c r="O34" t="str">
        <f ca="1">IF('Sözleşmesi Bitenler'!$B4="","",'Sözleşmesi Bitenler'!$C4)</f>
        <v>Kanat</v>
      </c>
      <c r="P34" t="str">
        <f ca="1">IF('Sözleşmesi Bitenler'!$B4="","",'Sözleşmesi Bitenler'!$E4)</f>
        <v>FORTALEZA</v>
      </c>
      <c r="Q34" s="9">
        <f ca="1">IF('Sözleşmesi Bitenler'!$B4="","",'Sözleşmesi Bitenler'!$F4)</f>
        <v>46356</v>
      </c>
      <c r="R34" s="8">
        <f ca="1">IF('Sözleşmesi Bitenler'!$B4="","",'Sözleşmesi Bitenler'!$G4)</f>
        <v>55</v>
      </c>
      <c r="Z34" s="34"/>
      <c r="AC34" t="str">
        <f>IFERROR(INDEX('Veri Merkezi'!$B$2:$B$1001,MATCH(0,INDEX(COUNTIF($AC$1:AC33,'Veri Merkezi'!$B$2:$B$1001)+('Veri Merkezi'!$B$2:$B$1001=""),0),0)),"")</f>
        <v>BELÇİKA</v>
      </c>
      <c r="AD34">
        <f>IF(AC34="","",COUNTIF('Veri Merkezi'!$B$2:$B$1001,AC34))</f>
        <v>7</v>
      </c>
    </row>
    <row r="35" spans="1:30">
      <c r="A35" t="str">
        <f>IF('A Liste'!$A5="","",'A Liste'!$A5)</f>
        <v>ARTHUR ZAGRE</v>
      </c>
      <c r="B35" t="str">
        <f>IF('A Liste'!$B5="","",'A Liste'!$B5)</f>
        <v>Sol Bek</v>
      </c>
      <c r="C35" t="str">
        <f>IF('A Liste'!$D5="","",'A Liste'!$D5)</f>
        <v>UTRECHT</v>
      </c>
      <c r="D35" t="str">
        <f>IF('A Liste'!$G5="","",'A Liste'!$G5)</f>
        <v/>
      </c>
      <c r="E35" t="str">
        <f>IF('A Liste'!$F5="","",'A Liste'!$F5)</f>
        <v>Yeşil</v>
      </c>
      <c r="F35" t="str">
        <f>IF('A Liste'!$H5="","",'A Liste'!$H5)</f>
        <v>A Liste</v>
      </c>
      <c r="G35" t="str">
        <f>IF('B Liste'!$A5="","",'B Liste'!$A5)</f>
        <v>MİLOS VELJKOVİC</v>
      </c>
      <c r="H35" t="str">
        <f>IF('B Liste'!$A5="","",'B Liste'!$B5)</f>
        <v>Stoper</v>
      </c>
      <c r="I35" t="str">
        <f>IF('B Liste'!$A5="","",'B Liste'!$D5)</f>
        <v>KIZILYILDIZ</v>
      </c>
      <c r="J35" t="str">
        <f>IF('B Liste'!$A5="","",'B Liste'!$G5)</f>
        <v/>
      </c>
      <c r="K35" t="str">
        <f>IF('B Liste'!$A5="","",'B Liste'!$F5)</f>
        <v>Sarı</v>
      </c>
      <c r="L35" t="str">
        <f>IF('B Liste'!$A5="","",'B Liste'!$H5)</f>
        <v>B Liste</v>
      </c>
      <c r="N35" t="str">
        <f ca="1">IF('Sözleşmesi Bitenler'!$B5="","",'Sözleşmesi Bitenler'!$B5)</f>
        <v>FILIP AKDEMIR</v>
      </c>
      <c r="O35" t="str">
        <f ca="1">IF('Sözleşmesi Bitenler'!$B5="","",'Sözleşmesi Bitenler'!$C5)</f>
        <v>Forvet</v>
      </c>
      <c r="P35" t="str">
        <f ca="1">IF('Sözleşmesi Bitenler'!$B5="","",'Sözleşmesi Bitenler'!$E5)</f>
        <v>LUNDS BK</v>
      </c>
      <c r="Q35" s="9">
        <f ca="1">IF('Sözleşmesi Bitenler'!$B5="","",'Sözleşmesi Bitenler'!$F5)</f>
        <v>46356</v>
      </c>
      <c r="R35" s="8">
        <f ca="1">IF('Sözleşmesi Bitenler'!$B5="","",'Sözleşmesi Bitenler'!$G5)</f>
        <v>55</v>
      </c>
      <c r="Z35" s="34"/>
      <c r="AC35" t="str">
        <f>IFERROR(INDEX('Veri Merkezi'!$B$2:$B$1001,MATCH(0,INDEX(COUNTIF($AC$1:AC34,'Veri Merkezi'!$B$2:$B$1001)+('Veri Merkezi'!$B$2:$B$1001=""),0),0)),"")</f>
        <v>SLOVENYA</v>
      </c>
      <c r="AD35">
        <f>IF(AC35="","",COUNTIF('Veri Merkezi'!$B$2:$B$1001,AC35))</f>
        <v>2</v>
      </c>
    </row>
    <row r="36" spans="1:30">
      <c r="A36" s="33" t="str">
        <f>IF('A Liste'!$A6="","",'A Liste'!$A6)</f>
        <v>LEONARDO LELO</v>
      </c>
      <c r="B36" s="33" t="str">
        <f>IF('A Liste'!$B6="","",'A Liste'!$B6)</f>
        <v>Sol Bek</v>
      </c>
      <c r="C36" s="33" t="str">
        <f>IF('A Liste'!$D6="","",'A Liste'!$D6)</f>
        <v>ALMERIA</v>
      </c>
      <c r="D36" s="33" t="str">
        <f>IF('A Liste'!$G6="","",'A Liste'!$G6)</f>
        <v/>
      </c>
      <c r="E36" s="33" t="str">
        <f>IF('A Liste'!$F6="","",'A Liste'!$F6)</f>
        <v>Yeşil</v>
      </c>
      <c r="F36" s="33" t="str">
        <f>IF('A Liste'!$H6="","",'A Liste'!$H6)</f>
        <v>A Liste</v>
      </c>
      <c r="G36" s="33" t="str">
        <f>IF('B Liste'!$A6="","",'B Liste'!$A6)</f>
        <v>SOHAIB NAIR</v>
      </c>
      <c r="H36" s="33" t="str">
        <f>IF('B Liste'!$A6="","",'B Liste'!$B6)</f>
        <v>Stoper</v>
      </c>
      <c r="I36" s="33" t="str">
        <f>IF('B Liste'!$A6="","",'B Liste'!$D6)</f>
        <v>ST.ETTIEN</v>
      </c>
      <c r="J36" s="33" t="str">
        <f>IF('B Liste'!$A6="","",'B Liste'!$G6)</f>
        <v/>
      </c>
      <c r="K36" s="33" t="str">
        <f>IF('B Liste'!$A6="","",'B Liste'!$F6)</f>
        <v>Yeşil</v>
      </c>
      <c r="L36" s="33" t="str">
        <f>IF('B Liste'!$A6="","",'B Liste'!$H6)</f>
        <v>B Liste</v>
      </c>
      <c r="M36" s="33"/>
      <c r="N36" s="33" t="str">
        <f ca="1">IF('Sözleşmesi Bitenler'!$B6="","",'Sözleşmesi Bitenler'!$B6)</f>
        <v>ZE IVALDO</v>
      </c>
      <c r="O36" s="33" t="str">
        <f ca="1">IF('Sözleşmesi Bitenler'!$B6="","",'Sözleşmesi Bitenler'!$C6)</f>
        <v>Stoper</v>
      </c>
      <c r="P36" s="33" t="str">
        <f ca="1">IF('Sözleşmesi Bitenler'!$B6="","",'Sözleşmesi Bitenler'!$E6)</f>
        <v>REMO</v>
      </c>
      <c r="Q36" s="36">
        <f ca="1">IF('Sözleşmesi Bitenler'!$B6="","",'Sözleşmesi Bitenler'!$F6)</f>
        <v>46387</v>
      </c>
      <c r="R36" s="37">
        <f ca="1">IF('Sözleşmesi Bitenler'!$B6="","",'Sözleşmesi Bitenler'!$G6)</f>
        <v>86</v>
      </c>
      <c r="S36" s="33"/>
      <c r="T36" s="33"/>
      <c r="X36" s="33"/>
      <c r="Y36" s="33"/>
      <c r="Z36" s="34"/>
      <c r="AC36" t="str">
        <f>IFERROR(INDEX('Veri Merkezi'!$B$2:$B$1001,MATCH(0,INDEX(COUNTIF($AC$1:AC35,'Veri Merkezi'!$B$2:$B$1001)+('Veri Merkezi'!$B$2:$B$1001=""),0),0)),"")</f>
        <v>FİNLANDİYA</v>
      </c>
      <c r="AD36">
        <f>IF(AC36="","",COUNTIF('Veri Merkezi'!$B$2:$B$1001,AC36))</f>
        <v>1</v>
      </c>
    </row>
    <row r="37" spans="1:30">
      <c r="A37" s="33" t="str">
        <f>IF('A Liste'!$A7="","",'A Liste'!$A7)</f>
        <v>RAMIZ ZERROUKI</v>
      </c>
      <c r="B37" s="33" t="str">
        <f>IF('A Liste'!$B7="","",'A Liste'!$B7)</f>
        <v>6 Numara</v>
      </c>
      <c r="C37" s="33" t="str">
        <f>IF('A Liste'!$D7="","",'A Liste'!$D7)</f>
        <v>TWENTE</v>
      </c>
      <c r="D37" s="33" t="str">
        <f>IF('A Liste'!$G7="","",'A Liste'!$G7)</f>
        <v/>
      </c>
      <c r="E37" s="33" t="str">
        <f>IF('A Liste'!$F7="","",'A Liste'!$F7)</f>
        <v>Yeşil</v>
      </c>
      <c r="F37" s="33" t="str">
        <f>IF('A Liste'!$H7="","",'A Liste'!$H7)</f>
        <v>A Liste</v>
      </c>
      <c r="G37" s="33" t="str">
        <f>IF('B Liste'!$A7="","",'B Liste'!$A7)</f>
        <v>AXEL TUANZEBE</v>
      </c>
      <c r="H37" s="33" t="str">
        <f>IF('B Liste'!$A7="","",'B Liste'!$B7)</f>
        <v>Stoper</v>
      </c>
      <c r="I37" s="33" t="str">
        <f>IF('B Liste'!$A7="","",'B Liste'!$D7)</f>
        <v>AUXERRE</v>
      </c>
      <c r="J37" s="33" t="str">
        <f>IF('B Liste'!$A7="","",'B Liste'!$G7)</f>
        <v/>
      </c>
      <c r="K37" s="33" t="str">
        <f>IF('B Liste'!$A7="","",'B Liste'!$F7)</f>
        <v>Sarı</v>
      </c>
      <c r="L37" s="33" t="str">
        <f>IF('B Liste'!$A7="","",'B Liste'!$H7)</f>
        <v>B Liste</v>
      </c>
      <c r="M37" s="33"/>
      <c r="N37" s="33" t="str">
        <f ca="1">IF('Sözleşmesi Bitenler'!$B7="","",'Sözleşmesi Bitenler'!$B7)</f>
        <v>PEDRO HENRIQUE</v>
      </c>
      <c r="O37" s="33" t="str">
        <f ca="1">IF('Sözleşmesi Bitenler'!$B7="","",'Sözleşmesi Bitenler'!$C7)</f>
        <v>Stoper</v>
      </c>
      <c r="P37" s="33" t="str">
        <f ca="1">IF('Sözleşmesi Bitenler'!$B7="","",'Sözleşmesi Bitenler'!$E7)</f>
        <v>RB BRAGANTINO</v>
      </c>
      <c r="Q37" s="36">
        <f ca="1">IF('Sözleşmesi Bitenler'!$B7="","",'Sözleşmesi Bitenler'!$F7)</f>
        <v>46387</v>
      </c>
      <c r="R37" s="37">
        <f ca="1">IF('Sözleşmesi Bitenler'!$B7="","",'Sözleşmesi Bitenler'!$G7)</f>
        <v>86</v>
      </c>
      <c r="S37" s="33"/>
      <c r="T37" s="33"/>
      <c r="X37" s="33"/>
      <c r="Y37" s="33"/>
      <c r="Z37" s="34"/>
      <c r="AC37" t="str">
        <f>IFERROR(INDEX('Veri Merkezi'!$B$2:$B$1001,MATCH(0,INDEX(COUNTIF($AC$1:AC36,'Veri Merkezi'!$B$2:$B$1001)+('Veri Merkezi'!$B$2:$B$1001=""),0),0)),"")</f>
        <v>GUADELOUPE</v>
      </c>
      <c r="AD37">
        <f>IF(AC37="","",COUNTIF('Veri Merkezi'!$B$2:$B$1001,AC37))</f>
        <v>1</v>
      </c>
    </row>
    <row r="38" spans="1:30">
      <c r="A38" t="str">
        <f>IF('A Liste'!$A8="","",'A Liste'!$A8)</f>
        <v>STEPHEN EUSTAQUO</v>
      </c>
      <c r="B38" t="str">
        <f>IF('A Liste'!$B8="","",'A Liste'!$B8)</f>
        <v>8 Numara</v>
      </c>
      <c r="C38" t="str">
        <f>IF('A Liste'!$D8="","",'A Liste'!$D8)</f>
        <v>SWANSEA</v>
      </c>
      <c r="D38" t="str">
        <f>IF('A Liste'!$G8="","",'A Liste'!$G8)</f>
        <v/>
      </c>
      <c r="E38" t="str">
        <f>IF('A Liste'!$F8="","",'A Liste'!$F8)</f>
        <v>Yeşil</v>
      </c>
      <c r="F38" t="str">
        <f>IF('A Liste'!$H8="","",'A Liste'!$H8)</f>
        <v>A Liste</v>
      </c>
      <c r="G38" t="str">
        <f>IF('B Liste'!$A8="","",'B Liste'!$A8)</f>
        <v>DUJE CALETE-CAR</v>
      </c>
      <c r="H38" t="str">
        <f>IF('B Liste'!$A8="","",'B Liste'!$B8)</f>
        <v>Stoper</v>
      </c>
      <c r="I38" t="str">
        <f>IF('B Liste'!$A8="","",'B Liste'!$D8)</f>
        <v>SASSUOLO</v>
      </c>
      <c r="J38" t="str">
        <f>IF('B Liste'!$A8="","",'B Liste'!$G8)</f>
        <v/>
      </c>
      <c r="K38" t="str">
        <f>IF('B Liste'!$A8="","",'B Liste'!$F8)</f>
        <v>Yeşil</v>
      </c>
      <c r="L38" t="str">
        <f>IF('B Liste'!$A8="","",'B Liste'!$H8)</f>
        <v>B Liste</v>
      </c>
      <c r="N38" t="str">
        <f ca="1">IF('Sözleşmesi Bitenler'!$B8="","",'Sözleşmesi Bitenler'!$B8)</f>
        <v>RODRIGO INSUA</v>
      </c>
      <c r="O38" t="str">
        <f ca="1">IF('Sözleşmesi Bitenler'!$B8="","",'Sözleşmesi Bitenler'!$C8)</f>
        <v>Sol Bek</v>
      </c>
      <c r="P38" t="str">
        <f ca="1">IF('Sözleşmesi Bitenler'!$B8="","",'Sözleşmesi Bitenler'!$E8)</f>
        <v>BARRACAS</v>
      </c>
      <c r="Q38" s="9">
        <f ca="1">IF('Sözleşmesi Bitenler'!$B8="","",'Sözleşmesi Bitenler'!$F8)</f>
        <v>46387</v>
      </c>
      <c r="R38" s="8">
        <f ca="1">IF('Sözleşmesi Bitenler'!$B8="","",'Sözleşmesi Bitenler'!$G8)</f>
        <v>86</v>
      </c>
      <c r="Z38" s="34"/>
      <c r="AC38" t="str">
        <f>IFERROR(INDEX('Veri Merkezi'!$B$2:$B$1001,MATCH(0,INDEX(COUNTIF($AC$1:AC37,'Veri Merkezi'!$B$2:$B$1001)+('Veri Merkezi'!$B$2:$B$1001=""),0),0)),"")</f>
        <v>NİJERYA</v>
      </c>
      <c r="AD38">
        <f>IF(AC38="","",COUNTIF('Veri Merkezi'!$B$2:$B$1001,AC38))</f>
        <v>8</v>
      </c>
    </row>
    <row r="39" spans="1:30">
      <c r="A39" t="str">
        <f>IF('A Liste'!$A9="","",'A Liste'!$A9)</f>
        <v>URAN BISLIMI</v>
      </c>
      <c r="B39" t="str">
        <f>IF('A Liste'!$B9="","",'A Liste'!$B9)</f>
        <v>8 Numara</v>
      </c>
      <c r="C39" t="str">
        <f>IF('A Liste'!$D9="","",'A Liste'!$D9)</f>
        <v>LUGANO</v>
      </c>
      <c r="D39" t="str">
        <f>IF('A Liste'!$G9="","",'A Liste'!$G9)</f>
        <v/>
      </c>
      <c r="E39" t="str">
        <f>IF('A Liste'!$F9="","",'A Liste'!$F9)</f>
        <v>Yeşil</v>
      </c>
      <c r="F39" t="str">
        <f>IF('A Liste'!$H9="","",'A Liste'!$H9)</f>
        <v>A Liste</v>
      </c>
      <c r="G39" t="str">
        <f>IF('B Liste'!$A9="","",'B Liste'!$A9)</f>
        <v>JOAO MARCELO MESSİAS FERREIRA</v>
      </c>
      <c r="H39" t="str">
        <f>IF('B Liste'!$A9="","",'B Liste'!$B9)</f>
        <v>Stoper</v>
      </c>
      <c r="I39" t="str">
        <f>IF('B Liste'!$A9="","",'B Liste'!$D9)</f>
        <v>CRUZEİRO</v>
      </c>
      <c r="J39" t="str">
        <f>IF('B Liste'!$A9="","",'B Liste'!$G9)</f>
        <v/>
      </c>
      <c r="K39" t="str">
        <f>IF('B Liste'!$A9="","",'B Liste'!$F9)</f>
        <v>Yeşil</v>
      </c>
      <c r="L39" t="str">
        <f>IF('B Liste'!$A9="","",'B Liste'!$H9)</f>
        <v>B Liste</v>
      </c>
      <c r="N39" t="str">
        <f ca="1">IF('Sözleşmesi Bitenler'!$B9="","",'Sözleşmesi Bitenler'!$B9)</f>
        <v>MONCHU</v>
      </c>
      <c r="O39" t="str">
        <f ca="1">IF('Sözleşmesi Bitenler'!$B9="","",'Sözleşmesi Bitenler'!$C9)</f>
        <v>8 Numara</v>
      </c>
      <c r="P39" t="str">
        <f ca="1">IF('Sözleşmesi Bitenler'!$B9="","",'Sözleşmesi Bitenler'!$E9)</f>
        <v>FC JUAREZ</v>
      </c>
      <c r="Q39" s="9">
        <f ca="1">IF('Sözleşmesi Bitenler'!$B9="","",'Sözleşmesi Bitenler'!$F9)</f>
        <v>46387</v>
      </c>
      <c r="R39" s="8">
        <f ca="1">IF('Sözleşmesi Bitenler'!$B9="","",'Sözleşmesi Bitenler'!$G9)</f>
        <v>86</v>
      </c>
      <c r="Z39" s="34"/>
      <c r="AC39" t="str">
        <f>IFERROR(INDEX('Veri Merkezi'!$B$2:$B$1001,MATCH(0,INDEX(COUNTIF($AC$1:AC38,'Veri Merkezi'!$B$2:$B$1001)+('Veri Merkezi'!$B$2:$B$1001=""),0),0)),"")</f>
        <v>FAS</v>
      </c>
      <c r="AD39">
        <f>IF(AC39="","",COUNTIF('Veri Merkezi'!$B$2:$B$1001,AC39))</f>
        <v>1</v>
      </c>
    </row>
    <row r="40" spans="1:30">
      <c r="A40" t="str">
        <f>IF('A Liste'!$A10="","",'A Liste'!$A10)</f>
        <v>JEAN LUCAS DE SOUZA</v>
      </c>
      <c r="B40" t="str">
        <f>IF('A Liste'!$B10="","",'A Liste'!$B10)</f>
        <v>8 Numara</v>
      </c>
      <c r="C40" t="str">
        <f>IF('A Liste'!$D10="","",'A Liste'!$D10)</f>
        <v>BAHIA</v>
      </c>
      <c r="D40" t="str">
        <f>IF('A Liste'!$G10="","",'A Liste'!$G10)</f>
        <v/>
      </c>
      <c r="E40" t="str">
        <f>IF('A Liste'!$F10="","",'A Liste'!$F10)</f>
        <v>Yeşil</v>
      </c>
      <c r="F40" t="str">
        <f>IF('A Liste'!$H10="","",'A Liste'!$H10)</f>
        <v>A Liste</v>
      </c>
      <c r="G40" t="str">
        <f>IF('B Liste'!$A10="","",'B Liste'!$A10)</f>
        <v>MUJAID SADICK</v>
      </c>
      <c r="H40" t="str">
        <f>IF('B Liste'!$A10="","",'B Liste'!$B10)</f>
        <v>Stoper</v>
      </c>
      <c r="I40" t="str">
        <f>IF('B Liste'!$A10="","",'B Liste'!$D10)</f>
        <v>RAYO VALLECANO</v>
      </c>
      <c r="J40" t="str">
        <f>IF('B Liste'!$A10="","",'B Liste'!$G10)</f>
        <v/>
      </c>
      <c r="K40" t="str">
        <f>IF('B Liste'!$A10="","",'B Liste'!$F10)</f>
        <v>Yeşil</v>
      </c>
      <c r="L40" t="str">
        <f>IF('B Liste'!$A10="","",'B Liste'!$H10)</f>
        <v>B Liste</v>
      </c>
      <c r="N40" t="str">
        <f ca="1">IF('Sözleşmesi Bitenler'!$B10="","",'Sözleşmesi Bitenler'!$B10)</f>
        <v>JIN-GYU KIM</v>
      </c>
      <c r="O40" t="str">
        <f ca="1">IF('Sözleşmesi Bitenler'!$B10="","",'Sözleşmesi Bitenler'!$C10)</f>
        <v>8 Numara</v>
      </c>
      <c r="P40" t="str">
        <f ca="1">IF('Sözleşmesi Bitenler'!$B10="","",'Sözleşmesi Bitenler'!$E10)</f>
        <v>JEONBUK HYUNDAI</v>
      </c>
      <c r="Q40" s="9">
        <f ca="1">IF('Sözleşmesi Bitenler'!$B10="","",'Sözleşmesi Bitenler'!$F10)</f>
        <v>46387</v>
      </c>
      <c r="R40" s="8">
        <f ca="1">IF('Sözleşmesi Bitenler'!$B10="","",'Sözleşmesi Bitenler'!$G10)</f>
        <v>86</v>
      </c>
      <c r="Z40" s="34"/>
      <c r="AC40" t="str">
        <f>IFERROR(INDEX('Veri Merkezi'!$B$2:$B$1001,MATCH(0,INDEX(COUNTIF($AC$1:AC39,'Veri Merkezi'!$B$2:$B$1001)+('Veri Merkezi'!$B$2:$B$1001=""),0),0)),"")</f>
        <v>GİNE</v>
      </c>
      <c r="AD40">
        <f>IF(AC40="","",COUNTIF('Veri Merkezi'!$B$2:$B$1001,AC40))</f>
        <v>2</v>
      </c>
    </row>
    <row r="41" spans="1:30">
      <c r="A41" t="str">
        <f>IF('A Liste'!$A11="","",'A Liste'!$A11)</f>
        <v>MONCHU</v>
      </c>
      <c r="B41" t="str">
        <f>IF('A Liste'!$B11="","",'A Liste'!$B11)</f>
        <v>8 Numara</v>
      </c>
      <c r="C41" t="str">
        <f>IF('A Liste'!$D11="","",'A Liste'!$D11)</f>
        <v>FC JUAREZ</v>
      </c>
      <c r="D41" t="str">
        <f>IF('A Liste'!$G11="","",'A Liste'!$G11)</f>
        <v/>
      </c>
      <c r="E41" t="str">
        <f>IF('A Liste'!$F11="","",'A Liste'!$F11)</f>
        <v>Yeşil</v>
      </c>
      <c r="F41" t="str">
        <f>IF('A Liste'!$H11="","",'A Liste'!$H11)</f>
        <v>A Liste</v>
      </c>
      <c r="G41" t="str">
        <f>IF('B Liste'!$A11="","",'B Liste'!$A11)</f>
        <v>DOMINGOS DUARTE</v>
      </c>
      <c r="H41" t="str">
        <f>IF('B Liste'!$A11="","",'B Liste'!$B11)</f>
        <v>Stoper</v>
      </c>
      <c r="I41" t="str">
        <f>IF('B Liste'!$A11="","",'B Liste'!$D11)</f>
        <v>SAO PAULO</v>
      </c>
      <c r="J41" t="str">
        <f>IF('B Liste'!$A11="","",'B Liste'!$G11)</f>
        <v/>
      </c>
      <c r="K41" t="str">
        <f>IF('B Liste'!$A11="","",'B Liste'!$F11)</f>
        <v>Yeşil</v>
      </c>
      <c r="L41" t="str">
        <f>IF('B Liste'!$A11="","",'B Liste'!$H11)</f>
        <v>B Liste</v>
      </c>
      <c r="N41" t="str">
        <f ca="1">IF('Sözleşmesi Bitenler'!$B11="","",'Sözleşmesi Bitenler'!$B11)</f>
        <v>ALEHANDRO MARTINEZ</v>
      </c>
      <c r="O41" t="str">
        <f ca="1">IF('Sözleşmesi Bitenler'!$B11="","",'Sözleşmesi Bitenler'!$C11)</f>
        <v>Kanat</v>
      </c>
      <c r="P41" t="str">
        <f ca="1">IF('Sözleşmesi Bitenler'!$B11="","",'Sözleşmesi Bitenler'!$E11)</f>
        <v>NACIONAL</v>
      </c>
      <c r="Q41" s="9">
        <f ca="1">IF('Sözleşmesi Bitenler'!$B11="","",'Sözleşmesi Bitenler'!$F11)</f>
        <v>46387</v>
      </c>
      <c r="R41" s="8">
        <f ca="1">IF('Sözleşmesi Bitenler'!$B11="","",'Sözleşmesi Bitenler'!$G11)</f>
        <v>86</v>
      </c>
      <c r="Z41" s="34"/>
      <c r="AC41" t="str">
        <f>IFERROR(INDEX('Veri Merkezi'!$B$2:$B$1001,MATCH(0,INDEX(COUNTIF($AC$1:AC40,'Veri Merkezi'!$B$2:$B$1001)+('Veri Merkezi'!$B$2:$B$1001=""),0),0)),"")</f>
        <v>ARJANTİN / İTALYA</v>
      </c>
      <c r="AD41">
        <f>IF(AC41="","",COUNTIF('Veri Merkezi'!$B$2:$B$1001,AC41))</f>
        <v>1</v>
      </c>
    </row>
    <row r="42" spans="1:30" ht="15" customHeight="1">
      <c r="A42" s="77" t="s">
        <v>177</v>
      </c>
      <c r="B42" s="68"/>
      <c r="C42" s="68"/>
      <c r="D42" s="68"/>
      <c r="E42" s="68"/>
      <c r="F42" s="68"/>
      <c r="G42" s="68"/>
      <c r="H42" s="68"/>
      <c r="I42" s="68"/>
      <c r="L42" s="77" t="s">
        <v>178</v>
      </c>
      <c r="M42" s="68"/>
      <c r="N42" s="68"/>
      <c r="O42" s="68"/>
      <c r="P42" s="68"/>
      <c r="Q42" s="68"/>
      <c r="R42" s="68"/>
      <c r="S42" s="68"/>
      <c r="T42" s="68"/>
      <c r="U42" s="68"/>
      <c r="Z42" s="34"/>
      <c r="AC42" t="str">
        <f>IFERROR(INDEX('Veri Merkezi'!$B$2:$B$1001,MATCH(0,INDEX(COUNTIF($AC$1:AC41,'Veri Merkezi'!$B$2:$B$1001)+('Veri Merkezi'!$B$2:$B$1001=""),0),0)),"")</f>
        <v>GÜNEY KORE</v>
      </c>
      <c r="AD42">
        <f>IF(AC42="","",COUNTIF('Veri Merkezi'!$B$2:$B$1001,AC42))</f>
        <v>1</v>
      </c>
    </row>
    <row r="43" spans="1:30">
      <c r="N43" s="39"/>
      <c r="O43" s="39"/>
      <c r="P43" s="39"/>
      <c r="Q43" s="39"/>
      <c r="R43" s="39"/>
      <c r="Z43" s="34"/>
      <c r="AC43" t="str">
        <f>IFERROR(INDEX('Veri Merkezi'!$B$2:$B$1001,MATCH(0,INDEX(COUNTIF($AC$1:AC42,'Veri Merkezi'!$B$2:$B$1001)+('Veri Merkezi'!$B$2:$B$1001=""),0),0)),"")</f>
        <v>GUADELOUPE / FRANSA</v>
      </c>
      <c r="AD43">
        <f>IF(AC43="","",COUNTIF('Veri Merkezi'!$B$2:$B$1001,AC43))</f>
        <v>1</v>
      </c>
    </row>
    <row r="44" spans="1:30" ht="15" customHeight="1">
      <c r="J44" s="28" t="s">
        <v>131</v>
      </c>
      <c r="K44" s="28" t="s">
        <v>132</v>
      </c>
      <c r="N44" s="39"/>
      <c r="O44" s="39"/>
      <c r="P44" s="39"/>
      <c r="Q44" s="39"/>
      <c r="R44" s="39"/>
      <c r="Z44" s="34"/>
      <c r="AA44" t="s">
        <v>179</v>
      </c>
      <c r="AB44">
        <f>COUNTIFS('Veri Merkezi'!$A$2:$A$1001,"&lt;&gt;",'Veri Merkezi'!$C$2:$C$1001,"&gt;="&amp;DATE(2003,1,1))</f>
        <v>77</v>
      </c>
      <c r="AC44" t="str">
        <f>IFERROR(INDEX('Veri Merkezi'!$B$2:$B$1001,MATCH(0,INDEX(COUNTIF($AC$1:AC43,'Veri Merkezi'!$B$2:$B$1001)+('Veri Merkezi'!$B$2:$B$1001=""),0),0)),"")</f>
        <v>FRANSA / DR KONGO</v>
      </c>
      <c r="AD44">
        <f>IF(AC44="","",COUNTIF('Veri Merkezi'!$B$2:$B$1001,AC44))</f>
        <v>1</v>
      </c>
    </row>
    <row r="45" spans="1:30">
      <c r="J45" s="33" t="str">
        <f>IFERROR(INDEX('Veri Merkezi'!$B$2:$B$1001,MATCH(0,INDEX(COUNTIF($J$44:J44,'Veri Merkezi'!$B$2:$B$1001)+('Veri Merkezi'!$B$2:$B$1001=""),0),0)),"")</f>
        <v>ARJANTİN</v>
      </c>
      <c r="K45" s="33">
        <f>IF(J45="","",COUNTIF('Veri Merkezi'!$B$2:$B$1001,J45))</f>
        <v>10</v>
      </c>
      <c r="N45" s="39"/>
      <c r="O45" s="39"/>
      <c r="P45" s="39"/>
      <c r="Q45" s="39"/>
      <c r="R45" s="39"/>
      <c r="Z45" s="34"/>
      <c r="AA45" t="s">
        <v>180</v>
      </c>
      <c r="AB45">
        <f>COUNTIFS('Veri Merkezi'!$A$2:$A$1001,"&lt;&gt;",'Veri Merkezi'!$C$2:$C$1001,"&lt;"&amp;DATE(2003,1,1))</f>
        <v>137</v>
      </c>
      <c r="AC45" t="str">
        <f>IFERROR(INDEX('Veri Merkezi'!$B$2:$B$1001,MATCH(0,INDEX(COUNTIF($AC$1:AC44,'Veri Merkezi'!$B$2:$B$1001)+('Veri Merkezi'!$B$2:$B$1001=""),0),0)),"")</f>
        <v>ORTA AFRİKA CUMHURİYETİ / FRANSA</v>
      </c>
      <c r="AD45">
        <f>IF(AC45="","",COUNTIF('Veri Merkezi'!$B$2:$B$1001,AC45))</f>
        <v>1</v>
      </c>
    </row>
    <row r="46" spans="1:30">
      <c r="J46" s="33" t="str">
        <f>IFERROR(INDEX('Veri Merkezi'!$B$2:$B$1001,MATCH(0,INDEX(COUNTIF($J$44:J45,'Veri Merkezi'!$B$2:$B$1001)+('Veri Merkezi'!$B$2:$B$1001=""),0),0)),"")</f>
        <v>FRANSA</v>
      </c>
      <c r="K46" s="33">
        <f>IF(J46="","",COUNTIF('Veri Merkezi'!$B$2:$B$1001,J46))</f>
        <v>7</v>
      </c>
      <c r="Z46" s="34"/>
      <c r="AC46" t="str">
        <f>IFERROR(INDEX('Veri Merkezi'!$B$2:$B$1001,MATCH(0,INDEX(COUNTIF($AC$1:AC45,'Veri Merkezi'!$B$2:$B$1001)+('Veri Merkezi'!$B$2:$B$1001=""),0),0)),"")</f>
        <v>FİLDİŞİ SAHİLİ / FRANSA</v>
      </c>
      <c r="AD46">
        <f>IF(AC46="","",COUNTIF('Veri Merkezi'!$B$2:$B$1001,AC46))</f>
        <v>1</v>
      </c>
    </row>
    <row r="47" spans="1:30">
      <c r="J47" s="33" t="str">
        <f>IFERROR(INDEX('Veri Merkezi'!$B$2:$B$1001,MATCH(0,INDEX(COUNTIF($J$44:J46,'Veri Merkezi'!$B$2:$B$1001)+('Veri Merkezi'!$B$2:$B$1001=""),0),0)),"")</f>
        <v>BREZİLYA</v>
      </c>
      <c r="K47" s="33">
        <f>IF(J47="","",COUNTIF('Veri Merkezi'!$B$2:$B$1001,J47))</f>
        <v>34</v>
      </c>
      <c r="Z47" s="34"/>
      <c r="AC47" t="str">
        <f>IFERROR(INDEX('Veri Merkezi'!$B$2:$B$1001,MATCH(0,INDEX(COUNTIF($AC$1:AC46,'Veri Merkezi'!$B$2:$B$1001)+('Veri Merkezi'!$B$2:$B$1001=""),0),0)),"")</f>
        <v>FRANSA / MALİ</v>
      </c>
      <c r="AD47">
        <f>IF(AC47="","",COUNTIF('Veri Merkezi'!$B$2:$B$1001,AC47))</f>
        <v>1</v>
      </c>
    </row>
    <row r="48" spans="1:30">
      <c r="J48" s="33" t="str">
        <f>IFERROR(INDEX('Veri Merkezi'!$B$2:$B$1001,MATCH(0,INDEX(COUNTIF($J$44:J47,'Veri Merkezi'!$B$2:$B$1001)+('Veri Merkezi'!$B$2:$B$1001=""),0),0)),"")</f>
        <v>SIRBİSTAN</v>
      </c>
      <c r="K48" s="33">
        <f>IF(J48="","",COUNTIF('Veri Merkezi'!$B$2:$B$1001,J48))</f>
        <v>6</v>
      </c>
      <c r="Z48" s="34"/>
      <c r="AC48" t="str">
        <f>IFERROR(INDEX('Veri Merkezi'!$B$2:$B$1001,MATCH(0,INDEX(COUNTIF($AC$1:AC47,'Veri Merkezi'!$B$2:$B$1001)+('Veri Merkezi'!$B$2:$B$1001=""),0),0)),"")</f>
        <v>İNGİLTERE</v>
      </c>
      <c r="AD48">
        <f>IF(AC48="","",COUNTIF('Veri Merkezi'!$B$2:$B$1001,AC48))</f>
        <v>2</v>
      </c>
    </row>
    <row r="49" spans="10:30">
      <c r="J49" s="33" t="str">
        <f>IFERROR(INDEX('Veri Merkezi'!$B$2:$B$1001,MATCH(0,INDEX(COUNTIF($J$44:J48,'Veri Merkezi'!$B$2:$B$1001)+('Veri Merkezi'!$B$2:$B$1001=""),0),0)),"")</f>
        <v>GANA</v>
      </c>
      <c r="K49" s="33">
        <f>IF(J49="","",COUNTIF('Veri Merkezi'!$B$2:$B$1001,J49))</f>
        <v>4</v>
      </c>
      <c r="Z49" s="34"/>
      <c r="AC49" t="str">
        <f>IFERROR(INDEX('Veri Merkezi'!$B$2:$B$1001,MATCH(0,INDEX(COUNTIF($AC$1:AC48,'Veri Merkezi'!$B$2:$B$1001)+('Veri Merkezi'!$B$2:$B$1001=""),0),0)),"")</f>
        <v>TÜRKİYE</v>
      </c>
      <c r="AD49">
        <f>IF(AC49="","",COUNTIF('Veri Merkezi'!$B$2:$B$1001,AC49))</f>
        <v>4</v>
      </c>
    </row>
    <row r="50" spans="10:30">
      <c r="J50" s="33" t="str">
        <f>IFERROR(INDEX('Veri Merkezi'!$B$2:$B$1001,MATCH(0,INDEX(COUNTIF($J$44:J49,'Veri Merkezi'!$B$2:$B$1001)+('Veri Merkezi'!$B$2:$B$1001=""),0),0)),"")</f>
        <v>CEZAYİR</v>
      </c>
      <c r="K50" s="33">
        <f>IF(J50="","",COUNTIF('Veri Merkezi'!$B$2:$B$1001,J50))</f>
        <v>2</v>
      </c>
      <c r="Z50" s="34"/>
      <c r="AC50" t="str">
        <f>IFERROR(INDEX('Veri Merkezi'!$B$2:$B$1001,MATCH(0,INDEX(COUNTIF($AC$1:AC49,'Veri Merkezi'!$B$2:$B$1001)+('Veri Merkezi'!$B$2:$B$1001=""),0),0)),"")</f>
        <v>İTALYA</v>
      </c>
      <c r="AD50">
        <f>IF(AC50="","",COUNTIF('Veri Merkezi'!$B$2:$B$1001,AC50))</f>
        <v>2</v>
      </c>
    </row>
    <row r="51" spans="10:30">
      <c r="J51" s="33" t="str">
        <f>IFERROR(INDEX('Veri Merkezi'!$B$2:$B$1001,MATCH(0,INDEX(COUNTIF($J$44:J50,'Veri Merkezi'!$B$2:$B$1001)+('Veri Merkezi'!$B$2:$B$1001=""),0),0)),"")</f>
        <v>KONGO</v>
      </c>
      <c r="K51" s="33">
        <f>IF(J51="","",COUNTIF('Veri Merkezi'!$B$2:$B$1001,J51))</f>
        <v>1</v>
      </c>
      <c r="Z51" s="34"/>
      <c r="AC51" t="str">
        <f>IFERROR(INDEX('Veri Merkezi'!$B$2:$B$1001,MATCH(0,INDEX(COUNTIF($AC$1:AC50,'Veri Merkezi'!$B$2:$B$1001)+('Veri Merkezi'!$B$2:$B$1001=""),0),0)),"")</f>
        <v>GÜRCİSTAN</v>
      </c>
      <c r="AD51">
        <f>IF(AC51="","",COUNTIF('Veri Merkezi'!$B$2:$B$1001,AC51))</f>
        <v>1</v>
      </c>
    </row>
    <row r="52" spans="10:30">
      <c r="J52" s="33" t="str">
        <f>IFERROR(INDEX('Veri Merkezi'!$B$2:$B$1001,MATCH(0,INDEX(COUNTIF($J$44:J51,'Veri Merkezi'!$B$2:$B$1001)+('Veri Merkezi'!$B$2:$B$1001=""),0),0)),"")</f>
        <v>BURKINA FASO</v>
      </c>
      <c r="K52" s="33">
        <f>IF(J52="","",COUNTIF('Veri Merkezi'!$B$2:$B$1001,J52))</f>
        <v>1</v>
      </c>
      <c r="Z52" s="34"/>
      <c r="AC52" t="str">
        <f>IFERROR(INDEX('Veri Merkezi'!$B$2:$B$1001,MATCH(0,INDEX(COUNTIF($AC$1:AC51,'Veri Merkezi'!$B$2:$B$1001)+('Veri Merkezi'!$B$2:$B$1001=""),0),0)),"")</f>
        <v>KARADAĞ</v>
      </c>
      <c r="AD52">
        <f>IF(AC52="","",COUNTIF('Veri Merkezi'!$B$2:$B$1001,AC52))</f>
        <v>1</v>
      </c>
    </row>
    <row r="53" spans="10:30">
      <c r="J53" s="33" t="str">
        <f>IFERROR(INDEX('Veri Merkezi'!$B$2:$B$1001,MATCH(0,INDEX(COUNTIF($J$44:J52,'Veri Merkezi'!$B$2:$B$1001)+('Veri Merkezi'!$B$2:$B$1001=""),0),0)),"")</f>
        <v>HIRVATİSTAN</v>
      </c>
      <c r="K53" s="33">
        <f>IF(J53="","",COUNTIF('Veri Merkezi'!$B$2:$B$1001,J53))</f>
        <v>5</v>
      </c>
      <c r="Z53" s="34"/>
      <c r="AC53" t="str">
        <f>IFERROR(INDEX('Veri Merkezi'!$B$2:$B$1001,MATCH(0,INDEX(COUNTIF($AC$1:AC52,'Veri Merkezi'!$B$2:$B$1001)+('Veri Merkezi'!$B$2:$B$1001=""),0),0)),"")</f>
        <v>BREZİLYA / İTALYA</v>
      </c>
      <c r="AD53">
        <f>IF(AC53="","",COUNTIF('Veri Merkezi'!$B$2:$B$1001,AC53))</f>
        <v>1</v>
      </c>
    </row>
    <row r="54" spans="10:30">
      <c r="J54" s="33" t="str">
        <f>IFERROR(INDEX('Veri Merkezi'!$B$2:$B$1001,MATCH(0,INDEX(COUNTIF($J$44:J53,'Veri Merkezi'!$B$2:$B$1001)+('Veri Merkezi'!$B$2:$B$1001=""),0),0)),"")</f>
        <v>İSPANYA</v>
      </c>
      <c r="K54" s="33">
        <f>IF(J54="","",COUNTIF('Veri Merkezi'!$B$2:$B$1001,J54))</f>
        <v>9</v>
      </c>
      <c r="Z54" s="34"/>
      <c r="AC54" t="str">
        <f>IFERROR(INDEX('Veri Merkezi'!$B$2:$B$1001,MATCH(0,INDEX(COUNTIF($AC$1:AC53,'Veri Merkezi'!$B$2:$B$1001)+('Veri Merkezi'!$B$2:$B$1001=""),0),0)),"")</f>
        <v>ŞİLİ / ARJANTİN</v>
      </c>
      <c r="AD54">
        <f>IF(AC54="","",COUNTIF('Veri Merkezi'!$B$2:$B$1001,AC54))</f>
        <v>1</v>
      </c>
    </row>
    <row r="55" spans="10:30">
      <c r="J55" s="33" t="str">
        <f>IFERROR(INDEX('Veri Merkezi'!$B$2:$B$1001,MATCH(0,INDEX(COUNTIF($J$44:J54,'Veri Merkezi'!$B$2:$B$1001)+('Veri Merkezi'!$B$2:$B$1001=""),0),0)),"")</f>
        <v>ENDONEZYA</v>
      </c>
      <c r="K55" s="33">
        <f>IF(J55="","",COUNTIF('Veri Merkezi'!$B$2:$B$1001,J55))</f>
        <v>1</v>
      </c>
      <c r="Z55" s="34"/>
      <c r="AC55" t="str">
        <f>IFERROR(INDEX('Veri Merkezi'!$B$2:$B$1001,MATCH(0,INDEX(COUNTIF($AC$1:AC54,'Veri Merkezi'!$B$2:$B$1001)+('Veri Merkezi'!$B$2:$B$1001=""),0),0)),"")</f>
        <v>DANİMARKA / TÜRKİYE</v>
      </c>
      <c r="AD55">
        <f>IF(AC55="","",COUNTIF('Veri Merkezi'!$B$2:$B$1001,AC55))</f>
        <v>1</v>
      </c>
    </row>
    <row r="56" spans="10:30">
      <c r="J56" s="33" t="str">
        <f>IFERROR(INDEX('Veri Merkezi'!$B$2:$B$1001,MATCH(0,INDEX(COUNTIF($J$44:J55,'Veri Merkezi'!$B$2:$B$1001)+('Veri Merkezi'!$B$2:$B$1001=""),0),0)),"")</f>
        <v>BOSNA</v>
      </c>
      <c r="K56" s="33">
        <f>IF(J56="","",COUNTIF('Veri Merkezi'!$B$2:$B$1001,J56))</f>
        <v>1</v>
      </c>
      <c r="Z56" s="34"/>
      <c r="AC56" t="str">
        <f>IFERROR(INDEX('Veri Merkezi'!$B$2:$B$1001,MATCH(0,INDEX(COUNTIF($AC$1:AC55,'Veri Merkezi'!$B$2:$B$1001)+('Veri Merkezi'!$B$2:$B$1001=""),0),0)),"")</f>
        <v>POLONYA</v>
      </c>
      <c r="AD56">
        <f>IF(AC56="","",COUNTIF('Veri Merkezi'!$B$2:$B$1001,AC56))</f>
        <v>1</v>
      </c>
    </row>
    <row r="57" spans="10:30">
      <c r="J57" s="33" t="str">
        <f>IFERROR(INDEX('Veri Merkezi'!$B$2:$B$1001,MATCH(0,INDEX(COUNTIF($J$44:J56,'Veri Merkezi'!$B$2:$B$1001)+('Veri Merkezi'!$B$2:$B$1001=""),0),0)),"")</f>
        <v>ROMANYA</v>
      </c>
      <c r="K57" s="33">
        <f>IF(J57="","",COUNTIF('Veri Merkezi'!$B$2:$B$1001,J57))</f>
        <v>3</v>
      </c>
      <c r="Z57" s="34"/>
      <c r="AC57" t="str">
        <f>IFERROR(INDEX('Veri Merkezi'!$B$2:$B$1001,MATCH(0,INDEX(COUNTIF($AC$1:AC56,'Veri Merkezi'!$B$2:$B$1001)+('Veri Merkezi'!$B$2:$B$1001=""),0),0)),"")</f>
        <v xml:space="preserve">YEŞİL BURUN </v>
      </c>
      <c r="AD57">
        <f>IF(AC57="","",COUNTIF('Veri Merkezi'!$B$2:$B$1001,AC57))</f>
        <v>2</v>
      </c>
    </row>
    <row r="58" spans="10:30">
      <c r="J58" s="33" t="str">
        <f>IFERROR(INDEX('Veri Merkezi'!$B$2:$B$1001,MATCH(0,INDEX(COUNTIF($J$44:J57,'Veri Merkezi'!$B$2:$B$1001)+('Veri Merkezi'!$B$2:$B$1001=""),0),0)),"")</f>
        <v>PORTEKİZ</v>
      </c>
      <c r="K58" s="33">
        <f>IF(J58="","",COUNTIF('Veri Merkezi'!$B$2:$B$1001,J58))</f>
        <v>6</v>
      </c>
      <c r="Z58" s="34"/>
      <c r="AC58" t="str">
        <f>IFERROR(INDEX('Veri Merkezi'!$B$2:$B$1001,MATCH(0,INDEX(COUNTIF($AC$1:AC57,'Veri Merkezi'!$B$2:$B$1001)+('Veri Merkezi'!$B$2:$B$1001=""),0),0)),"")</f>
        <v>BULGARİSTAN</v>
      </c>
      <c r="AD58">
        <f>IF(AC58="","",COUNTIF('Veri Merkezi'!$B$2:$B$1001,AC58))</f>
        <v>2</v>
      </c>
    </row>
    <row r="59" spans="10:30">
      <c r="J59" s="33" t="str">
        <f>IFERROR(INDEX('Veri Merkezi'!$B$2:$B$1001,MATCH(0,INDEX(COUNTIF($J$44:J58,'Veri Merkezi'!$B$2:$B$1001)+('Veri Merkezi'!$B$2:$B$1001=""),0),0)),"")</f>
        <v>HOLLANDA</v>
      </c>
      <c r="K59" s="33">
        <f>IF(J59="","",COUNTIF('Veri Merkezi'!$B$2:$B$1001,J59))</f>
        <v>3</v>
      </c>
      <c r="Z59" s="34"/>
      <c r="AC59" t="str">
        <f>IFERROR(INDEX('Veri Merkezi'!$B$2:$B$1001,MATCH(0,INDEX(COUNTIF($AC$1:AC58,'Veri Merkezi'!$B$2:$B$1001)+('Veri Merkezi'!$B$2:$B$1001=""),0),0)),"")</f>
        <v>UKRAYNA</v>
      </c>
      <c r="AD59">
        <f>IF(AC59="","",COUNTIF('Veri Merkezi'!$B$2:$B$1001,AC59))</f>
        <v>3</v>
      </c>
    </row>
    <row r="60" spans="10:30">
      <c r="J60" s="33" t="str">
        <f>IFERROR(INDEX('Veri Merkezi'!$B$2:$B$1001,MATCH(0,INDEX(COUNTIF($J$44:J59,'Veri Merkezi'!$B$2:$B$1001)+('Veri Merkezi'!$B$2:$B$1001=""),0),0)),"")</f>
        <v>ARNAVUTLUK</v>
      </c>
      <c r="K60" s="33">
        <f>IF(J60="","",COUNTIF('Veri Merkezi'!$B$2:$B$1001,J60))</f>
        <v>3</v>
      </c>
      <c r="Z60" s="34"/>
      <c r="AC60" t="str">
        <f>IFERROR(INDEX('Veri Merkezi'!$B$2:$B$1001,MATCH(0,INDEX(COUNTIF($AC$1:AC59,'Veri Merkezi'!$B$2:$B$1001)+('Veri Merkezi'!$B$2:$B$1001=""),0),0)),"")</f>
        <v>MOLDOVA</v>
      </c>
      <c r="AD60">
        <f>IF(AC60="","",COUNTIF('Veri Merkezi'!$B$2:$B$1001,AC60))</f>
        <v>1</v>
      </c>
    </row>
    <row r="61" spans="10:30">
      <c r="J61" s="33" t="str">
        <f>IFERROR(INDEX('Veri Merkezi'!$B$2:$B$1001,MATCH(0,INDEX(COUNTIF($J$44:J60,'Veri Merkezi'!$B$2:$B$1001)+('Veri Merkezi'!$B$2:$B$1001=""),0),0)),"")</f>
        <v>MALİ / FRANSA</v>
      </c>
      <c r="K61" s="33">
        <f>IF(J61="","",COUNTIF('Veri Merkezi'!$B$2:$B$1001,J61))</f>
        <v>1</v>
      </c>
      <c r="Z61" s="34"/>
      <c r="AC61" t="str">
        <f>IFERROR(INDEX('Veri Merkezi'!$B$2:$B$1001,MATCH(0,INDEX(COUNTIF($AC$1:AC60,'Veri Merkezi'!$B$2:$B$1001)+('Veri Merkezi'!$B$2:$B$1001=""),0),0)),"")</f>
        <v>GÜNEY AFRİKA</v>
      </c>
      <c r="AD61">
        <f>IF(AC61="","",COUNTIF('Veri Merkezi'!$B$2:$B$1001,AC61))</f>
        <v>3</v>
      </c>
    </row>
    <row r="62" spans="10:30">
      <c r="J62" s="33" t="str">
        <f>IFERROR(INDEX('Veri Merkezi'!$B$2:$B$1001,MATCH(0,INDEX(COUNTIF($J$44:J61,'Veri Merkezi'!$B$2:$B$1001)+('Veri Merkezi'!$B$2:$B$1001=""),0),0)),"")</f>
        <v>VENEZULLA</v>
      </c>
      <c r="K62" s="33">
        <f>IF(J62="","",COUNTIF('Veri Merkezi'!$B$2:$B$1001,J62))</f>
        <v>1</v>
      </c>
      <c r="Z62" s="34"/>
      <c r="AC62" t="str">
        <f>IFERROR(INDEX('Veri Merkezi'!$B$2:$B$1001,MATCH(0,INDEX(COUNTIF($AC$1:AC61,'Veri Merkezi'!$B$2:$B$1001)+('Veri Merkezi'!$B$2:$B$1001=""),0),0)),"")</f>
        <v>ALMANYA</v>
      </c>
      <c r="AD62">
        <f>IF(AC62="","",COUNTIF('Veri Merkezi'!$B$2:$B$1001,AC62))</f>
        <v>2</v>
      </c>
    </row>
    <row r="63" spans="10:30">
      <c r="J63" s="33" t="str">
        <f>IFERROR(INDEX('Veri Merkezi'!$B$2:$B$1001,MATCH(0,INDEX(COUNTIF($J$44:J62,'Veri Merkezi'!$B$2:$B$1001)+('Veri Merkezi'!$B$2:$B$1001=""),0),0)),"")</f>
        <v>CURAÇAO / HOLLANDA</v>
      </c>
      <c r="K63" s="33">
        <f>IF(J63="","",COUNTIF('Veri Merkezi'!$B$2:$B$1001,J63))</f>
        <v>1</v>
      </c>
      <c r="Z63" s="34"/>
      <c r="AC63" t="str">
        <f>IFERROR(INDEX('Veri Merkezi'!$B$2:$B$1001,MATCH(0,INDEX(COUNTIF($AC$1:AC62,'Veri Merkezi'!$B$2:$B$1001)+('Veri Merkezi'!$B$2:$B$1001=""),0),0)),"")</f>
        <v>İRAN</v>
      </c>
      <c r="AD63">
        <f>IF(AC63="","",COUNTIF('Veri Merkezi'!$B$2:$B$1001,AC63))</f>
        <v>1</v>
      </c>
    </row>
    <row r="64" spans="10:30">
      <c r="J64" s="33" t="str">
        <f>IFERROR(INDEX('Veri Merkezi'!$B$2:$B$1001,MATCH(0,INDEX(COUNTIF($J$44:J63,'Veri Merkezi'!$B$2:$B$1001)+('Veri Merkezi'!$B$2:$B$1001=""),0),0)),"")</f>
        <v>BURKİNA FASO</v>
      </c>
      <c r="K64" s="33">
        <f>IF(J64="","",COUNTIF('Veri Merkezi'!$B$2:$B$1001,J64))</f>
        <v>2</v>
      </c>
      <c r="L64" s="33"/>
      <c r="Z64" s="34"/>
      <c r="AC64" t="str">
        <f>IFERROR(INDEX('Veri Merkezi'!$B$2:$B$1001,MATCH(0,INDEX(COUNTIF($AC$1:AC63,'Veri Merkezi'!$B$2:$B$1001)+('Veri Merkezi'!$B$2:$B$1001=""),0),0)),"")</f>
        <v>YEŞİL BURUN ADALARI / PORTEKİZ</v>
      </c>
      <c r="AD64">
        <f>IF(AC64="","",COUNTIF('Veri Merkezi'!$B$2:$B$1001,AC64))</f>
        <v>1</v>
      </c>
    </row>
    <row r="65" spans="1:30">
      <c r="J65" s="33" t="str">
        <f>IFERROR(INDEX('Veri Merkezi'!$B$2:$B$1001,MATCH(0,INDEX(COUNTIF($J$44:J64,'Veri Merkezi'!$B$2:$B$1001)+('Veri Merkezi'!$B$2:$B$1001=""),0),0)),"")</f>
        <v>DANİMARKA</v>
      </c>
      <c r="K65" s="33">
        <f>IF(J65="","",COUNTIF('Veri Merkezi'!$B$2:$B$1001,J65))</f>
        <v>1</v>
      </c>
      <c r="L65" s="33"/>
      <c r="Z65" s="34"/>
      <c r="AC65" t="str">
        <f>IFERROR(INDEX('Veri Merkezi'!$B$2:$B$1001,MATCH(0,INDEX(COUNTIF($AC$1:AC64,'Veri Merkezi'!$B$2:$B$1001)+('Veri Merkezi'!$B$2:$B$1001=""),0),0)),"")</f>
        <v>FAS / FRANSA</v>
      </c>
      <c r="AD65">
        <f>IF(AC65="","",COUNTIF('Veri Merkezi'!$B$2:$B$1001,AC65))</f>
        <v>1</v>
      </c>
    </row>
    <row r="66" spans="1:30">
      <c r="J66" s="33" t="str">
        <f>IFERROR(INDEX('Veri Merkezi'!$B$2:$B$1001,MATCH(0,INDEX(COUNTIF($J$44:J65,'Veri Merkezi'!$B$2:$B$1001)+('Veri Merkezi'!$B$2:$B$1001=""),0),0)),"")</f>
        <v>İSVİÇRE</v>
      </c>
      <c r="K66" s="33">
        <f>IF(J66="","",COUNTIF('Veri Merkezi'!$B$2:$B$1001,J66))</f>
        <v>2</v>
      </c>
      <c r="Z66" s="34"/>
      <c r="AC66" t="str">
        <f>IFERROR(INDEX('Veri Merkezi'!$B$2:$B$1001,MATCH(0,INDEX(COUNTIF($AC$1:AC65,'Veri Merkezi'!$B$2:$B$1001)+('Veri Merkezi'!$B$2:$B$1001=""),0),0)),"")</f>
        <v>MEKSİKA / İSPANYA</v>
      </c>
      <c r="AD66">
        <f>IF(AC66="","",COUNTIF('Veri Merkezi'!$B$2:$B$1001,AC66))</f>
        <v>1</v>
      </c>
    </row>
    <row r="67" spans="1:30">
      <c r="J67" s="33" t="str">
        <f>IFERROR(INDEX('Veri Merkezi'!$B$2:$B$1001,MATCH(0,INDEX(COUNTIF($J$44:J66,'Veri Merkezi'!$B$2:$B$1001)+('Veri Merkezi'!$B$2:$B$1001=""),0),0)),"")</f>
        <v>MALİ</v>
      </c>
      <c r="K67" s="33">
        <f>IF(J67="","",COUNTIF('Veri Merkezi'!$B$2:$B$1001,J67))</f>
        <v>2</v>
      </c>
      <c r="Z67" s="34"/>
      <c r="AC67" t="str">
        <f>IFERROR(INDEX('Veri Merkezi'!$B$2:$B$1001,MATCH(0,INDEX(COUNTIF($AC$1:AC66,'Veri Merkezi'!$B$2:$B$1001)+('Veri Merkezi'!$B$2:$B$1001=""),0),0)),"")</f>
        <v>FAS / HOLLANDA</v>
      </c>
      <c r="AD67">
        <f>IF(AC67="","",COUNTIF('Veri Merkezi'!$B$2:$B$1001,AC67))</f>
        <v>3</v>
      </c>
    </row>
    <row r="68" spans="1:30">
      <c r="J68" s="33" t="str">
        <f>IFERROR(INDEX('Veri Merkezi'!$B$2:$B$1001,MATCH(0,INDEX(COUNTIF($J$44:J67,'Veri Merkezi'!$B$2:$B$1001)+('Veri Merkezi'!$B$2:$B$1001=""),0),0)),"")</f>
        <v>KOLOMBİYA</v>
      </c>
      <c r="K68" s="33">
        <f>IF(J68="","",COUNTIF('Veri Merkezi'!$B$2:$B$1001,J68))</f>
        <v>3</v>
      </c>
      <c r="Z68" s="34"/>
      <c r="AC68" t="str">
        <f>IFERROR(INDEX('Veri Merkezi'!$B$2:$B$1001,MATCH(0,INDEX(COUNTIF($AC$1:AC67,'Veri Merkezi'!$B$2:$B$1001)+('Veri Merkezi'!$B$2:$B$1001=""),0),0)),"")</f>
        <v>VENEZUELA</v>
      </c>
      <c r="AD68">
        <f>IF(AC68="","",COUNTIF('Veri Merkezi'!$B$2:$B$1001,AC68))</f>
        <v>1</v>
      </c>
    </row>
    <row r="69" spans="1:30">
      <c r="J69" s="33" t="str">
        <f>IFERROR(INDEX('Veri Merkezi'!$B$2:$B$1001,MATCH(0,INDEX(COUNTIF($J$44:J68,'Veri Merkezi'!$B$2:$B$1001)+('Veri Merkezi'!$B$2:$B$1001=""),0),0)),"")</f>
        <v>SURİYE</v>
      </c>
      <c r="K69" s="33">
        <f>IF(J69="","",COUNTIF('Veri Merkezi'!$B$2:$B$1001,J69))</f>
        <v>1</v>
      </c>
      <c r="Z69" s="34"/>
      <c r="AC69" t="str">
        <f>IFERROR(INDEX('Veri Merkezi'!$B$2:$B$1001,MATCH(0,INDEX(COUNTIF($AC$1:AC68,'Veri Merkezi'!$B$2:$B$1001)+('Veri Merkezi'!$B$2:$B$1001=""),0),0)),"")</f>
        <v>UGANDA</v>
      </c>
      <c r="AD69">
        <f>IF(AC69="","",COUNTIF('Veri Merkezi'!$B$2:$B$1001,AC69))</f>
        <v>1</v>
      </c>
    </row>
    <row r="70" spans="1:30">
      <c r="J70" s="33" t="str">
        <f>IFERROR(INDEX('Veri Merkezi'!$B$2:$B$1001,MATCH(0,INDEX(COUNTIF($J$44:J69,'Veri Merkezi'!$B$2:$B$1001)+('Veri Merkezi'!$B$2:$B$1001=""),0),0)),"")</f>
        <v>AVUSTURYA</v>
      </c>
      <c r="K70" s="33">
        <f>IF(J70="","",COUNTIF('Veri Merkezi'!$B$2:$B$1001,J70))</f>
        <v>3</v>
      </c>
      <c r="Z70" s="34"/>
      <c r="AC70" t="str">
        <f>IFERROR(INDEX('Veri Merkezi'!$B$2:$B$1001,MATCH(0,INDEX(COUNTIF($AC$1:AC69,'Veri Merkezi'!$B$2:$B$1001)+('Veri Merkezi'!$B$2:$B$1001=""),0),0)),"")</f>
        <v>GAMBİYA</v>
      </c>
      <c r="AD70">
        <f>IF(AC70="","",COUNTIF('Veri Merkezi'!$B$2:$B$1001,AC70))</f>
        <v>2</v>
      </c>
    </row>
    <row r="71" spans="1:30">
      <c r="J71" s="33" t="str">
        <f>IFERROR(INDEX('Veri Merkezi'!$B$2:$B$1001,MATCH(0,INDEX(COUNTIF($J$44:J70,'Veri Merkezi'!$B$2:$B$1001)+('Veri Merkezi'!$B$2:$B$1001=""),0),0)),"")</f>
        <v>EKVADOR</v>
      </c>
      <c r="K71" s="33">
        <f>IF(J71="","",COUNTIF('Veri Merkezi'!$B$2:$B$1001,J71))</f>
        <v>3</v>
      </c>
      <c r="Z71" s="34"/>
      <c r="AC71" t="str">
        <f>IFERROR(INDEX('Veri Merkezi'!$B$2:$B$1001,MATCH(0,INDEX(COUNTIF($AC$1:AC70,'Veri Merkezi'!$B$2:$B$1001)+('Veri Merkezi'!$B$2:$B$1001=""),0),0)),"")</f>
        <v>İSVEÇ</v>
      </c>
      <c r="AD71">
        <f>IF(AC71="","",COUNTIF('Veri Merkezi'!$B$2:$B$1001,AC71))</f>
        <v>1</v>
      </c>
    </row>
    <row r="72" spans="1:30">
      <c r="J72" s="33" t="str">
        <f>IFERROR(INDEX('Veri Merkezi'!$B$2:$B$1001,MATCH(0,INDEX(COUNTIF($J$44:J71,'Veri Merkezi'!$B$2:$B$1001)+('Veri Merkezi'!$B$2:$B$1001=""),0),0)),"")</f>
        <v>ARNAVUTLUK / BELÇİKA</v>
      </c>
      <c r="K72" s="33">
        <f>IF(J72="","",COUNTIF('Veri Merkezi'!$B$2:$B$1001,J72))</f>
        <v>1</v>
      </c>
      <c r="Z72" s="34"/>
      <c r="AC72" t="str">
        <f>IFERROR(INDEX('Veri Merkezi'!$B$2:$B$1001,MATCH(0,INDEX(COUNTIF($AC$1:AC71,'Veri Merkezi'!$B$2:$B$1001)+('Veri Merkezi'!$B$2:$B$1001=""),0),0)),"")</f>
        <v>TUNUS / İSPANYA</v>
      </c>
      <c r="AD72">
        <f>IF(AC72="","",COUNTIF('Veri Merkezi'!$B$2:$B$1001,AC72))</f>
        <v>1</v>
      </c>
    </row>
    <row r="73" spans="1:30">
      <c r="J73" s="33" t="str">
        <f>IFERROR(INDEX('Veri Merkezi'!$B$2:$B$1001,MATCH(0,INDEX(COUNTIF($J$44:J72,'Veri Merkezi'!$B$2:$B$1001)+('Veri Merkezi'!$B$2:$B$1001=""),0),0)),"")</f>
        <v>MACARİSTAN</v>
      </c>
      <c r="K73" s="33">
        <f>IF(J73="","",COUNTIF('Veri Merkezi'!$B$2:$B$1001,J73))</f>
        <v>2</v>
      </c>
      <c r="Z73" s="34"/>
      <c r="AC73" t="str">
        <f>IFERROR(INDEX('Veri Merkezi'!$B$2:$B$1001,MATCH(0,INDEX(COUNTIF($AC$1:AC72,'Veri Merkezi'!$B$2:$B$1001)+('Veri Merkezi'!$B$2:$B$1001=""),0),0)),"")</f>
        <v>FRANSA / FİLDİŞİ SAHİLİ</v>
      </c>
      <c r="AD73">
        <f>IF(AC73="","",COUNTIF('Veri Merkezi'!$B$2:$B$1001,AC73))</f>
        <v>1</v>
      </c>
    </row>
    <row r="74" spans="1:30">
      <c r="J74" s="33" t="str">
        <f>IFERROR(INDEX('Veri Merkezi'!$B$2:$B$1001,MATCH(0,INDEX(COUNTIF($J$44:J73,'Veri Merkezi'!$B$2:$B$1001)+('Veri Merkezi'!$B$2:$B$1001=""),0),0)),"")</f>
        <v>KANADA</v>
      </c>
      <c r="K74" s="33">
        <f>IF(J74="","",COUNTIF('Veri Merkezi'!$B$2:$B$1001,J74))</f>
        <v>1</v>
      </c>
      <c r="Z74" s="34"/>
      <c r="AC74" t="str">
        <f>IFERROR(INDEX('Veri Merkezi'!$B$2:$B$1001,MATCH(0,INDEX(COUNTIF($AC$1:AC73,'Veri Merkezi'!$B$2:$B$1001)+('Veri Merkezi'!$B$2:$B$1001=""),0),0)),"")</f>
        <v>RUSYA</v>
      </c>
      <c r="AD74">
        <f>IF(AC74="","",COUNTIF('Veri Merkezi'!$B$2:$B$1001,AC74))</f>
        <v>1</v>
      </c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 t="str">
        <f>IFERROR(INDEX('Veri Merkezi'!$B$2:$B$1001,MATCH(0,INDEX(COUNTIF($J$44:J74,'Veri Merkezi'!$B$2:$B$1001)+('Veri Merkezi'!$B$2:$B$1001=""),0),0)),"")</f>
        <v>SENEGAL</v>
      </c>
      <c r="K75" s="33">
        <f>IF(J75="","",COUNTIF('Veri Merkezi'!$B$2:$B$1001,J75))</f>
        <v>5</v>
      </c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C75" t="str">
        <f>IFERROR(INDEX('Veri Merkezi'!$B$2:$B$1001,MATCH(0,INDEX(COUNTIF($AC$1:AC74,'Veri Merkezi'!$B$2:$B$1001)+('Veri Merkezi'!$B$2:$B$1001=""),0),0)),"")</f>
        <v>PORTEKİZ / BREZİLYA</v>
      </c>
      <c r="AD75">
        <f>IF(AC75="","",COUNTIF('Veri Merkezi'!$B$2:$B$1001,AC75))</f>
        <v>1</v>
      </c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 t="str">
        <f>IFERROR(INDEX('Veri Merkezi'!$B$2:$B$1001,MATCH(0,INDEX(COUNTIF($J$44:J75,'Veri Merkezi'!$B$2:$B$1001)+('Veri Merkezi'!$B$2:$B$1001=""),0),0)),"")</f>
        <v>PARAGUAY</v>
      </c>
      <c r="K76" s="33">
        <f>IF(J76="","",COUNTIF('Veri Merkezi'!$B$2:$B$1001,J76))</f>
        <v>2</v>
      </c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C76" t="str">
        <f>IFERROR(INDEX('Veri Merkezi'!$B$2:$B$1001,MATCH(0,INDEX(COUNTIF($AC$1:AC75,'Veri Merkezi'!$B$2:$B$1001)+('Veri Merkezi'!$B$2:$B$1001=""),0),0)),"")</f>
        <v>BELÇİKA / FAS</v>
      </c>
      <c r="AD76">
        <f>IF(AC76="","",COUNTIF('Veri Merkezi'!$B$2:$B$1001,AC76))</f>
        <v>1</v>
      </c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 t="str">
        <f>IFERROR(INDEX('Veri Merkezi'!$B$2:$B$1001,MATCH(0,INDEX(COUNTIF($J$44:J76,'Veri Merkezi'!$B$2:$B$1001)+('Veri Merkezi'!$B$2:$B$1001=""),0),0)),"")</f>
        <v>BELÇİKA</v>
      </c>
      <c r="K77" s="33">
        <f>IF(J77="","",COUNTIF('Veri Merkezi'!$B$2:$B$1001,J77))</f>
        <v>7</v>
      </c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C77" t="str">
        <f>IFERROR(INDEX('Veri Merkezi'!$B$2:$B$1001,MATCH(0,INDEX(COUNTIF($AC$1:AC76,'Veri Merkezi'!$B$2:$B$1001)+('Veri Merkezi'!$B$2:$B$1001=""),0),0)),"")</f>
        <v>PORTEKİZ / YEŞİL BURUN ADALARI</v>
      </c>
      <c r="AD77">
        <f>IF(AC77="","",COUNTIF('Veri Merkezi'!$B$2:$B$1001,AC77))</f>
        <v>2</v>
      </c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 t="str">
        <f>IFERROR(INDEX('Veri Merkezi'!$B$2:$B$1001,MATCH(0,INDEX(COUNTIF($J$44:J77,'Veri Merkezi'!$B$2:$B$1001)+('Veri Merkezi'!$B$2:$B$1001=""),0),0)),"")</f>
        <v>SLOVENYA</v>
      </c>
      <c r="K78" s="33">
        <f>IF(J78="","",COUNTIF('Veri Merkezi'!$B$2:$B$1001,J78))</f>
        <v>2</v>
      </c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C78" t="str">
        <f>IFERROR(INDEX('Veri Merkezi'!$B$2:$B$1001,MATCH(0,INDEX(COUNTIF($AC$1:AC77,'Veri Merkezi'!$B$2:$B$1001)+('Veri Merkezi'!$B$2:$B$1001=""),0),0)),"")</f>
        <v>İNGİLTERE / JAMAİKA</v>
      </c>
      <c r="AD78">
        <f>IF(AC78="","",COUNTIF('Veri Merkezi'!$B$2:$B$1001,AC78))</f>
        <v>1</v>
      </c>
    </row>
    <row r="79" spans="1:30">
      <c r="J79" s="33" t="str">
        <f>IFERROR(INDEX('Veri Merkezi'!$B$2:$B$1001,MATCH(0,INDEX(COUNTIF($J$44:J78,'Veri Merkezi'!$B$2:$B$1001)+('Veri Merkezi'!$B$2:$B$1001=""),0),0)),"")</f>
        <v>FİNLANDİYA</v>
      </c>
      <c r="K79" s="33">
        <f>IF(J79="","",COUNTIF('Veri Merkezi'!$B$2:$B$1001,J79))</f>
        <v>1</v>
      </c>
      <c r="AC79" t="str">
        <f>IFERROR(INDEX('Veri Merkezi'!$B$2:$B$1001,MATCH(0,INDEX(COUNTIF($AC$1:AC78,'Veri Merkezi'!$B$2:$B$1001)+('Veri Merkezi'!$B$2:$B$1001=""),0),0)),"")</f>
        <v>KOSTA RİKA</v>
      </c>
      <c r="AD79">
        <f>IF(AC79="","",COUNTIF('Veri Merkezi'!$B$2:$B$1001,AC79))</f>
        <v>1</v>
      </c>
    </row>
    <row r="80" spans="1:30">
      <c r="J80" s="33" t="str">
        <f>IFERROR(INDEX('Veri Merkezi'!$B$2:$B$1001,MATCH(0,INDEX(COUNTIF($J$44:J79,'Veri Merkezi'!$B$2:$B$1001)+('Veri Merkezi'!$B$2:$B$1001=""),0),0)),"")</f>
        <v>GUADELOUPE</v>
      </c>
      <c r="K80" s="33">
        <f>IF(J80="","",COUNTIF('Veri Merkezi'!$B$2:$B$1001,J80))</f>
        <v>1</v>
      </c>
      <c r="AC80" t="str">
        <f>IFERROR(INDEX('Veri Merkezi'!$B$2:$B$1001,MATCH(0,INDEX(COUNTIF($AC$1:AC79,'Veri Merkezi'!$B$2:$B$1001)+('Veri Merkezi'!$B$2:$B$1001=""),0),0)),"")</f>
        <v>KENYA</v>
      </c>
      <c r="AD80">
        <f>IF(AC80="","",COUNTIF('Veri Merkezi'!$B$2:$B$1001,AC80))</f>
        <v>1</v>
      </c>
    </row>
    <row r="81" spans="10:30">
      <c r="J81" s="33" t="str">
        <f>IFERROR(INDEX('Veri Merkezi'!$B$2:$B$1001,MATCH(0,INDEX(COUNTIF($J$44:J80,'Veri Merkezi'!$B$2:$B$1001)+('Veri Merkezi'!$B$2:$B$1001=""),0),0)),"")</f>
        <v>NİJERYA</v>
      </c>
      <c r="K81" s="33">
        <f>IF(J81="","",COUNTIF('Veri Merkezi'!$B$2:$B$1001,J81))</f>
        <v>8</v>
      </c>
      <c r="AC81" t="str">
        <f>IFERROR(INDEX('Veri Merkezi'!$B$2:$B$1001,MATCH(0,INDEX(COUNTIF($AC$1:AC80,'Veri Merkezi'!$B$2:$B$1001)+('Veri Merkezi'!$B$2:$B$1001=""),0),0)),"")</f>
        <v>ARJANTİN / İSPANYA</v>
      </c>
      <c r="AD81">
        <f>IF(AC81="","",COUNTIF('Veri Merkezi'!$B$2:$B$1001,AC81))</f>
        <v>1</v>
      </c>
    </row>
    <row r="82" spans="10:30">
      <c r="J82" s="33" t="str">
        <f>IFERROR(INDEX('Veri Merkezi'!$B$2:$B$1001,MATCH(0,INDEX(COUNTIF($J$44:J81,'Veri Merkezi'!$B$2:$B$1001)+('Veri Merkezi'!$B$2:$B$1001=""),0),0)),"")</f>
        <v>FAS</v>
      </c>
      <c r="K82" s="33">
        <f>IF(J82="","",COUNTIF('Veri Merkezi'!$B$2:$B$1001,J82))</f>
        <v>1</v>
      </c>
      <c r="AC82" t="str">
        <f>IFERROR(INDEX('Veri Merkezi'!$B$2:$B$1001,MATCH(0,INDEX(COUNTIF($AC$1:AC81,'Veri Merkezi'!$B$2:$B$1001)+('Veri Merkezi'!$B$2:$B$1001=""),0),0)),"")</f>
        <v>MEKSİKA</v>
      </c>
      <c r="AD82">
        <f>IF(AC82="","",COUNTIF('Veri Merkezi'!$B$2:$B$1001,AC82))</f>
        <v>1</v>
      </c>
    </row>
    <row r="83" spans="10:30">
      <c r="J83" s="33" t="str">
        <f>IFERROR(INDEX('Veri Merkezi'!$B$2:$B$1001,MATCH(0,INDEX(COUNTIF($J$44:J82,'Veri Merkezi'!$B$2:$B$1001)+('Veri Merkezi'!$B$2:$B$1001=""),0),0)),"")</f>
        <v>GİNE</v>
      </c>
      <c r="K83" s="33">
        <f>IF(J83="","",COUNTIF('Veri Merkezi'!$B$2:$B$1001,J83))</f>
        <v>2</v>
      </c>
      <c r="AC83" t="str">
        <f>IFERROR(INDEX('Veri Merkezi'!$B$2:$B$1001,MATCH(0,INDEX(COUNTIF($AC$1:AC82,'Veri Merkezi'!$B$2:$B$1001)+('Veri Merkezi'!$B$2:$B$1001=""),0),0)),"")</f>
        <v>TRİNİDAD VE TOBAGO</v>
      </c>
      <c r="AD83">
        <f>IF(AC83="","",COUNTIF('Veri Merkezi'!$B$2:$B$1001,AC83))</f>
        <v>2</v>
      </c>
    </row>
    <row r="84" spans="10:30">
      <c r="J84" s="33" t="str">
        <f>IFERROR(INDEX('Veri Merkezi'!$B$2:$B$1001,MATCH(0,INDEX(COUNTIF($J$44:J83,'Veri Merkezi'!$B$2:$B$1001)+('Veri Merkezi'!$B$2:$B$1001=""),0),0)),"")</f>
        <v>ARJANTİN / İTALYA</v>
      </c>
      <c r="K84" s="33">
        <f>IF(J84="","",COUNTIF('Veri Merkezi'!$B$2:$B$1001,J84))</f>
        <v>1</v>
      </c>
      <c r="AC84" t="str">
        <f>IFERROR(INDEX('Veri Merkezi'!$B$2:$B$1001,MATCH(0,INDEX(COUNTIF($AC$1:AC83,'Veri Merkezi'!$B$2:$B$1001)+('Veri Merkezi'!$B$2:$B$1001=""),0),0)),"")</f>
        <v>HIRVATİSTAN / ALMANYA</v>
      </c>
      <c r="AD84">
        <f>IF(AC84="","",COUNTIF('Veri Merkezi'!$B$2:$B$1001,AC84))</f>
        <v>1</v>
      </c>
    </row>
    <row r="85" spans="10:30">
      <c r="J85" s="33" t="str">
        <f t="array" ref="J85">IFERROR(INDEX('Veri Merkezi'!$B$2:$B$1001,MATCH(0,INDEX(COUNTIF($J$44:J84,'Veri Merkezi'!$B$2:$B$1001)+('Veri Merkezi'!$B$2:$B$1001=""),0),0)),"")</f>
        <v>GÜNEY KORE</v>
      </c>
      <c r="K85" s="33">
        <f>IF(J85="","",COUNTIF('Veri Merkezi'!$B$2:$B$1001,J85))</f>
        <v>1</v>
      </c>
      <c r="AC85" t="str">
        <f>IFERROR(INDEX('Veri Merkezi'!$B$2:$B$1001,MATCH(0,INDEX(COUNTIF($AC$1:AC84,'Veri Merkezi'!$B$2:$B$1001)+('Veri Merkezi'!$B$2:$B$1001=""),0),0)),"")</f>
        <v>İSRAİL</v>
      </c>
      <c r="AD85">
        <f>IF(AC85="","",COUNTIF('Veri Merkezi'!$B$2:$B$1001,AC85))</f>
        <v>1</v>
      </c>
    </row>
    <row r="86" spans="10:30">
      <c r="J86" s="33" t="str">
        <f>IFERROR(INDEX('Veri Merkezi'!$B$2:$B$1001,MATCH(0,INDEX(COUNTIF($J$44:J85,'Veri Merkezi'!$B$2:$B$1001)+('Veri Merkezi'!$B$2:$B$1001=""),0),0)),"")</f>
        <v>GUADELOUPE / FRANSA</v>
      </c>
      <c r="K86" s="33">
        <f>IF(J86="","",COUNTIF('Veri Merkezi'!$B$2:$B$1001,J86))</f>
        <v>1</v>
      </c>
      <c r="AC86" t="str">
        <f>IFERROR(INDEX('Veri Merkezi'!$B$2:$B$1001,MATCH(0,INDEX(COUNTIF($AC$1:AC85,'Veri Merkezi'!$B$2:$B$1001)+('Veri Merkezi'!$B$2:$B$1001=""),0),0)),"")</f>
        <v>ZİMBABVE</v>
      </c>
      <c r="AD86">
        <f>IF(AC86="","",COUNTIF('Veri Merkezi'!$B$2:$B$1001,AC86))</f>
        <v>1</v>
      </c>
    </row>
    <row r="87" spans="10:30">
      <c r="J87" s="33" t="str">
        <f>IFERROR(INDEX('Veri Merkezi'!$B$2:$B$1001,MATCH(0,INDEX(COUNTIF($J$44:J86,'Veri Merkezi'!$B$2:$B$1001)+('Veri Merkezi'!$B$2:$B$1001=""),0),0)),"")</f>
        <v>FRANSA / DR KONGO</v>
      </c>
      <c r="K87" s="33">
        <f>IF(J87="","",COUNTIF('Veri Merkezi'!$B$2:$B$1001,J87))</f>
        <v>1</v>
      </c>
      <c r="AC87" t="str">
        <f>IFERROR(INDEX('Veri Merkezi'!$B$2:$B$1001,MATCH(0,INDEX(COUNTIF($AC$1:AC86,'Veri Merkezi'!$B$2:$B$1001)+('Veri Merkezi'!$B$2:$B$1001=""),0),0)),"")</f>
        <v>KAMERUN</v>
      </c>
      <c r="AD87">
        <f>IF(AC87="","",COUNTIF('Veri Merkezi'!$B$2:$B$1001,AC87))</f>
        <v>3</v>
      </c>
    </row>
    <row r="88" spans="10:30">
      <c r="J88" s="33" t="str">
        <f>IFERROR(INDEX('Veri Merkezi'!$B$2:$B$1001,MATCH(0,INDEX(COUNTIF($J$44:J87,'Veri Merkezi'!$B$2:$B$1001)+('Veri Merkezi'!$B$2:$B$1001=""),0),0)),"")</f>
        <v>ORTA AFRİKA CUMHURİYETİ / FRANSA</v>
      </c>
      <c r="K88" s="33">
        <f>IF(J88="","",COUNTIF('Veri Merkezi'!$B$2:$B$1001,J88))</f>
        <v>1</v>
      </c>
      <c r="AC88" t="str">
        <f>IFERROR(INDEX('Veri Merkezi'!$B$2:$B$1001,MATCH(0,INDEX(COUNTIF($AC$1:AC87,'Veri Merkezi'!$B$2:$B$1001)+('Veri Merkezi'!$B$2:$B$1001=""),0),0)),"")</f>
        <v>EL SALVADOR</v>
      </c>
      <c r="AD88">
        <f>IF(AC88="","",COUNTIF('Veri Merkezi'!$B$2:$B$1001,AC88))</f>
        <v>1</v>
      </c>
    </row>
    <row r="89" spans="10:30">
      <c r="J89" s="33" t="str">
        <f>IFERROR(INDEX('Veri Merkezi'!$B$2:$B$1001,MATCH(0,INDEX(COUNTIF($J$44:J88,'Veri Merkezi'!$B$2:$B$1001)+('Veri Merkezi'!$B$2:$B$1001=""),0),0)),"")</f>
        <v>FİLDİŞİ SAHİLİ / FRANSA</v>
      </c>
      <c r="K89" s="33">
        <f>IF(J89="","",COUNTIF('Veri Merkezi'!$B$2:$B$1001,J89))</f>
        <v>1</v>
      </c>
      <c r="AC89" t="str">
        <f>IFERROR(INDEX('Veri Merkezi'!$B$2:$B$1001,MATCH(0,INDEX(COUNTIF($AC$1:AC88,'Veri Merkezi'!$B$2:$B$1001)+('Veri Merkezi'!$B$2:$B$1001=""),0),0)),"")</f>
        <v>ABD</v>
      </c>
      <c r="AD89">
        <f>IF(AC89="","",COUNTIF('Veri Merkezi'!$B$2:$B$1001,AC89))</f>
        <v>1</v>
      </c>
    </row>
    <row r="90" spans="10:30">
      <c r="J90" s="33" t="str">
        <f>IFERROR(INDEX('Veri Merkezi'!$B$2:$B$1001,MATCH(0,INDEX(COUNTIF($J$44:J89,'Veri Merkezi'!$B$2:$B$1001)+('Veri Merkezi'!$B$2:$B$1001=""),0),0)),"")</f>
        <v>FRANSA / MALİ</v>
      </c>
      <c r="K90" s="33">
        <f>IF(J90="","",COUNTIF('Veri Merkezi'!$B$2:$B$1001,J90))</f>
        <v>1</v>
      </c>
      <c r="AC90" t="str">
        <f>IFERROR(INDEX('Veri Merkezi'!$B$2:$B$1001,MATCH(0,INDEX(COUNTIF($AC$1:AC89,'Veri Merkezi'!$B$2:$B$1001)+('Veri Merkezi'!$B$2:$B$1001=""),0),0)),"")</f>
        <v>FRANSA / GUADELOUPE</v>
      </c>
      <c r="AD90">
        <f>IF(AC90="","",COUNTIF('Veri Merkezi'!$B$2:$B$1001,AC90))</f>
        <v>1</v>
      </c>
    </row>
    <row r="91" spans="10:30">
      <c r="J91" s="33" t="str">
        <f>IFERROR(INDEX('Veri Merkezi'!$B$2:$B$1001,MATCH(0,INDEX(COUNTIF($J$44:J90,'Veri Merkezi'!$B$2:$B$1001)+('Veri Merkezi'!$B$2:$B$1001=""),0),0)),"")</f>
        <v>İNGİLTERE</v>
      </c>
      <c r="K91" s="33">
        <f>IF(J91="","",COUNTIF('Veri Merkezi'!$B$2:$B$1001,J91))</f>
        <v>2</v>
      </c>
      <c r="AC91" t="str">
        <f>IFERROR(INDEX('Veri Merkezi'!$B$2:$B$1001,MATCH(0,INDEX(COUNTIF($AC$1:AC90,'Veri Merkezi'!$B$2:$B$1001)+('Veri Merkezi'!$B$2:$B$1001=""),0),0)),"")</f>
        <v>FİLDİŞİ SAHİLİ</v>
      </c>
      <c r="AD91">
        <f>IF(AC91="","",COUNTIF('Veri Merkezi'!$B$2:$B$1001,AC91))</f>
        <v>1</v>
      </c>
    </row>
    <row r="92" spans="10:30">
      <c r="J92" s="33" t="str">
        <f>IFERROR(INDEX('Veri Merkezi'!$B$2:$B$1001,MATCH(0,INDEX(COUNTIF($J$44:J91,'Veri Merkezi'!$B$2:$B$1001)+('Veri Merkezi'!$B$2:$B$1001=""),0),0)),"")</f>
        <v>TÜRKİYE</v>
      </c>
      <c r="K92" s="33">
        <f>IF(J92="","",COUNTIF('Veri Merkezi'!$B$2:$B$1001,J92))</f>
        <v>4</v>
      </c>
      <c r="AC92" t="str">
        <f>IFERROR(INDEX('Veri Merkezi'!$B$2:$B$1001,MATCH(0,INDEX(COUNTIF($AC$1:AC91,'Veri Merkezi'!$B$2:$B$1001)+('Veri Merkezi'!$B$2:$B$1001=""),0),0)),"")</f>
        <v>ARNAVUTLUK / İTALYA</v>
      </c>
      <c r="AD92">
        <f>IF(AC92="","",COUNTIF('Veri Merkezi'!$B$2:$B$1001,AC92))</f>
        <v>1</v>
      </c>
    </row>
    <row r="93" spans="10:30">
      <c r="J93" s="33" t="str">
        <f>IFERROR(INDEX('Veri Merkezi'!$B$2:$B$1001,MATCH(0,INDEX(COUNTIF($J$44:J92,'Veri Merkezi'!$B$2:$B$1001)+('Veri Merkezi'!$B$2:$B$1001=""),0),0)),"")</f>
        <v>İTALYA</v>
      </c>
      <c r="K93" s="33">
        <f>IF(J93="","",COUNTIF('Veri Merkezi'!$B$2:$B$1001,J93))</f>
        <v>2</v>
      </c>
      <c r="AC93" t="str">
        <f>IFERROR(INDEX('Veri Merkezi'!$B$2:$B$1001,MATCH(0,INDEX(COUNTIF($AC$1:AC92,'Veri Merkezi'!$B$2:$B$1001)+('Veri Merkezi'!$B$2:$B$1001=""),0),0)),"")</f>
        <v>EKVADOR / İSPANYA</v>
      </c>
      <c r="AD93">
        <f>IF(AC93="","",COUNTIF('Veri Merkezi'!$B$2:$B$1001,AC93))</f>
        <v>1</v>
      </c>
    </row>
    <row r="94" spans="10:30">
      <c r="AC94" t="str">
        <f>IFERROR(INDEX('Veri Merkezi'!$B$2:$B$1001,MATCH(0,INDEX(COUNTIF($AC$1:AC93,'Veri Merkezi'!$B$2:$B$1001)+('Veri Merkezi'!$B$2:$B$1001=""),0),0)),"")</f>
        <v/>
      </c>
      <c r="AD94" t="str">
        <f>IF(AC94="","",COUNTIF('Veri Merkezi'!$B$2:$B$1001,AC94))</f>
        <v/>
      </c>
    </row>
    <row r="95" spans="10:30">
      <c r="AC95" t="str">
        <f>IFERROR(INDEX('Veri Merkezi'!$B$2:$B$1001,MATCH(0,INDEX(COUNTIF($AC$1:AC94,'Veri Merkezi'!$B$2:$B$1001)+('Veri Merkezi'!$B$2:$B$1001=""),0),0)),"")</f>
        <v/>
      </c>
      <c r="AD95" t="str">
        <f>IF(AC95="","",COUNTIF('Veri Merkezi'!$B$2:$B$1001,AC95))</f>
        <v/>
      </c>
    </row>
    <row r="96" spans="10:30">
      <c r="AC96" t="str">
        <f>IFERROR(INDEX('Veri Merkezi'!$B$2:$B$1001,MATCH(0,INDEX(COUNTIF($AC$1:AC95,'Veri Merkezi'!$B$2:$B$1001)+('Veri Merkezi'!$B$2:$B$1001=""),0),0)),"")</f>
        <v/>
      </c>
      <c r="AD96" t="str">
        <f>IF(AC96="","",COUNTIF('Veri Merkezi'!$B$2:$B$1001,AC96))</f>
        <v/>
      </c>
    </row>
    <row r="97" spans="29:30">
      <c r="AC97" t="str">
        <f>IFERROR(INDEX('Veri Merkezi'!$B$2:$B$1001,MATCH(0,INDEX(COUNTIF($AC$1:AC96,'Veri Merkezi'!$B$2:$B$1001)+('Veri Merkezi'!$B$2:$B$1001=""),0),0)),"")</f>
        <v/>
      </c>
      <c r="AD97" t="str">
        <f>IF(AC97="","",COUNTIF('Veri Merkezi'!$B$2:$B$1001,AC97))</f>
        <v/>
      </c>
    </row>
    <row r="98" spans="29:30">
      <c r="AC98" t="str">
        <f>IFERROR(INDEX('Veri Merkezi'!$B$2:$B$1001,MATCH(0,INDEX(COUNTIF($AC$1:AC97,'Veri Merkezi'!$B$2:$B$1001)+('Veri Merkezi'!$B$2:$B$1001=""),0),0)),"")</f>
        <v/>
      </c>
      <c r="AD98" t="str">
        <f>IF(AC98="","",COUNTIF('Veri Merkezi'!$B$2:$B$1001,AC98))</f>
        <v/>
      </c>
    </row>
    <row r="99" spans="29:30">
      <c r="AC99" t="str">
        <f>IFERROR(INDEX('Veri Merkezi'!$B$2:$B$1001,MATCH(0,INDEX(COUNTIF($AC$1:AC98,'Veri Merkezi'!$B$2:$B$1001)+('Veri Merkezi'!$B$2:$B$1001=""),0),0)),"")</f>
        <v/>
      </c>
      <c r="AD99" t="str">
        <f>IF(AC99="","",COUNTIF('Veri Merkezi'!$B$2:$B$1001,AC99))</f>
        <v/>
      </c>
    </row>
    <row r="100" spans="29:30">
      <c r="AC100" t="str">
        <f>IFERROR(INDEX('Veri Merkezi'!$B$2:$B$1001,MATCH(0,INDEX(COUNTIF($AC$1:AC99,'Veri Merkezi'!$B$2:$B$1001)+('Veri Merkezi'!$B$2:$B$1001=""),0),0)),"")</f>
        <v/>
      </c>
      <c r="AD100" t="str">
        <f>IF(AC100="","",COUNTIF('Veri Merkezi'!$B$2:$B$1001,AC100))</f>
        <v/>
      </c>
    </row>
  </sheetData>
  <mergeCells count="53">
    <mergeCell ref="P5:R6"/>
    <mergeCell ref="N32:R32"/>
    <mergeCell ref="G32:L32"/>
    <mergeCell ref="G12:I12"/>
    <mergeCell ref="N28:R28"/>
    <mergeCell ref="I10:L11"/>
    <mergeCell ref="A9:D9"/>
    <mergeCell ref="G6:I8"/>
    <mergeCell ref="I9:L9"/>
    <mergeCell ref="A5:C5"/>
    <mergeCell ref="D5:F5"/>
    <mergeCell ref="A6:C8"/>
    <mergeCell ref="J6:L8"/>
    <mergeCell ref="G30:I30"/>
    <mergeCell ref="M10:P11"/>
    <mergeCell ref="E10:H11"/>
    <mergeCell ref="N29:P29"/>
    <mergeCell ref="A13:M13"/>
    <mergeCell ref="A28:L28"/>
    <mergeCell ref="A30:C30"/>
    <mergeCell ref="N13:Z13"/>
    <mergeCell ref="L42:U42"/>
    <mergeCell ref="J5:L5"/>
    <mergeCell ref="P7:R8"/>
    <mergeCell ref="E9:H9"/>
    <mergeCell ref="D6:F8"/>
    <mergeCell ref="A42:I42"/>
    <mergeCell ref="Q29:R29"/>
    <mergeCell ref="G5:I5"/>
    <mergeCell ref="A32:F32"/>
    <mergeCell ref="D12:F12"/>
    <mergeCell ref="D30:F30"/>
    <mergeCell ref="A29:C29"/>
    <mergeCell ref="G29:I29"/>
    <mergeCell ref="M6:N8"/>
    <mergeCell ref="J12:L12"/>
    <mergeCell ref="N30:P30"/>
    <mergeCell ref="A1:Z2"/>
    <mergeCell ref="M4:N4"/>
    <mergeCell ref="J30:L30"/>
    <mergeCell ref="P4:R4"/>
    <mergeCell ref="A10:D11"/>
    <mergeCell ref="J29:L29"/>
    <mergeCell ref="Q30:R30"/>
    <mergeCell ref="D4:F4"/>
    <mergeCell ref="G4:I4"/>
    <mergeCell ref="A4:C4"/>
    <mergeCell ref="M9:P9"/>
    <mergeCell ref="D29:F29"/>
    <mergeCell ref="J4:L4"/>
    <mergeCell ref="M5:N5"/>
    <mergeCell ref="A12:C12"/>
    <mergeCell ref="M12:O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0"/>
  <sheetViews>
    <sheetView workbookViewId="0">
      <selection activeCell="D45" sqref="D45"/>
    </sheetView>
  </sheetViews>
  <sheetFormatPr baseColWidth="10" defaultColWidth="8.83203125" defaultRowHeight="14"/>
  <cols>
    <col min="1" max="1" width="24" customWidth="1"/>
    <col min="2" max="2" width="16" customWidth="1"/>
    <col min="3" max="3" width="8" customWidth="1"/>
    <col min="4" max="4" width="20" customWidth="1"/>
    <col min="5" max="5" width="16" customWidth="1"/>
    <col min="6" max="6" width="11" customWidth="1"/>
    <col min="7" max="7" width="12" customWidth="1"/>
    <col min="8" max="9" width="14" customWidth="1"/>
    <col min="10" max="10" width="24" customWidth="1"/>
    <col min="11" max="11" width="13" hidden="1" customWidth="1"/>
  </cols>
  <sheetData>
    <row r="1" spans="1:11" ht="21" customHeight="1">
      <c r="A1" s="94" t="s">
        <v>181</v>
      </c>
      <c r="B1" s="68"/>
      <c r="C1" s="68"/>
      <c r="D1" s="68"/>
      <c r="E1" s="68"/>
      <c r="F1" s="68"/>
      <c r="G1" s="68"/>
      <c r="H1" s="68"/>
      <c r="I1" s="68"/>
      <c r="J1" s="68"/>
    </row>
    <row r="3" spans="1:11" ht="16" customHeight="1">
      <c r="A3" s="30" t="s">
        <v>1</v>
      </c>
      <c r="B3" s="30" t="s">
        <v>5</v>
      </c>
      <c r="C3" s="30" t="s">
        <v>4</v>
      </c>
      <c r="D3" s="30" t="s">
        <v>7</v>
      </c>
      <c r="E3" s="30" t="s">
        <v>175</v>
      </c>
      <c r="F3" s="30" t="s">
        <v>9</v>
      </c>
      <c r="G3" s="30" t="s">
        <v>19</v>
      </c>
      <c r="H3" s="30" t="s">
        <v>20</v>
      </c>
      <c r="I3" s="30" t="s">
        <v>21</v>
      </c>
      <c r="J3" s="30" t="s">
        <v>182</v>
      </c>
    </row>
    <row r="4" spans="1:11">
      <c r="A4" t="str">
        <f>IF($K4="","",IFERROR(INDEX('Veri Merkezi'!$A$2:$A$1001,$K4),""))</f>
        <v>TUNGAY NIANZOU</v>
      </c>
      <c r="B4" t="str">
        <f>IF($K4="","",IFERROR(INDEX('Veri Merkezi'!$E$2:$E$1001,$K4),""))</f>
        <v>Stoper</v>
      </c>
      <c r="C4">
        <f ca="1">IF($K4="","",IFERROR(INDEX('Veri Merkezi'!$D$2:$D$1001,$K4),""))</f>
        <v>24</v>
      </c>
      <c r="D4" t="str">
        <f>IF($K4="","",IFERROR(INDEX('Veri Merkezi'!$F$2:$F$1001,$K4),""))</f>
        <v>LILLE</v>
      </c>
      <c r="E4" s="2">
        <f>IF($K4="","",IFERROR(INDEX('Veri Merkezi'!$G$2:$G$1001,$K4),""))</f>
        <v>46934</v>
      </c>
      <c r="F4" t="str">
        <f>IF($K4="","",IFERROR(INDEX('Veri Merkezi'!$H$2:$H$1001,$K4),""))</f>
        <v>Yeşil</v>
      </c>
      <c r="G4" t="str">
        <f>IF($K4="","",IFERROR(INDEX('Veri Merkezi'!$R$2:$R$1001,$K4),""))</f>
        <v/>
      </c>
      <c r="H4" t="str">
        <f>IF($K4="","",IFERROR(INDEX('Veri Merkezi'!$S$2:$S$1001,$K4),""))</f>
        <v>A Liste</v>
      </c>
      <c r="I4" s="2" t="str">
        <f>IF($K4="","",IFERROR(INDEX('Veri Merkezi'!$T$2:$T$1001,$K4),""))</f>
        <v/>
      </c>
      <c r="J4" t="str">
        <f>IF($K4="","",IFERROR(INDEX('Veri Merkezi'!$U$2:$U$1001,$K4),""))</f>
        <v>Stoperler</v>
      </c>
      <c r="K4">
        <f>IFERROR(MATCH("A Liste",'Veri Merkezi'!$S$2:$S$1001,0),"")</f>
        <v>102</v>
      </c>
    </row>
    <row r="5" spans="1:11">
      <c r="A5" t="str">
        <f>IF($K5="","",IFERROR(INDEX('Veri Merkezi'!$A$2:$A$1001,$K5),""))</f>
        <v>ARTHUR ZAGRE</v>
      </c>
      <c r="B5" t="str">
        <f>IF($K5="","",IFERROR(INDEX('Veri Merkezi'!$E$2:$E$1001,$K5),""))</f>
        <v>Sol Bek</v>
      </c>
      <c r="C5">
        <f ca="1">IF($K5="","",IFERROR(INDEX('Veri Merkezi'!$D$2:$D$1001,$K5),""))</f>
        <v>25</v>
      </c>
      <c r="D5" t="str">
        <f>IF($K5="","",IFERROR(INDEX('Veri Merkezi'!$F$2:$F$1001,$K5),""))</f>
        <v>UTRECHT</v>
      </c>
      <c r="E5" s="2">
        <f>IF($K5="","",IFERROR(INDEX('Veri Merkezi'!$G$2:$G$1001,$K5),""))</f>
        <v>47289</v>
      </c>
      <c r="F5" t="str">
        <f>IF($K5="","",IFERROR(INDEX('Veri Merkezi'!$H$2:$H$1001,$K5),""))</f>
        <v>Yeşil</v>
      </c>
      <c r="G5" t="str">
        <f>IF($K5="","",IFERROR(INDEX('Veri Merkezi'!$R$2:$R$1001,$K5),""))</f>
        <v/>
      </c>
      <c r="H5" t="str">
        <f>IF($K5="","",IFERROR(INDEX('Veri Merkezi'!$S$2:$S$1001,$K5),""))</f>
        <v>A Liste</v>
      </c>
      <c r="I5" s="2" t="str">
        <f>IF($K5="","",IFERROR(INDEX('Veri Merkezi'!$T$2:$T$1001,$K5),""))</f>
        <v/>
      </c>
      <c r="J5" t="str">
        <f>IF($K5="","",IFERROR(INDEX('Veri Merkezi'!$U$2:$U$1001,$K5),""))</f>
        <v>Sol Bekler</v>
      </c>
      <c r="K5">
        <f>IF(K4="","",IFERROR(K4+MATCH("A Liste",INDEX('Veri Merkezi'!$S$2:$S$1001,K4+1):'Veri Merkezi'!$S$1001,0),""))</f>
        <v>302</v>
      </c>
    </row>
    <row r="6" spans="1:11">
      <c r="A6" t="str">
        <f>IF($K6="","",IFERROR(INDEX('Veri Merkezi'!$A$2:$A$1001,$K6),""))</f>
        <v>LEONARDO LELO</v>
      </c>
      <c r="B6" t="str">
        <f>IF($K6="","",IFERROR(INDEX('Veri Merkezi'!$E$2:$E$1001,$K6),""))</f>
        <v>Sol Bek</v>
      </c>
      <c r="C6">
        <f ca="1">IF($K6="","",IFERROR(INDEX('Veri Merkezi'!$D$2:$D$1001,$K6),""))</f>
        <v>26</v>
      </c>
      <c r="D6" t="str">
        <f>IF($K6="","",IFERROR(INDEX('Veri Merkezi'!$F$2:$F$1001,$K6),""))</f>
        <v>ALMERIA</v>
      </c>
      <c r="E6" s="2">
        <f>IF($K6="","",IFERROR(INDEX('Veri Merkezi'!$G$2:$G$1001,$K6),""))</f>
        <v>46568</v>
      </c>
      <c r="F6" t="str">
        <f>IF($K6="","",IFERROR(INDEX('Veri Merkezi'!$H$2:$H$1001,$K6),""))</f>
        <v>Yeşil</v>
      </c>
      <c r="G6" t="str">
        <f>IF($K6="","",IFERROR(INDEX('Veri Merkezi'!$R$2:$R$1001,$K6),""))</f>
        <v/>
      </c>
      <c r="H6" t="str">
        <f>IF($K6="","",IFERROR(INDEX('Veri Merkezi'!$S$2:$S$1001,$K6),""))</f>
        <v>A Liste</v>
      </c>
      <c r="I6" s="2" t="str">
        <f>IF($K6="","",IFERROR(INDEX('Veri Merkezi'!$T$2:$T$1001,$K6),""))</f>
        <v/>
      </c>
      <c r="J6" t="str">
        <f>IF($K6="","",IFERROR(INDEX('Veri Merkezi'!$U$2:$U$1001,$K6),""))</f>
        <v>Sol Bekler</v>
      </c>
      <c r="K6">
        <f>IF(K5="","",IFERROR(K5+MATCH("A Liste",INDEX('Veri Merkezi'!$S$2:$S$1001,K5+1):'Veri Merkezi'!$S$1001,0),""))</f>
        <v>306</v>
      </c>
    </row>
    <row r="7" spans="1:11">
      <c r="A7" t="str">
        <f>IF($K7="","",IFERROR(INDEX('Veri Merkezi'!$A$2:$A$1001,$K7),""))</f>
        <v>RAMIZ ZERROUKI</v>
      </c>
      <c r="B7" t="str">
        <f>IF($K7="","",IFERROR(INDEX('Veri Merkezi'!$E$2:$E$1001,$K7),""))</f>
        <v>6 Numara</v>
      </c>
      <c r="C7">
        <f ca="1">IF($K7="","",IFERROR(INDEX('Veri Merkezi'!$D$2:$D$1001,$K7),""))</f>
        <v>28</v>
      </c>
      <c r="D7" t="str">
        <f>IF($K7="","",IFERROR(INDEX('Veri Merkezi'!$F$2:$F$1001,$K7),""))</f>
        <v>TWENTE</v>
      </c>
      <c r="E7" s="2">
        <f>IF($K7="","",IFERROR(INDEX('Veri Merkezi'!$G$2:$G$1001,$K7),""))</f>
        <v>47664</v>
      </c>
      <c r="F7" t="str">
        <f>IF($K7="","",IFERROR(INDEX('Veri Merkezi'!$H$2:$H$1001,$K7),""))</f>
        <v>Yeşil</v>
      </c>
      <c r="G7" t="str">
        <f>IF($K7="","",IFERROR(INDEX('Veri Merkezi'!$R$2:$R$1001,$K7),""))</f>
        <v/>
      </c>
      <c r="H7" t="str">
        <f>IF($K7="","",IFERROR(INDEX('Veri Merkezi'!$S$2:$S$1001,$K7),""))</f>
        <v>A Liste</v>
      </c>
      <c r="I7" s="2" t="str">
        <f>IF($K7="","",IFERROR(INDEX('Veri Merkezi'!$T$2:$T$1001,$K7),""))</f>
        <v/>
      </c>
      <c r="J7" t="str">
        <f>IF($K7="","",IFERROR(INDEX('Veri Merkezi'!$U$2:$U$1001,$K7),""))</f>
        <v>6 Numaralar</v>
      </c>
      <c r="K7">
        <f>IF(K6="","",IFERROR(K6+MATCH("A Liste",INDEX('Veri Merkezi'!$S$2:$S$1001,K6+1):'Veri Merkezi'!$S$1001,0),""))</f>
        <v>407</v>
      </c>
    </row>
    <row r="8" spans="1:11">
      <c r="A8" t="str">
        <f>IF($K8="","",IFERROR(INDEX('Veri Merkezi'!$A$2:$A$1001,$K8),""))</f>
        <v>STEPHEN EUSTAQUO</v>
      </c>
      <c r="B8" t="str">
        <f>IF($K8="","",IFERROR(INDEX('Veri Merkezi'!$E$2:$E$1001,$K8),""))</f>
        <v>8 Numara</v>
      </c>
      <c r="C8">
        <f ca="1">IF($K8="","",IFERROR(INDEX('Veri Merkezi'!$D$2:$D$1001,$K8),""))</f>
        <v>29</v>
      </c>
      <c r="D8" t="str">
        <f>IF($K8="","",IFERROR(INDEX('Veri Merkezi'!$F$2:$F$1001,$K8),""))</f>
        <v>SWANSEA</v>
      </c>
      <c r="E8" s="2">
        <f>IF($K8="","",IFERROR(INDEX('Veri Merkezi'!$G$2:$G$1001,$K8),""))</f>
        <v>46934</v>
      </c>
      <c r="F8" t="str">
        <f>IF($K8="","",IFERROR(INDEX('Veri Merkezi'!$H$2:$H$1001,$K8),""))</f>
        <v>Yeşil</v>
      </c>
      <c r="G8" t="str">
        <f>IF($K8="","",IFERROR(INDEX('Veri Merkezi'!$R$2:$R$1001,$K8),""))</f>
        <v/>
      </c>
      <c r="H8" t="str">
        <f>IF($K8="","",IFERROR(INDEX('Veri Merkezi'!$S$2:$S$1001,$K8),""))</f>
        <v>A Liste</v>
      </c>
      <c r="I8" s="2" t="str">
        <f>IF($K8="","",IFERROR(INDEX('Veri Merkezi'!$T$2:$T$1001,$K8),""))</f>
        <v/>
      </c>
      <c r="J8" t="str">
        <f>IF($K8="","",IFERROR(INDEX('Veri Merkezi'!$U$2:$U$1001,$K8),""))</f>
        <v>8 Numaralar</v>
      </c>
      <c r="K8">
        <f>IF(K7="","",IFERROR(K7+MATCH("A Liste",INDEX('Veri Merkezi'!$S$2:$S$1001,K7+1):'Veri Merkezi'!$S$1001,0),""))</f>
        <v>502</v>
      </c>
    </row>
    <row r="9" spans="1:11">
      <c r="A9" t="str">
        <f>IF($K9="","",IFERROR(INDEX('Veri Merkezi'!$A$2:$A$1001,$K9),""))</f>
        <v>URAN BISLIMI</v>
      </c>
      <c r="B9" t="str">
        <f>IF($K9="","",IFERROR(INDEX('Veri Merkezi'!$E$2:$E$1001,$K9),""))</f>
        <v>8 Numara</v>
      </c>
      <c r="C9">
        <f ca="1">IF($K9="","",IFERROR(INDEX('Veri Merkezi'!$D$2:$D$1001,$K9),""))</f>
        <v>27</v>
      </c>
      <c r="D9" t="str">
        <f>IF($K9="","",IFERROR(INDEX('Veri Merkezi'!$F$2:$F$1001,$K9),""))</f>
        <v>LUGANO</v>
      </c>
      <c r="E9" s="2">
        <f>IF($K9="","",IFERROR(INDEX('Veri Merkezi'!$G$2:$G$1001,$K9),""))</f>
        <v>46558</v>
      </c>
      <c r="F9" t="str">
        <f>IF($K9="","",IFERROR(INDEX('Veri Merkezi'!$H$2:$H$1001,$K9),""))</f>
        <v>Yeşil</v>
      </c>
      <c r="G9" t="str">
        <f>IF($K9="","",IFERROR(INDEX('Veri Merkezi'!$R$2:$R$1001,$K9),""))</f>
        <v/>
      </c>
      <c r="H9" t="str">
        <f>IF($K9="","",IFERROR(INDEX('Veri Merkezi'!$S$2:$S$1001,$K9),""))</f>
        <v>A Liste</v>
      </c>
      <c r="I9" s="2" t="str">
        <f>IF($K9="","",IFERROR(INDEX('Veri Merkezi'!$T$2:$T$1001,$K9),""))</f>
        <v/>
      </c>
      <c r="J9" t="str">
        <f>IF($K9="","",IFERROR(INDEX('Veri Merkezi'!$U$2:$U$1001,$K9),""))</f>
        <v>8 Numaralar</v>
      </c>
      <c r="K9">
        <f>IF(K8="","",IFERROR(K8+MATCH("A Liste",INDEX('Veri Merkezi'!$S$2:$S$1001,K8+1):'Veri Merkezi'!$S$1001,0),""))</f>
        <v>503</v>
      </c>
    </row>
    <row r="10" spans="1:11">
      <c r="A10" t="str">
        <f>IF($K10="","",IFERROR(INDEX('Veri Merkezi'!$A$2:$A$1001,$K10),""))</f>
        <v>JEAN LUCAS DE SOUZA</v>
      </c>
      <c r="B10" t="str">
        <f>IF($K10="","",IFERROR(INDEX('Veri Merkezi'!$E$2:$E$1001,$K10),""))</f>
        <v>8 Numara</v>
      </c>
      <c r="C10">
        <f ca="1">IF($K10="","",IFERROR(INDEX('Veri Merkezi'!$D$2:$D$1001,$K10),""))</f>
        <v>28</v>
      </c>
      <c r="D10" t="str">
        <f>IF($K10="","",IFERROR(INDEX('Veri Merkezi'!$F$2:$F$1001,$K10),""))</f>
        <v>BAHIA</v>
      </c>
      <c r="E10" s="2">
        <f>IF($K10="","",IFERROR(INDEX('Veri Merkezi'!$G$2:$G$1001,$K10),""))</f>
        <v>47118</v>
      </c>
      <c r="F10" t="str">
        <f>IF($K10="","",IFERROR(INDEX('Veri Merkezi'!$H$2:$H$1001,$K10),""))</f>
        <v>Yeşil</v>
      </c>
      <c r="G10" t="str">
        <f>IF($K10="","",IFERROR(INDEX('Veri Merkezi'!$R$2:$R$1001,$K10),""))</f>
        <v/>
      </c>
      <c r="H10" t="str">
        <f>IF($K10="","",IFERROR(INDEX('Veri Merkezi'!$S$2:$S$1001,$K10),""))</f>
        <v>A Liste</v>
      </c>
      <c r="I10" s="2" t="str">
        <f>IF($K10="","",IFERROR(INDEX('Veri Merkezi'!$T$2:$T$1001,$K10),""))</f>
        <v/>
      </c>
      <c r="J10" t="str">
        <f>IF($K10="","",IFERROR(INDEX('Veri Merkezi'!$U$2:$U$1001,$K10),""))</f>
        <v>8 Numaralar</v>
      </c>
      <c r="K10">
        <f>IF(K9="","",IFERROR(K9+MATCH("A Liste",INDEX('Veri Merkezi'!$S$2:$S$1001,K9+1):'Veri Merkezi'!$S$1001,0),""))</f>
        <v>505</v>
      </c>
    </row>
    <row r="11" spans="1:11">
      <c r="A11" t="str">
        <f>IF($K11="","",IFERROR(INDEX('Veri Merkezi'!$A$2:$A$1001,$K11),""))</f>
        <v>MONCHU</v>
      </c>
      <c r="B11" t="str">
        <f>IF($K11="","",IFERROR(INDEX('Veri Merkezi'!$E$2:$E$1001,$K11),""))</f>
        <v>8 Numara</v>
      </c>
      <c r="C11">
        <f ca="1">IF($K11="","",IFERROR(INDEX('Veri Merkezi'!$D$2:$D$1001,$K11),""))</f>
        <v>27</v>
      </c>
      <c r="D11" t="str">
        <f>IF($K11="","",IFERROR(INDEX('Veri Merkezi'!$F$2:$F$1001,$K11),""))</f>
        <v>FC JUAREZ</v>
      </c>
      <c r="E11" s="2">
        <f>IF($K11="","",IFERROR(INDEX('Veri Merkezi'!$G$2:$G$1001,$K11),""))</f>
        <v>46387</v>
      </c>
      <c r="F11" t="str">
        <f>IF($K11="","",IFERROR(INDEX('Veri Merkezi'!$H$2:$H$1001,$K11),""))</f>
        <v>Yeşil</v>
      </c>
      <c r="G11" t="str">
        <f>IF($K11="","",IFERROR(INDEX('Veri Merkezi'!$R$2:$R$1001,$K11),""))</f>
        <v/>
      </c>
      <c r="H11" t="str">
        <f>IF($K11="","",IFERROR(INDEX('Veri Merkezi'!$S$2:$S$1001,$K11),""))</f>
        <v>A Liste</v>
      </c>
      <c r="I11" s="2" t="str">
        <f>IF($K11="","",IFERROR(INDEX('Veri Merkezi'!$T$2:$T$1001,$K11),""))</f>
        <v/>
      </c>
      <c r="J11" t="str">
        <f>IF($K11="","",IFERROR(INDEX('Veri Merkezi'!$U$2:$U$1001,$K11),""))</f>
        <v>8 Numaralar</v>
      </c>
      <c r="K11">
        <f>IF(K10="","",IFERROR(K10+MATCH("A Liste",INDEX('Veri Merkezi'!$S$2:$S$1001,K10+1):'Veri Merkezi'!$S$1001,0),""))</f>
        <v>506</v>
      </c>
    </row>
    <row r="12" spans="1:11">
      <c r="A12" t="str">
        <f>IF($K12="","",IFERROR(INDEX('Veri Merkezi'!$A$2:$A$1001,$K12),""))</f>
        <v>IVAN ILIC</v>
      </c>
      <c r="B12" t="str">
        <f>IF($K12="","",IFERROR(INDEX('Veri Merkezi'!$E$2:$E$1001,$K12),""))</f>
        <v>8 Numara</v>
      </c>
      <c r="C12">
        <f ca="1">IF($K12="","",IFERROR(INDEX('Veri Merkezi'!$D$2:$D$1001,$K12),""))</f>
        <v>25</v>
      </c>
      <c r="D12" t="str">
        <f>IF($K12="","",IFERROR(INDEX('Veri Merkezi'!$F$2:$F$1001,$K12),""))</f>
        <v>LECCE</v>
      </c>
      <c r="E12" s="2">
        <f>IF($K12="","",IFERROR(INDEX('Veri Merkezi'!$G$2:$G$1001,$K12),""))</f>
        <v>46568</v>
      </c>
      <c r="F12" t="str">
        <f>IF($K12="","",IFERROR(INDEX('Veri Merkezi'!$H$2:$H$1001,$K12),""))</f>
        <v>Yeşil</v>
      </c>
      <c r="G12" t="str">
        <f>IF($K12="","",IFERROR(INDEX('Veri Merkezi'!$R$2:$R$1001,$K12),""))</f>
        <v/>
      </c>
      <c r="H12" t="str">
        <f>IF($K12="","",IFERROR(INDEX('Veri Merkezi'!$S$2:$S$1001,$K12),""))</f>
        <v>A Liste</v>
      </c>
      <c r="I12" s="2" t="str">
        <f>IF($K12="","",IFERROR(INDEX('Veri Merkezi'!$T$2:$T$1001,$K12),""))</f>
        <v/>
      </c>
      <c r="J12" t="str">
        <f>IF($K12="","",IFERROR(INDEX('Veri Merkezi'!$U$2:$U$1001,$K12),""))</f>
        <v>8 Numaralar</v>
      </c>
      <c r="K12">
        <f>IF(K11="","",IFERROR(K11+MATCH("A Liste",INDEX('Veri Merkezi'!$S$2:$S$1001,K11+1):'Veri Merkezi'!$S$1001,0),""))</f>
        <v>514</v>
      </c>
    </row>
    <row r="13" spans="1:11">
      <c r="A13" t="str">
        <f>IF($K13="","",IFERROR(INDEX('Veri Merkezi'!$A$2:$A$1001,$K13),""))</f>
        <v>EBENEZER AKSİNSANMİRO</v>
      </c>
      <c r="B13" t="str">
        <f>IF($K13="","",IFERROR(INDEX('Veri Merkezi'!$E$2:$E$1001,$K13),""))</f>
        <v>8 Numara</v>
      </c>
      <c r="C13">
        <f ca="1">IF($K13="","",IFERROR(INDEX('Veri Merkezi'!$D$2:$D$1001,$K13),""))</f>
        <v>21</v>
      </c>
      <c r="D13" t="str">
        <f>IF($K13="","",IFERROR(INDEX('Veri Merkezi'!$F$2:$F$1001,$K13),""))</f>
        <v>MONZA</v>
      </c>
      <c r="E13" s="2">
        <f>IF($K13="","",IFERROR(INDEX('Veri Merkezi'!$G$2:$G$1001,$K13),""))</f>
        <v>46568</v>
      </c>
      <c r="F13" t="str">
        <f>IF($K13="","",IFERROR(INDEX('Veri Merkezi'!$H$2:$H$1001,$K13),""))</f>
        <v>Yeşil</v>
      </c>
      <c r="G13" t="str">
        <f>IF($K13="","",IFERROR(INDEX('Veri Merkezi'!$R$2:$R$1001,$K13),""))</f>
        <v/>
      </c>
      <c r="H13" t="str">
        <f>IF($K13="","",IFERROR(INDEX('Veri Merkezi'!$S$2:$S$1001,$K13),""))</f>
        <v>A Liste</v>
      </c>
      <c r="I13" s="2" t="str">
        <f>IF($K13="","",IFERROR(INDEX('Veri Merkezi'!$T$2:$T$1001,$K13),""))</f>
        <v/>
      </c>
      <c r="J13" t="str">
        <f>IF($K13="","",IFERROR(INDEX('Veri Merkezi'!$U$2:$U$1001,$K13),""))</f>
        <v>8 Numaralar</v>
      </c>
      <c r="K13">
        <f>IF(K12="","",IFERROR(K12+MATCH("A Liste",INDEX('Veri Merkezi'!$S$2:$S$1001,K12+1):'Veri Merkezi'!$S$1001,0),""))</f>
        <v>515</v>
      </c>
    </row>
    <row r="14" spans="1:11">
      <c r="A14" t="str">
        <f>IF($K14="","",IFERROR(INDEX('Veri Merkezi'!$A$2:$A$1001,$K14),""))</f>
        <v>LORENZO PELLEGRINI</v>
      </c>
      <c r="B14" t="str">
        <f>IF($K14="","",IFERROR(INDEX('Veri Merkezi'!$E$2:$E$1001,$K14),""))</f>
        <v>10 Numara</v>
      </c>
      <c r="C14">
        <f ca="1">IF($K14="","",IFERROR(INDEX('Veri Merkezi'!$D$2:$D$1001,$K14),""))</f>
        <v>30</v>
      </c>
      <c r="D14" t="str">
        <f>IF($K14="","",IFERROR(INDEX('Veri Merkezi'!$F$2:$F$1001,$K14),""))</f>
        <v>ROMA</v>
      </c>
      <c r="E14" s="2">
        <f>IF($K14="","",IFERROR(INDEX('Veri Merkezi'!$G$2:$G$1001,$K14),""))</f>
        <v>46568</v>
      </c>
      <c r="F14" t="str">
        <f>IF($K14="","",IFERROR(INDEX('Veri Merkezi'!$H$2:$H$1001,$K14),""))</f>
        <v>Yeşil</v>
      </c>
      <c r="G14" t="str">
        <f>IF($K14="","",IFERROR(INDEX('Veri Merkezi'!$R$2:$R$1001,$K14),""))</f>
        <v/>
      </c>
      <c r="H14" t="str">
        <f>IF($K14="","",IFERROR(INDEX('Veri Merkezi'!$S$2:$S$1001,$K14),""))</f>
        <v>A Liste</v>
      </c>
      <c r="I14" s="2" t="str">
        <f>IF($K14="","",IFERROR(INDEX('Veri Merkezi'!$T$2:$T$1001,$K14),""))</f>
        <v/>
      </c>
      <c r="J14" t="str">
        <f>IF($K14="","",IFERROR(INDEX('Veri Merkezi'!$U$2:$U$1001,$K14),""))</f>
        <v>10 Numaralar</v>
      </c>
      <c r="K14">
        <f>IF(K13="","",IFERROR(K13+MATCH("A Liste",INDEX('Veri Merkezi'!$S$2:$S$1001,K13+1):'Veri Merkezi'!$S$1001,0),""))</f>
        <v>603</v>
      </c>
    </row>
    <row r="15" spans="1:11">
      <c r="A15" t="str">
        <f>IF($K15="","",IFERROR(INDEX('Veri Merkezi'!$A$2:$A$1001,$K15),""))</f>
        <v>NOE LEBRETON</v>
      </c>
      <c r="B15" t="str">
        <f>IF($K15="","",IFERROR(INDEX('Veri Merkezi'!$E$2:$E$1001,$K15),""))</f>
        <v>10 Numara</v>
      </c>
      <c r="C15">
        <f ca="1">IF($K15="","",IFERROR(INDEX('Veri Merkezi'!$D$2:$D$1001,$K15),""))</f>
        <v>22</v>
      </c>
      <c r="D15" t="str">
        <f>IF($K15="","",IFERROR(INDEX('Veri Merkezi'!$F$2:$F$1001,$K15),""))</f>
        <v>NEC NIJMEGEN</v>
      </c>
      <c r="E15" s="2">
        <f>IF($K15="","",IFERROR(INDEX('Veri Merkezi'!$G$2:$G$1001,$K15),""))</f>
        <v>47299</v>
      </c>
      <c r="F15" t="str">
        <f>IF($K15="","",IFERROR(INDEX('Veri Merkezi'!$H$2:$H$1001,$K15),""))</f>
        <v>Yeşil</v>
      </c>
      <c r="G15" t="str">
        <f>IF($K15="","",IFERROR(INDEX('Veri Merkezi'!$R$2:$R$1001,$K15),""))</f>
        <v/>
      </c>
      <c r="H15" t="str">
        <f>IF($K15="","",IFERROR(INDEX('Veri Merkezi'!$S$2:$S$1001,$K15),""))</f>
        <v>A Liste</v>
      </c>
      <c r="I15" s="2" t="str">
        <f>IF($K15="","",IFERROR(INDEX('Veri Merkezi'!$T$2:$T$1001,$K15),""))</f>
        <v/>
      </c>
      <c r="J15" t="str">
        <f>IF($K15="","",IFERROR(INDEX('Veri Merkezi'!$U$2:$U$1001,$K15),""))</f>
        <v>10 Numaralar</v>
      </c>
      <c r="K15">
        <f>IF(K14="","",IFERROR(K14+MATCH("A Liste",INDEX('Veri Merkezi'!$S$2:$S$1001,K14+1):'Veri Merkezi'!$S$1001,0),""))</f>
        <v>604</v>
      </c>
    </row>
    <row r="16" spans="1:11">
      <c r="A16" t="str">
        <f>IF($K16="","",IFERROR(INDEX('Veri Merkezi'!$A$2:$A$1001,$K16),""))</f>
        <v>ISI PALAZON</v>
      </c>
      <c r="B16" t="str">
        <f>IF($K16="","",IFERROR(INDEX('Veri Merkezi'!$E$2:$E$1001,$K16),""))</f>
        <v>10 Numara</v>
      </c>
      <c r="C16">
        <f ca="1">IF($K16="","",IFERROR(INDEX('Veri Merkezi'!$D$2:$D$1001,$K16),""))</f>
        <v>31</v>
      </c>
      <c r="D16" t="str">
        <f>IF($K16="","",IFERROR(INDEX('Veri Merkezi'!$F$2:$F$1001,$K16),""))</f>
        <v>RAYO VALLECANO</v>
      </c>
      <c r="E16" s="2">
        <f>IF($K16="","",IFERROR(INDEX('Veri Merkezi'!$G$2:$G$1001,$K16),""))</f>
        <v>46934</v>
      </c>
      <c r="F16" t="str">
        <f>IF($K16="","",IFERROR(INDEX('Veri Merkezi'!$H$2:$H$1001,$K16),""))</f>
        <v>Yeşil</v>
      </c>
      <c r="G16" t="str">
        <f>IF($K16="","",IFERROR(INDEX('Veri Merkezi'!$R$2:$R$1001,$K16),""))</f>
        <v/>
      </c>
      <c r="H16" t="str">
        <f>IF($K16="","",IFERROR(INDEX('Veri Merkezi'!$S$2:$S$1001,$K16),""))</f>
        <v>A Liste</v>
      </c>
      <c r="I16" s="2" t="str">
        <f>IF($K16="","",IFERROR(INDEX('Veri Merkezi'!$T$2:$T$1001,$K16),""))</f>
        <v/>
      </c>
      <c r="J16" t="str">
        <f>IF($K16="","",IFERROR(INDEX('Veri Merkezi'!$U$2:$U$1001,$K16),""))</f>
        <v>10 Numaralar</v>
      </c>
      <c r="K16">
        <f>IF(K15="","",IFERROR(K15+MATCH("A Liste",INDEX('Veri Merkezi'!$S$2:$S$1001,K15+1):'Veri Merkezi'!$S$1001,0),""))</f>
        <v>605</v>
      </c>
    </row>
    <row r="17" spans="1:11">
      <c r="A17" t="str">
        <f>IF($K17="","",IFERROR(INDEX('Veri Merkezi'!$A$2:$A$1001,$K17),""))</f>
        <v>GIORGI CHAKVETADZE</v>
      </c>
      <c r="B17" t="str">
        <f>IF($K17="","",IFERROR(INDEX('Veri Merkezi'!$E$2:$E$1001,$K17),""))</f>
        <v>10 Numara</v>
      </c>
      <c r="C17">
        <f ca="1">IF($K17="","",IFERROR(INDEX('Veri Merkezi'!$D$2:$D$1001,$K17),""))</f>
        <v>28</v>
      </c>
      <c r="D17" t="str">
        <f>IF($K17="","",IFERROR(INDEX('Veri Merkezi'!$F$2:$F$1001,$K17),""))</f>
        <v>UDINESE</v>
      </c>
      <c r="E17" s="2">
        <f>IF($K17="","",IFERROR(INDEX('Veri Merkezi'!$G$2:$G$1001,$K17),""))</f>
        <v>47664</v>
      </c>
      <c r="F17" t="str">
        <f>IF($K17="","",IFERROR(INDEX('Veri Merkezi'!$H$2:$H$1001,$K17),""))</f>
        <v>Yeşil</v>
      </c>
      <c r="G17" t="str">
        <f>IF($K17="","",IFERROR(INDEX('Veri Merkezi'!$R$2:$R$1001,$K17),""))</f>
        <v/>
      </c>
      <c r="H17" t="str">
        <f>IF($K17="","",IFERROR(INDEX('Veri Merkezi'!$S$2:$S$1001,$K17),""))</f>
        <v>A Liste</v>
      </c>
      <c r="I17" s="2" t="str">
        <f>IF($K17="","",IFERROR(INDEX('Veri Merkezi'!$T$2:$T$1001,$K17),""))</f>
        <v/>
      </c>
      <c r="J17" t="str">
        <f>IF($K17="","",IFERROR(INDEX('Veri Merkezi'!$U$2:$U$1001,$K17),""))</f>
        <v>10 Numaralar</v>
      </c>
      <c r="K17">
        <f>IF(K16="","",IFERROR(K16+MATCH("A Liste",INDEX('Veri Merkezi'!$S$2:$S$1001,K16+1):'Veri Merkezi'!$S$1001,0),""))</f>
        <v>607</v>
      </c>
    </row>
    <row r="18" spans="1:11">
      <c r="A18" t="str">
        <f>IF($K18="","",IFERROR(INDEX('Veri Merkezi'!$A$2:$A$1001,$K18),""))</f>
        <v>YANİS MASSOLİN</v>
      </c>
      <c r="B18" t="str">
        <f>IF($K18="","",IFERROR(INDEX('Veri Merkezi'!$E$2:$E$1001,$K18),""))</f>
        <v>10 Numara</v>
      </c>
      <c r="C18">
        <f ca="1">IF($K18="","",IFERROR(INDEX('Veri Merkezi'!$D$2:$D$1001,$K18),""))</f>
        <v>24</v>
      </c>
      <c r="D18" t="str">
        <f>IF($K18="","",IFERROR(INDEX('Veri Merkezi'!$F$2:$F$1001,$K18),""))</f>
        <v>CAGLIARI</v>
      </c>
      <c r="E18" s="2">
        <f>IF($K18="","",IFERROR(INDEX('Veri Merkezi'!$G$2:$G$1001,$K18),""))</f>
        <v>46568</v>
      </c>
      <c r="F18" t="str">
        <f>IF($K18="","",IFERROR(INDEX('Veri Merkezi'!$H$2:$H$1001,$K18),""))</f>
        <v>Yeşil</v>
      </c>
      <c r="G18" t="str">
        <f>IF($K18="","",IFERROR(INDEX('Veri Merkezi'!$R$2:$R$1001,$K18),""))</f>
        <v/>
      </c>
      <c r="H18" t="str">
        <f>IF($K18="","",IFERROR(INDEX('Veri Merkezi'!$S$2:$S$1001,$K18),""))</f>
        <v>A Liste</v>
      </c>
      <c r="I18" s="2" t="str">
        <f>IF($K18="","",IFERROR(INDEX('Veri Merkezi'!$T$2:$T$1001,$K18),""))</f>
        <v/>
      </c>
      <c r="J18" t="str">
        <f>IF($K18="","",IFERROR(INDEX('Veri Merkezi'!$U$2:$U$1001,$K18),""))</f>
        <v>10 Numaralar</v>
      </c>
      <c r="K18">
        <f>IF(K17="","",IFERROR(K17+MATCH("A Liste",INDEX('Veri Merkezi'!$S$2:$S$1001,K17+1):'Veri Merkezi'!$S$1001,0),""))</f>
        <v>611</v>
      </c>
    </row>
    <row r="19" spans="1:11">
      <c r="A19" t="str">
        <f>IF($K19="","",IFERROR(INDEX('Veri Merkezi'!$A$2:$A$1001,$K19),""))</f>
        <v>AHIDERA EJUKE</v>
      </c>
      <c r="B19" t="str">
        <f>IF($K19="","",IFERROR(INDEX('Veri Merkezi'!$E$2:$E$1001,$K19),""))</f>
        <v>Kanat</v>
      </c>
      <c r="C19">
        <f ca="1">IF($K19="","",IFERROR(INDEX('Veri Merkezi'!$D$2:$D$1001,$K19),""))</f>
        <v>28</v>
      </c>
      <c r="D19" t="str">
        <f>IF($K19="","",IFERROR(INDEX('Veri Merkezi'!$F$2:$F$1001,$K19),""))</f>
        <v>SEVILLA</v>
      </c>
      <c r="E19" s="2">
        <f>IF($K19="","",IFERROR(INDEX('Veri Merkezi'!$G$2:$G$1001,$K19),""))</f>
        <v>46568</v>
      </c>
      <c r="F19" t="str">
        <f>IF($K19="","",IFERROR(INDEX('Veri Merkezi'!$H$2:$H$1001,$K19),""))</f>
        <v>Yeşil</v>
      </c>
      <c r="G19" t="str">
        <f>IF($K19="","",IFERROR(INDEX('Veri Merkezi'!$R$2:$R$1001,$K19),""))</f>
        <v/>
      </c>
      <c r="H19" t="str">
        <f>IF($K19="","",IFERROR(INDEX('Veri Merkezi'!$S$2:$S$1001,$K19),""))</f>
        <v>A Liste</v>
      </c>
      <c r="I19" s="2" t="str">
        <f>IF($K19="","",IFERROR(INDEX('Veri Merkezi'!$T$2:$T$1001,$K19),""))</f>
        <v/>
      </c>
      <c r="J19" t="str">
        <f>IF($K19="","",IFERROR(INDEX('Veri Merkezi'!$U$2:$U$1001,$K19),""))</f>
        <v>Kanatlar</v>
      </c>
      <c r="K19">
        <f>IF(K18="","",IFERROR(K18+MATCH("A Liste",INDEX('Veri Merkezi'!$S$2:$S$1001,K18+1):'Veri Merkezi'!$S$1001,0),""))</f>
        <v>701</v>
      </c>
    </row>
    <row r="20" spans="1:11">
      <c r="A20" t="str">
        <f>IF($K20="","",IFERROR(INDEX('Veri Merkezi'!$A$2:$A$1001,$K20),""))</f>
        <v>TAWANDA MASWANHISE</v>
      </c>
      <c r="B20" t="str">
        <f>IF($K20="","",IFERROR(INDEX('Veri Merkezi'!$E$2:$E$1001,$K20),""))</f>
        <v>Forvet</v>
      </c>
      <c r="C20">
        <f ca="1">IF($K20="","",IFERROR(INDEX('Veri Merkezi'!$D$2:$D$1001,$K20),""))</f>
        <v>23</v>
      </c>
      <c r="D20" t="str">
        <f>IF($K20="","",IFERROR(INDEX('Veri Merkezi'!$F$2:$F$1001,$K20),""))</f>
        <v>MOTHERWELL</v>
      </c>
      <c r="E20" s="2">
        <f>IF($K20="","",IFERROR(INDEX('Veri Merkezi'!$G$2:$G$1001,$K20),""))</f>
        <v>46538</v>
      </c>
      <c r="F20" t="str">
        <f>IF($K20="","",IFERROR(INDEX('Veri Merkezi'!$H$2:$H$1001,$K20),""))</f>
        <v>Yeşil</v>
      </c>
      <c r="G20" t="str">
        <f>IF($K20="","",IFERROR(INDEX('Veri Merkezi'!$R$2:$R$1001,$K20),""))</f>
        <v/>
      </c>
      <c r="H20" t="str">
        <f>IF($K20="","",IFERROR(INDEX('Veri Merkezi'!$S$2:$S$1001,$K20),""))</f>
        <v>A Liste</v>
      </c>
      <c r="I20" s="2" t="str">
        <f>IF($K20="","",IFERROR(INDEX('Veri Merkezi'!$T$2:$T$1001,$K20),""))</f>
        <v/>
      </c>
      <c r="J20" t="str">
        <f>IF($K20="","",IFERROR(INDEX('Veri Merkezi'!$U$2:$U$1001,$K20),""))</f>
        <v>Forvetler</v>
      </c>
      <c r="K20">
        <f>IF(K19="","",IFERROR(K19+MATCH("A Liste",INDEX('Veri Merkezi'!$S$2:$S$1001,K19+1):'Veri Merkezi'!$S$1001,0),""))</f>
        <v>804</v>
      </c>
    </row>
    <row r="21" spans="1:11">
      <c r="A21" t="str">
        <f>IF($K21="","",IFERROR(INDEX('Veri Merkezi'!$A$2:$A$1001,$K21),""))</f>
        <v>ABDOUL KARIM TRAORE</v>
      </c>
      <c r="B21" t="str">
        <f>IF($K21="","",IFERROR(INDEX('Veri Merkezi'!$E$2:$E$1001,$K21),""))</f>
        <v>Forvet</v>
      </c>
      <c r="C21">
        <f ca="1">IF($K21="","",IFERROR(INDEX('Veri Merkezi'!$D$2:$D$1001,$K21),""))</f>
        <v>19</v>
      </c>
      <c r="D21" t="str">
        <f>IF($K21="","",IFERROR(INDEX('Veri Merkezi'!$F$2:$F$1001,$K21),""))</f>
        <v>OH LEUVEN</v>
      </c>
      <c r="E21" s="2">
        <f>IF($K21="","",IFERROR(INDEX('Veri Merkezi'!$G$2:$G$1001,$K21),""))</f>
        <v>46934</v>
      </c>
      <c r="F21" t="str">
        <f>IF($K21="","",IFERROR(INDEX('Veri Merkezi'!$H$2:$H$1001,$K21),""))</f>
        <v>Yeşil</v>
      </c>
      <c r="G21" t="str">
        <f>IF($K21="","",IFERROR(INDEX('Veri Merkezi'!$R$2:$R$1001,$K21),""))</f>
        <v/>
      </c>
      <c r="H21" t="str">
        <f>IF($K21="","",IFERROR(INDEX('Veri Merkezi'!$S$2:$S$1001,$K21),""))</f>
        <v>A Liste</v>
      </c>
      <c r="I21" s="2" t="str">
        <f>IF($K21="","",IFERROR(INDEX('Veri Merkezi'!$T$2:$T$1001,$K21),""))</f>
        <v/>
      </c>
      <c r="J21" t="str">
        <f>IF($K21="","",IFERROR(INDEX('Veri Merkezi'!$U$2:$U$1001,$K21),""))</f>
        <v>Forvetler</v>
      </c>
      <c r="K21">
        <f>IF(K20="","",IFERROR(K20+MATCH("A Liste",INDEX('Veri Merkezi'!$S$2:$S$1001,K20+1):'Veri Merkezi'!$S$1001,0),""))</f>
        <v>806</v>
      </c>
    </row>
    <row r="22" spans="1:11">
      <c r="A22" t="str">
        <f>IF($K22="","",IFERROR(INDEX('Veri Merkezi'!$A$2:$A$1001,$K22),""))</f>
        <v>BİL NSONGO</v>
      </c>
      <c r="B22" t="str">
        <f>IF($K22="","",IFERROR(INDEX('Veri Merkezi'!$E$2:$E$1001,$K22),""))</f>
        <v>Forvet</v>
      </c>
      <c r="C22">
        <f ca="1">IF($K22="","",IFERROR(INDEX('Veri Merkezi'!$D$2:$D$1001,$K22),""))</f>
        <v>22</v>
      </c>
      <c r="D22" t="str">
        <f>IF($K22="","",IFERROR(INDEX('Veri Merkezi'!$F$2:$F$1001,$K22),""))</f>
        <v>DEPORTİVO</v>
      </c>
      <c r="E22" s="2">
        <f>IF($K22="","",IFERROR(INDEX('Veri Merkezi'!$G$2:$G$1001,$K22),""))</f>
        <v>47664</v>
      </c>
      <c r="F22" t="str">
        <f>IF($K22="","",IFERROR(INDEX('Veri Merkezi'!$H$2:$H$1001,$K22),""))</f>
        <v>Yeşil</v>
      </c>
      <c r="G22" t="str">
        <f>IF($K22="","",IFERROR(INDEX('Veri Merkezi'!$R$2:$R$1001,$K22),""))</f>
        <v/>
      </c>
      <c r="H22" t="str">
        <f>IF($K22="","",IFERROR(INDEX('Veri Merkezi'!$S$2:$S$1001,$K22),""))</f>
        <v>A Liste</v>
      </c>
      <c r="I22" s="2" t="str">
        <f>IF($K22="","",IFERROR(INDEX('Veri Merkezi'!$T$2:$T$1001,$K22),""))</f>
        <v/>
      </c>
      <c r="J22" t="str">
        <f>IF($K22="","",IFERROR(INDEX('Veri Merkezi'!$U$2:$U$1001,$K22),""))</f>
        <v>Forvetler</v>
      </c>
      <c r="K22">
        <f>IF(K21="","",IFERROR(K21+MATCH("A Liste",INDEX('Veri Merkezi'!$S$2:$S$1001,K21+1):'Veri Merkezi'!$S$1001,0),""))</f>
        <v>808</v>
      </c>
    </row>
    <row r="23" spans="1:11">
      <c r="A23" t="str">
        <f>IF($K23="","",IFERROR(INDEX('Veri Merkezi'!$A$2:$A$1001,$K23),""))</f>
        <v/>
      </c>
      <c r="B23" t="str">
        <f>IF($K23="","",IFERROR(INDEX('Veri Merkezi'!$E$2:$E$1001,$K23),""))</f>
        <v/>
      </c>
      <c r="C23" t="str">
        <f>IF($K23="","",IFERROR(INDEX('Veri Merkezi'!$D$2:$D$1001,$K23),""))</f>
        <v/>
      </c>
      <c r="D23" t="str">
        <f>IF($K23="","",IFERROR(INDEX('Veri Merkezi'!$F$2:$F$1001,$K23),""))</f>
        <v/>
      </c>
      <c r="E23" s="2" t="str">
        <f>IF($K23="","",IFERROR(INDEX('Veri Merkezi'!$G$2:$G$1001,$K23),""))</f>
        <v/>
      </c>
      <c r="F23" t="str">
        <f>IF($K23="","",IFERROR(INDEX('Veri Merkezi'!$H$2:$H$1001,$K23),""))</f>
        <v/>
      </c>
      <c r="G23" t="str">
        <f>IF($K23="","",IFERROR(INDEX('Veri Merkezi'!$R$2:$R$1001,$K23),""))</f>
        <v/>
      </c>
      <c r="H23" t="str">
        <f>IF($K23="","",IFERROR(INDEX('Veri Merkezi'!$S$2:$S$1001,$K23),""))</f>
        <v/>
      </c>
      <c r="I23" s="2" t="str">
        <f>IF($K23="","",IFERROR(INDEX('Veri Merkezi'!$T$2:$T$1001,$K23),""))</f>
        <v/>
      </c>
      <c r="J23" t="str">
        <f>IF($K23="","",IFERROR(INDEX('Veri Merkezi'!$U$2:$U$1001,$K23),""))</f>
        <v/>
      </c>
      <c r="K23" t="str">
        <f>IF(K22="","",IFERROR(K22+MATCH("A Liste",INDEX('Veri Merkezi'!$S$2:$S$1001,K22+1):'Veri Merkezi'!$S$1001,0),""))</f>
        <v/>
      </c>
    </row>
    <row r="24" spans="1:11">
      <c r="A24" t="str">
        <f>IF($K24="","",IFERROR(INDEX('Veri Merkezi'!$A$2:$A$1001,$K24),""))</f>
        <v/>
      </c>
      <c r="B24" t="str">
        <f>IF($K24="","",IFERROR(INDEX('Veri Merkezi'!$E$2:$E$1001,$K24),""))</f>
        <v/>
      </c>
      <c r="C24" t="str">
        <f>IF($K24="","",IFERROR(INDEX('Veri Merkezi'!$D$2:$D$1001,$K24),""))</f>
        <v/>
      </c>
      <c r="D24" t="str">
        <f>IF($K24="","",IFERROR(INDEX('Veri Merkezi'!$F$2:$F$1001,$K24),""))</f>
        <v/>
      </c>
      <c r="E24" s="2" t="str">
        <f>IF($K24="","",IFERROR(INDEX('Veri Merkezi'!$G$2:$G$1001,$K24),""))</f>
        <v/>
      </c>
      <c r="F24" t="str">
        <f>IF($K24="","",IFERROR(INDEX('Veri Merkezi'!$H$2:$H$1001,$K24),""))</f>
        <v/>
      </c>
      <c r="G24" t="str">
        <f>IF($K24="","",IFERROR(INDEX('Veri Merkezi'!$R$2:$R$1001,$K24),""))</f>
        <v/>
      </c>
      <c r="H24" t="str">
        <f>IF($K24="","",IFERROR(INDEX('Veri Merkezi'!$S$2:$S$1001,$K24),""))</f>
        <v/>
      </c>
      <c r="I24" s="2" t="str">
        <f>IF($K24="","",IFERROR(INDEX('Veri Merkezi'!$T$2:$T$1001,$K24),""))</f>
        <v/>
      </c>
      <c r="J24" t="str">
        <f>IF($K24="","",IFERROR(INDEX('Veri Merkezi'!$U$2:$U$1001,$K24),""))</f>
        <v/>
      </c>
      <c r="K24" t="str">
        <f>IF(K23="","",IFERROR(K23+MATCH("A Liste",INDEX('Veri Merkezi'!$S$2:$S$1001,K23+1):'Veri Merkezi'!$S$1001,0),""))</f>
        <v/>
      </c>
    </row>
    <row r="25" spans="1:11">
      <c r="A25" t="str">
        <f>IF($K25="","",IFERROR(INDEX('Veri Merkezi'!$A$2:$A$1001,$K25),""))</f>
        <v/>
      </c>
      <c r="B25" t="str">
        <f>IF($K25="","",IFERROR(INDEX('Veri Merkezi'!$E$2:$E$1001,$K25),""))</f>
        <v/>
      </c>
      <c r="C25" t="str">
        <f>IF($K25="","",IFERROR(INDEX('Veri Merkezi'!$D$2:$D$1001,$K25),""))</f>
        <v/>
      </c>
      <c r="D25" t="str">
        <f>IF($K25="","",IFERROR(INDEX('Veri Merkezi'!$F$2:$F$1001,$K25),""))</f>
        <v/>
      </c>
      <c r="E25" s="2" t="str">
        <f>IF($K25="","",IFERROR(INDEX('Veri Merkezi'!$G$2:$G$1001,$K25),""))</f>
        <v/>
      </c>
      <c r="F25" t="str">
        <f>IF($K25="","",IFERROR(INDEX('Veri Merkezi'!$H$2:$H$1001,$K25),""))</f>
        <v/>
      </c>
      <c r="G25" t="str">
        <f>IF($K25="","",IFERROR(INDEX('Veri Merkezi'!$R$2:$R$1001,$K25),""))</f>
        <v/>
      </c>
      <c r="H25" t="str">
        <f>IF($K25="","",IFERROR(INDEX('Veri Merkezi'!$S$2:$S$1001,$K25),""))</f>
        <v/>
      </c>
      <c r="I25" s="2" t="str">
        <f>IF($K25="","",IFERROR(INDEX('Veri Merkezi'!$T$2:$T$1001,$K25),""))</f>
        <v/>
      </c>
      <c r="J25" t="str">
        <f>IF($K25="","",IFERROR(INDEX('Veri Merkezi'!$U$2:$U$1001,$K25),""))</f>
        <v/>
      </c>
      <c r="K25" t="str">
        <f>IF(K24="","",IFERROR(K24+MATCH("A Liste",INDEX('Veri Merkezi'!$S$2:$S$1001,K24+1):'Veri Merkezi'!$S$1001,0),""))</f>
        <v/>
      </c>
    </row>
    <row r="26" spans="1:11">
      <c r="A26" t="str">
        <f>IF($K26="","",IFERROR(INDEX('Veri Merkezi'!$A$2:$A$1001,$K26),""))</f>
        <v/>
      </c>
      <c r="B26" t="str">
        <f>IF($K26="","",IFERROR(INDEX('Veri Merkezi'!$E$2:$E$1001,$K26),""))</f>
        <v/>
      </c>
      <c r="C26" t="str">
        <f>IF($K26="","",IFERROR(INDEX('Veri Merkezi'!$D$2:$D$1001,$K26),""))</f>
        <v/>
      </c>
      <c r="D26" t="str">
        <f>IF($K26="","",IFERROR(INDEX('Veri Merkezi'!$F$2:$F$1001,$K26),""))</f>
        <v/>
      </c>
      <c r="E26" s="2" t="str">
        <f>IF($K26="","",IFERROR(INDEX('Veri Merkezi'!$G$2:$G$1001,$K26),""))</f>
        <v/>
      </c>
      <c r="F26" t="str">
        <f>IF($K26="","",IFERROR(INDEX('Veri Merkezi'!$H$2:$H$1001,$K26),""))</f>
        <v/>
      </c>
      <c r="G26" t="str">
        <f>IF($K26="","",IFERROR(INDEX('Veri Merkezi'!$R$2:$R$1001,$K26),""))</f>
        <v/>
      </c>
      <c r="H26" t="str">
        <f>IF($K26="","",IFERROR(INDEX('Veri Merkezi'!$S$2:$S$1001,$K26),""))</f>
        <v/>
      </c>
      <c r="I26" s="2" t="str">
        <f>IF($K26="","",IFERROR(INDEX('Veri Merkezi'!$T$2:$T$1001,$K26),""))</f>
        <v/>
      </c>
      <c r="J26" t="str">
        <f>IF($K26="","",IFERROR(INDEX('Veri Merkezi'!$U$2:$U$1001,$K26),""))</f>
        <v/>
      </c>
      <c r="K26" t="str">
        <f>IF(K25="","",IFERROR(K25+MATCH("A Liste",INDEX('Veri Merkezi'!$S$2:$S$1001,K25+1):'Veri Merkezi'!$S$1001,0),""))</f>
        <v/>
      </c>
    </row>
    <row r="27" spans="1:11">
      <c r="A27" t="str">
        <f>IF($K27="","",IFERROR(INDEX('Veri Merkezi'!$A$2:$A$1001,$K27),""))</f>
        <v/>
      </c>
      <c r="B27" t="str">
        <f>IF($K27="","",IFERROR(INDEX('Veri Merkezi'!$E$2:$E$1001,$K27),""))</f>
        <v/>
      </c>
      <c r="C27" t="str">
        <f>IF($K27="","",IFERROR(INDEX('Veri Merkezi'!$D$2:$D$1001,$K27),""))</f>
        <v/>
      </c>
      <c r="D27" t="str">
        <f>IF($K27="","",IFERROR(INDEX('Veri Merkezi'!$F$2:$F$1001,$K27),""))</f>
        <v/>
      </c>
      <c r="E27" s="2" t="str">
        <f>IF($K27="","",IFERROR(INDEX('Veri Merkezi'!$G$2:$G$1001,$K27),""))</f>
        <v/>
      </c>
      <c r="F27" t="str">
        <f>IF($K27="","",IFERROR(INDEX('Veri Merkezi'!$H$2:$H$1001,$K27),""))</f>
        <v/>
      </c>
      <c r="G27" t="str">
        <f>IF($K27="","",IFERROR(INDEX('Veri Merkezi'!$R$2:$R$1001,$K27),""))</f>
        <v/>
      </c>
      <c r="H27" t="str">
        <f>IF($K27="","",IFERROR(INDEX('Veri Merkezi'!$S$2:$S$1001,$K27),""))</f>
        <v/>
      </c>
      <c r="I27" s="2" t="str">
        <f>IF($K27="","",IFERROR(INDEX('Veri Merkezi'!$T$2:$T$1001,$K27),""))</f>
        <v/>
      </c>
      <c r="J27" t="str">
        <f>IF($K27="","",IFERROR(INDEX('Veri Merkezi'!$U$2:$U$1001,$K27),""))</f>
        <v/>
      </c>
      <c r="K27" t="str">
        <f>IF(K26="","",IFERROR(K26+MATCH("A Liste",INDEX('Veri Merkezi'!$S$2:$S$1001,K26+1):'Veri Merkezi'!$S$1001,0),""))</f>
        <v/>
      </c>
    </row>
    <row r="28" spans="1:11">
      <c r="A28" t="str">
        <f>IF($K28="","",IFERROR(INDEX('Veri Merkezi'!$A$2:$A$1001,$K28),""))</f>
        <v/>
      </c>
      <c r="B28" t="str">
        <f>IF($K28="","",IFERROR(INDEX('Veri Merkezi'!$E$2:$E$1001,$K28),""))</f>
        <v/>
      </c>
      <c r="C28" t="str">
        <f>IF($K28="","",IFERROR(INDEX('Veri Merkezi'!$D$2:$D$1001,$K28),""))</f>
        <v/>
      </c>
      <c r="D28" t="str">
        <f>IF($K28="","",IFERROR(INDEX('Veri Merkezi'!$F$2:$F$1001,$K28),""))</f>
        <v/>
      </c>
      <c r="E28" s="2" t="str">
        <f>IF($K28="","",IFERROR(INDEX('Veri Merkezi'!$G$2:$G$1001,$K28),""))</f>
        <v/>
      </c>
      <c r="F28" t="str">
        <f>IF($K28="","",IFERROR(INDEX('Veri Merkezi'!$H$2:$H$1001,$K28),""))</f>
        <v/>
      </c>
      <c r="G28" t="str">
        <f>IF($K28="","",IFERROR(INDEX('Veri Merkezi'!$R$2:$R$1001,$K28),""))</f>
        <v/>
      </c>
      <c r="H28" t="str">
        <f>IF($K28="","",IFERROR(INDEX('Veri Merkezi'!$S$2:$S$1001,$K28),""))</f>
        <v/>
      </c>
      <c r="I28" s="2" t="str">
        <f>IF($K28="","",IFERROR(INDEX('Veri Merkezi'!$T$2:$T$1001,$K28),""))</f>
        <v/>
      </c>
      <c r="J28" t="str">
        <f>IF($K28="","",IFERROR(INDEX('Veri Merkezi'!$U$2:$U$1001,$K28),""))</f>
        <v/>
      </c>
      <c r="K28" t="str">
        <f>IF(K27="","",IFERROR(K27+MATCH("A Liste",INDEX('Veri Merkezi'!$S$2:$S$1001,K27+1):'Veri Merkezi'!$S$1001,0),""))</f>
        <v/>
      </c>
    </row>
    <row r="29" spans="1:11">
      <c r="A29" t="str">
        <f>IF($K29="","",IFERROR(INDEX('Veri Merkezi'!$A$2:$A$1001,$K29),""))</f>
        <v/>
      </c>
      <c r="B29" t="str">
        <f>IF($K29="","",IFERROR(INDEX('Veri Merkezi'!$E$2:$E$1001,$K29),""))</f>
        <v/>
      </c>
      <c r="C29" t="str">
        <f>IF($K29="","",IFERROR(INDEX('Veri Merkezi'!$D$2:$D$1001,$K29),""))</f>
        <v/>
      </c>
      <c r="D29" t="str">
        <f>IF($K29="","",IFERROR(INDEX('Veri Merkezi'!$F$2:$F$1001,$K29),""))</f>
        <v/>
      </c>
      <c r="E29" s="2" t="str">
        <f>IF($K29="","",IFERROR(INDEX('Veri Merkezi'!$G$2:$G$1001,$K29),""))</f>
        <v/>
      </c>
      <c r="F29" t="str">
        <f>IF($K29="","",IFERROR(INDEX('Veri Merkezi'!$H$2:$H$1001,$K29),""))</f>
        <v/>
      </c>
      <c r="G29" t="str">
        <f>IF($K29="","",IFERROR(INDEX('Veri Merkezi'!$R$2:$R$1001,$K29),""))</f>
        <v/>
      </c>
      <c r="H29" t="str">
        <f>IF($K29="","",IFERROR(INDEX('Veri Merkezi'!$S$2:$S$1001,$K29),""))</f>
        <v/>
      </c>
      <c r="I29" s="2" t="str">
        <f>IF($K29="","",IFERROR(INDEX('Veri Merkezi'!$T$2:$T$1001,$K29),""))</f>
        <v/>
      </c>
      <c r="J29" t="str">
        <f>IF($K29="","",IFERROR(INDEX('Veri Merkezi'!$U$2:$U$1001,$K29),""))</f>
        <v/>
      </c>
      <c r="K29" t="str">
        <f>IF(K28="","",IFERROR(K28+MATCH("A Liste",INDEX('Veri Merkezi'!$S$2:$S$1001,K28+1):'Veri Merkezi'!$S$1001,0),""))</f>
        <v/>
      </c>
    </row>
    <row r="30" spans="1:11">
      <c r="A30" t="str">
        <f>IF($K30="","",IFERROR(INDEX('Veri Merkezi'!$A$2:$A$1001,$K30),""))</f>
        <v/>
      </c>
      <c r="B30" t="str">
        <f>IF($K30="","",IFERROR(INDEX('Veri Merkezi'!$E$2:$E$1001,$K30),""))</f>
        <v/>
      </c>
      <c r="C30" t="str">
        <f>IF($K30="","",IFERROR(INDEX('Veri Merkezi'!$D$2:$D$1001,$K30),""))</f>
        <v/>
      </c>
      <c r="D30" t="str">
        <f>IF($K30="","",IFERROR(INDEX('Veri Merkezi'!$F$2:$F$1001,$K30),""))</f>
        <v/>
      </c>
      <c r="E30" s="2" t="str">
        <f>IF($K30="","",IFERROR(INDEX('Veri Merkezi'!$G$2:$G$1001,$K30),""))</f>
        <v/>
      </c>
      <c r="F30" t="str">
        <f>IF($K30="","",IFERROR(INDEX('Veri Merkezi'!$H$2:$H$1001,$K30),""))</f>
        <v/>
      </c>
      <c r="G30" t="str">
        <f>IF($K30="","",IFERROR(INDEX('Veri Merkezi'!$R$2:$R$1001,$K30),""))</f>
        <v/>
      </c>
      <c r="H30" t="str">
        <f>IF($K30="","",IFERROR(INDEX('Veri Merkezi'!$S$2:$S$1001,$K30),""))</f>
        <v/>
      </c>
      <c r="I30" s="2" t="str">
        <f>IF($K30="","",IFERROR(INDEX('Veri Merkezi'!$T$2:$T$1001,$K30),""))</f>
        <v/>
      </c>
      <c r="J30" t="str">
        <f>IF($K30="","",IFERROR(INDEX('Veri Merkezi'!$U$2:$U$1001,$K30),""))</f>
        <v/>
      </c>
      <c r="K30" t="str">
        <f>IF(K29="","",IFERROR(K29+MATCH("A Liste",INDEX('Veri Merkezi'!$S$2:$S$1001,K29+1):'Veri Merkezi'!$S$1001,0),""))</f>
        <v/>
      </c>
    </row>
    <row r="31" spans="1:11">
      <c r="A31" t="str">
        <f>IF($K31="","",IFERROR(INDEX('Veri Merkezi'!$A$2:$A$1001,$K31),""))</f>
        <v/>
      </c>
      <c r="B31" t="str">
        <f>IF($K31="","",IFERROR(INDEX('Veri Merkezi'!$E$2:$E$1001,$K31),""))</f>
        <v/>
      </c>
      <c r="C31" t="str">
        <f>IF($K31="","",IFERROR(INDEX('Veri Merkezi'!$D$2:$D$1001,$K31),""))</f>
        <v/>
      </c>
      <c r="D31" t="str">
        <f>IF($K31="","",IFERROR(INDEX('Veri Merkezi'!$F$2:$F$1001,$K31),""))</f>
        <v/>
      </c>
      <c r="E31" s="2" t="str">
        <f>IF($K31="","",IFERROR(INDEX('Veri Merkezi'!$G$2:$G$1001,$K31),""))</f>
        <v/>
      </c>
      <c r="F31" t="str">
        <f>IF($K31="","",IFERROR(INDEX('Veri Merkezi'!$H$2:$H$1001,$K31),""))</f>
        <v/>
      </c>
      <c r="G31" t="str">
        <f>IF($K31="","",IFERROR(INDEX('Veri Merkezi'!$R$2:$R$1001,$K31),""))</f>
        <v/>
      </c>
      <c r="H31" t="str">
        <f>IF($K31="","",IFERROR(INDEX('Veri Merkezi'!$S$2:$S$1001,$K31),""))</f>
        <v/>
      </c>
      <c r="I31" s="2" t="str">
        <f>IF($K31="","",IFERROR(INDEX('Veri Merkezi'!$T$2:$T$1001,$K31),""))</f>
        <v/>
      </c>
      <c r="J31" t="str">
        <f>IF($K31="","",IFERROR(INDEX('Veri Merkezi'!$U$2:$U$1001,$K31),""))</f>
        <v/>
      </c>
      <c r="K31" t="str">
        <f>IF(K30="","",IFERROR(K30+MATCH("A Liste",INDEX('Veri Merkezi'!$S$2:$S$1001,K30+1):'Veri Merkezi'!$S$1001,0),""))</f>
        <v/>
      </c>
    </row>
    <row r="32" spans="1:11">
      <c r="A32" t="str">
        <f>IF($K32="","",IFERROR(INDEX('Veri Merkezi'!$A$2:$A$1001,$K32),""))</f>
        <v/>
      </c>
      <c r="B32" t="str">
        <f>IF($K32="","",IFERROR(INDEX('Veri Merkezi'!$E$2:$E$1001,$K32),""))</f>
        <v/>
      </c>
      <c r="C32" t="str">
        <f>IF($K32="","",IFERROR(INDEX('Veri Merkezi'!$D$2:$D$1001,$K32),""))</f>
        <v/>
      </c>
      <c r="D32" t="str">
        <f>IF($K32="","",IFERROR(INDEX('Veri Merkezi'!$F$2:$F$1001,$K32),""))</f>
        <v/>
      </c>
      <c r="E32" s="2" t="str">
        <f>IF($K32="","",IFERROR(INDEX('Veri Merkezi'!$G$2:$G$1001,$K32),""))</f>
        <v/>
      </c>
      <c r="F32" t="str">
        <f>IF($K32="","",IFERROR(INDEX('Veri Merkezi'!$H$2:$H$1001,$K32),""))</f>
        <v/>
      </c>
      <c r="G32" t="str">
        <f>IF($K32="","",IFERROR(INDEX('Veri Merkezi'!$R$2:$R$1001,$K32),""))</f>
        <v/>
      </c>
      <c r="H32" t="str">
        <f>IF($K32="","",IFERROR(INDEX('Veri Merkezi'!$S$2:$S$1001,$K32),""))</f>
        <v/>
      </c>
      <c r="I32" s="2" t="str">
        <f>IF($K32="","",IFERROR(INDEX('Veri Merkezi'!$T$2:$T$1001,$K32),""))</f>
        <v/>
      </c>
      <c r="J32" t="str">
        <f>IF($K32="","",IFERROR(INDEX('Veri Merkezi'!$U$2:$U$1001,$K32),""))</f>
        <v/>
      </c>
      <c r="K32" t="str">
        <f>IF(K31="","",IFERROR(K31+MATCH("A Liste",INDEX('Veri Merkezi'!$S$2:$S$1001,K31+1):'Veri Merkezi'!$S$1001,0),""))</f>
        <v/>
      </c>
    </row>
    <row r="33" spans="1:11">
      <c r="A33" t="str">
        <f>IF($K33="","",IFERROR(INDEX('Veri Merkezi'!$A$2:$A$1001,$K33),""))</f>
        <v/>
      </c>
      <c r="B33" t="str">
        <f>IF($K33="","",IFERROR(INDEX('Veri Merkezi'!$E$2:$E$1001,$K33),""))</f>
        <v/>
      </c>
      <c r="C33" t="str">
        <f>IF($K33="","",IFERROR(INDEX('Veri Merkezi'!$D$2:$D$1001,$K33),""))</f>
        <v/>
      </c>
      <c r="D33" t="str">
        <f>IF($K33="","",IFERROR(INDEX('Veri Merkezi'!$F$2:$F$1001,$K33),""))</f>
        <v/>
      </c>
      <c r="E33" s="2" t="str">
        <f>IF($K33="","",IFERROR(INDEX('Veri Merkezi'!$G$2:$G$1001,$K33),""))</f>
        <v/>
      </c>
      <c r="F33" t="str">
        <f>IF($K33="","",IFERROR(INDEX('Veri Merkezi'!$H$2:$H$1001,$K33),""))</f>
        <v/>
      </c>
      <c r="G33" t="str">
        <f>IF($K33="","",IFERROR(INDEX('Veri Merkezi'!$R$2:$R$1001,$K33),""))</f>
        <v/>
      </c>
      <c r="H33" t="str">
        <f>IF($K33="","",IFERROR(INDEX('Veri Merkezi'!$S$2:$S$1001,$K33),""))</f>
        <v/>
      </c>
      <c r="I33" s="2" t="str">
        <f>IF($K33="","",IFERROR(INDEX('Veri Merkezi'!$T$2:$T$1001,$K33),""))</f>
        <v/>
      </c>
      <c r="J33" t="str">
        <f>IF($K33="","",IFERROR(INDEX('Veri Merkezi'!$U$2:$U$1001,$K33),""))</f>
        <v/>
      </c>
      <c r="K33" t="str">
        <f>IF(K32="","",IFERROR(K32+MATCH("A Liste",INDEX('Veri Merkezi'!$S$2:$S$1001,K32+1):'Veri Merkezi'!$S$1001,0),""))</f>
        <v/>
      </c>
    </row>
    <row r="34" spans="1:11">
      <c r="A34" t="str">
        <f>IF($K34="","",IFERROR(INDEX('Veri Merkezi'!$A$2:$A$1001,$K34),""))</f>
        <v/>
      </c>
      <c r="B34" t="str">
        <f>IF($K34="","",IFERROR(INDEX('Veri Merkezi'!$E$2:$E$1001,$K34),""))</f>
        <v/>
      </c>
      <c r="C34" t="str">
        <f>IF($K34="","",IFERROR(INDEX('Veri Merkezi'!$D$2:$D$1001,$K34),""))</f>
        <v/>
      </c>
      <c r="D34" t="str">
        <f>IF($K34="","",IFERROR(INDEX('Veri Merkezi'!$F$2:$F$1001,$K34),""))</f>
        <v/>
      </c>
      <c r="E34" s="2" t="str">
        <f>IF($K34="","",IFERROR(INDEX('Veri Merkezi'!$G$2:$G$1001,$K34),""))</f>
        <v/>
      </c>
      <c r="F34" t="str">
        <f>IF($K34="","",IFERROR(INDEX('Veri Merkezi'!$H$2:$H$1001,$K34),""))</f>
        <v/>
      </c>
      <c r="G34" t="str">
        <f>IF($K34="","",IFERROR(INDEX('Veri Merkezi'!$R$2:$R$1001,$K34),""))</f>
        <v/>
      </c>
      <c r="H34" t="str">
        <f>IF($K34="","",IFERROR(INDEX('Veri Merkezi'!$S$2:$S$1001,$K34),""))</f>
        <v/>
      </c>
      <c r="I34" s="2" t="str">
        <f>IF($K34="","",IFERROR(INDEX('Veri Merkezi'!$T$2:$T$1001,$K34),""))</f>
        <v/>
      </c>
      <c r="J34" t="str">
        <f>IF($K34="","",IFERROR(INDEX('Veri Merkezi'!$U$2:$U$1001,$K34),""))</f>
        <v/>
      </c>
      <c r="K34" t="str">
        <f>IF(K33="","",IFERROR(K33+MATCH("A Liste",INDEX('Veri Merkezi'!$S$2:$S$1001,K33+1):'Veri Merkezi'!$S$1001,0),""))</f>
        <v/>
      </c>
    </row>
    <row r="35" spans="1:11">
      <c r="A35" t="str">
        <f>IF($K35="","",IFERROR(INDEX('Veri Merkezi'!$A$2:$A$1001,$K35),""))</f>
        <v/>
      </c>
      <c r="B35" t="str">
        <f>IF($K35="","",IFERROR(INDEX('Veri Merkezi'!$E$2:$E$1001,$K35),""))</f>
        <v/>
      </c>
      <c r="C35" t="str">
        <f>IF($K35="","",IFERROR(INDEX('Veri Merkezi'!$D$2:$D$1001,$K35),""))</f>
        <v/>
      </c>
      <c r="D35" t="str">
        <f>IF($K35="","",IFERROR(INDEX('Veri Merkezi'!$F$2:$F$1001,$K35),""))</f>
        <v/>
      </c>
      <c r="E35" s="2" t="str">
        <f>IF($K35="","",IFERROR(INDEX('Veri Merkezi'!$G$2:$G$1001,$K35),""))</f>
        <v/>
      </c>
      <c r="F35" t="str">
        <f>IF($K35="","",IFERROR(INDEX('Veri Merkezi'!$H$2:$H$1001,$K35),""))</f>
        <v/>
      </c>
      <c r="G35" t="str">
        <f>IF($K35="","",IFERROR(INDEX('Veri Merkezi'!$R$2:$R$1001,$K35),""))</f>
        <v/>
      </c>
      <c r="H35" t="str">
        <f>IF($K35="","",IFERROR(INDEX('Veri Merkezi'!$S$2:$S$1001,$K35),""))</f>
        <v/>
      </c>
      <c r="I35" s="2" t="str">
        <f>IF($K35="","",IFERROR(INDEX('Veri Merkezi'!$T$2:$T$1001,$K35),""))</f>
        <v/>
      </c>
      <c r="J35" t="str">
        <f>IF($K35="","",IFERROR(INDEX('Veri Merkezi'!$U$2:$U$1001,$K35),""))</f>
        <v/>
      </c>
      <c r="K35" t="str">
        <f>IF(K34="","",IFERROR(K34+MATCH("A Liste",INDEX('Veri Merkezi'!$S$2:$S$1001,K34+1):'Veri Merkezi'!$S$1001,0),""))</f>
        <v/>
      </c>
    </row>
    <row r="36" spans="1:11">
      <c r="A36" t="str">
        <f>IF($K36="","",IFERROR(INDEX('Veri Merkezi'!$A$2:$A$1001,$K36),""))</f>
        <v/>
      </c>
      <c r="B36" t="str">
        <f>IF($K36="","",IFERROR(INDEX('Veri Merkezi'!$E$2:$E$1001,$K36),""))</f>
        <v/>
      </c>
      <c r="C36" t="str">
        <f>IF($K36="","",IFERROR(INDEX('Veri Merkezi'!$D$2:$D$1001,$K36),""))</f>
        <v/>
      </c>
      <c r="D36" t="str">
        <f>IF($K36="","",IFERROR(INDEX('Veri Merkezi'!$F$2:$F$1001,$K36),""))</f>
        <v/>
      </c>
      <c r="E36" s="2" t="str">
        <f>IF($K36="","",IFERROR(INDEX('Veri Merkezi'!$G$2:$G$1001,$K36),""))</f>
        <v/>
      </c>
      <c r="F36" t="str">
        <f>IF($K36="","",IFERROR(INDEX('Veri Merkezi'!$H$2:$H$1001,$K36),""))</f>
        <v/>
      </c>
      <c r="G36" t="str">
        <f>IF($K36="","",IFERROR(INDEX('Veri Merkezi'!$R$2:$R$1001,$K36),""))</f>
        <v/>
      </c>
      <c r="H36" t="str">
        <f>IF($K36="","",IFERROR(INDEX('Veri Merkezi'!$S$2:$S$1001,$K36),""))</f>
        <v/>
      </c>
      <c r="I36" s="2" t="str">
        <f>IF($K36="","",IFERROR(INDEX('Veri Merkezi'!$T$2:$T$1001,$K36),""))</f>
        <v/>
      </c>
      <c r="J36" t="str">
        <f>IF($K36="","",IFERROR(INDEX('Veri Merkezi'!$U$2:$U$1001,$K36),""))</f>
        <v/>
      </c>
      <c r="K36" t="str">
        <f>IF(K35="","",IFERROR(K35+MATCH("A Liste",INDEX('Veri Merkezi'!$S$2:$S$1001,K35+1):'Veri Merkezi'!$S$1001,0),""))</f>
        <v/>
      </c>
    </row>
    <row r="37" spans="1:11">
      <c r="A37" t="str">
        <f>IF($K37="","",IFERROR(INDEX('Veri Merkezi'!$A$2:$A$1001,$K37),""))</f>
        <v/>
      </c>
      <c r="B37" t="str">
        <f>IF($K37="","",IFERROR(INDEX('Veri Merkezi'!$E$2:$E$1001,$K37),""))</f>
        <v/>
      </c>
      <c r="C37" t="str">
        <f>IF($K37="","",IFERROR(INDEX('Veri Merkezi'!$D$2:$D$1001,$K37),""))</f>
        <v/>
      </c>
      <c r="D37" t="str">
        <f>IF($K37="","",IFERROR(INDEX('Veri Merkezi'!$F$2:$F$1001,$K37),""))</f>
        <v/>
      </c>
      <c r="E37" s="2" t="str">
        <f>IF($K37="","",IFERROR(INDEX('Veri Merkezi'!$G$2:$G$1001,$K37),""))</f>
        <v/>
      </c>
      <c r="F37" t="str">
        <f>IF($K37="","",IFERROR(INDEX('Veri Merkezi'!$H$2:$H$1001,$K37),""))</f>
        <v/>
      </c>
      <c r="G37" t="str">
        <f>IF($K37="","",IFERROR(INDEX('Veri Merkezi'!$R$2:$R$1001,$K37),""))</f>
        <v/>
      </c>
      <c r="H37" t="str">
        <f>IF($K37="","",IFERROR(INDEX('Veri Merkezi'!$S$2:$S$1001,$K37),""))</f>
        <v/>
      </c>
      <c r="I37" s="2" t="str">
        <f>IF($K37="","",IFERROR(INDEX('Veri Merkezi'!$T$2:$T$1001,$K37),""))</f>
        <v/>
      </c>
      <c r="J37" t="str">
        <f>IF($K37="","",IFERROR(INDEX('Veri Merkezi'!$U$2:$U$1001,$K37),""))</f>
        <v/>
      </c>
      <c r="K37" t="str">
        <f>IF(K36="","",IFERROR(K36+MATCH("A Liste",INDEX('Veri Merkezi'!$S$2:$S$1001,K36+1):'Veri Merkezi'!$S$1001,0),""))</f>
        <v/>
      </c>
    </row>
    <row r="38" spans="1:11">
      <c r="A38" t="str">
        <f>IF($K38="","",IFERROR(INDEX('Veri Merkezi'!$A$2:$A$1001,$K38),""))</f>
        <v/>
      </c>
      <c r="B38" t="str">
        <f>IF($K38="","",IFERROR(INDEX('Veri Merkezi'!$E$2:$E$1001,$K38),""))</f>
        <v/>
      </c>
      <c r="C38" t="str">
        <f>IF($K38="","",IFERROR(INDEX('Veri Merkezi'!$D$2:$D$1001,$K38),""))</f>
        <v/>
      </c>
      <c r="D38" t="str">
        <f>IF($K38="","",IFERROR(INDEX('Veri Merkezi'!$F$2:$F$1001,$K38),""))</f>
        <v/>
      </c>
      <c r="E38" s="2" t="str">
        <f>IF($K38="","",IFERROR(INDEX('Veri Merkezi'!$G$2:$G$1001,$K38),""))</f>
        <v/>
      </c>
      <c r="F38" t="str">
        <f>IF($K38="","",IFERROR(INDEX('Veri Merkezi'!$H$2:$H$1001,$K38),""))</f>
        <v/>
      </c>
      <c r="G38" t="str">
        <f>IF($K38="","",IFERROR(INDEX('Veri Merkezi'!$R$2:$R$1001,$K38),""))</f>
        <v/>
      </c>
      <c r="H38" t="str">
        <f>IF($K38="","",IFERROR(INDEX('Veri Merkezi'!$S$2:$S$1001,$K38),""))</f>
        <v/>
      </c>
      <c r="I38" s="2" t="str">
        <f>IF($K38="","",IFERROR(INDEX('Veri Merkezi'!$T$2:$T$1001,$K38),""))</f>
        <v/>
      </c>
      <c r="J38" t="str">
        <f>IF($K38="","",IFERROR(INDEX('Veri Merkezi'!$U$2:$U$1001,$K38),""))</f>
        <v/>
      </c>
      <c r="K38" t="str">
        <f>IF(K37="","",IFERROR(K37+MATCH("A Liste",INDEX('Veri Merkezi'!$S$2:$S$1001,K37+1):'Veri Merkezi'!$S$1001,0),""))</f>
        <v/>
      </c>
    </row>
    <row r="39" spans="1:11">
      <c r="A39" t="str">
        <f>IF($K39="","",IFERROR(INDEX('Veri Merkezi'!$A$2:$A$1001,$K39),""))</f>
        <v/>
      </c>
      <c r="B39" t="str">
        <f>IF($K39="","",IFERROR(INDEX('Veri Merkezi'!$E$2:$E$1001,$K39),""))</f>
        <v/>
      </c>
      <c r="C39" t="str">
        <f>IF($K39="","",IFERROR(INDEX('Veri Merkezi'!$D$2:$D$1001,$K39),""))</f>
        <v/>
      </c>
      <c r="D39" t="str">
        <f>IF($K39="","",IFERROR(INDEX('Veri Merkezi'!$F$2:$F$1001,$K39),""))</f>
        <v/>
      </c>
      <c r="E39" s="2" t="str">
        <f>IF($K39="","",IFERROR(INDEX('Veri Merkezi'!$G$2:$G$1001,$K39),""))</f>
        <v/>
      </c>
      <c r="F39" t="str">
        <f>IF($K39="","",IFERROR(INDEX('Veri Merkezi'!$H$2:$H$1001,$K39),""))</f>
        <v/>
      </c>
      <c r="G39" t="str">
        <f>IF($K39="","",IFERROR(INDEX('Veri Merkezi'!$R$2:$R$1001,$K39),""))</f>
        <v/>
      </c>
      <c r="H39" t="str">
        <f>IF($K39="","",IFERROR(INDEX('Veri Merkezi'!$S$2:$S$1001,$K39),""))</f>
        <v/>
      </c>
      <c r="I39" s="2" t="str">
        <f>IF($K39="","",IFERROR(INDEX('Veri Merkezi'!$T$2:$T$1001,$K39),""))</f>
        <v/>
      </c>
      <c r="J39" t="str">
        <f>IF($K39="","",IFERROR(INDEX('Veri Merkezi'!$U$2:$U$1001,$K39),""))</f>
        <v/>
      </c>
      <c r="K39" t="str">
        <f>IF(K38="","",IFERROR(K38+MATCH("A Liste",INDEX('Veri Merkezi'!$S$2:$S$1001,K38+1):'Veri Merkezi'!$S$1001,0),""))</f>
        <v/>
      </c>
    </row>
    <row r="40" spans="1:11">
      <c r="A40" t="str">
        <f>IF($K40="","",IFERROR(INDEX('Veri Merkezi'!$A$2:$A$1001,$K40),""))</f>
        <v/>
      </c>
      <c r="B40" t="str">
        <f>IF($K40="","",IFERROR(INDEX('Veri Merkezi'!$E$2:$E$1001,$K40),""))</f>
        <v/>
      </c>
      <c r="C40" t="str">
        <f>IF($K40="","",IFERROR(INDEX('Veri Merkezi'!$D$2:$D$1001,$K40),""))</f>
        <v/>
      </c>
      <c r="D40" t="str">
        <f>IF($K40="","",IFERROR(INDEX('Veri Merkezi'!$F$2:$F$1001,$K40),""))</f>
        <v/>
      </c>
      <c r="E40" s="2" t="str">
        <f>IF($K40="","",IFERROR(INDEX('Veri Merkezi'!$G$2:$G$1001,$K40),""))</f>
        <v/>
      </c>
      <c r="F40" t="str">
        <f>IF($K40="","",IFERROR(INDEX('Veri Merkezi'!$H$2:$H$1001,$K40),""))</f>
        <v/>
      </c>
      <c r="G40" t="str">
        <f>IF($K40="","",IFERROR(INDEX('Veri Merkezi'!$R$2:$R$1001,$K40),""))</f>
        <v/>
      </c>
      <c r="H40" t="str">
        <f>IF($K40="","",IFERROR(INDEX('Veri Merkezi'!$S$2:$S$1001,$K40),""))</f>
        <v/>
      </c>
      <c r="I40" s="2" t="str">
        <f>IF($K40="","",IFERROR(INDEX('Veri Merkezi'!$T$2:$T$1001,$K40),""))</f>
        <v/>
      </c>
      <c r="J40" t="str">
        <f>IF($K40="","",IFERROR(INDEX('Veri Merkezi'!$U$2:$U$1001,$K40),""))</f>
        <v/>
      </c>
      <c r="K40" t="str">
        <f>IF(K39="","",IFERROR(K39+MATCH("A Liste",INDEX('Veri Merkezi'!$S$2:$S$1001,K39+1):'Veri Merkezi'!$S$1001,0),""))</f>
        <v/>
      </c>
    </row>
    <row r="41" spans="1:11">
      <c r="A41" t="str">
        <f>IF($K41="","",IFERROR(INDEX('Veri Merkezi'!$A$2:$A$1001,$K41),""))</f>
        <v/>
      </c>
      <c r="B41" t="str">
        <f>IF($K41="","",IFERROR(INDEX('Veri Merkezi'!$E$2:$E$1001,$K41),""))</f>
        <v/>
      </c>
      <c r="C41" t="str">
        <f>IF($K41="","",IFERROR(INDEX('Veri Merkezi'!$D$2:$D$1001,$K41),""))</f>
        <v/>
      </c>
      <c r="D41" t="str">
        <f>IF($K41="","",IFERROR(INDEX('Veri Merkezi'!$F$2:$F$1001,$K41),""))</f>
        <v/>
      </c>
      <c r="E41" s="2" t="str">
        <f>IF($K41="","",IFERROR(INDEX('Veri Merkezi'!$G$2:$G$1001,$K41),""))</f>
        <v/>
      </c>
      <c r="F41" t="str">
        <f>IF($K41="","",IFERROR(INDEX('Veri Merkezi'!$H$2:$H$1001,$K41),""))</f>
        <v/>
      </c>
      <c r="G41" t="str">
        <f>IF($K41="","",IFERROR(INDEX('Veri Merkezi'!$R$2:$R$1001,$K41),""))</f>
        <v/>
      </c>
      <c r="H41" t="str">
        <f>IF($K41="","",IFERROR(INDEX('Veri Merkezi'!$S$2:$S$1001,$K41),""))</f>
        <v/>
      </c>
      <c r="I41" s="2" t="str">
        <f>IF($K41="","",IFERROR(INDEX('Veri Merkezi'!$T$2:$T$1001,$K41),""))</f>
        <v/>
      </c>
      <c r="J41" t="str">
        <f>IF($K41="","",IFERROR(INDEX('Veri Merkezi'!$U$2:$U$1001,$K41),""))</f>
        <v/>
      </c>
      <c r="K41" t="str">
        <f>IF(K40="","",IFERROR(K40+MATCH("A Liste",INDEX('Veri Merkezi'!$S$2:$S$1001,K40+1):'Veri Merkezi'!$S$1001,0),""))</f>
        <v/>
      </c>
    </row>
    <row r="42" spans="1:11">
      <c r="A42" t="str">
        <f>IF($K42="","",IFERROR(INDEX('Veri Merkezi'!$A$2:$A$1001,$K42),""))</f>
        <v/>
      </c>
      <c r="B42" t="str">
        <f>IF($K42="","",IFERROR(INDEX('Veri Merkezi'!$E$2:$E$1001,$K42),""))</f>
        <v/>
      </c>
      <c r="C42" t="str">
        <f>IF($K42="","",IFERROR(INDEX('Veri Merkezi'!$D$2:$D$1001,$K42),""))</f>
        <v/>
      </c>
      <c r="D42" t="str">
        <f>IF($K42="","",IFERROR(INDEX('Veri Merkezi'!$F$2:$F$1001,$K42),""))</f>
        <v/>
      </c>
      <c r="E42" s="2" t="str">
        <f>IF($K42="","",IFERROR(INDEX('Veri Merkezi'!$G$2:$G$1001,$K42),""))</f>
        <v/>
      </c>
      <c r="F42" t="str">
        <f>IF($K42="","",IFERROR(INDEX('Veri Merkezi'!$H$2:$H$1001,$K42),""))</f>
        <v/>
      </c>
      <c r="G42" t="str">
        <f>IF($K42="","",IFERROR(INDEX('Veri Merkezi'!$R$2:$R$1001,$K42),""))</f>
        <v/>
      </c>
      <c r="H42" t="str">
        <f>IF($K42="","",IFERROR(INDEX('Veri Merkezi'!$S$2:$S$1001,$K42),""))</f>
        <v/>
      </c>
      <c r="I42" s="2" t="str">
        <f>IF($K42="","",IFERROR(INDEX('Veri Merkezi'!$T$2:$T$1001,$K42),""))</f>
        <v/>
      </c>
      <c r="J42" t="str">
        <f>IF($K42="","",IFERROR(INDEX('Veri Merkezi'!$U$2:$U$1001,$K42),""))</f>
        <v/>
      </c>
      <c r="K42" t="str">
        <f>IF(K41="","",IFERROR(K41+MATCH("A Liste",INDEX('Veri Merkezi'!$S$2:$S$1001,K41+1):'Veri Merkezi'!$S$1001,0),""))</f>
        <v/>
      </c>
    </row>
    <row r="43" spans="1:11">
      <c r="A43" t="str">
        <f>IF($K43="","",IFERROR(INDEX('Veri Merkezi'!$A$2:$A$1001,$K43),""))</f>
        <v/>
      </c>
      <c r="B43" t="str">
        <f>IF($K43="","",IFERROR(INDEX('Veri Merkezi'!$E$2:$E$1001,$K43),""))</f>
        <v/>
      </c>
      <c r="C43" t="str">
        <f>IF($K43="","",IFERROR(INDEX('Veri Merkezi'!$D$2:$D$1001,$K43),""))</f>
        <v/>
      </c>
      <c r="D43" t="str">
        <f>IF($K43="","",IFERROR(INDEX('Veri Merkezi'!$F$2:$F$1001,$K43),""))</f>
        <v/>
      </c>
      <c r="E43" s="2" t="str">
        <f>IF($K43="","",IFERROR(INDEX('Veri Merkezi'!$G$2:$G$1001,$K43),""))</f>
        <v/>
      </c>
      <c r="F43" t="str">
        <f>IF($K43="","",IFERROR(INDEX('Veri Merkezi'!$H$2:$H$1001,$K43),""))</f>
        <v/>
      </c>
      <c r="G43" t="str">
        <f>IF($K43="","",IFERROR(INDEX('Veri Merkezi'!$R$2:$R$1001,$K43),""))</f>
        <v/>
      </c>
      <c r="H43" t="str">
        <f>IF($K43="","",IFERROR(INDEX('Veri Merkezi'!$S$2:$S$1001,$K43),""))</f>
        <v/>
      </c>
      <c r="I43" s="2" t="str">
        <f>IF($K43="","",IFERROR(INDEX('Veri Merkezi'!$T$2:$T$1001,$K43),""))</f>
        <v/>
      </c>
      <c r="J43" t="str">
        <f>IF($K43="","",IFERROR(INDEX('Veri Merkezi'!$U$2:$U$1001,$K43),""))</f>
        <v/>
      </c>
      <c r="K43" t="str">
        <f>IF(K42="","",IFERROR(K42+MATCH("A Liste",INDEX('Veri Merkezi'!$S$2:$S$1001,K42+1):'Veri Merkezi'!$S$1001,0),""))</f>
        <v/>
      </c>
    </row>
    <row r="44" spans="1:11">
      <c r="A44" t="str">
        <f>IF($K44="","",IFERROR(INDEX('Veri Merkezi'!$A$2:$A$1001,$K44),""))</f>
        <v/>
      </c>
      <c r="B44" t="str">
        <f>IF($K44="","",IFERROR(INDEX('Veri Merkezi'!$E$2:$E$1001,$K44),""))</f>
        <v/>
      </c>
      <c r="C44" t="str">
        <f>IF($K44="","",IFERROR(INDEX('Veri Merkezi'!$D$2:$D$1001,$K44),""))</f>
        <v/>
      </c>
      <c r="D44" t="str">
        <f>IF($K44="","",IFERROR(INDEX('Veri Merkezi'!$F$2:$F$1001,$K44),""))</f>
        <v/>
      </c>
      <c r="E44" s="2" t="str">
        <f>IF($K44="","",IFERROR(INDEX('Veri Merkezi'!$G$2:$G$1001,$K44),""))</f>
        <v/>
      </c>
      <c r="F44" t="str">
        <f>IF($K44="","",IFERROR(INDEX('Veri Merkezi'!$H$2:$H$1001,$K44),""))</f>
        <v/>
      </c>
      <c r="G44" t="str">
        <f>IF($K44="","",IFERROR(INDEX('Veri Merkezi'!$R$2:$R$1001,$K44),""))</f>
        <v/>
      </c>
      <c r="H44" t="str">
        <f>IF($K44="","",IFERROR(INDEX('Veri Merkezi'!$S$2:$S$1001,$K44),""))</f>
        <v/>
      </c>
      <c r="I44" s="2" t="str">
        <f>IF($K44="","",IFERROR(INDEX('Veri Merkezi'!$T$2:$T$1001,$K44),""))</f>
        <v/>
      </c>
      <c r="J44" t="str">
        <f>IF($K44="","",IFERROR(INDEX('Veri Merkezi'!$U$2:$U$1001,$K44),""))</f>
        <v/>
      </c>
      <c r="K44" t="str">
        <f>IF(K43="","",IFERROR(K43+MATCH("A Liste",INDEX('Veri Merkezi'!$S$2:$S$1001,K43+1):'Veri Merkezi'!$S$1001,0),""))</f>
        <v/>
      </c>
    </row>
    <row r="45" spans="1:11">
      <c r="A45" t="str">
        <f>IF($K45="","",IFERROR(INDEX('Veri Merkezi'!$A$2:$A$1001,$K45),""))</f>
        <v/>
      </c>
      <c r="B45" t="str">
        <f>IF($K45="","",IFERROR(INDEX('Veri Merkezi'!$E$2:$E$1001,$K45),""))</f>
        <v/>
      </c>
      <c r="C45" t="str">
        <f>IF($K45="","",IFERROR(INDEX('Veri Merkezi'!$D$2:$D$1001,$K45),""))</f>
        <v/>
      </c>
      <c r="D45" t="str">
        <f>IF($K45="","",IFERROR(INDEX('Veri Merkezi'!$F$2:$F$1001,$K45),""))</f>
        <v/>
      </c>
      <c r="E45" s="2" t="str">
        <f>IF($K45="","",IFERROR(INDEX('Veri Merkezi'!$G$2:$G$1001,$K45),""))</f>
        <v/>
      </c>
      <c r="F45" t="str">
        <f>IF($K45="","",IFERROR(INDEX('Veri Merkezi'!$H$2:$H$1001,$K45),""))</f>
        <v/>
      </c>
      <c r="G45" t="str">
        <f>IF($K45="","",IFERROR(INDEX('Veri Merkezi'!$R$2:$R$1001,$K45),""))</f>
        <v/>
      </c>
      <c r="H45" t="str">
        <f>IF($K45="","",IFERROR(INDEX('Veri Merkezi'!$S$2:$S$1001,$K45),""))</f>
        <v/>
      </c>
      <c r="I45" s="2" t="str">
        <f>IF($K45="","",IFERROR(INDEX('Veri Merkezi'!$T$2:$T$1001,$K45),""))</f>
        <v/>
      </c>
      <c r="J45" t="str">
        <f>IF($K45="","",IFERROR(INDEX('Veri Merkezi'!$U$2:$U$1001,$K45),""))</f>
        <v/>
      </c>
      <c r="K45" t="str">
        <f>IF(K44="","",IFERROR(K44+MATCH("A Liste",INDEX('Veri Merkezi'!$S$2:$S$1001,K44+1):'Veri Merkezi'!$S$1001,0),""))</f>
        <v/>
      </c>
    </row>
    <row r="46" spans="1:11">
      <c r="A46" t="str">
        <f>IF($K46="","",IFERROR(INDEX('Veri Merkezi'!$A$2:$A$1001,$K46),""))</f>
        <v/>
      </c>
      <c r="B46" t="str">
        <f>IF($K46="","",IFERROR(INDEX('Veri Merkezi'!$E$2:$E$1001,$K46),""))</f>
        <v/>
      </c>
      <c r="C46" t="str">
        <f>IF($K46="","",IFERROR(INDEX('Veri Merkezi'!$D$2:$D$1001,$K46),""))</f>
        <v/>
      </c>
      <c r="D46" t="str">
        <f>IF($K46="","",IFERROR(INDEX('Veri Merkezi'!$F$2:$F$1001,$K46),""))</f>
        <v/>
      </c>
      <c r="E46" s="2" t="str">
        <f>IF($K46="","",IFERROR(INDEX('Veri Merkezi'!$G$2:$G$1001,$K46),""))</f>
        <v/>
      </c>
      <c r="F46" t="str">
        <f>IF($K46="","",IFERROR(INDEX('Veri Merkezi'!$H$2:$H$1001,$K46),""))</f>
        <v/>
      </c>
      <c r="G46" t="str">
        <f>IF($K46="","",IFERROR(INDEX('Veri Merkezi'!$R$2:$R$1001,$K46),""))</f>
        <v/>
      </c>
      <c r="H46" t="str">
        <f>IF($K46="","",IFERROR(INDEX('Veri Merkezi'!$S$2:$S$1001,$K46),""))</f>
        <v/>
      </c>
      <c r="I46" s="2" t="str">
        <f>IF($K46="","",IFERROR(INDEX('Veri Merkezi'!$T$2:$T$1001,$K46),""))</f>
        <v/>
      </c>
      <c r="J46" t="str">
        <f>IF($K46="","",IFERROR(INDEX('Veri Merkezi'!$U$2:$U$1001,$K46),""))</f>
        <v/>
      </c>
      <c r="K46" t="str">
        <f>IF(K45="","",IFERROR(K45+MATCH("A Liste",INDEX('Veri Merkezi'!$S$2:$S$1001,K45+1):'Veri Merkezi'!$S$1001,0),""))</f>
        <v/>
      </c>
    </row>
    <row r="47" spans="1:11">
      <c r="A47" t="str">
        <f>IF($K47="","",IFERROR(INDEX('Veri Merkezi'!$A$2:$A$1001,$K47),""))</f>
        <v/>
      </c>
      <c r="B47" t="str">
        <f>IF($K47="","",IFERROR(INDEX('Veri Merkezi'!$E$2:$E$1001,$K47),""))</f>
        <v/>
      </c>
      <c r="C47" t="str">
        <f>IF($K47="","",IFERROR(INDEX('Veri Merkezi'!$D$2:$D$1001,$K47),""))</f>
        <v/>
      </c>
      <c r="D47" t="str">
        <f>IF($K47="","",IFERROR(INDEX('Veri Merkezi'!$F$2:$F$1001,$K47),""))</f>
        <v/>
      </c>
      <c r="E47" s="2" t="str">
        <f>IF($K47="","",IFERROR(INDEX('Veri Merkezi'!$G$2:$G$1001,$K47),""))</f>
        <v/>
      </c>
      <c r="F47" t="str">
        <f>IF($K47="","",IFERROR(INDEX('Veri Merkezi'!$H$2:$H$1001,$K47),""))</f>
        <v/>
      </c>
      <c r="G47" t="str">
        <f>IF($K47="","",IFERROR(INDEX('Veri Merkezi'!$R$2:$R$1001,$K47),""))</f>
        <v/>
      </c>
      <c r="H47" t="str">
        <f>IF($K47="","",IFERROR(INDEX('Veri Merkezi'!$S$2:$S$1001,$K47),""))</f>
        <v/>
      </c>
      <c r="I47" s="2" t="str">
        <f>IF($K47="","",IFERROR(INDEX('Veri Merkezi'!$T$2:$T$1001,$K47),""))</f>
        <v/>
      </c>
      <c r="J47" t="str">
        <f>IF($K47="","",IFERROR(INDEX('Veri Merkezi'!$U$2:$U$1001,$K47),""))</f>
        <v/>
      </c>
      <c r="K47" t="str">
        <f>IF(K46="","",IFERROR(K46+MATCH("A Liste",INDEX('Veri Merkezi'!$S$2:$S$1001,K46+1):'Veri Merkezi'!$S$1001,0),""))</f>
        <v/>
      </c>
    </row>
    <row r="48" spans="1:11">
      <c r="A48" t="str">
        <f>IF($K48="","",IFERROR(INDEX('Veri Merkezi'!$A$2:$A$1001,$K48),""))</f>
        <v/>
      </c>
      <c r="B48" t="str">
        <f>IF($K48="","",IFERROR(INDEX('Veri Merkezi'!$E$2:$E$1001,$K48),""))</f>
        <v/>
      </c>
      <c r="C48" t="str">
        <f>IF($K48="","",IFERROR(INDEX('Veri Merkezi'!$D$2:$D$1001,$K48),""))</f>
        <v/>
      </c>
      <c r="D48" t="str">
        <f>IF($K48="","",IFERROR(INDEX('Veri Merkezi'!$F$2:$F$1001,$K48),""))</f>
        <v/>
      </c>
      <c r="E48" s="2" t="str">
        <f>IF($K48="","",IFERROR(INDEX('Veri Merkezi'!$G$2:$G$1001,$K48),""))</f>
        <v/>
      </c>
      <c r="F48" t="str">
        <f>IF($K48="","",IFERROR(INDEX('Veri Merkezi'!$H$2:$H$1001,$K48),""))</f>
        <v/>
      </c>
      <c r="G48" t="str">
        <f>IF($K48="","",IFERROR(INDEX('Veri Merkezi'!$R$2:$R$1001,$K48),""))</f>
        <v/>
      </c>
      <c r="H48" t="str">
        <f>IF($K48="","",IFERROR(INDEX('Veri Merkezi'!$S$2:$S$1001,$K48),""))</f>
        <v/>
      </c>
      <c r="I48" s="2" t="str">
        <f>IF($K48="","",IFERROR(INDEX('Veri Merkezi'!$T$2:$T$1001,$K48),""))</f>
        <v/>
      </c>
      <c r="J48" t="str">
        <f>IF($K48="","",IFERROR(INDEX('Veri Merkezi'!$U$2:$U$1001,$K48),""))</f>
        <v/>
      </c>
      <c r="K48" t="str">
        <f>IF(K47="","",IFERROR(K47+MATCH("A Liste",INDEX('Veri Merkezi'!$S$2:$S$1001,K47+1):'Veri Merkezi'!$S$1001,0),""))</f>
        <v/>
      </c>
    </row>
    <row r="49" spans="1:11">
      <c r="A49" t="str">
        <f>IF($K49="","",IFERROR(INDEX('Veri Merkezi'!$A$2:$A$1001,$K49),""))</f>
        <v/>
      </c>
      <c r="B49" t="str">
        <f>IF($K49="","",IFERROR(INDEX('Veri Merkezi'!$E$2:$E$1001,$K49),""))</f>
        <v/>
      </c>
      <c r="C49" t="str">
        <f>IF($K49="","",IFERROR(INDEX('Veri Merkezi'!$D$2:$D$1001,$K49),""))</f>
        <v/>
      </c>
      <c r="D49" t="str">
        <f>IF($K49="","",IFERROR(INDEX('Veri Merkezi'!$F$2:$F$1001,$K49),""))</f>
        <v/>
      </c>
      <c r="E49" s="2" t="str">
        <f>IF($K49="","",IFERROR(INDEX('Veri Merkezi'!$G$2:$G$1001,$K49),""))</f>
        <v/>
      </c>
      <c r="F49" t="str">
        <f>IF($K49="","",IFERROR(INDEX('Veri Merkezi'!$H$2:$H$1001,$K49),""))</f>
        <v/>
      </c>
      <c r="G49" t="str">
        <f>IF($K49="","",IFERROR(INDEX('Veri Merkezi'!$R$2:$R$1001,$K49),""))</f>
        <v/>
      </c>
      <c r="H49" t="str">
        <f>IF($K49="","",IFERROR(INDEX('Veri Merkezi'!$S$2:$S$1001,$K49),""))</f>
        <v/>
      </c>
      <c r="I49" s="2" t="str">
        <f>IF($K49="","",IFERROR(INDEX('Veri Merkezi'!$T$2:$T$1001,$K49),""))</f>
        <v/>
      </c>
      <c r="J49" t="str">
        <f>IF($K49="","",IFERROR(INDEX('Veri Merkezi'!$U$2:$U$1001,$K49),""))</f>
        <v/>
      </c>
      <c r="K49" t="str">
        <f>IF(K48="","",IFERROR(K48+MATCH("A Liste",INDEX('Veri Merkezi'!$S$2:$S$1001,K48+1):'Veri Merkezi'!$S$1001,0),""))</f>
        <v/>
      </c>
    </row>
    <row r="50" spans="1:11">
      <c r="A50" t="str">
        <f>IF($K50="","",IFERROR(INDEX('Veri Merkezi'!$A$2:$A$1001,$K50),""))</f>
        <v/>
      </c>
      <c r="B50" t="str">
        <f>IF($K50="","",IFERROR(INDEX('Veri Merkezi'!$E$2:$E$1001,$K50),""))</f>
        <v/>
      </c>
      <c r="C50" t="str">
        <f>IF($K50="","",IFERROR(INDEX('Veri Merkezi'!$D$2:$D$1001,$K50),""))</f>
        <v/>
      </c>
      <c r="D50" t="str">
        <f>IF($K50="","",IFERROR(INDEX('Veri Merkezi'!$F$2:$F$1001,$K50),""))</f>
        <v/>
      </c>
      <c r="E50" s="2" t="str">
        <f>IF($K50="","",IFERROR(INDEX('Veri Merkezi'!$G$2:$G$1001,$K50),""))</f>
        <v/>
      </c>
      <c r="F50" t="str">
        <f>IF($K50="","",IFERROR(INDEX('Veri Merkezi'!$H$2:$H$1001,$K50),""))</f>
        <v/>
      </c>
      <c r="G50" t="str">
        <f>IF($K50="","",IFERROR(INDEX('Veri Merkezi'!$R$2:$R$1001,$K50),""))</f>
        <v/>
      </c>
      <c r="H50" t="str">
        <f>IF($K50="","",IFERROR(INDEX('Veri Merkezi'!$S$2:$S$1001,$K50),""))</f>
        <v/>
      </c>
      <c r="I50" s="2" t="str">
        <f>IF($K50="","",IFERROR(INDEX('Veri Merkezi'!$T$2:$T$1001,$K50),""))</f>
        <v/>
      </c>
      <c r="J50" t="str">
        <f>IF($K50="","",IFERROR(INDEX('Veri Merkezi'!$U$2:$U$1001,$K50),""))</f>
        <v/>
      </c>
      <c r="K50" t="str">
        <f>IF(K49="","",IFERROR(K49+MATCH("A Liste",INDEX('Veri Merkezi'!$S$2:$S$1001,K49+1):'Veri Merkezi'!$S$1001,0),""))</f>
        <v/>
      </c>
    </row>
    <row r="51" spans="1:11">
      <c r="A51" t="str">
        <f>IF($K51="","",IFERROR(INDEX('Veri Merkezi'!$A$2:$A$1001,$K51),""))</f>
        <v/>
      </c>
      <c r="B51" t="str">
        <f>IF($K51="","",IFERROR(INDEX('Veri Merkezi'!$E$2:$E$1001,$K51),""))</f>
        <v/>
      </c>
      <c r="C51" t="str">
        <f>IF($K51="","",IFERROR(INDEX('Veri Merkezi'!$D$2:$D$1001,$K51),""))</f>
        <v/>
      </c>
      <c r="D51" t="str">
        <f>IF($K51="","",IFERROR(INDEX('Veri Merkezi'!$F$2:$F$1001,$K51),""))</f>
        <v/>
      </c>
      <c r="E51" s="2" t="str">
        <f>IF($K51="","",IFERROR(INDEX('Veri Merkezi'!$G$2:$G$1001,$K51),""))</f>
        <v/>
      </c>
      <c r="F51" t="str">
        <f>IF($K51="","",IFERROR(INDEX('Veri Merkezi'!$H$2:$H$1001,$K51),""))</f>
        <v/>
      </c>
      <c r="G51" t="str">
        <f>IF($K51="","",IFERROR(INDEX('Veri Merkezi'!$R$2:$R$1001,$K51),""))</f>
        <v/>
      </c>
      <c r="H51" t="str">
        <f>IF($K51="","",IFERROR(INDEX('Veri Merkezi'!$S$2:$S$1001,$K51),""))</f>
        <v/>
      </c>
      <c r="I51" s="2" t="str">
        <f>IF($K51="","",IFERROR(INDEX('Veri Merkezi'!$T$2:$T$1001,$K51),""))</f>
        <v/>
      </c>
      <c r="J51" t="str">
        <f>IF($K51="","",IFERROR(INDEX('Veri Merkezi'!$U$2:$U$1001,$K51),""))</f>
        <v/>
      </c>
      <c r="K51" t="str">
        <f>IF(K50="","",IFERROR(K50+MATCH("A Liste",INDEX('Veri Merkezi'!$S$2:$S$1001,K50+1):'Veri Merkezi'!$S$1001,0),""))</f>
        <v/>
      </c>
    </row>
    <row r="52" spans="1:11">
      <c r="A52" t="str">
        <f>IF($K52="","",IFERROR(INDEX('Veri Merkezi'!$A$2:$A$1001,$K52),""))</f>
        <v/>
      </c>
      <c r="B52" t="str">
        <f>IF($K52="","",IFERROR(INDEX('Veri Merkezi'!$E$2:$E$1001,$K52),""))</f>
        <v/>
      </c>
      <c r="C52" t="str">
        <f>IF($K52="","",IFERROR(INDEX('Veri Merkezi'!$D$2:$D$1001,$K52),""))</f>
        <v/>
      </c>
      <c r="D52" t="str">
        <f>IF($K52="","",IFERROR(INDEX('Veri Merkezi'!$F$2:$F$1001,$K52),""))</f>
        <v/>
      </c>
      <c r="E52" s="2" t="str">
        <f>IF($K52="","",IFERROR(INDEX('Veri Merkezi'!$G$2:$G$1001,$K52),""))</f>
        <v/>
      </c>
      <c r="F52" t="str">
        <f>IF($K52="","",IFERROR(INDEX('Veri Merkezi'!$H$2:$H$1001,$K52),""))</f>
        <v/>
      </c>
      <c r="G52" t="str">
        <f>IF($K52="","",IFERROR(INDEX('Veri Merkezi'!$R$2:$R$1001,$K52),""))</f>
        <v/>
      </c>
      <c r="H52" t="str">
        <f>IF($K52="","",IFERROR(INDEX('Veri Merkezi'!$S$2:$S$1001,$K52),""))</f>
        <v/>
      </c>
      <c r="I52" s="2" t="str">
        <f>IF($K52="","",IFERROR(INDEX('Veri Merkezi'!$T$2:$T$1001,$K52),""))</f>
        <v/>
      </c>
      <c r="J52" t="str">
        <f>IF($K52="","",IFERROR(INDEX('Veri Merkezi'!$U$2:$U$1001,$K52),""))</f>
        <v/>
      </c>
      <c r="K52" t="str">
        <f>IF(K51="","",IFERROR(K51+MATCH("A Liste",INDEX('Veri Merkezi'!$S$2:$S$1001,K51+1):'Veri Merkezi'!$S$1001,0),""))</f>
        <v/>
      </c>
    </row>
    <row r="53" spans="1:11">
      <c r="A53" t="str">
        <f>IF($K53="","",IFERROR(INDEX('Veri Merkezi'!$A$2:$A$1001,$K53),""))</f>
        <v/>
      </c>
      <c r="B53" t="str">
        <f>IF($K53="","",IFERROR(INDEX('Veri Merkezi'!$E$2:$E$1001,$K53),""))</f>
        <v/>
      </c>
      <c r="C53" t="str">
        <f>IF($K53="","",IFERROR(INDEX('Veri Merkezi'!$D$2:$D$1001,$K53),""))</f>
        <v/>
      </c>
      <c r="D53" t="str">
        <f>IF($K53="","",IFERROR(INDEX('Veri Merkezi'!$F$2:$F$1001,$K53),""))</f>
        <v/>
      </c>
      <c r="E53" s="2" t="str">
        <f>IF($K53="","",IFERROR(INDEX('Veri Merkezi'!$G$2:$G$1001,$K53),""))</f>
        <v/>
      </c>
      <c r="F53" t="str">
        <f>IF($K53="","",IFERROR(INDEX('Veri Merkezi'!$H$2:$H$1001,$K53),""))</f>
        <v/>
      </c>
      <c r="G53" t="str">
        <f>IF($K53="","",IFERROR(INDEX('Veri Merkezi'!$R$2:$R$1001,$K53),""))</f>
        <v/>
      </c>
      <c r="H53" t="str">
        <f>IF($K53="","",IFERROR(INDEX('Veri Merkezi'!$S$2:$S$1001,$K53),""))</f>
        <v/>
      </c>
      <c r="I53" s="2" t="str">
        <f>IF($K53="","",IFERROR(INDEX('Veri Merkezi'!$T$2:$T$1001,$K53),""))</f>
        <v/>
      </c>
      <c r="J53" t="str">
        <f>IF($K53="","",IFERROR(INDEX('Veri Merkezi'!$U$2:$U$1001,$K53),""))</f>
        <v/>
      </c>
      <c r="K53" t="str">
        <f>IF(K52="","",IFERROR(K52+MATCH("A Liste",INDEX('Veri Merkezi'!$S$2:$S$1001,K52+1):'Veri Merkezi'!$S$1001,0),""))</f>
        <v/>
      </c>
    </row>
    <row r="54" spans="1:11">
      <c r="A54" t="str">
        <f>IF($K54="","",IFERROR(INDEX('Veri Merkezi'!$A$2:$A$1001,$K54),""))</f>
        <v/>
      </c>
      <c r="B54" t="str">
        <f>IF($K54="","",IFERROR(INDEX('Veri Merkezi'!$E$2:$E$1001,$K54),""))</f>
        <v/>
      </c>
      <c r="C54" t="str">
        <f>IF($K54="","",IFERROR(INDEX('Veri Merkezi'!$D$2:$D$1001,$K54),""))</f>
        <v/>
      </c>
      <c r="D54" t="str">
        <f>IF($K54="","",IFERROR(INDEX('Veri Merkezi'!$F$2:$F$1001,$K54),""))</f>
        <v/>
      </c>
      <c r="E54" s="2" t="str">
        <f>IF($K54="","",IFERROR(INDEX('Veri Merkezi'!$G$2:$G$1001,$K54),""))</f>
        <v/>
      </c>
      <c r="F54" t="str">
        <f>IF($K54="","",IFERROR(INDEX('Veri Merkezi'!$H$2:$H$1001,$K54),""))</f>
        <v/>
      </c>
      <c r="G54" t="str">
        <f>IF($K54="","",IFERROR(INDEX('Veri Merkezi'!$R$2:$R$1001,$K54),""))</f>
        <v/>
      </c>
      <c r="H54" t="str">
        <f>IF($K54="","",IFERROR(INDEX('Veri Merkezi'!$S$2:$S$1001,$K54),""))</f>
        <v/>
      </c>
      <c r="I54" s="2" t="str">
        <f>IF($K54="","",IFERROR(INDEX('Veri Merkezi'!$T$2:$T$1001,$K54),""))</f>
        <v/>
      </c>
      <c r="J54" t="str">
        <f>IF($K54="","",IFERROR(INDEX('Veri Merkezi'!$U$2:$U$1001,$K54),""))</f>
        <v/>
      </c>
      <c r="K54" t="str">
        <f>IF(K53="","",IFERROR(K53+MATCH("A Liste",INDEX('Veri Merkezi'!$S$2:$S$1001,K53+1):'Veri Merkezi'!$S$1001,0),""))</f>
        <v/>
      </c>
    </row>
    <row r="55" spans="1:11">
      <c r="A55" t="str">
        <f>IF($K55="","",IFERROR(INDEX('Veri Merkezi'!$A$2:$A$1001,$K55),""))</f>
        <v/>
      </c>
      <c r="B55" t="str">
        <f>IF($K55="","",IFERROR(INDEX('Veri Merkezi'!$E$2:$E$1001,$K55),""))</f>
        <v/>
      </c>
      <c r="C55" t="str">
        <f>IF($K55="","",IFERROR(INDEX('Veri Merkezi'!$D$2:$D$1001,$K55),""))</f>
        <v/>
      </c>
      <c r="D55" t="str">
        <f>IF($K55="","",IFERROR(INDEX('Veri Merkezi'!$F$2:$F$1001,$K55),""))</f>
        <v/>
      </c>
      <c r="E55" s="2" t="str">
        <f>IF($K55="","",IFERROR(INDEX('Veri Merkezi'!$G$2:$G$1001,$K55),""))</f>
        <v/>
      </c>
      <c r="F55" t="str">
        <f>IF($K55="","",IFERROR(INDEX('Veri Merkezi'!$H$2:$H$1001,$K55),""))</f>
        <v/>
      </c>
      <c r="G55" t="str">
        <f>IF($K55="","",IFERROR(INDEX('Veri Merkezi'!$R$2:$R$1001,$K55),""))</f>
        <v/>
      </c>
      <c r="H55" t="str">
        <f>IF($K55="","",IFERROR(INDEX('Veri Merkezi'!$S$2:$S$1001,$K55),""))</f>
        <v/>
      </c>
      <c r="I55" s="2" t="str">
        <f>IF($K55="","",IFERROR(INDEX('Veri Merkezi'!$T$2:$T$1001,$K55),""))</f>
        <v/>
      </c>
      <c r="J55" t="str">
        <f>IF($K55="","",IFERROR(INDEX('Veri Merkezi'!$U$2:$U$1001,$K55),""))</f>
        <v/>
      </c>
      <c r="K55" t="str">
        <f>IF(K54="","",IFERROR(K54+MATCH("A Liste",INDEX('Veri Merkezi'!$S$2:$S$1001,K54+1):'Veri Merkezi'!$S$1001,0),""))</f>
        <v/>
      </c>
    </row>
    <row r="56" spans="1:11">
      <c r="A56" t="str">
        <f>IF($K56="","",IFERROR(INDEX('Veri Merkezi'!$A$2:$A$1001,$K56),""))</f>
        <v/>
      </c>
      <c r="B56" t="str">
        <f>IF($K56="","",IFERROR(INDEX('Veri Merkezi'!$E$2:$E$1001,$K56),""))</f>
        <v/>
      </c>
      <c r="C56" t="str">
        <f>IF($K56="","",IFERROR(INDEX('Veri Merkezi'!$D$2:$D$1001,$K56),""))</f>
        <v/>
      </c>
      <c r="D56" t="str">
        <f>IF($K56="","",IFERROR(INDEX('Veri Merkezi'!$F$2:$F$1001,$K56),""))</f>
        <v/>
      </c>
      <c r="E56" s="2" t="str">
        <f>IF($K56="","",IFERROR(INDEX('Veri Merkezi'!$G$2:$G$1001,$K56),""))</f>
        <v/>
      </c>
      <c r="F56" t="str">
        <f>IF($K56="","",IFERROR(INDEX('Veri Merkezi'!$H$2:$H$1001,$K56),""))</f>
        <v/>
      </c>
      <c r="G56" t="str">
        <f>IF($K56="","",IFERROR(INDEX('Veri Merkezi'!$R$2:$R$1001,$K56),""))</f>
        <v/>
      </c>
      <c r="H56" t="str">
        <f>IF($K56="","",IFERROR(INDEX('Veri Merkezi'!$S$2:$S$1001,$K56),""))</f>
        <v/>
      </c>
      <c r="I56" s="2" t="str">
        <f>IF($K56="","",IFERROR(INDEX('Veri Merkezi'!$T$2:$T$1001,$K56),""))</f>
        <v/>
      </c>
      <c r="J56" t="str">
        <f>IF($K56="","",IFERROR(INDEX('Veri Merkezi'!$U$2:$U$1001,$K56),""))</f>
        <v/>
      </c>
      <c r="K56" t="str">
        <f>IF(K55="","",IFERROR(K55+MATCH("A Liste",INDEX('Veri Merkezi'!$S$2:$S$1001,K55+1):'Veri Merkezi'!$S$1001,0),""))</f>
        <v/>
      </c>
    </row>
    <row r="57" spans="1:11">
      <c r="A57" t="str">
        <f>IF($K57="","",IFERROR(INDEX('Veri Merkezi'!$A$2:$A$1001,$K57),""))</f>
        <v/>
      </c>
      <c r="B57" t="str">
        <f>IF($K57="","",IFERROR(INDEX('Veri Merkezi'!$E$2:$E$1001,$K57),""))</f>
        <v/>
      </c>
      <c r="C57" t="str">
        <f>IF($K57="","",IFERROR(INDEX('Veri Merkezi'!$D$2:$D$1001,$K57),""))</f>
        <v/>
      </c>
      <c r="D57" t="str">
        <f>IF($K57="","",IFERROR(INDEX('Veri Merkezi'!$F$2:$F$1001,$K57),""))</f>
        <v/>
      </c>
      <c r="E57" s="2" t="str">
        <f>IF($K57="","",IFERROR(INDEX('Veri Merkezi'!$G$2:$G$1001,$K57),""))</f>
        <v/>
      </c>
      <c r="F57" t="str">
        <f>IF($K57="","",IFERROR(INDEX('Veri Merkezi'!$H$2:$H$1001,$K57),""))</f>
        <v/>
      </c>
      <c r="G57" t="str">
        <f>IF($K57="","",IFERROR(INDEX('Veri Merkezi'!$R$2:$R$1001,$K57),""))</f>
        <v/>
      </c>
      <c r="H57" t="str">
        <f>IF($K57="","",IFERROR(INDEX('Veri Merkezi'!$S$2:$S$1001,$K57),""))</f>
        <v/>
      </c>
      <c r="I57" s="2" t="str">
        <f>IF($K57="","",IFERROR(INDEX('Veri Merkezi'!$T$2:$T$1001,$K57),""))</f>
        <v/>
      </c>
      <c r="J57" t="str">
        <f>IF($K57="","",IFERROR(INDEX('Veri Merkezi'!$U$2:$U$1001,$K57),""))</f>
        <v/>
      </c>
      <c r="K57" t="str">
        <f>IF(K56="","",IFERROR(K56+MATCH("A Liste",INDEX('Veri Merkezi'!$S$2:$S$1001,K56+1):'Veri Merkezi'!$S$1001,0),""))</f>
        <v/>
      </c>
    </row>
    <row r="58" spans="1:11">
      <c r="A58" t="str">
        <f>IF($K58="","",IFERROR(INDEX('Veri Merkezi'!$A$2:$A$1001,$K58),""))</f>
        <v/>
      </c>
      <c r="B58" t="str">
        <f>IF($K58="","",IFERROR(INDEX('Veri Merkezi'!$E$2:$E$1001,$K58),""))</f>
        <v/>
      </c>
      <c r="C58" t="str">
        <f>IF($K58="","",IFERROR(INDEX('Veri Merkezi'!$D$2:$D$1001,$K58),""))</f>
        <v/>
      </c>
      <c r="D58" t="str">
        <f>IF($K58="","",IFERROR(INDEX('Veri Merkezi'!$F$2:$F$1001,$K58),""))</f>
        <v/>
      </c>
      <c r="E58" s="2" t="str">
        <f>IF($K58="","",IFERROR(INDEX('Veri Merkezi'!$G$2:$G$1001,$K58),""))</f>
        <v/>
      </c>
      <c r="F58" t="str">
        <f>IF($K58="","",IFERROR(INDEX('Veri Merkezi'!$H$2:$H$1001,$K58),""))</f>
        <v/>
      </c>
      <c r="G58" t="str">
        <f>IF($K58="","",IFERROR(INDEX('Veri Merkezi'!$R$2:$R$1001,$K58),""))</f>
        <v/>
      </c>
      <c r="H58" t="str">
        <f>IF($K58="","",IFERROR(INDEX('Veri Merkezi'!$S$2:$S$1001,$K58),""))</f>
        <v/>
      </c>
      <c r="I58" s="2" t="str">
        <f>IF($K58="","",IFERROR(INDEX('Veri Merkezi'!$T$2:$T$1001,$K58),""))</f>
        <v/>
      </c>
      <c r="J58" t="str">
        <f>IF($K58="","",IFERROR(INDEX('Veri Merkezi'!$U$2:$U$1001,$K58),""))</f>
        <v/>
      </c>
      <c r="K58" t="str">
        <f>IF(K57="","",IFERROR(K57+MATCH("A Liste",INDEX('Veri Merkezi'!$S$2:$S$1001,K57+1):'Veri Merkezi'!$S$1001,0),""))</f>
        <v/>
      </c>
    </row>
    <row r="59" spans="1:11">
      <c r="A59" t="str">
        <f>IF($K59="","",IFERROR(INDEX('Veri Merkezi'!$A$2:$A$1001,$K59),""))</f>
        <v/>
      </c>
      <c r="B59" t="str">
        <f>IF($K59="","",IFERROR(INDEX('Veri Merkezi'!$E$2:$E$1001,$K59),""))</f>
        <v/>
      </c>
      <c r="C59" t="str">
        <f>IF($K59="","",IFERROR(INDEX('Veri Merkezi'!$D$2:$D$1001,$K59),""))</f>
        <v/>
      </c>
      <c r="D59" t="str">
        <f>IF($K59="","",IFERROR(INDEX('Veri Merkezi'!$F$2:$F$1001,$K59),""))</f>
        <v/>
      </c>
      <c r="E59" s="2" t="str">
        <f>IF($K59="","",IFERROR(INDEX('Veri Merkezi'!$G$2:$G$1001,$K59),""))</f>
        <v/>
      </c>
      <c r="F59" t="str">
        <f>IF($K59="","",IFERROR(INDEX('Veri Merkezi'!$H$2:$H$1001,$K59),""))</f>
        <v/>
      </c>
      <c r="G59" t="str">
        <f>IF($K59="","",IFERROR(INDEX('Veri Merkezi'!$R$2:$R$1001,$K59),""))</f>
        <v/>
      </c>
      <c r="H59" t="str">
        <f>IF($K59="","",IFERROR(INDEX('Veri Merkezi'!$S$2:$S$1001,$K59),""))</f>
        <v/>
      </c>
      <c r="I59" s="2" t="str">
        <f>IF($K59="","",IFERROR(INDEX('Veri Merkezi'!$T$2:$T$1001,$K59),""))</f>
        <v/>
      </c>
      <c r="J59" t="str">
        <f>IF($K59="","",IFERROR(INDEX('Veri Merkezi'!$U$2:$U$1001,$K59),""))</f>
        <v/>
      </c>
      <c r="K59" t="str">
        <f>IF(K58="","",IFERROR(K58+MATCH("A Liste",INDEX('Veri Merkezi'!$S$2:$S$1001,K58+1):'Veri Merkezi'!$S$1001,0),""))</f>
        <v/>
      </c>
    </row>
    <row r="60" spans="1:11">
      <c r="A60" t="str">
        <f>IF($K60="","",IFERROR(INDEX('Veri Merkezi'!$A$2:$A$1001,$K60),""))</f>
        <v/>
      </c>
      <c r="B60" t="str">
        <f>IF($K60="","",IFERROR(INDEX('Veri Merkezi'!$E$2:$E$1001,$K60),""))</f>
        <v/>
      </c>
      <c r="C60" t="str">
        <f>IF($K60="","",IFERROR(INDEX('Veri Merkezi'!$D$2:$D$1001,$K60),""))</f>
        <v/>
      </c>
      <c r="D60" t="str">
        <f>IF($K60="","",IFERROR(INDEX('Veri Merkezi'!$F$2:$F$1001,$K60),""))</f>
        <v/>
      </c>
      <c r="E60" s="2" t="str">
        <f>IF($K60="","",IFERROR(INDEX('Veri Merkezi'!$G$2:$G$1001,$K60),""))</f>
        <v/>
      </c>
      <c r="F60" t="str">
        <f>IF($K60="","",IFERROR(INDEX('Veri Merkezi'!$H$2:$H$1001,$K60),""))</f>
        <v/>
      </c>
      <c r="G60" t="str">
        <f>IF($K60="","",IFERROR(INDEX('Veri Merkezi'!$R$2:$R$1001,$K60),""))</f>
        <v/>
      </c>
      <c r="H60" t="str">
        <f>IF($K60="","",IFERROR(INDEX('Veri Merkezi'!$S$2:$S$1001,$K60),""))</f>
        <v/>
      </c>
      <c r="I60" s="2" t="str">
        <f>IF($K60="","",IFERROR(INDEX('Veri Merkezi'!$T$2:$T$1001,$K60),""))</f>
        <v/>
      </c>
      <c r="J60" t="str">
        <f>IF($K60="","",IFERROR(INDEX('Veri Merkezi'!$U$2:$U$1001,$K60),""))</f>
        <v/>
      </c>
      <c r="K60" t="str">
        <f>IF(K59="","",IFERROR(K59+MATCH("A Liste",INDEX('Veri Merkezi'!$S$2:$S$1001,K59+1):'Veri Merkezi'!$S$1001,0),""))</f>
        <v/>
      </c>
    </row>
    <row r="61" spans="1:11">
      <c r="A61" t="str">
        <f>IF($K61="","",IFERROR(INDEX('Veri Merkezi'!$A$2:$A$1001,$K61),""))</f>
        <v/>
      </c>
      <c r="B61" t="str">
        <f>IF($K61="","",IFERROR(INDEX('Veri Merkezi'!$E$2:$E$1001,$K61),""))</f>
        <v/>
      </c>
      <c r="C61" t="str">
        <f>IF($K61="","",IFERROR(INDEX('Veri Merkezi'!$D$2:$D$1001,$K61),""))</f>
        <v/>
      </c>
      <c r="D61" t="str">
        <f>IF($K61="","",IFERROR(INDEX('Veri Merkezi'!$F$2:$F$1001,$K61),""))</f>
        <v/>
      </c>
      <c r="E61" s="2" t="str">
        <f>IF($K61="","",IFERROR(INDEX('Veri Merkezi'!$G$2:$G$1001,$K61),""))</f>
        <v/>
      </c>
      <c r="F61" t="str">
        <f>IF($K61="","",IFERROR(INDEX('Veri Merkezi'!$H$2:$H$1001,$K61),""))</f>
        <v/>
      </c>
      <c r="G61" t="str">
        <f>IF($K61="","",IFERROR(INDEX('Veri Merkezi'!$R$2:$R$1001,$K61),""))</f>
        <v/>
      </c>
      <c r="H61" t="str">
        <f>IF($K61="","",IFERROR(INDEX('Veri Merkezi'!$S$2:$S$1001,$K61),""))</f>
        <v/>
      </c>
      <c r="I61" s="2" t="str">
        <f>IF($K61="","",IFERROR(INDEX('Veri Merkezi'!$T$2:$T$1001,$K61),""))</f>
        <v/>
      </c>
      <c r="J61" t="str">
        <f>IF($K61="","",IFERROR(INDEX('Veri Merkezi'!$U$2:$U$1001,$K61),""))</f>
        <v/>
      </c>
      <c r="K61" t="str">
        <f>IF(K60="","",IFERROR(K60+MATCH("A Liste",INDEX('Veri Merkezi'!$S$2:$S$1001,K60+1):'Veri Merkezi'!$S$1001,0),""))</f>
        <v/>
      </c>
    </row>
    <row r="62" spans="1:11">
      <c r="A62" t="str">
        <f>IF($K62="","",IFERROR(INDEX('Veri Merkezi'!$A$2:$A$1001,$K62),""))</f>
        <v/>
      </c>
      <c r="B62" t="str">
        <f>IF($K62="","",IFERROR(INDEX('Veri Merkezi'!$E$2:$E$1001,$K62),""))</f>
        <v/>
      </c>
      <c r="C62" t="str">
        <f>IF($K62="","",IFERROR(INDEX('Veri Merkezi'!$D$2:$D$1001,$K62),""))</f>
        <v/>
      </c>
      <c r="D62" t="str">
        <f>IF($K62="","",IFERROR(INDEX('Veri Merkezi'!$F$2:$F$1001,$K62),""))</f>
        <v/>
      </c>
      <c r="E62" s="2" t="str">
        <f>IF($K62="","",IFERROR(INDEX('Veri Merkezi'!$G$2:$G$1001,$K62),""))</f>
        <v/>
      </c>
      <c r="F62" t="str">
        <f>IF($K62="","",IFERROR(INDEX('Veri Merkezi'!$H$2:$H$1001,$K62),""))</f>
        <v/>
      </c>
      <c r="G62" t="str">
        <f>IF($K62="","",IFERROR(INDEX('Veri Merkezi'!$R$2:$R$1001,$K62),""))</f>
        <v/>
      </c>
      <c r="H62" t="str">
        <f>IF($K62="","",IFERROR(INDEX('Veri Merkezi'!$S$2:$S$1001,$K62),""))</f>
        <v/>
      </c>
      <c r="I62" s="2" t="str">
        <f>IF($K62="","",IFERROR(INDEX('Veri Merkezi'!$T$2:$T$1001,$K62),""))</f>
        <v/>
      </c>
      <c r="J62" t="str">
        <f>IF($K62="","",IFERROR(INDEX('Veri Merkezi'!$U$2:$U$1001,$K62),""))</f>
        <v/>
      </c>
      <c r="K62" t="str">
        <f>IF(K61="","",IFERROR(K61+MATCH("A Liste",INDEX('Veri Merkezi'!$S$2:$S$1001,K61+1):'Veri Merkezi'!$S$1001,0),""))</f>
        <v/>
      </c>
    </row>
    <row r="63" spans="1:11">
      <c r="A63" t="str">
        <f>IF($K63="","",IFERROR(INDEX('Veri Merkezi'!$A$2:$A$1001,$K63),""))</f>
        <v/>
      </c>
      <c r="B63" t="str">
        <f>IF($K63="","",IFERROR(INDEX('Veri Merkezi'!$E$2:$E$1001,$K63),""))</f>
        <v/>
      </c>
      <c r="C63" t="str">
        <f>IF($K63="","",IFERROR(INDEX('Veri Merkezi'!$D$2:$D$1001,$K63),""))</f>
        <v/>
      </c>
      <c r="D63" t="str">
        <f>IF($K63="","",IFERROR(INDEX('Veri Merkezi'!$F$2:$F$1001,$K63),""))</f>
        <v/>
      </c>
      <c r="E63" s="2" t="str">
        <f>IF($K63="","",IFERROR(INDEX('Veri Merkezi'!$G$2:$G$1001,$K63),""))</f>
        <v/>
      </c>
      <c r="F63" t="str">
        <f>IF($K63="","",IFERROR(INDEX('Veri Merkezi'!$H$2:$H$1001,$K63),""))</f>
        <v/>
      </c>
      <c r="G63" t="str">
        <f>IF($K63="","",IFERROR(INDEX('Veri Merkezi'!$R$2:$R$1001,$K63),""))</f>
        <v/>
      </c>
      <c r="H63" t="str">
        <f>IF($K63="","",IFERROR(INDEX('Veri Merkezi'!$S$2:$S$1001,$K63),""))</f>
        <v/>
      </c>
      <c r="I63" s="2" t="str">
        <f>IF($K63="","",IFERROR(INDEX('Veri Merkezi'!$T$2:$T$1001,$K63),""))</f>
        <v/>
      </c>
      <c r="J63" t="str">
        <f>IF($K63="","",IFERROR(INDEX('Veri Merkezi'!$U$2:$U$1001,$K63),""))</f>
        <v/>
      </c>
      <c r="K63" t="str">
        <f>IF(K62="","",IFERROR(K62+MATCH("A Liste",INDEX('Veri Merkezi'!$S$2:$S$1001,K62+1):'Veri Merkezi'!$S$1001,0),""))</f>
        <v/>
      </c>
    </row>
    <row r="64" spans="1:11">
      <c r="A64" t="str">
        <f>IF($K64="","",IFERROR(INDEX('Veri Merkezi'!$A$2:$A$1001,$K64),""))</f>
        <v/>
      </c>
      <c r="B64" t="str">
        <f>IF($K64="","",IFERROR(INDEX('Veri Merkezi'!$E$2:$E$1001,$K64),""))</f>
        <v/>
      </c>
      <c r="C64" t="str">
        <f>IF($K64="","",IFERROR(INDEX('Veri Merkezi'!$D$2:$D$1001,$K64),""))</f>
        <v/>
      </c>
      <c r="D64" t="str">
        <f>IF($K64="","",IFERROR(INDEX('Veri Merkezi'!$F$2:$F$1001,$K64),""))</f>
        <v/>
      </c>
      <c r="E64" s="2" t="str">
        <f>IF($K64="","",IFERROR(INDEX('Veri Merkezi'!$G$2:$G$1001,$K64),""))</f>
        <v/>
      </c>
      <c r="F64" t="str">
        <f>IF($K64="","",IFERROR(INDEX('Veri Merkezi'!$H$2:$H$1001,$K64),""))</f>
        <v/>
      </c>
      <c r="G64" t="str">
        <f>IF($K64="","",IFERROR(INDEX('Veri Merkezi'!$R$2:$R$1001,$K64),""))</f>
        <v/>
      </c>
      <c r="H64" t="str">
        <f>IF($K64="","",IFERROR(INDEX('Veri Merkezi'!$S$2:$S$1001,$K64),""))</f>
        <v/>
      </c>
      <c r="I64" s="2" t="str">
        <f>IF($K64="","",IFERROR(INDEX('Veri Merkezi'!$T$2:$T$1001,$K64),""))</f>
        <v/>
      </c>
      <c r="J64" t="str">
        <f>IF($K64="","",IFERROR(INDEX('Veri Merkezi'!$U$2:$U$1001,$K64),""))</f>
        <v/>
      </c>
      <c r="K64" t="str">
        <f>IF(K63="","",IFERROR(K63+MATCH("A Liste",INDEX('Veri Merkezi'!$S$2:$S$1001,K63+1):'Veri Merkezi'!$S$1001,0),""))</f>
        <v/>
      </c>
    </row>
    <row r="65" spans="1:11">
      <c r="A65" t="str">
        <f>IF($K65="","",IFERROR(INDEX('Veri Merkezi'!$A$2:$A$1001,$K65),""))</f>
        <v/>
      </c>
      <c r="B65" t="str">
        <f>IF($K65="","",IFERROR(INDEX('Veri Merkezi'!$E$2:$E$1001,$K65),""))</f>
        <v/>
      </c>
      <c r="C65" t="str">
        <f>IF($K65="","",IFERROR(INDEX('Veri Merkezi'!$D$2:$D$1001,$K65),""))</f>
        <v/>
      </c>
      <c r="D65" t="str">
        <f>IF($K65="","",IFERROR(INDEX('Veri Merkezi'!$F$2:$F$1001,$K65),""))</f>
        <v/>
      </c>
      <c r="E65" s="2" t="str">
        <f>IF($K65="","",IFERROR(INDEX('Veri Merkezi'!$G$2:$G$1001,$K65),""))</f>
        <v/>
      </c>
      <c r="F65" t="str">
        <f>IF($K65="","",IFERROR(INDEX('Veri Merkezi'!$H$2:$H$1001,$K65),""))</f>
        <v/>
      </c>
      <c r="G65" t="str">
        <f>IF($K65="","",IFERROR(INDEX('Veri Merkezi'!$R$2:$R$1001,$K65),""))</f>
        <v/>
      </c>
      <c r="H65" t="str">
        <f>IF($K65="","",IFERROR(INDEX('Veri Merkezi'!$S$2:$S$1001,$K65),""))</f>
        <v/>
      </c>
      <c r="I65" s="2" t="str">
        <f>IF($K65="","",IFERROR(INDEX('Veri Merkezi'!$T$2:$T$1001,$K65),""))</f>
        <v/>
      </c>
      <c r="J65" t="str">
        <f>IF($K65="","",IFERROR(INDEX('Veri Merkezi'!$U$2:$U$1001,$K65),""))</f>
        <v/>
      </c>
      <c r="K65" t="str">
        <f>IF(K64="","",IFERROR(K64+MATCH("A Liste",INDEX('Veri Merkezi'!$S$2:$S$1001,K64+1):'Veri Merkezi'!$S$1001,0),""))</f>
        <v/>
      </c>
    </row>
    <row r="66" spans="1:11">
      <c r="A66" t="str">
        <f>IF($K66="","",IFERROR(INDEX('Veri Merkezi'!$A$2:$A$1001,$K66),""))</f>
        <v/>
      </c>
      <c r="B66" t="str">
        <f>IF($K66="","",IFERROR(INDEX('Veri Merkezi'!$E$2:$E$1001,$K66),""))</f>
        <v/>
      </c>
      <c r="C66" t="str">
        <f>IF($K66="","",IFERROR(INDEX('Veri Merkezi'!$D$2:$D$1001,$K66),""))</f>
        <v/>
      </c>
      <c r="D66" t="str">
        <f>IF($K66="","",IFERROR(INDEX('Veri Merkezi'!$F$2:$F$1001,$K66),""))</f>
        <v/>
      </c>
      <c r="E66" s="2" t="str">
        <f>IF($K66="","",IFERROR(INDEX('Veri Merkezi'!$G$2:$G$1001,$K66),""))</f>
        <v/>
      </c>
      <c r="F66" t="str">
        <f>IF($K66="","",IFERROR(INDEX('Veri Merkezi'!$H$2:$H$1001,$K66),""))</f>
        <v/>
      </c>
      <c r="G66" t="str">
        <f>IF($K66="","",IFERROR(INDEX('Veri Merkezi'!$R$2:$R$1001,$K66),""))</f>
        <v/>
      </c>
      <c r="H66" t="str">
        <f>IF($K66="","",IFERROR(INDEX('Veri Merkezi'!$S$2:$S$1001,$K66),""))</f>
        <v/>
      </c>
      <c r="I66" s="2" t="str">
        <f>IF($K66="","",IFERROR(INDEX('Veri Merkezi'!$T$2:$T$1001,$K66),""))</f>
        <v/>
      </c>
      <c r="J66" t="str">
        <f>IF($K66="","",IFERROR(INDEX('Veri Merkezi'!$U$2:$U$1001,$K66),""))</f>
        <v/>
      </c>
      <c r="K66" t="str">
        <f>IF(K65="","",IFERROR(K65+MATCH("A Liste",INDEX('Veri Merkezi'!$S$2:$S$1001,K65+1):'Veri Merkezi'!$S$1001,0),""))</f>
        <v/>
      </c>
    </row>
    <row r="67" spans="1:11">
      <c r="A67" t="str">
        <f>IF($K67="","",IFERROR(INDEX('Veri Merkezi'!$A$2:$A$1001,$K67),""))</f>
        <v/>
      </c>
      <c r="B67" t="str">
        <f>IF($K67="","",IFERROR(INDEX('Veri Merkezi'!$E$2:$E$1001,$K67),""))</f>
        <v/>
      </c>
      <c r="C67" t="str">
        <f>IF($K67="","",IFERROR(INDEX('Veri Merkezi'!$D$2:$D$1001,$K67),""))</f>
        <v/>
      </c>
      <c r="D67" t="str">
        <f>IF($K67="","",IFERROR(INDEX('Veri Merkezi'!$F$2:$F$1001,$K67),""))</f>
        <v/>
      </c>
      <c r="E67" s="2" t="str">
        <f>IF($K67="","",IFERROR(INDEX('Veri Merkezi'!$G$2:$G$1001,$K67),""))</f>
        <v/>
      </c>
      <c r="F67" t="str">
        <f>IF($K67="","",IFERROR(INDEX('Veri Merkezi'!$H$2:$H$1001,$K67),""))</f>
        <v/>
      </c>
      <c r="G67" t="str">
        <f>IF($K67="","",IFERROR(INDEX('Veri Merkezi'!$R$2:$R$1001,$K67),""))</f>
        <v/>
      </c>
      <c r="H67" t="str">
        <f>IF($K67="","",IFERROR(INDEX('Veri Merkezi'!$S$2:$S$1001,$K67),""))</f>
        <v/>
      </c>
      <c r="I67" s="2" t="str">
        <f>IF($K67="","",IFERROR(INDEX('Veri Merkezi'!$T$2:$T$1001,$K67),""))</f>
        <v/>
      </c>
      <c r="J67" t="str">
        <f>IF($K67="","",IFERROR(INDEX('Veri Merkezi'!$U$2:$U$1001,$K67),""))</f>
        <v/>
      </c>
      <c r="K67" t="str">
        <f>IF(K66="","",IFERROR(K66+MATCH("A Liste",INDEX('Veri Merkezi'!$S$2:$S$1001,K66+1):'Veri Merkezi'!$S$1001,0),""))</f>
        <v/>
      </c>
    </row>
    <row r="68" spans="1:11">
      <c r="A68" t="str">
        <f>IF($K68="","",IFERROR(INDEX('Veri Merkezi'!$A$2:$A$1001,$K68),""))</f>
        <v/>
      </c>
      <c r="B68" t="str">
        <f>IF($K68="","",IFERROR(INDEX('Veri Merkezi'!$E$2:$E$1001,$K68),""))</f>
        <v/>
      </c>
      <c r="C68" t="str">
        <f>IF($K68="","",IFERROR(INDEX('Veri Merkezi'!$D$2:$D$1001,$K68),""))</f>
        <v/>
      </c>
      <c r="D68" t="str">
        <f>IF($K68="","",IFERROR(INDEX('Veri Merkezi'!$F$2:$F$1001,$K68),""))</f>
        <v/>
      </c>
      <c r="E68" s="2" t="str">
        <f>IF($K68="","",IFERROR(INDEX('Veri Merkezi'!$G$2:$G$1001,$K68),""))</f>
        <v/>
      </c>
      <c r="F68" t="str">
        <f>IF($K68="","",IFERROR(INDEX('Veri Merkezi'!$H$2:$H$1001,$K68),""))</f>
        <v/>
      </c>
      <c r="G68" t="str">
        <f>IF($K68="","",IFERROR(INDEX('Veri Merkezi'!$R$2:$R$1001,$K68),""))</f>
        <v/>
      </c>
      <c r="H68" t="str">
        <f>IF($K68="","",IFERROR(INDEX('Veri Merkezi'!$S$2:$S$1001,$K68),""))</f>
        <v/>
      </c>
      <c r="I68" s="2" t="str">
        <f>IF($K68="","",IFERROR(INDEX('Veri Merkezi'!$T$2:$T$1001,$K68),""))</f>
        <v/>
      </c>
      <c r="J68" t="str">
        <f>IF($K68="","",IFERROR(INDEX('Veri Merkezi'!$U$2:$U$1001,$K68),""))</f>
        <v/>
      </c>
      <c r="K68" t="str">
        <f>IF(K67="","",IFERROR(K67+MATCH("A Liste",INDEX('Veri Merkezi'!$S$2:$S$1001,K67+1):'Veri Merkezi'!$S$1001,0),""))</f>
        <v/>
      </c>
    </row>
    <row r="69" spans="1:11">
      <c r="A69" t="str">
        <f>IF($K69="","",IFERROR(INDEX('Veri Merkezi'!$A$2:$A$1001,$K69),""))</f>
        <v/>
      </c>
      <c r="B69" t="str">
        <f>IF($K69="","",IFERROR(INDEX('Veri Merkezi'!$E$2:$E$1001,$K69),""))</f>
        <v/>
      </c>
      <c r="C69" t="str">
        <f>IF($K69="","",IFERROR(INDEX('Veri Merkezi'!$D$2:$D$1001,$K69),""))</f>
        <v/>
      </c>
      <c r="D69" t="str">
        <f>IF($K69="","",IFERROR(INDEX('Veri Merkezi'!$F$2:$F$1001,$K69),""))</f>
        <v/>
      </c>
      <c r="E69" s="2" t="str">
        <f>IF($K69="","",IFERROR(INDEX('Veri Merkezi'!$G$2:$G$1001,$K69),""))</f>
        <v/>
      </c>
      <c r="F69" t="str">
        <f>IF($K69="","",IFERROR(INDEX('Veri Merkezi'!$H$2:$H$1001,$K69),""))</f>
        <v/>
      </c>
      <c r="G69" t="str">
        <f>IF($K69="","",IFERROR(INDEX('Veri Merkezi'!$R$2:$R$1001,$K69),""))</f>
        <v/>
      </c>
      <c r="H69" t="str">
        <f>IF($K69="","",IFERROR(INDEX('Veri Merkezi'!$S$2:$S$1001,$K69),""))</f>
        <v/>
      </c>
      <c r="I69" s="2" t="str">
        <f>IF($K69="","",IFERROR(INDEX('Veri Merkezi'!$T$2:$T$1001,$K69),""))</f>
        <v/>
      </c>
      <c r="J69" t="str">
        <f>IF($K69="","",IFERROR(INDEX('Veri Merkezi'!$U$2:$U$1001,$K69),""))</f>
        <v/>
      </c>
      <c r="K69" t="str">
        <f>IF(K68="","",IFERROR(K68+MATCH("A Liste",INDEX('Veri Merkezi'!$S$2:$S$1001,K68+1):'Veri Merkezi'!$S$1001,0),""))</f>
        <v/>
      </c>
    </row>
    <row r="70" spans="1:11">
      <c r="A70" t="str">
        <f>IF($K70="","",IFERROR(INDEX('Veri Merkezi'!$A$2:$A$1001,$K70),""))</f>
        <v/>
      </c>
      <c r="B70" t="str">
        <f>IF($K70="","",IFERROR(INDEX('Veri Merkezi'!$E$2:$E$1001,$K70),""))</f>
        <v/>
      </c>
      <c r="C70" t="str">
        <f>IF($K70="","",IFERROR(INDEX('Veri Merkezi'!$D$2:$D$1001,$K70),""))</f>
        <v/>
      </c>
      <c r="D70" t="str">
        <f>IF($K70="","",IFERROR(INDEX('Veri Merkezi'!$F$2:$F$1001,$K70),""))</f>
        <v/>
      </c>
      <c r="E70" s="2" t="str">
        <f>IF($K70="","",IFERROR(INDEX('Veri Merkezi'!$G$2:$G$1001,$K70),""))</f>
        <v/>
      </c>
      <c r="F70" t="str">
        <f>IF($K70="","",IFERROR(INDEX('Veri Merkezi'!$H$2:$H$1001,$K70),""))</f>
        <v/>
      </c>
      <c r="G70" t="str">
        <f>IF($K70="","",IFERROR(INDEX('Veri Merkezi'!$R$2:$R$1001,$K70),""))</f>
        <v/>
      </c>
      <c r="H70" t="str">
        <f>IF($K70="","",IFERROR(INDEX('Veri Merkezi'!$S$2:$S$1001,$K70),""))</f>
        <v/>
      </c>
      <c r="I70" s="2" t="str">
        <f>IF($K70="","",IFERROR(INDEX('Veri Merkezi'!$T$2:$T$1001,$K70),""))</f>
        <v/>
      </c>
      <c r="J70" t="str">
        <f>IF($K70="","",IFERROR(INDEX('Veri Merkezi'!$U$2:$U$1001,$K70),""))</f>
        <v/>
      </c>
      <c r="K70" t="str">
        <f>IF(K69="","",IFERROR(K69+MATCH("A Liste",INDEX('Veri Merkezi'!$S$2:$S$1001,K69+1):'Veri Merkezi'!$S$1001,0),""))</f>
        <v/>
      </c>
    </row>
    <row r="71" spans="1:11">
      <c r="A71" t="str">
        <f>IF($K71="","",IFERROR(INDEX('Veri Merkezi'!$A$2:$A$1001,$K71),""))</f>
        <v/>
      </c>
      <c r="B71" t="str">
        <f>IF($K71="","",IFERROR(INDEX('Veri Merkezi'!$E$2:$E$1001,$K71),""))</f>
        <v/>
      </c>
      <c r="C71" t="str">
        <f>IF($K71="","",IFERROR(INDEX('Veri Merkezi'!$D$2:$D$1001,$K71),""))</f>
        <v/>
      </c>
      <c r="D71" t="str">
        <f>IF($K71="","",IFERROR(INDEX('Veri Merkezi'!$F$2:$F$1001,$K71),""))</f>
        <v/>
      </c>
      <c r="E71" s="2" t="str">
        <f>IF($K71="","",IFERROR(INDEX('Veri Merkezi'!$G$2:$G$1001,$K71),""))</f>
        <v/>
      </c>
      <c r="F71" t="str">
        <f>IF($K71="","",IFERROR(INDEX('Veri Merkezi'!$H$2:$H$1001,$K71),""))</f>
        <v/>
      </c>
      <c r="G71" t="str">
        <f>IF($K71="","",IFERROR(INDEX('Veri Merkezi'!$R$2:$R$1001,$K71),""))</f>
        <v/>
      </c>
      <c r="H71" t="str">
        <f>IF($K71="","",IFERROR(INDEX('Veri Merkezi'!$S$2:$S$1001,$K71),""))</f>
        <v/>
      </c>
      <c r="I71" s="2" t="str">
        <f>IF($K71="","",IFERROR(INDEX('Veri Merkezi'!$T$2:$T$1001,$K71),""))</f>
        <v/>
      </c>
      <c r="J71" t="str">
        <f>IF($K71="","",IFERROR(INDEX('Veri Merkezi'!$U$2:$U$1001,$K71),""))</f>
        <v/>
      </c>
      <c r="K71" t="str">
        <f>IF(K70="","",IFERROR(K70+MATCH("A Liste",INDEX('Veri Merkezi'!$S$2:$S$1001,K70+1):'Veri Merkezi'!$S$1001,0),""))</f>
        <v/>
      </c>
    </row>
    <row r="72" spans="1:11">
      <c r="A72" t="str">
        <f>IF($K72="","",IFERROR(INDEX('Veri Merkezi'!$A$2:$A$1001,$K72),""))</f>
        <v/>
      </c>
      <c r="B72" t="str">
        <f>IF($K72="","",IFERROR(INDEX('Veri Merkezi'!$E$2:$E$1001,$K72),""))</f>
        <v/>
      </c>
      <c r="C72" t="str">
        <f>IF($K72="","",IFERROR(INDEX('Veri Merkezi'!$D$2:$D$1001,$K72),""))</f>
        <v/>
      </c>
      <c r="D72" t="str">
        <f>IF($K72="","",IFERROR(INDEX('Veri Merkezi'!$F$2:$F$1001,$K72),""))</f>
        <v/>
      </c>
      <c r="E72" s="2" t="str">
        <f>IF($K72="","",IFERROR(INDEX('Veri Merkezi'!$G$2:$G$1001,$K72),""))</f>
        <v/>
      </c>
      <c r="F72" t="str">
        <f>IF($K72="","",IFERROR(INDEX('Veri Merkezi'!$H$2:$H$1001,$K72),""))</f>
        <v/>
      </c>
      <c r="G72" t="str">
        <f>IF($K72="","",IFERROR(INDEX('Veri Merkezi'!$R$2:$R$1001,$K72),""))</f>
        <v/>
      </c>
      <c r="H72" t="str">
        <f>IF($K72="","",IFERROR(INDEX('Veri Merkezi'!$S$2:$S$1001,$K72),""))</f>
        <v/>
      </c>
      <c r="I72" s="2" t="str">
        <f>IF($K72="","",IFERROR(INDEX('Veri Merkezi'!$T$2:$T$1001,$K72),""))</f>
        <v/>
      </c>
      <c r="J72" t="str">
        <f>IF($K72="","",IFERROR(INDEX('Veri Merkezi'!$U$2:$U$1001,$K72),""))</f>
        <v/>
      </c>
      <c r="K72" t="str">
        <f>IF(K71="","",IFERROR(K71+MATCH("A Liste",INDEX('Veri Merkezi'!$S$2:$S$1001,K71+1):'Veri Merkezi'!$S$1001,0),""))</f>
        <v/>
      </c>
    </row>
    <row r="73" spans="1:11">
      <c r="A73" t="str">
        <f>IF($K73="","",IFERROR(INDEX('Veri Merkezi'!$A$2:$A$1001,$K73),""))</f>
        <v/>
      </c>
      <c r="B73" t="str">
        <f>IF($K73="","",IFERROR(INDEX('Veri Merkezi'!$E$2:$E$1001,$K73),""))</f>
        <v/>
      </c>
      <c r="C73" t="str">
        <f>IF($K73="","",IFERROR(INDEX('Veri Merkezi'!$D$2:$D$1001,$K73),""))</f>
        <v/>
      </c>
      <c r="D73" t="str">
        <f>IF($K73="","",IFERROR(INDEX('Veri Merkezi'!$F$2:$F$1001,$K73),""))</f>
        <v/>
      </c>
      <c r="E73" s="2" t="str">
        <f>IF($K73="","",IFERROR(INDEX('Veri Merkezi'!$G$2:$G$1001,$K73),""))</f>
        <v/>
      </c>
      <c r="F73" t="str">
        <f>IF($K73="","",IFERROR(INDEX('Veri Merkezi'!$H$2:$H$1001,$K73),""))</f>
        <v/>
      </c>
      <c r="G73" t="str">
        <f>IF($K73="","",IFERROR(INDEX('Veri Merkezi'!$R$2:$R$1001,$K73),""))</f>
        <v/>
      </c>
      <c r="H73" t="str">
        <f>IF($K73="","",IFERROR(INDEX('Veri Merkezi'!$S$2:$S$1001,$K73),""))</f>
        <v/>
      </c>
      <c r="I73" s="2" t="str">
        <f>IF($K73="","",IFERROR(INDEX('Veri Merkezi'!$T$2:$T$1001,$K73),""))</f>
        <v/>
      </c>
      <c r="J73" t="str">
        <f>IF($K73="","",IFERROR(INDEX('Veri Merkezi'!$U$2:$U$1001,$K73),""))</f>
        <v/>
      </c>
      <c r="K73" t="str">
        <f>IF(K72="","",IFERROR(K72+MATCH("A Liste",INDEX('Veri Merkezi'!$S$2:$S$1001,K72+1):'Veri Merkezi'!$S$1001,0),""))</f>
        <v/>
      </c>
    </row>
    <row r="74" spans="1:11">
      <c r="A74" t="str">
        <f>IF($K74="","",IFERROR(INDEX('Veri Merkezi'!$A$2:$A$1001,$K74),""))</f>
        <v/>
      </c>
      <c r="B74" t="str">
        <f>IF($K74="","",IFERROR(INDEX('Veri Merkezi'!$E$2:$E$1001,$K74),""))</f>
        <v/>
      </c>
      <c r="C74" t="str">
        <f>IF($K74="","",IFERROR(INDEX('Veri Merkezi'!$D$2:$D$1001,$K74),""))</f>
        <v/>
      </c>
      <c r="D74" t="str">
        <f>IF($K74="","",IFERROR(INDEX('Veri Merkezi'!$F$2:$F$1001,$K74),""))</f>
        <v/>
      </c>
      <c r="E74" s="2" t="str">
        <f>IF($K74="","",IFERROR(INDEX('Veri Merkezi'!$G$2:$G$1001,$K74),""))</f>
        <v/>
      </c>
      <c r="F74" t="str">
        <f>IF($K74="","",IFERROR(INDEX('Veri Merkezi'!$H$2:$H$1001,$K74),""))</f>
        <v/>
      </c>
      <c r="G74" t="str">
        <f>IF($K74="","",IFERROR(INDEX('Veri Merkezi'!$R$2:$R$1001,$K74),""))</f>
        <v/>
      </c>
      <c r="H74" t="str">
        <f>IF($K74="","",IFERROR(INDEX('Veri Merkezi'!$S$2:$S$1001,$K74),""))</f>
        <v/>
      </c>
      <c r="I74" s="2" t="str">
        <f>IF($K74="","",IFERROR(INDEX('Veri Merkezi'!$T$2:$T$1001,$K74),""))</f>
        <v/>
      </c>
      <c r="J74" t="str">
        <f>IF($K74="","",IFERROR(INDEX('Veri Merkezi'!$U$2:$U$1001,$K74),""))</f>
        <v/>
      </c>
      <c r="K74" t="str">
        <f>IF(K73="","",IFERROR(K73+MATCH("A Liste",INDEX('Veri Merkezi'!$S$2:$S$1001,K73+1):'Veri Merkezi'!$S$1001,0),""))</f>
        <v/>
      </c>
    </row>
    <row r="75" spans="1:11">
      <c r="A75" t="str">
        <f>IF($K75="","",IFERROR(INDEX('Veri Merkezi'!$A$2:$A$1001,$K75),""))</f>
        <v/>
      </c>
      <c r="B75" t="str">
        <f>IF($K75="","",IFERROR(INDEX('Veri Merkezi'!$E$2:$E$1001,$K75),""))</f>
        <v/>
      </c>
      <c r="C75" t="str">
        <f>IF($K75="","",IFERROR(INDEX('Veri Merkezi'!$D$2:$D$1001,$K75),""))</f>
        <v/>
      </c>
      <c r="D75" t="str">
        <f>IF($K75="","",IFERROR(INDEX('Veri Merkezi'!$F$2:$F$1001,$K75),""))</f>
        <v/>
      </c>
      <c r="E75" s="2" t="str">
        <f>IF($K75="","",IFERROR(INDEX('Veri Merkezi'!$G$2:$G$1001,$K75),""))</f>
        <v/>
      </c>
      <c r="F75" t="str">
        <f>IF($K75="","",IFERROR(INDEX('Veri Merkezi'!$H$2:$H$1001,$K75),""))</f>
        <v/>
      </c>
      <c r="G75" t="str">
        <f>IF($K75="","",IFERROR(INDEX('Veri Merkezi'!$R$2:$R$1001,$K75),""))</f>
        <v/>
      </c>
      <c r="H75" t="str">
        <f>IF($K75="","",IFERROR(INDEX('Veri Merkezi'!$S$2:$S$1001,$K75),""))</f>
        <v/>
      </c>
      <c r="I75" s="2" t="str">
        <f>IF($K75="","",IFERROR(INDEX('Veri Merkezi'!$T$2:$T$1001,$K75),""))</f>
        <v/>
      </c>
      <c r="J75" t="str">
        <f>IF($K75="","",IFERROR(INDEX('Veri Merkezi'!$U$2:$U$1001,$K75),""))</f>
        <v/>
      </c>
      <c r="K75" t="str">
        <f>IF(K74="","",IFERROR(K74+MATCH("A Liste",INDEX('Veri Merkezi'!$S$2:$S$1001,K74+1):'Veri Merkezi'!$S$1001,0),""))</f>
        <v/>
      </c>
    </row>
    <row r="76" spans="1:11">
      <c r="A76" t="str">
        <f>IF($K76="","",IFERROR(INDEX('Veri Merkezi'!$A$2:$A$1001,$K76),""))</f>
        <v/>
      </c>
      <c r="B76" t="str">
        <f>IF($K76="","",IFERROR(INDEX('Veri Merkezi'!$E$2:$E$1001,$K76),""))</f>
        <v/>
      </c>
      <c r="C76" t="str">
        <f>IF($K76="","",IFERROR(INDEX('Veri Merkezi'!$D$2:$D$1001,$K76),""))</f>
        <v/>
      </c>
      <c r="D76" t="str">
        <f>IF($K76="","",IFERROR(INDEX('Veri Merkezi'!$F$2:$F$1001,$K76),""))</f>
        <v/>
      </c>
      <c r="E76" s="2" t="str">
        <f>IF($K76="","",IFERROR(INDEX('Veri Merkezi'!$G$2:$G$1001,$K76),""))</f>
        <v/>
      </c>
      <c r="F76" t="str">
        <f>IF($K76="","",IFERROR(INDEX('Veri Merkezi'!$H$2:$H$1001,$K76),""))</f>
        <v/>
      </c>
      <c r="G76" t="str">
        <f>IF($K76="","",IFERROR(INDEX('Veri Merkezi'!$R$2:$R$1001,$K76),""))</f>
        <v/>
      </c>
      <c r="H76" t="str">
        <f>IF($K76="","",IFERROR(INDEX('Veri Merkezi'!$S$2:$S$1001,$K76),""))</f>
        <v/>
      </c>
      <c r="I76" s="2" t="str">
        <f>IF($K76="","",IFERROR(INDEX('Veri Merkezi'!$T$2:$T$1001,$K76),""))</f>
        <v/>
      </c>
      <c r="J76" t="str">
        <f>IF($K76="","",IFERROR(INDEX('Veri Merkezi'!$U$2:$U$1001,$K76),""))</f>
        <v/>
      </c>
      <c r="K76" t="str">
        <f>IF(K75="","",IFERROR(K75+MATCH("A Liste",INDEX('Veri Merkezi'!$S$2:$S$1001,K75+1):'Veri Merkezi'!$S$1001,0),""))</f>
        <v/>
      </c>
    </row>
    <row r="77" spans="1:11">
      <c r="A77" t="str">
        <f>IF($K77="","",IFERROR(INDEX('Veri Merkezi'!$A$2:$A$1001,$K77),""))</f>
        <v/>
      </c>
      <c r="B77" t="str">
        <f>IF($K77="","",IFERROR(INDEX('Veri Merkezi'!$E$2:$E$1001,$K77),""))</f>
        <v/>
      </c>
      <c r="C77" t="str">
        <f>IF($K77="","",IFERROR(INDEX('Veri Merkezi'!$D$2:$D$1001,$K77),""))</f>
        <v/>
      </c>
      <c r="D77" t="str">
        <f>IF($K77="","",IFERROR(INDEX('Veri Merkezi'!$F$2:$F$1001,$K77),""))</f>
        <v/>
      </c>
      <c r="E77" s="2" t="str">
        <f>IF($K77="","",IFERROR(INDEX('Veri Merkezi'!$G$2:$G$1001,$K77),""))</f>
        <v/>
      </c>
      <c r="F77" t="str">
        <f>IF($K77="","",IFERROR(INDEX('Veri Merkezi'!$H$2:$H$1001,$K77),""))</f>
        <v/>
      </c>
      <c r="G77" t="str">
        <f>IF($K77="","",IFERROR(INDEX('Veri Merkezi'!$R$2:$R$1001,$K77),""))</f>
        <v/>
      </c>
      <c r="H77" t="str">
        <f>IF($K77="","",IFERROR(INDEX('Veri Merkezi'!$S$2:$S$1001,$K77),""))</f>
        <v/>
      </c>
      <c r="I77" s="2" t="str">
        <f>IF($K77="","",IFERROR(INDEX('Veri Merkezi'!$T$2:$T$1001,$K77),""))</f>
        <v/>
      </c>
      <c r="J77" t="str">
        <f>IF($K77="","",IFERROR(INDEX('Veri Merkezi'!$U$2:$U$1001,$K77),""))</f>
        <v/>
      </c>
      <c r="K77" t="str">
        <f>IF(K76="","",IFERROR(K76+MATCH("A Liste",INDEX('Veri Merkezi'!$S$2:$S$1001,K76+1):'Veri Merkezi'!$S$1001,0),""))</f>
        <v/>
      </c>
    </row>
    <row r="78" spans="1:11">
      <c r="A78" t="str">
        <f>IF($K78="","",IFERROR(INDEX('Veri Merkezi'!$A$2:$A$1001,$K78),""))</f>
        <v/>
      </c>
      <c r="B78" t="str">
        <f>IF($K78="","",IFERROR(INDEX('Veri Merkezi'!$E$2:$E$1001,$K78),""))</f>
        <v/>
      </c>
      <c r="C78" t="str">
        <f>IF($K78="","",IFERROR(INDEX('Veri Merkezi'!$D$2:$D$1001,$K78),""))</f>
        <v/>
      </c>
      <c r="D78" t="str">
        <f>IF($K78="","",IFERROR(INDEX('Veri Merkezi'!$F$2:$F$1001,$K78),""))</f>
        <v/>
      </c>
      <c r="E78" s="2" t="str">
        <f>IF($K78="","",IFERROR(INDEX('Veri Merkezi'!$G$2:$G$1001,$K78),""))</f>
        <v/>
      </c>
      <c r="F78" t="str">
        <f>IF($K78="","",IFERROR(INDEX('Veri Merkezi'!$H$2:$H$1001,$K78),""))</f>
        <v/>
      </c>
      <c r="G78" t="str">
        <f>IF($K78="","",IFERROR(INDEX('Veri Merkezi'!$R$2:$R$1001,$K78),""))</f>
        <v/>
      </c>
      <c r="H78" t="str">
        <f>IF($K78="","",IFERROR(INDEX('Veri Merkezi'!$S$2:$S$1001,$K78),""))</f>
        <v/>
      </c>
      <c r="I78" s="2" t="str">
        <f>IF($K78="","",IFERROR(INDEX('Veri Merkezi'!$T$2:$T$1001,$K78),""))</f>
        <v/>
      </c>
      <c r="J78" t="str">
        <f>IF($K78="","",IFERROR(INDEX('Veri Merkezi'!$U$2:$U$1001,$K78),""))</f>
        <v/>
      </c>
      <c r="K78" t="str">
        <f>IF(K77="","",IFERROR(K77+MATCH("A Liste",INDEX('Veri Merkezi'!$S$2:$S$1001,K77+1):'Veri Merkezi'!$S$1001,0),""))</f>
        <v/>
      </c>
    </row>
    <row r="79" spans="1:11">
      <c r="A79" t="str">
        <f>IF($K79="","",IFERROR(INDEX('Veri Merkezi'!$A$2:$A$1001,$K79),""))</f>
        <v/>
      </c>
      <c r="B79" t="str">
        <f>IF($K79="","",IFERROR(INDEX('Veri Merkezi'!$E$2:$E$1001,$K79),""))</f>
        <v/>
      </c>
      <c r="C79" t="str">
        <f>IF($K79="","",IFERROR(INDEX('Veri Merkezi'!$D$2:$D$1001,$K79),""))</f>
        <v/>
      </c>
      <c r="D79" t="str">
        <f>IF($K79="","",IFERROR(INDEX('Veri Merkezi'!$F$2:$F$1001,$K79),""))</f>
        <v/>
      </c>
      <c r="E79" s="2" t="str">
        <f>IF($K79="","",IFERROR(INDEX('Veri Merkezi'!$G$2:$G$1001,$K79),""))</f>
        <v/>
      </c>
      <c r="F79" t="str">
        <f>IF($K79="","",IFERROR(INDEX('Veri Merkezi'!$H$2:$H$1001,$K79),""))</f>
        <v/>
      </c>
      <c r="G79" t="str">
        <f>IF($K79="","",IFERROR(INDEX('Veri Merkezi'!$R$2:$R$1001,$K79),""))</f>
        <v/>
      </c>
      <c r="H79" t="str">
        <f>IF($K79="","",IFERROR(INDEX('Veri Merkezi'!$S$2:$S$1001,$K79),""))</f>
        <v/>
      </c>
      <c r="I79" s="2" t="str">
        <f>IF($K79="","",IFERROR(INDEX('Veri Merkezi'!$T$2:$T$1001,$K79),""))</f>
        <v/>
      </c>
      <c r="J79" t="str">
        <f>IF($K79="","",IFERROR(INDEX('Veri Merkezi'!$U$2:$U$1001,$K79),""))</f>
        <v/>
      </c>
      <c r="K79" t="str">
        <f>IF(K78="","",IFERROR(K78+MATCH("A Liste",INDEX('Veri Merkezi'!$S$2:$S$1001,K78+1):'Veri Merkezi'!$S$1001,0),""))</f>
        <v/>
      </c>
    </row>
    <row r="80" spans="1:11">
      <c r="A80" t="str">
        <f>IF($K80="","",IFERROR(INDEX('Veri Merkezi'!$A$2:$A$1001,$K80),""))</f>
        <v/>
      </c>
      <c r="B80" t="str">
        <f>IF($K80="","",IFERROR(INDEX('Veri Merkezi'!$E$2:$E$1001,$K80),""))</f>
        <v/>
      </c>
      <c r="C80" t="str">
        <f>IF($K80="","",IFERROR(INDEX('Veri Merkezi'!$D$2:$D$1001,$K80),""))</f>
        <v/>
      </c>
      <c r="D80" t="str">
        <f>IF($K80="","",IFERROR(INDEX('Veri Merkezi'!$F$2:$F$1001,$K80),""))</f>
        <v/>
      </c>
      <c r="E80" s="2" t="str">
        <f>IF($K80="","",IFERROR(INDEX('Veri Merkezi'!$G$2:$G$1001,$K80),""))</f>
        <v/>
      </c>
      <c r="F80" t="str">
        <f>IF($K80="","",IFERROR(INDEX('Veri Merkezi'!$H$2:$H$1001,$K80),""))</f>
        <v/>
      </c>
      <c r="G80" t="str">
        <f>IF($K80="","",IFERROR(INDEX('Veri Merkezi'!$R$2:$R$1001,$K80),""))</f>
        <v/>
      </c>
      <c r="H80" t="str">
        <f>IF($K80="","",IFERROR(INDEX('Veri Merkezi'!$S$2:$S$1001,$K80),""))</f>
        <v/>
      </c>
      <c r="I80" s="2" t="str">
        <f>IF($K80="","",IFERROR(INDEX('Veri Merkezi'!$T$2:$T$1001,$K80),""))</f>
        <v/>
      </c>
      <c r="J80" t="str">
        <f>IF($K80="","",IFERROR(INDEX('Veri Merkezi'!$U$2:$U$1001,$K80),""))</f>
        <v/>
      </c>
      <c r="K80" t="str">
        <f>IF(K79="","",IFERROR(K79+MATCH("A Liste",INDEX('Veri Merkezi'!$S$2:$S$1001,K79+1):'Veri Merkezi'!$S$1001,0),""))</f>
        <v/>
      </c>
    </row>
    <row r="81" spans="1:11">
      <c r="A81" t="str">
        <f>IF($K81="","",IFERROR(INDEX('Veri Merkezi'!$A$2:$A$1001,$K81),""))</f>
        <v/>
      </c>
      <c r="B81" t="str">
        <f>IF($K81="","",IFERROR(INDEX('Veri Merkezi'!$E$2:$E$1001,$K81),""))</f>
        <v/>
      </c>
      <c r="C81" t="str">
        <f>IF($K81="","",IFERROR(INDEX('Veri Merkezi'!$D$2:$D$1001,$K81),""))</f>
        <v/>
      </c>
      <c r="D81" t="str">
        <f>IF($K81="","",IFERROR(INDEX('Veri Merkezi'!$F$2:$F$1001,$K81),""))</f>
        <v/>
      </c>
      <c r="E81" s="2" t="str">
        <f>IF($K81="","",IFERROR(INDEX('Veri Merkezi'!$G$2:$G$1001,$K81),""))</f>
        <v/>
      </c>
      <c r="F81" t="str">
        <f>IF($K81="","",IFERROR(INDEX('Veri Merkezi'!$H$2:$H$1001,$K81),""))</f>
        <v/>
      </c>
      <c r="G81" t="str">
        <f>IF($K81="","",IFERROR(INDEX('Veri Merkezi'!$R$2:$R$1001,$K81),""))</f>
        <v/>
      </c>
      <c r="H81" t="str">
        <f>IF($K81="","",IFERROR(INDEX('Veri Merkezi'!$S$2:$S$1001,$K81),""))</f>
        <v/>
      </c>
      <c r="I81" s="2" t="str">
        <f>IF($K81="","",IFERROR(INDEX('Veri Merkezi'!$T$2:$T$1001,$K81),""))</f>
        <v/>
      </c>
      <c r="J81" t="str">
        <f>IF($K81="","",IFERROR(INDEX('Veri Merkezi'!$U$2:$U$1001,$K81),""))</f>
        <v/>
      </c>
      <c r="K81" t="str">
        <f>IF(K80="","",IFERROR(K80+MATCH("A Liste",INDEX('Veri Merkezi'!$S$2:$S$1001,K80+1):'Veri Merkezi'!$S$1001,0),""))</f>
        <v/>
      </c>
    </row>
    <row r="82" spans="1:11">
      <c r="A82" t="str">
        <f>IF($K82="","",IFERROR(INDEX('Veri Merkezi'!$A$2:$A$1001,$K82),""))</f>
        <v/>
      </c>
      <c r="B82" t="str">
        <f>IF($K82="","",IFERROR(INDEX('Veri Merkezi'!$E$2:$E$1001,$K82),""))</f>
        <v/>
      </c>
      <c r="C82" t="str">
        <f>IF($K82="","",IFERROR(INDEX('Veri Merkezi'!$D$2:$D$1001,$K82),""))</f>
        <v/>
      </c>
      <c r="D82" t="str">
        <f>IF($K82="","",IFERROR(INDEX('Veri Merkezi'!$F$2:$F$1001,$K82),""))</f>
        <v/>
      </c>
      <c r="E82" s="2" t="str">
        <f>IF($K82="","",IFERROR(INDEX('Veri Merkezi'!$G$2:$G$1001,$K82),""))</f>
        <v/>
      </c>
      <c r="F82" t="str">
        <f>IF($K82="","",IFERROR(INDEX('Veri Merkezi'!$H$2:$H$1001,$K82),""))</f>
        <v/>
      </c>
      <c r="G82" t="str">
        <f>IF($K82="","",IFERROR(INDEX('Veri Merkezi'!$R$2:$R$1001,$K82),""))</f>
        <v/>
      </c>
      <c r="H82" t="str">
        <f>IF($K82="","",IFERROR(INDEX('Veri Merkezi'!$S$2:$S$1001,$K82),""))</f>
        <v/>
      </c>
      <c r="I82" s="2" t="str">
        <f>IF($K82="","",IFERROR(INDEX('Veri Merkezi'!$T$2:$T$1001,$K82),""))</f>
        <v/>
      </c>
      <c r="J82" t="str">
        <f>IF($K82="","",IFERROR(INDEX('Veri Merkezi'!$U$2:$U$1001,$K82),""))</f>
        <v/>
      </c>
      <c r="K82" t="str">
        <f>IF(K81="","",IFERROR(K81+MATCH("A Liste",INDEX('Veri Merkezi'!$S$2:$S$1001,K81+1):'Veri Merkezi'!$S$1001,0),""))</f>
        <v/>
      </c>
    </row>
    <row r="83" spans="1:11">
      <c r="A83" t="str">
        <f>IF($K83="","",IFERROR(INDEX('Veri Merkezi'!$A$2:$A$1001,$K83),""))</f>
        <v/>
      </c>
      <c r="B83" t="str">
        <f>IF($K83="","",IFERROR(INDEX('Veri Merkezi'!$E$2:$E$1001,$K83),""))</f>
        <v/>
      </c>
      <c r="C83" t="str">
        <f>IF($K83="","",IFERROR(INDEX('Veri Merkezi'!$D$2:$D$1001,$K83),""))</f>
        <v/>
      </c>
      <c r="D83" t="str">
        <f>IF($K83="","",IFERROR(INDEX('Veri Merkezi'!$F$2:$F$1001,$K83),""))</f>
        <v/>
      </c>
      <c r="E83" s="2" t="str">
        <f>IF($K83="","",IFERROR(INDEX('Veri Merkezi'!$G$2:$G$1001,$K83),""))</f>
        <v/>
      </c>
      <c r="F83" t="str">
        <f>IF($K83="","",IFERROR(INDEX('Veri Merkezi'!$H$2:$H$1001,$K83),""))</f>
        <v/>
      </c>
      <c r="G83" t="str">
        <f>IF($K83="","",IFERROR(INDEX('Veri Merkezi'!$R$2:$R$1001,$K83),""))</f>
        <v/>
      </c>
      <c r="H83" t="str">
        <f>IF($K83="","",IFERROR(INDEX('Veri Merkezi'!$S$2:$S$1001,$K83),""))</f>
        <v/>
      </c>
      <c r="I83" s="2" t="str">
        <f>IF($K83="","",IFERROR(INDEX('Veri Merkezi'!$T$2:$T$1001,$K83),""))</f>
        <v/>
      </c>
      <c r="J83" t="str">
        <f>IF($K83="","",IFERROR(INDEX('Veri Merkezi'!$U$2:$U$1001,$K83),""))</f>
        <v/>
      </c>
      <c r="K83" t="str">
        <f>IF(K82="","",IFERROR(K82+MATCH("A Liste",INDEX('Veri Merkezi'!$S$2:$S$1001,K82+1):'Veri Merkezi'!$S$1001,0),""))</f>
        <v/>
      </c>
    </row>
    <row r="84" spans="1:11">
      <c r="A84" t="str">
        <f>IF($K84="","",IFERROR(INDEX('Veri Merkezi'!$A$2:$A$1001,$K84),""))</f>
        <v/>
      </c>
      <c r="B84" t="str">
        <f>IF($K84="","",IFERROR(INDEX('Veri Merkezi'!$E$2:$E$1001,$K84),""))</f>
        <v/>
      </c>
      <c r="C84" t="str">
        <f>IF($K84="","",IFERROR(INDEX('Veri Merkezi'!$D$2:$D$1001,$K84),""))</f>
        <v/>
      </c>
      <c r="D84" t="str">
        <f>IF($K84="","",IFERROR(INDEX('Veri Merkezi'!$F$2:$F$1001,$K84),""))</f>
        <v/>
      </c>
      <c r="E84" s="2" t="str">
        <f>IF($K84="","",IFERROR(INDEX('Veri Merkezi'!$G$2:$G$1001,$K84),""))</f>
        <v/>
      </c>
      <c r="F84" t="str">
        <f>IF($K84="","",IFERROR(INDEX('Veri Merkezi'!$H$2:$H$1001,$K84),""))</f>
        <v/>
      </c>
      <c r="G84" t="str">
        <f>IF($K84="","",IFERROR(INDEX('Veri Merkezi'!$R$2:$R$1001,$K84),""))</f>
        <v/>
      </c>
      <c r="H84" t="str">
        <f>IF($K84="","",IFERROR(INDEX('Veri Merkezi'!$S$2:$S$1001,$K84),""))</f>
        <v/>
      </c>
      <c r="I84" s="2" t="str">
        <f>IF($K84="","",IFERROR(INDEX('Veri Merkezi'!$T$2:$T$1001,$K84),""))</f>
        <v/>
      </c>
      <c r="J84" t="str">
        <f>IF($K84="","",IFERROR(INDEX('Veri Merkezi'!$U$2:$U$1001,$K84),""))</f>
        <v/>
      </c>
      <c r="K84" t="str">
        <f>IF(K83="","",IFERROR(K83+MATCH("A Liste",INDEX('Veri Merkezi'!$S$2:$S$1001,K83+1):'Veri Merkezi'!$S$1001,0),""))</f>
        <v/>
      </c>
    </row>
    <row r="85" spans="1:11">
      <c r="A85" t="str">
        <f>IF($K85="","",IFERROR(INDEX('Veri Merkezi'!$A$2:$A$1001,$K85),""))</f>
        <v/>
      </c>
      <c r="B85" t="str">
        <f>IF($K85="","",IFERROR(INDEX('Veri Merkezi'!$E$2:$E$1001,$K85),""))</f>
        <v/>
      </c>
      <c r="C85" t="str">
        <f>IF($K85="","",IFERROR(INDEX('Veri Merkezi'!$D$2:$D$1001,$K85),""))</f>
        <v/>
      </c>
      <c r="D85" t="str">
        <f>IF($K85="","",IFERROR(INDEX('Veri Merkezi'!$F$2:$F$1001,$K85),""))</f>
        <v/>
      </c>
      <c r="E85" s="2" t="str">
        <f>IF($K85="","",IFERROR(INDEX('Veri Merkezi'!$G$2:$G$1001,$K85),""))</f>
        <v/>
      </c>
      <c r="F85" t="str">
        <f>IF($K85="","",IFERROR(INDEX('Veri Merkezi'!$H$2:$H$1001,$K85),""))</f>
        <v/>
      </c>
      <c r="G85" t="str">
        <f>IF($K85="","",IFERROR(INDEX('Veri Merkezi'!$R$2:$R$1001,$K85),""))</f>
        <v/>
      </c>
      <c r="H85" t="str">
        <f>IF($K85="","",IFERROR(INDEX('Veri Merkezi'!$S$2:$S$1001,$K85),""))</f>
        <v/>
      </c>
      <c r="I85" s="2" t="str">
        <f>IF($K85="","",IFERROR(INDEX('Veri Merkezi'!$T$2:$T$1001,$K85),""))</f>
        <v/>
      </c>
      <c r="J85" t="str">
        <f>IF($K85="","",IFERROR(INDEX('Veri Merkezi'!$U$2:$U$1001,$K85),""))</f>
        <v/>
      </c>
      <c r="K85" t="str">
        <f>IF(K84="","",IFERROR(K84+MATCH("A Liste",INDEX('Veri Merkezi'!$S$2:$S$1001,K84+1):'Veri Merkezi'!$S$1001,0),""))</f>
        <v/>
      </c>
    </row>
    <row r="86" spans="1:11">
      <c r="A86" t="str">
        <f>IF($K86="","",IFERROR(INDEX('Veri Merkezi'!$A$2:$A$1001,$K86),""))</f>
        <v/>
      </c>
      <c r="B86" t="str">
        <f>IF($K86="","",IFERROR(INDEX('Veri Merkezi'!$E$2:$E$1001,$K86),""))</f>
        <v/>
      </c>
      <c r="C86" t="str">
        <f>IF($K86="","",IFERROR(INDEX('Veri Merkezi'!$D$2:$D$1001,$K86),""))</f>
        <v/>
      </c>
      <c r="D86" t="str">
        <f>IF($K86="","",IFERROR(INDEX('Veri Merkezi'!$F$2:$F$1001,$K86),""))</f>
        <v/>
      </c>
      <c r="E86" s="2" t="str">
        <f>IF($K86="","",IFERROR(INDEX('Veri Merkezi'!$G$2:$G$1001,$K86),""))</f>
        <v/>
      </c>
      <c r="F86" t="str">
        <f>IF($K86="","",IFERROR(INDEX('Veri Merkezi'!$H$2:$H$1001,$K86),""))</f>
        <v/>
      </c>
      <c r="G86" t="str">
        <f>IF($K86="","",IFERROR(INDEX('Veri Merkezi'!$R$2:$R$1001,$K86),""))</f>
        <v/>
      </c>
      <c r="H86" t="str">
        <f>IF($K86="","",IFERROR(INDEX('Veri Merkezi'!$S$2:$S$1001,$K86),""))</f>
        <v/>
      </c>
      <c r="I86" s="2" t="str">
        <f>IF($K86="","",IFERROR(INDEX('Veri Merkezi'!$T$2:$T$1001,$K86),""))</f>
        <v/>
      </c>
      <c r="J86" t="str">
        <f>IF($K86="","",IFERROR(INDEX('Veri Merkezi'!$U$2:$U$1001,$K86),""))</f>
        <v/>
      </c>
      <c r="K86" t="str">
        <f>IF(K85="","",IFERROR(K85+MATCH("A Liste",INDEX('Veri Merkezi'!$S$2:$S$1001,K85+1):'Veri Merkezi'!$S$1001,0),""))</f>
        <v/>
      </c>
    </row>
    <row r="87" spans="1:11">
      <c r="A87" t="str">
        <f>IF($K87="","",IFERROR(INDEX('Veri Merkezi'!$A$2:$A$1001,$K87),""))</f>
        <v/>
      </c>
      <c r="B87" t="str">
        <f>IF($K87="","",IFERROR(INDEX('Veri Merkezi'!$E$2:$E$1001,$K87),""))</f>
        <v/>
      </c>
      <c r="C87" t="str">
        <f>IF($K87="","",IFERROR(INDEX('Veri Merkezi'!$D$2:$D$1001,$K87),""))</f>
        <v/>
      </c>
      <c r="D87" t="str">
        <f>IF($K87="","",IFERROR(INDEX('Veri Merkezi'!$F$2:$F$1001,$K87),""))</f>
        <v/>
      </c>
      <c r="E87" s="2" t="str">
        <f>IF($K87="","",IFERROR(INDEX('Veri Merkezi'!$G$2:$G$1001,$K87),""))</f>
        <v/>
      </c>
      <c r="F87" t="str">
        <f>IF($K87="","",IFERROR(INDEX('Veri Merkezi'!$H$2:$H$1001,$K87),""))</f>
        <v/>
      </c>
      <c r="G87" t="str">
        <f>IF($K87="","",IFERROR(INDEX('Veri Merkezi'!$R$2:$R$1001,$K87),""))</f>
        <v/>
      </c>
      <c r="H87" t="str">
        <f>IF($K87="","",IFERROR(INDEX('Veri Merkezi'!$S$2:$S$1001,$K87),""))</f>
        <v/>
      </c>
      <c r="I87" s="2" t="str">
        <f>IF($K87="","",IFERROR(INDEX('Veri Merkezi'!$T$2:$T$1001,$K87),""))</f>
        <v/>
      </c>
      <c r="J87" t="str">
        <f>IF($K87="","",IFERROR(INDEX('Veri Merkezi'!$U$2:$U$1001,$K87),""))</f>
        <v/>
      </c>
      <c r="K87" t="str">
        <f>IF(K86="","",IFERROR(K86+MATCH("A Liste",INDEX('Veri Merkezi'!$S$2:$S$1001,K86+1):'Veri Merkezi'!$S$1001,0),""))</f>
        <v/>
      </c>
    </row>
    <row r="88" spans="1:11">
      <c r="A88" t="str">
        <f>IF($K88="","",IFERROR(INDEX('Veri Merkezi'!$A$2:$A$1001,$K88),""))</f>
        <v/>
      </c>
      <c r="B88" t="str">
        <f>IF($K88="","",IFERROR(INDEX('Veri Merkezi'!$E$2:$E$1001,$K88),""))</f>
        <v/>
      </c>
      <c r="C88" t="str">
        <f>IF($K88="","",IFERROR(INDEX('Veri Merkezi'!$D$2:$D$1001,$K88),""))</f>
        <v/>
      </c>
      <c r="D88" t="str">
        <f>IF($K88="","",IFERROR(INDEX('Veri Merkezi'!$F$2:$F$1001,$K88),""))</f>
        <v/>
      </c>
      <c r="E88" s="2" t="str">
        <f>IF($K88="","",IFERROR(INDEX('Veri Merkezi'!$G$2:$G$1001,$K88),""))</f>
        <v/>
      </c>
      <c r="F88" t="str">
        <f>IF($K88="","",IFERROR(INDEX('Veri Merkezi'!$H$2:$H$1001,$K88),""))</f>
        <v/>
      </c>
      <c r="G88" t="str">
        <f>IF($K88="","",IFERROR(INDEX('Veri Merkezi'!$R$2:$R$1001,$K88),""))</f>
        <v/>
      </c>
      <c r="H88" t="str">
        <f>IF($K88="","",IFERROR(INDEX('Veri Merkezi'!$S$2:$S$1001,$K88),""))</f>
        <v/>
      </c>
      <c r="I88" s="2" t="str">
        <f>IF($K88="","",IFERROR(INDEX('Veri Merkezi'!$T$2:$T$1001,$K88),""))</f>
        <v/>
      </c>
      <c r="J88" t="str">
        <f>IF($K88="","",IFERROR(INDEX('Veri Merkezi'!$U$2:$U$1001,$K88),""))</f>
        <v/>
      </c>
      <c r="K88" t="str">
        <f>IF(K87="","",IFERROR(K87+MATCH("A Liste",INDEX('Veri Merkezi'!$S$2:$S$1001,K87+1):'Veri Merkezi'!$S$1001,0),""))</f>
        <v/>
      </c>
    </row>
    <row r="89" spans="1:11">
      <c r="A89" t="str">
        <f>IF($K89="","",IFERROR(INDEX('Veri Merkezi'!$A$2:$A$1001,$K89),""))</f>
        <v/>
      </c>
      <c r="B89" t="str">
        <f>IF($K89="","",IFERROR(INDEX('Veri Merkezi'!$E$2:$E$1001,$K89),""))</f>
        <v/>
      </c>
      <c r="C89" t="str">
        <f>IF($K89="","",IFERROR(INDEX('Veri Merkezi'!$D$2:$D$1001,$K89),""))</f>
        <v/>
      </c>
      <c r="D89" t="str">
        <f>IF($K89="","",IFERROR(INDEX('Veri Merkezi'!$F$2:$F$1001,$K89),""))</f>
        <v/>
      </c>
      <c r="E89" s="2" t="str">
        <f>IF($K89="","",IFERROR(INDEX('Veri Merkezi'!$G$2:$G$1001,$K89),""))</f>
        <v/>
      </c>
      <c r="F89" t="str">
        <f>IF($K89="","",IFERROR(INDEX('Veri Merkezi'!$H$2:$H$1001,$K89),""))</f>
        <v/>
      </c>
      <c r="G89" t="str">
        <f>IF($K89="","",IFERROR(INDEX('Veri Merkezi'!$R$2:$R$1001,$K89),""))</f>
        <v/>
      </c>
      <c r="H89" t="str">
        <f>IF($K89="","",IFERROR(INDEX('Veri Merkezi'!$S$2:$S$1001,$K89),""))</f>
        <v/>
      </c>
      <c r="I89" s="2" t="str">
        <f>IF($K89="","",IFERROR(INDEX('Veri Merkezi'!$T$2:$T$1001,$K89),""))</f>
        <v/>
      </c>
      <c r="J89" t="str">
        <f>IF($K89="","",IFERROR(INDEX('Veri Merkezi'!$U$2:$U$1001,$K89),""))</f>
        <v/>
      </c>
      <c r="K89" t="str">
        <f>IF(K88="","",IFERROR(K88+MATCH("A Liste",INDEX('Veri Merkezi'!$S$2:$S$1001,K88+1):'Veri Merkezi'!$S$1001,0),""))</f>
        <v/>
      </c>
    </row>
    <row r="90" spans="1:11">
      <c r="A90" t="str">
        <f>IF($K90="","",IFERROR(INDEX('Veri Merkezi'!$A$2:$A$1001,$K90),""))</f>
        <v/>
      </c>
      <c r="B90" t="str">
        <f>IF($K90="","",IFERROR(INDEX('Veri Merkezi'!$E$2:$E$1001,$K90),""))</f>
        <v/>
      </c>
      <c r="C90" t="str">
        <f>IF($K90="","",IFERROR(INDEX('Veri Merkezi'!$D$2:$D$1001,$K90),""))</f>
        <v/>
      </c>
      <c r="D90" t="str">
        <f>IF($K90="","",IFERROR(INDEX('Veri Merkezi'!$F$2:$F$1001,$K90),""))</f>
        <v/>
      </c>
      <c r="E90" s="2" t="str">
        <f>IF($K90="","",IFERROR(INDEX('Veri Merkezi'!$G$2:$G$1001,$K90),""))</f>
        <v/>
      </c>
      <c r="F90" t="str">
        <f>IF($K90="","",IFERROR(INDEX('Veri Merkezi'!$H$2:$H$1001,$K90),""))</f>
        <v/>
      </c>
      <c r="G90" t="str">
        <f>IF($K90="","",IFERROR(INDEX('Veri Merkezi'!$R$2:$R$1001,$K90),""))</f>
        <v/>
      </c>
      <c r="H90" t="str">
        <f>IF($K90="","",IFERROR(INDEX('Veri Merkezi'!$S$2:$S$1001,$K90),""))</f>
        <v/>
      </c>
      <c r="I90" s="2" t="str">
        <f>IF($K90="","",IFERROR(INDEX('Veri Merkezi'!$T$2:$T$1001,$K90),""))</f>
        <v/>
      </c>
      <c r="J90" t="str">
        <f>IF($K90="","",IFERROR(INDEX('Veri Merkezi'!$U$2:$U$1001,$K90),""))</f>
        <v/>
      </c>
      <c r="K90" t="str">
        <f>IF(K89="","",IFERROR(K89+MATCH("A Liste",INDEX('Veri Merkezi'!$S$2:$S$1001,K89+1):'Veri Merkezi'!$S$1001,0),""))</f>
        <v/>
      </c>
    </row>
    <row r="91" spans="1:11">
      <c r="A91" t="str">
        <f>IF($K91="","",IFERROR(INDEX('Veri Merkezi'!$A$2:$A$1001,$K91),""))</f>
        <v/>
      </c>
      <c r="B91" t="str">
        <f>IF($K91="","",IFERROR(INDEX('Veri Merkezi'!$E$2:$E$1001,$K91),""))</f>
        <v/>
      </c>
      <c r="C91" t="str">
        <f>IF($K91="","",IFERROR(INDEX('Veri Merkezi'!$D$2:$D$1001,$K91),""))</f>
        <v/>
      </c>
      <c r="D91" t="str">
        <f>IF($K91="","",IFERROR(INDEX('Veri Merkezi'!$F$2:$F$1001,$K91),""))</f>
        <v/>
      </c>
      <c r="E91" s="2" t="str">
        <f>IF($K91="","",IFERROR(INDEX('Veri Merkezi'!$G$2:$G$1001,$K91),""))</f>
        <v/>
      </c>
      <c r="F91" t="str">
        <f>IF($K91="","",IFERROR(INDEX('Veri Merkezi'!$H$2:$H$1001,$K91),""))</f>
        <v/>
      </c>
      <c r="G91" t="str">
        <f>IF($K91="","",IFERROR(INDEX('Veri Merkezi'!$R$2:$R$1001,$K91),""))</f>
        <v/>
      </c>
      <c r="H91" t="str">
        <f>IF($K91="","",IFERROR(INDEX('Veri Merkezi'!$S$2:$S$1001,$K91),""))</f>
        <v/>
      </c>
      <c r="I91" s="2" t="str">
        <f>IF($K91="","",IFERROR(INDEX('Veri Merkezi'!$T$2:$T$1001,$K91),""))</f>
        <v/>
      </c>
      <c r="J91" t="str">
        <f>IF($K91="","",IFERROR(INDEX('Veri Merkezi'!$U$2:$U$1001,$K91),""))</f>
        <v/>
      </c>
      <c r="K91" t="str">
        <f>IF(K90="","",IFERROR(K90+MATCH("A Liste",INDEX('Veri Merkezi'!$S$2:$S$1001,K90+1):'Veri Merkezi'!$S$1001,0),""))</f>
        <v/>
      </c>
    </row>
    <row r="92" spans="1:11">
      <c r="A92" t="str">
        <f>IF($K92="","",IFERROR(INDEX('Veri Merkezi'!$A$2:$A$1001,$K92),""))</f>
        <v/>
      </c>
      <c r="B92" t="str">
        <f>IF($K92="","",IFERROR(INDEX('Veri Merkezi'!$E$2:$E$1001,$K92),""))</f>
        <v/>
      </c>
      <c r="C92" t="str">
        <f>IF($K92="","",IFERROR(INDEX('Veri Merkezi'!$D$2:$D$1001,$K92),""))</f>
        <v/>
      </c>
      <c r="D92" t="str">
        <f>IF($K92="","",IFERROR(INDEX('Veri Merkezi'!$F$2:$F$1001,$K92),""))</f>
        <v/>
      </c>
      <c r="E92" s="2" t="str">
        <f>IF($K92="","",IFERROR(INDEX('Veri Merkezi'!$G$2:$G$1001,$K92),""))</f>
        <v/>
      </c>
      <c r="F92" t="str">
        <f>IF($K92="","",IFERROR(INDEX('Veri Merkezi'!$H$2:$H$1001,$K92),""))</f>
        <v/>
      </c>
      <c r="G92" t="str">
        <f>IF($K92="","",IFERROR(INDEX('Veri Merkezi'!$R$2:$R$1001,$K92),""))</f>
        <v/>
      </c>
      <c r="H92" t="str">
        <f>IF($K92="","",IFERROR(INDEX('Veri Merkezi'!$S$2:$S$1001,$K92),""))</f>
        <v/>
      </c>
      <c r="I92" s="2" t="str">
        <f>IF($K92="","",IFERROR(INDEX('Veri Merkezi'!$T$2:$T$1001,$K92),""))</f>
        <v/>
      </c>
      <c r="J92" t="str">
        <f>IF($K92="","",IFERROR(INDEX('Veri Merkezi'!$U$2:$U$1001,$K92),""))</f>
        <v/>
      </c>
      <c r="K92" t="str">
        <f>IF(K91="","",IFERROR(K91+MATCH("A Liste",INDEX('Veri Merkezi'!$S$2:$S$1001,K91+1):'Veri Merkezi'!$S$1001,0),""))</f>
        <v/>
      </c>
    </row>
    <row r="93" spans="1:11">
      <c r="A93" t="str">
        <f>IF($K93="","",IFERROR(INDEX('Veri Merkezi'!$A$2:$A$1001,$K93),""))</f>
        <v/>
      </c>
      <c r="B93" t="str">
        <f>IF($K93="","",IFERROR(INDEX('Veri Merkezi'!$E$2:$E$1001,$K93),""))</f>
        <v/>
      </c>
      <c r="C93" t="str">
        <f>IF($K93="","",IFERROR(INDEX('Veri Merkezi'!$D$2:$D$1001,$K93),""))</f>
        <v/>
      </c>
      <c r="D93" t="str">
        <f>IF($K93="","",IFERROR(INDEX('Veri Merkezi'!$F$2:$F$1001,$K93),""))</f>
        <v/>
      </c>
      <c r="E93" s="2" t="str">
        <f>IF($K93="","",IFERROR(INDEX('Veri Merkezi'!$G$2:$G$1001,$K93),""))</f>
        <v/>
      </c>
      <c r="F93" t="str">
        <f>IF($K93="","",IFERROR(INDEX('Veri Merkezi'!$H$2:$H$1001,$K93),""))</f>
        <v/>
      </c>
      <c r="G93" t="str">
        <f>IF($K93="","",IFERROR(INDEX('Veri Merkezi'!$R$2:$R$1001,$K93),""))</f>
        <v/>
      </c>
      <c r="H93" t="str">
        <f>IF($K93="","",IFERROR(INDEX('Veri Merkezi'!$S$2:$S$1001,$K93),""))</f>
        <v/>
      </c>
      <c r="I93" s="2" t="str">
        <f>IF($K93="","",IFERROR(INDEX('Veri Merkezi'!$T$2:$T$1001,$K93),""))</f>
        <v/>
      </c>
      <c r="J93" t="str">
        <f>IF($K93="","",IFERROR(INDEX('Veri Merkezi'!$U$2:$U$1001,$K93),""))</f>
        <v/>
      </c>
      <c r="K93" t="str">
        <f>IF(K92="","",IFERROR(K92+MATCH("A Liste",INDEX('Veri Merkezi'!$S$2:$S$1001,K92+1):'Veri Merkezi'!$S$1001,0),""))</f>
        <v/>
      </c>
    </row>
    <row r="94" spans="1:11">
      <c r="A94" t="str">
        <f>IF($K94="","",IFERROR(INDEX('Veri Merkezi'!$A$2:$A$1001,$K94),""))</f>
        <v/>
      </c>
      <c r="B94" t="str">
        <f>IF($K94="","",IFERROR(INDEX('Veri Merkezi'!$E$2:$E$1001,$K94),""))</f>
        <v/>
      </c>
      <c r="C94" t="str">
        <f>IF($K94="","",IFERROR(INDEX('Veri Merkezi'!$D$2:$D$1001,$K94),""))</f>
        <v/>
      </c>
      <c r="D94" t="str">
        <f>IF($K94="","",IFERROR(INDEX('Veri Merkezi'!$F$2:$F$1001,$K94),""))</f>
        <v/>
      </c>
      <c r="E94" s="2" t="str">
        <f>IF($K94="","",IFERROR(INDEX('Veri Merkezi'!$G$2:$G$1001,$K94),""))</f>
        <v/>
      </c>
      <c r="F94" t="str">
        <f>IF($K94="","",IFERROR(INDEX('Veri Merkezi'!$H$2:$H$1001,$K94),""))</f>
        <v/>
      </c>
      <c r="G94" t="str">
        <f>IF($K94="","",IFERROR(INDEX('Veri Merkezi'!$R$2:$R$1001,$K94),""))</f>
        <v/>
      </c>
      <c r="H94" t="str">
        <f>IF($K94="","",IFERROR(INDEX('Veri Merkezi'!$S$2:$S$1001,$K94),""))</f>
        <v/>
      </c>
      <c r="I94" s="2" t="str">
        <f>IF($K94="","",IFERROR(INDEX('Veri Merkezi'!$T$2:$T$1001,$K94),""))</f>
        <v/>
      </c>
      <c r="J94" t="str">
        <f>IF($K94="","",IFERROR(INDEX('Veri Merkezi'!$U$2:$U$1001,$K94),""))</f>
        <v/>
      </c>
      <c r="K94" t="str">
        <f>IF(K93="","",IFERROR(K93+MATCH("A Liste",INDEX('Veri Merkezi'!$S$2:$S$1001,K93+1):'Veri Merkezi'!$S$1001,0),""))</f>
        <v/>
      </c>
    </row>
    <row r="95" spans="1:11">
      <c r="A95" t="str">
        <f>IF($K95="","",IFERROR(INDEX('Veri Merkezi'!$A$2:$A$1001,$K95),""))</f>
        <v/>
      </c>
      <c r="B95" t="str">
        <f>IF($K95="","",IFERROR(INDEX('Veri Merkezi'!$E$2:$E$1001,$K95),""))</f>
        <v/>
      </c>
      <c r="C95" t="str">
        <f>IF($K95="","",IFERROR(INDEX('Veri Merkezi'!$D$2:$D$1001,$K95),""))</f>
        <v/>
      </c>
      <c r="D95" t="str">
        <f>IF($K95="","",IFERROR(INDEX('Veri Merkezi'!$F$2:$F$1001,$K95),""))</f>
        <v/>
      </c>
      <c r="E95" s="2" t="str">
        <f>IF($K95="","",IFERROR(INDEX('Veri Merkezi'!$G$2:$G$1001,$K95),""))</f>
        <v/>
      </c>
      <c r="F95" t="str">
        <f>IF($K95="","",IFERROR(INDEX('Veri Merkezi'!$H$2:$H$1001,$K95),""))</f>
        <v/>
      </c>
      <c r="G95" t="str">
        <f>IF($K95="","",IFERROR(INDEX('Veri Merkezi'!$R$2:$R$1001,$K95),""))</f>
        <v/>
      </c>
      <c r="H95" t="str">
        <f>IF($K95="","",IFERROR(INDEX('Veri Merkezi'!$S$2:$S$1001,$K95),""))</f>
        <v/>
      </c>
      <c r="I95" s="2" t="str">
        <f>IF($K95="","",IFERROR(INDEX('Veri Merkezi'!$T$2:$T$1001,$K95),""))</f>
        <v/>
      </c>
      <c r="J95" t="str">
        <f>IF($K95="","",IFERROR(INDEX('Veri Merkezi'!$U$2:$U$1001,$K95),""))</f>
        <v/>
      </c>
      <c r="K95" t="str">
        <f>IF(K94="","",IFERROR(K94+MATCH("A Liste",INDEX('Veri Merkezi'!$S$2:$S$1001,K94+1):'Veri Merkezi'!$S$1001,0),""))</f>
        <v/>
      </c>
    </row>
    <row r="96" spans="1:11">
      <c r="A96" t="str">
        <f>IF($K96="","",IFERROR(INDEX('Veri Merkezi'!$A$2:$A$1001,$K96),""))</f>
        <v/>
      </c>
      <c r="B96" t="str">
        <f>IF($K96="","",IFERROR(INDEX('Veri Merkezi'!$E$2:$E$1001,$K96),""))</f>
        <v/>
      </c>
      <c r="C96" t="str">
        <f>IF($K96="","",IFERROR(INDEX('Veri Merkezi'!$D$2:$D$1001,$K96),""))</f>
        <v/>
      </c>
      <c r="D96" t="str">
        <f>IF($K96="","",IFERROR(INDEX('Veri Merkezi'!$F$2:$F$1001,$K96),""))</f>
        <v/>
      </c>
      <c r="E96" s="2" t="str">
        <f>IF($K96="","",IFERROR(INDEX('Veri Merkezi'!$G$2:$G$1001,$K96),""))</f>
        <v/>
      </c>
      <c r="F96" t="str">
        <f>IF($K96="","",IFERROR(INDEX('Veri Merkezi'!$H$2:$H$1001,$K96),""))</f>
        <v/>
      </c>
      <c r="G96" t="str">
        <f>IF($K96="","",IFERROR(INDEX('Veri Merkezi'!$R$2:$R$1001,$K96),""))</f>
        <v/>
      </c>
      <c r="H96" t="str">
        <f>IF($K96="","",IFERROR(INDEX('Veri Merkezi'!$S$2:$S$1001,$K96),""))</f>
        <v/>
      </c>
      <c r="I96" s="2" t="str">
        <f>IF($K96="","",IFERROR(INDEX('Veri Merkezi'!$T$2:$T$1001,$K96),""))</f>
        <v/>
      </c>
      <c r="J96" t="str">
        <f>IF($K96="","",IFERROR(INDEX('Veri Merkezi'!$U$2:$U$1001,$K96),""))</f>
        <v/>
      </c>
      <c r="K96" t="str">
        <f>IF(K95="","",IFERROR(K95+MATCH("A Liste",INDEX('Veri Merkezi'!$S$2:$S$1001,K95+1):'Veri Merkezi'!$S$1001,0),""))</f>
        <v/>
      </c>
    </row>
    <row r="97" spans="1:11">
      <c r="A97" t="str">
        <f>IF($K97="","",IFERROR(INDEX('Veri Merkezi'!$A$2:$A$1001,$K97),""))</f>
        <v/>
      </c>
      <c r="B97" t="str">
        <f>IF($K97="","",IFERROR(INDEX('Veri Merkezi'!$E$2:$E$1001,$K97),""))</f>
        <v/>
      </c>
      <c r="C97" t="str">
        <f>IF($K97="","",IFERROR(INDEX('Veri Merkezi'!$D$2:$D$1001,$K97),""))</f>
        <v/>
      </c>
      <c r="D97" t="str">
        <f>IF($K97="","",IFERROR(INDEX('Veri Merkezi'!$F$2:$F$1001,$K97),""))</f>
        <v/>
      </c>
      <c r="E97" s="2" t="str">
        <f>IF($K97="","",IFERROR(INDEX('Veri Merkezi'!$G$2:$G$1001,$K97),""))</f>
        <v/>
      </c>
      <c r="F97" t="str">
        <f>IF($K97="","",IFERROR(INDEX('Veri Merkezi'!$H$2:$H$1001,$K97),""))</f>
        <v/>
      </c>
      <c r="G97" t="str">
        <f>IF($K97="","",IFERROR(INDEX('Veri Merkezi'!$R$2:$R$1001,$K97),""))</f>
        <v/>
      </c>
      <c r="H97" t="str">
        <f>IF($K97="","",IFERROR(INDEX('Veri Merkezi'!$S$2:$S$1001,$K97),""))</f>
        <v/>
      </c>
      <c r="I97" s="2" t="str">
        <f>IF($K97="","",IFERROR(INDEX('Veri Merkezi'!$T$2:$T$1001,$K97),""))</f>
        <v/>
      </c>
      <c r="J97" t="str">
        <f>IF($K97="","",IFERROR(INDEX('Veri Merkezi'!$U$2:$U$1001,$K97),""))</f>
        <v/>
      </c>
      <c r="K97" t="str">
        <f>IF(K96="","",IFERROR(K96+MATCH("A Liste",INDEX('Veri Merkezi'!$S$2:$S$1001,K96+1):'Veri Merkezi'!$S$1001,0),""))</f>
        <v/>
      </c>
    </row>
    <row r="98" spans="1:11">
      <c r="A98" t="str">
        <f>IF($K98="","",IFERROR(INDEX('Veri Merkezi'!$A$2:$A$1001,$K98),""))</f>
        <v/>
      </c>
      <c r="B98" t="str">
        <f>IF($K98="","",IFERROR(INDEX('Veri Merkezi'!$E$2:$E$1001,$K98),""))</f>
        <v/>
      </c>
      <c r="C98" t="str">
        <f>IF($K98="","",IFERROR(INDEX('Veri Merkezi'!$D$2:$D$1001,$K98),""))</f>
        <v/>
      </c>
      <c r="D98" t="str">
        <f>IF($K98="","",IFERROR(INDEX('Veri Merkezi'!$F$2:$F$1001,$K98),""))</f>
        <v/>
      </c>
      <c r="E98" s="2" t="str">
        <f>IF($K98="","",IFERROR(INDEX('Veri Merkezi'!$G$2:$G$1001,$K98),""))</f>
        <v/>
      </c>
      <c r="F98" t="str">
        <f>IF($K98="","",IFERROR(INDEX('Veri Merkezi'!$H$2:$H$1001,$K98),""))</f>
        <v/>
      </c>
      <c r="G98" t="str">
        <f>IF($K98="","",IFERROR(INDEX('Veri Merkezi'!$R$2:$R$1001,$K98),""))</f>
        <v/>
      </c>
      <c r="H98" t="str">
        <f>IF($K98="","",IFERROR(INDEX('Veri Merkezi'!$S$2:$S$1001,$K98),""))</f>
        <v/>
      </c>
      <c r="I98" s="2" t="str">
        <f>IF($K98="","",IFERROR(INDEX('Veri Merkezi'!$T$2:$T$1001,$K98),""))</f>
        <v/>
      </c>
      <c r="J98" t="str">
        <f>IF($K98="","",IFERROR(INDEX('Veri Merkezi'!$U$2:$U$1001,$K98),""))</f>
        <v/>
      </c>
      <c r="K98" t="str">
        <f>IF(K97="","",IFERROR(K97+MATCH("A Liste",INDEX('Veri Merkezi'!$S$2:$S$1001,K97+1):'Veri Merkezi'!$S$1001,0),""))</f>
        <v/>
      </c>
    </row>
    <row r="99" spans="1:11">
      <c r="A99" t="str">
        <f>IF($K99="","",IFERROR(INDEX('Veri Merkezi'!$A$2:$A$1001,$K99),""))</f>
        <v/>
      </c>
      <c r="B99" t="str">
        <f>IF($K99="","",IFERROR(INDEX('Veri Merkezi'!$E$2:$E$1001,$K99),""))</f>
        <v/>
      </c>
      <c r="C99" t="str">
        <f>IF($K99="","",IFERROR(INDEX('Veri Merkezi'!$D$2:$D$1001,$K99),""))</f>
        <v/>
      </c>
      <c r="D99" t="str">
        <f>IF($K99="","",IFERROR(INDEX('Veri Merkezi'!$F$2:$F$1001,$K99),""))</f>
        <v/>
      </c>
      <c r="E99" s="2" t="str">
        <f>IF($K99="","",IFERROR(INDEX('Veri Merkezi'!$G$2:$G$1001,$K99),""))</f>
        <v/>
      </c>
      <c r="F99" t="str">
        <f>IF($K99="","",IFERROR(INDEX('Veri Merkezi'!$H$2:$H$1001,$K99),""))</f>
        <v/>
      </c>
      <c r="G99" t="str">
        <f>IF($K99="","",IFERROR(INDEX('Veri Merkezi'!$R$2:$R$1001,$K99),""))</f>
        <v/>
      </c>
      <c r="H99" t="str">
        <f>IF($K99="","",IFERROR(INDEX('Veri Merkezi'!$S$2:$S$1001,$K99),""))</f>
        <v/>
      </c>
      <c r="I99" s="2" t="str">
        <f>IF($K99="","",IFERROR(INDEX('Veri Merkezi'!$T$2:$T$1001,$K99),""))</f>
        <v/>
      </c>
      <c r="J99" t="str">
        <f>IF($K99="","",IFERROR(INDEX('Veri Merkezi'!$U$2:$U$1001,$K99),""))</f>
        <v/>
      </c>
      <c r="K99" t="str">
        <f>IF(K98="","",IFERROR(K98+MATCH("A Liste",INDEX('Veri Merkezi'!$S$2:$S$1001,K98+1):'Veri Merkezi'!$S$1001,0),""))</f>
        <v/>
      </c>
    </row>
    <row r="100" spans="1:11">
      <c r="A100" t="str">
        <f>IF($K100="","",IFERROR(INDEX('Veri Merkezi'!$A$2:$A$1001,$K100),""))</f>
        <v/>
      </c>
      <c r="B100" t="str">
        <f>IF($K100="","",IFERROR(INDEX('Veri Merkezi'!$E$2:$E$1001,$K100),""))</f>
        <v/>
      </c>
      <c r="C100" t="str">
        <f>IF($K100="","",IFERROR(INDEX('Veri Merkezi'!$D$2:$D$1001,$K100),""))</f>
        <v/>
      </c>
      <c r="D100" t="str">
        <f>IF($K100="","",IFERROR(INDEX('Veri Merkezi'!$F$2:$F$1001,$K100),""))</f>
        <v/>
      </c>
      <c r="E100" s="2" t="str">
        <f>IF($K100="","",IFERROR(INDEX('Veri Merkezi'!$G$2:$G$1001,$K100),""))</f>
        <v/>
      </c>
      <c r="F100" t="str">
        <f>IF($K100="","",IFERROR(INDEX('Veri Merkezi'!$H$2:$H$1001,$K100),""))</f>
        <v/>
      </c>
      <c r="G100" t="str">
        <f>IF($K100="","",IFERROR(INDEX('Veri Merkezi'!$R$2:$R$1001,$K100),""))</f>
        <v/>
      </c>
      <c r="H100" t="str">
        <f>IF($K100="","",IFERROR(INDEX('Veri Merkezi'!$S$2:$S$1001,$K100),""))</f>
        <v/>
      </c>
      <c r="I100" s="2" t="str">
        <f>IF($K100="","",IFERROR(INDEX('Veri Merkezi'!$T$2:$T$1001,$K100),""))</f>
        <v/>
      </c>
      <c r="J100" t="str">
        <f>IF($K100="","",IFERROR(INDEX('Veri Merkezi'!$U$2:$U$1001,$K100),""))</f>
        <v/>
      </c>
      <c r="K100" t="str">
        <f>IF(K99="","",IFERROR(K99+MATCH("A Liste",INDEX('Veri Merkezi'!$S$2:$S$1001,K99+1):'Veri Merkezi'!$S$1001,0),""))</f>
        <v/>
      </c>
    </row>
    <row r="101" spans="1:11">
      <c r="A101" t="str">
        <f>IF($K101="","",IFERROR(INDEX('Veri Merkezi'!$A$2:$A$1001,$K101),""))</f>
        <v/>
      </c>
      <c r="B101" t="str">
        <f>IF($K101="","",IFERROR(INDEX('Veri Merkezi'!$E$2:$E$1001,$K101),""))</f>
        <v/>
      </c>
      <c r="C101" t="str">
        <f>IF($K101="","",IFERROR(INDEX('Veri Merkezi'!$D$2:$D$1001,$K101),""))</f>
        <v/>
      </c>
      <c r="D101" t="str">
        <f>IF($K101="","",IFERROR(INDEX('Veri Merkezi'!$F$2:$F$1001,$K101),""))</f>
        <v/>
      </c>
      <c r="E101" s="2" t="str">
        <f>IF($K101="","",IFERROR(INDEX('Veri Merkezi'!$G$2:$G$1001,$K101),""))</f>
        <v/>
      </c>
      <c r="F101" t="str">
        <f>IF($K101="","",IFERROR(INDEX('Veri Merkezi'!$H$2:$H$1001,$K101),""))</f>
        <v/>
      </c>
      <c r="G101" t="str">
        <f>IF($K101="","",IFERROR(INDEX('Veri Merkezi'!$R$2:$R$1001,$K101),""))</f>
        <v/>
      </c>
      <c r="H101" t="str">
        <f>IF($K101="","",IFERROR(INDEX('Veri Merkezi'!$S$2:$S$1001,$K101),""))</f>
        <v/>
      </c>
      <c r="I101" s="2" t="str">
        <f>IF($K101="","",IFERROR(INDEX('Veri Merkezi'!$T$2:$T$1001,$K101),""))</f>
        <v/>
      </c>
      <c r="J101" t="str">
        <f>IF($K101="","",IFERROR(INDEX('Veri Merkezi'!$U$2:$U$1001,$K101),""))</f>
        <v/>
      </c>
      <c r="K101" t="str">
        <f>IF(K100="","",IFERROR(K100+MATCH("A Liste",INDEX('Veri Merkezi'!$S$2:$S$1001,K100+1):'Veri Merkezi'!$S$1001,0),""))</f>
        <v/>
      </c>
    </row>
    <row r="102" spans="1:11">
      <c r="A102" t="str">
        <f>IF($K102="","",IFERROR(INDEX('Veri Merkezi'!$A$2:$A$1001,$K102),""))</f>
        <v/>
      </c>
      <c r="B102" t="str">
        <f>IF($K102="","",IFERROR(INDEX('Veri Merkezi'!$E$2:$E$1001,$K102),""))</f>
        <v/>
      </c>
      <c r="C102" t="str">
        <f>IF($K102="","",IFERROR(INDEX('Veri Merkezi'!$D$2:$D$1001,$K102),""))</f>
        <v/>
      </c>
      <c r="D102" t="str">
        <f>IF($K102="","",IFERROR(INDEX('Veri Merkezi'!$F$2:$F$1001,$K102),""))</f>
        <v/>
      </c>
      <c r="E102" s="2" t="str">
        <f>IF($K102="","",IFERROR(INDEX('Veri Merkezi'!$G$2:$G$1001,$K102),""))</f>
        <v/>
      </c>
      <c r="F102" t="str">
        <f>IF($K102="","",IFERROR(INDEX('Veri Merkezi'!$H$2:$H$1001,$K102),""))</f>
        <v/>
      </c>
      <c r="G102" t="str">
        <f>IF($K102="","",IFERROR(INDEX('Veri Merkezi'!$R$2:$R$1001,$K102),""))</f>
        <v/>
      </c>
      <c r="H102" t="str">
        <f>IF($K102="","",IFERROR(INDEX('Veri Merkezi'!$S$2:$S$1001,$K102),""))</f>
        <v/>
      </c>
      <c r="I102" s="2" t="str">
        <f>IF($K102="","",IFERROR(INDEX('Veri Merkezi'!$T$2:$T$1001,$K102),""))</f>
        <v/>
      </c>
      <c r="J102" t="str">
        <f>IF($K102="","",IFERROR(INDEX('Veri Merkezi'!$U$2:$U$1001,$K102),""))</f>
        <v/>
      </c>
      <c r="K102" t="str">
        <f>IF(K101="","",IFERROR(K101+MATCH("A Liste",INDEX('Veri Merkezi'!$S$2:$S$1001,K101+1):'Veri Merkezi'!$S$1001,0),""))</f>
        <v/>
      </c>
    </row>
    <row r="103" spans="1:11">
      <c r="A103" t="str">
        <f>IF($K103="","",IFERROR(INDEX('Veri Merkezi'!$A$2:$A$1001,$K103),""))</f>
        <v/>
      </c>
      <c r="B103" t="str">
        <f>IF($K103="","",IFERROR(INDEX('Veri Merkezi'!$E$2:$E$1001,$K103),""))</f>
        <v/>
      </c>
      <c r="C103" t="str">
        <f>IF($K103="","",IFERROR(INDEX('Veri Merkezi'!$D$2:$D$1001,$K103),""))</f>
        <v/>
      </c>
      <c r="D103" t="str">
        <f>IF($K103="","",IFERROR(INDEX('Veri Merkezi'!$F$2:$F$1001,$K103),""))</f>
        <v/>
      </c>
      <c r="E103" s="2" t="str">
        <f>IF($K103="","",IFERROR(INDEX('Veri Merkezi'!$G$2:$G$1001,$K103),""))</f>
        <v/>
      </c>
      <c r="F103" t="str">
        <f>IF($K103="","",IFERROR(INDEX('Veri Merkezi'!$H$2:$H$1001,$K103),""))</f>
        <v/>
      </c>
      <c r="G103" t="str">
        <f>IF($K103="","",IFERROR(INDEX('Veri Merkezi'!$R$2:$R$1001,$K103),""))</f>
        <v/>
      </c>
      <c r="H103" t="str">
        <f>IF($K103="","",IFERROR(INDEX('Veri Merkezi'!$S$2:$S$1001,$K103),""))</f>
        <v/>
      </c>
      <c r="I103" s="2" t="str">
        <f>IF($K103="","",IFERROR(INDEX('Veri Merkezi'!$T$2:$T$1001,$K103),""))</f>
        <v/>
      </c>
      <c r="J103" t="str">
        <f>IF($K103="","",IFERROR(INDEX('Veri Merkezi'!$U$2:$U$1001,$K103),""))</f>
        <v/>
      </c>
      <c r="K103" t="str">
        <f>IF(K102="","",IFERROR(K102+MATCH("A Liste",INDEX('Veri Merkezi'!$S$2:$S$1001,K102+1):'Veri Merkezi'!$S$1001,0),""))</f>
        <v/>
      </c>
    </row>
    <row r="104" spans="1:11">
      <c r="A104" t="str">
        <f>IF($K104="","",IFERROR(INDEX('Veri Merkezi'!$A$2:$A$1001,$K104),""))</f>
        <v/>
      </c>
      <c r="B104" t="str">
        <f>IF($K104="","",IFERROR(INDEX('Veri Merkezi'!$E$2:$E$1001,$K104),""))</f>
        <v/>
      </c>
      <c r="C104" t="str">
        <f>IF($K104="","",IFERROR(INDEX('Veri Merkezi'!$D$2:$D$1001,$K104),""))</f>
        <v/>
      </c>
      <c r="D104" t="str">
        <f>IF($K104="","",IFERROR(INDEX('Veri Merkezi'!$F$2:$F$1001,$K104),""))</f>
        <v/>
      </c>
      <c r="E104" s="2" t="str">
        <f>IF($K104="","",IFERROR(INDEX('Veri Merkezi'!$G$2:$G$1001,$K104),""))</f>
        <v/>
      </c>
      <c r="F104" t="str">
        <f>IF($K104="","",IFERROR(INDEX('Veri Merkezi'!$H$2:$H$1001,$K104),""))</f>
        <v/>
      </c>
      <c r="G104" t="str">
        <f>IF($K104="","",IFERROR(INDEX('Veri Merkezi'!$R$2:$R$1001,$K104),""))</f>
        <v/>
      </c>
      <c r="H104" t="str">
        <f>IF($K104="","",IFERROR(INDEX('Veri Merkezi'!$S$2:$S$1001,$K104),""))</f>
        <v/>
      </c>
      <c r="I104" s="2" t="str">
        <f>IF($K104="","",IFERROR(INDEX('Veri Merkezi'!$T$2:$T$1001,$K104),""))</f>
        <v/>
      </c>
      <c r="J104" t="str">
        <f>IF($K104="","",IFERROR(INDEX('Veri Merkezi'!$U$2:$U$1001,$K104),""))</f>
        <v/>
      </c>
      <c r="K104" t="str">
        <f>IF(K103="","",IFERROR(K103+MATCH("A Liste",INDEX('Veri Merkezi'!$S$2:$S$1001,K103+1):'Veri Merkezi'!$S$1001,0),""))</f>
        <v/>
      </c>
    </row>
    <row r="105" spans="1:11">
      <c r="A105" t="str">
        <f>IF($K105="","",IFERROR(INDEX('Veri Merkezi'!$A$2:$A$1001,$K105),""))</f>
        <v/>
      </c>
      <c r="B105" t="str">
        <f>IF($K105="","",IFERROR(INDEX('Veri Merkezi'!$E$2:$E$1001,$K105),""))</f>
        <v/>
      </c>
      <c r="C105" t="str">
        <f>IF($K105="","",IFERROR(INDEX('Veri Merkezi'!$D$2:$D$1001,$K105),""))</f>
        <v/>
      </c>
      <c r="D105" t="str">
        <f>IF($K105="","",IFERROR(INDEX('Veri Merkezi'!$F$2:$F$1001,$K105),""))</f>
        <v/>
      </c>
      <c r="E105" s="2" t="str">
        <f>IF($K105="","",IFERROR(INDEX('Veri Merkezi'!$G$2:$G$1001,$K105),""))</f>
        <v/>
      </c>
      <c r="F105" t="str">
        <f>IF($K105="","",IFERROR(INDEX('Veri Merkezi'!$H$2:$H$1001,$K105),""))</f>
        <v/>
      </c>
      <c r="G105" t="str">
        <f>IF($K105="","",IFERROR(INDEX('Veri Merkezi'!$R$2:$R$1001,$K105),""))</f>
        <v/>
      </c>
      <c r="H105" t="str">
        <f>IF($K105="","",IFERROR(INDEX('Veri Merkezi'!$S$2:$S$1001,$K105),""))</f>
        <v/>
      </c>
      <c r="I105" s="2" t="str">
        <f>IF($K105="","",IFERROR(INDEX('Veri Merkezi'!$T$2:$T$1001,$K105),""))</f>
        <v/>
      </c>
      <c r="J105" t="str">
        <f>IF($K105="","",IFERROR(INDEX('Veri Merkezi'!$U$2:$U$1001,$K105),""))</f>
        <v/>
      </c>
      <c r="K105" t="str">
        <f>IF(K104="","",IFERROR(K104+MATCH("A Liste",INDEX('Veri Merkezi'!$S$2:$S$1001,K104+1):'Veri Merkezi'!$S$1001,0),""))</f>
        <v/>
      </c>
    </row>
    <row r="106" spans="1:11">
      <c r="A106" t="str">
        <f>IF($K106="","",IFERROR(INDEX('Veri Merkezi'!$A$2:$A$1001,$K106),""))</f>
        <v/>
      </c>
      <c r="B106" t="str">
        <f>IF($K106="","",IFERROR(INDEX('Veri Merkezi'!$E$2:$E$1001,$K106),""))</f>
        <v/>
      </c>
      <c r="C106" t="str">
        <f>IF($K106="","",IFERROR(INDEX('Veri Merkezi'!$D$2:$D$1001,$K106),""))</f>
        <v/>
      </c>
      <c r="D106" t="str">
        <f>IF($K106="","",IFERROR(INDEX('Veri Merkezi'!$F$2:$F$1001,$K106),""))</f>
        <v/>
      </c>
      <c r="E106" s="2" t="str">
        <f>IF($K106="","",IFERROR(INDEX('Veri Merkezi'!$G$2:$G$1001,$K106),""))</f>
        <v/>
      </c>
      <c r="F106" t="str">
        <f>IF($K106="","",IFERROR(INDEX('Veri Merkezi'!$H$2:$H$1001,$K106),""))</f>
        <v/>
      </c>
      <c r="G106" t="str">
        <f>IF($K106="","",IFERROR(INDEX('Veri Merkezi'!$R$2:$R$1001,$K106),""))</f>
        <v/>
      </c>
      <c r="H106" t="str">
        <f>IF($K106="","",IFERROR(INDEX('Veri Merkezi'!$S$2:$S$1001,$K106),""))</f>
        <v/>
      </c>
      <c r="I106" s="2" t="str">
        <f>IF($K106="","",IFERROR(INDEX('Veri Merkezi'!$T$2:$T$1001,$K106),""))</f>
        <v/>
      </c>
      <c r="J106" t="str">
        <f>IF($K106="","",IFERROR(INDEX('Veri Merkezi'!$U$2:$U$1001,$K106),""))</f>
        <v/>
      </c>
      <c r="K106" t="str">
        <f>IF(K105="","",IFERROR(K105+MATCH("A Liste",INDEX('Veri Merkezi'!$S$2:$S$1001,K105+1):'Veri Merkezi'!$S$1001,0),""))</f>
        <v/>
      </c>
    </row>
    <row r="107" spans="1:11">
      <c r="A107" t="str">
        <f>IF($K107="","",IFERROR(INDEX('Veri Merkezi'!$A$2:$A$1001,$K107),""))</f>
        <v/>
      </c>
      <c r="B107" t="str">
        <f>IF($K107="","",IFERROR(INDEX('Veri Merkezi'!$E$2:$E$1001,$K107),""))</f>
        <v/>
      </c>
      <c r="C107" t="str">
        <f>IF($K107="","",IFERROR(INDEX('Veri Merkezi'!$D$2:$D$1001,$K107),""))</f>
        <v/>
      </c>
      <c r="D107" t="str">
        <f>IF($K107="","",IFERROR(INDEX('Veri Merkezi'!$F$2:$F$1001,$K107),""))</f>
        <v/>
      </c>
      <c r="E107" s="2" t="str">
        <f>IF($K107="","",IFERROR(INDEX('Veri Merkezi'!$G$2:$G$1001,$K107),""))</f>
        <v/>
      </c>
      <c r="F107" t="str">
        <f>IF($K107="","",IFERROR(INDEX('Veri Merkezi'!$H$2:$H$1001,$K107),""))</f>
        <v/>
      </c>
      <c r="G107" t="str">
        <f>IF($K107="","",IFERROR(INDEX('Veri Merkezi'!$R$2:$R$1001,$K107),""))</f>
        <v/>
      </c>
      <c r="H107" t="str">
        <f>IF($K107="","",IFERROR(INDEX('Veri Merkezi'!$S$2:$S$1001,$K107),""))</f>
        <v/>
      </c>
      <c r="I107" s="2" t="str">
        <f>IF($K107="","",IFERROR(INDEX('Veri Merkezi'!$T$2:$T$1001,$K107),""))</f>
        <v/>
      </c>
      <c r="J107" t="str">
        <f>IF($K107="","",IFERROR(INDEX('Veri Merkezi'!$U$2:$U$1001,$K107),""))</f>
        <v/>
      </c>
      <c r="K107" t="str">
        <f>IF(K106="","",IFERROR(K106+MATCH("A Liste",INDEX('Veri Merkezi'!$S$2:$S$1001,K106+1):'Veri Merkezi'!$S$1001,0),""))</f>
        <v/>
      </c>
    </row>
    <row r="108" spans="1:11">
      <c r="A108" t="str">
        <f>IF($K108="","",IFERROR(INDEX('Veri Merkezi'!$A$2:$A$1001,$K108),""))</f>
        <v/>
      </c>
      <c r="B108" t="str">
        <f>IF($K108="","",IFERROR(INDEX('Veri Merkezi'!$E$2:$E$1001,$K108),""))</f>
        <v/>
      </c>
      <c r="C108" t="str">
        <f>IF($K108="","",IFERROR(INDEX('Veri Merkezi'!$D$2:$D$1001,$K108),""))</f>
        <v/>
      </c>
      <c r="D108" t="str">
        <f>IF($K108="","",IFERROR(INDEX('Veri Merkezi'!$F$2:$F$1001,$K108),""))</f>
        <v/>
      </c>
      <c r="E108" s="2" t="str">
        <f>IF($K108="","",IFERROR(INDEX('Veri Merkezi'!$G$2:$G$1001,$K108),""))</f>
        <v/>
      </c>
      <c r="F108" t="str">
        <f>IF($K108="","",IFERROR(INDEX('Veri Merkezi'!$H$2:$H$1001,$K108),""))</f>
        <v/>
      </c>
      <c r="G108" t="str">
        <f>IF($K108="","",IFERROR(INDEX('Veri Merkezi'!$R$2:$R$1001,$K108),""))</f>
        <v/>
      </c>
      <c r="H108" t="str">
        <f>IF($K108="","",IFERROR(INDEX('Veri Merkezi'!$S$2:$S$1001,$K108),""))</f>
        <v/>
      </c>
      <c r="I108" s="2" t="str">
        <f>IF($K108="","",IFERROR(INDEX('Veri Merkezi'!$T$2:$T$1001,$K108),""))</f>
        <v/>
      </c>
      <c r="J108" t="str">
        <f>IF($K108="","",IFERROR(INDEX('Veri Merkezi'!$U$2:$U$1001,$K108),""))</f>
        <v/>
      </c>
      <c r="K108" t="str">
        <f>IF(K107="","",IFERROR(K107+MATCH("A Liste",INDEX('Veri Merkezi'!$S$2:$S$1001,K107+1):'Veri Merkezi'!$S$1001,0),""))</f>
        <v/>
      </c>
    </row>
    <row r="109" spans="1:11">
      <c r="A109" t="str">
        <f>IF($K109="","",IFERROR(INDEX('Veri Merkezi'!$A$2:$A$1001,$K109),""))</f>
        <v/>
      </c>
      <c r="B109" t="str">
        <f>IF($K109="","",IFERROR(INDEX('Veri Merkezi'!$E$2:$E$1001,$K109),""))</f>
        <v/>
      </c>
      <c r="C109" t="str">
        <f>IF($K109="","",IFERROR(INDEX('Veri Merkezi'!$D$2:$D$1001,$K109),""))</f>
        <v/>
      </c>
      <c r="D109" t="str">
        <f>IF($K109="","",IFERROR(INDEX('Veri Merkezi'!$F$2:$F$1001,$K109),""))</f>
        <v/>
      </c>
      <c r="E109" s="2" t="str">
        <f>IF($K109="","",IFERROR(INDEX('Veri Merkezi'!$G$2:$G$1001,$K109),""))</f>
        <v/>
      </c>
      <c r="F109" t="str">
        <f>IF($K109="","",IFERROR(INDEX('Veri Merkezi'!$H$2:$H$1001,$K109),""))</f>
        <v/>
      </c>
      <c r="G109" t="str">
        <f>IF($K109="","",IFERROR(INDEX('Veri Merkezi'!$R$2:$R$1001,$K109),""))</f>
        <v/>
      </c>
      <c r="H109" t="str">
        <f>IF($K109="","",IFERROR(INDEX('Veri Merkezi'!$S$2:$S$1001,$K109),""))</f>
        <v/>
      </c>
      <c r="I109" s="2" t="str">
        <f>IF($K109="","",IFERROR(INDEX('Veri Merkezi'!$T$2:$T$1001,$K109),""))</f>
        <v/>
      </c>
      <c r="J109" t="str">
        <f>IF($K109="","",IFERROR(INDEX('Veri Merkezi'!$U$2:$U$1001,$K109),""))</f>
        <v/>
      </c>
      <c r="K109" t="str">
        <f>IF(K108="","",IFERROR(K108+MATCH("A Liste",INDEX('Veri Merkezi'!$S$2:$S$1001,K108+1):'Veri Merkezi'!$S$1001,0),""))</f>
        <v/>
      </c>
    </row>
    <row r="110" spans="1:11">
      <c r="A110" t="str">
        <f>IF($K110="","",IFERROR(INDEX('Veri Merkezi'!$A$2:$A$1001,$K110),""))</f>
        <v/>
      </c>
      <c r="B110" t="str">
        <f>IF($K110="","",IFERROR(INDEX('Veri Merkezi'!$E$2:$E$1001,$K110),""))</f>
        <v/>
      </c>
      <c r="C110" t="str">
        <f>IF($K110="","",IFERROR(INDEX('Veri Merkezi'!$D$2:$D$1001,$K110),""))</f>
        <v/>
      </c>
      <c r="D110" t="str">
        <f>IF($K110="","",IFERROR(INDEX('Veri Merkezi'!$F$2:$F$1001,$K110),""))</f>
        <v/>
      </c>
      <c r="E110" s="2" t="str">
        <f>IF($K110="","",IFERROR(INDEX('Veri Merkezi'!$G$2:$G$1001,$K110),""))</f>
        <v/>
      </c>
      <c r="F110" t="str">
        <f>IF($K110="","",IFERROR(INDEX('Veri Merkezi'!$H$2:$H$1001,$K110),""))</f>
        <v/>
      </c>
      <c r="G110" t="str">
        <f>IF($K110="","",IFERROR(INDEX('Veri Merkezi'!$R$2:$R$1001,$K110),""))</f>
        <v/>
      </c>
      <c r="H110" t="str">
        <f>IF($K110="","",IFERROR(INDEX('Veri Merkezi'!$S$2:$S$1001,$K110),""))</f>
        <v/>
      </c>
      <c r="I110" s="2" t="str">
        <f>IF($K110="","",IFERROR(INDEX('Veri Merkezi'!$T$2:$T$1001,$K110),""))</f>
        <v/>
      </c>
      <c r="J110" t="str">
        <f>IF($K110="","",IFERROR(INDEX('Veri Merkezi'!$U$2:$U$1001,$K110),""))</f>
        <v/>
      </c>
      <c r="K110" t="str">
        <f>IF(K109="","",IFERROR(K109+MATCH("A Liste",INDEX('Veri Merkezi'!$S$2:$S$1001,K109+1):'Veri Merkezi'!$S$1001,0),""))</f>
        <v/>
      </c>
    </row>
    <row r="111" spans="1:11">
      <c r="A111" t="str">
        <f>IF($K111="","",IFERROR(INDEX('Veri Merkezi'!$A$2:$A$1001,$K111),""))</f>
        <v/>
      </c>
      <c r="B111" t="str">
        <f>IF($K111="","",IFERROR(INDEX('Veri Merkezi'!$E$2:$E$1001,$K111),""))</f>
        <v/>
      </c>
      <c r="C111" t="str">
        <f>IF($K111="","",IFERROR(INDEX('Veri Merkezi'!$D$2:$D$1001,$K111),""))</f>
        <v/>
      </c>
      <c r="D111" t="str">
        <f>IF($K111="","",IFERROR(INDEX('Veri Merkezi'!$F$2:$F$1001,$K111),""))</f>
        <v/>
      </c>
      <c r="E111" s="2" t="str">
        <f>IF($K111="","",IFERROR(INDEX('Veri Merkezi'!$G$2:$G$1001,$K111),""))</f>
        <v/>
      </c>
      <c r="F111" t="str">
        <f>IF($K111="","",IFERROR(INDEX('Veri Merkezi'!$H$2:$H$1001,$K111),""))</f>
        <v/>
      </c>
      <c r="G111" t="str">
        <f>IF($K111="","",IFERROR(INDEX('Veri Merkezi'!$R$2:$R$1001,$K111),""))</f>
        <v/>
      </c>
      <c r="H111" t="str">
        <f>IF($K111="","",IFERROR(INDEX('Veri Merkezi'!$S$2:$S$1001,$K111),""))</f>
        <v/>
      </c>
      <c r="I111" s="2" t="str">
        <f>IF($K111="","",IFERROR(INDEX('Veri Merkezi'!$T$2:$T$1001,$K111),""))</f>
        <v/>
      </c>
      <c r="J111" t="str">
        <f>IF($K111="","",IFERROR(INDEX('Veri Merkezi'!$U$2:$U$1001,$K111),""))</f>
        <v/>
      </c>
      <c r="K111" t="str">
        <f>IF(K110="","",IFERROR(K110+MATCH("A Liste",INDEX('Veri Merkezi'!$S$2:$S$1001,K110+1):'Veri Merkezi'!$S$1001,0),""))</f>
        <v/>
      </c>
    </row>
    <row r="112" spans="1:11">
      <c r="A112" t="str">
        <f>IF($K112="","",IFERROR(INDEX('Veri Merkezi'!$A$2:$A$1001,$K112),""))</f>
        <v/>
      </c>
      <c r="B112" t="str">
        <f>IF($K112="","",IFERROR(INDEX('Veri Merkezi'!$E$2:$E$1001,$K112),""))</f>
        <v/>
      </c>
      <c r="C112" t="str">
        <f>IF($K112="","",IFERROR(INDEX('Veri Merkezi'!$D$2:$D$1001,$K112),""))</f>
        <v/>
      </c>
      <c r="D112" t="str">
        <f>IF($K112="","",IFERROR(INDEX('Veri Merkezi'!$F$2:$F$1001,$K112),""))</f>
        <v/>
      </c>
      <c r="E112" s="2" t="str">
        <f>IF($K112="","",IFERROR(INDEX('Veri Merkezi'!$G$2:$G$1001,$K112),""))</f>
        <v/>
      </c>
      <c r="F112" t="str">
        <f>IF($K112="","",IFERROR(INDEX('Veri Merkezi'!$H$2:$H$1001,$K112),""))</f>
        <v/>
      </c>
      <c r="G112" t="str">
        <f>IF($K112="","",IFERROR(INDEX('Veri Merkezi'!$R$2:$R$1001,$K112),""))</f>
        <v/>
      </c>
      <c r="H112" t="str">
        <f>IF($K112="","",IFERROR(INDEX('Veri Merkezi'!$S$2:$S$1001,$K112),""))</f>
        <v/>
      </c>
      <c r="I112" s="2" t="str">
        <f>IF($K112="","",IFERROR(INDEX('Veri Merkezi'!$T$2:$T$1001,$K112),""))</f>
        <v/>
      </c>
      <c r="J112" t="str">
        <f>IF($K112="","",IFERROR(INDEX('Veri Merkezi'!$U$2:$U$1001,$K112),""))</f>
        <v/>
      </c>
      <c r="K112" t="str">
        <f>IF(K111="","",IFERROR(K111+MATCH("A Liste",INDEX('Veri Merkezi'!$S$2:$S$1001,K111+1):'Veri Merkezi'!$S$1001,0),""))</f>
        <v/>
      </c>
    </row>
    <row r="113" spans="1:11">
      <c r="A113" t="str">
        <f>IF($K113="","",IFERROR(INDEX('Veri Merkezi'!$A$2:$A$1001,$K113),""))</f>
        <v/>
      </c>
      <c r="B113" t="str">
        <f>IF($K113="","",IFERROR(INDEX('Veri Merkezi'!$E$2:$E$1001,$K113),""))</f>
        <v/>
      </c>
      <c r="C113" t="str">
        <f>IF($K113="","",IFERROR(INDEX('Veri Merkezi'!$D$2:$D$1001,$K113),""))</f>
        <v/>
      </c>
      <c r="D113" t="str">
        <f>IF($K113="","",IFERROR(INDEX('Veri Merkezi'!$F$2:$F$1001,$K113),""))</f>
        <v/>
      </c>
      <c r="E113" s="2" t="str">
        <f>IF($K113="","",IFERROR(INDEX('Veri Merkezi'!$G$2:$G$1001,$K113),""))</f>
        <v/>
      </c>
      <c r="F113" t="str">
        <f>IF($K113="","",IFERROR(INDEX('Veri Merkezi'!$H$2:$H$1001,$K113),""))</f>
        <v/>
      </c>
      <c r="G113" t="str">
        <f>IF($K113="","",IFERROR(INDEX('Veri Merkezi'!$R$2:$R$1001,$K113),""))</f>
        <v/>
      </c>
      <c r="H113" t="str">
        <f>IF($K113="","",IFERROR(INDEX('Veri Merkezi'!$S$2:$S$1001,$K113),""))</f>
        <v/>
      </c>
      <c r="I113" s="2" t="str">
        <f>IF($K113="","",IFERROR(INDEX('Veri Merkezi'!$T$2:$T$1001,$K113),""))</f>
        <v/>
      </c>
      <c r="J113" t="str">
        <f>IF($K113="","",IFERROR(INDEX('Veri Merkezi'!$U$2:$U$1001,$K113),""))</f>
        <v/>
      </c>
      <c r="K113" t="str">
        <f>IF(K112="","",IFERROR(K112+MATCH("A Liste",INDEX('Veri Merkezi'!$S$2:$S$1001,K112+1):'Veri Merkezi'!$S$1001,0),""))</f>
        <v/>
      </c>
    </row>
    <row r="114" spans="1:11">
      <c r="A114" t="str">
        <f>IF($K114="","",IFERROR(INDEX('Veri Merkezi'!$A$2:$A$1001,$K114),""))</f>
        <v/>
      </c>
      <c r="B114" t="str">
        <f>IF($K114="","",IFERROR(INDEX('Veri Merkezi'!$E$2:$E$1001,$K114),""))</f>
        <v/>
      </c>
      <c r="C114" t="str">
        <f>IF($K114="","",IFERROR(INDEX('Veri Merkezi'!$D$2:$D$1001,$K114),""))</f>
        <v/>
      </c>
      <c r="D114" t="str">
        <f>IF($K114="","",IFERROR(INDEX('Veri Merkezi'!$F$2:$F$1001,$K114),""))</f>
        <v/>
      </c>
      <c r="E114" s="2" t="str">
        <f>IF($K114="","",IFERROR(INDEX('Veri Merkezi'!$G$2:$G$1001,$K114),""))</f>
        <v/>
      </c>
      <c r="F114" t="str">
        <f>IF($K114="","",IFERROR(INDEX('Veri Merkezi'!$H$2:$H$1001,$K114),""))</f>
        <v/>
      </c>
      <c r="G114" t="str">
        <f>IF($K114="","",IFERROR(INDEX('Veri Merkezi'!$R$2:$R$1001,$K114),""))</f>
        <v/>
      </c>
      <c r="H114" t="str">
        <f>IF($K114="","",IFERROR(INDEX('Veri Merkezi'!$S$2:$S$1001,$K114),""))</f>
        <v/>
      </c>
      <c r="I114" s="2" t="str">
        <f>IF($K114="","",IFERROR(INDEX('Veri Merkezi'!$T$2:$T$1001,$K114),""))</f>
        <v/>
      </c>
      <c r="J114" t="str">
        <f>IF($K114="","",IFERROR(INDEX('Veri Merkezi'!$U$2:$U$1001,$K114),""))</f>
        <v/>
      </c>
      <c r="K114" t="str">
        <f>IF(K113="","",IFERROR(K113+MATCH("A Liste",INDEX('Veri Merkezi'!$S$2:$S$1001,K113+1):'Veri Merkezi'!$S$1001,0),""))</f>
        <v/>
      </c>
    </row>
    <row r="115" spans="1:11">
      <c r="A115" t="str">
        <f>IF($K115="","",IFERROR(INDEX('Veri Merkezi'!$A$2:$A$1001,$K115),""))</f>
        <v/>
      </c>
      <c r="B115" t="str">
        <f>IF($K115="","",IFERROR(INDEX('Veri Merkezi'!$E$2:$E$1001,$K115),""))</f>
        <v/>
      </c>
      <c r="C115" t="str">
        <f>IF($K115="","",IFERROR(INDEX('Veri Merkezi'!$D$2:$D$1001,$K115),""))</f>
        <v/>
      </c>
      <c r="D115" t="str">
        <f>IF($K115="","",IFERROR(INDEX('Veri Merkezi'!$F$2:$F$1001,$K115),""))</f>
        <v/>
      </c>
      <c r="E115" s="2" t="str">
        <f>IF($K115="","",IFERROR(INDEX('Veri Merkezi'!$G$2:$G$1001,$K115),""))</f>
        <v/>
      </c>
      <c r="F115" t="str">
        <f>IF($K115="","",IFERROR(INDEX('Veri Merkezi'!$H$2:$H$1001,$K115),""))</f>
        <v/>
      </c>
      <c r="G115" t="str">
        <f>IF($K115="","",IFERROR(INDEX('Veri Merkezi'!$R$2:$R$1001,$K115),""))</f>
        <v/>
      </c>
      <c r="H115" t="str">
        <f>IF($K115="","",IFERROR(INDEX('Veri Merkezi'!$S$2:$S$1001,$K115),""))</f>
        <v/>
      </c>
      <c r="I115" s="2" t="str">
        <f>IF($K115="","",IFERROR(INDEX('Veri Merkezi'!$T$2:$T$1001,$K115),""))</f>
        <v/>
      </c>
      <c r="J115" t="str">
        <f>IF($K115="","",IFERROR(INDEX('Veri Merkezi'!$U$2:$U$1001,$K115),""))</f>
        <v/>
      </c>
      <c r="K115" t="str">
        <f>IF(K114="","",IFERROR(K114+MATCH("A Liste",INDEX('Veri Merkezi'!$S$2:$S$1001,K114+1):'Veri Merkezi'!$S$1001,0),""))</f>
        <v/>
      </c>
    </row>
    <row r="116" spans="1:11">
      <c r="A116" t="str">
        <f>IF($K116="","",IFERROR(INDEX('Veri Merkezi'!$A$2:$A$1001,$K116),""))</f>
        <v/>
      </c>
      <c r="B116" t="str">
        <f>IF($K116="","",IFERROR(INDEX('Veri Merkezi'!$E$2:$E$1001,$K116),""))</f>
        <v/>
      </c>
      <c r="C116" t="str">
        <f>IF($K116="","",IFERROR(INDEX('Veri Merkezi'!$D$2:$D$1001,$K116),""))</f>
        <v/>
      </c>
      <c r="D116" t="str">
        <f>IF($K116="","",IFERROR(INDEX('Veri Merkezi'!$F$2:$F$1001,$K116),""))</f>
        <v/>
      </c>
      <c r="E116" s="2" t="str">
        <f>IF($K116="","",IFERROR(INDEX('Veri Merkezi'!$G$2:$G$1001,$K116),""))</f>
        <v/>
      </c>
      <c r="F116" t="str">
        <f>IF($K116="","",IFERROR(INDEX('Veri Merkezi'!$H$2:$H$1001,$K116),""))</f>
        <v/>
      </c>
      <c r="G116" t="str">
        <f>IF($K116="","",IFERROR(INDEX('Veri Merkezi'!$R$2:$R$1001,$K116),""))</f>
        <v/>
      </c>
      <c r="H116" t="str">
        <f>IF($K116="","",IFERROR(INDEX('Veri Merkezi'!$S$2:$S$1001,$K116),""))</f>
        <v/>
      </c>
      <c r="I116" s="2" t="str">
        <f>IF($K116="","",IFERROR(INDEX('Veri Merkezi'!$T$2:$T$1001,$K116),""))</f>
        <v/>
      </c>
      <c r="J116" t="str">
        <f>IF($K116="","",IFERROR(INDEX('Veri Merkezi'!$U$2:$U$1001,$K116),""))</f>
        <v/>
      </c>
      <c r="K116" t="str">
        <f>IF(K115="","",IFERROR(K115+MATCH("A Liste",INDEX('Veri Merkezi'!$S$2:$S$1001,K115+1):'Veri Merkezi'!$S$1001,0),""))</f>
        <v/>
      </c>
    </row>
    <row r="117" spans="1:11">
      <c r="A117" t="str">
        <f>IF($K117="","",IFERROR(INDEX('Veri Merkezi'!$A$2:$A$1001,$K117),""))</f>
        <v/>
      </c>
      <c r="B117" t="str">
        <f>IF($K117="","",IFERROR(INDEX('Veri Merkezi'!$E$2:$E$1001,$K117),""))</f>
        <v/>
      </c>
      <c r="C117" t="str">
        <f>IF($K117="","",IFERROR(INDEX('Veri Merkezi'!$D$2:$D$1001,$K117),""))</f>
        <v/>
      </c>
      <c r="D117" t="str">
        <f>IF($K117="","",IFERROR(INDEX('Veri Merkezi'!$F$2:$F$1001,$K117),""))</f>
        <v/>
      </c>
      <c r="E117" s="2" t="str">
        <f>IF($K117="","",IFERROR(INDEX('Veri Merkezi'!$G$2:$G$1001,$K117),""))</f>
        <v/>
      </c>
      <c r="F117" t="str">
        <f>IF($K117="","",IFERROR(INDEX('Veri Merkezi'!$H$2:$H$1001,$K117),""))</f>
        <v/>
      </c>
      <c r="G117" t="str">
        <f>IF($K117="","",IFERROR(INDEX('Veri Merkezi'!$R$2:$R$1001,$K117),""))</f>
        <v/>
      </c>
      <c r="H117" t="str">
        <f>IF($K117="","",IFERROR(INDEX('Veri Merkezi'!$S$2:$S$1001,$K117),""))</f>
        <v/>
      </c>
      <c r="I117" s="2" t="str">
        <f>IF($K117="","",IFERROR(INDEX('Veri Merkezi'!$T$2:$T$1001,$K117),""))</f>
        <v/>
      </c>
      <c r="J117" t="str">
        <f>IF($K117="","",IFERROR(INDEX('Veri Merkezi'!$U$2:$U$1001,$K117),""))</f>
        <v/>
      </c>
      <c r="K117" t="str">
        <f>IF(K116="","",IFERROR(K116+MATCH("A Liste",INDEX('Veri Merkezi'!$S$2:$S$1001,K116+1):'Veri Merkezi'!$S$1001,0),""))</f>
        <v/>
      </c>
    </row>
    <row r="118" spans="1:11">
      <c r="A118" t="str">
        <f>IF($K118="","",IFERROR(INDEX('Veri Merkezi'!$A$2:$A$1001,$K118),""))</f>
        <v/>
      </c>
      <c r="B118" t="str">
        <f>IF($K118="","",IFERROR(INDEX('Veri Merkezi'!$E$2:$E$1001,$K118),""))</f>
        <v/>
      </c>
      <c r="C118" t="str">
        <f>IF($K118="","",IFERROR(INDEX('Veri Merkezi'!$D$2:$D$1001,$K118),""))</f>
        <v/>
      </c>
      <c r="D118" t="str">
        <f>IF($K118="","",IFERROR(INDEX('Veri Merkezi'!$F$2:$F$1001,$K118),""))</f>
        <v/>
      </c>
      <c r="E118" s="2" t="str">
        <f>IF($K118="","",IFERROR(INDEX('Veri Merkezi'!$G$2:$G$1001,$K118),""))</f>
        <v/>
      </c>
      <c r="F118" t="str">
        <f>IF($K118="","",IFERROR(INDEX('Veri Merkezi'!$H$2:$H$1001,$K118),""))</f>
        <v/>
      </c>
      <c r="G118" t="str">
        <f>IF($K118="","",IFERROR(INDEX('Veri Merkezi'!$R$2:$R$1001,$K118),""))</f>
        <v/>
      </c>
      <c r="H118" t="str">
        <f>IF($K118="","",IFERROR(INDEX('Veri Merkezi'!$S$2:$S$1001,$K118),""))</f>
        <v/>
      </c>
      <c r="I118" s="2" t="str">
        <f>IF($K118="","",IFERROR(INDEX('Veri Merkezi'!$T$2:$T$1001,$K118),""))</f>
        <v/>
      </c>
      <c r="J118" t="str">
        <f>IF($K118="","",IFERROR(INDEX('Veri Merkezi'!$U$2:$U$1001,$K118),""))</f>
        <v/>
      </c>
      <c r="K118" t="str">
        <f>IF(K117="","",IFERROR(K117+MATCH("A Liste",INDEX('Veri Merkezi'!$S$2:$S$1001,K117+1):'Veri Merkezi'!$S$1001,0),""))</f>
        <v/>
      </c>
    </row>
    <row r="119" spans="1:11">
      <c r="A119" t="str">
        <f>IF($K119="","",IFERROR(INDEX('Veri Merkezi'!$A$2:$A$1001,$K119),""))</f>
        <v/>
      </c>
      <c r="B119" t="str">
        <f>IF($K119="","",IFERROR(INDEX('Veri Merkezi'!$E$2:$E$1001,$K119),""))</f>
        <v/>
      </c>
      <c r="C119" t="str">
        <f>IF($K119="","",IFERROR(INDEX('Veri Merkezi'!$D$2:$D$1001,$K119),""))</f>
        <v/>
      </c>
      <c r="D119" t="str">
        <f>IF($K119="","",IFERROR(INDEX('Veri Merkezi'!$F$2:$F$1001,$K119),""))</f>
        <v/>
      </c>
      <c r="E119" s="2" t="str">
        <f>IF($K119="","",IFERROR(INDEX('Veri Merkezi'!$G$2:$G$1001,$K119),""))</f>
        <v/>
      </c>
      <c r="F119" t="str">
        <f>IF($K119="","",IFERROR(INDEX('Veri Merkezi'!$H$2:$H$1001,$K119),""))</f>
        <v/>
      </c>
      <c r="G119" t="str">
        <f>IF($K119="","",IFERROR(INDEX('Veri Merkezi'!$R$2:$R$1001,$K119),""))</f>
        <v/>
      </c>
      <c r="H119" t="str">
        <f>IF($K119="","",IFERROR(INDEX('Veri Merkezi'!$S$2:$S$1001,$K119),""))</f>
        <v/>
      </c>
      <c r="I119" s="2" t="str">
        <f>IF($K119="","",IFERROR(INDEX('Veri Merkezi'!$T$2:$T$1001,$K119),""))</f>
        <v/>
      </c>
      <c r="J119" t="str">
        <f>IF($K119="","",IFERROR(INDEX('Veri Merkezi'!$U$2:$U$1001,$K119),""))</f>
        <v/>
      </c>
      <c r="K119" t="str">
        <f>IF(K118="","",IFERROR(K118+MATCH("A Liste",INDEX('Veri Merkezi'!$S$2:$S$1001,K118+1):'Veri Merkezi'!$S$1001,0),""))</f>
        <v/>
      </c>
    </row>
    <row r="120" spans="1:11">
      <c r="A120" t="str">
        <f>IF($K120="","",IFERROR(INDEX('Veri Merkezi'!$A$2:$A$1001,$K120),""))</f>
        <v/>
      </c>
      <c r="B120" t="str">
        <f>IF($K120="","",IFERROR(INDEX('Veri Merkezi'!$E$2:$E$1001,$K120),""))</f>
        <v/>
      </c>
      <c r="C120" t="str">
        <f>IF($K120="","",IFERROR(INDEX('Veri Merkezi'!$D$2:$D$1001,$K120),""))</f>
        <v/>
      </c>
      <c r="D120" t="str">
        <f>IF($K120="","",IFERROR(INDEX('Veri Merkezi'!$F$2:$F$1001,$K120),""))</f>
        <v/>
      </c>
      <c r="E120" s="2" t="str">
        <f>IF($K120="","",IFERROR(INDEX('Veri Merkezi'!$G$2:$G$1001,$K120),""))</f>
        <v/>
      </c>
      <c r="F120" t="str">
        <f>IF($K120="","",IFERROR(INDEX('Veri Merkezi'!$H$2:$H$1001,$K120),""))</f>
        <v/>
      </c>
      <c r="G120" t="str">
        <f>IF($K120="","",IFERROR(INDEX('Veri Merkezi'!$R$2:$R$1001,$K120),""))</f>
        <v/>
      </c>
      <c r="H120" t="str">
        <f>IF($K120="","",IFERROR(INDEX('Veri Merkezi'!$S$2:$S$1001,$K120),""))</f>
        <v/>
      </c>
      <c r="I120" s="2" t="str">
        <f>IF($K120="","",IFERROR(INDEX('Veri Merkezi'!$T$2:$T$1001,$K120),""))</f>
        <v/>
      </c>
      <c r="J120" t="str">
        <f>IF($K120="","",IFERROR(INDEX('Veri Merkezi'!$U$2:$U$1001,$K120),""))</f>
        <v/>
      </c>
      <c r="K120" t="str">
        <f>IF(K119="","",IFERROR(K119+MATCH("A Liste",INDEX('Veri Merkezi'!$S$2:$S$1001,K119+1):'Veri Merkezi'!$S$1001,0),""))</f>
        <v/>
      </c>
    </row>
    <row r="121" spans="1:11">
      <c r="A121" t="str">
        <f>IF($K121="","",IFERROR(INDEX('Veri Merkezi'!$A$2:$A$1001,$K121),""))</f>
        <v/>
      </c>
      <c r="B121" t="str">
        <f>IF($K121="","",IFERROR(INDEX('Veri Merkezi'!$E$2:$E$1001,$K121),""))</f>
        <v/>
      </c>
      <c r="C121" t="str">
        <f>IF($K121="","",IFERROR(INDEX('Veri Merkezi'!$D$2:$D$1001,$K121),""))</f>
        <v/>
      </c>
      <c r="D121" t="str">
        <f>IF($K121="","",IFERROR(INDEX('Veri Merkezi'!$F$2:$F$1001,$K121),""))</f>
        <v/>
      </c>
      <c r="E121" s="2" t="str">
        <f>IF($K121="","",IFERROR(INDEX('Veri Merkezi'!$G$2:$G$1001,$K121),""))</f>
        <v/>
      </c>
      <c r="F121" t="str">
        <f>IF($K121="","",IFERROR(INDEX('Veri Merkezi'!$H$2:$H$1001,$K121),""))</f>
        <v/>
      </c>
      <c r="G121" t="str">
        <f>IF($K121="","",IFERROR(INDEX('Veri Merkezi'!$R$2:$R$1001,$K121),""))</f>
        <v/>
      </c>
      <c r="H121" t="str">
        <f>IF($K121="","",IFERROR(INDEX('Veri Merkezi'!$S$2:$S$1001,$K121),""))</f>
        <v/>
      </c>
      <c r="I121" s="2" t="str">
        <f>IF($K121="","",IFERROR(INDEX('Veri Merkezi'!$T$2:$T$1001,$K121),""))</f>
        <v/>
      </c>
      <c r="J121" t="str">
        <f>IF($K121="","",IFERROR(INDEX('Veri Merkezi'!$U$2:$U$1001,$K121),""))</f>
        <v/>
      </c>
      <c r="K121" t="str">
        <f>IF(K120="","",IFERROR(K120+MATCH("A Liste",INDEX('Veri Merkezi'!$S$2:$S$1001,K120+1):'Veri Merkezi'!$S$1001,0),""))</f>
        <v/>
      </c>
    </row>
    <row r="122" spans="1:11">
      <c r="A122" t="str">
        <f>IF($K122="","",IFERROR(INDEX('Veri Merkezi'!$A$2:$A$1001,$K122),""))</f>
        <v/>
      </c>
      <c r="B122" t="str">
        <f>IF($K122="","",IFERROR(INDEX('Veri Merkezi'!$E$2:$E$1001,$K122),""))</f>
        <v/>
      </c>
      <c r="C122" t="str">
        <f>IF($K122="","",IFERROR(INDEX('Veri Merkezi'!$D$2:$D$1001,$K122),""))</f>
        <v/>
      </c>
      <c r="D122" t="str">
        <f>IF($K122="","",IFERROR(INDEX('Veri Merkezi'!$F$2:$F$1001,$K122),""))</f>
        <v/>
      </c>
      <c r="E122" s="2" t="str">
        <f>IF($K122="","",IFERROR(INDEX('Veri Merkezi'!$G$2:$G$1001,$K122),""))</f>
        <v/>
      </c>
      <c r="F122" t="str">
        <f>IF($K122="","",IFERROR(INDEX('Veri Merkezi'!$H$2:$H$1001,$K122),""))</f>
        <v/>
      </c>
      <c r="G122" t="str">
        <f>IF($K122="","",IFERROR(INDEX('Veri Merkezi'!$R$2:$R$1001,$K122),""))</f>
        <v/>
      </c>
      <c r="H122" t="str">
        <f>IF($K122="","",IFERROR(INDEX('Veri Merkezi'!$S$2:$S$1001,$K122),""))</f>
        <v/>
      </c>
      <c r="I122" s="2" t="str">
        <f>IF($K122="","",IFERROR(INDEX('Veri Merkezi'!$T$2:$T$1001,$K122),""))</f>
        <v/>
      </c>
      <c r="J122" t="str">
        <f>IF($K122="","",IFERROR(INDEX('Veri Merkezi'!$U$2:$U$1001,$K122),""))</f>
        <v/>
      </c>
      <c r="K122" t="str">
        <f>IF(K121="","",IFERROR(K121+MATCH("A Liste",INDEX('Veri Merkezi'!$S$2:$S$1001,K121+1):'Veri Merkezi'!$S$1001,0),""))</f>
        <v/>
      </c>
    </row>
    <row r="123" spans="1:11">
      <c r="A123" t="str">
        <f>IF($K123="","",IFERROR(INDEX('Veri Merkezi'!$A$2:$A$1001,$K123),""))</f>
        <v/>
      </c>
      <c r="B123" t="str">
        <f>IF($K123="","",IFERROR(INDEX('Veri Merkezi'!$E$2:$E$1001,$K123),""))</f>
        <v/>
      </c>
      <c r="C123" t="str">
        <f>IF($K123="","",IFERROR(INDEX('Veri Merkezi'!$D$2:$D$1001,$K123),""))</f>
        <v/>
      </c>
      <c r="D123" t="str">
        <f>IF($K123="","",IFERROR(INDEX('Veri Merkezi'!$F$2:$F$1001,$K123),""))</f>
        <v/>
      </c>
      <c r="E123" s="2" t="str">
        <f>IF($K123="","",IFERROR(INDEX('Veri Merkezi'!$G$2:$G$1001,$K123),""))</f>
        <v/>
      </c>
      <c r="F123" t="str">
        <f>IF($K123="","",IFERROR(INDEX('Veri Merkezi'!$H$2:$H$1001,$K123),""))</f>
        <v/>
      </c>
      <c r="G123" t="str">
        <f>IF($K123="","",IFERROR(INDEX('Veri Merkezi'!$R$2:$R$1001,$K123),""))</f>
        <v/>
      </c>
      <c r="H123" t="str">
        <f>IF($K123="","",IFERROR(INDEX('Veri Merkezi'!$S$2:$S$1001,$K123),""))</f>
        <v/>
      </c>
      <c r="I123" s="2" t="str">
        <f>IF($K123="","",IFERROR(INDEX('Veri Merkezi'!$T$2:$T$1001,$K123),""))</f>
        <v/>
      </c>
      <c r="J123" t="str">
        <f>IF($K123="","",IFERROR(INDEX('Veri Merkezi'!$U$2:$U$1001,$K123),""))</f>
        <v/>
      </c>
      <c r="K123" t="str">
        <f>IF(K122="","",IFERROR(K122+MATCH("A Liste",INDEX('Veri Merkezi'!$S$2:$S$1001,K122+1):'Veri Merkezi'!$S$1001,0),""))</f>
        <v/>
      </c>
    </row>
    <row r="124" spans="1:11">
      <c r="A124" t="str">
        <f>IF($K124="","",IFERROR(INDEX('Veri Merkezi'!$A$2:$A$1001,$K124),""))</f>
        <v/>
      </c>
      <c r="B124" t="str">
        <f>IF($K124="","",IFERROR(INDEX('Veri Merkezi'!$E$2:$E$1001,$K124),""))</f>
        <v/>
      </c>
      <c r="C124" t="str">
        <f>IF($K124="","",IFERROR(INDEX('Veri Merkezi'!$D$2:$D$1001,$K124),""))</f>
        <v/>
      </c>
      <c r="D124" t="str">
        <f>IF($K124="","",IFERROR(INDEX('Veri Merkezi'!$F$2:$F$1001,$K124),""))</f>
        <v/>
      </c>
      <c r="E124" s="2" t="str">
        <f>IF($K124="","",IFERROR(INDEX('Veri Merkezi'!$G$2:$G$1001,$K124),""))</f>
        <v/>
      </c>
      <c r="F124" t="str">
        <f>IF($K124="","",IFERROR(INDEX('Veri Merkezi'!$H$2:$H$1001,$K124),""))</f>
        <v/>
      </c>
      <c r="G124" t="str">
        <f>IF($K124="","",IFERROR(INDEX('Veri Merkezi'!$R$2:$R$1001,$K124),""))</f>
        <v/>
      </c>
      <c r="H124" t="str">
        <f>IF($K124="","",IFERROR(INDEX('Veri Merkezi'!$S$2:$S$1001,$K124),""))</f>
        <v/>
      </c>
      <c r="I124" s="2" t="str">
        <f>IF($K124="","",IFERROR(INDEX('Veri Merkezi'!$T$2:$T$1001,$K124),""))</f>
        <v/>
      </c>
      <c r="J124" t="str">
        <f>IF($K124="","",IFERROR(INDEX('Veri Merkezi'!$U$2:$U$1001,$K124),""))</f>
        <v/>
      </c>
      <c r="K124" t="str">
        <f>IF(K123="","",IFERROR(K123+MATCH("A Liste",INDEX('Veri Merkezi'!$S$2:$S$1001,K123+1):'Veri Merkezi'!$S$1001,0),""))</f>
        <v/>
      </c>
    </row>
    <row r="125" spans="1:11">
      <c r="A125" t="str">
        <f>IF($K125="","",IFERROR(INDEX('Veri Merkezi'!$A$2:$A$1001,$K125),""))</f>
        <v/>
      </c>
      <c r="B125" t="str">
        <f>IF($K125="","",IFERROR(INDEX('Veri Merkezi'!$E$2:$E$1001,$K125),""))</f>
        <v/>
      </c>
      <c r="C125" t="str">
        <f>IF($K125="","",IFERROR(INDEX('Veri Merkezi'!$D$2:$D$1001,$K125),""))</f>
        <v/>
      </c>
      <c r="D125" t="str">
        <f>IF($K125="","",IFERROR(INDEX('Veri Merkezi'!$F$2:$F$1001,$K125),""))</f>
        <v/>
      </c>
      <c r="E125" s="2" t="str">
        <f>IF($K125="","",IFERROR(INDEX('Veri Merkezi'!$G$2:$G$1001,$K125),""))</f>
        <v/>
      </c>
      <c r="F125" t="str">
        <f>IF($K125="","",IFERROR(INDEX('Veri Merkezi'!$H$2:$H$1001,$K125),""))</f>
        <v/>
      </c>
      <c r="G125" t="str">
        <f>IF($K125="","",IFERROR(INDEX('Veri Merkezi'!$R$2:$R$1001,$K125),""))</f>
        <v/>
      </c>
      <c r="H125" t="str">
        <f>IF($K125="","",IFERROR(INDEX('Veri Merkezi'!$S$2:$S$1001,$K125),""))</f>
        <v/>
      </c>
      <c r="I125" s="2" t="str">
        <f>IF($K125="","",IFERROR(INDEX('Veri Merkezi'!$T$2:$T$1001,$K125),""))</f>
        <v/>
      </c>
      <c r="J125" t="str">
        <f>IF($K125="","",IFERROR(INDEX('Veri Merkezi'!$U$2:$U$1001,$K125),""))</f>
        <v/>
      </c>
      <c r="K125" t="str">
        <f>IF(K124="","",IFERROR(K124+MATCH("A Liste",INDEX('Veri Merkezi'!$S$2:$S$1001,K124+1):'Veri Merkezi'!$S$1001,0),""))</f>
        <v/>
      </c>
    </row>
    <row r="126" spans="1:11">
      <c r="A126" t="str">
        <f>IF($K126="","",IFERROR(INDEX('Veri Merkezi'!$A$2:$A$1001,$K126),""))</f>
        <v/>
      </c>
      <c r="B126" t="str">
        <f>IF($K126="","",IFERROR(INDEX('Veri Merkezi'!$E$2:$E$1001,$K126),""))</f>
        <v/>
      </c>
      <c r="C126" t="str">
        <f>IF($K126="","",IFERROR(INDEX('Veri Merkezi'!$D$2:$D$1001,$K126),""))</f>
        <v/>
      </c>
      <c r="D126" t="str">
        <f>IF($K126="","",IFERROR(INDEX('Veri Merkezi'!$F$2:$F$1001,$K126),""))</f>
        <v/>
      </c>
      <c r="E126" s="2" t="str">
        <f>IF($K126="","",IFERROR(INDEX('Veri Merkezi'!$G$2:$G$1001,$K126),""))</f>
        <v/>
      </c>
      <c r="F126" t="str">
        <f>IF($K126="","",IFERROR(INDEX('Veri Merkezi'!$H$2:$H$1001,$K126),""))</f>
        <v/>
      </c>
      <c r="G126" t="str">
        <f>IF($K126="","",IFERROR(INDEX('Veri Merkezi'!$R$2:$R$1001,$K126),""))</f>
        <v/>
      </c>
      <c r="H126" t="str">
        <f>IF($K126="","",IFERROR(INDEX('Veri Merkezi'!$S$2:$S$1001,$K126),""))</f>
        <v/>
      </c>
      <c r="I126" s="2" t="str">
        <f>IF($K126="","",IFERROR(INDEX('Veri Merkezi'!$T$2:$T$1001,$K126),""))</f>
        <v/>
      </c>
      <c r="J126" t="str">
        <f>IF($K126="","",IFERROR(INDEX('Veri Merkezi'!$U$2:$U$1001,$K126),""))</f>
        <v/>
      </c>
      <c r="K126" t="str">
        <f>IF(K125="","",IFERROR(K125+MATCH("A Liste",INDEX('Veri Merkezi'!$S$2:$S$1001,K125+1):'Veri Merkezi'!$S$1001,0),""))</f>
        <v/>
      </c>
    </row>
    <row r="127" spans="1:11">
      <c r="A127" t="str">
        <f>IF($K127="","",IFERROR(INDEX('Veri Merkezi'!$A$2:$A$1001,$K127),""))</f>
        <v/>
      </c>
      <c r="B127" t="str">
        <f>IF($K127="","",IFERROR(INDEX('Veri Merkezi'!$E$2:$E$1001,$K127),""))</f>
        <v/>
      </c>
      <c r="C127" t="str">
        <f>IF($K127="","",IFERROR(INDEX('Veri Merkezi'!$D$2:$D$1001,$K127),""))</f>
        <v/>
      </c>
      <c r="D127" t="str">
        <f>IF($K127="","",IFERROR(INDEX('Veri Merkezi'!$F$2:$F$1001,$K127),""))</f>
        <v/>
      </c>
      <c r="E127" s="2" t="str">
        <f>IF($K127="","",IFERROR(INDEX('Veri Merkezi'!$G$2:$G$1001,$K127),""))</f>
        <v/>
      </c>
      <c r="F127" t="str">
        <f>IF($K127="","",IFERROR(INDEX('Veri Merkezi'!$H$2:$H$1001,$K127),""))</f>
        <v/>
      </c>
      <c r="G127" t="str">
        <f>IF($K127="","",IFERROR(INDEX('Veri Merkezi'!$R$2:$R$1001,$K127),""))</f>
        <v/>
      </c>
      <c r="H127" t="str">
        <f>IF($K127="","",IFERROR(INDEX('Veri Merkezi'!$S$2:$S$1001,$K127),""))</f>
        <v/>
      </c>
      <c r="I127" s="2" t="str">
        <f>IF($K127="","",IFERROR(INDEX('Veri Merkezi'!$T$2:$T$1001,$K127),""))</f>
        <v/>
      </c>
      <c r="J127" t="str">
        <f>IF($K127="","",IFERROR(INDEX('Veri Merkezi'!$U$2:$U$1001,$K127),""))</f>
        <v/>
      </c>
      <c r="K127" t="str">
        <f>IF(K126="","",IFERROR(K126+MATCH("A Liste",INDEX('Veri Merkezi'!$S$2:$S$1001,K126+1):'Veri Merkezi'!$S$1001,0),""))</f>
        <v/>
      </c>
    </row>
    <row r="128" spans="1:11">
      <c r="A128" t="str">
        <f>IF($K128="","",IFERROR(INDEX('Veri Merkezi'!$A$2:$A$1001,$K128),""))</f>
        <v/>
      </c>
      <c r="B128" t="str">
        <f>IF($K128="","",IFERROR(INDEX('Veri Merkezi'!$E$2:$E$1001,$K128),""))</f>
        <v/>
      </c>
      <c r="C128" t="str">
        <f>IF($K128="","",IFERROR(INDEX('Veri Merkezi'!$D$2:$D$1001,$K128),""))</f>
        <v/>
      </c>
      <c r="D128" t="str">
        <f>IF($K128="","",IFERROR(INDEX('Veri Merkezi'!$F$2:$F$1001,$K128),""))</f>
        <v/>
      </c>
      <c r="E128" s="2" t="str">
        <f>IF($K128="","",IFERROR(INDEX('Veri Merkezi'!$G$2:$G$1001,$K128),""))</f>
        <v/>
      </c>
      <c r="F128" t="str">
        <f>IF($K128="","",IFERROR(INDEX('Veri Merkezi'!$H$2:$H$1001,$K128),""))</f>
        <v/>
      </c>
      <c r="G128" t="str">
        <f>IF($K128="","",IFERROR(INDEX('Veri Merkezi'!$R$2:$R$1001,$K128),""))</f>
        <v/>
      </c>
      <c r="H128" t="str">
        <f>IF($K128="","",IFERROR(INDEX('Veri Merkezi'!$S$2:$S$1001,$K128),""))</f>
        <v/>
      </c>
      <c r="I128" s="2" t="str">
        <f>IF($K128="","",IFERROR(INDEX('Veri Merkezi'!$T$2:$T$1001,$K128),""))</f>
        <v/>
      </c>
      <c r="J128" t="str">
        <f>IF($K128="","",IFERROR(INDEX('Veri Merkezi'!$U$2:$U$1001,$K128),""))</f>
        <v/>
      </c>
      <c r="K128" t="str">
        <f>IF(K127="","",IFERROR(K127+MATCH("A Liste",INDEX('Veri Merkezi'!$S$2:$S$1001,K127+1):'Veri Merkezi'!$S$1001,0),""))</f>
        <v/>
      </c>
    </row>
    <row r="129" spans="1:11">
      <c r="A129" t="str">
        <f>IF($K129="","",IFERROR(INDEX('Veri Merkezi'!$A$2:$A$1001,$K129),""))</f>
        <v/>
      </c>
      <c r="B129" t="str">
        <f>IF($K129="","",IFERROR(INDEX('Veri Merkezi'!$E$2:$E$1001,$K129),""))</f>
        <v/>
      </c>
      <c r="C129" t="str">
        <f>IF($K129="","",IFERROR(INDEX('Veri Merkezi'!$D$2:$D$1001,$K129),""))</f>
        <v/>
      </c>
      <c r="D129" t="str">
        <f>IF($K129="","",IFERROR(INDEX('Veri Merkezi'!$F$2:$F$1001,$K129),""))</f>
        <v/>
      </c>
      <c r="E129" s="2" t="str">
        <f>IF($K129="","",IFERROR(INDEX('Veri Merkezi'!$G$2:$G$1001,$K129),""))</f>
        <v/>
      </c>
      <c r="F129" t="str">
        <f>IF($K129="","",IFERROR(INDEX('Veri Merkezi'!$H$2:$H$1001,$K129),""))</f>
        <v/>
      </c>
      <c r="G129" t="str">
        <f>IF($K129="","",IFERROR(INDEX('Veri Merkezi'!$R$2:$R$1001,$K129),""))</f>
        <v/>
      </c>
      <c r="H129" t="str">
        <f>IF($K129="","",IFERROR(INDEX('Veri Merkezi'!$S$2:$S$1001,$K129),""))</f>
        <v/>
      </c>
      <c r="I129" s="2" t="str">
        <f>IF($K129="","",IFERROR(INDEX('Veri Merkezi'!$T$2:$T$1001,$K129),""))</f>
        <v/>
      </c>
      <c r="J129" t="str">
        <f>IF($K129="","",IFERROR(INDEX('Veri Merkezi'!$U$2:$U$1001,$K129),""))</f>
        <v/>
      </c>
      <c r="K129" t="str">
        <f>IF(K128="","",IFERROR(K128+MATCH("A Liste",INDEX('Veri Merkezi'!$S$2:$S$1001,K128+1):'Veri Merkezi'!$S$1001,0),""))</f>
        <v/>
      </c>
    </row>
    <row r="130" spans="1:11">
      <c r="A130" t="str">
        <f>IF($K130="","",IFERROR(INDEX('Veri Merkezi'!$A$2:$A$1001,$K130),""))</f>
        <v/>
      </c>
      <c r="B130" t="str">
        <f>IF($K130="","",IFERROR(INDEX('Veri Merkezi'!$E$2:$E$1001,$K130),""))</f>
        <v/>
      </c>
      <c r="C130" t="str">
        <f>IF($K130="","",IFERROR(INDEX('Veri Merkezi'!$D$2:$D$1001,$K130),""))</f>
        <v/>
      </c>
      <c r="D130" t="str">
        <f>IF($K130="","",IFERROR(INDEX('Veri Merkezi'!$F$2:$F$1001,$K130),""))</f>
        <v/>
      </c>
      <c r="E130" s="2" t="str">
        <f>IF($K130="","",IFERROR(INDEX('Veri Merkezi'!$G$2:$G$1001,$K130),""))</f>
        <v/>
      </c>
      <c r="F130" t="str">
        <f>IF($K130="","",IFERROR(INDEX('Veri Merkezi'!$H$2:$H$1001,$K130),""))</f>
        <v/>
      </c>
      <c r="G130" t="str">
        <f>IF($K130="","",IFERROR(INDEX('Veri Merkezi'!$R$2:$R$1001,$K130),""))</f>
        <v/>
      </c>
      <c r="H130" t="str">
        <f>IF($K130="","",IFERROR(INDEX('Veri Merkezi'!$S$2:$S$1001,$K130),""))</f>
        <v/>
      </c>
      <c r="I130" s="2" t="str">
        <f>IF($K130="","",IFERROR(INDEX('Veri Merkezi'!$T$2:$T$1001,$K130),""))</f>
        <v/>
      </c>
      <c r="J130" t="str">
        <f>IF($K130="","",IFERROR(INDEX('Veri Merkezi'!$U$2:$U$1001,$K130),""))</f>
        <v/>
      </c>
      <c r="K130" t="str">
        <f>IF(K129="","",IFERROR(K129+MATCH("A Liste",INDEX('Veri Merkezi'!$S$2:$S$1001,K129+1):'Veri Merkezi'!$S$1001,0),""))</f>
        <v/>
      </c>
    </row>
    <row r="131" spans="1:11">
      <c r="A131" t="str">
        <f>IF($K131="","",IFERROR(INDEX('Veri Merkezi'!$A$2:$A$1001,$K131),""))</f>
        <v/>
      </c>
      <c r="B131" t="str">
        <f>IF($K131="","",IFERROR(INDEX('Veri Merkezi'!$E$2:$E$1001,$K131),""))</f>
        <v/>
      </c>
      <c r="C131" t="str">
        <f>IF($K131="","",IFERROR(INDEX('Veri Merkezi'!$D$2:$D$1001,$K131),""))</f>
        <v/>
      </c>
      <c r="D131" t="str">
        <f>IF($K131="","",IFERROR(INDEX('Veri Merkezi'!$F$2:$F$1001,$K131),""))</f>
        <v/>
      </c>
      <c r="E131" s="2" t="str">
        <f>IF($K131="","",IFERROR(INDEX('Veri Merkezi'!$G$2:$G$1001,$K131),""))</f>
        <v/>
      </c>
      <c r="F131" t="str">
        <f>IF($K131="","",IFERROR(INDEX('Veri Merkezi'!$H$2:$H$1001,$K131),""))</f>
        <v/>
      </c>
      <c r="G131" t="str">
        <f>IF($K131="","",IFERROR(INDEX('Veri Merkezi'!$R$2:$R$1001,$K131),""))</f>
        <v/>
      </c>
      <c r="H131" t="str">
        <f>IF($K131="","",IFERROR(INDEX('Veri Merkezi'!$S$2:$S$1001,$K131),""))</f>
        <v/>
      </c>
      <c r="I131" s="2" t="str">
        <f>IF($K131="","",IFERROR(INDEX('Veri Merkezi'!$T$2:$T$1001,$K131),""))</f>
        <v/>
      </c>
      <c r="J131" t="str">
        <f>IF($K131="","",IFERROR(INDEX('Veri Merkezi'!$U$2:$U$1001,$K131),""))</f>
        <v/>
      </c>
      <c r="K131" t="str">
        <f>IF(K130="","",IFERROR(K130+MATCH("A Liste",INDEX('Veri Merkezi'!$S$2:$S$1001,K130+1):'Veri Merkezi'!$S$1001,0),""))</f>
        <v/>
      </c>
    </row>
    <row r="132" spans="1:11">
      <c r="A132" t="str">
        <f>IF($K132="","",IFERROR(INDEX('Veri Merkezi'!$A$2:$A$1001,$K132),""))</f>
        <v/>
      </c>
      <c r="B132" t="str">
        <f>IF($K132="","",IFERROR(INDEX('Veri Merkezi'!$E$2:$E$1001,$K132),""))</f>
        <v/>
      </c>
      <c r="C132" t="str">
        <f>IF($K132="","",IFERROR(INDEX('Veri Merkezi'!$D$2:$D$1001,$K132),""))</f>
        <v/>
      </c>
      <c r="D132" t="str">
        <f>IF($K132="","",IFERROR(INDEX('Veri Merkezi'!$F$2:$F$1001,$K132),""))</f>
        <v/>
      </c>
      <c r="E132" s="2" t="str">
        <f>IF($K132="","",IFERROR(INDEX('Veri Merkezi'!$G$2:$G$1001,$K132),""))</f>
        <v/>
      </c>
      <c r="F132" t="str">
        <f>IF($K132="","",IFERROR(INDEX('Veri Merkezi'!$H$2:$H$1001,$K132),""))</f>
        <v/>
      </c>
      <c r="G132" t="str">
        <f>IF($K132="","",IFERROR(INDEX('Veri Merkezi'!$R$2:$R$1001,$K132),""))</f>
        <v/>
      </c>
      <c r="H132" t="str">
        <f>IF($K132="","",IFERROR(INDEX('Veri Merkezi'!$S$2:$S$1001,$K132),""))</f>
        <v/>
      </c>
      <c r="I132" s="2" t="str">
        <f>IF($K132="","",IFERROR(INDEX('Veri Merkezi'!$T$2:$T$1001,$K132),""))</f>
        <v/>
      </c>
      <c r="J132" t="str">
        <f>IF($K132="","",IFERROR(INDEX('Veri Merkezi'!$U$2:$U$1001,$K132),""))</f>
        <v/>
      </c>
      <c r="K132" t="str">
        <f>IF(K131="","",IFERROR(K131+MATCH("A Liste",INDEX('Veri Merkezi'!$S$2:$S$1001,K131+1):'Veri Merkezi'!$S$1001,0),""))</f>
        <v/>
      </c>
    </row>
    <row r="133" spans="1:11">
      <c r="A133" t="str">
        <f>IF($K133="","",IFERROR(INDEX('Veri Merkezi'!$A$2:$A$1001,$K133),""))</f>
        <v/>
      </c>
      <c r="B133" t="str">
        <f>IF($K133="","",IFERROR(INDEX('Veri Merkezi'!$E$2:$E$1001,$K133),""))</f>
        <v/>
      </c>
      <c r="C133" t="str">
        <f>IF($K133="","",IFERROR(INDEX('Veri Merkezi'!$D$2:$D$1001,$K133),""))</f>
        <v/>
      </c>
      <c r="D133" t="str">
        <f>IF($K133="","",IFERROR(INDEX('Veri Merkezi'!$F$2:$F$1001,$K133),""))</f>
        <v/>
      </c>
      <c r="E133" s="2" t="str">
        <f>IF($K133="","",IFERROR(INDEX('Veri Merkezi'!$G$2:$G$1001,$K133),""))</f>
        <v/>
      </c>
      <c r="F133" t="str">
        <f>IF($K133="","",IFERROR(INDEX('Veri Merkezi'!$H$2:$H$1001,$K133),""))</f>
        <v/>
      </c>
      <c r="G133" t="str">
        <f>IF($K133="","",IFERROR(INDEX('Veri Merkezi'!$R$2:$R$1001,$K133),""))</f>
        <v/>
      </c>
      <c r="H133" t="str">
        <f>IF($K133="","",IFERROR(INDEX('Veri Merkezi'!$S$2:$S$1001,$K133),""))</f>
        <v/>
      </c>
      <c r="I133" s="2" t="str">
        <f>IF($K133="","",IFERROR(INDEX('Veri Merkezi'!$T$2:$T$1001,$K133),""))</f>
        <v/>
      </c>
      <c r="J133" t="str">
        <f>IF($K133="","",IFERROR(INDEX('Veri Merkezi'!$U$2:$U$1001,$K133),""))</f>
        <v/>
      </c>
      <c r="K133" t="str">
        <f>IF(K132="","",IFERROR(K132+MATCH("A Liste",INDEX('Veri Merkezi'!$S$2:$S$1001,K132+1):'Veri Merkezi'!$S$1001,0),""))</f>
        <v/>
      </c>
    </row>
    <row r="134" spans="1:11">
      <c r="A134" t="str">
        <f>IF($K134="","",IFERROR(INDEX('Veri Merkezi'!$A$2:$A$1001,$K134),""))</f>
        <v/>
      </c>
      <c r="B134" t="str">
        <f>IF($K134="","",IFERROR(INDEX('Veri Merkezi'!$E$2:$E$1001,$K134),""))</f>
        <v/>
      </c>
      <c r="C134" t="str">
        <f>IF($K134="","",IFERROR(INDEX('Veri Merkezi'!$D$2:$D$1001,$K134),""))</f>
        <v/>
      </c>
      <c r="D134" t="str">
        <f>IF($K134="","",IFERROR(INDEX('Veri Merkezi'!$F$2:$F$1001,$K134),""))</f>
        <v/>
      </c>
      <c r="E134" s="2" t="str">
        <f>IF($K134="","",IFERROR(INDEX('Veri Merkezi'!$G$2:$G$1001,$K134),""))</f>
        <v/>
      </c>
      <c r="F134" t="str">
        <f>IF($K134="","",IFERROR(INDEX('Veri Merkezi'!$H$2:$H$1001,$K134),""))</f>
        <v/>
      </c>
      <c r="G134" t="str">
        <f>IF($K134="","",IFERROR(INDEX('Veri Merkezi'!$R$2:$R$1001,$K134),""))</f>
        <v/>
      </c>
      <c r="H134" t="str">
        <f>IF($K134="","",IFERROR(INDEX('Veri Merkezi'!$S$2:$S$1001,$K134),""))</f>
        <v/>
      </c>
      <c r="I134" s="2" t="str">
        <f>IF($K134="","",IFERROR(INDEX('Veri Merkezi'!$T$2:$T$1001,$K134),""))</f>
        <v/>
      </c>
      <c r="J134" t="str">
        <f>IF($K134="","",IFERROR(INDEX('Veri Merkezi'!$U$2:$U$1001,$K134),""))</f>
        <v/>
      </c>
      <c r="K134" t="str">
        <f>IF(K133="","",IFERROR(K133+MATCH("A Liste",INDEX('Veri Merkezi'!$S$2:$S$1001,K133+1):'Veri Merkezi'!$S$1001,0),""))</f>
        <v/>
      </c>
    </row>
    <row r="135" spans="1:11">
      <c r="A135" t="str">
        <f>IF($K135="","",IFERROR(INDEX('Veri Merkezi'!$A$2:$A$1001,$K135),""))</f>
        <v/>
      </c>
      <c r="B135" t="str">
        <f>IF($K135="","",IFERROR(INDEX('Veri Merkezi'!$E$2:$E$1001,$K135),""))</f>
        <v/>
      </c>
      <c r="C135" t="str">
        <f>IF($K135="","",IFERROR(INDEX('Veri Merkezi'!$D$2:$D$1001,$K135),""))</f>
        <v/>
      </c>
      <c r="D135" t="str">
        <f>IF($K135="","",IFERROR(INDEX('Veri Merkezi'!$F$2:$F$1001,$K135),""))</f>
        <v/>
      </c>
      <c r="E135" s="2" t="str">
        <f>IF($K135="","",IFERROR(INDEX('Veri Merkezi'!$G$2:$G$1001,$K135),""))</f>
        <v/>
      </c>
      <c r="F135" t="str">
        <f>IF($K135="","",IFERROR(INDEX('Veri Merkezi'!$H$2:$H$1001,$K135),""))</f>
        <v/>
      </c>
      <c r="G135" t="str">
        <f>IF($K135="","",IFERROR(INDEX('Veri Merkezi'!$R$2:$R$1001,$K135),""))</f>
        <v/>
      </c>
      <c r="H135" t="str">
        <f>IF($K135="","",IFERROR(INDEX('Veri Merkezi'!$S$2:$S$1001,$K135),""))</f>
        <v/>
      </c>
      <c r="I135" s="2" t="str">
        <f>IF($K135="","",IFERROR(INDEX('Veri Merkezi'!$T$2:$T$1001,$K135),""))</f>
        <v/>
      </c>
      <c r="J135" t="str">
        <f>IF($K135="","",IFERROR(INDEX('Veri Merkezi'!$U$2:$U$1001,$K135),""))</f>
        <v/>
      </c>
      <c r="K135" t="str">
        <f>IF(K134="","",IFERROR(K134+MATCH("A Liste",INDEX('Veri Merkezi'!$S$2:$S$1001,K134+1):'Veri Merkezi'!$S$1001,0),""))</f>
        <v/>
      </c>
    </row>
    <row r="136" spans="1:11">
      <c r="A136" t="str">
        <f>IF($K136="","",IFERROR(INDEX('Veri Merkezi'!$A$2:$A$1001,$K136),""))</f>
        <v/>
      </c>
      <c r="B136" t="str">
        <f>IF($K136="","",IFERROR(INDEX('Veri Merkezi'!$E$2:$E$1001,$K136),""))</f>
        <v/>
      </c>
      <c r="C136" t="str">
        <f>IF($K136="","",IFERROR(INDEX('Veri Merkezi'!$D$2:$D$1001,$K136),""))</f>
        <v/>
      </c>
      <c r="D136" t="str">
        <f>IF($K136="","",IFERROR(INDEX('Veri Merkezi'!$F$2:$F$1001,$K136),""))</f>
        <v/>
      </c>
      <c r="E136" s="2" t="str">
        <f>IF($K136="","",IFERROR(INDEX('Veri Merkezi'!$G$2:$G$1001,$K136),""))</f>
        <v/>
      </c>
      <c r="F136" t="str">
        <f>IF($K136="","",IFERROR(INDEX('Veri Merkezi'!$H$2:$H$1001,$K136),""))</f>
        <v/>
      </c>
      <c r="G136" t="str">
        <f>IF($K136="","",IFERROR(INDEX('Veri Merkezi'!$R$2:$R$1001,$K136),""))</f>
        <v/>
      </c>
      <c r="H136" t="str">
        <f>IF($K136="","",IFERROR(INDEX('Veri Merkezi'!$S$2:$S$1001,$K136),""))</f>
        <v/>
      </c>
      <c r="I136" s="2" t="str">
        <f>IF($K136="","",IFERROR(INDEX('Veri Merkezi'!$T$2:$T$1001,$K136),""))</f>
        <v/>
      </c>
      <c r="J136" t="str">
        <f>IF($K136="","",IFERROR(INDEX('Veri Merkezi'!$U$2:$U$1001,$K136),""))</f>
        <v/>
      </c>
      <c r="K136" t="str">
        <f>IF(K135="","",IFERROR(K135+MATCH("A Liste",INDEX('Veri Merkezi'!$S$2:$S$1001,K135+1):'Veri Merkezi'!$S$1001,0),""))</f>
        <v/>
      </c>
    </row>
    <row r="137" spans="1:11">
      <c r="A137" t="str">
        <f>IF($K137="","",IFERROR(INDEX('Veri Merkezi'!$A$2:$A$1001,$K137),""))</f>
        <v/>
      </c>
      <c r="B137" t="str">
        <f>IF($K137="","",IFERROR(INDEX('Veri Merkezi'!$E$2:$E$1001,$K137),""))</f>
        <v/>
      </c>
      <c r="C137" t="str">
        <f>IF($K137="","",IFERROR(INDEX('Veri Merkezi'!$D$2:$D$1001,$K137),""))</f>
        <v/>
      </c>
      <c r="D137" t="str">
        <f>IF($K137="","",IFERROR(INDEX('Veri Merkezi'!$F$2:$F$1001,$K137),""))</f>
        <v/>
      </c>
      <c r="E137" s="2" t="str">
        <f>IF($K137="","",IFERROR(INDEX('Veri Merkezi'!$G$2:$G$1001,$K137),""))</f>
        <v/>
      </c>
      <c r="F137" t="str">
        <f>IF($K137="","",IFERROR(INDEX('Veri Merkezi'!$H$2:$H$1001,$K137),""))</f>
        <v/>
      </c>
      <c r="G137" t="str">
        <f>IF($K137="","",IFERROR(INDEX('Veri Merkezi'!$R$2:$R$1001,$K137),""))</f>
        <v/>
      </c>
      <c r="H137" t="str">
        <f>IF($K137="","",IFERROR(INDEX('Veri Merkezi'!$S$2:$S$1001,$K137),""))</f>
        <v/>
      </c>
      <c r="I137" s="2" t="str">
        <f>IF($K137="","",IFERROR(INDEX('Veri Merkezi'!$T$2:$T$1001,$K137),""))</f>
        <v/>
      </c>
      <c r="J137" t="str">
        <f>IF($K137="","",IFERROR(INDEX('Veri Merkezi'!$U$2:$U$1001,$K137),""))</f>
        <v/>
      </c>
      <c r="K137" t="str">
        <f>IF(K136="","",IFERROR(K136+MATCH("A Liste",INDEX('Veri Merkezi'!$S$2:$S$1001,K136+1):'Veri Merkezi'!$S$1001,0),""))</f>
        <v/>
      </c>
    </row>
    <row r="138" spans="1:11">
      <c r="A138" t="str">
        <f>IF($K138="","",IFERROR(INDEX('Veri Merkezi'!$A$2:$A$1001,$K138),""))</f>
        <v/>
      </c>
      <c r="B138" t="str">
        <f>IF($K138="","",IFERROR(INDEX('Veri Merkezi'!$E$2:$E$1001,$K138),""))</f>
        <v/>
      </c>
      <c r="C138" t="str">
        <f>IF($K138="","",IFERROR(INDEX('Veri Merkezi'!$D$2:$D$1001,$K138),""))</f>
        <v/>
      </c>
      <c r="D138" t="str">
        <f>IF($K138="","",IFERROR(INDEX('Veri Merkezi'!$F$2:$F$1001,$K138),""))</f>
        <v/>
      </c>
      <c r="E138" s="2" t="str">
        <f>IF($K138="","",IFERROR(INDEX('Veri Merkezi'!$G$2:$G$1001,$K138),""))</f>
        <v/>
      </c>
      <c r="F138" t="str">
        <f>IF($K138="","",IFERROR(INDEX('Veri Merkezi'!$H$2:$H$1001,$K138),""))</f>
        <v/>
      </c>
      <c r="G138" t="str">
        <f>IF($K138="","",IFERROR(INDEX('Veri Merkezi'!$R$2:$R$1001,$K138),""))</f>
        <v/>
      </c>
      <c r="H138" t="str">
        <f>IF($K138="","",IFERROR(INDEX('Veri Merkezi'!$S$2:$S$1001,$K138),""))</f>
        <v/>
      </c>
      <c r="I138" s="2" t="str">
        <f>IF($K138="","",IFERROR(INDEX('Veri Merkezi'!$T$2:$T$1001,$K138),""))</f>
        <v/>
      </c>
      <c r="J138" t="str">
        <f>IF($K138="","",IFERROR(INDEX('Veri Merkezi'!$U$2:$U$1001,$K138),""))</f>
        <v/>
      </c>
      <c r="K138" t="str">
        <f>IF(K137="","",IFERROR(K137+MATCH("A Liste",INDEX('Veri Merkezi'!$S$2:$S$1001,K137+1):'Veri Merkezi'!$S$1001,0),""))</f>
        <v/>
      </c>
    </row>
    <row r="139" spans="1:11">
      <c r="A139" t="str">
        <f>IF($K139="","",IFERROR(INDEX('Veri Merkezi'!$A$2:$A$1001,$K139),""))</f>
        <v/>
      </c>
      <c r="B139" t="str">
        <f>IF($K139="","",IFERROR(INDEX('Veri Merkezi'!$E$2:$E$1001,$K139),""))</f>
        <v/>
      </c>
      <c r="C139" t="str">
        <f>IF($K139="","",IFERROR(INDEX('Veri Merkezi'!$D$2:$D$1001,$K139),""))</f>
        <v/>
      </c>
      <c r="D139" t="str">
        <f>IF($K139="","",IFERROR(INDEX('Veri Merkezi'!$F$2:$F$1001,$K139),""))</f>
        <v/>
      </c>
      <c r="E139" s="2" t="str">
        <f>IF($K139="","",IFERROR(INDEX('Veri Merkezi'!$G$2:$G$1001,$K139),""))</f>
        <v/>
      </c>
      <c r="F139" t="str">
        <f>IF($K139="","",IFERROR(INDEX('Veri Merkezi'!$H$2:$H$1001,$K139),""))</f>
        <v/>
      </c>
      <c r="G139" t="str">
        <f>IF($K139="","",IFERROR(INDEX('Veri Merkezi'!$R$2:$R$1001,$K139),""))</f>
        <v/>
      </c>
      <c r="H139" t="str">
        <f>IF($K139="","",IFERROR(INDEX('Veri Merkezi'!$S$2:$S$1001,$K139),""))</f>
        <v/>
      </c>
      <c r="I139" s="2" t="str">
        <f>IF($K139="","",IFERROR(INDEX('Veri Merkezi'!$T$2:$T$1001,$K139),""))</f>
        <v/>
      </c>
      <c r="J139" t="str">
        <f>IF($K139="","",IFERROR(INDEX('Veri Merkezi'!$U$2:$U$1001,$K139),""))</f>
        <v/>
      </c>
      <c r="K139" t="str">
        <f>IF(K138="","",IFERROR(K138+MATCH("A Liste",INDEX('Veri Merkezi'!$S$2:$S$1001,K138+1):'Veri Merkezi'!$S$1001,0),""))</f>
        <v/>
      </c>
    </row>
    <row r="140" spans="1:11">
      <c r="A140" t="str">
        <f>IF($K140="","",IFERROR(INDEX('Veri Merkezi'!$A$2:$A$1001,$K140),""))</f>
        <v/>
      </c>
      <c r="B140" t="str">
        <f>IF($K140="","",IFERROR(INDEX('Veri Merkezi'!$E$2:$E$1001,$K140),""))</f>
        <v/>
      </c>
      <c r="C140" t="str">
        <f>IF($K140="","",IFERROR(INDEX('Veri Merkezi'!$D$2:$D$1001,$K140),""))</f>
        <v/>
      </c>
      <c r="D140" t="str">
        <f>IF($K140="","",IFERROR(INDEX('Veri Merkezi'!$F$2:$F$1001,$K140),""))</f>
        <v/>
      </c>
      <c r="E140" s="2" t="str">
        <f>IF($K140="","",IFERROR(INDEX('Veri Merkezi'!$G$2:$G$1001,$K140),""))</f>
        <v/>
      </c>
      <c r="F140" t="str">
        <f>IF($K140="","",IFERROR(INDEX('Veri Merkezi'!$H$2:$H$1001,$K140),""))</f>
        <v/>
      </c>
      <c r="G140" t="str">
        <f>IF($K140="","",IFERROR(INDEX('Veri Merkezi'!$R$2:$R$1001,$K140),""))</f>
        <v/>
      </c>
      <c r="H140" t="str">
        <f>IF($K140="","",IFERROR(INDEX('Veri Merkezi'!$S$2:$S$1001,$K140),""))</f>
        <v/>
      </c>
      <c r="I140" s="2" t="str">
        <f>IF($K140="","",IFERROR(INDEX('Veri Merkezi'!$T$2:$T$1001,$K140),""))</f>
        <v/>
      </c>
      <c r="J140" t="str">
        <f>IF($K140="","",IFERROR(INDEX('Veri Merkezi'!$U$2:$U$1001,$K140),""))</f>
        <v/>
      </c>
      <c r="K140" t="str">
        <f>IF(K139="","",IFERROR(K139+MATCH("A Liste",INDEX('Veri Merkezi'!$S$2:$S$1001,K139+1):'Veri Merkezi'!$S$1001,0),""))</f>
        <v/>
      </c>
    </row>
    <row r="141" spans="1:11">
      <c r="A141" t="str">
        <f>IF($K141="","",IFERROR(INDEX('Veri Merkezi'!$A$2:$A$1001,$K141),""))</f>
        <v/>
      </c>
      <c r="B141" t="str">
        <f>IF($K141="","",IFERROR(INDEX('Veri Merkezi'!$E$2:$E$1001,$K141),""))</f>
        <v/>
      </c>
      <c r="C141" t="str">
        <f>IF($K141="","",IFERROR(INDEX('Veri Merkezi'!$D$2:$D$1001,$K141),""))</f>
        <v/>
      </c>
      <c r="D141" t="str">
        <f>IF($K141="","",IFERROR(INDEX('Veri Merkezi'!$F$2:$F$1001,$K141),""))</f>
        <v/>
      </c>
      <c r="E141" s="2" t="str">
        <f>IF($K141="","",IFERROR(INDEX('Veri Merkezi'!$G$2:$G$1001,$K141),""))</f>
        <v/>
      </c>
      <c r="F141" t="str">
        <f>IF($K141="","",IFERROR(INDEX('Veri Merkezi'!$H$2:$H$1001,$K141),""))</f>
        <v/>
      </c>
      <c r="G141" t="str">
        <f>IF($K141="","",IFERROR(INDEX('Veri Merkezi'!$R$2:$R$1001,$K141),""))</f>
        <v/>
      </c>
      <c r="H141" t="str">
        <f>IF($K141="","",IFERROR(INDEX('Veri Merkezi'!$S$2:$S$1001,$K141),""))</f>
        <v/>
      </c>
      <c r="I141" s="2" t="str">
        <f>IF($K141="","",IFERROR(INDEX('Veri Merkezi'!$T$2:$T$1001,$K141),""))</f>
        <v/>
      </c>
      <c r="J141" t="str">
        <f>IF($K141="","",IFERROR(INDEX('Veri Merkezi'!$U$2:$U$1001,$K141),""))</f>
        <v/>
      </c>
      <c r="K141" t="str">
        <f>IF(K140="","",IFERROR(K140+MATCH("A Liste",INDEX('Veri Merkezi'!$S$2:$S$1001,K140+1):'Veri Merkezi'!$S$1001,0),""))</f>
        <v/>
      </c>
    </row>
    <row r="142" spans="1:11">
      <c r="A142" t="str">
        <f>IF($K142="","",IFERROR(INDEX('Veri Merkezi'!$A$2:$A$1001,$K142),""))</f>
        <v/>
      </c>
      <c r="B142" t="str">
        <f>IF($K142="","",IFERROR(INDEX('Veri Merkezi'!$E$2:$E$1001,$K142),""))</f>
        <v/>
      </c>
      <c r="C142" t="str">
        <f>IF($K142="","",IFERROR(INDEX('Veri Merkezi'!$D$2:$D$1001,$K142),""))</f>
        <v/>
      </c>
      <c r="D142" t="str">
        <f>IF($K142="","",IFERROR(INDEX('Veri Merkezi'!$F$2:$F$1001,$K142),""))</f>
        <v/>
      </c>
      <c r="E142" s="2" t="str">
        <f>IF($K142="","",IFERROR(INDEX('Veri Merkezi'!$G$2:$G$1001,$K142),""))</f>
        <v/>
      </c>
      <c r="F142" t="str">
        <f>IF($K142="","",IFERROR(INDEX('Veri Merkezi'!$H$2:$H$1001,$K142),""))</f>
        <v/>
      </c>
      <c r="G142" t="str">
        <f>IF($K142="","",IFERROR(INDEX('Veri Merkezi'!$R$2:$R$1001,$K142),""))</f>
        <v/>
      </c>
      <c r="H142" t="str">
        <f>IF($K142="","",IFERROR(INDEX('Veri Merkezi'!$S$2:$S$1001,$K142),""))</f>
        <v/>
      </c>
      <c r="I142" s="2" t="str">
        <f>IF($K142="","",IFERROR(INDEX('Veri Merkezi'!$T$2:$T$1001,$K142),""))</f>
        <v/>
      </c>
      <c r="J142" t="str">
        <f>IF($K142="","",IFERROR(INDEX('Veri Merkezi'!$U$2:$U$1001,$K142),""))</f>
        <v/>
      </c>
      <c r="K142" t="str">
        <f>IF(K141="","",IFERROR(K141+MATCH("A Liste",INDEX('Veri Merkezi'!$S$2:$S$1001,K141+1):'Veri Merkezi'!$S$1001,0),""))</f>
        <v/>
      </c>
    </row>
    <row r="143" spans="1:11">
      <c r="A143" t="str">
        <f>IF($K143="","",IFERROR(INDEX('Veri Merkezi'!$A$2:$A$1001,$K143),""))</f>
        <v/>
      </c>
      <c r="B143" t="str">
        <f>IF($K143="","",IFERROR(INDEX('Veri Merkezi'!$E$2:$E$1001,$K143),""))</f>
        <v/>
      </c>
      <c r="C143" t="str">
        <f>IF($K143="","",IFERROR(INDEX('Veri Merkezi'!$D$2:$D$1001,$K143),""))</f>
        <v/>
      </c>
      <c r="D143" t="str">
        <f>IF($K143="","",IFERROR(INDEX('Veri Merkezi'!$F$2:$F$1001,$K143),""))</f>
        <v/>
      </c>
      <c r="E143" s="2" t="str">
        <f>IF($K143="","",IFERROR(INDEX('Veri Merkezi'!$G$2:$G$1001,$K143),""))</f>
        <v/>
      </c>
      <c r="F143" t="str">
        <f>IF($K143="","",IFERROR(INDEX('Veri Merkezi'!$H$2:$H$1001,$K143),""))</f>
        <v/>
      </c>
      <c r="G143" t="str">
        <f>IF($K143="","",IFERROR(INDEX('Veri Merkezi'!$R$2:$R$1001,$K143),""))</f>
        <v/>
      </c>
      <c r="H143" t="str">
        <f>IF($K143="","",IFERROR(INDEX('Veri Merkezi'!$S$2:$S$1001,$K143),""))</f>
        <v/>
      </c>
      <c r="I143" s="2" t="str">
        <f>IF($K143="","",IFERROR(INDEX('Veri Merkezi'!$T$2:$T$1001,$K143),""))</f>
        <v/>
      </c>
      <c r="J143" t="str">
        <f>IF($K143="","",IFERROR(INDEX('Veri Merkezi'!$U$2:$U$1001,$K143),""))</f>
        <v/>
      </c>
      <c r="K143" t="str">
        <f>IF(K142="","",IFERROR(K142+MATCH("A Liste",INDEX('Veri Merkezi'!$S$2:$S$1001,K142+1):'Veri Merkezi'!$S$1001,0),""))</f>
        <v/>
      </c>
    </row>
    <row r="144" spans="1:11">
      <c r="A144" t="str">
        <f>IF($K144="","",IFERROR(INDEX('Veri Merkezi'!$A$2:$A$1001,$K144),""))</f>
        <v/>
      </c>
      <c r="B144" t="str">
        <f>IF($K144="","",IFERROR(INDEX('Veri Merkezi'!$E$2:$E$1001,$K144),""))</f>
        <v/>
      </c>
      <c r="C144" t="str">
        <f>IF($K144="","",IFERROR(INDEX('Veri Merkezi'!$D$2:$D$1001,$K144),""))</f>
        <v/>
      </c>
      <c r="D144" t="str">
        <f>IF($K144="","",IFERROR(INDEX('Veri Merkezi'!$F$2:$F$1001,$K144),""))</f>
        <v/>
      </c>
      <c r="E144" s="2" t="str">
        <f>IF($K144="","",IFERROR(INDEX('Veri Merkezi'!$G$2:$G$1001,$K144),""))</f>
        <v/>
      </c>
      <c r="F144" t="str">
        <f>IF($K144="","",IFERROR(INDEX('Veri Merkezi'!$H$2:$H$1001,$K144),""))</f>
        <v/>
      </c>
      <c r="G144" t="str">
        <f>IF($K144="","",IFERROR(INDEX('Veri Merkezi'!$R$2:$R$1001,$K144),""))</f>
        <v/>
      </c>
      <c r="H144" t="str">
        <f>IF($K144="","",IFERROR(INDEX('Veri Merkezi'!$S$2:$S$1001,$K144),""))</f>
        <v/>
      </c>
      <c r="I144" s="2" t="str">
        <f>IF($K144="","",IFERROR(INDEX('Veri Merkezi'!$T$2:$T$1001,$K144),""))</f>
        <v/>
      </c>
      <c r="J144" t="str">
        <f>IF($K144="","",IFERROR(INDEX('Veri Merkezi'!$U$2:$U$1001,$K144),""))</f>
        <v/>
      </c>
      <c r="K144" t="str">
        <f>IF(K143="","",IFERROR(K143+MATCH("A Liste",INDEX('Veri Merkezi'!$S$2:$S$1001,K143+1):'Veri Merkezi'!$S$1001,0),""))</f>
        <v/>
      </c>
    </row>
    <row r="145" spans="1:11">
      <c r="A145" t="str">
        <f>IF($K145="","",IFERROR(INDEX('Veri Merkezi'!$A$2:$A$1001,$K145),""))</f>
        <v/>
      </c>
      <c r="B145" t="str">
        <f>IF($K145="","",IFERROR(INDEX('Veri Merkezi'!$E$2:$E$1001,$K145),""))</f>
        <v/>
      </c>
      <c r="C145" t="str">
        <f>IF($K145="","",IFERROR(INDEX('Veri Merkezi'!$D$2:$D$1001,$K145),""))</f>
        <v/>
      </c>
      <c r="D145" t="str">
        <f>IF($K145="","",IFERROR(INDEX('Veri Merkezi'!$F$2:$F$1001,$K145),""))</f>
        <v/>
      </c>
      <c r="E145" s="2" t="str">
        <f>IF($K145="","",IFERROR(INDEX('Veri Merkezi'!$G$2:$G$1001,$K145),""))</f>
        <v/>
      </c>
      <c r="F145" t="str">
        <f>IF($K145="","",IFERROR(INDEX('Veri Merkezi'!$H$2:$H$1001,$K145),""))</f>
        <v/>
      </c>
      <c r="G145" t="str">
        <f>IF($K145="","",IFERROR(INDEX('Veri Merkezi'!$R$2:$R$1001,$K145),""))</f>
        <v/>
      </c>
      <c r="H145" t="str">
        <f>IF($K145="","",IFERROR(INDEX('Veri Merkezi'!$S$2:$S$1001,$K145),""))</f>
        <v/>
      </c>
      <c r="I145" s="2" t="str">
        <f>IF($K145="","",IFERROR(INDEX('Veri Merkezi'!$T$2:$T$1001,$K145),""))</f>
        <v/>
      </c>
      <c r="J145" t="str">
        <f>IF($K145="","",IFERROR(INDEX('Veri Merkezi'!$U$2:$U$1001,$K145),""))</f>
        <v/>
      </c>
      <c r="K145" t="str">
        <f>IF(K144="","",IFERROR(K144+MATCH("A Liste",INDEX('Veri Merkezi'!$S$2:$S$1001,K144+1):'Veri Merkezi'!$S$1001,0),""))</f>
        <v/>
      </c>
    </row>
    <row r="146" spans="1:11">
      <c r="A146" t="str">
        <f>IF($K146="","",IFERROR(INDEX('Veri Merkezi'!$A$2:$A$1001,$K146),""))</f>
        <v/>
      </c>
      <c r="B146" t="str">
        <f>IF($K146="","",IFERROR(INDEX('Veri Merkezi'!$E$2:$E$1001,$K146),""))</f>
        <v/>
      </c>
      <c r="C146" t="str">
        <f>IF($K146="","",IFERROR(INDEX('Veri Merkezi'!$D$2:$D$1001,$K146),""))</f>
        <v/>
      </c>
      <c r="D146" t="str">
        <f>IF($K146="","",IFERROR(INDEX('Veri Merkezi'!$F$2:$F$1001,$K146),""))</f>
        <v/>
      </c>
      <c r="E146" s="2" t="str">
        <f>IF($K146="","",IFERROR(INDEX('Veri Merkezi'!$G$2:$G$1001,$K146),""))</f>
        <v/>
      </c>
      <c r="F146" t="str">
        <f>IF($K146="","",IFERROR(INDEX('Veri Merkezi'!$H$2:$H$1001,$K146),""))</f>
        <v/>
      </c>
      <c r="G146" t="str">
        <f>IF($K146="","",IFERROR(INDEX('Veri Merkezi'!$R$2:$R$1001,$K146),""))</f>
        <v/>
      </c>
      <c r="H146" t="str">
        <f>IF($K146="","",IFERROR(INDEX('Veri Merkezi'!$S$2:$S$1001,$K146),""))</f>
        <v/>
      </c>
      <c r="I146" s="2" t="str">
        <f>IF($K146="","",IFERROR(INDEX('Veri Merkezi'!$T$2:$T$1001,$K146),""))</f>
        <v/>
      </c>
      <c r="J146" t="str">
        <f>IF($K146="","",IFERROR(INDEX('Veri Merkezi'!$U$2:$U$1001,$K146),""))</f>
        <v/>
      </c>
      <c r="K146" t="str">
        <f>IF(K145="","",IFERROR(K145+MATCH("A Liste",INDEX('Veri Merkezi'!$S$2:$S$1001,K145+1):'Veri Merkezi'!$S$1001,0),""))</f>
        <v/>
      </c>
    </row>
    <row r="147" spans="1:11">
      <c r="A147" t="str">
        <f>IF($K147="","",IFERROR(INDEX('Veri Merkezi'!$A$2:$A$1001,$K147),""))</f>
        <v/>
      </c>
      <c r="B147" t="str">
        <f>IF($K147="","",IFERROR(INDEX('Veri Merkezi'!$E$2:$E$1001,$K147),""))</f>
        <v/>
      </c>
      <c r="C147" t="str">
        <f>IF($K147="","",IFERROR(INDEX('Veri Merkezi'!$D$2:$D$1001,$K147),""))</f>
        <v/>
      </c>
      <c r="D147" t="str">
        <f>IF($K147="","",IFERROR(INDEX('Veri Merkezi'!$F$2:$F$1001,$K147),""))</f>
        <v/>
      </c>
      <c r="E147" s="2" t="str">
        <f>IF($K147="","",IFERROR(INDEX('Veri Merkezi'!$G$2:$G$1001,$K147),""))</f>
        <v/>
      </c>
      <c r="F147" t="str">
        <f>IF($K147="","",IFERROR(INDEX('Veri Merkezi'!$H$2:$H$1001,$K147),""))</f>
        <v/>
      </c>
      <c r="G147" t="str">
        <f>IF($K147="","",IFERROR(INDEX('Veri Merkezi'!$R$2:$R$1001,$K147),""))</f>
        <v/>
      </c>
      <c r="H147" t="str">
        <f>IF($K147="","",IFERROR(INDEX('Veri Merkezi'!$S$2:$S$1001,$K147),""))</f>
        <v/>
      </c>
      <c r="I147" s="2" t="str">
        <f>IF($K147="","",IFERROR(INDEX('Veri Merkezi'!$T$2:$T$1001,$K147),""))</f>
        <v/>
      </c>
      <c r="J147" t="str">
        <f>IF($K147="","",IFERROR(INDEX('Veri Merkezi'!$U$2:$U$1001,$K147),""))</f>
        <v/>
      </c>
      <c r="K147" t="str">
        <f>IF(K146="","",IFERROR(K146+MATCH("A Liste",INDEX('Veri Merkezi'!$S$2:$S$1001,K146+1):'Veri Merkezi'!$S$1001,0),""))</f>
        <v/>
      </c>
    </row>
    <row r="148" spans="1:11">
      <c r="A148" t="str">
        <f>IF($K148="","",IFERROR(INDEX('Veri Merkezi'!$A$2:$A$1001,$K148),""))</f>
        <v/>
      </c>
      <c r="B148" t="str">
        <f>IF($K148="","",IFERROR(INDEX('Veri Merkezi'!$E$2:$E$1001,$K148),""))</f>
        <v/>
      </c>
      <c r="C148" t="str">
        <f>IF($K148="","",IFERROR(INDEX('Veri Merkezi'!$D$2:$D$1001,$K148),""))</f>
        <v/>
      </c>
      <c r="D148" t="str">
        <f>IF($K148="","",IFERROR(INDEX('Veri Merkezi'!$F$2:$F$1001,$K148),""))</f>
        <v/>
      </c>
      <c r="E148" s="2" t="str">
        <f>IF($K148="","",IFERROR(INDEX('Veri Merkezi'!$G$2:$G$1001,$K148),""))</f>
        <v/>
      </c>
      <c r="F148" t="str">
        <f>IF($K148="","",IFERROR(INDEX('Veri Merkezi'!$H$2:$H$1001,$K148),""))</f>
        <v/>
      </c>
      <c r="G148" t="str">
        <f>IF($K148="","",IFERROR(INDEX('Veri Merkezi'!$R$2:$R$1001,$K148),""))</f>
        <v/>
      </c>
      <c r="H148" t="str">
        <f>IF($K148="","",IFERROR(INDEX('Veri Merkezi'!$S$2:$S$1001,$K148),""))</f>
        <v/>
      </c>
      <c r="I148" s="2" t="str">
        <f>IF($K148="","",IFERROR(INDEX('Veri Merkezi'!$T$2:$T$1001,$K148),""))</f>
        <v/>
      </c>
      <c r="J148" t="str">
        <f>IF($K148="","",IFERROR(INDEX('Veri Merkezi'!$U$2:$U$1001,$K148),""))</f>
        <v/>
      </c>
      <c r="K148" t="str">
        <f>IF(K147="","",IFERROR(K147+MATCH("A Liste",INDEX('Veri Merkezi'!$S$2:$S$1001,K147+1):'Veri Merkezi'!$S$1001,0),""))</f>
        <v/>
      </c>
    </row>
    <row r="149" spans="1:11">
      <c r="A149" t="str">
        <f>IF($K149="","",IFERROR(INDEX('Veri Merkezi'!$A$2:$A$1001,$K149),""))</f>
        <v/>
      </c>
      <c r="B149" t="str">
        <f>IF($K149="","",IFERROR(INDEX('Veri Merkezi'!$E$2:$E$1001,$K149),""))</f>
        <v/>
      </c>
      <c r="C149" t="str">
        <f>IF($K149="","",IFERROR(INDEX('Veri Merkezi'!$D$2:$D$1001,$K149),""))</f>
        <v/>
      </c>
      <c r="D149" t="str">
        <f>IF($K149="","",IFERROR(INDEX('Veri Merkezi'!$F$2:$F$1001,$K149),""))</f>
        <v/>
      </c>
      <c r="E149" s="2" t="str">
        <f>IF($K149="","",IFERROR(INDEX('Veri Merkezi'!$G$2:$G$1001,$K149),""))</f>
        <v/>
      </c>
      <c r="F149" t="str">
        <f>IF($K149="","",IFERROR(INDEX('Veri Merkezi'!$H$2:$H$1001,$K149),""))</f>
        <v/>
      </c>
      <c r="G149" t="str">
        <f>IF($K149="","",IFERROR(INDEX('Veri Merkezi'!$R$2:$R$1001,$K149),""))</f>
        <v/>
      </c>
      <c r="H149" t="str">
        <f>IF($K149="","",IFERROR(INDEX('Veri Merkezi'!$S$2:$S$1001,$K149),""))</f>
        <v/>
      </c>
      <c r="I149" s="2" t="str">
        <f>IF($K149="","",IFERROR(INDEX('Veri Merkezi'!$T$2:$T$1001,$K149),""))</f>
        <v/>
      </c>
      <c r="J149" t="str">
        <f>IF($K149="","",IFERROR(INDEX('Veri Merkezi'!$U$2:$U$1001,$K149),""))</f>
        <v/>
      </c>
      <c r="K149" t="str">
        <f>IF(K148="","",IFERROR(K148+MATCH("A Liste",INDEX('Veri Merkezi'!$S$2:$S$1001,K148+1):'Veri Merkezi'!$S$1001,0),""))</f>
        <v/>
      </c>
    </row>
    <row r="150" spans="1:11">
      <c r="A150" t="str">
        <f>IF($K150="","",IFERROR(INDEX('Veri Merkezi'!$A$2:$A$1001,$K150),""))</f>
        <v/>
      </c>
      <c r="B150" t="str">
        <f>IF($K150="","",IFERROR(INDEX('Veri Merkezi'!$E$2:$E$1001,$K150),""))</f>
        <v/>
      </c>
      <c r="C150" t="str">
        <f>IF($K150="","",IFERROR(INDEX('Veri Merkezi'!$D$2:$D$1001,$K150),""))</f>
        <v/>
      </c>
      <c r="D150" t="str">
        <f>IF($K150="","",IFERROR(INDEX('Veri Merkezi'!$F$2:$F$1001,$K150),""))</f>
        <v/>
      </c>
      <c r="E150" s="2" t="str">
        <f>IF($K150="","",IFERROR(INDEX('Veri Merkezi'!$G$2:$G$1001,$K150),""))</f>
        <v/>
      </c>
      <c r="F150" t="str">
        <f>IF($K150="","",IFERROR(INDEX('Veri Merkezi'!$H$2:$H$1001,$K150),""))</f>
        <v/>
      </c>
      <c r="G150" t="str">
        <f>IF($K150="","",IFERROR(INDEX('Veri Merkezi'!$R$2:$R$1001,$K150),""))</f>
        <v/>
      </c>
      <c r="H150" t="str">
        <f>IF($K150="","",IFERROR(INDEX('Veri Merkezi'!$S$2:$S$1001,$K150),""))</f>
        <v/>
      </c>
      <c r="I150" s="2" t="str">
        <f>IF($K150="","",IFERROR(INDEX('Veri Merkezi'!$T$2:$T$1001,$K150),""))</f>
        <v/>
      </c>
      <c r="J150" t="str">
        <f>IF($K150="","",IFERROR(INDEX('Veri Merkezi'!$U$2:$U$1001,$K150),""))</f>
        <v/>
      </c>
      <c r="K150" t="str">
        <f>IF(K149="","",IFERROR(K149+MATCH("A Liste",INDEX('Veri Merkezi'!$S$2:$S$1001,K149+1):'Veri Merkezi'!$S$1001,0),""))</f>
        <v/>
      </c>
    </row>
    <row r="151" spans="1:11">
      <c r="A151" t="str">
        <f>IF($K151="","",IFERROR(INDEX('Veri Merkezi'!$A$2:$A$1001,$K151),""))</f>
        <v/>
      </c>
      <c r="B151" t="str">
        <f>IF($K151="","",IFERROR(INDEX('Veri Merkezi'!$E$2:$E$1001,$K151),""))</f>
        <v/>
      </c>
      <c r="C151" t="str">
        <f>IF($K151="","",IFERROR(INDEX('Veri Merkezi'!$D$2:$D$1001,$K151),""))</f>
        <v/>
      </c>
      <c r="D151" t="str">
        <f>IF($K151="","",IFERROR(INDEX('Veri Merkezi'!$F$2:$F$1001,$K151),""))</f>
        <v/>
      </c>
      <c r="E151" s="2" t="str">
        <f>IF($K151="","",IFERROR(INDEX('Veri Merkezi'!$G$2:$G$1001,$K151),""))</f>
        <v/>
      </c>
      <c r="F151" t="str">
        <f>IF($K151="","",IFERROR(INDEX('Veri Merkezi'!$H$2:$H$1001,$K151),""))</f>
        <v/>
      </c>
      <c r="G151" t="str">
        <f>IF($K151="","",IFERROR(INDEX('Veri Merkezi'!$R$2:$R$1001,$K151),""))</f>
        <v/>
      </c>
      <c r="H151" t="str">
        <f>IF($K151="","",IFERROR(INDEX('Veri Merkezi'!$S$2:$S$1001,$K151),""))</f>
        <v/>
      </c>
      <c r="I151" s="2" t="str">
        <f>IF($K151="","",IFERROR(INDEX('Veri Merkezi'!$T$2:$T$1001,$K151),""))</f>
        <v/>
      </c>
      <c r="J151" t="str">
        <f>IF($K151="","",IFERROR(INDEX('Veri Merkezi'!$U$2:$U$1001,$K151),""))</f>
        <v/>
      </c>
      <c r="K151" t="str">
        <f>IF(K150="","",IFERROR(K150+MATCH("A Liste",INDEX('Veri Merkezi'!$S$2:$S$1001,K150+1):'Veri Merkezi'!$S$1001,0),""))</f>
        <v/>
      </c>
    </row>
    <row r="152" spans="1:11">
      <c r="A152" t="str">
        <f>IF($K152="","",IFERROR(INDEX('Veri Merkezi'!$A$2:$A$1001,$K152),""))</f>
        <v/>
      </c>
      <c r="B152" t="str">
        <f>IF($K152="","",IFERROR(INDEX('Veri Merkezi'!$E$2:$E$1001,$K152),""))</f>
        <v/>
      </c>
      <c r="C152" t="str">
        <f>IF($K152="","",IFERROR(INDEX('Veri Merkezi'!$D$2:$D$1001,$K152),""))</f>
        <v/>
      </c>
      <c r="D152" t="str">
        <f>IF($K152="","",IFERROR(INDEX('Veri Merkezi'!$F$2:$F$1001,$K152),""))</f>
        <v/>
      </c>
      <c r="E152" s="2" t="str">
        <f>IF($K152="","",IFERROR(INDEX('Veri Merkezi'!$G$2:$G$1001,$K152),""))</f>
        <v/>
      </c>
      <c r="F152" t="str">
        <f>IF($K152="","",IFERROR(INDEX('Veri Merkezi'!$H$2:$H$1001,$K152),""))</f>
        <v/>
      </c>
      <c r="G152" t="str">
        <f>IF($K152="","",IFERROR(INDEX('Veri Merkezi'!$R$2:$R$1001,$K152),""))</f>
        <v/>
      </c>
      <c r="H152" t="str">
        <f>IF($K152="","",IFERROR(INDEX('Veri Merkezi'!$S$2:$S$1001,$K152),""))</f>
        <v/>
      </c>
      <c r="I152" s="2" t="str">
        <f>IF($K152="","",IFERROR(INDEX('Veri Merkezi'!$T$2:$T$1001,$K152),""))</f>
        <v/>
      </c>
      <c r="J152" t="str">
        <f>IF($K152="","",IFERROR(INDEX('Veri Merkezi'!$U$2:$U$1001,$K152),""))</f>
        <v/>
      </c>
      <c r="K152" t="str">
        <f>IF(K151="","",IFERROR(K151+MATCH("A Liste",INDEX('Veri Merkezi'!$S$2:$S$1001,K151+1):'Veri Merkezi'!$S$1001,0),""))</f>
        <v/>
      </c>
    </row>
    <row r="153" spans="1:11">
      <c r="A153" t="str">
        <f>IF($K153="","",IFERROR(INDEX('Veri Merkezi'!$A$2:$A$1001,$K153),""))</f>
        <v/>
      </c>
      <c r="B153" t="str">
        <f>IF($K153="","",IFERROR(INDEX('Veri Merkezi'!$E$2:$E$1001,$K153),""))</f>
        <v/>
      </c>
      <c r="C153" t="str">
        <f>IF($K153="","",IFERROR(INDEX('Veri Merkezi'!$D$2:$D$1001,$K153),""))</f>
        <v/>
      </c>
      <c r="D153" t="str">
        <f>IF($K153="","",IFERROR(INDEX('Veri Merkezi'!$F$2:$F$1001,$K153),""))</f>
        <v/>
      </c>
      <c r="E153" s="2" t="str">
        <f>IF($K153="","",IFERROR(INDEX('Veri Merkezi'!$G$2:$G$1001,$K153),""))</f>
        <v/>
      </c>
      <c r="F153" t="str">
        <f>IF($K153="","",IFERROR(INDEX('Veri Merkezi'!$H$2:$H$1001,$K153),""))</f>
        <v/>
      </c>
      <c r="G153" t="str">
        <f>IF($K153="","",IFERROR(INDEX('Veri Merkezi'!$R$2:$R$1001,$K153),""))</f>
        <v/>
      </c>
      <c r="H153" t="str">
        <f>IF($K153="","",IFERROR(INDEX('Veri Merkezi'!$S$2:$S$1001,$K153),""))</f>
        <v/>
      </c>
      <c r="I153" s="2" t="str">
        <f>IF($K153="","",IFERROR(INDEX('Veri Merkezi'!$T$2:$T$1001,$K153),""))</f>
        <v/>
      </c>
      <c r="J153" t="str">
        <f>IF($K153="","",IFERROR(INDEX('Veri Merkezi'!$U$2:$U$1001,$K153),""))</f>
        <v/>
      </c>
      <c r="K153" t="str">
        <f>IF(K152="","",IFERROR(K152+MATCH("A Liste",INDEX('Veri Merkezi'!$S$2:$S$1001,K152+1):'Veri Merkezi'!$S$1001,0),""))</f>
        <v/>
      </c>
    </row>
    <row r="154" spans="1:11">
      <c r="A154" t="str">
        <f>IF($K154="","",IFERROR(INDEX('Veri Merkezi'!$A$2:$A$1001,$K154),""))</f>
        <v/>
      </c>
      <c r="B154" t="str">
        <f>IF($K154="","",IFERROR(INDEX('Veri Merkezi'!$E$2:$E$1001,$K154),""))</f>
        <v/>
      </c>
      <c r="C154" t="str">
        <f>IF($K154="","",IFERROR(INDEX('Veri Merkezi'!$D$2:$D$1001,$K154),""))</f>
        <v/>
      </c>
      <c r="D154" t="str">
        <f>IF($K154="","",IFERROR(INDEX('Veri Merkezi'!$F$2:$F$1001,$K154),""))</f>
        <v/>
      </c>
      <c r="E154" s="2" t="str">
        <f>IF($K154="","",IFERROR(INDEX('Veri Merkezi'!$G$2:$G$1001,$K154),""))</f>
        <v/>
      </c>
      <c r="F154" t="str">
        <f>IF($K154="","",IFERROR(INDEX('Veri Merkezi'!$H$2:$H$1001,$K154),""))</f>
        <v/>
      </c>
      <c r="G154" t="str">
        <f>IF($K154="","",IFERROR(INDEX('Veri Merkezi'!$R$2:$R$1001,$K154),""))</f>
        <v/>
      </c>
      <c r="H154" t="str">
        <f>IF($K154="","",IFERROR(INDEX('Veri Merkezi'!$S$2:$S$1001,$K154),""))</f>
        <v/>
      </c>
      <c r="I154" s="2" t="str">
        <f>IF($K154="","",IFERROR(INDEX('Veri Merkezi'!$T$2:$T$1001,$K154),""))</f>
        <v/>
      </c>
      <c r="J154" t="str">
        <f>IF($K154="","",IFERROR(INDEX('Veri Merkezi'!$U$2:$U$1001,$K154),""))</f>
        <v/>
      </c>
      <c r="K154" t="str">
        <f>IF(K153="","",IFERROR(K153+MATCH("A Liste",INDEX('Veri Merkezi'!$S$2:$S$1001,K153+1):'Veri Merkezi'!$S$1001,0),""))</f>
        <v/>
      </c>
    </row>
    <row r="155" spans="1:11">
      <c r="A155" t="str">
        <f>IF($K155="","",IFERROR(INDEX('Veri Merkezi'!$A$2:$A$1001,$K155),""))</f>
        <v/>
      </c>
      <c r="B155" t="str">
        <f>IF($K155="","",IFERROR(INDEX('Veri Merkezi'!$E$2:$E$1001,$K155),""))</f>
        <v/>
      </c>
      <c r="C155" t="str">
        <f>IF($K155="","",IFERROR(INDEX('Veri Merkezi'!$D$2:$D$1001,$K155),""))</f>
        <v/>
      </c>
      <c r="D155" t="str">
        <f>IF($K155="","",IFERROR(INDEX('Veri Merkezi'!$F$2:$F$1001,$K155),""))</f>
        <v/>
      </c>
      <c r="E155" s="2" t="str">
        <f>IF($K155="","",IFERROR(INDEX('Veri Merkezi'!$G$2:$G$1001,$K155),""))</f>
        <v/>
      </c>
      <c r="F155" t="str">
        <f>IF($K155="","",IFERROR(INDEX('Veri Merkezi'!$H$2:$H$1001,$K155),""))</f>
        <v/>
      </c>
      <c r="G155" t="str">
        <f>IF($K155="","",IFERROR(INDEX('Veri Merkezi'!$R$2:$R$1001,$K155),""))</f>
        <v/>
      </c>
      <c r="H155" t="str">
        <f>IF($K155="","",IFERROR(INDEX('Veri Merkezi'!$S$2:$S$1001,$K155),""))</f>
        <v/>
      </c>
      <c r="I155" s="2" t="str">
        <f>IF($K155="","",IFERROR(INDEX('Veri Merkezi'!$T$2:$T$1001,$K155),""))</f>
        <v/>
      </c>
      <c r="J155" t="str">
        <f>IF($K155="","",IFERROR(INDEX('Veri Merkezi'!$U$2:$U$1001,$K155),""))</f>
        <v/>
      </c>
      <c r="K155" t="str">
        <f>IF(K154="","",IFERROR(K154+MATCH("A Liste",INDEX('Veri Merkezi'!$S$2:$S$1001,K154+1):'Veri Merkezi'!$S$1001,0),""))</f>
        <v/>
      </c>
    </row>
    <row r="156" spans="1:11">
      <c r="A156" t="str">
        <f>IF($K156="","",IFERROR(INDEX('Veri Merkezi'!$A$2:$A$1001,$K156),""))</f>
        <v/>
      </c>
      <c r="B156" t="str">
        <f>IF($K156="","",IFERROR(INDEX('Veri Merkezi'!$E$2:$E$1001,$K156),""))</f>
        <v/>
      </c>
      <c r="C156" t="str">
        <f>IF($K156="","",IFERROR(INDEX('Veri Merkezi'!$D$2:$D$1001,$K156),""))</f>
        <v/>
      </c>
      <c r="D156" t="str">
        <f>IF($K156="","",IFERROR(INDEX('Veri Merkezi'!$F$2:$F$1001,$K156),""))</f>
        <v/>
      </c>
      <c r="E156" s="2" t="str">
        <f>IF($K156="","",IFERROR(INDEX('Veri Merkezi'!$G$2:$G$1001,$K156),""))</f>
        <v/>
      </c>
      <c r="F156" t="str">
        <f>IF($K156="","",IFERROR(INDEX('Veri Merkezi'!$H$2:$H$1001,$K156),""))</f>
        <v/>
      </c>
      <c r="G156" t="str">
        <f>IF($K156="","",IFERROR(INDEX('Veri Merkezi'!$R$2:$R$1001,$K156),""))</f>
        <v/>
      </c>
      <c r="H156" t="str">
        <f>IF($K156="","",IFERROR(INDEX('Veri Merkezi'!$S$2:$S$1001,$K156),""))</f>
        <v/>
      </c>
      <c r="I156" s="2" t="str">
        <f>IF($K156="","",IFERROR(INDEX('Veri Merkezi'!$T$2:$T$1001,$K156),""))</f>
        <v/>
      </c>
      <c r="J156" t="str">
        <f>IF($K156="","",IFERROR(INDEX('Veri Merkezi'!$U$2:$U$1001,$K156),""))</f>
        <v/>
      </c>
      <c r="K156" t="str">
        <f>IF(K155="","",IFERROR(K155+MATCH("A Liste",INDEX('Veri Merkezi'!$S$2:$S$1001,K155+1):'Veri Merkezi'!$S$1001,0),""))</f>
        <v/>
      </c>
    </row>
    <row r="157" spans="1:11">
      <c r="A157" t="str">
        <f>IF($K157="","",IFERROR(INDEX('Veri Merkezi'!$A$2:$A$1001,$K157),""))</f>
        <v/>
      </c>
      <c r="B157" t="str">
        <f>IF($K157="","",IFERROR(INDEX('Veri Merkezi'!$E$2:$E$1001,$K157),""))</f>
        <v/>
      </c>
      <c r="C157" t="str">
        <f>IF($K157="","",IFERROR(INDEX('Veri Merkezi'!$D$2:$D$1001,$K157),""))</f>
        <v/>
      </c>
      <c r="D157" t="str">
        <f>IF($K157="","",IFERROR(INDEX('Veri Merkezi'!$F$2:$F$1001,$K157),""))</f>
        <v/>
      </c>
      <c r="E157" s="2" t="str">
        <f>IF($K157="","",IFERROR(INDEX('Veri Merkezi'!$G$2:$G$1001,$K157),""))</f>
        <v/>
      </c>
      <c r="F157" t="str">
        <f>IF($K157="","",IFERROR(INDEX('Veri Merkezi'!$H$2:$H$1001,$K157),""))</f>
        <v/>
      </c>
      <c r="G157" t="str">
        <f>IF($K157="","",IFERROR(INDEX('Veri Merkezi'!$R$2:$R$1001,$K157),""))</f>
        <v/>
      </c>
      <c r="H157" t="str">
        <f>IF($K157="","",IFERROR(INDEX('Veri Merkezi'!$S$2:$S$1001,$K157),""))</f>
        <v/>
      </c>
      <c r="I157" s="2" t="str">
        <f>IF($K157="","",IFERROR(INDEX('Veri Merkezi'!$T$2:$T$1001,$K157),""))</f>
        <v/>
      </c>
      <c r="J157" t="str">
        <f>IF($K157="","",IFERROR(INDEX('Veri Merkezi'!$U$2:$U$1001,$K157),""))</f>
        <v/>
      </c>
      <c r="K157" t="str">
        <f>IF(K156="","",IFERROR(K156+MATCH("A Liste",INDEX('Veri Merkezi'!$S$2:$S$1001,K156+1):'Veri Merkezi'!$S$1001,0),""))</f>
        <v/>
      </c>
    </row>
    <row r="158" spans="1:11">
      <c r="A158" t="str">
        <f>IF($K158="","",IFERROR(INDEX('Veri Merkezi'!$A$2:$A$1001,$K158),""))</f>
        <v/>
      </c>
      <c r="B158" t="str">
        <f>IF($K158="","",IFERROR(INDEX('Veri Merkezi'!$E$2:$E$1001,$K158),""))</f>
        <v/>
      </c>
      <c r="C158" t="str">
        <f>IF($K158="","",IFERROR(INDEX('Veri Merkezi'!$D$2:$D$1001,$K158),""))</f>
        <v/>
      </c>
      <c r="D158" t="str">
        <f>IF($K158="","",IFERROR(INDEX('Veri Merkezi'!$F$2:$F$1001,$K158),""))</f>
        <v/>
      </c>
      <c r="E158" s="2" t="str">
        <f>IF($K158="","",IFERROR(INDEX('Veri Merkezi'!$G$2:$G$1001,$K158),""))</f>
        <v/>
      </c>
      <c r="F158" t="str">
        <f>IF($K158="","",IFERROR(INDEX('Veri Merkezi'!$H$2:$H$1001,$K158),""))</f>
        <v/>
      </c>
      <c r="G158" t="str">
        <f>IF($K158="","",IFERROR(INDEX('Veri Merkezi'!$R$2:$R$1001,$K158),""))</f>
        <v/>
      </c>
      <c r="H158" t="str">
        <f>IF($K158="","",IFERROR(INDEX('Veri Merkezi'!$S$2:$S$1001,$K158),""))</f>
        <v/>
      </c>
      <c r="I158" s="2" t="str">
        <f>IF($K158="","",IFERROR(INDEX('Veri Merkezi'!$T$2:$T$1001,$K158),""))</f>
        <v/>
      </c>
      <c r="J158" t="str">
        <f>IF($K158="","",IFERROR(INDEX('Veri Merkezi'!$U$2:$U$1001,$K158),""))</f>
        <v/>
      </c>
      <c r="K158" t="str">
        <f>IF(K157="","",IFERROR(K157+MATCH("A Liste",INDEX('Veri Merkezi'!$S$2:$S$1001,K157+1):'Veri Merkezi'!$S$1001,0),""))</f>
        <v/>
      </c>
    </row>
    <row r="159" spans="1:11">
      <c r="A159" t="str">
        <f>IF($K159="","",IFERROR(INDEX('Veri Merkezi'!$A$2:$A$1001,$K159),""))</f>
        <v/>
      </c>
      <c r="B159" t="str">
        <f>IF($K159="","",IFERROR(INDEX('Veri Merkezi'!$E$2:$E$1001,$K159),""))</f>
        <v/>
      </c>
      <c r="C159" t="str">
        <f>IF($K159="","",IFERROR(INDEX('Veri Merkezi'!$D$2:$D$1001,$K159),""))</f>
        <v/>
      </c>
      <c r="D159" t="str">
        <f>IF($K159="","",IFERROR(INDEX('Veri Merkezi'!$F$2:$F$1001,$K159),""))</f>
        <v/>
      </c>
      <c r="E159" s="2" t="str">
        <f>IF($K159="","",IFERROR(INDEX('Veri Merkezi'!$G$2:$G$1001,$K159),""))</f>
        <v/>
      </c>
      <c r="F159" t="str">
        <f>IF($K159="","",IFERROR(INDEX('Veri Merkezi'!$H$2:$H$1001,$K159),""))</f>
        <v/>
      </c>
      <c r="G159" t="str">
        <f>IF($K159="","",IFERROR(INDEX('Veri Merkezi'!$R$2:$R$1001,$K159),""))</f>
        <v/>
      </c>
      <c r="H159" t="str">
        <f>IF($K159="","",IFERROR(INDEX('Veri Merkezi'!$S$2:$S$1001,$K159),""))</f>
        <v/>
      </c>
      <c r="I159" s="2" t="str">
        <f>IF($K159="","",IFERROR(INDEX('Veri Merkezi'!$T$2:$T$1001,$K159),""))</f>
        <v/>
      </c>
      <c r="J159" t="str">
        <f>IF($K159="","",IFERROR(INDEX('Veri Merkezi'!$U$2:$U$1001,$K159),""))</f>
        <v/>
      </c>
      <c r="K159" t="str">
        <f>IF(K158="","",IFERROR(K158+MATCH("A Liste",INDEX('Veri Merkezi'!$S$2:$S$1001,K158+1):'Veri Merkezi'!$S$1001,0),""))</f>
        <v/>
      </c>
    </row>
    <row r="160" spans="1:11">
      <c r="A160" t="str">
        <f>IF($K160="","",IFERROR(INDEX('Veri Merkezi'!$A$2:$A$1001,$K160),""))</f>
        <v/>
      </c>
      <c r="B160" t="str">
        <f>IF($K160="","",IFERROR(INDEX('Veri Merkezi'!$E$2:$E$1001,$K160),""))</f>
        <v/>
      </c>
      <c r="C160" t="str">
        <f>IF($K160="","",IFERROR(INDEX('Veri Merkezi'!$D$2:$D$1001,$K160),""))</f>
        <v/>
      </c>
      <c r="D160" t="str">
        <f>IF($K160="","",IFERROR(INDEX('Veri Merkezi'!$F$2:$F$1001,$K160),""))</f>
        <v/>
      </c>
      <c r="E160" s="2" t="str">
        <f>IF($K160="","",IFERROR(INDEX('Veri Merkezi'!$G$2:$G$1001,$K160),""))</f>
        <v/>
      </c>
      <c r="F160" t="str">
        <f>IF($K160="","",IFERROR(INDEX('Veri Merkezi'!$H$2:$H$1001,$K160),""))</f>
        <v/>
      </c>
      <c r="G160" t="str">
        <f>IF($K160="","",IFERROR(INDEX('Veri Merkezi'!$R$2:$R$1001,$K160),""))</f>
        <v/>
      </c>
      <c r="H160" t="str">
        <f>IF($K160="","",IFERROR(INDEX('Veri Merkezi'!$S$2:$S$1001,$K160),""))</f>
        <v/>
      </c>
      <c r="I160" s="2" t="str">
        <f>IF($K160="","",IFERROR(INDEX('Veri Merkezi'!$T$2:$T$1001,$K160),""))</f>
        <v/>
      </c>
      <c r="J160" t="str">
        <f>IF($K160="","",IFERROR(INDEX('Veri Merkezi'!$U$2:$U$1001,$K160),""))</f>
        <v/>
      </c>
      <c r="K160" t="str">
        <f>IF(K159="","",IFERROR(K159+MATCH("A Liste",INDEX('Veri Merkezi'!$S$2:$S$1001,K159+1):'Veri Merkezi'!$S$1001,0),""))</f>
        <v/>
      </c>
    </row>
    <row r="161" spans="1:11">
      <c r="A161" t="str">
        <f>IF($K161="","",IFERROR(INDEX('Veri Merkezi'!$A$2:$A$1001,$K161),""))</f>
        <v/>
      </c>
      <c r="B161" t="str">
        <f>IF($K161="","",IFERROR(INDEX('Veri Merkezi'!$E$2:$E$1001,$K161),""))</f>
        <v/>
      </c>
      <c r="C161" t="str">
        <f>IF($K161="","",IFERROR(INDEX('Veri Merkezi'!$D$2:$D$1001,$K161),""))</f>
        <v/>
      </c>
      <c r="D161" t="str">
        <f>IF($K161="","",IFERROR(INDEX('Veri Merkezi'!$F$2:$F$1001,$K161),""))</f>
        <v/>
      </c>
      <c r="E161" s="2" t="str">
        <f>IF($K161="","",IFERROR(INDEX('Veri Merkezi'!$G$2:$G$1001,$K161),""))</f>
        <v/>
      </c>
      <c r="F161" t="str">
        <f>IF($K161="","",IFERROR(INDEX('Veri Merkezi'!$H$2:$H$1001,$K161),""))</f>
        <v/>
      </c>
      <c r="G161" t="str">
        <f>IF($K161="","",IFERROR(INDEX('Veri Merkezi'!$R$2:$R$1001,$K161),""))</f>
        <v/>
      </c>
      <c r="H161" t="str">
        <f>IF($K161="","",IFERROR(INDEX('Veri Merkezi'!$S$2:$S$1001,$K161),""))</f>
        <v/>
      </c>
      <c r="I161" s="2" t="str">
        <f>IF($K161="","",IFERROR(INDEX('Veri Merkezi'!$T$2:$T$1001,$K161),""))</f>
        <v/>
      </c>
      <c r="J161" t="str">
        <f>IF($K161="","",IFERROR(INDEX('Veri Merkezi'!$U$2:$U$1001,$K161),""))</f>
        <v/>
      </c>
      <c r="K161" t="str">
        <f>IF(K160="","",IFERROR(K160+MATCH("A Liste",INDEX('Veri Merkezi'!$S$2:$S$1001,K160+1):'Veri Merkezi'!$S$1001,0),""))</f>
        <v/>
      </c>
    </row>
    <row r="162" spans="1:11">
      <c r="A162" t="str">
        <f>IF($K162="","",IFERROR(INDEX('Veri Merkezi'!$A$2:$A$1001,$K162),""))</f>
        <v/>
      </c>
      <c r="B162" t="str">
        <f>IF($K162="","",IFERROR(INDEX('Veri Merkezi'!$E$2:$E$1001,$K162),""))</f>
        <v/>
      </c>
      <c r="C162" t="str">
        <f>IF($K162="","",IFERROR(INDEX('Veri Merkezi'!$D$2:$D$1001,$K162),""))</f>
        <v/>
      </c>
      <c r="D162" t="str">
        <f>IF($K162="","",IFERROR(INDEX('Veri Merkezi'!$F$2:$F$1001,$K162),""))</f>
        <v/>
      </c>
      <c r="E162" s="2" t="str">
        <f>IF($K162="","",IFERROR(INDEX('Veri Merkezi'!$G$2:$G$1001,$K162),""))</f>
        <v/>
      </c>
      <c r="F162" t="str">
        <f>IF($K162="","",IFERROR(INDEX('Veri Merkezi'!$H$2:$H$1001,$K162),""))</f>
        <v/>
      </c>
      <c r="G162" t="str">
        <f>IF($K162="","",IFERROR(INDEX('Veri Merkezi'!$R$2:$R$1001,$K162),""))</f>
        <v/>
      </c>
      <c r="H162" t="str">
        <f>IF($K162="","",IFERROR(INDEX('Veri Merkezi'!$S$2:$S$1001,$K162),""))</f>
        <v/>
      </c>
      <c r="I162" s="2" t="str">
        <f>IF($K162="","",IFERROR(INDEX('Veri Merkezi'!$T$2:$T$1001,$K162),""))</f>
        <v/>
      </c>
      <c r="J162" t="str">
        <f>IF($K162="","",IFERROR(INDEX('Veri Merkezi'!$U$2:$U$1001,$K162),""))</f>
        <v/>
      </c>
      <c r="K162" t="str">
        <f>IF(K161="","",IFERROR(K161+MATCH("A Liste",INDEX('Veri Merkezi'!$S$2:$S$1001,K161+1):'Veri Merkezi'!$S$1001,0),""))</f>
        <v/>
      </c>
    </row>
    <row r="163" spans="1:11">
      <c r="A163" t="str">
        <f>IF($K163="","",IFERROR(INDEX('Veri Merkezi'!$A$2:$A$1001,$K163),""))</f>
        <v/>
      </c>
      <c r="B163" t="str">
        <f>IF($K163="","",IFERROR(INDEX('Veri Merkezi'!$E$2:$E$1001,$K163),""))</f>
        <v/>
      </c>
      <c r="C163" t="str">
        <f>IF($K163="","",IFERROR(INDEX('Veri Merkezi'!$D$2:$D$1001,$K163),""))</f>
        <v/>
      </c>
      <c r="D163" t="str">
        <f>IF($K163="","",IFERROR(INDEX('Veri Merkezi'!$F$2:$F$1001,$K163),""))</f>
        <v/>
      </c>
      <c r="E163" s="2" t="str">
        <f>IF($K163="","",IFERROR(INDEX('Veri Merkezi'!$G$2:$G$1001,$K163),""))</f>
        <v/>
      </c>
      <c r="F163" t="str">
        <f>IF($K163="","",IFERROR(INDEX('Veri Merkezi'!$H$2:$H$1001,$K163),""))</f>
        <v/>
      </c>
      <c r="G163" t="str">
        <f>IF($K163="","",IFERROR(INDEX('Veri Merkezi'!$R$2:$R$1001,$K163),""))</f>
        <v/>
      </c>
      <c r="H163" t="str">
        <f>IF($K163="","",IFERROR(INDEX('Veri Merkezi'!$S$2:$S$1001,$K163),""))</f>
        <v/>
      </c>
      <c r="I163" s="2" t="str">
        <f>IF($K163="","",IFERROR(INDEX('Veri Merkezi'!$T$2:$T$1001,$K163),""))</f>
        <v/>
      </c>
      <c r="J163" t="str">
        <f>IF($K163="","",IFERROR(INDEX('Veri Merkezi'!$U$2:$U$1001,$K163),""))</f>
        <v/>
      </c>
      <c r="K163" t="str">
        <f>IF(K162="","",IFERROR(K162+MATCH("A Liste",INDEX('Veri Merkezi'!$S$2:$S$1001,K162+1):'Veri Merkezi'!$S$1001,0),""))</f>
        <v/>
      </c>
    </row>
    <row r="164" spans="1:11">
      <c r="A164" t="str">
        <f>IF($K164="","",IFERROR(INDEX('Veri Merkezi'!$A$2:$A$1001,$K164),""))</f>
        <v/>
      </c>
      <c r="B164" t="str">
        <f>IF($K164="","",IFERROR(INDEX('Veri Merkezi'!$E$2:$E$1001,$K164),""))</f>
        <v/>
      </c>
      <c r="C164" t="str">
        <f>IF($K164="","",IFERROR(INDEX('Veri Merkezi'!$D$2:$D$1001,$K164),""))</f>
        <v/>
      </c>
      <c r="D164" t="str">
        <f>IF($K164="","",IFERROR(INDEX('Veri Merkezi'!$F$2:$F$1001,$K164),""))</f>
        <v/>
      </c>
      <c r="E164" s="2" t="str">
        <f>IF($K164="","",IFERROR(INDEX('Veri Merkezi'!$G$2:$G$1001,$K164),""))</f>
        <v/>
      </c>
      <c r="F164" t="str">
        <f>IF($K164="","",IFERROR(INDEX('Veri Merkezi'!$H$2:$H$1001,$K164),""))</f>
        <v/>
      </c>
      <c r="G164" t="str">
        <f>IF($K164="","",IFERROR(INDEX('Veri Merkezi'!$R$2:$R$1001,$K164),""))</f>
        <v/>
      </c>
      <c r="H164" t="str">
        <f>IF($K164="","",IFERROR(INDEX('Veri Merkezi'!$S$2:$S$1001,$K164),""))</f>
        <v/>
      </c>
      <c r="I164" s="2" t="str">
        <f>IF($K164="","",IFERROR(INDEX('Veri Merkezi'!$T$2:$T$1001,$K164),""))</f>
        <v/>
      </c>
      <c r="J164" t="str">
        <f>IF($K164="","",IFERROR(INDEX('Veri Merkezi'!$U$2:$U$1001,$K164),""))</f>
        <v/>
      </c>
      <c r="K164" t="str">
        <f>IF(K163="","",IFERROR(K163+MATCH("A Liste",INDEX('Veri Merkezi'!$S$2:$S$1001,K163+1):'Veri Merkezi'!$S$1001,0),""))</f>
        <v/>
      </c>
    </row>
    <row r="165" spans="1:11">
      <c r="A165" t="str">
        <f>IF($K165="","",IFERROR(INDEX('Veri Merkezi'!$A$2:$A$1001,$K165),""))</f>
        <v/>
      </c>
      <c r="B165" t="str">
        <f>IF($K165="","",IFERROR(INDEX('Veri Merkezi'!$E$2:$E$1001,$K165),""))</f>
        <v/>
      </c>
      <c r="C165" t="str">
        <f>IF($K165="","",IFERROR(INDEX('Veri Merkezi'!$D$2:$D$1001,$K165),""))</f>
        <v/>
      </c>
      <c r="D165" t="str">
        <f>IF($K165="","",IFERROR(INDEX('Veri Merkezi'!$F$2:$F$1001,$K165),""))</f>
        <v/>
      </c>
      <c r="E165" s="2" t="str">
        <f>IF($K165="","",IFERROR(INDEX('Veri Merkezi'!$G$2:$G$1001,$K165),""))</f>
        <v/>
      </c>
      <c r="F165" t="str">
        <f>IF($K165="","",IFERROR(INDEX('Veri Merkezi'!$H$2:$H$1001,$K165),""))</f>
        <v/>
      </c>
      <c r="G165" t="str">
        <f>IF($K165="","",IFERROR(INDEX('Veri Merkezi'!$R$2:$R$1001,$K165),""))</f>
        <v/>
      </c>
      <c r="H165" t="str">
        <f>IF($K165="","",IFERROR(INDEX('Veri Merkezi'!$S$2:$S$1001,$K165),""))</f>
        <v/>
      </c>
      <c r="I165" s="2" t="str">
        <f>IF($K165="","",IFERROR(INDEX('Veri Merkezi'!$T$2:$T$1001,$K165),""))</f>
        <v/>
      </c>
      <c r="J165" t="str">
        <f>IF($K165="","",IFERROR(INDEX('Veri Merkezi'!$U$2:$U$1001,$K165),""))</f>
        <v/>
      </c>
      <c r="K165" t="str">
        <f>IF(K164="","",IFERROR(K164+MATCH("A Liste",INDEX('Veri Merkezi'!$S$2:$S$1001,K164+1):'Veri Merkezi'!$S$1001,0),""))</f>
        <v/>
      </c>
    </row>
    <row r="166" spans="1:11">
      <c r="A166" t="str">
        <f>IF($K166="","",IFERROR(INDEX('Veri Merkezi'!$A$2:$A$1001,$K166),""))</f>
        <v/>
      </c>
      <c r="B166" t="str">
        <f>IF($K166="","",IFERROR(INDEX('Veri Merkezi'!$E$2:$E$1001,$K166),""))</f>
        <v/>
      </c>
      <c r="C166" t="str">
        <f>IF($K166="","",IFERROR(INDEX('Veri Merkezi'!$D$2:$D$1001,$K166),""))</f>
        <v/>
      </c>
      <c r="D166" t="str">
        <f>IF($K166="","",IFERROR(INDEX('Veri Merkezi'!$F$2:$F$1001,$K166),""))</f>
        <v/>
      </c>
      <c r="E166" s="2" t="str">
        <f>IF($K166="","",IFERROR(INDEX('Veri Merkezi'!$G$2:$G$1001,$K166),""))</f>
        <v/>
      </c>
      <c r="F166" t="str">
        <f>IF($K166="","",IFERROR(INDEX('Veri Merkezi'!$H$2:$H$1001,$K166),""))</f>
        <v/>
      </c>
      <c r="G166" t="str">
        <f>IF($K166="","",IFERROR(INDEX('Veri Merkezi'!$R$2:$R$1001,$K166),""))</f>
        <v/>
      </c>
      <c r="H166" t="str">
        <f>IF($K166="","",IFERROR(INDEX('Veri Merkezi'!$S$2:$S$1001,$K166),""))</f>
        <v/>
      </c>
      <c r="I166" s="2" t="str">
        <f>IF($K166="","",IFERROR(INDEX('Veri Merkezi'!$T$2:$T$1001,$K166),""))</f>
        <v/>
      </c>
      <c r="J166" t="str">
        <f>IF($K166="","",IFERROR(INDEX('Veri Merkezi'!$U$2:$U$1001,$K166),""))</f>
        <v/>
      </c>
      <c r="K166" t="str">
        <f>IF(K165="","",IFERROR(K165+MATCH("A Liste",INDEX('Veri Merkezi'!$S$2:$S$1001,K165+1):'Veri Merkezi'!$S$1001,0),""))</f>
        <v/>
      </c>
    </row>
    <row r="167" spans="1:11">
      <c r="A167" t="str">
        <f>IF($K167="","",IFERROR(INDEX('Veri Merkezi'!$A$2:$A$1001,$K167),""))</f>
        <v/>
      </c>
      <c r="B167" t="str">
        <f>IF($K167="","",IFERROR(INDEX('Veri Merkezi'!$E$2:$E$1001,$K167),""))</f>
        <v/>
      </c>
      <c r="C167" t="str">
        <f>IF($K167="","",IFERROR(INDEX('Veri Merkezi'!$D$2:$D$1001,$K167),""))</f>
        <v/>
      </c>
      <c r="D167" t="str">
        <f>IF($K167="","",IFERROR(INDEX('Veri Merkezi'!$F$2:$F$1001,$K167),""))</f>
        <v/>
      </c>
      <c r="E167" s="2" t="str">
        <f>IF($K167="","",IFERROR(INDEX('Veri Merkezi'!$G$2:$G$1001,$K167),""))</f>
        <v/>
      </c>
      <c r="F167" t="str">
        <f>IF($K167="","",IFERROR(INDEX('Veri Merkezi'!$H$2:$H$1001,$K167),""))</f>
        <v/>
      </c>
      <c r="G167" t="str">
        <f>IF($K167="","",IFERROR(INDEX('Veri Merkezi'!$R$2:$R$1001,$K167),""))</f>
        <v/>
      </c>
      <c r="H167" t="str">
        <f>IF($K167="","",IFERROR(INDEX('Veri Merkezi'!$S$2:$S$1001,$K167),""))</f>
        <v/>
      </c>
      <c r="I167" s="2" t="str">
        <f>IF($K167="","",IFERROR(INDEX('Veri Merkezi'!$T$2:$T$1001,$K167),""))</f>
        <v/>
      </c>
      <c r="J167" t="str">
        <f>IF($K167="","",IFERROR(INDEX('Veri Merkezi'!$U$2:$U$1001,$K167),""))</f>
        <v/>
      </c>
      <c r="K167" t="str">
        <f>IF(K166="","",IFERROR(K166+MATCH("A Liste",INDEX('Veri Merkezi'!$S$2:$S$1001,K166+1):'Veri Merkezi'!$S$1001,0),""))</f>
        <v/>
      </c>
    </row>
    <row r="168" spans="1:11">
      <c r="A168" t="str">
        <f>IF($K168="","",IFERROR(INDEX('Veri Merkezi'!$A$2:$A$1001,$K168),""))</f>
        <v/>
      </c>
      <c r="B168" t="str">
        <f>IF($K168="","",IFERROR(INDEX('Veri Merkezi'!$E$2:$E$1001,$K168),""))</f>
        <v/>
      </c>
      <c r="C168" t="str">
        <f>IF($K168="","",IFERROR(INDEX('Veri Merkezi'!$D$2:$D$1001,$K168),""))</f>
        <v/>
      </c>
      <c r="D168" t="str">
        <f>IF($K168="","",IFERROR(INDEX('Veri Merkezi'!$F$2:$F$1001,$K168),""))</f>
        <v/>
      </c>
      <c r="E168" s="2" t="str">
        <f>IF($K168="","",IFERROR(INDEX('Veri Merkezi'!$G$2:$G$1001,$K168),""))</f>
        <v/>
      </c>
      <c r="F168" t="str">
        <f>IF($K168="","",IFERROR(INDEX('Veri Merkezi'!$H$2:$H$1001,$K168),""))</f>
        <v/>
      </c>
      <c r="G168" t="str">
        <f>IF($K168="","",IFERROR(INDEX('Veri Merkezi'!$R$2:$R$1001,$K168),""))</f>
        <v/>
      </c>
      <c r="H168" t="str">
        <f>IF($K168="","",IFERROR(INDEX('Veri Merkezi'!$S$2:$S$1001,$K168),""))</f>
        <v/>
      </c>
      <c r="I168" s="2" t="str">
        <f>IF($K168="","",IFERROR(INDEX('Veri Merkezi'!$T$2:$T$1001,$K168),""))</f>
        <v/>
      </c>
      <c r="J168" t="str">
        <f>IF($K168="","",IFERROR(INDEX('Veri Merkezi'!$U$2:$U$1001,$K168),""))</f>
        <v/>
      </c>
      <c r="K168" t="str">
        <f>IF(K167="","",IFERROR(K167+MATCH("A Liste",INDEX('Veri Merkezi'!$S$2:$S$1001,K167+1):'Veri Merkezi'!$S$1001,0),""))</f>
        <v/>
      </c>
    </row>
    <row r="169" spans="1:11">
      <c r="A169" t="str">
        <f>IF($K169="","",IFERROR(INDEX('Veri Merkezi'!$A$2:$A$1001,$K169),""))</f>
        <v/>
      </c>
      <c r="B169" t="str">
        <f>IF($K169="","",IFERROR(INDEX('Veri Merkezi'!$E$2:$E$1001,$K169),""))</f>
        <v/>
      </c>
      <c r="C169" t="str">
        <f>IF($K169="","",IFERROR(INDEX('Veri Merkezi'!$D$2:$D$1001,$K169),""))</f>
        <v/>
      </c>
      <c r="D169" t="str">
        <f>IF($K169="","",IFERROR(INDEX('Veri Merkezi'!$F$2:$F$1001,$K169),""))</f>
        <v/>
      </c>
      <c r="E169" s="2" t="str">
        <f>IF($K169="","",IFERROR(INDEX('Veri Merkezi'!$G$2:$G$1001,$K169),""))</f>
        <v/>
      </c>
      <c r="F169" t="str">
        <f>IF($K169="","",IFERROR(INDEX('Veri Merkezi'!$H$2:$H$1001,$K169),""))</f>
        <v/>
      </c>
      <c r="G169" t="str">
        <f>IF($K169="","",IFERROR(INDEX('Veri Merkezi'!$R$2:$R$1001,$K169),""))</f>
        <v/>
      </c>
      <c r="H169" t="str">
        <f>IF($K169="","",IFERROR(INDEX('Veri Merkezi'!$S$2:$S$1001,$K169),""))</f>
        <v/>
      </c>
      <c r="I169" s="2" t="str">
        <f>IF($K169="","",IFERROR(INDEX('Veri Merkezi'!$T$2:$T$1001,$K169),""))</f>
        <v/>
      </c>
      <c r="J169" t="str">
        <f>IF($K169="","",IFERROR(INDEX('Veri Merkezi'!$U$2:$U$1001,$K169),""))</f>
        <v/>
      </c>
      <c r="K169" t="str">
        <f>IF(K168="","",IFERROR(K168+MATCH("A Liste",INDEX('Veri Merkezi'!$S$2:$S$1001,K168+1):'Veri Merkezi'!$S$1001,0),""))</f>
        <v/>
      </c>
    </row>
    <row r="170" spans="1:11">
      <c r="A170" t="str">
        <f>IF($K170="","",IFERROR(INDEX('Veri Merkezi'!$A$2:$A$1001,$K170),""))</f>
        <v/>
      </c>
      <c r="B170" t="str">
        <f>IF($K170="","",IFERROR(INDEX('Veri Merkezi'!$E$2:$E$1001,$K170),""))</f>
        <v/>
      </c>
      <c r="C170" t="str">
        <f>IF($K170="","",IFERROR(INDEX('Veri Merkezi'!$D$2:$D$1001,$K170),""))</f>
        <v/>
      </c>
      <c r="D170" t="str">
        <f>IF($K170="","",IFERROR(INDEX('Veri Merkezi'!$F$2:$F$1001,$K170),""))</f>
        <v/>
      </c>
      <c r="E170" s="2" t="str">
        <f>IF($K170="","",IFERROR(INDEX('Veri Merkezi'!$G$2:$G$1001,$K170),""))</f>
        <v/>
      </c>
      <c r="F170" t="str">
        <f>IF($K170="","",IFERROR(INDEX('Veri Merkezi'!$H$2:$H$1001,$K170),""))</f>
        <v/>
      </c>
      <c r="G170" t="str">
        <f>IF($K170="","",IFERROR(INDEX('Veri Merkezi'!$R$2:$R$1001,$K170),""))</f>
        <v/>
      </c>
      <c r="H170" t="str">
        <f>IF($K170="","",IFERROR(INDEX('Veri Merkezi'!$S$2:$S$1001,$K170),""))</f>
        <v/>
      </c>
      <c r="I170" s="2" t="str">
        <f>IF($K170="","",IFERROR(INDEX('Veri Merkezi'!$T$2:$T$1001,$K170),""))</f>
        <v/>
      </c>
      <c r="J170" t="str">
        <f>IF($K170="","",IFERROR(INDEX('Veri Merkezi'!$U$2:$U$1001,$K170),""))</f>
        <v/>
      </c>
      <c r="K170" t="str">
        <f>IF(K169="","",IFERROR(K169+MATCH("A Liste",INDEX('Veri Merkezi'!$S$2:$S$1001,K169+1):'Veri Merkezi'!$S$1001,0),""))</f>
        <v/>
      </c>
    </row>
    <row r="171" spans="1:11">
      <c r="A171" t="str">
        <f>IF($K171="","",IFERROR(INDEX('Veri Merkezi'!$A$2:$A$1001,$K171),""))</f>
        <v/>
      </c>
      <c r="B171" t="str">
        <f>IF($K171="","",IFERROR(INDEX('Veri Merkezi'!$E$2:$E$1001,$K171),""))</f>
        <v/>
      </c>
      <c r="C171" t="str">
        <f>IF($K171="","",IFERROR(INDEX('Veri Merkezi'!$D$2:$D$1001,$K171),""))</f>
        <v/>
      </c>
      <c r="D171" t="str">
        <f>IF($K171="","",IFERROR(INDEX('Veri Merkezi'!$F$2:$F$1001,$K171),""))</f>
        <v/>
      </c>
      <c r="E171" s="2" t="str">
        <f>IF($K171="","",IFERROR(INDEX('Veri Merkezi'!$G$2:$G$1001,$K171),""))</f>
        <v/>
      </c>
      <c r="F171" t="str">
        <f>IF($K171="","",IFERROR(INDEX('Veri Merkezi'!$H$2:$H$1001,$K171),""))</f>
        <v/>
      </c>
      <c r="G171" t="str">
        <f>IF($K171="","",IFERROR(INDEX('Veri Merkezi'!$R$2:$R$1001,$K171),""))</f>
        <v/>
      </c>
      <c r="H171" t="str">
        <f>IF($K171="","",IFERROR(INDEX('Veri Merkezi'!$S$2:$S$1001,$K171),""))</f>
        <v/>
      </c>
      <c r="I171" s="2" t="str">
        <f>IF($K171="","",IFERROR(INDEX('Veri Merkezi'!$T$2:$T$1001,$K171),""))</f>
        <v/>
      </c>
      <c r="J171" t="str">
        <f>IF($K171="","",IFERROR(INDEX('Veri Merkezi'!$U$2:$U$1001,$K171),""))</f>
        <v/>
      </c>
      <c r="K171" t="str">
        <f>IF(K170="","",IFERROR(K170+MATCH("A Liste",INDEX('Veri Merkezi'!$S$2:$S$1001,K170+1):'Veri Merkezi'!$S$1001,0),""))</f>
        <v/>
      </c>
    </row>
    <row r="172" spans="1:11">
      <c r="A172" t="str">
        <f>IF($K172="","",IFERROR(INDEX('Veri Merkezi'!$A$2:$A$1001,$K172),""))</f>
        <v/>
      </c>
      <c r="B172" t="str">
        <f>IF($K172="","",IFERROR(INDEX('Veri Merkezi'!$E$2:$E$1001,$K172),""))</f>
        <v/>
      </c>
      <c r="C172" t="str">
        <f>IF($K172="","",IFERROR(INDEX('Veri Merkezi'!$D$2:$D$1001,$K172),""))</f>
        <v/>
      </c>
      <c r="D172" t="str">
        <f>IF($K172="","",IFERROR(INDEX('Veri Merkezi'!$F$2:$F$1001,$K172),""))</f>
        <v/>
      </c>
      <c r="E172" s="2" t="str">
        <f>IF($K172="","",IFERROR(INDEX('Veri Merkezi'!$G$2:$G$1001,$K172),""))</f>
        <v/>
      </c>
      <c r="F172" t="str">
        <f>IF($K172="","",IFERROR(INDEX('Veri Merkezi'!$H$2:$H$1001,$K172),""))</f>
        <v/>
      </c>
      <c r="G172" t="str">
        <f>IF($K172="","",IFERROR(INDEX('Veri Merkezi'!$R$2:$R$1001,$K172),""))</f>
        <v/>
      </c>
      <c r="H172" t="str">
        <f>IF($K172="","",IFERROR(INDEX('Veri Merkezi'!$S$2:$S$1001,$K172),""))</f>
        <v/>
      </c>
      <c r="I172" s="2" t="str">
        <f>IF($K172="","",IFERROR(INDEX('Veri Merkezi'!$T$2:$T$1001,$K172),""))</f>
        <v/>
      </c>
      <c r="J172" t="str">
        <f>IF($K172="","",IFERROR(INDEX('Veri Merkezi'!$U$2:$U$1001,$K172),""))</f>
        <v/>
      </c>
      <c r="K172" t="str">
        <f>IF(K171="","",IFERROR(K171+MATCH("A Liste",INDEX('Veri Merkezi'!$S$2:$S$1001,K171+1):'Veri Merkezi'!$S$1001,0),""))</f>
        <v/>
      </c>
    </row>
    <row r="173" spans="1:11">
      <c r="A173" t="str">
        <f>IF($K173="","",IFERROR(INDEX('Veri Merkezi'!$A$2:$A$1001,$K173),""))</f>
        <v/>
      </c>
      <c r="B173" t="str">
        <f>IF($K173="","",IFERROR(INDEX('Veri Merkezi'!$E$2:$E$1001,$K173),""))</f>
        <v/>
      </c>
      <c r="C173" t="str">
        <f>IF($K173="","",IFERROR(INDEX('Veri Merkezi'!$D$2:$D$1001,$K173),""))</f>
        <v/>
      </c>
      <c r="D173" t="str">
        <f>IF($K173="","",IFERROR(INDEX('Veri Merkezi'!$F$2:$F$1001,$K173),""))</f>
        <v/>
      </c>
      <c r="E173" s="2" t="str">
        <f>IF($K173="","",IFERROR(INDEX('Veri Merkezi'!$G$2:$G$1001,$K173),""))</f>
        <v/>
      </c>
      <c r="F173" t="str">
        <f>IF($K173="","",IFERROR(INDEX('Veri Merkezi'!$H$2:$H$1001,$K173),""))</f>
        <v/>
      </c>
      <c r="G173" t="str">
        <f>IF($K173="","",IFERROR(INDEX('Veri Merkezi'!$R$2:$R$1001,$K173),""))</f>
        <v/>
      </c>
      <c r="H173" t="str">
        <f>IF($K173="","",IFERROR(INDEX('Veri Merkezi'!$S$2:$S$1001,$K173),""))</f>
        <v/>
      </c>
      <c r="I173" s="2" t="str">
        <f>IF($K173="","",IFERROR(INDEX('Veri Merkezi'!$T$2:$T$1001,$K173),""))</f>
        <v/>
      </c>
      <c r="J173" t="str">
        <f>IF($K173="","",IFERROR(INDEX('Veri Merkezi'!$U$2:$U$1001,$K173),""))</f>
        <v/>
      </c>
      <c r="K173" t="str">
        <f>IF(K172="","",IFERROR(K172+MATCH("A Liste",INDEX('Veri Merkezi'!$S$2:$S$1001,K172+1):'Veri Merkezi'!$S$1001,0),""))</f>
        <v/>
      </c>
    </row>
    <row r="174" spans="1:11">
      <c r="A174" t="str">
        <f>IF($K174="","",IFERROR(INDEX('Veri Merkezi'!$A$2:$A$1001,$K174),""))</f>
        <v/>
      </c>
      <c r="B174" t="str">
        <f>IF($K174="","",IFERROR(INDEX('Veri Merkezi'!$E$2:$E$1001,$K174),""))</f>
        <v/>
      </c>
      <c r="C174" t="str">
        <f>IF($K174="","",IFERROR(INDEX('Veri Merkezi'!$D$2:$D$1001,$K174),""))</f>
        <v/>
      </c>
      <c r="D174" t="str">
        <f>IF($K174="","",IFERROR(INDEX('Veri Merkezi'!$F$2:$F$1001,$K174),""))</f>
        <v/>
      </c>
      <c r="E174" s="2" t="str">
        <f>IF($K174="","",IFERROR(INDEX('Veri Merkezi'!$G$2:$G$1001,$K174),""))</f>
        <v/>
      </c>
      <c r="F174" t="str">
        <f>IF($K174="","",IFERROR(INDEX('Veri Merkezi'!$H$2:$H$1001,$K174),""))</f>
        <v/>
      </c>
      <c r="G174" t="str">
        <f>IF($K174="","",IFERROR(INDEX('Veri Merkezi'!$R$2:$R$1001,$K174),""))</f>
        <v/>
      </c>
      <c r="H174" t="str">
        <f>IF($K174="","",IFERROR(INDEX('Veri Merkezi'!$S$2:$S$1001,$K174),""))</f>
        <v/>
      </c>
      <c r="I174" s="2" t="str">
        <f>IF($K174="","",IFERROR(INDEX('Veri Merkezi'!$T$2:$T$1001,$K174),""))</f>
        <v/>
      </c>
      <c r="J174" t="str">
        <f>IF($K174="","",IFERROR(INDEX('Veri Merkezi'!$U$2:$U$1001,$K174),""))</f>
        <v/>
      </c>
      <c r="K174" t="str">
        <f>IF(K173="","",IFERROR(K173+MATCH("A Liste",INDEX('Veri Merkezi'!$S$2:$S$1001,K173+1):'Veri Merkezi'!$S$1001,0),""))</f>
        <v/>
      </c>
    </row>
    <row r="175" spans="1:11">
      <c r="A175" t="str">
        <f>IF($K175="","",IFERROR(INDEX('Veri Merkezi'!$A$2:$A$1001,$K175),""))</f>
        <v/>
      </c>
      <c r="B175" t="str">
        <f>IF($K175="","",IFERROR(INDEX('Veri Merkezi'!$E$2:$E$1001,$K175),""))</f>
        <v/>
      </c>
      <c r="C175" t="str">
        <f>IF($K175="","",IFERROR(INDEX('Veri Merkezi'!$D$2:$D$1001,$K175),""))</f>
        <v/>
      </c>
      <c r="D175" t="str">
        <f>IF($K175="","",IFERROR(INDEX('Veri Merkezi'!$F$2:$F$1001,$K175),""))</f>
        <v/>
      </c>
      <c r="E175" s="2" t="str">
        <f>IF($K175="","",IFERROR(INDEX('Veri Merkezi'!$G$2:$G$1001,$K175),""))</f>
        <v/>
      </c>
      <c r="F175" t="str">
        <f>IF($K175="","",IFERROR(INDEX('Veri Merkezi'!$H$2:$H$1001,$K175),""))</f>
        <v/>
      </c>
      <c r="G175" t="str">
        <f>IF($K175="","",IFERROR(INDEX('Veri Merkezi'!$R$2:$R$1001,$K175),""))</f>
        <v/>
      </c>
      <c r="H175" t="str">
        <f>IF($K175="","",IFERROR(INDEX('Veri Merkezi'!$S$2:$S$1001,$K175),""))</f>
        <v/>
      </c>
      <c r="I175" s="2" t="str">
        <f>IF($K175="","",IFERROR(INDEX('Veri Merkezi'!$T$2:$T$1001,$K175),""))</f>
        <v/>
      </c>
      <c r="J175" t="str">
        <f>IF($K175="","",IFERROR(INDEX('Veri Merkezi'!$U$2:$U$1001,$K175),""))</f>
        <v/>
      </c>
      <c r="K175" t="str">
        <f>IF(K174="","",IFERROR(K174+MATCH("A Liste",INDEX('Veri Merkezi'!$S$2:$S$1001,K174+1):'Veri Merkezi'!$S$1001,0),""))</f>
        <v/>
      </c>
    </row>
    <row r="176" spans="1:11">
      <c r="A176" t="str">
        <f>IF($K176="","",IFERROR(INDEX('Veri Merkezi'!$A$2:$A$1001,$K176),""))</f>
        <v/>
      </c>
      <c r="B176" t="str">
        <f>IF($K176="","",IFERROR(INDEX('Veri Merkezi'!$E$2:$E$1001,$K176),""))</f>
        <v/>
      </c>
      <c r="C176" t="str">
        <f>IF($K176="","",IFERROR(INDEX('Veri Merkezi'!$D$2:$D$1001,$K176),""))</f>
        <v/>
      </c>
      <c r="D176" t="str">
        <f>IF($K176="","",IFERROR(INDEX('Veri Merkezi'!$F$2:$F$1001,$K176),""))</f>
        <v/>
      </c>
      <c r="E176" s="2" t="str">
        <f>IF($K176="","",IFERROR(INDEX('Veri Merkezi'!$G$2:$G$1001,$K176),""))</f>
        <v/>
      </c>
      <c r="F176" t="str">
        <f>IF($K176="","",IFERROR(INDEX('Veri Merkezi'!$H$2:$H$1001,$K176),""))</f>
        <v/>
      </c>
      <c r="G176" t="str">
        <f>IF($K176="","",IFERROR(INDEX('Veri Merkezi'!$R$2:$R$1001,$K176),""))</f>
        <v/>
      </c>
      <c r="H176" t="str">
        <f>IF($K176="","",IFERROR(INDEX('Veri Merkezi'!$S$2:$S$1001,$K176),""))</f>
        <v/>
      </c>
      <c r="I176" s="2" t="str">
        <f>IF($K176="","",IFERROR(INDEX('Veri Merkezi'!$T$2:$T$1001,$K176),""))</f>
        <v/>
      </c>
      <c r="J176" t="str">
        <f>IF($K176="","",IFERROR(INDEX('Veri Merkezi'!$U$2:$U$1001,$K176),""))</f>
        <v/>
      </c>
      <c r="K176" t="str">
        <f>IF(K175="","",IFERROR(K175+MATCH("A Liste",INDEX('Veri Merkezi'!$S$2:$S$1001,K175+1):'Veri Merkezi'!$S$1001,0),""))</f>
        <v/>
      </c>
    </row>
    <row r="177" spans="1:11">
      <c r="A177" t="str">
        <f>IF($K177="","",IFERROR(INDEX('Veri Merkezi'!$A$2:$A$1001,$K177),""))</f>
        <v/>
      </c>
      <c r="B177" t="str">
        <f>IF($K177="","",IFERROR(INDEX('Veri Merkezi'!$E$2:$E$1001,$K177),""))</f>
        <v/>
      </c>
      <c r="C177" t="str">
        <f>IF($K177="","",IFERROR(INDEX('Veri Merkezi'!$D$2:$D$1001,$K177),""))</f>
        <v/>
      </c>
      <c r="D177" t="str">
        <f>IF($K177="","",IFERROR(INDEX('Veri Merkezi'!$F$2:$F$1001,$K177),""))</f>
        <v/>
      </c>
      <c r="E177" s="2" t="str">
        <f>IF($K177="","",IFERROR(INDEX('Veri Merkezi'!$G$2:$G$1001,$K177),""))</f>
        <v/>
      </c>
      <c r="F177" t="str">
        <f>IF($K177="","",IFERROR(INDEX('Veri Merkezi'!$H$2:$H$1001,$K177),""))</f>
        <v/>
      </c>
      <c r="G177" t="str">
        <f>IF($K177="","",IFERROR(INDEX('Veri Merkezi'!$R$2:$R$1001,$K177),""))</f>
        <v/>
      </c>
      <c r="H177" t="str">
        <f>IF($K177="","",IFERROR(INDEX('Veri Merkezi'!$S$2:$S$1001,$K177),""))</f>
        <v/>
      </c>
      <c r="I177" s="2" t="str">
        <f>IF($K177="","",IFERROR(INDEX('Veri Merkezi'!$T$2:$T$1001,$K177),""))</f>
        <v/>
      </c>
      <c r="J177" t="str">
        <f>IF($K177="","",IFERROR(INDEX('Veri Merkezi'!$U$2:$U$1001,$K177),""))</f>
        <v/>
      </c>
      <c r="K177" t="str">
        <f>IF(K176="","",IFERROR(K176+MATCH("A Liste",INDEX('Veri Merkezi'!$S$2:$S$1001,K176+1):'Veri Merkezi'!$S$1001,0),""))</f>
        <v/>
      </c>
    </row>
    <row r="178" spans="1:11">
      <c r="A178" t="str">
        <f>IF($K178="","",IFERROR(INDEX('Veri Merkezi'!$A$2:$A$1001,$K178),""))</f>
        <v/>
      </c>
      <c r="B178" t="str">
        <f>IF($K178="","",IFERROR(INDEX('Veri Merkezi'!$E$2:$E$1001,$K178),""))</f>
        <v/>
      </c>
      <c r="C178" t="str">
        <f>IF($K178="","",IFERROR(INDEX('Veri Merkezi'!$D$2:$D$1001,$K178),""))</f>
        <v/>
      </c>
      <c r="D178" t="str">
        <f>IF($K178="","",IFERROR(INDEX('Veri Merkezi'!$F$2:$F$1001,$K178),""))</f>
        <v/>
      </c>
      <c r="E178" s="2" t="str">
        <f>IF($K178="","",IFERROR(INDEX('Veri Merkezi'!$G$2:$G$1001,$K178),""))</f>
        <v/>
      </c>
      <c r="F178" t="str">
        <f>IF($K178="","",IFERROR(INDEX('Veri Merkezi'!$H$2:$H$1001,$K178),""))</f>
        <v/>
      </c>
      <c r="G178" t="str">
        <f>IF($K178="","",IFERROR(INDEX('Veri Merkezi'!$R$2:$R$1001,$K178),""))</f>
        <v/>
      </c>
      <c r="H178" t="str">
        <f>IF($K178="","",IFERROR(INDEX('Veri Merkezi'!$S$2:$S$1001,$K178),""))</f>
        <v/>
      </c>
      <c r="I178" s="2" t="str">
        <f>IF($K178="","",IFERROR(INDEX('Veri Merkezi'!$T$2:$T$1001,$K178),""))</f>
        <v/>
      </c>
      <c r="J178" t="str">
        <f>IF($K178="","",IFERROR(INDEX('Veri Merkezi'!$U$2:$U$1001,$K178),""))</f>
        <v/>
      </c>
      <c r="K178" t="str">
        <f>IF(K177="","",IFERROR(K177+MATCH("A Liste",INDEX('Veri Merkezi'!$S$2:$S$1001,K177+1):'Veri Merkezi'!$S$1001,0),""))</f>
        <v/>
      </c>
    </row>
    <row r="179" spans="1:11">
      <c r="A179" t="str">
        <f>IF($K179="","",IFERROR(INDEX('Veri Merkezi'!$A$2:$A$1001,$K179),""))</f>
        <v/>
      </c>
      <c r="B179" t="str">
        <f>IF($K179="","",IFERROR(INDEX('Veri Merkezi'!$E$2:$E$1001,$K179),""))</f>
        <v/>
      </c>
      <c r="C179" t="str">
        <f>IF($K179="","",IFERROR(INDEX('Veri Merkezi'!$D$2:$D$1001,$K179),""))</f>
        <v/>
      </c>
      <c r="D179" t="str">
        <f>IF($K179="","",IFERROR(INDEX('Veri Merkezi'!$F$2:$F$1001,$K179),""))</f>
        <v/>
      </c>
      <c r="E179" s="2" t="str">
        <f>IF($K179="","",IFERROR(INDEX('Veri Merkezi'!$G$2:$G$1001,$K179),""))</f>
        <v/>
      </c>
      <c r="F179" t="str">
        <f>IF($K179="","",IFERROR(INDEX('Veri Merkezi'!$H$2:$H$1001,$K179),""))</f>
        <v/>
      </c>
      <c r="G179" t="str">
        <f>IF($K179="","",IFERROR(INDEX('Veri Merkezi'!$R$2:$R$1001,$K179),""))</f>
        <v/>
      </c>
      <c r="H179" t="str">
        <f>IF($K179="","",IFERROR(INDEX('Veri Merkezi'!$S$2:$S$1001,$K179),""))</f>
        <v/>
      </c>
      <c r="I179" s="2" t="str">
        <f>IF($K179="","",IFERROR(INDEX('Veri Merkezi'!$T$2:$T$1001,$K179),""))</f>
        <v/>
      </c>
      <c r="J179" t="str">
        <f>IF($K179="","",IFERROR(INDEX('Veri Merkezi'!$U$2:$U$1001,$K179),""))</f>
        <v/>
      </c>
      <c r="K179" t="str">
        <f>IF(K178="","",IFERROR(K178+MATCH("A Liste",INDEX('Veri Merkezi'!$S$2:$S$1001,K178+1):'Veri Merkezi'!$S$1001,0),""))</f>
        <v/>
      </c>
    </row>
    <row r="180" spans="1:11">
      <c r="A180" t="str">
        <f>IF($K180="","",IFERROR(INDEX('Veri Merkezi'!$A$2:$A$1001,$K180),""))</f>
        <v/>
      </c>
      <c r="B180" t="str">
        <f>IF($K180="","",IFERROR(INDEX('Veri Merkezi'!$E$2:$E$1001,$K180),""))</f>
        <v/>
      </c>
      <c r="C180" t="str">
        <f>IF($K180="","",IFERROR(INDEX('Veri Merkezi'!$D$2:$D$1001,$K180),""))</f>
        <v/>
      </c>
      <c r="D180" t="str">
        <f>IF($K180="","",IFERROR(INDEX('Veri Merkezi'!$F$2:$F$1001,$K180),""))</f>
        <v/>
      </c>
      <c r="E180" s="2" t="str">
        <f>IF($K180="","",IFERROR(INDEX('Veri Merkezi'!$G$2:$G$1001,$K180),""))</f>
        <v/>
      </c>
      <c r="F180" t="str">
        <f>IF($K180="","",IFERROR(INDEX('Veri Merkezi'!$H$2:$H$1001,$K180),""))</f>
        <v/>
      </c>
      <c r="G180" t="str">
        <f>IF($K180="","",IFERROR(INDEX('Veri Merkezi'!$R$2:$R$1001,$K180),""))</f>
        <v/>
      </c>
      <c r="H180" t="str">
        <f>IF($K180="","",IFERROR(INDEX('Veri Merkezi'!$S$2:$S$1001,$K180),""))</f>
        <v/>
      </c>
      <c r="I180" s="2" t="str">
        <f>IF($K180="","",IFERROR(INDEX('Veri Merkezi'!$T$2:$T$1001,$K180),""))</f>
        <v/>
      </c>
      <c r="J180" t="str">
        <f>IF($K180="","",IFERROR(INDEX('Veri Merkezi'!$U$2:$U$1001,$K180),""))</f>
        <v/>
      </c>
      <c r="K180" t="str">
        <f>IF(K179="","",IFERROR(K179+MATCH("A Liste",INDEX('Veri Merkezi'!$S$2:$S$1001,K179+1):'Veri Merkezi'!$S$1001,0),""))</f>
        <v/>
      </c>
    </row>
    <row r="181" spans="1:11">
      <c r="A181" t="str">
        <f>IF($K181="","",IFERROR(INDEX('Veri Merkezi'!$A$2:$A$1001,$K181),""))</f>
        <v/>
      </c>
      <c r="B181" t="str">
        <f>IF($K181="","",IFERROR(INDEX('Veri Merkezi'!$E$2:$E$1001,$K181),""))</f>
        <v/>
      </c>
      <c r="C181" t="str">
        <f>IF($K181="","",IFERROR(INDEX('Veri Merkezi'!$D$2:$D$1001,$K181),""))</f>
        <v/>
      </c>
      <c r="D181" t="str">
        <f>IF($K181="","",IFERROR(INDEX('Veri Merkezi'!$F$2:$F$1001,$K181),""))</f>
        <v/>
      </c>
      <c r="E181" s="2" t="str">
        <f>IF($K181="","",IFERROR(INDEX('Veri Merkezi'!$G$2:$G$1001,$K181),""))</f>
        <v/>
      </c>
      <c r="F181" t="str">
        <f>IF($K181="","",IFERROR(INDEX('Veri Merkezi'!$H$2:$H$1001,$K181),""))</f>
        <v/>
      </c>
      <c r="G181" t="str">
        <f>IF($K181="","",IFERROR(INDEX('Veri Merkezi'!$R$2:$R$1001,$K181),""))</f>
        <v/>
      </c>
      <c r="H181" t="str">
        <f>IF($K181="","",IFERROR(INDEX('Veri Merkezi'!$S$2:$S$1001,$K181),""))</f>
        <v/>
      </c>
      <c r="I181" s="2" t="str">
        <f>IF($K181="","",IFERROR(INDEX('Veri Merkezi'!$T$2:$T$1001,$K181),""))</f>
        <v/>
      </c>
      <c r="J181" t="str">
        <f>IF($K181="","",IFERROR(INDEX('Veri Merkezi'!$U$2:$U$1001,$K181),""))</f>
        <v/>
      </c>
      <c r="K181" t="str">
        <f>IF(K180="","",IFERROR(K180+MATCH("A Liste",INDEX('Veri Merkezi'!$S$2:$S$1001,K180+1):'Veri Merkezi'!$S$1001,0),""))</f>
        <v/>
      </c>
    </row>
    <row r="182" spans="1:11">
      <c r="A182" t="str">
        <f>IF($K182="","",IFERROR(INDEX('Veri Merkezi'!$A$2:$A$1001,$K182),""))</f>
        <v/>
      </c>
      <c r="B182" t="str">
        <f>IF($K182="","",IFERROR(INDEX('Veri Merkezi'!$E$2:$E$1001,$K182),""))</f>
        <v/>
      </c>
      <c r="C182" t="str">
        <f>IF($K182="","",IFERROR(INDEX('Veri Merkezi'!$D$2:$D$1001,$K182),""))</f>
        <v/>
      </c>
      <c r="D182" t="str">
        <f>IF($K182="","",IFERROR(INDEX('Veri Merkezi'!$F$2:$F$1001,$K182),""))</f>
        <v/>
      </c>
      <c r="E182" s="2" t="str">
        <f>IF($K182="","",IFERROR(INDEX('Veri Merkezi'!$G$2:$G$1001,$K182),""))</f>
        <v/>
      </c>
      <c r="F182" t="str">
        <f>IF($K182="","",IFERROR(INDEX('Veri Merkezi'!$H$2:$H$1001,$K182),""))</f>
        <v/>
      </c>
      <c r="G182" t="str">
        <f>IF($K182="","",IFERROR(INDEX('Veri Merkezi'!$R$2:$R$1001,$K182),""))</f>
        <v/>
      </c>
      <c r="H182" t="str">
        <f>IF($K182="","",IFERROR(INDEX('Veri Merkezi'!$S$2:$S$1001,$K182),""))</f>
        <v/>
      </c>
      <c r="I182" s="2" t="str">
        <f>IF($K182="","",IFERROR(INDEX('Veri Merkezi'!$T$2:$T$1001,$K182),""))</f>
        <v/>
      </c>
      <c r="J182" t="str">
        <f>IF($K182="","",IFERROR(INDEX('Veri Merkezi'!$U$2:$U$1001,$K182),""))</f>
        <v/>
      </c>
      <c r="K182" t="str">
        <f>IF(K181="","",IFERROR(K181+MATCH("A Liste",INDEX('Veri Merkezi'!$S$2:$S$1001,K181+1):'Veri Merkezi'!$S$1001,0),""))</f>
        <v/>
      </c>
    </row>
    <row r="183" spans="1:11">
      <c r="A183" t="str">
        <f>IF($K183="","",IFERROR(INDEX('Veri Merkezi'!$A$2:$A$1001,$K183),""))</f>
        <v/>
      </c>
      <c r="B183" t="str">
        <f>IF($K183="","",IFERROR(INDEX('Veri Merkezi'!$E$2:$E$1001,$K183),""))</f>
        <v/>
      </c>
      <c r="C183" t="str">
        <f>IF($K183="","",IFERROR(INDEX('Veri Merkezi'!$D$2:$D$1001,$K183),""))</f>
        <v/>
      </c>
      <c r="D183" t="str">
        <f>IF($K183="","",IFERROR(INDEX('Veri Merkezi'!$F$2:$F$1001,$K183),""))</f>
        <v/>
      </c>
      <c r="E183" s="2" t="str">
        <f>IF($K183="","",IFERROR(INDEX('Veri Merkezi'!$G$2:$G$1001,$K183),""))</f>
        <v/>
      </c>
      <c r="F183" t="str">
        <f>IF($K183="","",IFERROR(INDEX('Veri Merkezi'!$H$2:$H$1001,$K183),""))</f>
        <v/>
      </c>
      <c r="G183" t="str">
        <f>IF($K183="","",IFERROR(INDEX('Veri Merkezi'!$R$2:$R$1001,$K183),""))</f>
        <v/>
      </c>
      <c r="H183" t="str">
        <f>IF($K183="","",IFERROR(INDEX('Veri Merkezi'!$S$2:$S$1001,$K183),""))</f>
        <v/>
      </c>
      <c r="I183" s="2" t="str">
        <f>IF($K183="","",IFERROR(INDEX('Veri Merkezi'!$T$2:$T$1001,$K183),""))</f>
        <v/>
      </c>
      <c r="J183" t="str">
        <f>IF($K183="","",IFERROR(INDEX('Veri Merkezi'!$U$2:$U$1001,$K183),""))</f>
        <v/>
      </c>
      <c r="K183" t="str">
        <f>IF(K182="","",IFERROR(K182+MATCH("A Liste",INDEX('Veri Merkezi'!$S$2:$S$1001,K182+1):'Veri Merkezi'!$S$1001,0),""))</f>
        <v/>
      </c>
    </row>
    <row r="184" spans="1:11">
      <c r="A184" t="str">
        <f>IF($K184="","",IFERROR(INDEX('Veri Merkezi'!$A$2:$A$1001,$K184),""))</f>
        <v/>
      </c>
      <c r="B184" t="str">
        <f>IF($K184="","",IFERROR(INDEX('Veri Merkezi'!$E$2:$E$1001,$K184),""))</f>
        <v/>
      </c>
      <c r="C184" t="str">
        <f>IF($K184="","",IFERROR(INDEX('Veri Merkezi'!$D$2:$D$1001,$K184),""))</f>
        <v/>
      </c>
      <c r="D184" t="str">
        <f>IF($K184="","",IFERROR(INDEX('Veri Merkezi'!$F$2:$F$1001,$K184),""))</f>
        <v/>
      </c>
      <c r="E184" s="2" t="str">
        <f>IF($K184="","",IFERROR(INDEX('Veri Merkezi'!$G$2:$G$1001,$K184),""))</f>
        <v/>
      </c>
      <c r="F184" t="str">
        <f>IF($K184="","",IFERROR(INDEX('Veri Merkezi'!$H$2:$H$1001,$K184),""))</f>
        <v/>
      </c>
      <c r="G184" t="str">
        <f>IF($K184="","",IFERROR(INDEX('Veri Merkezi'!$R$2:$R$1001,$K184),""))</f>
        <v/>
      </c>
      <c r="H184" t="str">
        <f>IF($K184="","",IFERROR(INDEX('Veri Merkezi'!$S$2:$S$1001,$K184),""))</f>
        <v/>
      </c>
      <c r="I184" s="2" t="str">
        <f>IF($K184="","",IFERROR(INDEX('Veri Merkezi'!$T$2:$T$1001,$K184),""))</f>
        <v/>
      </c>
      <c r="J184" t="str">
        <f>IF($K184="","",IFERROR(INDEX('Veri Merkezi'!$U$2:$U$1001,$K184),""))</f>
        <v/>
      </c>
      <c r="K184" t="str">
        <f>IF(K183="","",IFERROR(K183+MATCH("A Liste",INDEX('Veri Merkezi'!$S$2:$S$1001,K183+1):'Veri Merkezi'!$S$1001,0),""))</f>
        <v/>
      </c>
    </row>
    <row r="185" spans="1:11">
      <c r="A185" t="str">
        <f>IF($K185="","",IFERROR(INDEX('Veri Merkezi'!$A$2:$A$1001,$K185),""))</f>
        <v/>
      </c>
      <c r="B185" t="str">
        <f>IF($K185="","",IFERROR(INDEX('Veri Merkezi'!$E$2:$E$1001,$K185),""))</f>
        <v/>
      </c>
      <c r="C185" t="str">
        <f>IF($K185="","",IFERROR(INDEX('Veri Merkezi'!$D$2:$D$1001,$K185),""))</f>
        <v/>
      </c>
      <c r="D185" t="str">
        <f>IF($K185="","",IFERROR(INDEX('Veri Merkezi'!$F$2:$F$1001,$K185),""))</f>
        <v/>
      </c>
      <c r="E185" s="2" t="str">
        <f>IF($K185="","",IFERROR(INDEX('Veri Merkezi'!$G$2:$G$1001,$K185),""))</f>
        <v/>
      </c>
      <c r="F185" t="str">
        <f>IF($K185="","",IFERROR(INDEX('Veri Merkezi'!$H$2:$H$1001,$K185),""))</f>
        <v/>
      </c>
      <c r="G185" t="str">
        <f>IF($K185="","",IFERROR(INDEX('Veri Merkezi'!$R$2:$R$1001,$K185),""))</f>
        <v/>
      </c>
      <c r="H185" t="str">
        <f>IF($K185="","",IFERROR(INDEX('Veri Merkezi'!$S$2:$S$1001,$K185),""))</f>
        <v/>
      </c>
      <c r="I185" s="2" t="str">
        <f>IF($K185="","",IFERROR(INDEX('Veri Merkezi'!$T$2:$T$1001,$K185),""))</f>
        <v/>
      </c>
      <c r="J185" t="str">
        <f>IF($K185="","",IFERROR(INDEX('Veri Merkezi'!$U$2:$U$1001,$K185),""))</f>
        <v/>
      </c>
      <c r="K185" t="str">
        <f>IF(K184="","",IFERROR(K184+MATCH("A Liste",INDEX('Veri Merkezi'!$S$2:$S$1001,K184+1):'Veri Merkezi'!$S$1001,0),""))</f>
        <v/>
      </c>
    </row>
    <row r="186" spans="1:11">
      <c r="A186" t="str">
        <f>IF($K186="","",IFERROR(INDEX('Veri Merkezi'!$A$2:$A$1001,$K186),""))</f>
        <v/>
      </c>
      <c r="B186" t="str">
        <f>IF($K186="","",IFERROR(INDEX('Veri Merkezi'!$E$2:$E$1001,$K186),""))</f>
        <v/>
      </c>
      <c r="C186" t="str">
        <f>IF($K186="","",IFERROR(INDEX('Veri Merkezi'!$D$2:$D$1001,$K186),""))</f>
        <v/>
      </c>
      <c r="D186" t="str">
        <f>IF($K186="","",IFERROR(INDEX('Veri Merkezi'!$F$2:$F$1001,$K186),""))</f>
        <v/>
      </c>
      <c r="E186" s="2" t="str">
        <f>IF($K186="","",IFERROR(INDEX('Veri Merkezi'!$G$2:$G$1001,$K186),""))</f>
        <v/>
      </c>
      <c r="F186" t="str">
        <f>IF($K186="","",IFERROR(INDEX('Veri Merkezi'!$H$2:$H$1001,$K186),""))</f>
        <v/>
      </c>
      <c r="G186" t="str">
        <f>IF($K186="","",IFERROR(INDEX('Veri Merkezi'!$R$2:$R$1001,$K186),""))</f>
        <v/>
      </c>
      <c r="H186" t="str">
        <f>IF($K186="","",IFERROR(INDEX('Veri Merkezi'!$S$2:$S$1001,$K186),""))</f>
        <v/>
      </c>
      <c r="I186" s="2" t="str">
        <f>IF($K186="","",IFERROR(INDEX('Veri Merkezi'!$T$2:$T$1001,$K186),""))</f>
        <v/>
      </c>
      <c r="J186" t="str">
        <f>IF($K186="","",IFERROR(INDEX('Veri Merkezi'!$U$2:$U$1001,$K186),""))</f>
        <v/>
      </c>
      <c r="K186" t="str">
        <f>IF(K185="","",IFERROR(K185+MATCH("A Liste",INDEX('Veri Merkezi'!$S$2:$S$1001,K185+1):'Veri Merkezi'!$S$1001,0),""))</f>
        <v/>
      </c>
    </row>
    <row r="187" spans="1:11">
      <c r="A187" t="str">
        <f>IF($K187="","",IFERROR(INDEX('Veri Merkezi'!$A$2:$A$1001,$K187),""))</f>
        <v/>
      </c>
      <c r="B187" t="str">
        <f>IF($K187="","",IFERROR(INDEX('Veri Merkezi'!$E$2:$E$1001,$K187),""))</f>
        <v/>
      </c>
      <c r="C187" t="str">
        <f>IF($K187="","",IFERROR(INDEX('Veri Merkezi'!$D$2:$D$1001,$K187),""))</f>
        <v/>
      </c>
      <c r="D187" t="str">
        <f>IF($K187="","",IFERROR(INDEX('Veri Merkezi'!$F$2:$F$1001,$K187),""))</f>
        <v/>
      </c>
      <c r="E187" s="2" t="str">
        <f>IF($K187="","",IFERROR(INDEX('Veri Merkezi'!$G$2:$G$1001,$K187),""))</f>
        <v/>
      </c>
      <c r="F187" t="str">
        <f>IF($K187="","",IFERROR(INDEX('Veri Merkezi'!$H$2:$H$1001,$K187),""))</f>
        <v/>
      </c>
      <c r="G187" t="str">
        <f>IF($K187="","",IFERROR(INDEX('Veri Merkezi'!$R$2:$R$1001,$K187),""))</f>
        <v/>
      </c>
      <c r="H187" t="str">
        <f>IF($K187="","",IFERROR(INDEX('Veri Merkezi'!$S$2:$S$1001,$K187),""))</f>
        <v/>
      </c>
      <c r="I187" s="2" t="str">
        <f>IF($K187="","",IFERROR(INDEX('Veri Merkezi'!$T$2:$T$1001,$K187),""))</f>
        <v/>
      </c>
      <c r="J187" t="str">
        <f>IF($K187="","",IFERROR(INDEX('Veri Merkezi'!$U$2:$U$1001,$K187),""))</f>
        <v/>
      </c>
      <c r="K187" t="str">
        <f>IF(K186="","",IFERROR(K186+MATCH("A Liste",INDEX('Veri Merkezi'!$S$2:$S$1001,K186+1):'Veri Merkezi'!$S$1001,0),""))</f>
        <v/>
      </c>
    </row>
    <row r="188" spans="1:11">
      <c r="A188" t="str">
        <f>IF($K188="","",IFERROR(INDEX('Veri Merkezi'!$A$2:$A$1001,$K188),""))</f>
        <v/>
      </c>
      <c r="B188" t="str">
        <f>IF($K188="","",IFERROR(INDEX('Veri Merkezi'!$E$2:$E$1001,$K188),""))</f>
        <v/>
      </c>
      <c r="C188" t="str">
        <f>IF($K188="","",IFERROR(INDEX('Veri Merkezi'!$D$2:$D$1001,$K188),""))</f>
        <v/>
      </c>
      <c r="D188" t="str">
        <f>IF($K188="","",IFERROR(INDEX('Veri Merkezi'!$F$2:$F$1001,$K188),""))</f>
        <v/>
      </c>
      <c r="E188" s="2" t="str">
        <f>IF($K188="","",IFERROR(INDEX('Veri Merkezi'!$G$2:$G$1001,$K188),""))</f>
        <v/>
      </c>
      <c r="F188" t="str">
        <f>IF($K188="","",IFERROR(INDEX('Veri Merkezi'!$H$2:$H$1001,$K188),""))</f>
        <v/>
      </c>
      <c r="G188" t="str">
        <f>IF($K188="","",IFERROR(INDEX('Veri Merkezi'!$R$2:$R$1001,$K188),""))</f>
        <v/>
      </c>
      <c r="H188" t="str">
        <f>IF($K188="","",IFERROR(INDEX('Veri Merkezi'!$S$2:$S$1001,$K188),""))</f>
        <v/>
      </c>
      <c r="I188" s="2" t="str">
        <f>IF($K188="","",IFERROR(INDEX('Veri Merkezi'!$T$2:$T$1001,$K188),""))</f>
        <v/>
      </c>
      <c r="J188" t="str">
        <f>IF($K188="","",IFERROR(INDEX('Veri Merkezi'!$U$2:$U$1001,$K188),""))</f>
        <v/>
      </c>
      <c r="K188" t="str">
        <f>IF(K187="","",IFERROR(K187+MATCH("A Liste",INDEX('Veri Merkezi'!$S$2:$S$1001,K187+1):'Veri Merkezi'!$S$1001,0),""))</f>
        <v/>
      </c>
    </row>
    <row r="189" spans="1:11">
      <c r="A189" t="str">
        <f>IF($K189="","",IFERROR(INDEX('Veri Merkezi'!$A$2:$A$1001,$K189),""))</f>
        <v/>
      </c>
      <c r="B189" t="str">
        <f>IF($K189="","",IFERROR(INDEX('Veri Merkezi'!$E$2:$E$1001,$K189),""))</f>
        <v/>
      </c>
      <c r="C189" t="str">
        <f>IF($K189="","",IFERROR(INDEX('Veri Merkezi'!$D$2:$D$1001,$K189),""))</f>
        <v/>
      </c>
      <c r="D189" t="str">
        <f>IF($K189="","",IFERROR(INDEX('Veri Merkezi'!$F$2:$F$1001,$K189),""))</f>
        <v/>
      </c>
      <c r="E189" s="2" t="str">
        <f>IF($K189="","",IFERROR(INDEX('Veri Merkezi'!$G$2:$G$1001,$K189),""))</f>
        <v/>
      </c>
      <c r="F189" t="str">
        <f>IF($K189="","",IFERROR(INDEX('Veri Merkezi'!$H$2:$H$1001,$K189),""))</f>
        <v/>
      </c>
      <c r="G189" t="str">
        <f>IF($K189="","",IFERROR(INDEX('Veri Merkezi'!$R$2:$R$1001,$K189),""))</f>
        <v/>
      </c>
      <c r="H189" t="str">
        <f>IF($K189="","",IFERROR(INDEX('Veri Merkezi'!$S$2:$S$1001,$K189),""))</f>
        <v/>
      </c>
      <c r="I189" s="2" t="str">
        <f>IF($K189="","",IFERROR(INDEX('Veri Merkezi'!$T$2:$T$1001,$K189),""))</f>
        <v/>
      </c>
      <c r="J189" t="str">
        <f>IF($K189="","",IFERROR(INDEX('Veri Merkezi'!$U$2:$U$1001,$K189),""))</f>
        <v/>
      </c>
      <c r="K189" t="str">
        <f>IF(K188="","",IFERROR(K188+MATCH("A Liste",INDEX('Veri Merkezi'!$S$2:$S$1001,K188+1):'Veri Merkezi'!$S$1001,0),""))</f>
        <v/>
      </c>
    </row>
    <row r="190" spans="1:11">
      <c r="A190" t="str">
        <f>IF($K190="","",IFERROR(INDEX('Veri Merkezi'!$A$2:$A$1001,$K190),""))</f>
        <v/>
      </c>
      <c r="B190" t="str">
        <f>IF($K190="","",IFERROR(INDEX('Veri Merkezi'!$E$2:$E$1001,$K190),""))</f>
        <v/>
      </c>
      <c r="C190" t="str">
        <f>IF($K190="","",IFERROR(INDEX('Veri Merkezi'!$D$2:$D$1001,$K190),""))</f>
        <v/>
      </c>
      <c r="D190" t="str">
        <f>IF($K190="","",IFERROR(INDEX('Veri Merkezi'!$F$2:$F$1001,$K190),""))</f>
        <v/>
      </c>
      <c r="E190" s="2" t="str">
        <f>IF($K190="","",IFERROR(INDEX('Veri Merkezi'!$G$2:$G$1001,$K190),""))</f>
        <v/>
      </c>
      <c r="F190" t="str">
        <f>IF($K190="","",IFERROR(INDEX('Veri Merkezi'!$H$2:$H$1001,$K190),""))</f>
        <v/>
      </c>
      <c r="G190" t="str">
        <f>IF($K190="","",IFERROR(INDEX('Veri Merkezi'!$R$2:$R$1001,$K190),""))</f>
        <v/>
      </c>
      <c r="H190" t="str">
        <f>IF($K190="","",IFERROR(INDEX('Veri Merkezi'!$S$2:$S$1001,$K190),""))</f>
        <v/>
      </c>
      <c r="I190" s="2" t="str">
        <f>IF($K190="","",IFERROR(INDEX('Veri Merkezi'!$T$2:$T$1001,$K190),""))</f>
        <v/>
      </c>
      <c r="J190" t="str">
        <f>IF($K190="","",IFERROR(INDEX('Veri Merkezi'!$U$2:$U$1001,$K190),""))</f>
        <v/>
      </c>
      <c r="K190" t="str">
        <f>IF(K189="","",IFERROR(K189+MATCH("A Liste",INDEX('Veri Merkezi'!$S$2:$S$1001,K189+1):'Veri Merkezi'!$S$1001,0),""))</f>
        <v/>
      </c>
    </row>
    <row r="191" spans="1:11">
      <c r="A191" t="str">
        <f>IF($K191="","",IFERROR(INDEX('Veri Merkezi'!$A$2:$A$1001,$K191),""))</f>
        <v/>
      </c>
      <c r="B191" t="str">
        <f>IF($K191="","",IFERROR(INDEX('Veri Merkezi'!$E$2:$E$1001,$K191),""))</f>
        <v/>
      </c>
      <c r="C191" t="str">
        <f>IF($K191="","",IFERROR(INDEX('Veri Merkezi'!$D$2:$D$1001,$K191),""))</f>
        <v/>
      </c>
      <c r="D191" t="str">
        <f>IF($K191="","",IFERROR(INDEX('Veri Merkezi'!$F$2:$F$1001,$K191),""))</f>
        <v/>
      </c>
      <c r="E191" s="2" t="str">
        <f>IF($K191="","",IFERROR(INDEX('Veri Merkezi'!$G$2:$G$1001,$K191),""))</f>
        <v/>
      </c>
      <c r="F191" t="str">
        <f>IF($K191="","",IFERROR(INDEX('Veri Merkezi'!$H$2:$H$1001,$K191),""))</f>
        <v/>
      </c>
      <c r="G191" t="str">
        <f>IF($K191="","",IFERROR(INDEX('Veri Merkezi'!$R$2:$R$1001,$K191),""))</f>
        <v/>
      </c>
      <c r="H191" t="str">
        <f>IF($K191="","",IFERROR(INDEX('Veri Merkezi'!$S$2:$S$1001,$K191),""))</f>
        <v/>
      </c>
      <c r="I191" s="2" t="str">
        <f>IF($K191="","",IFERROR(INDEX('Veri Merkezi'!$T$2:$T$1001,$K191),""))</f>
        <v/>
      </c>
      <c r="J191" t="str">
        <f>IF($K191="","",IFERROR(INDEX('Veri Merkezi'!$U$2:$U$1001,$K191),""))</f>
        <v/>
      </c>
      <c r="K191" t="str">
        <f>IF(K190="","",IFERROR(K190+MATCH("A Liste",INDEX('Veri Merkezi'!$S$2:$S$1001,K190+1):'Veri Merkezi'!$S$1001,0),""))</f>
        <v/>
      </c>
    </row>
    <row r="192" spans="1:11">
      <c r="A192" t="str">
        <f>IF($K192="","",IFERROR(INDEX('Veri Merkezi'!$A$2:$A$1001,$K192),""))</f>
        <v/>
      </c>
      <c r="B192" t="str">
        <f>IF($K192="","",IFERROR(INDEX('Veri Merkezi'!$E$2:$E$1001,$K192),""))</f>
        <v/>
      </c>
      <c r="C192" t="str">
        <f>IF($K192="","",IFERROR(INDEX('Veri Merkezi'!$D$2:$D$1001,$K192),""))</f>
        <v/>
      </c>
      <c r="D192" t="str">
        <f>IF($K192="","",IFERROR(INDEX('Veri Merkezi'!$F$2:$F$1001,$K192),""))</f>
        <v/>
      </c>
      <c r="E192" s="2" t="str">
        <f>IF($K192="","",IFERROR(INDEX('Veri Merkezi'!$G$2:$G$1001,$K192),""))</f>
        <v/>
      </c>
      <c r="F192" t="str">
        <f>IF($K192="","",IFERROR(INDEX('Veri Merkezi'!$H$2:$H$1001,$K192),""))</f>
        <v/>
      </c>
      <c r="G192" t="str">
        <f>IF($K192="","",IFERROR(INDEX('Veri Merkezi'!$R$2:$R$1001,$K192),""))</f>
        <v/>
      </c>
      <c r="H192" t="str">
        <f>IF($K192="","",IFERROR(INDEX('Veri Merkezi'!$S$2:$S$1001,$K192),""))</f>
        <v/>
      </c>
      <c r="I192" s="2" t="str">
        <f>IF($K192="","",IFERROR(INDEX('Veri Merkezi'!$T$2:$T$1001,$K192),""))</f>
        <v/>
      </c>
      <c r="J192" t="str">
        <f>IF($K192="","",IFERROR(INDEX('Veri Merkezi'!$U$2:$U$1001,$K192),""))</f>
        <v/>
      </c>
      <c r="K192" t="str">
        <f>IF(K191="","",IFERROR(K191+MATCH("A Liste",INDEX('Veri Merkezi'!$S$2:$S$1001,K191+1):'Veri Merkezi'!$S$1001,0),""))</f>
        <v/>
      </c>
    </row>
    <row r="193" spans="1:11">
      <c r="A193" t="str">
        <f>IF($K193="","",IFERROR(INDEX('Veri Merkezi'!$A$2:$A$1001,$K193),""))</f>
        <v/>
      </c>
      <c r="B193" t="str">
        <f>IF($K193="","",IFERROR(INDEX('Veri Merkezi'!$E$2:$E$1001,$K193),""))</f>
        <v/>
      </c>
      <c r="C193" t="str">
        <f>IF($K193="","",IFERROR(INDEX('Veri Merkezi'!$D$2:$D$1001,$K193),""))</f>
        <v/>
      </c>
      <c r="D193" t="str">
        <f>IF($K193="","",IFERROR(INDEX('Veri Merkezi'!$F$2:$F$1001,$K193),""))</f>
        <v/>
      </c>
      <c r="E193" s="2" t="str">
        <f>IF($K193="","",IFERROR(INDEX('Veri Merkezi'!$G$2:$G$1001,$K193),""))</f>
        <v/>
      </c>
      <c r="F193" t="str">
        <f>IF($K193="","",IFERROR(INDEX('Veri Merkezi'!$H$2:$H$1001,$K193),""))</f>
        <v/>
      </c>
      <c r="G193" t="str">
        <f>IF($K193="","",IFERROR(INDEX('Veri Merkezi'!$R$2:$R$1001,$K193),""))</f>
        <v/>
      </c>
      <c r="H193" t="str">
        <f>IF($K193="","",IFERROR(INDEX('Veri Merkezi'!$S$2:$S$1001,$K193),""))</f>
        <v/>
      </c>
      <c r="I193" s="2" t="str">
        <f>IF($K193="","",IFERROR(INDEX('Veri Merkezi'!$T$2:$T$1001,$K193),""))</f>
        <v/>
      </c>
      <c r="J193" t="str">
        <f>IF($K193="","",IFERROR(INDEX('Veri Merkezi'!$U$2:$U$1001,$K193),""))</f>
        <v/>
      </c>
      <c r="K193" t="str">
        <f>IF(K192="","",IFERROR(K192+MATCH("A Liste",INDEX('Veri Merkezi'!$S$2:$S$1001,K192+1):'Veri Merkezi'!$S$1001,0),""))</f>
        <v/>
      </c>
    </row>
    <row r="194" spans="1:11">
      <c r="A194" t="str">
        <f>IF($K194="","",IFERROR(INDEX('Veri Merkezi'!$A$2:$A$1001,$K194),""))</f>
        <v/>
      </c>
      <c r="B194" t="str">
        <f>IF($K194="","",IFERROR(INDEX('Veri Merkezi'!$E$2:$E$1001,$K194),""))</f>
        <v/>
      </c>
      <c r="C194" t="str">
        <f>IF($K194="","",IFERROR(INDEX('Veri Merkezi'!$D$2:$D$1001,$K194),""))</f>
        <v/>
      </c>
      <c r="D194" t="str">
        <f>IF($K194="","",IFERROR(INDEX('Veri Merkezi'!$F$2:$F$1001,$K194),""))</f>
        <v/>
      </c>
      <c r="E194" s="2" t="str">
        <f>IF($K194="","",IFERROR(INDEX('Veri Merkezi'!$G$2:$G$1001,$K194),""))</f>
        <v/>
      </c>
      <c r="F194" t="str">
        <f>IF($K194="","",IFERROR(INDEX('Veri Merkezi'!$H$2:$H$1001,$K194),""))</f>
        <v/>
      </c>
      <c r="G194" t="str">
        <f>IF($K194="","",IFERROR(INDEX('Veri Merkezi'!$R$2:$R$1001,$K194),""))</f>
        <v/>
      </c>
      <c r="H194" t="str">
        <f>IF($K194="","",IFERROR(INDEX('Veri Merkezi'!$S$2:$S$1001,$K194),""))</f>
        <v/>
      </c>
      <c r="I194" s="2" t="str">
        <f>IF($K194="","",IFERROR(INDEX('Veri Merkezi'!$T$2:$T$1001,$K194),""))</f>
        <v/>
      </c>
      <c r="J194" t="str">
        <f>IF($K194="","",IFERROR(INDEX('Veri Merkezi'!$U$2:$U$1001,$K194),""))</f>
        <v/>
      </c>
      <c r="K194" t="str">
        <f>IF(K193="","",IFERROR(K193+MATCH("A Liste",INDEX('Veri Merkezi'!$S$2:$S$1001,K193+1):'Veri Merkezi'!$S$1001,0),""))</f>
        <v/>
      </c>
    </row>
    <row r="195" spans="1:11">
      <c r="A195" t="str">
        <f>IF($K195="","",IFERROR(INDEX('Veri Merkezi'!$A$2:$A$1001,$K195),""))</f>
        <v/>
      </c>
      <c r="B195" t="str">
        <f>IF($K195="","",IFERROR(INDEX('Veri Merkezi'!$E$2:$E$1001,$K195),""))</f>
        <v/>
      </c>
      <c r="C195" t="str">
        <f>IF($K195="","",IFERROR(INDEX('Veri Merkezi'!$D$2:$D$1001,$K195),""))</f>
        <v/>
      </c>
      <c r="D195" t="str">
        <f>IF($K195="","",IFERROR(INDEX('Veri Merkezi'!$F$2:$F$1001,$K195),""))</f>
        <v/>
      </c>
      <c r="E195" s="2" t="str">
        <f>IF($K195="","",IFERROR(INDEX('Veri Merkezi'!$G$2:$G$1001,$K195),""))</f>
        <v/>
      </c>
      <c r="F195" t="str">
        <f>IF($K195="","",IFERROR(INDEX('Veri Merkezi'!$H$2:$H$1001,$K195),""))</f>
        <v/>
      </c>
      <c r="G195" t="str">
        <f>IF($K195="","",IFERROR(INDEX('Veri Merkezi'!$R$2:$R$1001,$K195),""))</f>
        <v/>
      </c>
      <c r="H195" t="str">
        <f>IF($K195="","",IFERROR(INDEX('Veri Merkezi'!$S$2:$S$1001,$K195),""))</f>
        <v/>
      </c>
      <c r="I195" s="2" t="str">
        <f>IF($K195="","",IFERROR(INDEX('Veri Merkezi'!$T$2:$T$1001,$K195),""))</f>
        <v/>
      </c>
      <c r="J195" t="str">
        <f>IF($K195="","",IFERROR(INDEX('Veri Merkezi'!$U$2:$U$1001,$K195),""))</f>
        <v/>
      </c>
      <c r="K195" t="str">
        <f>IF(K194="","",IFERROR(K194+MATCH("A Liste",INDEX('Veri Merkezi'!$S$2:$S$1001,K194+1):'Veri Merkezi'!$S$1001,0),""))</f>
        <v/>
      </c>
    </row>
    <row r="196" spans="1:11">
      <c r="A196" t="str">
        <f>IF($K196="","",IFERROR(INDEX('Veri Merkezi'!$A$2:$A$1001,$K196),""))</f>
        <v/>
      </c>
      <c r="B196" t="str">
        <f>IF($K196="","",IFERROR(INDEX('Veri Merkezi'!$E$2:$E$1001,$K196),""))</f>
        <v/>
      </c>
      <c r="C196" t="str">
        <f>IF($K196="","",IFERROR(INDEX('Veri Merkezi'!$D$2:$D$1001,$K196),""))</f>
        <v/>
      </c>
      <c r="D196" t="str">
        <f>IF($K196="","",IFERROR(INDEX('Veri Merkezi'!$F$2:$F$1001,$K196),""))</f>
        <v/>
      </c>
      <c r="E196" s="2" t="str">
        <f>IF($K196="","",IFERROR(INDEX('Veri Merkezi'!$G$2:$G$1001,$K196),""))</f>
        <v/>
      </c>
      <c r="F196" t="str">
        <f>IF($K196="","",IFERROR(INDEX('Veri Merkezi'!$H$2:$H$1001,$K196),""))</f>
        <v/>
      </c>
      <c r="G196" t="str">
        <f>IF($K196="","",IFERROR(INDEX('Veri Merkezi'!$R$2:$R$1001,$K196),""))</f>
        <v/>
      </c>
      <c r="H196" t="str">
        <f>IF($K196="","",IFERROR(INDEX('Veri Merkezi'!$S$2:$S$1001,$K196),""))</f>
        <v/>
      </c>
      <c r="I196" s="2" t="str">
        <f>IF($K196="","",IFERROR(INDEX('Veri Merkezi'!$T$2:$T$1001,$K196),""))</f>
        <v/>
      </c>
      <c r="J196" t="str">
        <f>IF($K196="","",IFERROR(INDEX('Veri Merkezi'!$U$2:$U$1001,$K196),""))</f>
        <v/>
      </c>
      <c r="K196" t="str">
        <f>IF(K195="","",IFERROR(K195+MATCH("A Liste",INDEX('Veri Merkezi'!$S$2:$S$1001,K195+1):'Veri Merkezi'!$S$1001,0),""))</f>
        <v/>
      </c>
    </row>
    <row r="197" spans="1:11">
      <c r="A197" t="str">
        <f>IF($K197="","",IFERROR(INDEX('Veri Merkezi'!$A$2:$A$1001,$K197),""))</f>
        <v/>
      </c>
      <c r="B197" t="str">
        <f>IF($K197="","",IFERROR(INDEX('Veri Merkezi'!$E$2:$E$1001,$K197),""))</f>
        <v/>
      </c>
      <c r="C197" t="str">
        <f>IF($K197="","",IFERROR(INDEX('Veri Merkezi'!$D$2:$D$1001,$K197),""))</f>
        <v/>
      </c>
      <c r="D197" t="str">
        <f>IF($K197="","",IFERROR(INDEX('Veri Merkezi'!$F$2:$F$1001,$K197),""))</f>
        <v/>
      </c>
      <c r="E197" s="2" t="str">
        <f>IF($K197="","",IFERROR(INDEX('Veri Merkezi'!$G$2:$G$1001,$K197),""))</f>
        <v/>
      </c>
      <c r="F197" t="str">
        <f>IF($K197="","",IFERROR(INDEX('Veri Merkezi'!$H$2:$H$1001,$K197),""))</f>
        <v/>
      </c>
      <c r="G197" t="str">
        <f>IF($K197="","",IFERROR(INDEX('Veri Merkezi'!$R$2:$R$1001,$K197),""))</f>
        <v/>
      </c>
      <c r="H197" t="str">
        <f>IF($K197="","",IFERROR(INDEX('Veri Merkezi'!$S$2:$S$1001,$K197),""))</f>
        <v/>
      </c>
      <c r="I197" s="2" t="str">
        <f>IF($K197="","",IFERROR(INDEX('Veri Merkezi'!$T$2:$T$1001,$K197),""))</f>
        <v/>
      </c>
      <c r="J197" t="str">
        <f>IF($K197="","",IFERROR(INDEX('Veri Merkezi'!$U$2:$U$1001,$K197),""))</f>
        <v/>
      </c>
      <c r="K197" t="str">
        <f>IF(K196="","",IFERROR(K196+MATCH("A Liste",INDEX('Veri Merkezi'!$S$2:$S$1001,K196+1):'Veri Merkezi'!$S$1001,0),""))</f>
        <v/>
      </c>
    </row>
    <row r="198" spans="1:11">
      <c r="A198" t="str">
        <f>IF($K198="","",IFERROR(INDEX('Veri Merkezi'!$A$2:$A$1001,$K198),""))</f>
        <v/>
      </c>
      <c r="B198" t="str">
        <f>IF($K198="","",IFERROR(INDEX('Veri Merkezi'!$E$2:$E$1001,$K198),""))</f>
        <v/>
      </c>
      <c r="C198" t="str">
        <f>IF($K198="","",IFERROR(INDEX('Veri Merkezi'!$D$2:$D$1001,$K198),""))</f>
        <v/>
      </c>
      <c r="D198" t="str">
        <f>IF($K198="","",IFERROR(INDEX('Veri Merkezi'!$F$2:$F$1001,$K198),""))</f>
        <v/>
      </c>
      <c r="E198" s="2" t="str">
        <f>IF($K198="","",IFERROR(INDEX('Veri Merkezi'!$G$2:$G$1001,$K198),""))</f>
        <v/>
      </c>
      <c r="F198" t="str">
        <f>IF($K198="","",IFERROR(INDEX('Veri Merkezi'!$H$2:$H$1001,$K198),""))</f>
        <v/>
      </c>
      <c r="G198" t="str">
        <f>IF($K198="","",IFERROR(INDEX('Veri Merkezi'!$R$2:$R$1001,$K198),""))</f>
        <v/>
      </c>
      <c r="H198" t="str">
        <f>IF($K198="","",IFERROR(INDEX('Veri Merkezi'!$S$2:$S$1001,$K198),""))</f>
        <v/>
      </c>
      <c r="I198" s="2" t="str">
        <f>IF($K198="","",IFERROR(INDEX('Veri Merkezi'!$T$2:$T$1001,$K198),""))</f>
        <v/>
      </c>
      <c r="J198" t="str">
        <f>IF($K198="","",IFERROR(INDEX('Veri Merkezi'!$U$2:$U$1001,$K198),""))</f>
        <v/>
      </c>
      <c r="K198" t="str">
        <f>IF(K197="","",IFERROR(K197+MATCH("A Liste",INDEX('Veri Merkezi'!$S$2:$S$1001,K197+1):'Veri Merkezi'!$S$1001,0),""))</f>
        <v/>
      </c>
    </row>
    <row r="199" spans="1:11">
      <c r="A199" t="str">
        <f>IF($K199="","",IFERROR(INDEX('Veri Merkezi'!$A$2:$A$1001,$K199),""))</f>
        <v/>
      </c>
      <c r="B199" t="str">
        <f>IF($K199="","",IFERROR(INDEX('Veri Merkezi'!$E$2:$E$1001,$K199),""))</f>
        <v/>
      </c>
      <c r="C199" t="str">
        <f>IF($K199="","",IFERROR(INDEX('Veri Merkezi'!$D$2:$D$1001,$K199),""))</f>
        <v/>
      </c>
      <c r="D199" t="str">
        <f>IF($K199="","",IFERROR(INDEX('Veri Merkezi'!$F$2:$F$1001,$K199),""))</f>
        <v/>
      </c>
      <c r="E199" s="2" t="str">
        <f>IF($K199="","",IFERROR(INDEX('Veri Merkezi'!$G$2:$G$1001,$K199),""))</f>
        <v/>
      </c>
      <c r="F199" t="str">
        <f>IF($K199="","",IFERROR(INDEX('Veri Merkezi'!$H$2:$H$1001,$K199),""))</f>
        <v/>
      </c>
      <c r="G199" t="str">
        <f>IF($K199="","",IFERROR(INDEX('Veri Merkezi'!$R$2:$R$1001,$K199),""))</f>
        <v/>
      </c>
      <c r="H199" t="str">
        <f>IF($K199="","",IFERROR(INDEX('Veri Merkezi'!$S$2:$S$1001,$K199),""))</f>
        <v/>
      </c>
      <c r="I199" s="2" t="str">
        <f>IF($K199="","",IFERROR(INDEX('Veri Merkezi'!$T$2:$T$1001,$K199),""))</f>
        <v/>
      </c>
      <c r="J199" t="str">
        <f>IF($K199="","",IFERROR(INDEX('Veri Merkezi'!$U$2:$U$1001,$K199),""))</f>
        <v/>
      </c>
      <c r="K199" t="str">
        <f>IF(K198="","",IFERROR(K198+MATCH("A Liste",INDEX('Veri Merkezi'!$S$2:$S$1001,K198+1):'Veri Merkezi'!$S$1001,0),""))</f>
        <v/>
      </c>
    </row>
    <row r="200" spans="1:11">
      <c r="A200" t="str">
        <f>IF($K200="","",IFERROR(INDEX('Veri Merkezi'!$A$2:$A$1001,$K200),""))</f>
        <v/>
      </c>
      <c r="B200" t="str">
        <f>IF($K200="","",IFERROR(INDEX('Veri Merkezi'!$E$2:$E$1001,$K200),""))</f>
        <v/>
      </c>
      <c r="C200" t="str">
        <f>IF($K200="","",IFERROR(INDEX('Veri Merkezi'!$D$2:$D$1001,$K200),""))</f>
        <v/>
      </c>
      <c r="D200" t="str">
        <f>IF($K200="","",IFERROR(INDEX('Veri Merkezi'!$F$2:$F$1001,$K200),""))</f>
        <v/>
      </c>
      <c r="E200" s="2" t="str">
        <f>IF($K200="","",IFERROR(INDEX('Veri Merkezi'!$G$2:$G$1001,$K200),""))</f>
        <v/>
      </c>
      <c r="F200" t="str">
        <f>IF($K200="","",IFERROR(INDEX('Veri Merkezi'!$H$2:$H$1001,$K200),""))</f>
        <v/>
      </c>
      <c r="G200" t="str">
        <f>IF($K200="","",IFERROR(INDEX('Veri Merkezi'!$R$2:$R$1001,$K200),""))</f>
        <v/>
      </c>
      <c r="H200" t="str">
        <f>IF($K200="","",IFERROR(INDEX('Veri Merkezi'!$S$2:$S$1001,$K200),""))</f>
        <v/>
      </c>
      <c r="I200" s="2" t="str">
        <f>IF($K200="","",IFERROR(INDEX('Veri Merkezi'!$T$2:$T$1001,$K200),""))</f>
        <v/>
      </c>
      <c r="J200" t="str">
        <f>IF($K200="","",IFERROR(INDEX('Veri Merkezi'!$U$2:$U$1001,$K200),""))</f>
        <v/>
      </c>
      <c r="K200" t="str">
        <f>IF(K199="","",IFERROR(K199+MATCH("A Liste",INDEX('Veri Merkezi'!$S$2:$S$1001,K199+1):'Veri Merkezi'!$S$1001,0),""))</f>
        <v/>
      </c>
    </row>
    <row r="201" spans="1:11">
      <c r="A201" t="str">
        <f>IF($K201="","",IFERROR(INDEX('Veri Merkezi'!$A$2:$A$1001,$K201),""))</f>
        <v/>
      </c>
      <c r="B201" t="str">
        <f>IF($K201="","",IFERROR(INDEX('Veri Merkezi'!$E$2:$E$1001,$K201),""))</f>
        <v/>
      </c>
      <c r="C201" t="str">
        <f>IF($K201="","",IFERROR(INDEX('Veri Merkezi'!$D$2:$D$1001,$K201),""))</f>
        <v/>
      </c>
      <c r="D201" t="str">
        <f>IF($K201="","",IFERROR(INDEX('Veri Merkezi'!$F$2:$F$1001,$K201),""))</f>
        <v/>
      </c>
      <c r="E201" s="2" t="str">
        <f>IF($K201="","",IFERROR(INDEX('Veri Merkezi'!$G$2:$G$1001,$K201),""))</f>
        <v/>
      </c>
      <c r="F201" t="str">
        <f>IF($K201="","",IFERROR(INDEX('Veri Merkezi'!$H$2:$H$1001,$K201),""))</f>
        <v/>
      </c>
      <c r="G201" t="str">
        <f>IF($K201="","",IFERROR(INDEX('Veri Merkezi'!$R$2:$R$1001,$K201),""))</f>
        <v/>
      </c>
      <c r="H201" t="str">
        <f>IF($K201="","",IFERROR(INDEX('Veri Merkezi'!$S$2:$S$1001,$K201),""))</f>
        <v/>
      </c>
      <c r="I201" s="2" t="str">
        <f>IF($K201="","",IFERROR(INDEX('Veri Merkezi'!$T$2:$T$1001,$K201),""))</f>
        <v/>
      </c>
      <c r="J201" t="str">
        <f>IF($K201="","",IFERROR(INDEX('Veri Merkezi'!$U$2:$U$1001,$K201),""))</f>
        <v/>
      </c>
      <c r="K201" t="str">
        <f>IF(K200="","",IFERROR(K200+MATCH("A Liste",INDEX('Veri Merkezi'!$S$2:$S$1001,K200+1):'Veri Merkezi'!$S$1001,0),""))</f>
        <v/>
      </c>
    </row>
    <row r="202" spans="1:11">
      <c r="A202" t="str">
        <f>IF($K202="","",IFERROR(INDEX('Veri Merkezi'!$A$2:$A$1001,$K202),""))</f>
        <v/>
      </c>
      <c r="B202" t="str">
        <f>IF($K202="","",IFERROR(INDEX('Veri Merkezi'!$E$2:$E$1001,$K202),""))</f>
        <v/>
      </c>
      <c r="C202" t="str">
        <f>IF($K202="","",IFERROR(INDEX('Veri Merkezi'!$D$2:$D$1001,$K202),""))</f>
        <v/>
      </c>
      <c r="D202" t="str">
        <f>IF($K202="","",IFERROR(INDEX('Veri Merkezi'!$F$2:$F$1001,$K202),""))</f>
        <v/>
      </c>
      <c r="E202" s="2" t="str">
        <f>IF($K202="","",IFERROR(INDEX('Veri Merkezi'!$G$2:$G$1001,$K202),""))</f>
        <v/>
      </c>
      <c r="F202" t="str">
        <f>IF($K202="","",IFERROR(INDEX('Veri Merkezi'!$H$2:$H$1001,$K202),""))</f>
        <v/>
      </c>
      <c r="G202" t="str">
        <f>IF($K202="","",IFERROR(INDEX('Veri Merkezi'!$R$2:$R$1001,$K202),""))</f>
        <v/>
      </c>
      <c r="H202" t="str">
        <f>IF($K202="","",IFERROR(INDEX('Veri Merkezi'!$S$2:$S$1001,$K202),""))</f>
        <v/>
      </c>
      <c r="I202" s="2" t="str">
        <f>IF($K202="","",IFERROR(INDEX('Veri Merkezi'!$T$2:$T$1001,$K202),""))</f>
        <v/>
      </c>
      <c r="J202" t="str">
        <f>IF($K202="","",IFERROR(INDEX('Veri Merkezi'!$U$2:$U$1001,$K202),""))</f>
        <v/>
      </c>
      <c r="K202" t="str">
        <f>IF(K201="","",IFERROR(K201+MATCH("A Liste",INDEX('Veri Merkezi'!$S$2:$S$1001,K201+1):'Veri Merkezi'!$S$1001,0),""))</f>
        <v/>
      </c>
    </row>
    <row r="203" spans="1:11">
      <c r="A203" t="str">
        <f>IF($K203="","",IFERROR(INDEX('Veri Merkezi'!$A$2:$A$1001,$K203),""))</f>
        <v/>
      </c>
      <c r="B203" t="str">
        <f>IF($K203="","",IFERROR(INDEX('Veri Merkezi'!$E$2:$E$1001,$K203),""))</f>
        <v/>
      </c>
      <c r="C203" t="str">
        <f>IF($K203="","",IFERROR(INDEX('Veri Merkezi'!$D$2:$D$1001,$K203),""))</f>
        <v/>
      </c>
      <c r="D203" t="str">
        <f>IF($K203="","",IFERROR(INDEX('Veri Merkezi'!$F$2:$F$1001,$K203),""))</f>
        <v/>
      </c>
      <c r="E203" s="2" t="str">
        <f>IF($K203="","",IFERROR(INDEX('Veri Merkezi'!$G$2:$G$1001,$K203),""))</f>
        <v/>
      </c>
      <c r="F203" t="str">
        <f>IF($K203="","",IFERROR(INDEX('Veri Merkezi'!$H$2:$H$1001,$K203),""))</f>
        <v/>
      </c>
      <c r="G203" t="str">
        <f>IF($K203="","",IFERROR(INDEX('Veri Merkezi'!$R$2:$R$1001,$K203),""))</f>
        <v/>
      </c>
      <c r="H203" t="str">
        <f>IF($K203="","",IFERROR(INDEX('Veri Merkezi'!$S$2:$S$1001,$K203),""))</f>
        <v/>
      </c>
      <c r="I203" s="2" t="str">
        <f>IF($K203="","",IFERROR(INDEX('Veri Merkezi'!$T$2:$T$1001,$K203),""))</f>
        <v/>
      </c>
      <c r="J203" t="str">
        <f>IF($K203="","",IFERROR(INDEX('Veri Merkezi'!$U$2:$U$1001,$K203),""))</f>
        <v/>
      </c>
      <c r="K203" t="str">
        <f>IF(K202="","",IFERROR(K202+MATCH("A Liste",INDEX('Veri Merkezi'!$S$2:$S$1001,K202+1):'Veri Merkezi'!$S$1001,0),""))</f>
        <v/>
      </c>
    </row>
    <row r="204" spans="1:11">
      <c r="A204" t="str">
        <f>IF($K204="","",IFERROR(INDEX('Veri Merkezi'!$A$2:$A$1001,$K204),""))</f>
        <v/>
      </c>
      <c r="B204" t="str">
        <f>IF($K204="","",IFERROR(INDEX('Veri Merkezi'!$E$2:$E$1001,$K204),""))</f>
        <v/>
      </c>
      <c r="C204" t="str">
        <f>IF($K204="","",IFERROR(INDEX('Veri Merkezi'!$D$2:$D$1001,$K204),""))</f>
        <v/>
      </c>
      <c r="D204" t="str">
        <f>IF($K204="","",IFERROR(INDEX('Veri Merkezi'!$F$2:$F$1001,$K204),""))</f>
        <v/>
      </c>
      <c r="E204" s="2" t="str">
        <f>IF($K204="","",IFERROR(INDEX('Veri Merkezi'!$G$2:$G$1001,$K204),""))</f>
        <v/>
      </c>
      <c r="F204" t="str">
        <f>IF($K204="","",IFERROR(INDEX('Veri Merkezi'!$H$2:$H$1001,$K204),""))</f>
        <v/>
      </c>
      <c r="G204" t="str">
        <f>IF($K204="","",IFERROR(INDEX('Veri Merkezi'!$R$2:$R$1001,$K204),""))</f>
        <v/>
      </c>
      <c r="H204" t="str">
        <f>IF($K204="","",IFERROR(INDEX('Veri Merkezi'!$S$2:$S$1001,$K204),""))</f>
        <v/>
      </c>
      <c r="I204" s="2" t="str">
        <f>IF($K204="","",IFERROR(INDEX('Veri Merkezi'!$T$2:$T$1001,$K204),""))</f>
        <v/>
      </c>
      <c r="J204" t="str">
        <f>IF($K204="","",IFERROR(INDEX('Veri Merkezi'!$U$2:$U$1001,$K204),""))</f>
        <v/>
      </c>
      <c r="K204" t="str">
        <f>IF(K203="","",IFERROR(K203+MATCH("A Liste",INDEX('Veri Merkezi'!$S$2:$S$1001,K203+1):'Veri Merkezi'!$S$1001,0),""))</f>
        <v/>
      </c>
    </row>
    <row r="205" spans="1:11">
      <c r="A205" t="str">
        <f>IF($K205="","",IFERROR(INDEX('Veri Merkezi'!$A$2:$A$1001,$K205),""))</f>
        <v/>
      </c>
      <c r="B205" t="str">
        <f>IF($K205="","",IFERROR(INDEX('Veri Merkezi'!$E$2:$E$1001,$K205),""))</f>
        <v/>
      </c>
      <c r="C205" t="str">
        <f>IF($K205="","",IFERROR(INDEX('Veri Merkezi'!$D$2:$D$1001,$K205),""))</f>
        <v/>
      </c>
      <c r="D205" t="str">
        <f>IF($K205="","",IFERROR(INDEX('Veri Merkezi'!$F$2:$F$1001,$K205),""))</f>
        <v/>
      </c>
      <c r="E205" s="2" t="str">
        <f>IF($K205="","",IFERROR(INDEX('Veri Merkezi'!$G$2:$G$1001,$K205),""))</f>
        <v/>
      </c>
      <c r="F205" t="str">
        <f>IF($K205="","",IFERROR(INDEX('Veri Merkezi'!$H$2:$H$1001,$K205),""))</f>
        <v/>
      </c>
      <c r="G205" t="str">
        <f>IF($K205="","",IFERROR(INDEX('Veri Merkezi'!$R$2:$R$1001,$K205),""))</f>
        <v/>
      </c>
      <c r="H205" t="str">
        <f>IF($K205="","",IFERROR(INDEX('Veri Merkezi'!$S$2:$S$1001,$K205),""))</f>
        <v/>
      </c>
      <c r="I205" s="2" t="str">
        <f>IF($K205="","",IFERROR(INDEX('Veri Merkezi'!$T$2:$T$1001,$K205),""))</f>
        <v/>
      </c>
      <c r="J205" t="str">
        <f>IF($K205="","",IFERROR(INDEX('Veri Merkezi'!$U$2:$U$1001,$K205),""))</f>
        <v/>
      </c>
      <c r="K205" t="str">
        <f>IF(K204="","",IFERROR(K204+MATCH("A Liste",INDEX('Veri Merkezi'!$S$2:$S$1001,K204+1):'Veri Merkezi'!$S$1001,0),""))</f>
        <v/>
      </c>
    </row>
    <row r="206" spans="1:11">
      <c r="A206" t="str">
        <f>IF($K206="","",IFERROR(INDEX('Veri Merkezi'!$A$2:$A$1001,$K206),""))</f>
        <v/>
      </c>
      <c r="B206" t="str">
        <f>IF($K206="","",IFERROR(INDEX('Veri Merkezi'!$E$2:$E$1001,$K206),""))</f>
        <v/>
      </c>
      <c r="C206" t="str">
        <f>IF($K206="","",IFERROR(INDEX('Veri Merkezi'!$D$2:$D$1001,$K206),""))</f>
        <v/>
      </c>
      <c r="D206" t="str">
        <f>IF($K206="","",IFERROR(INDEX('Veri Merkezi'!$F$2:$F$1001,$K206),""))</f>
        <v/>
      </c>
      <c r="E206" s="2" t="str">
        <f>IF($K206="","",IFERROR(INDEX('Veri Merkezi'!$G$2:$G$1001,$K206),""))</f>
        <v/>
      </c>
      <c r="F206" t="str">
        <f>IF($K206="","",IFERROR(INDEX('Veri Merkezi'!$H$2:$H$1001,$K206),""))</f>
        <v/>
      </c>
      <c r="G206" t="str">
        <f>IF($K206="","",IFERROR(INDEX('Veri Merkezi'!$R$2:$R$1001,$K206),""))</f>
        <v/>
      </c>
      <c r="H206" t="str">
        <f>IF($K206="","",IFERROR(INDEX('Veri Merkezi'!$S$2:$S$1001,$K206),""))</f>
        <v/>
      </c>
      <c r="I206" s="2" t="str">
        <f>IF($K206="","",IFERROR(INDEX('Veri Merkezi'!$T$2:$T$1001,$K206),""))</f>
        <v/>
      </c>
      <c r="J206" t="str">
        <f>IF($K206="","",IFERROR(INDEX('Veri Merkezi'!$U$2:$U$1001,$K206),""))</f>
        <v/>
      </c>
      <c r="K206" t="str">
        <f>IF(K205="","",IFERROR(K205+MATCH("A Liste",INDEX('Veri Merkezi'!$S$2:$S$1001,K205+1):'Veri Merkezi'!$S$1001,0),""))</f>
        <v/>
      </c>
    </row>
    <row r="207" spans="1:11">
      <c r="A207" t="str">
        <f>IF($K207="","",IFERROR(INDEX('Veri Merkezi'!$A$2:$A$1001,$K207),""))</f>
        <v/>
      </c>
      <c r="B207" t="str">
        <f>IF($K207="","",IFERROR(INDEX('Veri Merkezi'!$E$2:$E$1001,$K207),""))</f>
        <v/>
      </c>
      <c r="C207" t="str">
        <f>IF($K207="","",IFERROR(INDEX('Veri Merkezi'!$D$2:$D$1001,$K207),""))</f>
        <v/>
      </c>
      <c r="D207" t="str">
        <f>IF($K207="","",IFERROR(INDEX('Veri Merkezi'!$F$2:$F$1001,$K207),""))</f>
        <v/>
      </c>
      <c r="E207" s="2" t="str">
        <f>IF($K207="","",IFERROR(INDEX('Veri Merkezi'!$G$2:$G$1001,$K207),""))</f>
        <v/>
      </c>
      <c r="F207" t="str">
        <f>IF($K207="","",IFERROR(INDEX('Veri Merkezi'!$H$2:$H$1001,$K207),""))</f>
        <v/>
      </c>
      <c r="G207" t="str">
        <f>IF($K207="","",IFERROR(INDEX('Veri Merkezi'!$R$2:$R$1001,$K207),""))</f>
        <v/>
      </c>
      <c r="H207" t="str">
        <f>IF($K207="","",IFERROR(INDEX('Veri Merkezi'!$S$2:$S$1001,$K207),""))</f>
        <v/>
      </c>
      <c r="I207" s="2" t="str">
        <f>IF($K207="","",IFERROR(INDEX('Veri Merkezi'!$T$2:$T$1001,$K207),""))</f>
        <v/>
      </c>
      <c r="J207" t="str">
        <f>IF($K207="","",IFERROR(INDEX('Veri Merkezi'!$U$2:$U$1001,$K207),""))</f>
        <v/>
      </c>
      <c r="K207" t="str">
        <f>IF(K206="","",IFERROR(K206+MATCH("A Liste",INDEX('Veri Merkezi'!$S$2:$S$1001,K206+1):'Veri Merkezi'!$S$1001,0),""))</f>
        <v/>
      </c>
    </row>
    <row r="208" spans="1:11">
      <c r="A208" t="str">
        <f>IF($K208="","",IFERROR(INDEX('Veri Merkezi'!$A$2:$A$1001,$K208),""))</f>
        <v/>
      </c>
      <c r="B208" t="str">
        <f>IF($K208="","",IFERROR(INDEX('Veri Merkezi'!$E$2:$E$1001,$K208),""))</f>
        <v/>
      </c>
      <c r="C208" t="str">
        <f>IF($K208="","",IFERROR(INDEX('Veri Merkezi'!$D$2:$D$1001,$K208),""))</f>
        <v/>
      </c>
      <c r="D208" t="str">
        <f>IF($K208="","",IFERROR(INDEX('Veri Merkezi'!$F$2:$F$1001,$K208),""))</f>
        <v/>
      </c>
      <c r="E208" s="2" t="str">
        <f>IF($K208="","",IFERROR(INDEX('Veri Merkezi'!$G$2:$G$1001,$K208),""))</f>
        <v/>
      </c>
      <c r="F208" t="str">
        <f>IF($K208="","",IFERROR(INDEX('Veri Merkezi'!$H$2:$H$1001,$K208),""))</f>
        <v/>
      </c>
      <c r="G208" t="str">
        <f>IF($K208="","",IFERROR(INDEX('Veri Merkezi'!$R$2:$R$1001,$K208),""))</f>
        <v/>
      </c>
      <c r="H208" t="str">
        <f>IF($K208="","",IFERROR(INDEX('Veri Merkezi'!$S$2:$S$1001,$K208),""))</f>
        <v/>
      </c>
      <c r="I208" s="2" t="str">
        <f>IF($K208="","",IFERROR(INDEX('Veri Merkezi'!$T$2:$T$1001,$K208),""))</f>
        <v/>
      </c>
      <c r="J208" t="str">
        <f>IF($K208="","",IFERROR(INDEX('Veri Merkezi'!$U$2:$U$1001,$K208),""))</f>
        <v/>
      </c>
      <c r="K208" t="str">
        <f>IF(K207="","",IFERROR(K207+MATCH("A Liste",INDEX('Veri Merkezi'!$S$2:$S$1001,K207+1):'Veri Merkezi'!$S$1001,0),""))</f>
        <v/>
      </c>
    </row>
    <row r="209" spans="1:11">
      <c r="A209" t="str">
        <f>IF($K209="","",IFERROR(INDEX('Veri Merkezi'!$A$2:$A$1001,$K209),""))</f>
        <v/>
      </c>
      <c r="B209" t="str">
        <f>IF($K209="","",IFERROR(INDEX('Veri Merkezi'!$E$2:$E$1001,$K209),""))</f>
        <v/>
      </c>
      <c r="C209" t="str">
        <f>IF($K209="","",IFERROR(INDEX('Veri Merkezi'!$D$2:$D$1001,$K209),""))</f>
        <v/>
      </c>
      <c r="D209" t="str">
        <f>IF($K209="","",IFERROR(INDEX('Veri Merkezi'!$F$2:$F$1001,$K209),""))</f>
        <v/>
      </c>
      <c r="E209" s="2" t="str">
        <f>IF($K209="","",IFERROR(INDEX('Veri Merkezi'!$G$2:$G$1001,$K209),""))</f>
        <v/>
      </c>
      <c r="F209" t="str">
        <f>IF($K209="","",IFERROR(INDEX('Veri Merkezi'!$H$2:$H$1001,$K209),""))</f>
        <v/>
      </c>
      <c r="G209" t="str">
        <f>IF($K209="","",IFERROR(INDEX('Veri Merkezi'!$R$2:$R$1001,$K209),""))</f>
        <v/>
      </c>
      <c r="H209" t="str">
        <f>IF($K209="","",IFERROR(INDEX('Veri Merkezi'!$S$2:$S$1001,$K209),""))</f>
        <v/>
      </c>
      <c r="I209" s="2" t="str">
        <f>IF($K209="","",IFERROR(INDEX('Veri Merkezi'!$T$2:$T$1001,$K209),""))</f>
        <v/>
      </c>
      <c r="J209" t="str">
        <f>IF($K209="","",IFERROR(INDEX('Veri Merkezi'!$U$2:$U$1001,$K209),""))</f>
        <v/>
      </c>
      <c r="K209" t="str">
        <f>IF(K208="","",IFERROR(K208+MATCH("A Liste",INDEX('Veri Merkezi'!$S$2:$S$1001,K208+1):'Veri Merkezi'!$S$1001,0),""))</f>
        <v/>
      </c>
    </row>
    <row r="210" spans="1:11">
      <c r="A210" t="str">
        <f>IF($K210="","",IFERROR(INDEX('Veri Merkezi'!$A$2:$A$1001,$K210),""))</f>
        <v/>
      </c>
      <c r="B210" t="str">
        <f>IF($K210="","",IFERROR(INDEX('Veri Merkezi'!$E$2:$E$1001,$K210),""))</f>
        <v/>
      </c>
      <c r="C210" t="str">
        <f>IF($K210="","",IFERROR(INDEX('Veri Merkezi'!$D$2:$D$1001,$K210),""))</f>
        <v/>
      </c>
      <c r="D210" t="str">
        <f>IF($K210="","",IFERROR(INDEX('Veri Merkezi'!$F$2:$F$1001,$K210),""))</f>
        <v/>
      </c>
      <c r="E210" s="2" t="str">
        <f>IF($K210="","",IFERROR(INDEX('Veri Merkezi'!$G$2:$G$1001,$K210),""))</f>
        <v/>
      </c>
      <c r="F210" t="str">
        <f>IF($K210="","",IFERROR(INDEX('Veri Merkezi'!$H$2:$H$1001,$K210),""))</f>
        <v/>
      </c>
      <c r="G210" t="str">
        <f>IF($K210="","",IFERROR(INDEX('Veri Merkezi'!$R$2:$R$1001,$K210),""))</f>
        <v/>
      </c>
      <c r="H210" t="str">
        <f>IF($K210="","",IFERROR(INDEX('Veri Merkezi'!$S$2:$S$1001,$K210),""))</f>
        <v/>
      </c>
      <c r="I210" s="2" t="str">
        <f>IF($K210="","",IFERROR(INDEX('Veri Merkezi'!$T$2:$T$1001,$K210),""))</f>
        <v/>
      </c>
      <c r="J210" t="str">
        <f>IF($K210="","",IFERROR(INDEX('Veri Merkezi'!$U$2:$U$1001,$K210),""))</f>
        <v/>
      </c>
      <c r="K210" t="str">
        <f>IF(K209="","",IFERROR(K209+MATCH("A Liste",INDEX('Veri Merkezi'!$S$2:$S$1001,K209+1):'Veri Merkezi'!$S$1001,0),""))</f>
        <v/>
      </c>
    </row>
    <row r="211" spans="1:11">
      <c r="A211" t="str">
        <f>IF($K211="","",IFERROR(INDEX('Veri Merkezi'!$A$2:$A$1001,$K211),""))</f>
        <v/>
      </c>
      <c r="B211" t="str">
        <f>IF($K211="","",IFERROR(INDEX('Veri Merkezi'!$E$2:$E$1001,$K211),""))</f>
        <v/>
      </c>
      <c r="C211" t="str">
        <f>IF($K211="","",IFERROR(INDEX('Veri Merkezi'!$D$2:$D$1001,$K211),""))</f>
        <v/>
      </c>
      <c r="D211" t="str">
        <f>IF($K211="","",IFERROR(INDEX('Veri Merkezi'!$F$2:$F$1001,$K211),""))</f>
        <v/>
      </c>
      <c r="E211" s="2" t="str">
        <f>IF($K211="","",IFERROR(INDEX('Veri Merkezi'!$G$2:$G$1001,$K211),""))</f>
        <v/>
      </c>
      <c r="F211" t="str">
        <f>IF($K211="","",IFERROR(INDEX('Veri Merkezi'!$H$2:$H$1001,$K211),""))</f>
        <v/>
      </c>
      <c r="G211" t="str">
        <f>IF($K211="","",IFERROR(INDEX('Veri Merkezi'!$R$2:$R$1001,$K211),""))</f>
        <v/>
      </c>
      <c r="H211" t="str">
        <f>IF($K211="","",IFERROR(INDEX('Veri Merkezi'!$S$2:$S$1001,$K211),""))</f>
        <v/>
      </c>
      <c r="I211" s="2" t="str">
        <f>IF($K211="","",IFERROR(INDEX('Veri Merkezi'!$T$2:$T$1001,$K211),""))</f>
        <v/>
      </c>
      <c r="J211" t="str">
        <f>IF($K211="","",IFERROR(INDEX('Veri Merkezi'!$U$2:$U$1001,$K211),""))</f>
        <v/>
      </c>
      <c r="K211" t="str">
        <f>IF(K210="","",IFERROR(K210+MATCH("A Liste",INDEX('Veri Merkezi'!$S$2:$S$1001,K210+1):'Veri Merkezi'!$S$1001,0),""))</f>
        <v/>
      </c>
    </row>
    <row r="212" spans="1:11">
      <c r="A212" t="str">
        <f>IF($K212="","",IFERROR(INDEX('Veri Merkezi'!$A$2:$A$1001,$K212),""))</f>
        <v/>
      </c>
      <c r="B212" t="str">
        <f>IF($K212="","",IFERROR(INDEX('Veri Merkezi'!$E$2:$E$1001,$K212),""))</f>
        <v/>
      </c>
      <c r="C212" t="str">
        <f>IF($K212="","",IFERROR(INDEX('Veri Merkezi'!$D$2:$D$1001,$K212),""))</f>
        <v/>
      </c>
      <c r="D212" t="str">
        <f>IF($K212="","",IFERROR(INDEX('Veri Merkezi'!$F$2:$F$1001,$K212),""))</f>
        <v/>
      </c>
      <c r="E212" s="2" t="str">
        <f>IF($K212="","",IFERROR(INDEX('Veri Merkezi'!$G$2:$G$1001,$K212),""))</f>
        <v/>
      </c>
      <c r="F212" t="str">
        <f>IF($K212="","",IFERROR(INDEX('Veri Merkezi'!$H$2:$H$1001,$K212),""))</f>
        <v/>
      </c>
      <c r="G212" t="str">
        <f>IF($K212="","",IFERROR(INDEX('Veri Merkezi'!$R$2:$R$1001,$K212),""))</f>
        <v/>
      </c>
      <c r="H212" t="str">
        <f>IF($K212="","",IFERROR(INDEX('Veri Merkezi'!$S$2:$S$1001,$K212),""))</f>
        <v/>
      </c>
      <c r="I212" s="2" t="str">
        <f>IF($K212="","",IFERROR(INDEX('Veri Merkezi'!$T$2:$T$1001,$K212),""))</f>
        <v/>
      </c>
      <c r="J212" t="str">
        <f>IF($K212="","",IFERROR(INDEX('Veri Merkezi'!$U$2:$U$1001,$K212),""))</f>
        <v/>
      </c>
      <c r="K212" t="str">
        <f>IF(K211="","",IFERROR(K211+MATCH("A Liste",INDEX('Veri Merkezi'!$S$2:$S$1001,K211+1):'Veri Merkezi'!$S$1001,0),""))</f>
        <v/>
      </c>
    </row>
    <row r="213" spans="1:11">
      <c r="A213" t="str">
        <f>IF($K213="","",IFERROR(INDEX('Veri Merkezi'!$A$2:$A$1001,$K213),""))</f>
        <v/>
      </c>
      <c r="B213" t="str">
        <f>IF($K213="","",IFERROR(INDEX('Veri Merkezi'!$E$2:$E$1001,$K213),""))</f>
        <v/>
      </c>
      <c r="C213" t="str">
        <f>IF($K213="","",IFERROR(INDEX('Veri Merkezi'!$D$2:$D$1001,$K213),""))</f>
        <v/>
      </c>
      <c r="D213" t="str">
        <f>IF($K213="","",IFERROR(INDEX('Veri Merkezi'!$F$2:$F$1001,$K213),""))</f>
        <v/>
      </c>
      <c r="E213" s="2" t="str">
        <f>IF($K213="","",IFERROR(INDEX('Veri Merkezi'!$G$2:$G$1001,$K213),""))</f>
        <v/>
      </c>
      <c r="F213" t="str">
        <f>IF($K213="","",IFERROR(INDEX('Veri Merkezi'!$H$2:$H$1001,$K213),""))</f>
        <v/>
      </c>
      <c r="G213" t="str">
        <f>IF($K213="","",IFERROR(INDEX('Veri Merkezi'!$R$2:$R$1001,$K213),""))</f>
        <v/>
      </c>
      <c r="H213" t="str">
        <f>IF($K213="","",IFERROR(INDEX('Veri Merkezi'!$S$2:$S$1001,$K213),""))</f>
        <v/>
      </c>
      <c r="I213" s="2" t="str">
        <f>IF($K213="","",IFERROR(INDEX('Veri Merkezi'!$T$2:$T$1001,$K213),""))</f>
        <v/>
      </c>
      <c r="J213" t="str">
        <f>IF($K213="","",IFERROR(INDEX('Veri Merkezi'!$U$2:$U$1001,$K213),""))</f>
        <v/>
      </c>
      <c r="K213" t="str">
        <f>IF(K212="","",IFERROR(K212+MATCH("A Liste",INDEX('Veri Merkezi'!$S$2:$S$1001,K212+1):'Veri Merkezi'!$S$1001,0),""))</f>
        <v/>
      </c>
    </row>
    <row r="214" spans="1:11">
      <c r="A214" t="str">
        <f>IF($K214="","",IFERROR(INDEX('Veri Merkezi'!$A$2:$A$1001,$K214),""))</f>
        <v/>
      </c>
      <c r="B214" t="str">
        <f>IF($K214="","",IFERROR(INDEX('Veri Merkezi'!$E$2:$E$1001,$K214),""))</f>
        <v/>
      </c>
      <c r="C214" t="str">
        <f>IF($K214="","",IFERROR(INDEX('Veri Merkezi'!$D$2:$D$1001,$K214),""))</f>
        <v/>
      </c>
      <c r="D214" t="str">
        <f>IF($K214="","",IFERROR(INDEX('Veri Merkezi'!$F$2:$F$1001,$K214),""))</f>
        <v/>
      </c>
      <c r="E214" s="2" t="str">
        <f>IF($K214="","",IFERROR(INDEX('Veri Merkezi'!$G$2:$G$1001,$K214),""))</f>
        <v/>
      </c>
      <c r="F214" t="str">
        <f>IF($K214="","",IFERROR(INDEX('Veri Merkezi'!$H$2:$H$1001,$K214),""))</f>
        <v/>
      </c>
      <c r="G214" t="str">
        <f>IF($K214="","",IFERROR(INDEX('Veri Merkezi'!$R$2:$R$1001,$K214),""))</f>
        <v/>
      </c>
      <c r="H214" t="str">
        <f>IF($K214="","",IFERROR(INDEX('Veri Merkezi'!$S$2:$S$1001,$K214),""))</f>
        <v/>
      </c>
      <c r="I214" s="2" t="str">
        <f>IF($K214="","",IFERROR(INDEX('Veri Merkezi'!$T$2:$T$1001,$K214),""))</f>
        <v/>
      </c>
      <c r="J214" t="str">
        <f>IF($K214="","",IFERROR(INDEX('Veri Merkezi'!$U$2:$U$1001,$K214),""))</f>
        <v/>
      </c>
      <c r="K214" t="str">
        <f>IF(K213="","",IFERROR(K213+MATCH("A Liste",INDEX('Veri Merkezi'!$S$2:$S$1001,K213+1):'Veri Merkezi'!$S$1001,0),""))</f>
        <v/>
      </c>
    </row>
    <row r="215" spans="1:11">
      <c r="A215" t="str">
        <f>IF($K215="","",IFERROR(INDEX('Veri Merkezi'!$A$2:$A$1001,$K215),""))</f>
        <v/>
      </c>
      <c r="B215" t="str">
        <f>IF($K215="","",IFERROR(INDEX('Veri Merkezi'!$E$2:$E$1001,$K215),""))</f>
        <v/>
      </c>
      <c r="C215" t="str">
        <f>IF($K215="","",IFERROR(INDEX('Veri Merkezi'!$D$2:$D$1001,$K215),""))</f>
        <v/>
      </c>
      <c r="D215" t="str">
        <f>IF($K215="","",IFERROR(INDEX('Veri Merkezi'!$F$2:$F$1001,$K215),""))</f>
        <v/>
      </c>
      <c r="E215" s="2" t="str">
        <f>IF($K215="","",IFERROR(INDEX('Veri Merkezi'!$G$2:$G$1001,$K215),""))</f>
        <v/>
      </c>
      <c r="F215" t="str">
        <f>IF($K215="","",IFERROR(INDEX('Veri Merkezi'!$H$2:$H$1001,$K215),""))</f>
        <v/>
      </c>
      <c r="G215" t="str">
        <f>IF($K215="","",IFERROR(INDEX('Veri Merkezi'!$R$2:$R$1001,$K215),""))</f>
        <v/>
      </c>
      <c r="H215" t="str">
        <f>IF($K215="","",IFERROR(INDEX('Veri Merkezi'!$S$2:$S$1001,$K215),""))</f>
        <v/>
      </c>
      <c r="I215" s="2" t="str">
        <f>IF($K215="","",IFERROR(INDEX('Veri Merkezi'!$T$2:$T$1001,$K215),""))</f>
        <v/>
      </c>
      <c r="J215" t="str">
        <f>IF($K215="","",IFERROR(INDEX('Veri Merkezi'!$U$2:$U$1001,$K215),""))</f>
        <v/>
      </c>
      <c r="K215" t="str">
        <f>IF(K214="","",IFERROR(K214+MATCH("A Liste",INDEX('Veri Merkezi'!$S$2:$S$1001,K214+1):'Veri Merkezi'!$S$1001,0),""))</f>
        <v/>
      </c>
    </row>
    <row r="216" spans="1:11">
      <c r="A216" t="str">
        <f>IF($K216="","",IFERROR(INDEX('Veri Merkezi'!$A$2:$A$1001,$K216),""))</f>
        <v/>
      </c>
      <c r="B216" t="str">
        <f>IF($K216="","",IFERROR(INDEX('Veri Merkezi'!$E$2:$E$1001,$K216),""))</f>
        <v/>
      </c>
      <c r="C216" t="str">
        <f>IF($K216="","",IFERROR(INDEX('Veri Merkezi'!$D$2:$D$1001,$K216),""))</f>
        <v/>
      </c>
      <c r="D216" t="str">
        <f>IF($K216="","",IFERROR(INDEX('Veri Merkezi'!$F$2:$F$1001,$K216),""))</f>
        <v/>
      </c>
      <c r="E216" s="2" t="str">
        <f>IF($K216="","",IFERROR(INDEX('Veri Merkezi'!$G$2:$G$1001,$K216),""))</f>
        <v/>
      </c>
      <c r="F216" t="str">
        <f>IF($K216="","",IFERROR(INDEX('Veri Merkezi'!$H$2:$H$1001,$K216),""))</f>
        <v/>
      </c>
      <c r="G216" t="str">
        <f>IF($K216="","",IFERROR(INDEX('Veri Merkezi'!$R$2:$R$1001,$K216),""))</f>
        <v/>
      </c>
      <c r="H216" t="str">
        <f>IF($K216="","",IFERROR(INDEX('Veri Merkezi'!$S$2:$S$1001,$K216),""))</f>
        <v/>
      </c>
      <c r="I216" s="2" t="str">
        <f>IF($K216="","",IFERROR(INDEX('Veri Merkezi'!$T$2:$T$1001,$K216),""))</f>
        <v/>
      </c>
      <c r="J216" t="str">
        <f>IF($K216="","",IFERROR(INDEX('Veri Merkezi'!$U$2:$U$1001,$K216),""))</f>
        <v/>
      </c>
      <c r="K216" t="str">
        <f>IF(K215="","",IFERROR(K215+MATCH("A Liste",INDEX('Veri Merkezi'!$S$2:$S$1001,K215+1):'Veri Merkezi'!$S$1001,0),""))</f>
        <v/>
      </c>
    </row>
    <row r="217" spans="1:11">
      <c r="A217" t="str">
        <f>IF($K217="","",IFERROR(INDEX('Veri Merkezi'!$A$2:$A$1001,$K217),""))</f>
        <v/>
      </c>
      <c r="B217" t="str">
        <f>IF($K217="","",IFERROR(INDEX('Veri Merkezi'!$E$2:$E$1001,$K217),""))</f>
        <v/>
      </c>
      <c r="C217" t="str">
        <f>IF($K217="","",IFERROR(INDEX('Veri Merkezi'!$D$2:$D$1001,$K217),""))</f>
        <v/>
      </c>
      <c r="D217" t="str">
        <f>IF($K217="","",IFERROR(INDEX('Veri Merkezi'!$F$2:$F$1001,$K217),""))</f>
        <v/>
      </c>
      <c r="E217" s="2" t="str">
        <f>IF($K217="","",IFERROR(INDEX('Veri Merkezi'!$G$2:$G$1001,$K217),""))</f>
        <v/>
      </c>
      <c r="F217" t="str">
        <f>IF($K217="","",IFERROR(INDEX('Veri Merkezi'!$H$2:$H$1001,$K217),""))</f>
        <v/>
      </c>
      <c r="G217" t="str">
        <f>IF($K217="","",IFERROR(INDEX('Veri Merkezi'!$R$2:$R$1001,$K217),""))</f>
        <v/>
      </c>
      <c r="H217" t="str">
        <f>IF($K217="","",IFERROR(INDEX('Veri Merkezi'!$S$2:$S$1001,$K217),""))</f>
        <v/>
      </c>
      <c r="I217" s="2" t="str">
        <f>IF($K217="","",IFERROR(INDEX('Veri Merkezi'!$T$2:$T$1001,$K217),""))</f>
        <v/>
      </c>
      <c r="J217" t="str">
        <f>IF($K217="","",IFERROR(INDEX('Veri Merkezi'!$U$2:$U$1001,$K217),""))</f>
        <v/>
      </c>
      <c r="K217" t="str">
        <f>IF(K216="","",IFERROR(K216+MATCH("A Liste",INDEX('Veri Merkezi'!$S$2:$S$1001,K216+1):'Veri Merkezi'!$S$1001,0),""))</f>
        <v/>
      </c>
    </row>
    <row r="218" spans="1:11">
      <c r="A218" t="str">
        <f>IF($K218="","",IFERROR(INDEX('Veri Merkezi'!$A$2:$A$1001,$K218),""))</f>
        <v/>
      </c>
      <c r="B218" t="str">
        <f>IF($K218="","",IFERROR(INDEX('Veri Merkezi'!$E$2:$E$1001,$K218),""))</f>
        <v/>
      </c>
      <c r="C218" t="str">
        <f>IF($K218="","",IFERROR(INDEX('Veri Merkezi'!$D$2:$D$1001,$K218),""))</f>
        <v/>
      </c>
      <c r="D218" t="str">
        <f>IF($K218="","",IFERROR(INDEX('Veri Merkezi'!$F$2:$F$1001,$K218),""))</f>
        <v/>
      </c>
      <c r="E218" s="2" t="str">
        <f>IF($K218="","",IFERROR(INDEX('Veri Merkezi'!$G$2:$G$1001,$K218),""))</f>
        <v/>
      </c>
      <c r="F218" t="str">
        <f>IF($K218="","",IFERROR(INDEX('Veri Merkezi'!$H$2:$H$1001,$K218),""))</f>
        <v/>
      </c>
      <c r="G218" t="str">
        <f>IF($K218="","",IFERROR(INDEX('Veri Merkezi'!$R$2:$R$1001,$K218),""))</f>
        <v/>
      </c>
      <c r="H218" t="str">
        <f>IF($K218="","",IFERROR(INDEX('Veri Merkezi'!$S$2:$S$1001,$K218),""))</f>
        <v/>
      </c>
      <c r="I218" s="2" t="str">
        <f>IF($K218="","",IFERROR(INDEX('Veri Merkezi'!$T$2:$T$1001,$K218),""))</f>
        <v/>
      </c>
      <c r="J218" t="str">
        <f>IF($K218="","",IFERROR(INDEX('Veri Merkezi'!$U$2:$U$1001,$K218),""))</f>
        <v/>
      </c>
      <c r="K218" t="str">
        <f>IF(K217="","",IFERROR(K217+MATCH("A Liste",INDEX('Veri Merkezi'!$S$2:$S$1001,K217+1):'Veri Merkezi'!$S$1001,0),""))</f>
        <v/>
      </c>
    </row>
    <row r="219" spans="1:11">
      <c r="A219" t="str">
        <f>IF($K219="","",IFERROR(INDEX('Veri Merkezi'!$A$2:$A$1001,$K219),""))</f>
        <v/>
      </c>
      <c r="B219" t="str">
        <f>IF($K219="","",IFERROR(INDEX('Veri Merkezi'!$E$2:$E$1001,$K219),""))</f>
        <v/>
      </c>
      <c r="C219" t="str">
        <f>IF($K219="","",IFERROR(INDEX('Veri Merkezi'!$D$2:$D$1001,$K219),""))</f>
        <v/>
      </c>
      <c r="D219" t="str">
        <f>IF($K219="","",IFERROR(INDEX('Veri Merkezi'!$F$2:$F$1001,$K219),""))</f>
        <v/>
      </c>
      <c r="E219" s="2" t="str">
        <f>IF($K219="","",IFERROR(INDEX('Veri Merkezi'!$G$2:$G$1001,$K219),""))</f>
        <v/>
      </c>
      <c r="F219" t="str">
        <f>IF($K219="","",IFERROR(INDEX('Veri Merkezi'!$H$2:$H$1001,$K219),""))</f>
        <v/>
      </c>
      <c r="G219" t="str">
        <f>IF($K219="","",IFERROR(INDEX('Veri Merkezi'!$R$2:$R$1001,$K219),""))</f>
        <v/>
      </c>
      <c r="H219" t="str">
        <f>IF($K219="","",IFERROR(INDEX('Veri Merkezi'!$S$2:$S$1001,$K219),""))</f>
        <v/>
      </c>
      <c r="I219" s="2" t="str">
        <f>IF($K219="","",IFERROR(INDEX('Veri Merkezi'!$T$2:$T$1001,$K219),""))</f>
        <v/>
      </c>
      <c r="J219" t="str">
        <f>IF($K219="","",IFERROR(INDEX('Veri Merkezi'!$U$2:$U$1001,$K219),""))</f>
        <v/>
      </c>
      <c r="K219" t="str">
        <f>IF(K218="","",IFERROR(K218+MATCH("A Liste",INDEX('Veri Merkezi'!$S$2:$S$1001,K218+1):'Veri Merkezi'!$S$1001,0),""))</f>
        <v/>
      </c>
    </row>
    <row r="220" spans="1:11">
      <c r="A220" t="str">
        <f>IF($K220="","",IFERROR(INDEX('Veri Merkezi'!$A$2:$A$1001,$K220),""))</f>
        <v/>
      </c>
      <c r="B220" t="str">
        <f>IF($K220="","",IFERROR(INDEX('Veri Merkezi'!$E$2:$E$1001,$K220),""))</f>
        <v/>
      </c>
      <c r="C220" t="str">
        <f>IF($K220="","",IFERROR(INDEX('Veri Merkezi'!$D$2:$D$1001,$K220),""))</f>
        <v/>
      </c>
      <c r="D220" t="str">
        <f>IF($K220="","",IFERROR(INDEX('Veri Merkezi'!$F$2:$F$1001,$K220),""))</f>
        <v/>
      </c>
      <c r="E220" s="2" t="str">
        <f>IF($K220="","",IFERROR(INDEX('Veri Merkezi'!$G$2:$G$1001,$K220),""))</f>
        <v/>
      </c>
      <c r="F220" t="str">
        <f>IF($K220="","",IFERROR(INDEX('Veri Merkezi'!$H$2:$H$1001,$K220),""))</f>
        <v/>
      </c>
      <c r="G220" t="str">
        <f>IF($K220="","",IFERROR(INDEX('Veri Merkezi'!$R$2:$R$1001,$K220),""))</f>
        <v/>
      </c>
      <c r="H220" t="str">
        <f>IF($K220="","",IFERROR(INDEX('Veri Merkezi'!$S$2:$S$1001,$K220),""))</f>
        <v/>
      </c>
      <c r="I220" s="2" t="str">
        <f>IF($K220="","",IFERROR(INDEX('Veri Merkezi'!$T$2:$T$1001,$K220),""))</f>
        <v/>
      </c>
      <c r="J220" t="str">
        <f>IF($K220="","",IFERROR(INDEX('Veri Merkezi'!$U$2:$U$1001,$K220),""))</f>
        <v/>
      </c>
      <c r="K220" t="str">
        <f>IF(K219="","",IFERROR(K219+MATCH("A Liste",INDEX('Veri Merkezi'!$S$2:$S$1001,K219+1):'Veri Merkezi'!$S$1001,0),""))</f>
        <v/>
      </c>
    </row>
    <row r="221" spans="1:11">
      <c r="A221" t="str">
        <f>IF($K221="","",IFERROR(INDEX('Veri Merkezi'!$A$2:$A$1001,$K221),""))</f>
        <v/>
      </c>
      <c r="B221" t="str">
        <f>IF($K221="","",IFERROR(INDEX('Veri Merkezi'!$E$2:$E$1001,$K221),""))</f>
        <v/>
      </c>
      <c r="C221" t="str">
        <f>IF($K221="","",IFERROR(INDEX('Veri Merkezi'!$D$2:$D$1001,$K221),""))</f>
        <v/>
      </c>
      <c r="D221" t="str">
        <f>IF($K221="","",IFERROR(INDEX('Veri Merkezi'!$F$2:$F$1001,$K221),""))</f>
        <v/>
      </c>
      <c r="E221" s="2" t="str">
        <f>IF($K221="","",IFERROR(INDEX('Veri Merkezi'!$G$2:$G$1001,$K221),""))</f>
        <v/>
      </c>
      <c r="F221" t="str">
        <f>IF($K221="","",IFERROR(INDEX('Veri Merkezi'!$H$2:$H$1001,$K221),""))</f>
        <v/>
      </c>
      <c r="G221" t="str">
        <f>IF($K221="","",IFERROR(INDEX('Veri Merkezi'!$R$2:$R$1001,$K221),""))</f>
        <v/>
      </c>
      <c r="H221" t="str">
        <f>IF($K221="","",IFERROR(INDEX('Veri Merkezi'!$S$2:$S$1001,$K221),""))</f>
        <v/>
      </c>
      <c r="I221" s="2" t="str">
        <f>IF($K221="","",IFERROR(INDEX('Veri Merkezi'!$T$2:$T$1001,$K221),""))</f>
        <v/>
      </c>
      <c r="J221" t="str">
        <f>IF($K221="","",IFERROR(INDEX('Veri Merkezi'!$U$2:$U$1001,$K221),""))</f>
        <v/>
      </c>
      <c r="K221" t="str">
        <f>IF(K220="","",IFERROR(K220+MATCH("A Liste",INDEX('Veri Merkezi'!$S$2:$S$1001,K220+1):'Veri Merkezi'!$S$1001,0),""))</f>
        <v/>
      </c>
    </row>
    <row r="222" spans="1:11">
      <c r="A222" t="str">
        <f>IF($K222="","",IFERROR(INDEX('Veri Merkezi'!$A$2:$A$1001,$K222),""))</f>
        <v/>
      </c>
      <c r="B222" t="str">
        <f>IF($K222="","",IFERROR(INDEX('Veri Merkezi'!$E$2:$E$1001,$K222),""))</f>
        <v/>
      </c>
      <c r="C222" t="str">
        <f>IF($K222="","",IFERROR(INDEX('Veri Merkezi'!$D$2:$D$1001,$K222),""))</f>
        <v/>
      </c>
      <c r="D222" t="str">
        <f>IF($K222="","",IFERROR(INDEX('Veri Merkezi'!$F$2:$F$1001,$K222),""))</f>
        <v/>
      </c>
      <c r="E222" s="2" t="str">
        <f>IF($K222="","",IFERROR(INDEX('Veri Merkezi'!$G$2:$G$1001,$K222),""))</f>
        <v/>
      </c>
      <c r="F222" t="str">
        <f>IF($K222="","",IFERROR(INDEX('Veri Merkezi'!$H$2:$H$1001,$K222),""))</f>
        <v/>
      </c>
      <c r="G222" t="str">
        <f>IF($K222="","",IFERROR(INDEX('Veri Merkezi'!$R$2:$R$1001,$K222),""))</f>
        <v/>
      </c>
      <c r="H222" t="str">
        <f>IF($K222="","",IFERROR(INDEX('Veri Merkezi'!$S$2:$S$1001,$K222),""))</f>
        <v/>
      </c>
      <c r="I222" s="2" t="str">
        <f>IF($K222="","",IFERROR(INDEX('Veri Merkezi'!$T$2:$T$1001,$K222),""))</f>
        <v/>
      </c>
      <c r="J222" t="str">
        <f>IF($K222="","",IFERROR(INDEX('Veri Merkezi'!$U$2:$U$1001,$K222),""))</f>
        <v/>
      </c>
      <c r="K222" t="str">
        <f>IF(K221="","",IFERROR(K221+MATCH("A Liste",INDEX('Veri Merkezi'!$S$2:$S$1001,K221+1):'Veri Merkezi'!$S$1001,0),""))</f>
        <v/>
      </c>
    </row>
    <row r="223" spans="1:11">
      <c r="A223" t="str">
        <f>IF($K223="","",IFERROR(INDEX('Veri Merkezi'!$A$2:$A$1001,$K223),""))</f>
        <v/>
      </c>
      <c r="B223" t="str">
        <f>IF($K223="","",IFERROR(INDEX('Veri Merkezi'!$E$2:$E$1001,$K223),""))</f>
        <v/>
      </c>
      <c r="C223" t="str">
        <f>IF($K223="","",IFERROR(INDEX('Veri Merkezi'!$D$2:$D$1001,$K223),""))</f>
        <v/>
      </c>
      <c r="D223" t="str">
        <f>IF($K223="","",IFERROR(INDEX('Veri Merkezi'!$F$2:$F$1001,$K223),""))</f>
        <v/>
      </c>
      <c r="E223" s="2" t="str">
        <f>IF($K223="","",IFERROR(INDEX('Veri Merkezi'!$G$2:$G$1001,$K223),""))</f>
        <v/>
      </c>
      <c r="F223" t="str">
        <f>IF($K223="","",IFERROR(INDEX('Veri Merkezi'!$H$2:$H$1001,$K223),""))</f>
        <v/>
      </c>
      <c r="G223" t="str">
        <f>IF($K223="","",IFERROR(INDEX('Veri Merkezi'!$R$2:$R$1001,$K223),""))</f>
        <v/>
      </c>
      <c r="H223" t="str">
        <f>IF($K223="","",IFERROR(INDEX('Veri Merkezi'!$S$2:$S$1001,$K223),""))</f>
        <v/>
      </c>
      <c r="I223" s="2" t="str">
        <f>IF($K223="","",IFERROR(INDEX('Veri Merkezi'!$T$2:$T$1001,$K223),""))</f>
        <v/>
      </c>
      <c r="J223" t="str">
        <f>IF($K223="","",IFERROR(INDEX('Veri Merkezi'!$U$2:$U$1001,$K223),""))</f>
        <v/>
      </c>
      <c r="K223" t="str">
        <f>IF(K222="","",IFERROR(K222+MATCH("A Liste",INDEX('Veri Merkezi'!$S$2:$S$1001,K222+1):'Veri Merkezi'!$S$1001,0),""))</f>
        <v/>
      </c>
    </row>
    <row r="224" spans="1:11">
      <c r="A224" t="str">
        <f>IF($K224="","",IFERROR(INDEX('Veri Merkezi'!$A$2:$A$1001,$K224),""))</f>
        <v/>
      </c>
      <c r="B224" t="str">
        <f>IF($K224="","",IFERROR(INDEX('Veri Merkezi'!$E$2:$E$1001,$K224),""))</f>
        <v/>
      </c>
      <c r="C224" t="str">
        <f>IF($K224="","",IFERROR(INDEX('Veri Merkezi'!$D$2:$D$1001,$K224),""))</f>
        <v/>
      </c>
      <c r="D224" t="str">
        <f>IF($K224="","",IFERROR(INDEX('Veri Merkezi'!$F$2:$F$1001,$K224),""))</f>
        <v/>
      </c>
      <c r="E224" s="2" t="str">
        <f>IF($K224="","",IFERROR(INDEX('Veri Merkezi'!$G$2:$G$1001,$K224),""))</f>
        <v/>
      </c>
      <c r="F224" t="str">
        <f>IF($K224="","",IFERROR(INDEX('Veri Merkezi'!$H$2:$H$1001,$K224),""))</f>
        <v/>
      </c>
      <c r="G224" t="str">
        <f>IF($K224="","",IFERROR(INDEX('Veri Merkezi'!$R$2:$R$1001,$K224),""))</f>
        <v/>
      </c>
      <c r="H224" t="str">
        <f>IF($K224="","",IFERROR(INDEX('Veri Merkezi'!$S$2:$S$1001,$K224),""))</f>
        <v/>
      </c>
      <c r="I224" s="2" t="str">
        <f>IF($K224="","",IFERROR(INDEX('Veri Merkezi'!$T$2:$T$1001,$K224),""))</f>
        <v/>
      </c>
      <c r="J224" t="str">
        <f>IF($K224="","",IFERROR(INDEX('Veri Merkezi'!$U$2:$U$1001,$K224),""))</f>
        <v/>
      </c>
      <c r="K224" t="str">
        <f>IF(K223="","",IFERROR(K223+MATCH("A Liste",INDEX('Veri Merkezi'!$S$2:$S$1001,K223+1):'Veri Merkezi'!$S$1001,0),""))</f>
        <v/>
      </c>
    </row>
    <row r="225" spans="1:11">
      <c r="A225" t="str">
        <f>IF($K225="","",IFERROR(INDEX('Veri Merkezi'!$A$2:$A$1001,$K225),""))</f>
        <v/>
      </c>
      <c r="B225" t="str">
        <f>IF($K225="","",IFERROR(INDEX('Veri Merkezi'!$E$2:$E$1001,$K225),""))</f>
        <v/>
      </c>
      <c r="C225" t="str">
        <f>IF($K225="","",IFERROR(INDEX('Veri Merkezi'!$D$2:$D$1001,$K225),""))</f>
        <v/>
      </c>
      <c r="D225" t="str">
        <f>IF($K225="","",IFERROR(INDEX('Veri Merkezi'!$F$2:$F$1001,$K225),""))</f>
        <v/>
      </c>
      <c r="E225" s="2" t="str">
        <f>IF($K225="","",IFERROR(INDEX('Veri Merkezi'!$G$2:$G$1001,$K225),""))</f>
        <v/>
      </c>
      <c r="F225" t="str">
        <f>IF($K225="","",IFERROR(INDEX('Veri Merkezi'!$H$2:$H$1001,$K225),""))</f>
        <v/>
      </c>
      <c r="G225" t="str">
        <f>IF($K225="","",IFERROR(INDEX('Veri Merkezi'!$R$2:$R$1001,$K225),""))</f>
        <v/>
      </c>
      <c r="H225" t="str">
        <f>IF($K225="","",IFERROR(INDEX('Veri Merkezi'!$S$2:$S$1001,$K225),""))</f>
        <v/>
      </c>
      <c r="I225" s="2" t="str">
        <f>IF($K225="","",IFERROR(INDEX('Veri Merkezi'!$T$2:$T$1001,$K225),""))</f>
        <v/>
      </c>
      <c r="J225" t="str">
        <f>IF($K225="","",IFERROR(INDEX('Veri Merkezi'!$U$2:$U$1001,$K225),""))</f>
        <v/>
      </c>
      <c r="K225" t="str">
        <f>IF(K224="","",IFERROR(K224+MATCH("A Liste",INDEX('Veri Merkezi'!$S$2:$S$1001,K224+1):'Veri Merkezi'!$S$1001,0),""))</f>
        <v/>
      </c>
    </row>
    <row r="226" spans="1:11">
      <c r="A226" t="str">
        <f>IF($K226="","",IFERROR(INDEX('Veri Merkezi'!$A$2:$A$1001,$K226),""))</f>
        <v/>
      </c>
      <c r="B226" t="str">
        <f>IF($K226="","",IFERROR(INDEX('Veri Merkezi'!$E$2:$E$1001,$K226),""))</f>
        <v/>
      </c>
      <c r="C226" t="str">
        <f>IF($K226="","",IFERROR(INDEX('Veri Merkezi'!$D$2:$D$1001,$K226),""))</f>
        <v/>
      </c>
      <c r="D226" t="str">
        <f>IF($K226="","",IFERROR(INDEX('Veri Merkezi'!$F$2:$F$1001,$K226),""))</f>
        <v/>
      </c>
      <c r="E226" s="2" t="str">
        <f>IF($K226="","",IFERROR(INDEX('Veri Merkezi'!$G$2:$G$1001,$K226),""))</f>
        <v/>
      </c>
      <c r="F226" t="str">
        <f>IF($K226="","",IFERROR(INDEX('Veri Merkezi'!$H$2:$H$1001,$K226),""))</f>
        <v/>
      </c>
      <c r="G226" t="str">
        <f>IF($K226="","",IFERROR(INDEX('Veri Merkezi'!$R$2:$R$1001,$K226),""))</f>
        <v/>
      </c>
      <c r="H226" t="str">
        <f>IF($K226="","",IFERROR(INDEX('Veri Merkezi'!$S$2:$S$1001,$K226),""))</f>
        <v/>
      </c>
      <c r="I226" s="2" t="str">
        <f>IF($K226="","",IFERROR(INDEX('Veri Merkezi'!$T$2:$T$1001,$K226),""))</f>
        <v/>
      </c>
      <c r="J226" t="str">
        <f>IF($K226="","",IFERROR(INDEX('Veri Merkezi'!$U$2:$U$1001,$K226),""))</f>
        <v/>
      </c>
      <c r="K226" t="str">
        <f>IF(K225="","",IFERROR(K225+MATCH("A Liste",INDEX('Veri Merkezi'!$S$2:$S$1001,K225+1):'Veri Merkezi'!$S$1001,0),""))</f>
        <v/>
      </c>
    </row>
    <row r="227" spans="1:11">
      <c r="A227" t="str">
        <f>IF($K227="","",IFERROR(INDEX('Veri Merkezi'!$A$2:$A$1001,$K227),""))</f>
        <v/>
      </c>
      <c r="B227" t="str">
        <f>IF($K227="","",IFERROR(INDEX('Veri Merkezi'!$E$2:$E$1001,$K227),""))</f>
        <v/>
      </c>
      <c r="C227" t="str">
        <f>IF($K227="","",IFERROR(INDEX('Veri Merkezi'!$D$2:$D$1001,$K227),""))</f>
        <v/>
      </c>
      <c r="D227" t="str">
        <f>IF($K227="","",IFERROR(INDEX('Veri Merkezi'!$F$2:$F$1001,$K227),""))</f>
        <v/>
      </c>
      <c r="E227" s="2" t="str">
        <f>IF($K227="","",IFERROR(INDEX('Veri Merkezi'!$G$2:$G$1001,$K227),""))</f>
        <v/>
      </c>
      <c r="F227" t="str">
        <f>IF($K227="","",IFERROR(INDEX('Veri Merkezi'!$H$2:$H$1001,$K227),""))</f>
        <v/>
      </c>
      <c r="G227" t="str">
        <f>IF($K227="","",IFERROR(INDEX('Veri Merkezi'!$R$2:$R$1001,$K227),""))</f>
        <v/>
      </c>
      <c r="H227" t="str">
        <f>IF($K227="","",IFERROR(INDEX('Veri Merkezi'!$S$2:$S$1001,$K227),""))</f>
        <v/>
      </c>
      <c r="I227" s="2" t="str">
        <f>IF($K227="","",IFERROR(INDEX('Veri Merkezi'!$T$2:$T$1001,$K227),""))</f>
        <v/>
      </c>
      <c r="J227" t="str">
        <f>IF($K227="","",IFERROR(INDEX('Veri Merkezi'!$U$2:$U$1001,$K227),""))</f>
        <v/>
      </c>
      <c r="K227" t="str">
        <f>IF(K226="","",IFERROR(K226+MATCH("A Liste",INDEX('Veri Merkezi'!$S$2:$S$1001,K226+1):'Veri Merkezi'!$S$1001,0),""))</f>
        <v/>
      </c>
    </row>
    <row r="228" spans="1:11">
      <c r="A228" t="str">
        <f>IF($K228="","",IFERROR(INDEX('Veri Merkezi'!$A$2:$A$1001,$K228),""))</f>
        <v/>
      </c>
      <c r="B228" t="str">
        <f>IF($K228="","",IFERROR(INDEX('Veri Merkezi'!$E$2:$E$1001,$K228),""))</f>
        <v/>
      </c>
      <c r="C228" t="str">
        <f>IF($K228="","",IFERROR(INDEX('Veri Merkezi'!$D$2:$D$1001,$K228),""))</f>
        <v/>
      </c>
      <c r="D228" t="str">
        <f>IF($K228="","",IFERROR(INDEX('Veri Merkezi'!$F$2:$F$1001,$K228),""))</f>
        <v/>
      </c>
      <c r="E228" s="2" t="str">
        <f>IF($K228="","",IFERROR(INDEX('Veri Merkezi'!$G$2:$G$1001,$K228),""))</f>
        <v/>
      </c>
      <c r="F228" t="str">
        <f>IF($K228="","",IFERROR(INDEX('Veri Merkezi'!$H$2:$H$1001,$K228),""))</f>
        <v/>
      </c>
      <c r="G228" t="str">
        <f>IF($K228="","",IFERROR(INDEX('Veri Merkezi'!$R$2:$R$1001,$K228),""))</f>
        <v/>
      </c>
      <c r="H228" t="str">
        <f>IF($K228="","",IFERROR(INDEX('Veri Merkezi'!$S$2:$S$1001,$K228),""))</f>
        <v/>
      </c>
      <c r="I228" s="2" t="str">
        <f>IF($K228="","",IFERROR(INDEX('Veri Merkezi'!$T$2:$T$1001,$K228),""))</f>
        <v/>
      </c>
      <c r="J228" t="str">
        <f>IF($K228="","",IFERROR(INDEX('Veri Merkezi'!$U$2:$U$1001,$K228),""))</f>
        <v/>
      </c>
      <c r="K228" t="str">
        <f>IF(K227="","",IFERROR(K227+MATCH("A Liste",INDEX('Veri Merkezi'!$S$2:$S$1001,K227+1):'Veri Merkezi'!$S$1001,0),""))</f>
        <v/>
      </c>
    </row>
    <row r="229" spans="1:11">
      <c r="A229" t="str">
        <f>IF($K229="","",IFERROR(INDEX('Veri Merkezi'!$A$2:$A$1001,$K229),""))</f>
        <v/>
      </c>
      <c r="B229" t="str">
        <f>IF($K229="","",IFERROR(INDEX('Veri Merkezi'!$E$2:$E$1001,$K229),""))</f>
        <v/>
      </c>
      <c r="C229" t="str">
        <f>IF($K229="","",IFERROR(INDEX('Veri Merkezi'!$D$2:$D$1001,$K229),""))</f>
        <v/>
      </c>
      <c r="D229" t="str">
        <f>IF($K229="","",IFERROR(INDEX('Veri Merkezi'!$F$2:$F$1001,$K229),""))</f>
        <v/>
      </c>
      <c r="E229" s="2" t="str">
        <f>IF($K229="","",IFERROR(INDEX('Veri Merkezi'!$G$2:$G$1001,$K229),""))</f>
        <v/>
      </c>
      <c r="F229" t="str">
        <f>IF($K229="","",IFERROR(INDEX('Veri Merkezi'!$H$2:$H$1001,$K229),""))</f>
        <v/>
      </c>
      <c r="G229" t="str">
        <f>IF($K229="","",IFERROR(INDEX('Veri Merkezi'!$R$2:$R$1001,$K229),""))</f>
        <v/>
      </c>
      <c r="H229" t="str">
        <f>IF($K229="","",IFERROR(INDEX('Veri Merkezi'!$S$2:$S$1001,$K229),""))</f>
        <v/>
      </c>
      <c r="I229" s="2" t="str">
        <f>IF($K229="","",IFERROR(INDEX('Veri Merkezi'!$T$2:$T$1001,$K229),""))</f>
        <v/>
      </c>
      <c r="J229" t="str">
        <f>IF($K229="","",IFERROR(INDEX('Veri Merkezi'!$U$2:$U$1001,$K229),""))</f>
        <v/>
      </c>
      <c r="K229" t="str">
        <f>IF(K228="","",IFERROR(K228+MATCH("A Liste",INDEX('Veri Merkezi'!$S$2:$S$1001,K228+1):'Veri Merkezi'!$S$1001,0),""))</f>
        <v/>
      </c>
    </row>
    <row r="230" spans="1:11">
      <c r="A230" t="str">
        <f>IF($K230="","",IFERROR(INDEX('Veri Merkezi'!$A$2:$A$1001,$K230),""))</f>
        <v/>
      </c>
      <c r="B230" t="str">
        <f>IF($K230="","",IFERROR(INDEX('Veri Merkezi'!$E$2:$E$1001,$K230),""))</f>
        <v/>
      </c>
      <c r="C230" t="str">
        <f>IF($K230="","",IFERROR(INDEX('Veri Merkezi'!$D$2:$D$1001,$K230),""))</f>
        <v/>
      </c>
      <c r="D230" t="str">
        <f>IF($K230="","",IFERROR(INDEX('Veri Merkezi'!$F$2:$F$1001,$K230),""))</f>
        <v/>
      </c>
      <c r="E230" s="2" t="str">
        <f>IF($K230="","",IFERROR(INDEX('Veri Merkezi'!$G$2:$G$1001,$K230),""))</f>
        <v/>
      </c>
      <c r="F230" t="str">
        <f>IF($K230="","",IFERROR(INDEX('Veri Merkezi'!$H$2:$H$1001,$K230),""))</f>
        <v/>
      </c>
      <c r="G230" t="str">
        <f>IF($K230="","",IFERROR(INDEX('Veri Merkezi'!$R$2:$R$1001,$K230),""))</f>
        <v/>
      </c>
      <c r="H230" t="str">
        <f>IF($K230="","",IFERROR(INDEX('Veri Merkezi'!$S$2:$S$1001,$K230),""))</f>
        <v/>
      </c>
      <c r="I230" s="2" t="str">
        <f>IF($K230="","",IFERROR(INDEX('Veri Merkezi'!$T$2:$T$1001,$K230),""))</f>
        <v/>
      </c>
      <c r="J230" t="str">
        <f>IF($K230="","",IFERROR(INDEX('Veri Merkezi'!$U$2:$U$1001,$K230),""))</f>
        <v/>
      </c>
      <c r="K230" t="str">
        <f>IF(K229="","",IFERROR(K229+MATCH("A Liste",INDEX('Veri Merkezi'!$S$2:$S$1001,K229+1):'Veri Merkezi'!$S$1001,0),""))</f>
        <v/>
      </c>
    </row>
    <row r="231" spans="1:11">
      <c r="A231" t="str">
        <f>IF($K231="","",IFERROR(INDEX('Veri Merkezi'!$A$2:$A$1001,$K231),""))</f>
        <v/>
      </c>
      <c r="B231" t="str">
        <f>IF($K231="","",IFERROR(INDEX('Veri Merkezi'!$E$2:$E$1001,$K231),""))</f>
        <v/>
      </c>
      <c r="C231" t="str">
        <f>IF($K231="","",IFERROR(INDEX('Veri Merkezi'!$D$2:$D$1001,$K231),""))</f>
        <v/>
      </c>
      <c r="D231" t="str">
        <f>IF($K231="","",IFERROR(INDEX('Veri Merkezi'!$F$2:$F$1001,$K231),""))</f>
        <v/>
      </c>
      <c r="E231" s="2" t="str">
        <f>IF($K231="","",IFERROR(INDEX('Veri Merkezi'!$G$2:$G$1001,$K231),""))</f>
        <v/>
      </c>
      <c r="F231" t="str">
        <f>IF($K231="","",IFERROR(INDEX('Veri Merkezi'!$H$2:$H$1001,$K231),""))</f>
        <v/>
      </c>
      <c r="G231" t="str">
        <f>IF($K231="","",IFERROR(INDEX('Veri Merkezi'!$R$2:$R$1001,$K231),""))</f>
        <v/>
      </c>
      <c r="H231" t="str">
        <f>IF($K231="","",IFERROR(INDEX('Veri Merkezi'!$S$2:$S$1001,$K231),""))</f>
        <v/>
      </c>
      <c r="I231" s="2" t="str">
        <f>IF($K231="","",IFERROR(INDEX('Veri Merkezi'!$T$2:$T$1001,$K231),""))</f>
        <v/>
      </c>
      <c r="J231" t="str">
        <f>IF($K231="","",IFERROR(INDEX('Veri Merkezi'!$U$2:$U$1001,$K231),""))</f>
        <v/>
      </c>
      <c r="K231" t="str">
        <f>IF(K230="","",IFERROR(K230+MATCH("A Liste",INDEX('Veri Merkezi'!$S$2:$S$1001,K230+1):'Veri Merkezi'!$S$1001,0),""))</f>
        <v/>
      </c>
    </row>
    <row r="232" spans="1:11">
      <c r="A232" t="str">
        <f>IF($K232="","",IFERROR(INDEX('Veri Merkezi'!$A$2:$A$1001,$K232),""))</f>
        <v/>
      </c>
      <c r="B232" t="str">
        <f>IF($K232="","",IFERROR(INDEX('Veri Merkezi'!$E$2:$E$1001,$K232),""))</f>
        <v/>
      </c>
      <c r="C232" t="str">
        <f>IF($K232="","",IFERROR(INDEX('Veri Merkezi'!$D$2:$D$1001,$K232),""))</f>
        <v/>
      </c>
      <c r="D232" t="str">
        <f>IF($K232="","",IFERROR(INDEX('Veri Merkezi'!$F$2:$F$1001,$K232),""))</f>
        <v/>
      </c>
      <c r="E232" s="2" t="str">
        <f>IF($K232="","",IFERROR(INDEX('Veri Merkezi'!$G$2:$G$1001,$K232),""))</f>
        <v/>
      </c>
      <c r="F232" t="str">
        <f>IF($K232="","",IFERROR(INDEX('Veri Merkezi'!$H$2:$H$1001,$K232),""))</f>
        <v/>
      </c>
      <c r="G232" t="str">
        <f>IF($K232="","",IFERROR(INDEX('Veri Merkezi'!$R$2:$R$1001,$K232),""))</f>
        <v/>
      </c>
      <c r="H232" t="str">
        <f>IF($K232="","",IFERROR(INDEX('Veri Merkezi'!$S$2:$S$1001,$K232),""))</f>
        <v/>
      </c>
      <c r="I232" s="2" t="str">
        <f>IF($K232="","",IFERROR(INDEX('Veri Merkezi'!$T$2:$T$1001,$K232),""))</f>
        <v/>
      </c>
      <c r="J232" t="str">
        <f>IF($K232="","",IFERROR(INDEX('Veri Merkezi'!$U$2:$U$1001,$K232),""))</f>
        <v/>
      </c>
      <c r="K232" t="str">
        <f>IF(K231="","",IFERROR(K231+MATCH("A Liste",INDEX('Veri Merkezi'!$S$2:$S$1001,K231+1):'Veri Merkezi'!$S$1001,0),""))</f>
        <v/>
      </c>
    </row>
    <row r="233" spans="1:11">
      <c r="A233" t="str">
        <f>IF($K233="","",IFERROR(INDEX('Veri Merkezi'!$A$2:$A$1001,$K233),""))</f>
        <v/>
      </c>
      <c r="B233" t="str">
        <f>IF($K233="","",IFERROR(INDEX('Veri Merkezi'!$E$2:$E$1001,$K233),""))</f>
        <v/>
      </c>
      <c r="C233" t="str">
        <f>IF($K233="","",IFERROR(INDEX('Veri Merkezi'!$D$2:$D$1001,$K233),""))</f>
        <v/>
      </c>
      <c r="D233" t="str">
        <f>IF($K233="","",IFERROR(INDEX('Veri Merkezi'!$F$2:$F$1001,$K233),""))</f>
        <v/>
      </c>
      <c r="E233" s="2" t="str">
        <f>IF($K233="","",IFERROR(INDEX('Veri Merkezi'!$G$2:$G$1001,$K233),""))</f>
        <v/>
      </c>
      <c r="F233" t="str">
        <f>IF($K233="","",IFERROR(INDEX('Veri Merkezi'!$H$2:$H$1001,$K233),""))</f>
        <v/>
      </c>
      <c r="G233" t="str">
        <f>IF($K233="","",IFERROR(INDEX('Veri Merkezi'!$R$2:$R$1001,$K233),""))</f>
        <v/>
      </c>
      <c r="H233" t="str">
        <f>IF($K233="","",IFERROR(INDEX('Veri Merkezi'!$S$2:$S$1001,$K233),""))</f>
        <v/>
      </c>
      <c r="I233" s="2" t="str">
        <f>IF($K233="","",IFERROR(INDEX('Veri Merkezi'!$T$2:$T$1001,$K233),""))</f>
        <v/>
      </c>
      <c r="J233" t="str">
        <f>IF($K233="","",IFERROR(INDEX('Veri Merkezi'!$U$2:$U$1001,$K233),""))</f>
        <v/>
      </c>
      <c r="K233" t="str">
        <f>IF(K232="","",IFERROR(K232+MATCH("A Liste",INDEX('Veri Merkezi'!$S$2:$S$1001,K232+1):'Veri Merkezi'!$S$1001,0),""))</f>
        <v/>
      </c>
    </row>
    <row r="234" spans="1:11">
      <c r="A234" t="str">
        <f>IF($K234="","",IFERROR(INDEX('Veri Merkezi'!$A$2:$A$1001,$K234),""))</f>
        <v/>
      </c>
      <c r="B234" t="str">
        <f>IF($K234="","",IFERROR(INDEX('Veri Merkezi'!$E$2:$E$1001,$K234),""))</f>
        <v/>
      </c>
      <c r="C234" t="str">
        <f>IF($K234="","",IFERROR(INDEX('Veri Merkezi'!$D$2:$D$1001,$K234),""))</f>
        <v/>
      </c>
      <c r="D234" t="str">
        <f>IF($K234="","",IFERROR(INDEX('Veri Merkezi'!$F$2:$F$1001,$K234),""))</f>
        <v/>
      </c>
      <c r="E234" s="2" t="str">
        <f>IF($K234="","",IFERROR(INDEX('Veri Merkezi'!$G$2:$G$1001,$K234),""))</f>
        <v/>
      </c>
      <c r="F234" t="str">
        <f>IF($K234="","",IFERROR(INDEX('Veri Merkezi'!$H$2:$H$1001,$K234),""))</f>
        <v/>
      </c>
      <c r="G234" t="str">
        <f>IF($K234="","",IFERROR(INDEX('Veri Merkezi'!$R$2:$R$1001,$K234),""))</f>
        <v/>
      </c>
      <c r="H234" t="str">
        <f>IF($K234="","",IFERROR(INDEX('Veri Merkezi'!$S$2:$S$1001,$K234),""))</f>
        <v/>
      </c>
      <c r="I234" s="2" t="str">
        <f>IF($K234="","",IFERROR(INDEX('Veri Merkezi'!$T$2:$T$1001,$K234),""))</f>
        <v/>
      </c>
      <c r="J234" t="str">
        <f>IF($K234="","",IFERROR(INDEX('Veri Merkezi'!$U$2:$U$1001,$K234),""))</f>
        <v/>
      </c>
      <c r="K234" t="str">
        <f>IF(K233="","",IFERROR(K233+MATCH("A Liste",INDEX('Veri Merkezi'!$S$2:$S$1001,K233+1):'Veri Merkezi'!$S$1001,0),""))</f>
        <v/>
      </c>
    </row>
    <row r="235" spans="1:11">
      <c r="A235" t="str">
        <f>IF($K235="","",IFERROR(INDEX('Veri Merkezi'!$A$2:$A$1001,$K235),""))</f>
        <v/>
      </c>
      <c r="B235" t="str">
        <f>IF($K235="","",IFERROR(INDEX('Veri Merkezi'!$E$2:$E$1001,$K235),""))</f>
        <v/>
      </c>
      <c r="C235" t="str">
        <f>IF($K235="","",IFERROR(INDEX('Veri Merkezi'!$D$2:$D$1001,$K235),""))</f>
        <v/>
      </c>
      <c r="D235" t="str">
        <f>IF($K235="","",IFERROR(INDEX('Veri Merkezi'!$F$2:$F$1001,$K235),""))</f>
        <v/>
      </c>
      <c r="E235" s="2" t="str">
        <f>IF($K235="","",IFERROR(INDEX('Veri Merkezi'!$G$2:$G$1001,$K235),""))</f>
        <v/>
      </c>
      <c r="F235" t="str">
        <f>IF($K235="","",IFERROR(INDEX('Veri Merkezi'!$H$2:$H$1001,$K235),""))</f>
        <v/>
      </c>
      <c r="G235" t="str">
        <f>IF($K235="","",IFERROR(INDEX('Veri Merkezi'!$R$2:$R$1001,$K235),""))</f>
        <v/>
      </c>
      <c r="H235" t="str">
        <f>IF($K235="","",IFERROR(INDEX('Veri Merkezi'!$S$2:$S$1001,$K235),""))</f>
        <v/>
      </c>
      <c r="I235" s="2" t="str">
        <f>IF($K235="","",IFERROR(INDEX('Veri Merkezi'!$T$2:$T$1001,$K235),""))</f>
        <v/>
      </c>
      <c r="J235" t="str">
        <f>IF($K235="","",IFERROR(INDEX('Veri Merkezi'!$U$2:$U$1001,$K235),""))</f>
        <v/>
      </c>
      <c r="K235" t="str">
        <f>IF(K234="","",IFERROR(K234+MATCH("A Liste",INDEX('Veri Merkezi'!$S$2:$S$1001,K234+1):'Veri Merkezi'!$S$1001,0),""))</f>
        <v/>
      </c>
    </row>
    <row r="236" spans="1:11">
      <c r="A236" t="str">
        <f>IF($K236="","",IFERROR(INDEX('Veri Merkezi'!$A$2:$A$1001,$K236),""))</f>
        <v/>
      </c>
      <c r="B236" t="str">
        <f>IF($K236="","",IFERROR(INDEX('Veri Merkezi'!$E$2:$E$1001,$K236),""))</f>
        <v/>
      </c>
      <c r="C236" t="str">
        <f>IF($K236="","",IFERROR(INDEX('Veri Merkezi'!$D$2:$D$1001,$K236),""))</f>
        <v/>
      </c>
      <c r="D236" t="str">
        <f>IF($K236="","",IFERROR(INDEX('Veri Merkezi'!$F$2:$F$1001,$K236),""))</f>
        <v/>
      </c>
      <c r="E236" s="2" t="str">
        <f>IF($K236="","",IFERROR(INDEX('Veri Merkezi'!$G$2:$G$1001,$K236),""))</f>
        <v/>
      </c>
      <c r="F236" t="str">
        <f>IF($K236="","",IFERROR(INDEX('Veri Merkezi'!$H$2:$H$1001,$K236),""))</f>
        <v/>
      </c>
      <c r="G236" t="str">
        <f>IF($K236="","",IFERROR(INDEX('Veri Merkezi'!$R$2:$R$1001,$K236),""))</f>
        <v/>
      </c>
      <c r="H236" t="str">
        <f>IF($K236="","",IFERROR(INDEX('Veri Merkezi'!$S$2:$S$1001,$K236),""))</f>
        <v/>
      </c>
      <c r="I236" s="2" t="str">
        <f>IF($K236="","",IFERROR(INDEX('Veri Merkezi'!$T$2:$T$1001,$K236),""))</f>
        <v/>
      </c>
      <c r="J236" t="str">
        <f>IF($K236="","",IFERROR(INDEX('Veri Merkezi'!$U$2:$U$1001,$K236),""))</f>
        <v/>
      </c>
      <c r="K236" t="str">
        <f>IF(K235="","",IFERROR(K235+MATCH("A Liste",INDEX('Veri Merkezi'!$S$2:$S$1001,K235+1):'Veri Merkezi'!$S$1001,0),""))</f>
        <v/>
      </c>
    </row>
    <row r="237" spans="1:11">
      <c r="A237" t="str">
        <f>IF($K237="","",IFERROR(INDEX('Veri Merkezi'!$A$2:$A$1001,$K237),""))</f>
        <v/>
      </c>
      <c r="B237" t="str">
        <f>IF($K237="","",IFERROR(INDEX('Veri Merkezi'!$E$2:$E$1001,$K237),""))</f>
        <v/>
      </c>
      <c r="C237" t="str">
        <f>IF($K237="","",IFERROR(INDEX('Veri Merkezi'!$D$2:$D$1001,$K237),""))</f>
        <v/>
      </c>
      <c r="D237" t="str">
        <f>IF($K237="","",IFERROR(INDEX('Veri Merkezi'!$F$2:$F$1001,$K237),""))</f>
        <v/>
      </c>
      <c r="E237" s="2" t="str">
        <f>IF($K237="","",IFERROR(INDEX('Veri Merkezi'!$G$2:$G$1001,$K237),""))</f>
        <v/>
      </c>
      <c r="F237" t="str">
        <f>IF($K237="","",IFERROR(INDEX('Veri Merkezi'!$H$2:$H$1001,$K237),""))</f>
        <v/>
      </c>
      <c r="G237" t="str">
        <f>IF($K237="","",IFERROR(INDEX('Veri Merkezi'!$R$2:$R$1001,$K237),""))</f>
        <v/>
      </c>
      <c r="H237" t="str">
        <f>IF($K237="","",IFERROR(INDEX('Veri Merkezi'!$S$2:$S$1001,$K237),""))</f>
        <v/>
      </c>
      <c r="I237" s="2" t="str">
        <f>IF($K237="","",IFERROR(INDEX('Veri Merkezi'!$T$2:$T$1001,$K237),""))</f>
        <v/>
      </c>
      <c r="J237" t="str">
        <f>IF($K237="","",IFERROR(INDEX('Veri Merkezi'!$U$2:$U$1001,$K237),""))</f>
        <v/>
      </c>
      <c r="K237" t="str">
        <f>IF(K236="","",IFERROR(K236+MATCH("A Liste",INDEX('Veri Merkezi'!$S$2:$S$1001,K236+1):'Veri Merkezi'!$S$1001,0),""))</f>
        <v/>
      </c>
    </row>
    <row r="238" spans="1:11">
      <c r="A238" t="str">
        <f>IF($K238="","",IFERROR(INDEX('Veri Merkezi'!$A$2:$A$1001,$K238),""))</f>
        <v/>
      </c>
      <c r="B238" t="str">
        <f>IF($K238="","",IFERROR(INDEX('Veri Merkezi'!$E$2:$E$1001,$K238),""))</f>
        <v/>
      </c>
      <c r="C238" t="str">
        <f>IF($K238="","",IFERROR(INDEX('Veri Merkezi'!$D$2:$D$1001,$K238),""))</f>
        <v/>
      </c>
      <c r="D238" t="str">
        <f>IF($K238="","",IFERROR(INDEX('Veri Merkezi'!$F$2:$F$1001,$K238),""))</f>
        <v/>
      </c>
      <c r="E238" s="2" t="str">
        <f>IF($K238="","",IFERROR(INDEX('Veri Merkezi'!$G$2:$G$1001,$K238),""))</f>
        <v/>
      </c>
      <c r="F238" t="str">
        <f>IF($K238="","",IFERROR(INDEX('Veri Merkezi'!$H$2:$H$1001,$K238),""))</f>
        <v/>
      </c>
      <c r="G238" t="str">
        <f>IF($K238="","",IFERROR(INDEX('Veri Merkezi'!$R$2:$R$1001,$K238),""))</f>
        <v/>
      </c>
      <c r="H238" t="str">
        <f>IF($K238="","",IFERROR(INDEX('Veri Merkezi'!$S$2:$S$1001,$K238),""))</f>
        <v/>
      </c>
      <c r="I238" s="2" t="str">
        <f>IF($K238="","",IFERROR(INDEX('Veri Merkezi'!$T$2:$T$1001,$K238),""))</f>
        <v/>
      </c>
      <c r="J238" t="str">
        <f>IF($K238="","",IFERROR(INDEX('Veri Merkezi'!$U$2:$U$1001,$K238),""))</f>
        <v/>
      </c>
      <c r="K238" t="str">
        <f>IF(K237="","",IFERROR(K237+MATCH("A Liste",INDEX('Veri Merkezi'!$S$2:$S$1001,K237+1):'Veri Merkezi'!$S$1001,0),""))</f>
        <v/>
      </c>
    </row>
    <row r="239" spans="1:11">
      <c r="A239" t="str">
        <f>IF($K239="","",IFERROR(INDEX('Veri Merkezi'!$A$2:$A$1001,$K239),""))</f>
        <v/>
      </c>
      <c r="B239" t="str">
        <f>IF($K239="","",IFERROR(INDEX('Veri Merkezi'!$E$2:$E$1001,$K239),""))</f>
        <v/>
      </c>
      <c r="C239" t="str">
        <f>IF($K239="","",IFERROR(INDEX('Veri Merkezi'!$D$2:$D$1001,$K239),""))</f>
        <v/>
      </c>
      <c r="D239" t="str">
        <f>IF($K239="","",IFERROR(INDEX('Veri Merkezi'!$F$2:$F$1001,$K239),""))</f>
        <v/>
      </c>
      <c r="E239" s="2" t="str">
        <f>IF($K239="","",IFERROR(INDEX('Veri Merkezi'!$G$2:$G$1001,$K239),""))</f>
        <v/>
      </c>
      <c r="F239" t="str">
        <f>IF($K239="","",IFERROR(INDEX('Veri Merkezi'!$H$2:$H$1001,$K239),""))</f>
        <v/>
      </c>
      <c r="G239" t="str">
        <f>IF($K239="","",IFERROR(INDEX('Veri Merkezi'!$R$2:$R$1001,$K239),""))</f>
        <v/>
      </c>
      <c r="H239" t="str">
        <f>IF($K239="","",IFERROR(INDEX('Veri Merkezi'!$S$2:$S$1001,$K239),""))</f>
        <v/>
      </c>
      <c r="I239" s="2" t="str">
        <f>IF($K239="","",IFERROR(INDEX('Veri Merkezi'!$T$2:$T$1001,$K239),""))</f>
        <v/>
      </c>
      <c r="J239" t="str">
        <f>IF($K239="","",IFERROR(INDEX('Veri Merkezi'!$U$2:$U$1001,$K239),""))</f>
        <v/>
      </c>
      <c r="K239" t="str">
        <f>IF(K238="","",IFERROR(K238+MATCH("A Liste",INDEX('Veri Merkezi'!$S$2:$S$1001,K238+1):'Veri Merkezi'!$S$1001,0),""))</f>
        <v/>
      </c>
    </row>
    <row r="240" spans="1:11">
      <c r="A240" t="str">
        <f>IF($K240="","",IFERROR(INDEX('Veri Merkezi'!$A$2:$A$1001,$K240),""))</f>
        <v/>
      </c>
      <c r="B240" t="str">
        <f>IF($K240="","",IFERROR(INDEX('Veri Merkezi'!$E$2:$E$1001,$K240),""))</f>
        <v/>
      </c>
      <c r="C240" t="str">
        <f>IF($K240="","",IFERROR(INDEX('Veri Merkezi'!$D$2:$D$1001,$K240),""))</f>
        <v/>
      </c>
      <c r="D240" t="str">
        <f>IF($K240="","",IFERROR(INDEX('Veri Merkezi'!$F$2:$F$1001,$K240),""))</f>
        <v/>
      </c>
      <c r="E240" s="2" t="str">
        <f>IF($K240="","",IFERROR(INDEX('Veri Merkezi'!$G$2:$G$1001,$K240),""))</f>
        <v/>
      </c>
      <c r="F240" t="str">
        <f>IF($K240="","",IFERROR(INDEX('Veri Merkezi'!$H$2:$H$1001,$K240),""))</f>
        <v/>
      </c>
      <c r="G240" t="str">
        <f>IF($K240="","",IFERROR(INDEX('Veri Merkezi'!$R$2:$R$1001,$K240),""))</f>
        <v/>
      </c>
      <c r="H240" t="str">
        <f>IF($K240="","",IFERROR(INDEX('Veri Merkezi'!$S$2:$S$1001,$K240),""))</f>
        <v/>
      </c>
      <c r="I240" s="2" t="str">
        <f>IF($K240="","",IFERROR(INDEX('Veri Merkezi'!$T$2:$T$1001,$K240),""))</f>
        <v/>
      </c>
      <c r="J240" t="str">
        <f>IF($K240="","",IFERROR(INDEX('Veri Merkezi'!$U$2:$U$1001,$K240),""))</f>
        <v/>
      </c>
      <c r="K240" t="str">
        <f>IF(K239="","",IFERROR(K239+MATCH("A Liste",INDEX('Veri Merkezi'!$S$2:$S$1001,K239+1):'Veri Merkezi'!$S$1001,0),""))</f>
        <v/>
      </c>
    </row>
    <row r="241" spans="1:11">
      <c r="A241" t="str">
        <f>IF($K241="","",IFERROR(INDEX('Veri Merkezi'!$A$2:$A$1001,$K241),""))</f>
        <v/>
      </c>
      <c r="B241" t="str">
        <f>IF($K241="","",IFERROR(INDEX('Veri Merkezi'!$E$2:$E$1001,$K241),""))</f>
        <v/>
      </c>
      <c r="C241" t="str">
        <f>IF($K241="","",IFERROR(INDEX('Veri Merkezi'!$D$2:$D$1001,$K241),""))</f>
        <v/>
      </c>
      <c r="D241" t="str">
        <f>IF($K241="","",IFERROR(INDEX('Veri Merkezi'!$F$2:$F$1001,$K241),""))</f>
        <v/>
      </c>
      <c r="E241" s="2" t="str">
        <f>IF($K241="","",IFERROR(INDEX('Veri Merkezi'!$G$2:$G$1001,$K241),""))</f>
        <v/>
      </c>
      <c r="F241" t="str">
        <f>IF($K241="","",IFERROR(INDEX('Veri Merkezi'!$H$2:$H$1001,$K241),""))</f>
        <v/>
      </c>
      <c r="G241" t="str">
        <f>IF($K241="","",IFERROR(INDEX('Veri Merkezi'!$R$2:$R$1001,$K241),""))</f>
        <v/>
      </c>
      <c r="H241" t="str">
        <f>IF($K241="","",IFERROR(INDEX('Veri Merkezi'!$S$2:$S$1001,$K241),""))</f>
        <v/>
      </c>
      <c r="I241" s="2" t="str">
        <f>IF($K241="","",IFERROR(INDEX('Veri Merkezi'!$T$2:$T$1001,$K241),""))</f>
        <v/>
      </c>
      <c r="J241" t="str">
        <f>IF($K241="","",IFERROR(INDEX('Veri Merkezi'!$U$2:$U$1001,$K241),""))</f>
        <v/>
      </c>
      <c r="K241" t="str">
        <f>IF(K240="","",IFERROR(K240+MATCH("A Liste",INDEX('Veri Merkezi'!$S$2:$S$1001,K240+1):'Veri Merkezi'!$S$1001,0),""))</f>
        <v/>
      </c>
    </row>
    <row r="242" spans="1:11">
      <c r="A242" t="str">
        <f>IF($K242="","",IFERROR(INDEX('Veri Merkezi'!$A$2:$A$1001,$K242),""))</f>
        <v/>
      </c>
      <c r="B242" t="str">
        <f>IF($K242="","",IFERROR(INDEX('Veri Merkezi'!$E$2:$E$1001,$K242),""))</f>
        <v/>
      </c>
      <c r="C242" t="str">
        <f>IF($K242="","",IFERROR(INDEX('Veri Merkezi'!$D$2:$D$1001,$K242),""))</f>
        <v/>
      </c>
      <c r="D242" t="str">
        <f>IF($K242="","",IFERROR(INDEX('Veri Merkezi'!$F$2:$F$1001,$K242),""))</f>
        <v/>
      </c>
      <c r="E242" s="2" t="str">
        <f>IF($K242="","",IFERROR(INDEX('Veri Merkezi'!$G$2:$G$1001,$K242),""))</f>
        <v/>
      </c>
      <c r="F242" t="str">
        <f>IF($K242="","",IFERROR(INDEX('Veri Merkezi'!$H$2:$H$1001,$K242),""))</f>
        <v/>
      </c>
      <c r="G242" t="str">
        <f>IF($K242="","",IFERROR(INDEX('Veri Merkezi'!$R$2:$R$1001,$K242),""))</f>
        <v/>
      </c>
      <c r="H242" t="str">
        <f>IF($K242="","",IFERROR(INDEX('Veri Merkezi'!$S$2:$S$1001,$K242),""))</f>
        <v/>
      </c>
      <c r="I242" s="2" t="str">
        <f>IF($K242="","",IFERROR(INDEX('Veri Merkezi'!$T$2:$T$1001,$K242),""))</f>
        <v/>
      </c>
      <c r="J242" t="str">
        <f>IF($K242="","",IFERROR(INDEX('Veri Merkezi'!$U$2:$U$1001,$K242),""))</f>
        <v/>
      </c>
      <c r="K242" t="str">
        <f>IF(K241="","",IFERROR(K241+MATCH("A Liste",INDEX('Veri Merkezi'!$S$2:$S$1001,K241+1):'Veri Merkezi'!$S$1001,0),""))</f>
        <v/>
      </c>
    </row>
    <row r="243" spans="1:11">
      <c r="A243" t="str">
        <f>IF($K243="","",IFERROR(INDEX('Veri Merkezi'!$A$2:$A$1001,$K243),""))</f>
        <v/>
      </c>
      <c r="B243" t="str">
        <f>IF($K243="","",IFERROR(INDEX('Veri Merkezi'!$E$2:$E$1001,$K243),""))</f>
        <v/>
      </c>
      <c r="C243" t="str">
        <f>IF($K243="","",IFERROR(INDEX('Veri Merkezi'!$D$2:$D$1001,$K243),""))</f>
        <v/>
      </c>
      <c r="D243" t="str">
        <f>IF($K243="","",IFERROR(INDEX('Veri Merkezi'!$F$2:$F$1001,$K243),""))</f>
        <v/>
      </c>
      <c r="E243" s="2" t="str">
        <f>IF($K243="","",IFERROR(INDEX('Veri Merkezi'!$G$2:$G$1001,$K243),""))</f>
        <v/>
      </c>
      <c r="F243" t="str">
        <f>IF($K243="","",IFERROR(INDEX('Veri Merkezi'!$H$2:$H$1001,$K243),""))</f>
        <v/>
      </c>
      <c r="G243" t="str">
        <f>IF($K243="","",IFERROR(INDEX('Veri Merkezi'!$R$2:$R$1001,$K243),""))</f>
        <v/>
      </c>
      <c r="H243" t="str">
        <f>IF($K243="","",IFERROR(INDEX('Veri Merkezi'!$S$2:$S$1001,$K243),""))</f>
        <v/>
      </c>
      <c r="I243" s="2" t="str">
        <f>IF($K243="","",IFERROR(INDEX('Veri Merkezi'!$T$2:$T$1001,$K243),""))</f>
        <v/>
      </c>
      <c r="J243" t="str">
        <f>IF($K243="","",IFERROR(INDEX('Veri Merkezi'!$U$2:$U$1001,$K243),""))</f>
        <v/>
      </c>
      <c r="K243" t="str">
        <f>IF(K242="","",IFERROR(K242+MATCH("A Liste",INDEX('Veri Merkezi'!$S$2:$S$1001,K242+1):'Veri Merkezi'!$S$1001,0),""))</f>
        <v/>
      </c>
    </row>
    <row r="244" spans="1:11">
      <c r="A244" t="str">
        <f>IF($K244="","",IFERROR(INDEX('Veri Merkezi'!$A$2:$A$1001,$K244),""))</f>
        <v/>
      </c>
      <c r="B244" t="str">
        <f>IF($K244="","",IFERROR(INDEX('Veri Merkezi'!$E$2:$E$1001,$K244),""))</f>
        <v/>
      </c>
      <c r="C244" t="str">
        <f>IF($K244="","",IFERROR(INDEX('Veri Merkezi'!$D$2:$D$1001,$K244),""))</f>
        <v/>
      </c>
      <c r="D244" t="str">
        <f>IF($K244="","",IFERROR(INDEX('Veri Merkezi'!$F$2:$F$1001,$K244),""))</f>
        <v/>
      </c>
      <c r="E244" s="2" t="str">
        <f>IF($K244="","",IFERROR(INDEX('Veri Merkezi'!$G$2:$G$1001,$K244),""))</f>
        <v/>
      </c>
      <c r="F244" t="str">
        <f>IF($K244="","",IFERROR(INDEX('Veri Merkezi'!$H$2:$H$1001,$K244),""))</f>
        <v/>
      </c>
      <c r="G244" t="str">
        <f>IF($K244="","",IFERROR(INDEX('Veri Merkezi'!$R$2:$R$1001,$K244),""))</f>
        <v/>
      </c>
      <c r="H244" t="str">
        <f>IF($K244="","",IFERROR(INDEX('Veri Merkezi'!$S$2:$S$1001,$K244),""))</f>
        <v/>
      </c>
      <c r="I244" s="2" t="str">
        <f>IF($K244="","",IFERROR(INDEX('Veri Merkezi'!$T$2:$T$1001,$K244),""))</f>
        <v/>
      </c>
      <c r="J244" t="str">
        <f>IF($K244="","",IFERROR(INDEX('Veri Merkezi'!$U$2:$U$1001,$K244),""))</f>
        <v/>
      </c>
      <c r="K244" t="str">
        <f>IF(K243="","",IFERROR(K243+MATCH("A Liste",INDEX('Veri Merkezi'!$S$2:$S$1001,K243+1):'Veri Merkezi'!$S$1001,0),""))</f>
        <v/>
      </c>
    </row>
    <row r="245" spans="1:11">
      <c r="A245" t="str">
        <f>IF($K245="","",IFERROR(INDEX('Veri Merkezi'!$A$2:$A$1001,$K245),""))</f>
        <v/>
      </c>
      <c r="B245" t="str">
        <f>IF($K245="","",IFERROR(INDEX('Veri Merkezi'!$E$2:$E$1001,$K245),""))</f>
        <v/>
      </c>
      <c r="C245" t="str">
        <f>IF($K245="","",IFERROR(INDEX('Veri Merkezi'!$D$2:$D$1001,$K245),""))</f>
        <v/>
      </c>
      <c r="D245" t="str">
        <f>IF($K245="","",IFERROR(INDEX('Veri Merkezi'!$F$2:$F$1001,$K245),""))</f>
        <v/>
      </c>
      <c r="E245" s="2" t="str">
        <f>IF($K245="","",IFERROR(INDEX('Veri Merkezi'!$G$2:$G$1001,$K245),""))</f>
        <v/>
      </c>
      <c r="F245" t="str">
        <f>IF($K245="","",IFERROR(INDEX('Veri Merkezi'!$H$2:$H$1001,$K245),""))</f>
        <v/>
      </c>
      <c r="G245" t="str">
        <f>IF($K245="","",IFERROR(INDEX('Veri Merkezi'!$R$2:$R$1001,$K245),""))</f>
        <v/>
      </c>
      <c r="H245" t="str">
        <f>IF($K245="","",IFERROR(INDEX('Veri Merkezi'!$S$2:$S$1001,$K245),""))</f>
        <v/>
      </c>
      <c r="I245" s="2" t="str">
        <f>IF($K245="","",IFERROR(INDEX('Veri Merkezi'!$T$2:$T$1001,$K245),""))</f>
        <v/>
      </c>
      <c r="J245" t="str">
        <f>IF($K245="","",IFERROR(INDEX('Veri Merkezi'!$U$2:$U$1001,$K245),""))</f>
        <v/>
      </c>
      <c r="K245" t="str">
        <f>IF(K244="","",IFERROR(K244+MATCH("A Liste",INDEX('Veri Merkezi'!$S$2:$S$1001,K244+1):'Veri Merkezi'!$S$1001,0),""))</f>
        <v/>
      </c>
    </row>
    <row r="246" spans="1:11">
      <c r="A246" t="str">
        <f>IF($K246="","",IFERROR(INDEX('Veri Merkezi'!$A$2:$A$1001,$K246),""))</f>
        <v/>
      </c>
      <c r="B246" t="str">
        <f>IF($K246="","",IFERROR(INDEX('Veri Merkezi'!$E$2:$E$1001,$K246),""))</f>
        <v/>
      </c>
      <c r="C246" t="str">
        <f>IF($K246="","",IFERROR(INDEX('Veri Merkezi'!$D$2:$D$1001,$K246),""))</f>
        <v/>
      </c>
      <c r="D246" t="str">
        <f>IF($K246="","",IFERROR(INDEX('Veri Merkezi'!$F$2:$F$1001,$K246),""))</f>
        <v/>
      </c>
      <c r="E246" s="2" t="str">
        <f>IF($K246="","",IFERROR(INDEX('Veri Merkezi'!$G$2:$G$1001,$K246),""))</f>
        <v/>
      </c>
      <c r="F246" t="str">
        <f>IF($K246="","",IFERROR(INDEX('Veri Merkezi'!$H$2:$H$1001,$K246),""))</f>
        <v/>
      </c>
      <c r="G246" t="str">
        <f>IF($K246="","",IFERROR(INDEX('Veri Merkezi'!$R$2:$R$1001,$K246),""))</f>
        <v/>
      </c>
      <c r="H246" t="str">
        <f>IF($K246="","",IFERROR(INDEX('Veri Merkezi'!$S$2:$S$1001,$K246),""))</f>
        <v/>
      </c>
      <c r="I246" s="2" t="str">
        <f>IF($K246="","",IFERROR(INDEX('Veri Merkezi'!$T$2:$T$1001,$K246),""))</f>
        <v/>
      </c>
      <c r="J246" t="str">
        <f>IF($K246="","",IFERROR(INDEX('Veri Merkezi'!$U$2:$U$1001,$K246),""))</f>
        <v/>
      </c>
      <c r="K246" t="str">
        <f>IF(K245="","",IFERROR(K245+MATCH("A Liste",INDEX('Veri Merkezi'!$S$2:$S$1001,K245+1):'Veri Merkezi'!$S$1001,0),""))</f>
        <v/>
      </c>
    </row>
    <row r="247" spans="1:11">
      <c r="A247" t="str">
        <f>IF($K247="","",IFERROR(INDEX('Veri Merkezi'!$A$2:$A$1001,$K247),""))</f>
        <v/>
      </c>
      <c r="B247" t="str">
        <f>IF($K247="","",IFERROR(INDEX('Veri Merkezi'!$E$2:$E$1001,$K247),""))</f>
        <v/>
      </c>
      <c r="C247" t="str">
        <f>IF($K247="","",IFERROR(INDEX('Veri Merkezi'!$D$2:$D$1001,$K247),""))</f>
        <v/>
      </c>
      <c r="D247" t="str">
        <f>IF($K247="","",IFERROR(INDEX('Veri Merkezi'!$F$2:$F$1001,$K247),""))</f>
        <v/>
      </c>
      <c r="E247" s="2" t="str">
        <f>IF($K247="","",IFERROR(INDEX('Veri Merkezi'!$G$2:$G$1001,$K247),""))</f>
        <v/>
      </c>
      <c r="F247" t="str">
        <f>IF($K247="","",IFERROR(INDEX('Veri Merkezi'!$H$2:$H$1001,$K247),""))</f>
        <v/>
      </c>
      <c r="G247" t="str">
        <f>IF($K247="","",IFERROR(INDEX('Veri Merkezi'!$R$2:$R$1001,$K247),""))</f>
        <v/>
      </c>
      <c r="H247" t="str">
        <f>IF($K247="","",IFERROR(INDEX('Veri Merkezi'!$S$2:$S$1001,$K247),""))</f>
        <v/>
      </c>
      <c r="I247" s="2" t="str">
        <f>IF($K247="","",IFERROR(INDEX('Veri Merkezi'!$T$2:$T$1001,$K247),""))</f>
        <v/>
      </c>
      <c r="J247" t="str">
        <f>IF($K247="","",IFERROR(INDEX('Veri Merkezi'!$U$2:$U$1001,$K247),""))</f>
        <v/>
      </c>
      <c r="K247" t="str">
        <f>IF(K246="","",IFERROR(K246+MATCH("A Liste",INDEX('Veri Merkezi'!$S$2:$S$1001,K246+1):'Veri Merkezi'!$S$1001,0),""))</f>
        <v/>
      </c>
    </row>
    <row r="248" spans="1:11">
      <c r="A248" t="str">
        <f>IF($K248="","",IFERROR(INDEX('Veri Merkezi'!$A$2:$A$1001,$K248),""))</f>
        <v/>
      </c>
      <c r="B248" t="str">
        <f>IF($K248="","",IFERROR(INDEX('Veri Merkezi'!$E$2:$E$1001,$K248),""))</f>
        <v/>
      </c>
      <c r="C248" t="str">
        <f>IF($K248="","",IFERROR(INDEX('Veri Merkezi'!$D$2:$D$1001,$K248),""))</f>
        <v/>
      </c>
      <c r="D248" t="str">
        <f>IF($K248="","",IFERROR(INDEX('Veri Merkezi'!$F$2:$F$1001,$K248),""))</f>
        <v/>
      </c>
      <c r="E248" s="2" t="str">
        <f>IF($K248="","",IFERROR(INDEX('Veri Merkezi'!$G$2:$G$1001,$K248),""))</f>
        <v/>
      </c>
      <c r="F248" t="str">
        <f>IF($K248="","",IFERROR(INDEX('Veri Merkezi'!$H$2:$H$1001,$K248),""))</f>
        <v/>
      </c>
      <c r="G248" t="str">
        <f>IF($K248="","",IFERROR(INDEX('Veri Merkezi'!$R$2:$R$1001,$K248),""))</f>
        <v/>
      </c>
      <c r="H248" t="str">
        <f>IF($K248="","",IFERROR(INDEX('Veri Merkezi'!$S$2:$S$1001,$K248),""))</f>
        <v/>
      </c>
      <c r="I248" s="2" t="str">
        <f>IF($K248="","",IFERROR(INDEX('Veri Merkezi'!$T$2:$T$1001,$K248),""))</f>
        <v/>
      </c>
      <c r="J248" t="str">
        <f>IF($K248="","",IFERROR(INDEX('Veri Merkezi'!$U$2:$U$1001,$K248),""))</f>
        <v/>
      </c>
      <c r="K248" t="str">
        <f>IF(K247="","",IFERROR(K247+MATCH("A Liste",INDEX('Veri Merkezi'!$S$2:$S$1001,K247+1):'Veri Merkezi'!$S$1001,0),""))</f>
        <v/>
      </c>
    </row>
    <row r="249" spans="1:11">
      <c r="A249" t="str">
        <f>IF($K249="","",IFERROR(INDEX('Veri Merkezi'!$A$2:$A$1001,$K249),""))</f>
        <v/>
      </c>
      <c r="B249" t="str">
        <f>IF($K249="","",IFERROR(INDEX('Veri Merkezi'!$E$2:$E$1001,$K249),""))</f>
        <v/>
      </c>
      <c r="C249" t="str">
        <f>IF($K249="","",IFERROR(INDEX('Veri Merkezi'!$D$2:$D$1001,$K249),""))</f>
        <v/>
      </c>
      <c r="D249" t="str">
        <f>IF($K249="","",IFERROR(INDEX('Veri Merkezi'!$F$2:$F$1001,$K249),""))</f>
        <v/>
      </c>
      <c r="E249" s="2" t="str">
        <f>IF($K249="","",IFERROR(INDEX('Veri Merkezi'!$G$2:$G$1001,$K249),""))</f>
        <v/>
      </c>
      <c r="F249" t="str">
        <f>IF($K249="","",IFERROR(INDEX('Veri Merkezi'!$H$2:$H$1001,$K249),""))</f>
        <v/>
      </c>
      <c r="G249" t="str">
        <f>IF($K249="","",IFERROR(INDEX('Veri Merkezi'!$R$2:$R$1001,$K249),""))</f>
        <v/>
      </c>
      <c r="H249" t="str">
        <f>IF($K249="","",IFERROR(INDEX('Veri Merkezi'!$S$2:$S$1001,$K249),""))</f>
        <v/>
      </c>
      <c r="I249" s="2" t="str">
        <f>IF($K249="","",IFERROR(INDEX('Veri Merkezi'!$T$2:$T$1001,$K249),""))</f>
        <v/>
      </c>
      <c r="J249" t="str">
        <f>IF($K249="","",IFERROR(INDEX('Veri Merkezi'!$U$2:$U$1001,$K249),""))</f>
        <v/>
      </c>
      <c r="K249" t="str">
        <f>IF(K248="","",IFERROR(K248+MATCH("A Liste",INDEX('Veri Merkezi'!$S$2:$S$1001,K248+1):'Veri Merkezi'!$S$1001,0),""))</f>
        <v/>
      </c>
    </row>
    <row r="250" spans="1:11">
      <c r="A250" t="str">
        <f>IF($K250="","",IFERROR(INDEX('Veri Merkezi'!$A$2:$A$1001,$K250),""))</f>
        <v/>
      </c>
      <c r="B250" t="str">
        <f>IF($K250="","",IFERROR(INDEX('Veri Merkezi'!$E$2:$E$1001,$K250),""))</f>
        <v/>
      </c>
      <c r="C250" t="str">
        <f>IF($K250="","",IFERROR(INDEX('Veri Merkezi'!$D$2:$D$1001,$K250),""))</f>
        <v/>
      </c>
      <c r="D250" t="str">
        <f>IF($K250="","",IFERROR(INDEX('Veri Merkezi'!$F$2:$F$1001,$K250),""))</f>
        <v/>
      </c>
      <c r="E250" s="2" t="str">
        <f>IF($K250="","",IFERROR(INDEX('Veri Merkezi'!$G$2:$G$1001,$K250),""))</f>
        <v/>
      </c>
      <c r="F250" t="str">
        <f>IF($K250="","",IFERROR(INDEX('Veri Merkezi'!$H$2:$H$1001,$K250),""))</f>
        <v/>
      </c>
      <c r="G250" t="str">
        <f>IF($K250="","",IFERROR(INDEX('Veri Merkezi'!$R$2:$R$1001,$K250),""))</f>
        <v/>
      </c>
      <c r="H250" t="str">
        <f>IF($K250="","",IFERROR(INDEX('Veri Merkezi'!$S$2:$S$1001,$K250),""))</f>
        <v/>
      </c>
      <c r="I250" s="2" t="str">
        <f>IF($K250="","",IFERROR(INDEX('Veri Merkezi'!$T$2:$T$1001,$K250),""))</f>
        <v/>
      </c>
      <c r="J250" t="str">
        <f>IF($K250="","",IFERROR(INDEX('Veri Merkezi'!$U$2:$U$1001,$K250),""))</f>
        <v/>
      </c>
      <c r="K250" t="str">
        <f>IF(K249="","",IFERROR(K249+MATCH("A Liste",INDEX('Veri Merkezi'!$S$2:$S$1001,K249+1):'Veri Merkezi'!$S$1001,0),""))</f>
        <v/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0"/>
  <sheetViews>
    <sheetView workbookViewId="0">
      <selection sqref="A1:J1"/>
    </sheetView>
  </sheetViews>
  <sheetFormatPr baseColWidth="10" defaultColWidth="8.83203125" defaultRowHeight="14"/>
  <cols>
    <col min="1" max="1" width="24" customWidth="1"/>
    <col min="2" max="2" width="16" customWidth="1"/>
    <col min="3" max="3" width="8" customWidth="1"/>
    <col min="4" max="4" width="20" customWidth="1"/>
    <col min="5" max="5" width="16" customWidth="1"/>
    <col min="6" max="6" width="11" customWidth="1"/>
    <col min="7" max="7" width="12" customWidth="1"/>
    <col min="8" max="9" width="14" customWidth="1"/>
    <col min="10" max="10" width="24" customWidth="1"/>
    <col min="11" max="11" width="13" hidden="1" customWidth="1"/>
  </cols>
  <sheetData>
    <row r="1" spans="1:11" ht="21" customHeight="1">
      <c r="A1" s="94" t="s">
        <v>183</v>
      </c>
      <c r="B1" s="68"/>
      <c r="C1" s="68"/>
      <c r="D1" s="68"/>
      <c r="E1" s="68"/>
      <c r="F1" s="68"/>
      <c r="G1" s="68"/>
      <c r="H1" s="68"/>
      <c r="I1" s="68"/>
      <c r="J1" s="68"/>
    </row>
    <row r="3" spans="1:11" ht="16" customHeight="1">
      <c r="A3" s="30" t="s">
        <v>1</v>
      </c>
      <c r="B3" s="30" t="s">
        <v>5</v>
      </c>
      <c r="C3" s="30" t="s">
        <v>4</v>
      </c>
      <c r="D3" s="30" t="s">
        <v>7</v>
      </c>
      <c r="E3" s="30" t="s">
        <v>175</v>
      </c>
      <c r="F3" s="30" t="s">
        <v>9</v>
      </c>
      <c r="G3" s="30" t="s">
        <v>19</v>
      </c>
      <c r="H3" s="30" t="s">
        <v>20</v>
      </c>
      <c r="I3" s="30" t="s">
        <v>21</v>
      </c>
      <c r="J3" s="30" t="s">
        <v>182</v>
      </c>
    </row>
    <row r="4" spans="1:11">
      <c r="A4" t="str">
        <f>IF($K4="","",IFERROR(INDEX('Veri Merkezi'!$A$2:$A$1001,$K4),""))</f>
        <v>FEDERICO GOTTONI</v>
      </c>
      <c r="B4" t="str">
        <f>IF($K4="","",IFERROR(INDEX('Veri Merkezi'!$E$2:$E$1001,$K4),""))</f>
        <v>Stoper</v>
      </c>
      <c r="C4">
        <f ca="1">IF($K4="","",IFERROR(INDEX('Veri Merkezi'!$D$2:$D$1001,$K4),""))</f>
        <v>27</v>
      </c>
      <c r="D4" t="str">
        <f>IF($K4="","",IFERROR(INDEX('Veri Merkezi'!$F$2:$F$1001,$K4),""))</f>
        <v>ASCOLI</v>
      </c>
      <c r="E4" s="2">
        <f>IF($K4="","",IFERROR(INDEX('Veri Merkezi'!$G$2:$G$1001,$K4),""))</f>
        <v>46568</v>
      </c>
      <c r="F4" t="str">
        <f>IF($K4="","",IFERROR(INDEX('Veri Merkezi'!$H$2:$H$1001,$K4),""))</f>
        <v>Sarı</v>
      </c>
      <c r="G4" t="str">
        <f>IF($K4="","",IFERROR(INDEX('Veri Merkezi'!$R$2:$R$1001,$K4),""))</f>
        <v/>
      </c>
      <c r="H4" t="str">
        <f>IF($K4="","",IFERROR(INDEX('Veri Merkezi'!$S$2:$S$1001,$K4),""))</f>
        <v>B Liste</v>
      </c>
      <c r="I4" s="2" t="str">
        <f>IF($K4="","",IFERROR(INDEX('Veri Merkezi'!$T$2:$T$1001,$K4),""))</f>
        <v/>
      </c>
      <c r="J4" t="str">
        <f>IF($K4="","",IFERROR(INDEX('Veri Merkezi'!$U$2:$U$1001,$K4),""))</f>
        <v>Stoperler</v>
      </c>
      <c r="K4">
        <f>IFERROR(MATCH("B Liste",'Veri Merkezi'!$S$2:$S$1001,0),"")</f>
        <v>101</v>
      </c>
    </row>
    <row r="5" spans="1:11">
      <c r="A5" t="str">
        <f>IF($K5="","",IFERROR(INDEX('Veri Merkezi'!$A$2:$A$1001,$K5),""))</f>
        <v>MİLOS VELJKOVİC</v>
      </c>
      <c r="B5" t="str">
        <f>IF($K5="","",IFERROR(INDEX('Veri Merkezi'!$E$2:$E$1001,$K5),""))</f>
        <v>Stoper</v>
      </c>
      <c r="C5">
        <f ca="1">IF($K5="","",IFERROR(INDEX('Veri Merkezi'!$D$2:$D$1001,$K5),""))</f>
        <v>31</v>
      </c>
      <c r="D5" t="str">
        <f>IF($K5="","",IFERROR(INDEX('Veri Merkezi'!$F$2:$F$1001,$K5),""))</f>
        <v>KIZILYILDIZ</v>
      </c>
      <c r="E5" s="2">
        <f>IF($K5="","",IFERROR(INDEX('Veri Merkezi'!$G$2:$G$1001,$K5),""))</f>
        <v>46934</v>
      </c>
      <c r="F5" t="str">
        <f>IF($K5="","",IFERROR(INDEX('Veri Merkezi'!$H$2:$H$1001,$K5),""))</f>
        <v>Sarı</v>
      </c>
      <c r="G5" t="str">
        <f>IF($K5="","",IFERROR(INDEX('Veri Merkezi'!$R$2:$R$1001,$K5),""))</f>
        <v/>
      </c>
      <c r="H5" t="str">
        <f>IF($K5="","",IFERROR(INDEX('Veri Merkezi'!$S$2:$S$1001,$K5),""))</f>
        <v>B Liste</v>
      </c>
      <c r="I5" s="2" t="str">
        <f>IF($K5="","",IFERROR(INDEX('Veri Merkezi'!$T$2:$T$1001,$K5),""))</f>
        <v/>
      </c>
      <c r="J5" t="str">
        <f>IF($K5="","",IFERROR(INDEX('Veri Merkezi'!$U$2:$U$1001,$K5),""))</f>
        <v>Stoperler</v>
      </c>
      <c r="K5">
        <f>IF(K4="","",IFERROR(K4+MATCH("B Liste",INDEX('Veri Merkezi'!$S$2:$S$1001,K4+1):'Veri Merkezi'!$S$1001,0),""))</f>
        <v>106</v>
      </c>
    </row>
    <row r="6" spans="1:11">
      <c r="A6" t="str">
        <f>IF($K6="","",IFERROR(INDEX('Veri Merkezi'!$A$2:$A$1001,$K6),""))</f>
        <v>SOHAIB NAIR</v>
      </c>
      <c r="B6" t="str">
        <f>IF($K6="","",IFERROR(INDEX('Veri Merkezi'!$E$2:$E$1001,$K6),""))</f>
        <v>Stoper</v>
      </c>
      <c r="C6">
        <f ca="1">IF($K6="","",IFERROR(INDEX('Veri Merkezi'!$D$2:$D$1001,$K6),""))</f>
        <v>24</v>
      </c>
      <c r="D6" t="str">
        <f>IF($K6="","",IFERROR(INDEX('Veri Merkezi'!$F$2:$F$1001,$K6),""))</f>
        <v>ST.ETTIEN</v>
      </c>
      <c r="E6" s="2">
        <f>IF($K6="","",IFERROR(INDEX('Veri Merkezi'!$G$2:$G$1001,$K6),""))</f>
        <v>47664</v>
      </c>
      <c r="F6" t="str">
        <f>IF($K6="","",IFERROR(INDEX('Veri Merkezi'!$H$2:$H$1001,$K6),""))</f>
        <v>Yeşil</v>
      </c>
      <c r="G6" t="str">
        <f>IF($K6="","",IFERROR(INDEX('Veri Merkezi'!$R$2:$R$1001,$K6),""))</f>
        <v/>
      </c>
      <c r="H6" t="str">
        <f>IF($K6="","",IFERROR(INDEX('Veri Merkezi'!$S$2:$S$1001,$K6),""))</f>
        <v>B Liste</v>
      </c>
      <c r="I6" s="2" t="str">
        <f>IF($K6="","",IFERROR(INDEX('Veri Merkezi'!$T$2:$T$1001,$K6),""))</f>
        <v/>
      </c>
      <c r="J6" t="str">
        <f>IF($K6="","",IFERROR(INDEX('Veri Merkezi'!$U$2:$U$1001,$K6),""))</f>
        <v>Stoperler</v>
      </c>
      <c r="K6">
        <f>IF(K5="","",IFERROR(K5+MATCH("B Liste",INDEX('Veri Merkezi'!$S$2:$S$1001,K5+1):'Veri Merkezi'!$S$1001,0),""))</f>
        <v>108</v>
      </c>
    </row>
    <row r="7" spans="1:11">
      <c r="A7" t="str">
        <f>IF($K7="","",IFERROR(INDEX('Veri Merkezi'!$A$2:$A$1001,$K7),""))</f>
        <v>AXEL TUANZEBE</v>
      </c>
      <c r="B7" t="str">
        <f>IF($K7="","",IFERROR(INDEX('Veri Merkezi'!$E$2:$E$1001,$K7),""))</f>
        <v>Stoper</v>
      </c>
      <c r="C7">
        <f ca="1">IF($K7="","",IFERROR(INDEX('Veri Merkezi'!$D$2:$D$1001,$K7),""))</f>
        <v>28</v>
      </c>
      <c r="D7" t="str">
        <f>IF($K7="","",IFERROR(INDEX('Veri Merkezi'!$F$2:$F$1001,$K7),""))</f>
        <v>AUXERRE</v>
      </c>
      <c r="E7" s="2">
        <f>IF($K7="","",IFERROR(INDEX('Veri Merkezi'!$G$2:$G$1001,$K7),""))</f>
        <v>46568</v>
      </c>
      <c r="F7" t="str">
        <f>IF($K7="","",IFERROR(INDEX('Veri Merkezi'!$H$2:$H$1001,$K7),""))</f>
        <v>Sarı</v>
      </c>
      <c r="G7" t="str">
        <f>IF($K7="","",IFERROR(INDEX('Veri Merkezi'!$R$2:$R$1001,$K7),""))</f>
        <v/>
      </c>
      <c r="H7" t="str">
        <f>IF($K7="","",IFERROR(INDEX('Veri Merkezi'!$S$2:$S$1001,$K7),""))</f>
        <v>B Liste</v>
      </c>
      <c r="I7" s="2" t="str">
        <f>IF($K7="","",IFERROR(INDEX('Veri Merkezi'!$T$2:$T$1001,$K7),""))</f>
        <v/>
      </c>
      <c r="J7" t="str">
        <f>IF($K7="","",IFERROR(INDEX('Veri Merkezi'!$U$2:$U$1001,$K7),""))</f>
        <v>Stoperler</v>
      </c>
      <c r="K7">
        <f>IF(K6="","",IFERROR(K6+MATCH("B Liste",INDEX('Veri Merkezi'!$S$2:$S$1001,K6+1):'Veri Merkezi'!$S$1001,0),""))</f>
        <v>109</v>
      </c>
    </row>
    <row r="8" spans="1:11">
      <c r="A8" t="str">
        <f>IF($K8="","",IFERROR(INDEX('Veri Merkezi'!$A$2:$A$1001,$K8),""))</f>
        <v>DUJE CALETE-CAR</v>
      </c>
      <c r="B8" t="str">
        <f>IF($K8="","",IFERROR(INDEX('Veri Merkezi'!$E$2:$E$1001,$K8),""))</f>
        <v>Stoper</v>
      </c>
      <c r="C8">
        <f ca="1">IF($K8="","",IFERROR(INDEX('Veri Merkezi'!$D$2:$D$1001,$K8),""))</f>
        <v>30</v>
      </c>
      <c r="D8" t="str">
        <f>IF($K8="","",IFERROR(INDEX('Veri Merkezi'!$F$2:$F$1001,$K8),""))</f>
        <v>SASSUOLO</v>
      </c>
      <c r="E8" s="2">
        <f>IF($K8="","",IFERROR(INDEX('Veri Merkezi'!$G$2:$G$1001,$K8),""))</f>
        <v>46934</v>
      </c>
      <c r="F8" t="str">
        <f>IF($K8="","",IFERROR(INDEX('Veri Merkezi'!$H$2:$H$1001,$K8),""))</f>
        <v>Yeşil</v>
      </c>
      <c r="G8" t="str">
        <f>IF($K8="","",IFERROR(INDEX('Veri Merkezi'!$R$2:$R$1001,$K8),""))</f>
        <v/>
      </c>
      <c r="H8" t="str">
        <f>IF($K8="","",IFERROR(INDEX('Veri Merkezi'!$S$2:$S$1001,$K8),""))</f>
        <v>B Liste</v>
      </c>
      <c r="I8" s="2" t="str">
        <f>IF($K8="","",IFERROR(INDEX('Veri Merkezi'!$T$2:$T$1001,$K8),""))</f>
        <v/>
      </c>
      <c r="J8" t="str">
        <f>IF($K8="","",IFERROR(INDEX('Veri Merkezi'!$U$2:$U$1001,$K8),""))</f>
        <v>Stoperler</v>
      </c>
      <c r="K8">
        <f>IF(K7="","",IFERROR(K7+MATCH("B Liste",INDEX('Veri Merkezi'!$S$2:$S$1001,K7+1):'Veri Merkezi'!$S$1001,0),""))</f>
        <v>112</v>
      </c>
    </row>
    <row r="9" spans="1:11">
      <c r="A9" t="str">
        <f>IF($K9="","",IFERROR(INDEX('Veri Merkezi'!$A$2:$A$1001,$K9),""))</f>
        <v>JOAO MARCELO MESSİAS FERREIRA</v>
      </c>
      <c r="B9" t="str">
        <f>IF($K9="","",IFERROR(INDEX('Veri Merkezi'!$E$2:$E$1001,$K9),""))</f>
        <v>Stoper</v>
      </c>
      <c r="C9">
        <f ca="1">IF($K9="","",IFERROR(INDEX('Veri Merkezi'!$D$2:$D$1001,$K9),""))</f>
        <v>26</v>
      </c>
      <c r="D9" t="str">
        <f>IF($K9="","",IFERROR(INDEX('Veri Merkezi'!$F$2:$F$1001,$K9),""))</f>
        <v>CRUZEİRO</v>
      </c>
      <c r="E9" s="2">
        <f>IF($K9="","",IFERROR(INDEX('Veri Merkezi'!$G$2:$G$1001,$K9),""))</f>
        <v>47118</v>
      </c>
      <c r="F9" t="str">
        <f>IF($K9="","",IFERROR(INDEX('Veri Merkezi'!$H$2:$H$1001,$K9),""))</f>
        <v>Yeşil</v>
      </c>
      <c r="G9" t="str">
        <f>IF($K9="","",IFERROR(INDEX('Veri Merkezi'!$R$2:$R$1001,$K9),""))</f>
        <v/>
      </c>
      <c r="H9" t="str">
        <f>IF($K9="","",IFERROR(INDEX('Veri Merkezi'!$S$2:$S$1001,$K9),""))</f>
        <v>B Liste</v>
      </c>
      <c r="I9" s="2" t="str">
        <f>IF($K9="","",IFERROR(INDEX('Veri Merkezi'!$T$2:$T$1001,$K9),""))</f>
        <v/>
      </c>
      <c r="J9" t="str">
        <f>IF($K9="","",IFERROR(INDEX('Veri Merkezi'!$U$2:$U$1001,$K9),""))</f>
        <v>Stoperler</v>
      </c>
      <c r="K9">
        <f>IF(K8="","",IFERROR(K8+MATCH("B Liste",INDEX('Veri Merkezi'!$S$2:$S$1001,K8+1):'Veri Merkezi'!$S$1001,0),""))</f>
        <v>113</v>
      </c>
    </row>
    <row r="10" spans="1:11">
      <c r="A10" t="str">
        <f>IF($K10="","",IFERROR(INDEX('Veri Merkezi'!$A$2:$A$1001,$K10),""))</f>
        <v>MUJAID SADICK</v>
      </c>
      <c r="B10" t="str">
        <f>IF($K10="","",IFERROR(INDEX('Veri Merkezi'!$E$2:$E$1001,$K10),""))</f>
        <v>Stoper</v>
      </c>
      <c r="C10">
        <f ca="1">IF($K10="","",IFERROR(INDEX('Veri Merkezi'!$D$2:$D$1001,$K10),""))</f>
        <v>26</v>
      </c>
      <c r="D10" t="str">
        <f>IF($K10="","",IFERROR(INDEX('Veri Merkezi'!$F$2:$F$1001,$K10),""))</f>
        <v>RAYO VALLECANO</v>
      </c>
      <c r="E10" s="2">
        <f>IF($K10="","",IFERROR(INDEX('Veri Merkezi'!$G$2:$G$1001,$K10),""))</f>
        <v>46558</v>
      </c>
      <c r="F10" t="str">
        <f>IF($K10="","",IFERROR(INDEX('Veri Merkezi'!$H$2:$H$1001,$K10),""))</f>
        <v>Yeşil</v>
      </c>
      <c r="G10" t="str">
        <f>IF($K10="","",IFERROR(INDEX('Veri Merkezi'!$R$2:$R$1001,$K10),""))</f>
        <v/>
      </c>
      <c r="H10" t="str">
        <f>IF($K10="","",IFERROR(INDEX('Veri Merkezi'!$S$2:$S$1001,$K10),""))</f>
        <v>B Liste</v>
      </c>
      <c r="I10" s="2" t="str">
        <f>IF($K10="","",IFERROR(INDEX('Veri Merkezi'!$T$2:$T$1001,$K10),""))</f>
        <v/>
      </c>
      <c r="J10" t="str">
        <f>IF($K10="","",IFERROR(INDEX('Veri Merkezi'!$U$2:$U$1001,$K10),""))</f>
        <v>Stoperler</v>
      </c>
      <c r="K10">
        <f>IF(K9="","",IFERROR(K9+MATCH("B Liste",INDEX('Veri Merkezi'!$S$2:$S$1001,K9+1):'Veri Merkezi'!$S$1001,0),""))</f>
        <v>115</v>
      </c>
    </row>
    <row r="11" spans="1:11">
      <c r="A11" t="str">
        <f>IF($K11="","",IFERROR(INDEX('Veri Merkezi'!$A$2:$A$1001,$K11),""))</f>
        <v>DOMINGOS DUARTE</v>
      </c>
      <c r="B11" t="str">
        <f>IF($K11="","",IFERROR(INDEX('Veri Merkezi'!$E$2:$E$1001,$K11),""))</f>
        <v>Stoper</v>
      </c>
      <c r="C11">
        <f ca="1">IF($K11="","",IFERROR(INDEX('Veri Merkezi'!$D$2:$D$1001,$K11),""))</f>
        <v>31</v>
      </c>
      <c r="D11" t="str">
        <f>IF($K11="","",IFERROR(INDEX('Veri Merkezi'!$F$2:$F$1001,$K11),""))</f>
        <v>SAO PAULO</v>
      </c>
      <c r="E11" s="2">
        <f>IF($K11="","",IFERROR(INDEX('Veri Merkezi'!$G$2:$G$1001,$K11),""))</f>
        <v>46965</v>
      </c>
      <c r="F11" t="str">
        <f>IF($K11="","",IFERROR(INDEX('Veri Merkezi'!$H$2:$H$1001,$K11),""))</f>
        <v>Yeşil</v>
      </c>
      <c r="G11" t="str">
        <f>IF($K11="","",IFERROR(INDEX('Veri Merkezi'!$R$2:$R$1001,$K11),""))</f>
        <v/>
      </c>
      <c r="H11" t="str">
        <f>IF($K11="","",IFERROR(INDEX('Veri Merkezi'!$S$2:$S$1001,$K11),""))</f>
        <v>B Liste</v>
      </c>
      <c r="I11" s="2" t="str">
        <f>IF($K11="","",IFERROR(INDEX('Veri Merkezi'!$T$2:$T$1001,$K11),""))</f>
        <v/>
      </c>
      <c r="J11" t="str">
        <f>IF($K11="","",IFERROR(INDEX('Veri Merkezi'!$U$2:$U$1001,$K11),""))</f>
        <v>Stoperler</v>
      </c>
      <c r="K11">
        <f>IF(K10="","",IFERROR(K10+MATCH("B Liste",INDEX('Veri Merkezi'!$S$2:$S$1001,K10+1):'Veri Merkezi'!$S$1001,0),""))</f>
        <v>120</v>
      </c>
    </row>
    <row r="12" spans="1:11">
      <c r="A12" t="str">
        <f>IF($K12="","",IFERROR(INDEX('Veri Merkezi'!$A$2:$A$1001,$K12),""))</f>
        <v>GIVANNI VAN ZWAM</v>
      </c>
      <c r="B12" t="str">
        <f>IF($K12="","",IFERROR(INDEX('Veri Merkezi'!$E$2:$E$1001,$K12),""))</f>
        <v>Stoper</v>
      </c>
      <c r="C12">
        <f ca="1">IF($K12="","",IFERROR(INDEX('Veri Merkezi'!$D$2:$D$1001,$K12),""))</f>
        <v>22</v>
      </c>
      <c r="D12" t="str">
        <f>IF($K12="","",IFERROR(INDEX('Veri Merkezi'!$F$2:$F$1001,$K12),""))</f>
        <v>GO AHEAD</v>
      </c>
      <c r="E12" s="2">
        <f>IF($K12="","",IFERROR(INDEX('Veri Merkezi'!$G$2:$G$1001,$K12),""))</f>
        <v>46568</v>
      </c>
      <c r="F12" t="str">
        <f>IF($K12="","",IFERROR(INDEX('Veri Merkezi'!$H$2:$H$1001,$K12),""))</f>
        <v>Sarı</v>
      </c>
      <c r="G12" t="str">
        <f>IF($K12="","",IFERROR(INDEX('Veri Merkezi'!$R$2:$R$1001,$K12),""))</f>
        <v/>
      </c>
      <c r="H12" t="str">
        <f>IF($K12="","",IFERROR(INDEX('Veri Merkezi'!$S$2:$S$1001,$K12),""))</f>
        <v>B Liste</v>
      </c>
      <c r="I12" s="2" t="str">
        <f>IF($K12="","",IFERROR(INDEX('Veri Merkezi'!$T$2:$T$1001,$K12),""))</f>
        <v/>
      </c>
      <c r="J12" t="str">
        <f>IF($K12="","",IFERROR(INDEX('Veri Merkezi'!$U$2:$U$1001,$K12),""))</f>
        <v>Stoperler</v>
      </c>
      <c r="K12">
        <f>IF(K11="","",IFERROR(K11+MATCH("B Liste",INDEX('Veri Merkezi'!$S$2:$S$1001,K11+1):'Veri Merkezi'!$S$1001,0),""))</f>
        <v>121</v>
      </c>
    </row>
    <row r="13" spans="1:11">
      <c r="A13" t="str">
        <f>IF($K13="","",IFERROR(INDEX('Veri Merkezi'!$A$2:$A$1001,$K13),""))</f>
        <v>DUJE CALETA-CAR</v>
      </c>
      <c r="B13" t="str">
        <f>IF($K13="","",IFERROR(INDEX('Veri Merkezi'!$E$2:$E$1001,$K13),""))</f>
        <v>Stoper</v>
      </c>
      <c r="C13">
        <f ca="1">IF($K13="","",IFERROR(INDEX('Veri Merkezi'!$D$2:$D$1001,$K13),""))</f>
        <v>30</v>
      </c>
      <c r="D13" t="str">
        <f>IF($K13="","",IFERROR(INDEX('Veri Merkezi'!$F$2:$F$1001,$K13),""))</f>
        <v>US SASSUOLO</v>
      </c>
      <c r="E13" s="2">
        <f>IF($K13="","",IFERROR(INDEX('Veri Merkezi'!$G$2:$G$1001,$K13),""))</f>
        <v>46934</v>
      </c>
      <c r="F13" t="str">
        <f>IF($K13="","",IFERROR(INDEX('Veri Merkezi'!$H$2:$H$1001,$K13),""))</f>
        <v>Yeşil</v>
      </c>
      <c r="G13" t="str">
        <f>IF($K13="","",IFERROR(INDEX('Veri Merkezi'!$R$2:$R$1001,$K13),""))</f>
        <v/>
      </c>
      <c r="H13" t="str">
        <f>IF($K13="","",IFERROR(INDEX('Veri Merkezi'!$S$2:$S$1001,$K13),""))</f>
        <v>B Liste</v>
      </c>
      <c r="I13" s="2" t="str">
        <f>IF($K13="","",IFERROR(INDEX('Veri Merkezi'!$T$2:$T$1001,$K13),""))</f>
        <v/>
      </c>
      <c r="J13" t="str">
        <f>IF($K13="","",IFERROR(INDEX('Veri Merkezi'!$U$2:$U$1001,$K13),""))</f>
        <v>Stoperler</v>
      </c>
      <c r="K13">
        <f>IF(K12="","",IFERROR(K12+MATCH("B Liste",INDEX('Veri Merkezi'!$S$2:$S$1001,K12+1):'Veri Merkezi'!$S$1001,0),""))</f>
        <v>125</v>
      </c>
    </row>
    <row r="14" spans="1:11">
      <c r="A14" t="str">
        <f>IF($K14="","",IFERROR(INDEX('Veri Merkezi'!$A$2:$A$1001,$K14),""))</f>
        <v>ADRIA PEDROSA</v>
      </c>
      <c r="B14" t="str">
        <f>IF($K14="","",IFERROR(INDEX('Veri Merkezi'!$E$2:$E$1001,$K14),""))</f>
        <v>Sol Bek</v>
      </c>
      <c r="C14">
        <f ca="1">IF($K14="","",IFERROR(INDEX('Veri Merkezi'!$D$2:$D$1001,$K14),""))</f>
        <v>28</v>
      </c>
      <c r="D14" t="str">
        <f>IF($K14="","",IFERROR(INDEX('Veri Merkezi'!$F$2:$F$1001,$K14),""))</f>
        <v>ROYO VALLECANO</v>
      </c>
      <c r="E14" s="2">
        <f>IF($K14="","",IFERROR(INDEX('Veri Merkezi'!$G$2:$G$1001,$K14),""))</f>
        <v>46568</v>
      </c>
      <c r="F14" t="str">
        <f>IF($K14="","",IFERROR(INDEX('Veri Merkezi'!$H$2:$H$1001,$K14),""))</f>
        <v>Sarı</v>
      </c>
      <c r="G14" t="str">
        <f>IF($K14="","",IFERROR(INDEX('Veri Merkezi'!$R$2:$R$1001,$K14),""))</f>
        <v/>
      </c>
      <c r="H14" t="str">
        <f>IF($K14="","",IFERROR(INDEX('Veri Merkezi'!$S$2:$S$1001,$K14),""))</f>
        <v>B Liste</v>
      </c>
      <c r="I14" s="2" t="str">
        <f>IF($K14="","",IFERROR(INDEX('Veri Merkezi'!$T$2:$T$1001,$K14),""))</f>
        <v/>
      </c>
      <c r="J14" t="str">
        <f>IF($K14="","",IFERROR(INDEX('Veri Merkezi'!$U$2:$U$1001,$K14),""))</f>
        <v>Sol Bekler</v>
      </c>
      <c r="K14">
        <f>IF(K13="","",IFERROR(K13+MATCH("B Liste",INDEX('Veri Merkezi'!$S$2:$S$1001,K13+1):'Veri Merkezi'!$S$1001,0),""))</f>
        <v>301</v>
      </c>
    </row>
    <row r="15" spans="1:11">
      <c r="A15" t="str">
        <f>IF($K15="","",IFERROR(INDEX('Veri Merkezi'!$A$2:$A$1001,$K15),""))</f>
        <v>PEDRO AMARAL</v>
      </c>
      <c r="B15" t="str">
        <f>IF($K15="","",IFERROR(INDEX('Veri Merkezi'!$E$2:$E$1001,$K15),""))</f>
        <v>Sol Bek</v>
      </c>
      <c r="C15">
        <f ca="1">IF($K15="","",IFERROR(INDEX('Veri Merkezi'!$D$2:$D$1001,$K15),""))</f>
        <v>29</v>
      </c>
      <c r="D15" t="str">
        <f>IF($K15="","",IFERROR(INDEX('Veri Merkezi'!$F$2:$F$1001,$K15),""))</f>
        <v>RIO AVE</v>
      </c>
      <c r="E15" s="2">
        <f>IF($K15="","",IFERROR(INDEX('Veri Merkezi'!$G$2:$G$1001,$K15),""))</f>
        <v>46934</v>
      </c>
      <c r="F15" t="str">
        <f>IF($K15="","",IFERROR(INDEX('Veri Merkezi'!$H$2:$H$1001,$K15),""))</f>
        <v>Sarı</v>
      </c>
      <c r="G15" t="str">
        <f>IF($K15="","",IFERROR(INDEX('Veri Merkezi'!$R$2:$R$1001,$K15),""))</f>
        <v/>
      </c>
      <c r="H15" t="str">
        <f>IF($K15="","",IFERROR(INDEX('Veri Merkezi'!$S$2:$S$1001,$K15),""))</f>
        <v>B Liste</v>
      </c>
      <c r="I15" s="2" t="str">
        <f>IF($K15="","",IFERROR(INDEX('Veri Merkezi'!$T$2:$T$1001,$K15),""))</f>
        <v/>
      </c>
      <c r="J15" t="str">
        <f>IF($K15="","",IFERROR(INDEX('Veri Merkezi'!$U$2:$U$1001,$K15),""))</f>
        <v>Sol Bekler</v>
      </c>
      <c r="K15">
        <f>IF(K14="","",IFERROR(K14+MATCH("B Liste",INDEX('Veri Merkezi'!$S$2:$S$1001,K14+1):'Veri Merkezi'!$S$1001,0),""))</f>
        <v>303</v>
      </c>
    </row>
    <row r="16" spans="1:11">
      <c r="A16" t="str">
        <f>IF($K16="","",IFERROR(INDEX('Veri Merkezi'!$A$2:$A$1001,$K16),""))</f>
        <v>YUSSIF SAIDU</v>
      </c>
      <c r="B16" t="str">
        <f>IF($K16="","",IFERROR(INDEX('Veri Merkezi'!$E$2:$E$1001,$K16),""))</f>
        <v>6 Numara</v>
      </c>
      <c r="C16">
        <f ca="1">IF($K16="","",IFERROR(INDEX('Veri Merkezi'!$D$2:$D$1001,$K16),""))</f>
        <v>21</v>
      </c>
      <c r="D16" t="str">
        <f>IF($K16="","",IFERROR(INDEX('Veri Merkezi'!$F$2:$F$1001,$K16),""))</f>
        <v>REAL ZARAGOZA</v>
      </c>
      <c r="E16" s="2">
        <f>IF($K16="","",IFERROR(INDEX('Veri Merkezi'!$G$2:$G$1001,$K16),""))</f>
        <v>47664</v>
      </c>
      <c r="F16" t="str">
        <f>IF($K16="","",IFERROR(INDEX('Veri Merkezi'!$H$2:$H$1001,$K16),""))</f>
        <v>Sarı</v>
      </c>
      <c r="G16" t="str">
        <f>IF($K16="","",IFERROR(INDEX('Veri Merkezi'!$R$2:$R$1001,$K16),""))</f>
        <v/>
      </c>
      <c r="H16" t="str">
        <f>IF($K16="","",IFERROR(INDEX('Veri Merkezi'!$S$2:$S$1001,$K16),""))</f>
        <v>B Liste</v>
      </c>
      <c r="I16" s="2" t="str">
        <f>IF($K16="","",IFERROR(INDEX('Veri Merkezi'!$T$2:$T$1001,$K16),""))</f>
        <v/>
      </c>
      <c r="J16" t="str">
        <f>IF($K16="","",IFERROR(INDEX('Veri Merkezi'!$U$2:$U$1001,$K16),""))</f>
        <v>6 Numaralar</v>
      </c>
      <c r="K16">
        <f>IF(K15="","",IFERROR(K15+MATCH("B Liste",INDEX('Veri Merkezi'!$S$2:$S$1001,K15+1):'Veri Merkezi'!$S$1001,0),""))</f>
        <v>402</v>
      </c>
    </row>
    <row r="17" spans="1:11">
      <c r="A17" t="str">
        <f>IF($K17="","",IFERROR(INDEX('Veri Merkezi'!$A$2:$A$1001,$K17),""))</f>
        <v>KEVIN CASTANO</v>
      </c>
      <c r="B17" t="str">
        <f>IF($K17="","",IFERROR(INDEX('Veri Merkezi'!$E$2:$E$1001,$K17),""))</f>
        <v>6 Numara</v>
      </c>
      <c r="C17">
        <f ca="1">IF($K17="","",IFERROR(INDEX('Veri Merkezi'!$D$2:$D$1001,$K17),""))</f>
        <v>26</v>
      </c>
      <c r="D17" t="str">
        <f>IF($K17="","",IFERROR(INDEX('Veri Merkezi'!$F$2:$F$1001,$K17),""))</f>
        <v>ATLETİCO MG</v>
      </c>
      <c r="E17" s="2">
        <f>IF($K17="","",IFERROR(INDEX('Veri Merkezi'!$G$2:$G$1001,$K17),""))</f>
        <v>46568</v>
      </c>
      <c r="F17" t="str">
        <f>IF($K17="","",IFERROR(INDEX('Veri Merkezi'!$H$2:$H$1001,$K17),""))</f>
        <v>Sarı</v>
      </c>
      <c r="G17" t="str">
        <f>IF($K17="","",IFERROR(INDEX('Veri Merkezi'!$R$2:$R$1001,$K17),""))</f>
        <v/>
      </c>
      <c r="H17" t="str">
        <f>IF($K17="","",IFERROR(INDEX('Veri Merkezi'!$S$2:$S$1001,$K17),""))</f>
        <v>B Liste</v>
      </c>
      <c r="I17" s="2" t="str">
        <f>IF($K17="","",IFERROR(INDEX('Veri Merkezi'!$T$2:$T$1001,$K17),""))</f>
        <v/>
      </c>
      <c r="J17" t="str">
        <f>IF($K17="","",IFERROR(INDEX('Veri Merkezi'!$U$2:$U$1001,$K17),""))</f>
        <v>6 Numaralar</v>
      </c>
      <c r="K17">
        <f>IF(K16="","",IFERROR(K16+MATCH("B Liste",INDEX('Veri Merkezi'!$S$2:$S$1001,K16+1):'Veri Merkezi'!$S$1001,0),""))</f>
        <v>404</v>
      </c>
    </row>
    <row r="18" spans="1:11">
      <c r="A18" t="str">
        <f>IF($K18="","",IFERROR(INDEX('Veri Merkezi'!$A$2:$A$1001,$K18),""))</f>
        <v>ALPHA TOURE</v>
      </c>
      <c r="B18" t="str">
        <f>IF($K18="","",IFERROR(INDEX('Veri Merkezi'!$E$2:$E$1001,$K18),""))</f>
        <v>8 Numara</v>
      </c>
      <c r="C18">
        <f ca="1">IF($K18="","",IFERROR(INDEX('Veri Merkezi'!$D$2:$D$1001,$K18),""))</f>
        <v>20</v>
      </c>
      <c r="D18" t="str">
        <f>IF($K18="","",IFERROR(INDEX('Veri Merkezi'!$F$2:$F$1001,$K18),""))</f>
        <v>METZ</v>
      </c>
      <c r="E18" s="2">
        <f>IF($K18="","",IFERROR(INDEX('Veri Merkezi'!$G$2:$G$1001,$K18),""))</f>
        <v>46934</v>
      </c>
      <c r="F18" t="str">
        <f>IF($K18="","",IFERROR(INDEX('Veri Merkezi'!$H$2:$H$1001,$K18),""))</f>
        <v>Sarı</v>
      </c>
      <c r="G18" t="str">
        <f>IF($K18="","",IFERROR(INDEX('Veri Merkezi'!$R$2:$R$1001,$K18),""))</f>
        <v/>
      </c>
      <c r="H18" t="str">
        <f>IF($K18="","",IFERROR(INDEX('Veri Merkezi'!$S$2:$S$1001,$K18),""))</f>
        <v>B Liste</v>
      </c>
      <c r="I18" s="2" t="str">
        <f>IF($K18="","",IFERROR(INDEX('Veri Merkezi'!$T$2:$T$1001,$K18),""))</f>
        <v/>
      </c>
      <c r="J18" t="str">
        <f>IF($K18="","",IFERROR(INDEX('Veri Merkezi'!$U$2:$U$1001,$K18),""))</f>
        <v>8 Numaralar</v>
      </c>
      <c r="K18">
        <f>IF(K17="","",IFERROR(K17+MATCH("B Liste",INDEX('Veri Merkezi'!$S$2:$S$1001,K17+1):'Veri Merkezi'!$S$1001,0),""))</f>
        <v>504</v>
      </c>
    </row>
    <row r="19" spans="1:11">
      <c r="A19" t="str">
        <f>IF($K19="","",IFERROR(INDEX('Veri Merkezi'!$A$2:$A$1001,$K19),""))</f>
        <v>MATIAS GALARZA</v>
      </c>
      <c r="B19" t="str">
        <f>IF($K19="","",IFERROR(INDEX('Veri Merkezi'!$E$2:$E$1001,$K19),""))</f>
        <v>8 Numara</v>
      </c>
      <c r="C19">
        <f ca="1">IF($K19="","",IFERROR(INDEX('Veri Merkezi'!$D$2:$D$1001,$K19),""))</f>
        <v>24</v>
      </c>
      <c r="D19" t="str">
        <f>IF($K19="","",IFERROR(INDEX('Veri Merkezi'!$F$2:$F$1001,$K19),""))</f>
        <v>RIVER PLATE</v>
      </c>
      <c r="E19" s="2">
        <f>IF($K19="","",IFERROR(INDEX('Veri Merkezi'!$G$2:$G$1001,$K19),""))</f>
        <v>47118</v>
      </c>
      <c r="F19" t="str">
        <f>IF($K19="","",IFERROR(INDEX('Veri Merkezi'!$H$2:$H$1001,$K19),""))</f>
        <v>Sarı</v>
      </c>
      <c r="G19" t="str">
        <f>IF($K19="","",IFERROR(INDEX('Veri Merkezi'!$R$2:$R$1001,$K19),""))</f>
        <v/>
      </c>
      <c r="H19" t="str">
        <f>IF($K19="","",IFERROR(INDEX('Veri Merkezi'!$S$2:$S$1001,$K19),""))</f>
        <v>B Liste</v>
      </c>
      <c r="I19" s="2" t="str">
        <f>IF($K19="","",IFERROR(INDEX('Veri Merkezi'!$T$2:$T$1001,$K19),""))</f>
        <v/>
      </c>
      <c r="J19" t="str">
        <f>IF($K19="","",IFERROR(INDEX('Veri Merkezi'!$U$2:$U$1001,$K19),""))</f>
        <v>8 Numaralar</v>
      </c>
      <c r="K19">
        <f>IF(K18="","",IFERROR(K18+MATCH("B Liste",INDEX('Veri Merkezi'!$S$2:$S$1001,K18+1):'Veri Merkezi'!$S$1001,0),""))</f>
        <v>507</v>
      </c>
    </row>
    <row r="20" spans="1:11">
      <c r="A20" t="str">
        <f>IF($K20="","",IFERROR(INDEX('Veri Merkezi'!$A$2:$A$1001,$K20),""))</f>
        <v>SANDI LOVRIC</v>
      </c>
      <c r="B20" t="str">
        <f>IF($K20="","",IFERROR(INDEX('Veri Merkezi'!$E$2:$E$1001,$K20),""))</f>
        <v>8 Numara</v>
      </c>
      <c r="C20">
        <f ca="1">IF($K20="","",IFERROR(INDEX('Veri Merkezi'!$D$2:$D$1001,$K20),""))</f>
        <v>28</v>
      </c>
      <c r="D20" t="str">
        <f>IF($K20="","",IFERROR(INDEX('Veri Merkezi'!$F$2:$F$1001,$K20),""))</f>
        <v>UDINESE</v>
      </c>
      <c r="E20" s="2">
        <f>IF($K20="","",IFERROR(INDEX('Veri Merkezi'!$G$2:$G$1001,$K20),""))</f>
        <v>46568</v>
      </c>
      <c r="F20" t="str">
        <f>IF($K20="","",IFERROR(INDEX('Veri Merkezi'!$H$2:$H$1001,$K20),""))</f>
        <v>Sarı</v>
      </c>
      <c r="G20" t="str">
        <f>IF($K20="","",IFERROR(INDEX('Veri Merkezi'!$R$2:$R$1001,$K20),""))</f>
        <v/>
      </c>
      <c r="H20" t="str">
        <f>IF($K20="","",IFERROR(INDEX('Veri Merkezi'!$S$2:$S$1001,$K20),""))</f>
        <v>B Liste</v>
      </c>
      <c r="I20" s="2" t="str">
        <f>IF($K20="","",IFERROR(INDEX('Veri Merkezi'!$T$2:$T$1001,$K20),""))</f>
        <v/>
      </c>
      <c r="J20" t="str">
        <f>IF($K20="","",IFERROR(INDEX('Veri Merkezi'!$U$2:$U$1001,$K20),""))</f>
        <v>8 Numaralar</v>
      </c>
      <c r="K20">
        <f>IF(K19="","",IFERROR(K19+MATCH("B Liste",INDEX('Veri Merkezi'!$S$2:$S$1001,K19+1):'Veri Merkezi'!$S$1001,0),""))</f>
        <v>509</v>
      </c>
    </row>
    <row r="21" spans="1:11">
      <c r="A21" t="str">
        <f>IF($K21="","",IFERROR(INDEX('Veri Merkezi'!$A$2:$A$1001,$K21),""))</f>
        <v>ALAN DE SOUZA</v>
      </c>
      <c r="B21" t="str">
        <f>IF($K21="","",IFERROR(INDEX('Veri Merkezi'!$E$2:$E$1001,$K21),""))</f>
        <v>8 Numara</v>
      </c>
      <c r="C21">
        <f ca="1">IF($K21="","",IFERROR(INDEX('Veri Merkezi'!$D$2:$D$1001,$K21),""))</f>
        <v>26</v>
      </c>
      <c r="D21" t="str">
        <f>IF($K21="","",IFERROR(INDEX('Veri Merkezi'!$F$2:$F$1001,$K21),""))</f>
        <v xml:space="preserve">VITORIA </v>
      </c>
      <c r="E21" s="2">
        <f>IF($K21="","",IFERROR(INDEX('Veri Merkezi'!$G$2:$G$1001,$K21),""))</f>
        <v>46934</v>
      </c>
      <c r="F21" t="str">
        <f>IF($K21="","",IFERROR(INDEX('Veri Merkezi'!$H$2:$H$1001,$K21),""))</f>
        <v>Yeşil</v>
      </c>
      <c r="G21" t="str">
        <f>IF($K21="","",IFERROR(INDEX('Veri Merkezi'!$R$2:$R$1001,$K21),""))</f>
        <v/>
      </c>
      <c r="H21" t="str">
        <f>IF($K21="","",IFERROR(INDEX('Veri Merkezi'!$S$2:$S$1001,$K21),""))</f>
        <v>B Liste</v>
      </c>
      <c r="I21" s="2" t="str">
        <f>IF($K21="","",IFERROR(INDEX('Veri Merkezi'!$T$2:$T$1001,$K21),""))</f>
        <v/>
      </c>
      <c r="J21" t="str">
        <f>IF($K21="","",IFERROR(INDEX('Veri Merkezi'!$U$2:$U$1001,$K21),""))</f>
        <v>8 Numaralar</v>
      </c>
      <c r="K21">
        <f>IF(K20="","",IFERROR(K20+MATCH("B Liste",INDEX('Veri Merkezi'!$S$2:$S$1001,K20+1):'Veri Merkezi'!$S$1001,0),""))</f>
        <v>510</v>
      </c>
    </row>
    <row r="22" spans="1:11">
      <c r="A22" t="str">
        <f>IF($K22="","",IFERROR(INDEX('Veri Merkezi'!$A$2:$A$1001,$K22),""))</f>
        <v>THAPELO MASEKO</v>
      </c>
      <c r="B22" t="str">
        <f>IF($K22="","",IFERROR(INDEX('Veri Merkezi'!$E$2:$E$1001,$K22),""))</f>
        <v>Kanat</v>
      </c>
      <c r="C22">
        <f ca="1">IF($K22="","",IFERROR(INDEX('Veri Merkezi'!$D$2:$D$1001,$K22),""))</f>
        <v>22</v>
      </c>
      <c r="D22" t="str">
        <f>IF($K22="","",IFERROR(INDEX('Veri Merkezi'!$F$2:$F$1001,$K22),""))</f>
        <v>KOPENHAG</v>
      </c>
      <c r="E22" s="2">
        <f>IF($K22="","",IFERROR(INDEX('Veri Merkezi'!$G$2:$G$1001,$K22),""))</f>
        <v>47664</v>
      </c>
      <c r="F22" t="str">
        <f>IF($K22="","",IFERROR(INDEX('Veri Merkezi'!$H$2:$H$1001,$K22),""))</f>
        <v>Yeşil</v>
      </c>
      <c r="G22" t="str">
        <f>IF($K22="","",IFERROR(INDEX('Veri Merkezi'!$R$2:$R$1001,$K22),""))</f>
        <v/>
      </c>
      <c r="H22" t="str">
        <f>IF($K22="","",IFERROR(INDEX('Veri Merkezi'!$S$2:$S$1001,$K22),""))</f>
        <v>B Liste</v>
      </c>
      <c r="I22" s="2" t="str">
        <f>IF($K22="","",IFERROR(INDEX('Veri Merkezi'!$T$2:$T$1001,$K22),""))</f>
        <v/>
      </c>
      <c r="J22" t="str">
        <f>IF($K22="","",IFERROR(INDEX('Veri Merkezi'!$U$2:$U$1001,$K22),""))</f>
        <v>Kanatlar</v>
      </c>
      <c r="K22">
        <f>IF(K21="","",IFERROR(K21+MATCH("B Liste",INDEX('Veri Merkezi'!$S$2:$S$1001,K21+1):'Veri Merkezi'!$S$1001,0),""))</f>
        <v>713</v>
      </c>
    </row>
    <row r="23" spans="1:11">
      <c r="A23" t="str">
        <f>IF($K23="","",IFERROR(INDEX('Veri Merkezi'!$A$2:$A$1001,$K23),""))</f>
        <v>THIAGO CRUZ FERNANDEZ</v>
      </c>
      <c r="B23" t="str">
        <f>IF($K23="","",IFERROR(INDEX('Veri Merkezi'!$E$2:$E$1001,$K23),""))</f>
        <v>Kanat</v>
      </c>
      <c r="C23">
        <f ca="1">IF($K23="","",IFERROR(INDEX('Veri Merkezi'!$D$2:$D$1001,$K23),""))</f>
        <v>22</v>
      </c>
      <c r="D23" t="str">
        <f>IF($K23="","",IFERROR(INDEX('Veri Merkezi'!$F$2:$F$1001,$K23),""))</f>
        <v>LEVANTE</v>
      </c>
      <c r="E23" s="2">
        <f>IF($K23="","",IFERROR(INDEX('Veri Merkezi'!$G$2:$G$1001,$K23),""))</f>
        <v>46568</v>
      </c>
      <c r="F23" t="str">
        <f>IF($K23="","",IFERROR(INDEX('Veri Merkezi'!$H$2:$H$1001,$K23),""))</f>
        <v>Yeşil</v>
      </c>
      <c r="G23" t="str">
        <f>IF($K23="","",IFERROR(INDEX('Veri Merkezi'!$R$2:$R$1001,$K23),""))</f>
        <v/>
      </c>
      <c r="H23" t="str">
        <f>IF($K23="","",IFERROR(INDEX('Veri Merkezi'!$S$2:$S$1001,$K23),""))</f>
        <v>B Liste</v>
      </c>
      <c r="I23" s="2" t="str">
        <f>IF($K23="","",IFERROR(INDEX('Veri Merkezi'!$T$2:$T$1001,$K23),""))</f>
        <v/>
      </c>
      <c r="J23" t="str">
        <f>IF($K23="","",IFERROR(INDEX('Veri Merkezi'!$U$2:$U$1001,$K23),""))</f>
        <v>Kanatlar</v>
      </c>
      <c r="K23">
        <f>IF(K22="","",IFERROR(K22+MATCH("B Liste",INDEX('Veri Merkezi'!$S$2:$S$1001,K22+1):'Veri Merkezi'!$S$1001,0),""))</f>
        <v>720</v>
      </c>
    </row>
    <row r="24" spans="1:11">
      <c r="A24" t="str">
        <f>IF($K24="","",IFERROR(INDEX('Veri Merkezi'!$A$2:$A$1001,$K24),""))</f>
        <v>FARIS MOUMBAGNA</v>
      </c>
      <c r="B24" t="str">
        <f>IF($K24="","",IFERROR(INDEX('Veri Merkezi'!$E$2:$E$1001,$K24),""))</f>
        <v>Forvet</v>
      </c>
      <c r="C24">
        <f ca="1">IF($K24="","",IFERROR(INDEX('Veri Merkezi'!$D$2:$D$1001,$K24),""))</f>
        <v>26</v>
      </c>
      <c r="D24" t="str">
        <f>IF($K24="","",IFERROR(INDEX('Veri Merkezi'!$F$2:$F$1001,$K24),""))</f>
        <v>MARSİLYA</v>
      </c>
      <c r="E24" s="2">
        <f>IF($K24="","",IFERROR(INDEX('Veri Merkezi'!$G$2:$G$1001,$K24),""))</f>
        <v>46934</v>
      </c>
      <c r="F24" t="str">
        <f>IF($K24="","",IFERROR(INDEX('Veri Merkezi'!$H$2:$H$1001,$K24),""))</f>
        <v>Yeşil</v>
      </c>
      <c r="G24" t="str">
        <f>IF($K24="","",IFERROR(INDEX('Veri Merkezi'!$R$2:$R$1001,$K24),""))</f>
        <v/>
      </c>
      <c r="H24" t="str">
        <f>IF($K24="","",IFERROR(INDEX('Veri Merkezi'!$S$2:$S$1001,$K24),""))</f>
        <v>B Liste</v>
      </c>
      <c r="I24" s="2" t="str">
        <f>IF($K24="","",IFERROR(INDEX('Veri Merkezi'!$T$2:$T$1001,$K24),""))</f>
        <v/>
      </c>
      <c r="J24" t="str">
        <f>IF($K24="","",IFERROR(INDEX('Veri Merkezi'!$U$2:$U$1001,$K24),""))</f>
        <v>Forvetler</v>
      </c>
      <c r="K24">
        <f>IF(K23="","",IFERROR(K23+MATCH("B Liste",INDEX('Veri Merkezi'!$S$2:$S$1001,K23+1):'Veri Merkezi'!$S$1001,0),""))</f>
        <v>810</v>
      </c>
    </row>
    <row r="25" spans="1:11">
      <c r="A25" t="str">
        <f>IF($K25="","",IFERROR(INDEX('Veri Merkezi'!$A$2:$A$1001,$K25),""))</f>
        <v>RAFA MIR</v>
      </c>
      <c r="B25" t="str">
        <f>IF($K25="","",IFERROR(INDEX('Veri Merkezi'!$E$2:$E$1001,$K25),""))</f>
        <v>Forvet</v>
      </c>
      <c r="C25">
        <f ca="1">IF($K25="","",IFERROR(INDEX('Veri Merkezi'!$D$2:$D$1001,$K25),""))</f>
        <v>29</v>
      </c>
      <c r="D25" t="str">
        <f>IF($K25="","",IFERROR(INDEX('Veri Merkezi'!$F$2:$F$1001,$K25),""))</f>
        <v>ARIS</v>
      </c>
      <c r="E25" s="2">
        <f>IF($K25="","",IFERROR(INDEX('Veri Merkezi'!$G$2:$G$1001,$K25),""))</f>
        <v>46568</v>
      </c>
      <c r="F25" t="str">
        <f>IF($K25="","",IFERROR(INDEX('Veri Merkezi'!$H$2:$H$1001,$K25),""))</f>
        <v>Yeşil</v>
      </c>
      <c r="G25" t="str">
        <f>IF($K25="","",IFERROR(INDEX('Veri Merkezi'!$R$2:$R$1001,$K25),""))</f>
        <v/>
      </c>
      <c r="H25" t="str">
        <f>IF($K25="","",IFERROR(INDEX('Veri Merkezi'!$S$2:$S$1001,$K25),""))</f>
        <v>B Liste</v>
      </c>
      <c r="I25" s="2" t="str">
        <f>IF($K25="","",IFERROR(INDEX('Veri Merkezi'!$T$2:$T$1001,$K25),""))</f>
        <v/>
      </c>
      <c r="J25" t="str">
        <f>IF($K25="","",IFERROR(INDEX('Veri Merkezi'!$U$2:$U$1001,$K25),""))</f>
        <v>Forvetler</v>
      </c>
      <c r="K25">
        <f>IF(K24="","",IFERROR(K24+MATCH("B Liste",INDEX('Veri Merkezi'!$S$2:$S$1001,K24+1):'Veri Merkezi'!$S$1001,0),""))</f>
        <v>814</v>
      </c>
    </row>
    <row r="26" spans="1:11">
      <c r="A26" t="str">
        <f>IF($K26="","",IFERROR(INDEX('Veri Merkezi'!$A$2:$A$1001,$K26),""))</f>
        <v>ANGEL RODADO</v>
      </c>
      <c r="B26" t="str">
        <f>IF($K26="","",IFERROR(INDEX('Veri Merkezi'!$E$2:$E$1001,$K26),""))</f>
        <v>Forvet</v>
      </c>
      <c r="C26">
        <f ca="1">IF($K26="","",IFERROR(INDEX('Veri Merkezi'!$D$2:$D$1001,$K26),""))</f>
        <v>29</v>
      </c>
      <c r="D26" t="str">
        <f>IF($K26="","",IFERROR(INDEX('Veri Merkezi'!$F$2:$F$1001,$K26),""))</f>
        <v>WISLA KRAKOW</v>
      </c>
      <c r="E26" s="2">
        <f>IF($K26="","",IFERROR(INDEX('Veri Merkezi'!$G$2:$G$1001,$K26),""))</f>
        <v>47664</v>
      </c>
      <c r="F26" t="str">
        <f>IF($K26="","",IFERROR(INDEX('Veri Merkezi'!$H$2:$H$1001,$K26),""))</f>
        <v>Yeşil</v>
      </c>
      <c r="G26" t="str">
        <f>IF($K26="","",IFERROR(INDEX('Veri Merkezi'!$R$2:$R$1001,$K26),""))</f>
        <v/>
      </c>
      <c r="H26" t="str">
        <f>IF($K26="","",IFERROR(INDEX('Veri Merkezi'!$S$2:$S$1001,$K26),""))</f>
        <v>B Liste</v>
      </c>
      <c r="I26" s="2" t="str">
        <f>IF($K26="","",IFERROR(INDEX('Veri Merkezi'!$T$2:$T$1001,$K26),""))</f>
        <v/>
      </c>
      <c r="J26" t="str">
        <f>IF($K26="","",IFERROR(INDEX('Veri Merkezi'!$U$2:$U$1001,$K26),""))</f>
        <v>Forvetler</v>
      </c>
      <c r="K26">
        <f>IF(K25="","",IFERROR(K25+MATCH("B Liste",INDEX('Veri Merkezi'!$S$2:$S$1001,K25+1):'Veri Merkezi'!$S$1001,0),""))</f>
        <v>815</v>
      </c>
    </row>
    <row r="27" spans="1:11">
      <c r="A27" t="str">
        <f>IF($K27="","",IFERROR(INDEX('Veri Merkezi'!$A$2:$A$1001,$K27),""))</f>
        <v/>
      </c>
      <c r="B27" t="str">
        <f>IF($K27="","",IFERROR(INDEX('Veri Merkezi'!$E$2:$E$1001,$K27),""))</f>
        <v/>
      </c>
      <c r="C27" t="str">
        <f>IF($K27="","",IFERROR(INDEX('Veri Merkezi'!$D$2:$D$1001,$K27),""))</f>
        <v/>
      </c>
      <c r="D27" t="str">
        <f>IF($K27="","",IFERROR(INDEX('Veri Merkezi'!$F$2:$F$1001,$K27),""))</f>
        <v/>
      </c>
      <c r="E27" s="2" t="str">
        <f>IF($K27="","",IFERROR(INDEX('Veri Merkezi'!$G$2:$G$1001,$K27),""))</f>
        <v/>
      </c>
      <c r="F27" t="str">
        <f>IF($K27="","",IFERROR(INDEX('Veri Merkezi'!$H$2:$H$1001,$K27),""))</f>
        <v/>
      </c>
      <c r="G27" t="str">
        <f>IF($K27="","",IFERROR(INDEX('Veri Merkezi'!$R$2:$R$1001,$K27),""))</f>
        <v/>
      </c>
      <c r="H27" t="str">
        <f>IF($K27="","",IFERROR(INDEX('Veri Merkezi'!$S$2:$S$1001,$K27),""))</f>
        <v/>
      </c>
      <c r="I27" s="2" t="str">
        <f>IF($K27="","",IFERROR(INDEX('Veri Merkezi'!$T$2:$T$1001,$K27),""))</f>
        <v/>
      </c>
      <c r="J27" t="str">
        <f>IF($K27="","",IFERROR(INDEX('Veri Merkezi'!$U$2:$U$1001,$K27),""))</f>
        <v/>
      </c>
      <c r="K27" t="str">
        <f>IF(K26="","",IFERROR(K26+MATCH("B Liste",INDEX('Veri Merkezi'!$S$2:$S$1001,K26+1):'Veri Merkezi'!$S$1001,0),""))</f>
        <v/>
      </c>
    </row>
    <row r="28" spans="1:11">
      <c r="A28" t="str">
        <f>IF($K28="","",IFERROR(INDEX('Veri Merkezi'!$A$2:$A$1001,$K28),""))</f>
        <v/>
      </c>
      <c r="B28" t="str">
        <f>IF($K28="","",IFERROR(INDEX('Veri Merkezi'!$E$2:$E$1001,$K28),""))</f>
        <v/>
      </c>
      <c r="C28" t="str">
        <f>IF($K28="","",IFERROR(INDEX('Veri Merkezi'!$D$2:$D$1001,$K28),""))</f>
        <v/>
      </c>
      <c r="D28" t="str">
        <f>IF($K28="","",IFERROR(INDEX('Veri Merkezi'!$F$2:$F$1001,$K28),""))</f>
        <v/>
      </c>
      <c r="E28" s="2" t="str">
        <f>IF($K28="","",IFERROR(INDEX('Veri Merkezi'!$G$2:$G$1001,$K28),""))</f>
        <v/>
      </c>
      <c r="F28" t="str">
        <f>IF($K28="","",IFERROR(INDEX('Veri Merkezi'!$H$2:$H$1001,$K28),""))</f>
        <v/>
      </c>
      <c r="G28" t="str">
        <f>IF($K28="","",IFERROR(INDEX('Veri Merkezi'!$R$2:$R$1001,$K28),""))</f>
        <v/>
      </c>
      <c r="H28" t="str">
        <f>IF($K28="","",IFERROR(INDEX('Veri Merkezi'!$S$2:$S$1001,$K28),""))</f>
        <v/>
      </c>
      <c r="I28" s="2" t="str">
        <f>IF($K28="","",IFERROR(INDEX('Veri Merkezi'!$T$2:$T$1001,$K28),""))</f>
        <v/>
      </c>
      <c r="J28" t="str">
        <f>IF($K28="","",IFERROR(INDEX('Veri Merkezi'!$U$2:$U$1001,$K28),""))</f>
        <v/>
      </c>
      <c r="K28" t="str">
        <f>IF(K27="","",IFERROR(K27+MATCH("B Liste",INDEX('Veri Merkezi'!$S$2:$S$1001,K27+1):'Veri Merkezi'!$S$1001,0),""))</f>
        <v/>
      </c>
    </row>
    <row r="29" spans="1:11">
      <c r="A29" t="str">
        <f>IF($K29="","",IFERROR(INDEX('Veri Merkezi'!$A$2:$A$1001,$K29),""))</f>
        <v/>
      </c>
      <c r="B29" t="str">
        <f>IF($K29="","",IFERROR(INDEX('Veri Merkezi'!$E$2:$E$1001,$K29),""))</f>
        <v/>
      </c>
      <c r="C29" t="str">
        <f>IF($K29="","",IFERROR(INDEX('Veri Merkezi'!$D$2:$D$1001,$K29),""))</f>
        <v/>
      </c>
      <c r="D29" t="str">
        <f>IF($K29="","",IFERROR(INDEX('Veri Merkezi'!$F$2:$F$1001,$K29),""))</f>
        <v/>
      </c>
      <c r="E29" s="2" t="str">
        <f>IF($K29="","",IFERROR(INDEX('Veri Merkezi'!$G$2:$G$1001,$K29),""))</f>
        <v/>
      </c>
      <c r="F29" t="str">
        <f>IF($K29="","",IFERROR(INDEX('Veri Merkezi'!$H$2:$H$1001,$K29),""))</f>
        <v/>
      </c>
      <c r="G29" t="str">
        <f>IF($K29="","",IFERROR(INDEX('Veri Merkezi'!$R$2:$R$1001,$K29),""))</f>
        <v/>
      </c>
      <c r="H29" t="str">
        <f>IF($K29="","",IFERROR(INDEX('Veri Merkezi'!$S$2:$S$1001,$K29),""))</f>
        <v/>
      </c>
      <c r="I29" s="2" t="str">
        <f>IF($K29="","",IFERROR(INDEX('Veri Merkezi'!$T$2:$T$1001,$K29),""))</f>
        <v/>
      </c>
      <c r="J29" t="str">
        <f>IF($K29="","",IFERROR(INDEX('Veri Merkezi'!$U$2:$U$1001,$K29),""))</f>
        <v/>
      </c>
      <c r="K29" t="str">
        <f>IF(K28="","",IFERROR(K28+MATCH("B Liste",INDEX('Veri Merkezi'!$S$2:$S$1001,K28+1):'Veri Merkezi'!$S$1001,0),""))</f>
        <v/>
      </c>
    </row>
    <row r="30" spans="1:11">
      <c r="A30" t="str">
        <f>IF($K30="","",IFERROR(INDEX('Veri Merkezi'!$A$2:$A$1001,$K30),""))</f>
        <v/>
      </c>
      <c r="B30" t="str">
        <f>IF($K30="","",IFERROR(INDEX('Veri Merkezi'!$E$2:$E$1001,$K30),""))</f>
        <v/>
      </c>
      <c r="C30" t="str">
        <f>IF($K30="","",IFERROR(INDEX('Veri Merkezi'!$D$2:$D$1001,$K30),""))</f>
        <v/>
      </c>
      <c r="D30" t="str">
        <f>IF($K30="","",IFERROR(INDEX('Veri Merkezi'!$F$2:$F$1001,$K30),""))</f>
        <v/>
      </c>
      <c r="E30" s="2" t="str">
        <f>IF($K30="","",IFERROR(INDEX('Veri Merkezi'!$G$2:$G$1001,$K30),""))</f>
        <v/>
      </c>
      <c r="F30" t="str">
        <f>IF($K30="","",IFERROR(INDEX('Veri Merkezi'!$H$2:$H$1001,$K30),""))</f>
        <v/>
      </c>
      <c r="G30" t="str">
        <f>IF($K30="","",IFERROR(INDEX('Veri Merkezi'!$R$2:$R$1001,$K30),""))</f>
        <v/>
      </c>
      <c r="H30" t="str">
        <f>IF($K30="","",IFERROR(INDEX('Veri Merkezi'!$S$2:$S$1001,$K30),""))</f>
        <v/>
      </c>
      <c r="I30" s="2" t="str">
        <f>IF($K30="","",IFERROR(INDEX('Veri Merkezi'!$T$2:$T$1001,$K30),""))</f>
        <v/>
      </c>
      <c r="J30" t="str">
        <f>IF($K30="","",IFERROR(INDEX('Veri Merkezi'!$U$2:$U$1001,$K30),""))</f>
        <v/>
      </c>
      <c r="K30" t="str">
        <f>IF(K29="","",IFERROR(K29+MATCH("B Liste",INDEX('Veri Merkezi'!$S$2:$S$1001,K29+1):'Veri Merkezi'!$S$1001,0),""))</f>
        <v/>
      </c>
    </row>
    <row r="31" spans="1:11">
      <c r="A31" t="str">
        <f>IF($K31="","",IFERROR(INDEX('Veri Merkezi'!$A$2:$A$1001,$K31),""))</f>
        <v/>
      </c>
      <c r="B31" t="str">
        <f>IF($K31="","",IFERROR(INDEX('Veri Merkezi'!$E$2:$E$1001,$K31),""))</f>
        <v/>
      </c>
      <c r="C31" t="str">
        <f>IF($K31="","",IFERROR(INDEX('Veri Merkezi'!$D$2:$D$1001,$K31),""))</f>
        <v/>
      </c>
      <c r="D31" t="str">
        <f>IF($K31="","",IFERROR(INDEX('Veri Merkezi'!$F$2:$F$1001,$K31),""))</f>
        <v/>
      </c>
      <c r="E31" s="2" t="str">
        <f>IF($K31="","",IFERROR(INDEX('Veri Merkezi'!$G$2:$G$1001,$K31),""))</f>
        <v/>
      </c>
      <c r="F31" t="str">
        <f>IF($K31="","",IFERROR(INDEX('Veri Merkezi'!$H$2:$H$1001,$K31),""))</f>
        <v/>
      </c>
      <c r="G31" t="str">
        <f>IF($K31="","",IFERROR(INDEX('Veri Merkezi'!$R$2:$R$1001,$K31),""))</f>
        <v/>
      </c>
      <c r="H31" t="str">
        <f>IF($K31="","",IFERROR(INDEX('Veri Merkezi'!$S$2:$S$1001,$K31),""))</f>
        <v/>
      </c>
      <c r="I31" s="2" t="str">
        <f>IF($K31="","",IFERROR(INDEX('Veri Merkezi'!$T$2:$T$1001,$K31),""))</f>
        <v/>
      </c>
      <c r="J31" t="str">
        <f>IF($K31="","",IFERROR(INDEX('Veri Merkezi'!$U$2:$U$1001,$K31),""))</f>
        <v/>
      </c>
      <c r="K31" t="str">
        <f>IF(K30="","",IFERROR(K30+MATCH("B Liste",INDEX('Veri Merkezi'!$S$2:$S$1001,K30+1):'Veri Merkezi'!$S$1001,0),""))</f>
        <v/>
      </c>
    </row>
    <row r="32" spans="1:11">
      <c r="A32" t="str">
        <f>IF($K32="","",IFERROR(INDEX('Veri Merkezi'!$A$2:$A$1001,$K32),""))</f>
        <v/>
      </c>
      <c r="B32" t="str">
        <f>IF($K32="","",IFERROR(INDEX('Veri Merkezi'!$E$2:$E$1001,$K32),""))</f>
        <v/>
      </c>
      <c r="C32" t="str">
        <f>IF($K32="","",IFERROR(INDEX('Veri Merkezi'!$D$2:$D$1001,$K32),""))</f>
        <v/>
      </c>
      <c r="D32" t="str">
        <f>IF($K32="","",IFERROR(INDEX('Veri Merkezi'!$F$2:$F$1001,$K32),""))</f>
        <v/>
      </c>
      <c r="E32" s="2" t="str">
        <f>IF($K32="","",IFERROR(INDEX('Veri Merkezi'!$G$2:$G$1001,$K32),""))</f>
        <v/>
      </c>
      <c r="F32" t="str">
        <f>IF($K32="","",IFERROR(INDEX('Veri Merkezi'!$H$2:$H$1001,$K32),""))</f>
        <v/>
      </c>
      <c r="G32" t="str">
        <f>IF($K32="","",IFERROR(INDEX('Veri Merkezi'!$R$2:$R$1001,$K32),""))</f>
        <v/>
      </c>
      <c r="H32" t="str">
        <f>IF($K32="","",IFERROR(INDEX('Veri Merkezi'!$S$2:$S$1001,$K32),""))</f>
        <v/>
      </c>
      <c r="I32" s="2" t="str">
        <f>IF($K32="","",IFERROR(INDEX('Veri Merkezi'!$T$2:$T$1001,$K32),""))</f>
        <v/>
      </c>
      <c r="J32" t="str">
        <f>IF($K32="","",IFERROR(INDEX('Veri Merkezi'!$U$2:$U$1001,$K32),""))</f>
        <v/>
      </c>
      <c r="K32" t="str">
        <f>IF(K31="","",IFERROR(K31+MATCH("B Liste",INDEX('Veri Merkezi'!$S$2:$S$1001,K31+1):'Veri Merkezi'!$S$1001,0),""))</f>
        <v/>
      </c>
    </row>
    <row r="33" spans="1:11">
      <c r="A33" t="str">
        <f>IF($K33="","",IFERROR(INDEX('Veri Merkezi'!$A$2:$A$1001,$K33),""))</f>
        <v/>
      </c>
      <c r="B33" t="str">
        <f>IF($K33="","",IFERROR(INDEX('Veri Merkezi'!$E$2:$E$1001,$K33),""))</f>
        <v/>
      </c>
      <c r="C33" t="str">
        <f>IF($K33="","",IFERROR(INDEX('Veri Merkezi'!$D$2:$D$1001,$K33),""))</f>
        <v/>
      </c>
      <c r="D33" t="str">
        <f>IF($K33="","",IFERROR(INDEX('Veri Merkezi'!$F$2:$F$1001,$K33),""))</f>
        <v/>
      </c>
      <c r="E33" s="2" t="str">
        <f>IF($K33="","",IFERROR(INDEX('Veri Merkezi'!$G$2:$G$1001,$K33),""))</f>
        <v/>
      </c>
      <c r="F33" t="str">
        <f>IF($K33="","",IFERROR(INDEX('Veri Merkezi'!$H$2:$H$1001,$K33),""))</f>
        <v/>
      </c>
      <c r="G33" t="str">
        <f>IF($K33="","",IFERROR(INDEX('Veri Merkezi'!$R$2:$R$1001,$K33),""))</f>
        <v/>
      </c>
      <c r="H33" t="str">
        <f>IF($K33="","",IFERROR(INDEX('Veri Merkezi'!$S$2:$S$1001,$K33),""))</f>
        <v/>
      </c>
      <c r="I33" s="2" t="str">
        <f>IF($K33="","",IFERROR(INDEX('Veri Merkezi'!$T$2:$T$1001,$K33),""))</f>
        <v/>
      </c>
      <c r="J33" t="str">
        <f>IF($K33="","",IFERROR(INDEX('Veri Merkezi'!$U$2:$U$1001,$K33),""))</f>
        <v/>
      </c>
      <c r="K33" t="str">
        <f>IF(K32="","",IFERROR(K32+MATCH("B Liste",INDEX('Veri Merkezi'!$S$2:$S$1001,K32+1):'Veri Merkezi'!$S$1001,0),""))</f>
        <v/>
      </c>
    </row>
    <row r="34" spans="1:11">
      <c r="A34" t="str">
        <f>IF($K34="","",IFERROR(INDEX('Veri Merkezi'!$A$2:$A$1001,$K34),""))</f>
        <v/>
      </c>
      <c r="B34" t="str">
        <f>IF($K34="","",IFERROR(INDEX('Veri Merkezi'!$E$2:$E$1001,$K34),""))</f>
        <v/>
      </c>
      <c r="C34" t="str">
        <f>IF($K34="","",IFERROR(INDEX('Veri Merkezi'!$D$2:$D$1001,$K34),""))</f>
        <v/>
      </c>
      <c r="D34" t="str">
        <f>IF($K34="","",IFERROR(INDEX('Veri Merkezi'!$F$2:$F$1001,$K34),""))</f>
        <v/>
      </c>
      <c r="E34" s="2" t="str">
        <f>IF($K34="","",IFERROR(INDEX('Veri Merkezi'!$G$2:$G$1001,$K34),""))</f>
        <v/>
      </c>
      <c r="F34" t="str">
        <f>IF($K34="","",IFERROR(INDEX('Veri Merkezi'!$H$2:$H$1001,$K34),""))</f>
        <v/>
      </c>
      <c r="G34" t="str">
        <f>IF($K34="","",IFERROR(INDEX('Veri Merkezi'!$R$2:$R$1001,$K34),""))</f>
        <v/>
      </c>
      <c r="H34" t="str">
        <f>IF($K34="","",IFERROR(INDEX('Veri Merkezi'!$S$2:$S$1001,$K34),""))</f>
        <v/>
      </c>
      <c r="I34" s="2" t="str">
        <f>IF($K34="","",IFERROR(INDEX('Veri Merkezi'!$T$2:$T$1001,$K34),""))</f>
        <v/>
      </c>
      <c r="J34" t="str">
        <f>IF($K34="","",IFERROR(INDEX('Veri Merkezi'!$U$2:$U$1001,$K34),""))</f>
        <v/>
      </c>
      <c r="K34" t="str">
        <f>IF(K33="","",IFERROR(K33+MATCH("B Liste",INDEX('Veri Merkezi'!$S$2:$S$1001,K33+1):'Veri Merkezi'!$S$1001,0),""))</f>
        <v/>
      </c>
    </row>
    <row r="35" spans="1:11">
      <c r="A35" t="str">
        <f>IF($K35="","",IFERROR(INDEX('Veri Merkezi'!$A$2:$A$1001,$K35),""))</f>
        <v/>
      </c>
      <c r="B35" t="str">
        <f>IF($K35="","",IFERROR(INDEX('Veri Merkezi'!$E$2:$E$1001,$K35),""))</f>
        <v/>
      </c>
      <c r="C35" t="str">
        <f>IF($K35="","",IFERROR(INDEX('Veri Merkezi'!$D$2:$D$1001,$K35),""))</f>
        <v/>
      </c>
      <c r="D35" t="str">
        <f>IF($K35="","",IFERROR(INDEX('Veri Merkezi'!$F$2:$F$1001,$K35),""))</f>
        <v/>
      </c>
      <c r="E35" s="2" t="str">
        <f>IF($K35="","",IFERROR(INDEX('Veri Merkezi'!$G$2:$G$1001,$K35),""))</f>
        <v/>
      </c>
      <c r="F35" t="str">
        <f>IF($K35="","",IFERROR(INDEX('Veri Merkezi'!$H$2:$H$1001,$K35),""))</f>
        <v/>
      </c>
      <c r="G35" t="str">
        <f>IF($K35="","",IFERROR(INDEX('Veri Merkezi'!$R$2:$R$1001,$K35),""))</f>
        <v/>
      </c>
      <c r="H35" t="str">
        <f>IF($K35="","",IFERROR(INDEX('Veri Merkezi'!$S$2:$S$1001,$K35),""))</f>
        <v/>
      </c>
      <c r="I35" s="2" t="str">
        <f>IF($K35="","",IFERROR(INDEX('Veri Merkezi'!$T$2:$T$1001,$K35),""))</f>
        <v/>
      </c>
      <c r="J35" t="str">
        <f>IF($K35="","",IFERROR(INDEX('Veri Merkezi'!$U$2:$U$1001,$K35),""))</f>
        <v/>
      </c>
      <c r="K35" t="str">
        <f>IF(K34="","",IFERROR(K34+MATCH("B Liste",INDEX('Veri Merkezi'!$S$2:$S$1001,K34+1):'Veri Merkezi'!$S$1001,0),""))</f>
        <v/>
      </c>
    </row>
    <row r="36" spans="1:11">
      <c r="A36" t="str">
        <f>IF($K36="","",IFERROR(INDEX('Veri Merkezi'!$A$2:$A$1001,$K36),""))</f>
        <v/>
      </c>
      <c r="B36" t="str">
        <f>IF($K36="","",IFERROR(INDEX('Veri Merkezi'!$E$2:$E$1001,$K36),""))</f>
        <v/>
      </c>
      <c r="C36" t="str">
        <f>IF($K36="","",IFERROR(INDEX('Veri Merkezi'!$D$2:$D$1001,$K36),""))</f>
        <v/>
      </c>
      <c r="D36" t="str">
        <f>IF($K36="","",IFERROR(INDEX('Veri Merkezi'!$F$2:$F$1001,$K36),""))</f>
        <v/>
      </c>
      <c r="E36" s="2" t="str">
        <f>IF($K36="","",IFERROR(INDEX('Veri Merkezi'!$G$2:$G$1001,$K36),""))</f>
        <v/>
      </c>
      <c r="F36" t="str">
        <f>IF($K36="","",IFERROR(INDEX('Veri Merkezi'!$H$2:$H$1001,$K36),""))</f>
        <v/>
      </c>
      <c r="G36" t="str">
        <f>IF($K36="","",IFERROR(INDEX('Veri Merkezi'!$R$2:$R$1001,$K36),""))</f>
        <v/>
      </c>
      <c r="H36" t="str">
        <f>IF($K36="","",IFERROR(INDEX('Veri Merkezi'!$S$2:$S$1001,$K36),""))</f>
        <v/>
      </c>
      <c r="I36" s="2" t="str">
        <f>IF($K36="","",IFERROR(INDEX('Veri Merkezi'!$T$2:$T$1001,$K36),""))</f>
        <v/>
      </c>
      <c r="J36" t="str">
        <f>IF($K36="","",IFERROR(INDEX('Veri Merkezi'!$U$2:$U$1001,$K36),""))</f>
        <v/>
      </c>
      <c r="K36" t="str">
        <f>IF(K35="","",IFERROR(K35+MATCH("B Liste",INDEX('Veri Merkezi'!$S$2:$S$1001,K35+1):'Veri Merkezi'!$S$1001,0),""))</f>
        <v/>
      </c>
    </row>
    <row r="37" spans="1:11">
      <c r="A37" t="str">
        <f>IF($K37="","",IFERROR(INDEX('Veri Merkezi'!$A$2:$A$1001,$K37),""))</f>
        <v/>
      </c>
      <c r="B37" t="str">
        <f>IF($K37="","",IFERROR(INDEX('Veri Merkezi'!$E$2:$E$1001,$K37),""))</f>
        <v/>
      </c>
      <c r="C37" t="str">
        <f>IF($K37="","",IFERROR(INDEX('Veri Merkezi'!$D$2:$D$1001,$K37),""))</f>
        <v/>
      </c>
      <c r="D37" t="str">
        <f>IF($K37="","",IFERROR(INDEX('Veri Merkezi'!$F$2:$F$1001,$K37),""))</f>
        <v/>
      </c>
      <c r="E37" s="2" t="str">
        <f>IF($K37="","",IFERROR(INDEX('Veri Merkezi'!$G$2:$G$1001,$K37),""))</f>
        <v/>
      </c>
      <c r="F37" t="str">
        <f>IF($K37="","",IFERROR(INDEX('Veri Merkezi'!$H$2:$H$1001,$K37),""))</f>
        <v/>
      </c>
      <c r="G37" t="str">
        <f>IF($K37="","",IFERROR(INDEX('Veri Merkezi'!$R$2:$R$1001,$K37),""))</f>
        <v/>
      </c>
      <c r="H37" t="str">
        <f>IF($K37="","",IFERROR(INDEX('Veri Merkezi'!$S$2:$S$1001,$K37),""))</f>
        <v/>
      </c>
      <c r="I37" s="2" t="str">
        <f>IF($K37="","",IFERROR(INDEX('Veri Merkezi'!$T$2:$T$1001,$K37),""))</f>
        <v/>
      </c>
      <c r="J37" t="str">
        <f>IF($K37="","",IFERROR(INDEX('Veri Merkezi'!$U$2:$U$1001,$K37),""))</f>
        <v/>
      </c>
      <c r="K37" t="str">
        <f>IF(K36="","",IFERROR(K36+MATCH("B Liste",INDEX('Veri Merkezi'!$S$2:$S$1001,K36+1):'Veri Merkezi'!$S$1001,0),""))</f>
        <v/>
      </c>
    </row>
    <row r="38" spans="1:11">
      <c r="A38" t="str">
        <f>IF($K38="","",IFERROR(INDEX('Veri Merkezi'!$A$2:$A$1001,$K38),""))</f>
        <v/>
      </c>
      <c r="B38" t="str">
        <f>IF($K38="","",IFERROR(INDEX('Veri Merkezi'!$E$2:$E$1001,$K38),""))</f>
        <v/>
      </c>
      <c r="C38" t="str">
        <f>IF($K38="","",IFERROR(INDEX('Veri Merkezi'!$D$2:$D$1001,$K38),""))</f>
        <v/>
      </c>
      <c r="D38" t="str">
        <f>IF($K38="","",IFERROR(INDEX('Veri Merkezi'!$F$2:$F$1001,$K38),""))</f>
        <v/>
      </c>
      <c r="E38" s="2" t="str">
        <f>IF($K38="","",IFERROR(INDEX('Veri Merkezi'!$G$2:$G$1001,$K38),""))</f>
        <v/>
      </c>
      <c r="F38" t="str">
        <f>IF($K38="","",IFERROR(INDEX('Veri Merkezi'!$H$2:$H$1001,$K38),""))</f>
        <v/>
      </c>
      <c r="G38" t="str">
        <f>IF($K38="","",IFERROR(INDEX('Veri Merkezi'!$R$2:$R$1001,$K38),""))</f>
        <v/>
      </c>
      <c r="H38" t="str">
        <f>IF($K38="","",IFERROR(INDEX('Veri Merkezi'!$S$2:$S$1001,$K38),""))</f>
        <v/>
      </c>
      <c r="I38" s="2" t="str">
        <f>IF($K38="","",IFERROR(INDEX('Veri Merkezi'!$T$2:$T$1001,$K38),""))</f>
        <v/>
      </c>
      <c r="J38" t="str">
        <f>IF($K38="","",IFERROR(INDEX('Veri Merkezi'!$U$2:$U$1001,$K38),""))</f>
        <v/>
      </c>
      <c r="K38" t="str">
        <f>IF(K37="","",IFERROR(K37+MATCH("B Liste",INDEX('Veri Merkezi'!$S$2:$S$1001,K37+1):'Veri Merkezi'!$S$1001,0),""))</f>
        <v/>
      </c>
    </row>
    <row r="39" spans="1:11">
      <c r="A39" t="str">
        <f>IF($K39="","",IFERROR(INDEX('Veri Merkezi'!$A$2:$A$1001,$K39),""))</f>
        <v/>
      </c>
      <c r="B39" t="str">
        <f>IF($K39="","",IFERROR(INDEX('Veri Merkezi'!$E$2:$E$1001,$K39),""))</f>
        <v/>
      </c>
      <c r="C39" t="str">
        <f>IF($K39="","",IFERROR(INDEX('Veri Merkezi'!$D$2:$D$1001,$K39),""))</f>
        <v/>
      </c>
      <c r="D39" t="str">
        <f>IF($K39="","",IFERROR(INDEX('Veri Merkezi'!$F$2:$F$1001,$K39),""))</f>
        <v/>
      </c>
      <c r="E39" s="2" t="str">
        <f>IF($K39="","",IFERROR(INDEX('Veri Merkezi'!$G$2:$G$1001,$K39),""))</f>
        <v/>
      </c>
      <c r="F39" t="str">
        <f>IF($K39="","",IFERROR(INDEX('Veri Merkezi'!$H$2:$H$1001,$K39),""))</f>
        <v/>
      </c>
      <c r="G39" t="str">
        <f>IF($K39="","",IFERROR(INDEX('Veri Merkezi'!$R$2:$R$1001,$K39),""))</f>
        <v/>
      </c>
      <c r="H39" t="str">
        <f>IF($K39="","",IFERROR(INDEX('Veri Merkezi'!$S$2:$S$1001,$K39),""))</f>
        <v/>
      </c>
      <c r="I39" s="2" t="str">
        <f>IF($K39="","",IFERROR(INDEX('Veri Merkezi'!$T$2:$T$1001,$K39),""))</f>
        <v/>
      </c>
      <c r="J39" t="str">
        <f>IF($K39="","",IFERROR(INDEX('Veri Merkezi'!$U$2:$U$1001,$K39),""))</f>
        <v/>
      </c>
      <c r="K39" t="str">
        <f>IF(K38="","",IFERROR(K38+MATCH("B Liste",INDEX('Veri Merkezi'!$S$2:$S$1001,K38+1):'Veri Merkezi'!$S$1001,0),""))</f>
        <v/>
      </c>
    </row>
    <row r="40" spans="1:11">
      <c r="A40" t="str">
        <f>IF($K40="","",IFERROR(INDEX('Veri Merkezi'!$A$2:$A$1001,$K40),""))</f>
        <v/>
      </c>
      <c r="B40" t="str">
        <f>IF($K40="","",IFERROR(INDEX('Veri Merkezi'!$E$2:$E$1001,$K40),""))</f>
        <v/>
      </c>
      <c r="C40" t="str">
        <f>IF($K40="","",IFERROR(INDEX('Veri Merkezi'!$D$2:$D$1001,$K40),""))</f>
        <v/>
      </c>
      <c r="D40" t="str">
        <f>IF($K40="","",IFERROR(INDEX('Veri Merkezi'!$F$2:$F$1001,$K40),""))</f>
        <v/>
      </c>
      <c r="E40" s="2" t="str">
        <f>IF($K40="","",IFERROR(INDEX('Veri Merkezi'!$G$2:$G$1001,$K40),""))</f>
        <v/>
      </c>
      <c r="F40" t="str">
        <f>IF($K40="","",IFERROR(INDEX('Veri Merkezi'!$H$2:$H$1001,$K40),""))</f>
        <v/>
      </c>
      <c r="G40" t="str">
        <f>IF($K40="","",IFERROR(INDEX('Veri Merkezi'!$R$2:$R$1001,$K40),""))</f>
        <v/>
      </c>
      <c r="H40" t="str">
        <f>IF($K40="","",IFERROR(INDEX('Veri Merkezi'!$S$2:$S$1001,$K40),""))</f>
        <v/>
      </c>
      <c r="I40" s="2" t="str">
        <f>IF($K40="","",IFERROR(INDEX('Veri Merkezi'!$T$2:$T$1001,$K40),""))</f>
        <v/>
      </c>
      <c r="J40" t="str">
        <f>IF($K40="","",IFERROR(INDEX('Veri Merkezi'!$U$2:$U$1001,$K40),""))</f>
        <v/>
      </c>
      <c r="K40" t="str">
        <f>IF(K39="","",IFERROR(K39+MATCH("B Liste",INDEX('Veri Merkezi'!$S$2:$S$1001,K39+1):'Veri Merkezi'!$S$1001,0),""))</f>
        <v/>
      </c>
    </row>
    <row r="41" spans="1:11">
      <c r="A41" t="str">
        <f>IF($K41="","",IFERROR(INDEX('Veri Merkezi'!$A$2:$A$1001,$K41),""))</f>
        <v/>
      </c>
      <c r="B41" t="str">
        <f>IF($K41="","",IFERROR(INDEX('Veri Merkezi'!$E$2:$E$1001,$K41),""))</f>
        <v/>
      </c>
      <c r="C41" t="str">
        <f>IF($K41="","",IFERROR(INDEX('Veri Merkezi'!$D$2:$D$1001,$K41),""))</f>
        <v/>
      </c>
      <c r="D41" t="str">
        <f>IF($K41="","",IFERROR(INDEX('Veri Merkezi'!$F$2:$F$1001,$K41),""))</f>
        <v/>
      </c>
      <c r="E41" s="2" t="str">
        <f>IF($K41="","",IFERROR(INDEX('Veri Merkezi'!$G$2:$G$1001,$K41),""))</f>
        <v/>
      </c>
      <c r="F41" t="str">
        <f>IF($K41="","",IFERROR(INDEX('Veri Merkezi'!$H$2:$H$1001,$K41),""))</f>
        <v/>
      </c>
      <c r="G41" t="str">
        <f>IF($K41="","",IFERROR(INDEX('Veri Merkezi'!$R$2:$R$1001,$K41),""))</f>
        <v/>
      </c>
      <c r="H41" t="str">
        <f>IF($K41="","",IFERROR(INDEX('Veri Merkezi'!$S$2:$S$1001,$K41),""))</f>
        <v/>
      </c>
      <c r="I41" s="2" t="str">
        <f>IF($K41="","",IFERROR(INDEX('Veri Merkezi'!$T$2:$T$1001,$K41),""))</f>
        <v/>
      </c>
      <c r="J41" t="str">
        <f>IF($K41="","",IFERROR(INDEX('Veri Merkezi'!$U$2:$U$1001,$K41),""))</f>
        <v/>
      </c>
      <c r="K41" t="str">
        <f>IF(K40="","",IFERROR(K40+MATCH("B Liste",INDEX('Veri Merkezi'!$S$2:$S$1001,K40+1):'Veri Merkezi'!$S$1001,0),""))</f>
        <v/>
      </c>
    </row>
    <row r="42" spans="1:11">
      <c r="A42" t="str">
        <f>IF($K42="","",IFERROR(INDEX('Veri Merkezi'!$A$2:$A$1001,$K42),""))</f>
        <v/>
      </c>
      <c r="B42" t="str">
        <f>IF($K42="","",IFERROR(INDEX('Veri Merkezi'!$E$2:$E$1001,$K42),""))</f>
        <v/>
      </c>
      <c r="C42" t="str">
        <f>IF($K42="","",IFERROR(INDEX('Veri Merkezi'!$D$2:$D$1001,$K42),""))</f>
        <v/>
      </c>
      <c r="D42" t="str">
        <f>IF($K42="","",IFERROR(INDEX('Veri Merkezi'!$F$2:$F$1001,$K42),""))</f>
        <v/>
      </c>
      <c r="E42" s="2" t="str">
        <f>IF($K42="","",IFERROR(INDEX('Veri Merkezi'!$G$2:$G$1001,$K42),""))</f>
        <v/>
      </c>
      <c r="F42" t="str">
        <f>IF($K42="","",IFERROR(INDEX('Veri Merkezi'!$H$2:$H$1001,$K42),""))</f>
        <v/>
      </c>
      <c r="G42" t="str">
        <f>IF($K42="","",IFERROR(INDEX('Veri Merkezi'!$R$2:$R$1001,$K42),""))</f>
        <v/>
      </c>
      <c r="H42" t="str">
        <f>IF($K42="","",IFERROR(INDEX('Veri Merkezi'!$S$2:$S$1001,$K42),""))</f>
        <v/>
      </c>
      <c r="I42" s="2" t="str">
        <f>IF($K42="","",IFERROR(INDEX('Veri Merkezi'!$T$2:$T$1001,$K42),""))</f>
        <v/>
      </c>
      <c r="J42" t="str">
        <f>IF($K42="","",IFERROR(INDEX('Veri Merkezi'!$U$2:$U$1001,$K42),""))</f>
        <v/>
      </c>
      <c r="K42" t="str">
        <f>IF(K41="","",IFERROR(K41+MATCH("B Liste",INDEX('Veri Merkezi'!$S$2:$S$1001,K41+1):'Veri Merkezi'!$S$1001,0),""))</f>
        <v/>
      </c>
    </row>
    <row r="43" spans="1:11">
      <c r="A43" t="str">
        <f>IF($K43="","",IFERROR(INDEX('Veri Merkezi'!$A$2:$A$1001,$K43),""))</f>
        <v/>
      </c>
      <c r="B43" t="str">
        <f>IF($K43="","",IFERROR(INDEX('Veri Merkezi'!$E$2:$E$1001,$K43),""))</f>
        <v/>
      </c>
      <c r="C43" t="str">
        <f>IF($K43="","",IFERROR(INDEX('Veri Merkezi'!$D$2:$D$1001,$K43),""))</f>
        <v/>
      </c>
      <c r="D43" t="str">
        <f>IF($K43="","",IFERROR(INDEX('Veri Merkezi'!$F$2:$F$1001,$K43),""))</f>
        <v/>
      </c>
      <c r="E43" s="2" t="str">
        <f>IF($K43="","",IFERROR(INDEX('Veri Merkezi'!$G$2:$G$1001,$K43),""))</f>
        <v/>
      </c>
      <c r="F43" t="str">
        <f>IF($K43="","",IFERROR(INDEX('Veri Merkezi'!$H$2:$H$1001,$K43),""))</f>
        <v/>
      </c>
      <c r="G43" t="str">
        <f>IF($K43="","",IFERROR(INDEX('Veri Merkezi'!$R$2:$R$1001,$K43),""))</f>
        <v/>
      </c>
      <c r="H43" t="str">
        <f>IF($K43="","",IFERROR(INDEX('Veri Merkezi'!$S$2:$S$1001,$K43),""))</f>
        <v/>
      </c>
      <c r="I43" s="2" t="str">
        <f>IF($K43="","",IFERROR(INDEX('Veri Merkezi'!$T$2:$T$1001,$K43),""))</f>
        <v/>
      </c>
      <c r="J43" t="str">
        <f>IF($K43="","",IFERROR(INDEX('Veri Merkezi'!$U$2:$U$1001,$K43),""))</f>
        <v/>
      </c>
      <c r="K43" t="str">
        <f>IF(K42="","",IFERROR(K42+MATCH("B Liste",INDEX('Veri Merkezi'!$S$2:$S$1001,K42+1):'Veri Merkezi'!$S$1001,0),""))</f>
        <v/>
      </c>
    </row>
    <row r="44" spans="1:11">
      <c r="A44" t="str">
        <f>IF($K44="","",IFERROR(INDEX('Veri Merkezi'!$A$2:$A$1001,$K44),""))</f>
        <v/>
      </c>
      <c r="B44" t="str">
        <f>IF($K44="","",IFERROR(INDEX('Veri Merkezi'!$E$2:$E$1001,$K44),""))</f>
        <v/>
      </c>
      <c r="C44" t="str">
        <f>IF($K44="","",IFERROR(INDEX('Veri Merkezi'!$D$2:$D$1001,$K44),""))</f>
        <v/>
      </c>
      <c r="D44" t="str">
        <f>IF($K44="","",IFERROR(INDEX('Veri Merkezi'!$F$2:$F$1001,$K44),""))</f>
        <v/>
      </c>
      <c r="E44" s="2" t="str">
        <f>IF($K44="","",IFERROR(INDEX('Veri Merkezi'!$G$2:$G$1001,$K44),""))</f>
        <v/>
      </c>
      <c r="F44" t="str">
        <f>IF($K44="","",IFERROR(INDEX('Veri Merkezi'!$H$2:$H$1001,$K44),""))</f>
        <v/>
      </c>
      <c r="G44" t="str">
        <f>IF($K44="","",IFERROR(INDEX('Veri Merkezi'!$R$2:$R$1001,$K44),""))</f>
        <v/>
      </c>
      <c r="H44" t="str">
        <f>IF($K44="","",IFERROR(INDEX('Veri Merkezi'!$S$2:$S$1001,$K44),""))</f>
        <v/>
      </c>
      <c r="I44" s="2" t="str">
        <f>IF($K44="","",IFERROR(INDEX('Veri Merkezi'!$T$2:$T$1001,$K44),""))</f>
        <v/>
      </c>
      <c r="J44" t="str">
        <f>IF($K44="","",IFERROR(INDEX('Veri Merkezi'!$U$2:$U$1001,$K44),""))</f>
        <v/>
      </c>
      <c r="K44" t="str">
        <f>IF(K43="","",IFERROR(K43+MATCH("B Liste",INDEX('Veri Merkezi'!$S$2:$S$1001,K43+1):'Veri Merkezi'!$S$1001,0),""))</f>
        <v/>
      </c>
    </row>
    <row r="45" spans="1:11">
      <c r="A45" t="str">
        <f>IF($K45="","",IFERROR(INDEX('Veri Merkezi'!$A$2:$A$1001,$K45),""))</f>
        <v/>
      </c>
      <c r="B45" t="str">
        <f>IF($K45="","",IFERROR(INDEX('Veri Merkezi'!$E$2:$E$1001,$K45),""))</f>
        <v/>
      </c>
      <c r="C45" t="str">
        <f>IF($K45="","",IFERROR(INDEX('Veri Merkezi'!$D$2:$D$1001,$K45),""))</f>
        <v/>
      </c>
      <c r="D45" t="str">
        <f>IF($K45="","",IFERROR(INDEX('Veri Merkezi'!$F$2:$F$1001,$K45),""))</f>
        <v/>
      </c>
      <c r="E45" s="2" t="str">
        <f>IF($K45="","",IFERROR(INDEX('Veri Merkezi'!$G$2:$G$1001,$K45),""))</f>
        <v/>
      </c>
      <c r="F45" t="str">
        <f>IF($K45="","",IFERROR(INDEX('Veri Merkezi'!$H$2:$H$1001,$K45),""))</f>
        <v/>
      </c>
      <c r="G45" t="str">
        <f>IF($K45="","",IFERROR(INDEX('Veri Merkezi'!$R$2:$R$1001,$K45),""))</f>
        <v/>
      </c>
      <c r="H45" t="str">
        <f>IF($K45="","",IFERROR(INDEX('Veri Merkezi'!$S$2:$S$1001,$K45),""))</f>
        <v/>
      </c>
      <c r="I45" s="2" t="str">
        <f>IF($K45="","",IFERROR(INDEX('Veri Merkezi'!$T$2:$T$1001,$K45),""))</f>
        <v/>
      </c>
      <c r="J45" t="str">
        <f>IF($K45="","",IFERROR(INDEX('Veri Merkezi'!$U$2:$U$1001,$K45),""))</f>
        <v/>
      </c>
      <c r="K45" t="str">
        <f>IF(K44="","",IFERROR(K44+MATCH("B Liste",INDEX('Veri Merkezi'!$S$2:$S$1001,K44+1):'Veri Merkezi'!$S$1001,0),""))</f>
        <v/>
      </c>
    </row>
    <row r="46" spans="1:11">
      <c r="A46" t="str">
        <f>IF($K46="","",IFERROR(INDEX('Veri Merkezi'!$A$2:$A$1001,$K46),""))</f>
        <v/>
      </c>
      <c r="B46" t="str">
        <f>IF($K46="","",IFERROR(INDEX('Veri Merkezi'!$E$2:$E$1001,$K46),""))</f>
        <v/>
      </c>
      <c r="C46" t="str">
        <f>IF($K46="","",IFERROR(INDEX('Veri Merkezi'!$D$2:$D$1001,$K46),""))</f>
        <v/>
      </c>
      <c r="D46" t="str">
        <f>IF($K46="","",IFERROR(INDEX('Veri Merkezi'!$F$2:$F$1001,$K46),""))</f>
        <v/>
      </c>
      <c r="E46" s="2" t="str">
        <f>IF($K46="","",IFERROR(INDEX('Veri Merkezi'!$G$2:$G$1001,$K46),""))</f>
        <v/>
      </c>
      <c r="F46" t="str">
        <f>IF($K46="","",IFERROR(INDEX('Veri Merkezi'!$H$2:$H$1001,$K46),""))</f>
        <v/>
      </c>
      <c r="G46" t="str">
        <f>IF($K46="","",IFERROR(INDEX('Veri Merkezi'!$R$2:$R$1001,$K46),""))</f>
        <v/>
      </c>
      <c r="H46" t="str">
        <f>IF($K46="","",IFERROR(INDEX('Veri Merkezi'!$S$2:$S$1001,$K46),""))</f>
        <v/>
      </c>
      <c r="I46" s="2" t="str">
        <f>IF($K46="","",IFERROR(INDEX('Veri Merkezi'!$T$2:$T$1001,$K46),""))</f>
        <v/>
      </c>
      <c r="J46" t="str">
        <f>IF($K46="","",IFERROR(INDEX('Veri Merkezi'!$U$2:$U$1001,$K46),""))</f>
        <v/>
      </c>
      <c r="K46" t="str">
        <f>IF(K45="","",IFERROR(K45+MATCH("B Liste",INDEX('Veri Merkezi'!$S$2:$S$1001,K45+1):'Veri Merkezi'!$S$1001,0),""))</f>
        <v/>
      </c>
    </row>
    <row r="47" spans="1:11">
      <c r="A47" t="str">
        <f>IF($K47="","",IFERROR(INDEX('Veri Merkezi'!$A$2:$A$1001,$K47),""))</f>
        <v/>
      </c>
      <c r="B47" t="str">
        <f>IF($K47="","",IFERROR(INDEX('Veri Merkezi'!$E$2:$E$1001,$K47),""))</f>
        <v/>
      </c>
      <c r="C47" t="str">
        <f>IF($K47="","",IFERROR(INDEX('Veri Merkezi'!$D$2:$D$1001,$K47),""))</f>
        <v/>
      </c>
      <c r="D47" t="str">
        <f>IF($K47="","",IFERROR(INDEX('Veri Merkezi'!$F$2:$F$1001,$K47),""))</f>
        <v/>
      </c>
      <c r="E47" s="2" t="str">
        <f>IF($K47="","",IFERROR(INDEX('Veri Merkezi'!$G$2:$G$1001,$K47),""))</f>
        <v/>
      </c>
      <c r="F47" t="str">
        <f>IF($K47="","",IFERROR(INDEX('Veri Merkezi'!$H$2:$H$1001,$K47),""))</f>
        <v/>
      </c>
      <c r="G47" t="str">
        <f>IF($K47="","",IFERROR(INDEX('Veri Merkezi'!$R$2:$R$1001,$K47),""))</f>
        <v/>
      </c>
      <c r="H47" t="str">
        <f>IF($K47="","",IFERROR(INDEX('Veri Merkezi'!$S$2:$S$1001,$K47),""))</f>
        <v/>
      </c>
      <c r="I47" s="2" t="str">
        <f>IF($K47="","",IFERROR(INDEX('Veri Merkezi'!$T$2:$T$1001,$K47),""))</f>
        <v/>
      </c>
      <c r="J47" t="str">
        <f>IF($K47="","",IFERROR(INDEX('Veri Merkezi'!$U$2:$U$1001,$K47),""))</f>
        <v/>
      </c>
      <c r="K47" t="str">
        <f>IF(K46="","",IFERROR(K46+MATCH("B Liste",INDEX('Veri Merkezi'!$S$2:$S$1001,K46+1):'Veri Merkezi'!$S$1001,0),""))</f>
        <v/>
      </c>
    </row>
    <row r="48" spans="1:11">
      <c r="A48" t="str">
        <f>IF($K48="","",IFERROR(INDEX('Veri Merkezi'!$A$2:$A$1001,$K48),""))</f>
        <v/>
      </c>
      <c r="B48" t="str">
        <f>IF($K48="","",IFERROR(INDEX('Veri Merkezi'!$E$2:$E$1001,$K48),""))</f>
        <v/>
      </c>
      <c r="C48" t="str">
        <f>IF($K48="","",IFERROR(INDEX('Veri Merkezi'!$D$2:$D$1001,$K48),""))</f>
        <v/>
      </c>
      <c r="D48" t="str">
        <f>IF($K48="","",IFERROR(INDEX('Veri Merkezi'!$F$2:$F$1001,$K48),""))</f>
        <v/>
      </c>
      <c r="E48" s="2" t="str">
        <f>IF($K48="","",IFERROR(INDEX('Veri Merkezi'!$G$2:$G$1001,$K48),""))</f>
        <v/>
      </c>
      <c r="F48" t="str">
        <f>IF($K48="","",IFERROR(INDEX('Veri Merkezi'!$H$2:$H$1001,$K48),""))</f>
        <v/>
      </c>
      <c r="G48" t="str">
        <f>IF($K48="","",IFERROR(INDEX('Veri Merkezi'!$R$2:$R$1001,$K48),""))</f>
        <v/>
      </c>
      <c r="H48" t="str">
        <f>IF($K48="","",IFERROR(INDEX('Veri Merkezi'!$S$2:$S$1001,$K48),""))</f>
        <v/>
      </c>
      <c r="I48" s="2" t="str">
        <f>IF($K48="","",IFERROR(INDEX('Veri Merkezi'!$T$2:$T$1001,$K48),""))</f>
        <v/>
      </c>
      <c r="J48" t="str">
        <f>IF($K48="","",IFERROR(INDEX('Veri Merkezi'!$U$2:$U$1001,$K48),""))</f>
        <v/>
      </c>
      <c r="K48" t="str">
        <f>IF(K47="","",IFERROR(K47+MATCH("B Liste",INDEX('Veri Merkezi'!$S$2:$S$1001,K47+1):'Veri Merkezi'!$S$1001,0),""))</f>
        <v/>
      </c>
    </row>
    <row r="49" spans="1:11">
      <c r="A49" t="str">
        <f>IF($K49="","",IFERROR(INDEX('Veri Merkezi'!$A$2:$A$1001,$K49),""))</f>
        <v/>
      </c>
      <c r="B49" t="str">
        <f>IF($K49="","",IFERROR(INDEX('Veri Merkezi'!$E$2:$E$1001,$K49),""))</f>
        <v/>
      </c>
      <c r="C49" t="str">
        <f>IF($K49="","",IFERROR(INDEX('Veri Merkezi'!$D$2:$D$1001,$K49),""))</f>
        <v/>
      </c>
      <c r="D49" t="str">
        <f>IF($K49="","",IFERROR(INDEX('Veri Merkezi'!$F$2:$F$1001,$K49),""))</f>
        <v/>
      </c>
      <c r="E49" s="2" t="str">
        <f>IF($K49="","",IFERROR(INDEX('Veri Merkezi'!$G$2:$G$1001,$K49),""))</f>
        <v/>
      </c>
      <c r="F49" t="str">
        <f>IF($K49="","",IFERROR(INDEX('Veri Merkezi'!$H$2:$H$1001,$K49),""))</f>
        <v/>
      </c>
      <c r="G49" t="str">
        <f>IF($K49="","",IFERROR(INDEX('Veri Merkezi'!$R$2:$R$1001,$K49),""))</f>
        <v/>
      </c>
      <c r="H49" t="str">
        <f>IF($K49="","",IFERROR(INDEX('Veri Merkezi'!$S$2:$S$1001,$K49),""))</f>
        <v/>
      </c>
      <c r="I49" s="2" t="str">
        <f>IF($K49="","",IFERROR(INDEX('Veri Merkezi'!$T$2:$T$1001,$K49),""))</f>
        <v/>
      </c>
      <c r="J49" t="str">
        <f>IF($K49="","",IFERROR(INDEX('Veri Merkezi'!$U$2:$U$1001,$K49),""))</f>
        <v/>
      </c>
      <c r="K49" t="str">
        <f>IF(K48="","",IFERROR(K48+MATCH("B Liste",INDEX('Veri Merkezi'!$S$2:$S$1001,K48+1):'Veri Merkezi'!$S$1001,0),""))</f>
        <v/>
      </c>
    </row>
    <row r="50" spans="1:11">
      <c r="A50" t="str">
        <f>IF($K50="","",IFERROR(INDEX('Veri Merkezi'!$A$2:$A$1001,$K50),""))</f>
        <v/>
      </c>
      <c r="B50" t="str">
        <f>IF($K50="","",IFERROR(INDEX('Veri Merkezi'!$E$2:$E$1001,$K50),""))</f>
        <v/>
      </c>
      <c r="C50" t="str">
        <f>IF($K50="","",IFERROR(INDEX('Veri Merkezi'!$D$2:$D$1001,$K50),""))</f>
        <v/>
      </c>
      <c r="D50" t="str">
        <f>IF($K50="","",IFERROR(INDEX('Veri Merkezi'!$F$2:$F$1001,$K50),""))</f>
        <v/>
      </c>
      <c r="E50" s="2" t="str">
        <f>IF($K50="","",IFERROR(INDEX('Veri Merkezi'!$G$2:$G$1001,$K50),""))</f>
        <v/>
      </c>
      <c r="F50" t="str">
        <f>IF($K50="","",IFERROR(INDEX('Veri Merkezi'!$H$2:$H$1001,$K50),""))</f>
        <v/>
      </c>
      <c r="G50" t="str">
        <f>IF($K50="","",IFERROR(INDEX('Veri Merkezi'!$R$2:$R$1001,$K50),""))</f>
        <v/>
      </c>
      <c r="H50" t="str">
        <f>IF($K50="","",IFERROR(INDEX('Veri Merkezi'!$S$2:$S$1001,$K50),""))</f>
        <v/>
      </c>
      <c r="I50" s="2" t="str">
        <f>IF($K50="","",IFERROR(INDEX('Veri Merkezi'!$T$2:$T$1001,$K50),""))</f>
        <v/>
      </c>
      <c r="J50" t="str">
        <f>IF($K50="","",IFERROR(INDEX('Veri Merkezi'!$U$2:$U$1001,$K50),""))</f>
        <v/>
      </c>
      <c r="K50" t="str">
        <f>IF(K49="","",IFERROR(K49+MATCH("B Liste",INDEX('Veri Merkezi'!$S$2:$S$1001,K49+1):'Veri Merkezi'!$S$1001,0),""))</f>
        <v/>
      </c>
    </row>
    <row r="51" spans="1:11">
      <c r="A51" t="str">
        <f>IF($K51="","",IFERROR(INDEX('Veri Merkezi'!$A$2:$A$1001,$K51),""))</f>
        <v/>
      </c>
      <c r="B51" t="str">
        <f>IF($K51="","",IFERROR(INDEX('Veri Merkezi'!$E$2:$E$1001,$K51),""))</f>
        <v/>
      </c>
      <c r="C51" t="str">
        <f>IF($K51="","",IFERROR(INDEX('Veri Merkezi'!$D$2:$D$1001,$K51),""))</f>
        <v/>
      </c>
      <c r="D51" t="str">
        <f>IF($K51="","",IFERROR(INDEX('Veri Merkezi'!$F$2:$F$1001,$K51),""))</f>
        <v/>
      </c>
      <c r="E51" s="2" t="str">
        <f>IF($K51="","",IFERROR(INDEX('Veri Merkezi'!$G$2:$G$1001,$K51),""))</f>
        <v/>
      </c>
      <c r="F51" t="str">
        <f>IF($K51="","",IFERROR(INDEX('Veri Merkezi'!$H$2:$H$1001,$K51),""))</f>
        <v/>
      </c>
      <c r="G51" t="str">
        <f>IF($K51="","",IFERROR(INDEX('Veri Merkezi'!$R$2:$R$1001,$K51),""))</f>
        <v/>
      </c>
      <c r="H51" t="str">
        <f>IF($K51="","",IFERROR(INDEX('Veri Merkezi'!$S$2:$S$1001,$K51),""))</f>
        <v/>
      </c>
      <c r="I51" s="2" t="str">
        <f>IF($K51="","",IFERROR(INDEX('Veri Merkezi'!$T$2:$T$1001,$K51),""))</f>
        <v/>
      </c>
      <c r="J51" t="str">
        <f>IF($K51="","",IFERROR(INDEX('Veri Merkezi'!$U$2:$U$1001,$K51),""))</f>
        <v/>
      </c>
      <c r="K51" t="str">
        <f>IF(K50="","",IFERROR(K50+MATCH("B Liste",INDEX('Veri Merkezi'!$S$2:$S$1001,K50+1):'Veri Merkezi'!$S$1001,0),""))</f>
        <v/>
      </c>
    </row>
    <row r="52" spans="1:11">
      <c r="A52" t="str">
        <f>IF($K52="","",IFERROR(INDEX('Veri Merkezi'!$A$2:$A$1001,$K52),""))</f>
        <v/>
      </c>
      <c r="B52" t="str">
        <f>IF($K52="","",IFERROR(INDEX('Veri Merkezi'!$E$2:$E$1001,$K52),""))</f>
        <v/>
      </c>
      <c r="C52" t="str">
        <f>IF($K52="","",IFERROR(INDEX('Veri Merkezi'!$D$2:$D$1001,$K52),""))</f>
        <v/>
      </c>
      <c r="D52" t="str">
        <f>IF($K52="","",IFERROR(INDEX('Veri Merkezi'!$F$2:$F$1001,$K52),""))</f>
        <v/>
      </c>
      <c r="E52" s="2" t="str">
        <f>IF($K52="","",IFERROR(INDEX('Veri Merkezi'!$G$2:$G$1001,$K52),""))</f>
        <v/>
      </c>
      <c r="F52" t="str">
        <f>IF($K52="","",IFERROR(INDEX('Veri Merkezi'!$H$2:$H$1001,$K52),""))</f>
        <v/>
      </c>
      <c r="G52" t="str">
        <f>IF($K52="","",IFERROR(INDEX('Veri Merkezi'!$R$2:$R$1001,$K52),""))</f>
        <v/>
      </c>
      <c r="H52" t="str">
        <f>IF($K52="","",IFERROR(INDEX('Veri Merkezi'!$S$2:$S$1001,$K52),""))</f>
        <v/>
      </c>
      <c r="I52" s="2" t="str">
        <f>IF($K52="","",IFERROR(INDEX('Veri Merkezi'!$T$2:$T$1001,$K52),""))</f>
        <v/>
      </c>
      <c r="J52" t="str">
        <f>IF($K52="","",IFERROR(INDEX('Veri Merkezi'!$U$2:$U$1001,$K52),""))</f>
        <v/>
      </c>
      <c r="K52" t="str">
        <f>IF(K51="","",IFERROR(K51+MATCH("B Liste",INDEX('Veri Merkezi'!$S$2:$S$1001,K51+1):'Veri Merkezi'!$S$1001,0),""))</f>
        <v/>
      </c>
    </row>
    <row r="53" spans="1:11">
      <c r="A53" t="str">
        <f>IF($K53="","",IFERROR(INDEX('Veri Merkezi'!$A$2:$A$1001,$K53),""))</f>
        <v/>
      </c>
      <c r="B53" t="str">
        <f>IF($K53="","",IFERROR(INDEX('Veri Merkezi'!$E$2:$E$1001,$K53),""))</f>
        <v/>
      </c>
      <c r="C53" t="str">
        <f>IF($K53="","",IFERROR(INDEX('Veri Merkezi'!$D$2:$D$1001,$K53),""))</f>
        <v/>
      </c>
      <c r="D53" t="str">
        <f>IF($K53="","",IFERROR(INDEX('Veri Merkezi'!$F$2:$F$1001,$K53),""))</f>
        <v/>
      </c>
      <c r="E53" s="2" t="str">
        <f>IF($K53="","",IFERROR(INDEX('Veri Merkezi'!$G$2:$G$1001,$K53),""))</f>
        <v/>
      </c>
      <c r="F53" t="str">
        <f>IF($K53="","",IFERROR(INDEX('Veri Merkezi'!$H$2:$H$1001,$K53),""))</f>
        <v/>
      </c>
      <c r="G53" t="str">
        <f>IF($K53="","",IFERROR(INDEX('Veri Merkezi'!$R$2:$R$1001,$K53),""))</f>
        <v/>
      </c>
      <c r="H53" t="str">
        <f>IF($K53="","",IFERROR(INDEX('Veri Merkezi'!$S$2:$S$1001,$K53),""))</f>
        <v/>
      </c>
      <c r="I53" s="2" t="str">
        <f>IF($K53="","",IFERROR(INDEX('Veri Merkezi'!$T$2:$T$1001,$K53),""))</f>
        <v/>
      </c>
      <c r="J53" t="str">
        <f>IF($K53="","",IFERROR(INDEX('Veri Merkezi'!$U$2:$U$1001,$K53),""))</f>
        <v/>
      </c>
      <c r="K53" t="str">
        <f>IF(K52="","",IFERROR(K52+MATCH("B Liste",INDEX('Veri Merkezi'!$S$2:$S$1001,K52+1):'Veri Merkezi'!$S$1001,0),""))</f>
        <v/>
      </c>
    </row>
    <row r="54" spans="1:11">
      <c r="A54" t="str">
        <f>IF($K54="","",IFERROR(INDEX('Veri Merkezi'!$A$2:$A$1001,$K54),""))</f>
        <v/>
      </c>
      <c r="B54" t="str">
        <f>IF($K54="","",IFERROR(INDEX('Veri Merkezi'!$E$2:$E$1001,$K54),""))</f>
        <v/>
      </c>
      <c r="C54" t="str">
        <f>IF($K54="","",IFERROR(INDEX('Veri Merkezi'!$D$2:$D$1001,$K54),""))</f>
        <v/>
      </c>
      <c r="D54" t="str">
        <f>IF($K54="","",IFERROR(INDEX('Veri Merkezi'!$F$2:$F$1001,$K54),""))</f>
        <v/>
      </c>
      <c r="E54" s="2" t="str">
        <f>IF($K54="","",IFERROR(INDEX('Veri Merkezi'!$G$2:$G$1001,$K54),""))</f>
        <v/>
      </c>
      <c r="F54" t="str">
        <f>IF($K54="","",IFERROR(INDEX('Veri Merkezi'!$H$2:$H$1001,$K54),""))</f>
        <v/>
      </c>
      <c r="G54" t="str">
        <f>IF($K54="","",IFERROR(INDEX('Veri Merkezi'!$R$2:$R$1001,$K54),""))</f>
        <v/>
      </c>
      <c r="H54" t="str">
        <f>IF($K54="","",IFERROR(INDEX('Veri Merkezi'!$S$2:$S$1001,$K54),""))</f>
        <v/>
      </c>
      <c r="I54" s="2" t="str">
        <f>IF($K54="","",IFERROR(INDEX('Veri Merkezi'!$T$2:$T$1001,$K54),""))</f>
        <v/>
      </c>
      <c r="J54" t="str">
        <f>IF($K54="","",IFERROR(INDEX('Veri Merkezi'!$U$2:$U$1001,$K54),""))</f>
        <v/>
      </c>
      <c r="K54" t="str">
        <f>IF(K53="","",IFERROR(K53+MATCH("B Liste",INDEX('Veri Merkezi'!$S$2:$S$1001,K53+1):'Veri Merkezi'!$S$1001,0),""))</f>
        <v/>
      </c>
    </row>
    <row r="55" spans="1:11">
      <c r="A55" t="str">
        <f>IF($K55="","",IFERROR(INDEX('Veri Merkezi'!$A$2:$A$1001,$K55),""))</f>
        <v/>
      </c>
      <c r="B55" t="str">
        <f>IF($K55="","",IFERROR(INDEX('Veri Merkezi'!$E$2:$E$1001,$K55),""))</f>
        <v/>
      </c>
      <c r="C55" t="str">
        <f>IF($K55="","",IFERROR(INDEX('Veri Merkezi'!$D$2:$D$1001,$K55),""))</f>
        <v/>
      </c>
      <c r="D55" t="str">
        <f>IF($K55="","",IFERROR(INDEX('Veri Merkezi'!$F$2:$F$1001,$K55),""))</f>
        <v/>
      </c>
      <c r="E55" s="2" t="str">
        <f>IF($K55="","",IFERROR(INDEX('Veri Merkezi'!$G$2:$G$1001,$K55),""))</f>
        <v/>
      </c>
      <c r="F55" t="str">
        <f>IF($K55="","",IFERROR(INDEX('Veri Merkezi'!$H$2:$H$1001,$K55),""))</f>
        <v/>
      </c>
      <c r="G55" t="str">
        <f>IF($K55="","",IFERROR(INDEX('Veri Merkezi'!$R$2:$R$1001,$K55),""))</f>
        <v/>
      </c>
      <c r="H55" t="str">
        <f>IF($K55="","",IFERROR(INDEX('Veri Merkezi'!$S$2:$S$1001,$K55),""))</f>
        <v/>
      </c>
      <c r="I55" s="2" t="str">
        <f>IF($K55="","",IFERROR(INDEX('Veri Merkezi'!$T$2:$T$1001,$K55),""))</f>
        <v/>
      </c>
      <c r="J55" t="str">
        <f>IF($K55="","",IFERROR(INDEX('Veri Merkezi'!$U$2:$U$1001,$K55),""))</f>
        <v/>
      </c>
      <c r="K55" t="str">
        <f>IF(K54="","",IFERROR(K54+MATCH("B Liste",INDEX('Veri Merkezi'!$S$2:$S$1001,K54+1):'Veri Merkezi'!$S$1001,0),""))</f>
        <v/>
      </c>
    </row>
    <row r="56" spans="1:11">
      <c r="A56" t="str">
        <f>IF($K56="","",IFERROR(INDEX('Veri Merkezi'!$A$2:$A$1001,$K56),""))</f>
        <v/>
      </c>
      <c r="B56" t="str">
        <f>IF($K56="","",IFERROR(INDEX('Veri Merkezi'!$E$2:$E$1001,$K56),""))</f>
        <v/>
      </c>
      <c r="C56" t="str">
        <f>IF($K56="","",IFERROR(INDEX('Veri Merkezi'!$D$2:$D$1001,$K56),""))</f>
        <v/>
      </c>
      <c r="D56" t="str">
        <f>IF($K56="","",IFERROR(INDEX('Veri Merkezi'!$F$2:$F$1001,$K56),""))</f>
        <v/>
      </c>
      <c r="E56" s="2" t="str">
        <f>IF($K56="","",IFERROR(INDEX('Veri Merkezi'!$G$2:$G$1001,$K56),""))</f>
        <v/>
      </c>
      <c r="F56" t="str">
        <f>IF($K56="","",IFERROR(INDEX('Veri Merkezi'!$H$2:$H$1001,$K56),""))</f>
        <v/>
      </c>
      <c r="G56" t="str">
        <f>IF($K56="","",IFERROR(INDEX('Veri Merkezi'!$R$2:$R$1001,$K56),""))</f>
        <v/>
      </c>
      <c r="H56" t="str">
        <f>IF($K56="","",IFERROR(INDEX('Veri Merkezi'!$S$2:$S$1001,$K56),""))</f>
        <v/>
      </c>
      <c r="I56" s="2" t="str">
        <f>IF($K56="","",IFERROR(INDEX('Veri Merkezi'!$T$2:$T$1001,$K56),""))</f>
        <v/>
      </c>
      <c r="J56" t="str">
        <f>IF($K56="","",IFERROR(INDEX('Veri Merkezi'!$U$2:$U$1001,$K56),""))</f>
        <v/>
      </c>
      <c r="K56" t="str">
        <f>IF(K55="","",IFERROR(K55+MATCH("B Liste",INDEX('Veri Merkezi'!$S$2:$S$1001,K55+1):'Veri Merkezi'!$S$1001,0),""))</f>
        <v/>
      </c>
    </row>
    <row r="57" spans="1:11">
      <c r="A57" t="str">
        <f>IF($K57="","",IFERROR(INDEX('Veri Merkezi'!$A$2:$A$1001,$K57),""))</f>
        <v/>
      </c>
      <c r="B57" t="str">
        <f>IF($K57="","",IFERROR(INDEX('Veri Merkezi'!$E$2:$E$1001,$K57),""))</f>
        <v/>
      </c>
      <c r="C57" t="str">
        <f>IF($K57="","",IFERROR(INDEX('Veri Merkezi'!$D$2:$D$1001,$K57),""))</f>
        <v/>
      </c>
      <c r="D57" t="str">
        <f>IF($K57="","",IFERROR(INDEX('Veri Merkezi'!$F$2:$F$1001,$K57),""))</f>
        <v/>
      </c>
      <c r="E57" s="2" t="str">
        <f>IF($K57="","",IFERROR(INDEX('Veri Merkezi'!$G$2:$G$1001,$K57),""))</f>
        <v/>
      </c>
      <c r="F57" t="str">
        <f>IF($K57="","",IFERROR(INDEX('Veri Merkezi'!$H$2:$H$1001,$K57),""))</f>
        <v/>
      </c>
      <c r="G57" t="str">
        <f>IF($K57="","",IFERROR(INDEX('Veri Merkezi'!$R$2:$R$1001,$K57),""))</f>
        <v/>
      </c>
      <c r="H57" t="str">
        <f>IF($K57="","",IFERROR(INDEX('Veri Merkezi'!$S$2:$S$1001,$K57),""))</f>
        <v/>
      </c>
      <c r="I57" s="2" t="str">
        <f>IF($K57="","",IFERROR(INDEX('Veri Merkezi'!$T$2:$T$1001,$K57),""))</f>
        <v/>
      </c>
      <c r="J57" t="str">
        <f>IF($K57="","",IFERROR(INDEX('Veri Merkezi'!$U$2:$U$1001,$K57),""))</f>
        <v/>
      </c>
      <c r="K57" t="str">
        <f>IF(K56="","",IFERROR(K56+MATCH("B Liste",INDEX('Veri Merkezi'!$S$2:$S$1001,K56+1):'Veri Merkezi'!$S$1001,0),""))</f>
        <v/>
      </c>
    </row>
    <row r="58" spans="1:11">
      <c r="A58" t="str">
        <f>IF($K58="","",IFERROR(INDEX('Veri Merkezi'!$A$2:$A$1001,$K58),""))</f>
        <v/>
      </c>
      <c r="B58" t="str">
        <f>IF($K58="","",IFERROR(INDEX('Veri Merkezi'!$E$2:$E$1001,$K58),""))</f>
        <v/>
      </c>
      <c r="C58" t="str">
        <f>IF($K58="","",IFERROR(INDEX('Veri Merkezi'!$D$2:$D$1001,$K58),""))</f>
        <v/>
      </c>
      <c r="D58" t="str">
        <f>IF($K58="","",IFERROR(INDEX('Veri Merkezi'!$F$2:$F$1001,$K58),""))</f>
        <v/>
      </c>
      <c r="E58" s="2" t="str">
        <f>IF($K58="","",IFERROR(INDEX('Veri Merkezi'!$G$2:$G$1001,$K58),""))</f>
        <v/>
      </c>
      <c r="F58" t="str">
        <f>IF($K58="","",IFERROR(INDEX('Veri Merkezi'!$H$2:$H$1001,$K58),""))</f>
        <v/>
      </c>
      <c r="G58" t="str">
        <f>IF($K58="","",IFERROR(INDEX('Veri Merkezi'!$R$2:$R$1001,$K58),""))</f>
        <v/>
      </c>
      <c r="H58" t="str">
        <f>IF($K58="","",IFERROR(INDEX('Veri Merkezi'!$S$2:$S$1001,$K58),""))</f>
        <v/>
      </c>
      <c r="I58" s="2" t="str">
        <f>IF($K58="","",IFERROR(INDEX('Veri Merkezi'!$T$2:$T$1001,$K58),""))</f>
        <v/>
      </c>
      <c r="J58" t="str">
        <f>IF($K58="","",IFERROR(INDEX('Veri Merkezi'!$U$2:$U$1001,$K58),""))</f>
        <v/>
      </c>
      <c r="K58" t="str">
        <f>IF(K57="","",IFERROR(K57+MATCH("B Liste",INDEX('Veri Merkezi'!$S$2:$S$1001,K57+1):'Veri Merkezi'!$S$1001,0),""))</f>
        <v/>
      </c>
    </row>
    <row r="59" spans="1:11">
      <c r="A59" t="str">
        <f>IF($K59="","",IFERROR(INDEX('Veri Merkezi'!$A$2:$A$1001,$K59),""))</f>
        <v/>
      </c>
      <c r="B59" t="str">
        <f>IF($K59="","",IFERROR(INDEX('Veri Merkezi'!$E$2:$E$1001,$K59),""))</f>
        <v/>
      </c>
      <c r="C59" t="str">
        <f>IF($K59="","",IFERROR(INDEX('Veri Merkezi'!$D$2:$D$1001,$K59),""))</f>
        <v/>
      </c>
      <c r="D59" t="str">
        <f>IF($K59="","",IFERROR(INDEX('Veri Merkezi'!$F$2:$F$1001,$K59),""))</f>
        <v/>
      </c>
      <c r="E59" s="2" t="str">
        <f>IF($K59="","",IFERROR(INDEX('Veri Merkezi'!$G$2:$G$1001,$K59),""))</f>
        <v/>
      </c>
      <c r="F59" t="str">
        <f>IF($K59="","",IFERROR(INDEX('Veri Merkezi'!$H$2:$H$1001,$K59),""))</f>
        <v/>
      </c>
      <c r="G59" t="str">
        <f>IF($K59="","",IFERROR(INDEX('Veri Merkezi'!$R$2:$R$1001,$K59),""))</f>
        <v/>
      </c>
      <c r="H59" t="str">
        <f>IF($K59="","",IFERROR(INDEX('Veri Merkezi'!$S$2:$S$1001,$K59),""))</f>
        <v/>
      </c>
      <c r="I59" s="2" t="str">
        <f>IF($K59="","",IFERROR(INDEX('Veri Merkezi'!$T$2:$T$1001,$K59),""))</f>
        <v/>
      </c>
      <c r="J59" t="str">
        <f>IF($K59="","",IFERROR(INDEX('Veri Merkezi'!$U$2:$U$1001,$K59),""))</f>
        <v/>
      </c>
      <c r="K59" t="str">
        <f>IF(K58="","",IFERROR(K58+MATCH("B Liste",INDEX('Veri Merkezi'!$S$2:$S$1001,K58+1):'Veri Merkezi'!$S$1001,0),""))</f>
        <v/>
      </c>
    </row>
    <row r="60" spans="1:11">
      <c r="A60" t="str">
        <f>IF($K60="","",IFERROR(INDEX('Veri Merkezi'!$A$2:$A$1001,$K60),""))</f>
        <v/>
      </c>
      <c r="B60" t="str">
        <f>IF($K60="","",IFERROR(INDEX('Veri Merkezi'!$E$2:$E$1001,$K60),""))</f>
        <v/>
      </c>
      <c r="C60" t="str">
        <f>IF($K60="","",IFERROR(INDEX('Veri Merkezi'!$D$2:$D$1001,$K60),""))</f>
        <v/>
      </c>
      <c r="D60" t="str">
        <f>IF($K60="","",IFERROR(INDEX('Veri Merkezi'!$F$2:$F$1001,$K60),""))</f>
        <v/>
      </c>
      <c r="E60" s="2" t="str">
        <f>IF($K60="","",IFERROR(INDEX('Veri Merkezi'!$G$2:$G$1001,$K60),""))</f>
        <v/>
      </c>
      <c r="F60" t="str">
        <f>IF($K60="","",IFERROR(INDEX('Veri Merkezi'!$H$2:$H$1001,$K60),""))</f>
        <v/>
      </c>
      <c r="G60" t="str">
        <f>IF($K60="","",IFERROR(INDEX('Veri Merkezi'!$R$2:$R$1001,$K60),""))</f>
        <v/>
      </c>
      <c r="H60" t="str">
        <f>IF($K60="","",IFERROR(INDEX('Veri Merkezi'!$S$2:$S$1001,$K60),""))</f>
        <v/>
      </c>
      <c r="I60" s="2" t="str">
        <f>IF($K60="","",IFERROR(INDEX('Veri Merkezi'!$T$2:$T$1001,$K60),""))</f>
        <v/>
      </c>
      <c r="J60" t="str">
        <f>IF($K60="","",IFERROR(INDEX('Veri Merkezi'!$U$2:$U$1001,$K60),""))</f>
        <v/>
      </c>
      <c r="K60" t="str">
        <f>IF(K59="","",IFERROR(K59+MATCH("B Liste",INDEX('Veri Merkezi'!$S$2:$S$1001,K59+1):'Veri Merkezi'!$S$1001,0),""))</f>
        <v/>
      </c>
    </row>
    <row r="61" spans="1:11">
      <c r="A61" t="str">
        <f>IF($K61="","",IFERROR(INDEX('Veri Merkezi'!$A$2:$A$1001,$K61),""))</f>
        <v/>
      </c>
      <c r="B61" t="str">
        <f>IF($K61="","",IFERROR(INDEX('Veri Merkezi'!$E$2:$E$1001,$K61),""))</f>
        <v/>
      </c>
      <c r="C61" t="str">
        <f>IF($K61="","",IFERROR(INDEX('Veri Merkezi'!$D$2:$D$1001,$K61),""))</f>
        <v/>
      </c>
      <c r="D61" t="str">
        <f>IF($K61="","",IFERROR(INDEX('Veri Merkezi'!$F$2:$F$1001,$K61),""))</f>
        <v/>
      </c>
      <c r="E61" s="2" t="str">
        <f>IF($K61="","",IFERROR(INDEX('Veri Merkezi'!$G$2:$G$1001,$K61),""))</f>
        <v/>
      </c>
      <c r="F61" t="str">
        <f>IF($K61="","",IFERROR(INDEX('Veri Merkezi'!$H$2:$H$1001,$K61),""))</f>
        <v/>
      </c>
      <c r="G61" t="str">
        <f>IF($K61="","",IFERROR(INDEX('Veri Merkezi'!$R$2:$R$1001,$K61),""))</f>
        <v/>
      </c>
      <c r="H61" t="str">
        <f>IF($K61="","",IFERROR(INDEX('Veri Merkezi'!$S$2:$S$1001,$K61),""))</f>
        <v/>
      </c>
      <c r="I61" s="2" t="str">
        <f>IF($K61="","",IFERROR(INDEX('Veri Merkezi'!$T$2:$T$1001,$K61),""))</f>
        <v/>
      </c>
      <c r="J61" t="str">
        <f>IF($K61="","",IFERROR(INDEX('Veri Merkezi'!$U$2:$U$1001,$K61),""))</f>
        <v/>
      </c>
      <c r="K61" t="str">
        <f>IF(K60="","",IFERROR(K60+MATCH("B Liste",INDEX('Veri Merkezi'!$S$2:$S$1001,K60+1):'Veri Merkezi'!$S$1001,0),""))</f>
        <v/>
      </c>
    </row>
    <row r="62" spans="1:11">
      <c r="A62" t="str">
        <f>IF($K62="","",IFERROR(INDEX('Veri Merkezi'!$A$2:$A$1001,$K62),""))</f>
        <v/>
      </c>
      <c r="B62" t="str">
        <f>IF($K62="","",IFERROR(INDEX('Veri Merkezi'!$E$2:$E$1001,$K62),""))</f>
        <v/>
      </c>
      <c r="C62" t="str">
        <f>IF($K62="","",IFERROR(INDEX('Veri Merkezi'!$D$2:$D$1001,$K62),""))</f>
        <v/>
      </c>
      <c r="D62" t="str">
        <f>IF($K62="","",IFERROR(INDEX('Veri Merkezi'!$F$2:$F$1001,$K62),""))</f>
        <v/>
      </c>
      <c r="E62" s="2" t="str">
        <f>IF($K62="","",IFERROR(INDEX('Veri Merkezi'!$G$2:$G$1001,$K62),""))</f>
        <v/>
      </c>
      <c r="F62" t="str">
        <f>IF($K62="","",IFERROR(INDEX('Veri Merkezi'!$H$2:$H$1001,$K62),""))</f>
        <v/>
      </c>
      <c r="G62" t="str">
        <f>IF($K62="","",IFERROR(INDEX('Veri Merkezi'!$R$2:$R$1001,$K62),""))</f>
        <v/>
      </c>
      <c r="H62" t="str">
        <f>IF($K62="","",IFERROR(INDEX('Veri Merkezi'!$S$2:$S$1001,$K62),""))</f>
        <v/>
      </c>
      <c r="I62" s="2" t="str">
        <f>IF($K62="","",IFERROR(INDEX('Veri Merkezi'!$T$2:$T$1001,$K62),""))</f>
        <v/>
      </c>
      <c r="J62" t="str">
        <f>IF($K62="","",IFERROR(INDEX('Veri Merkezi'!$U$2:$U$1001,$K62),""))</f>
        <v/>
      </c>
      <c r="K62" t="str">
        <f>IF(K61="","",IFERROR(K61+MATCH("B Liste",INDEX('Veri Merkezi'!$S$2:$S$1001,K61+1):'Veri Merkezi'!$S$1001,0),""))</f>
        <v/>
      </c>
    </row>
    <row r="63" spans="1:11">
      <c r="A63" t="str">
        <f>IF($K63="","",IFERROR(INDEX('Veri Merkezi'!$A$2:$A$1001,$K63),""))</f>
        <v/>
      </c>
      <c r="B63" t="str">
        <f>IF($K63="","",IFERROR(INDEX('Veri Merkezi'!$E$2:$E$1001,$K63),""))</f>
        <v/>
      </c>
      <c r="C63" t="str">
        <f>IF($K63="","",IFERROR(INDEX('Veri Merkezi'!$D$2:$D$1001,$K63),""))</f>
        <v/>
      </c>
      <c r="D63" t="str">
        <f>IF($K63="","",IFERROR(INDEX('Veri Merkezi'!$F$2:$F$1001,$K63),""))</f>
        <v/>
      </c>
      <c r="E63" s="2" t="str">
        <f>IF($K63="","",IFERROR(INDEX('Veri Merkezi'!$G$2:$G$1001,$K63),""))</f>
        <v/>
      </c>
      <c r="F63" t="str">
        <f>IF($K63="","",IFERROR(INDEX('Veri Merkezi'!$H$2:$H$1001,$K63),""))</f>
        <v/>
      </c>
      <c r="G63" t="str">
        <f>IF($K63="","",IFERROR(INDEX('Veri Merkezi'!$R$2:$R$1001,$K63),""))</f>
        <v/>
      </c>
      <c r="H63" t="str">
        <f>IF($K63="","",IFERROR(INDEX('Veri Merkezi'!$S$2:$S$1001,$K63),""))</f>
        <v/>
      </c>
      <c r="I63" s="2" t="str">
        <f>IF($K63="","",IFERROR(INDEX('Veri Merkezi'!$T$2:$T$1001,$K63),""))</f>
        <v/>
      </c>
      <c r="J63" t="str">
        <f>IF($K63="","",IFERROR(INDEX('Veri Merkezi'!$U$2:$U$1001,$K63),""))</f>
        <v/>
      </c>
      <c r="K63" t="str">
        <f>IF(K62="","",IFERROR(K62+MATCH("B Liste",INDEX('Veri Merkezi'!$S$2:$S$1001,K62+1):'Veri Merkezi'!$S$1001,0),""))</f>
        <v/>
      </c>
    </row>
    <row r="64" spans="1:11">
      <c r="A64" t="str">
        <f>IF($K64="","",IFERROR(INDEX('Veri Merkezi'!$A$2:$A$1001,$K64),""))</f>
        <v/>
      </c>
      <c r="B64" t="str">
        <f>IF($K64="","",IFERROR(INDEX('Veri Merkezi'!$E$2:$E$1001,$K64),""))</f>
        <v/>
      </c>
      <c r="C64" t="str">
        <f>IF($K64="","",IFERROR(INDEX('Veri Merkezi'!$D$2:$D$1001,$K64),""))</f>
        <v/>
      </c>
      <c r="D64" t="str">
        <f>IF($K64="","",IFERROR(INDEX('Veri Merkezi'!$F$2:$F$1001,$K64),""))</f>
        <v/>
      </c>
      <c r="E64" s="2" t="str">
        <f>IF($K64="","",IFERROR(INDEX('Veri Merkezi'!$G$2:$G$1001,$K64),""))</f>
        <v/>
      </c>
      <c r="F64" t="str">
        <f>IF($K64="","",IFERROR(INDEX('Veri Merkezi'!$H$2:$H$1001,$K64),""))</f>
        <v/>
      </c>
      <c r="G64" t="str">
        <f>IF($K64="","",IFERROR(INDEX('Veri Merkezi'!$R$2:$R$1001,$K64),""))</f>
        <v/>
      </c>
      <c r="H64" t="str">
        <f>IF($K64="","",IFERROR(INDEX('Veri Merkezi'!$S$2:$S$1001,$K64),""))</f>
        <v/>
      </c>
      <c r="I64" s="2" t="str">
        <f>IF($K64="","",IFERROR(INDEX('Veri Merkezi'!$T$2:$T$1001,$K64),""))</f>
        <v/>
      </c>
      <c r="J64" t="str">
        <f>IF($K64="","",IFERROR(INDEX('Veri Merkezi'!$U$2:$U$1001,$K64),""))</f>
        <v/>
      </c>
      <c r="K64" t="str">
        <f>IF(K63="","",IFERROR(K63+MATCH("B Liste",INDEX('Veri Merkezi'!$S$2:$S$1001,K63+1):'Veri Merkezi'!$S$1001,0),""))</f>
        <v/>
      </c>
    </row>
    <row r="65" spans="1:11">
      <c r="A65" t="str">
        <f>IF($K65="","",IFERROR(INDEX('Veri Merkezi'!$A$2:$A$1001,$K65),""))</f>
        <v/>
      </c>
      <c r="B65" t="str">
        <f>IF($K65="","",IFERROR(INDEX('Veri Merkezi'!$E$2:$E$1001,$K65),""))</f>
        <v/>
      </c>
      <c r="C65" t="str">
        <f>IF($K65="","",IFERROR(INDEX('Veri Merkezi'!$D$2:$D$1001,$K65),""))</f>
        <v/>
      </c>
      <c r="D65" t="str">
        <f>IF($K65="","",IFERROR(INDEX('Veri Merkezi'!$F$2:$F$1001,$K65),""))</f>
        <v/>
      </c>
      <c r="E65" s="2" t="str">
        <f>IF($K65="","",IFERROR(INDEX('Veri Merkezi'!$G$2:$G$1001,$K65),""))</f>
        <v/>
      </c>
      <c r="F65" t="str">
        <f>IF($K65="","",IFERROR(INDEX('Veri Merkezi'!$H$2:$H$1001,$K65),""))</f>
        <v/>
      </c>
      <c r="G65" t="str">
        <f>IF($K65="","",IFERROR(INDEX('Veri Merkezi'!$R$2:$R$1001,$K65),""))</f>
        <v/>
      </c>
      <c r="H65" t="str">
        <f>IF($K65="","",IFERROR(INDEX('Veri Merkezi'!$S$2:$S$1001,$K65),""))</f>
        <v/>
      </c>
      <c r="I65" s="2" t="str">
        <f>IF($K65="","",IFERROR(INDEX('Veri Merkezi'!$T$2:$T$1001,$K65),""))</f>
        <v/>
      </c>
      <c r="J65" t="str">
        <f>IF($K65="","",IFERROR(INDEX('Veri Merkezi'!$U$2:$U$1001,$K65),""))</f>
        <v/>
      </c>
      <c r="K65" t="str">
        <f>IF(K64="","",IFERROR(K64+MATCH("B Liste",INDEX('Veri Merkezi'!$S$2:$S$1001,K64+1):'Veri Merkezi'!$S$1001,0),""))</f>
        <v/>
      </c>
    </row>
    <row r="66" spans="1:11">
      <c r="A66" t="str">
        <f>IF($K66="","",IFERROR(INDEX('Veri Merkezi'!$A$2:$A$1001,$K66),""))</f>
        <v/>
      </c>
      <c r="B66" t="str">
        <f>IF($K66="","",IFERROR(INDEX('Veri Merkezi'!$E$2:$E$1001,$K66),""))</f>
        <v/>
      </c>
      <c r="C66" t="str">
        <f>IF($K66="","",IFERROR(INDEX('Veri Merkezi'!$D$2:$D$1001,$K66),""))</f>
        <v/>
      </c>
      <c r="D66" t="str">
        <f>IF($K66="","",IFERROR(INDEX('Veri Merkezi'!$F$2:$F$1001,$K66),""))</f>
        <v/>
      </c>
      <c r="E66" s="2" t="str">
        <f>IF($K66="","",IFERROR(INDEX('Veri Merkezi'!$G$2:$G$1001,$K66),""))</f>
        <v/>
      </c>
      <c r="F66" t="str">
        <f>IF($K66="","",IFERROR(INDEX('Veri Merkezi'!$H$2:$H$1001,$K66),""))</f>
        <v/>
      </c>
      <c r="G66" t="str">
        <f>IF($K66="","",IFERROR(INDEX('Veri Merkezi'!$R$2:$R$1001,$K66),""))</f>
        <v/>
      </c>
      <c r="H66" t="str">
        <f>IF($K66="","",IFERROR(INDEX('Veri Merkezi'!$S$2:$S$1001,$K66),""))</f>
        <v/>
      </c>
      <c r="I66" s="2" t="str">
        <f>IF($K66="","",IFERROR(INDEX('Veri Merkezi'!$T$2:$T$1001,$K66),""))</f>
        <v/>
      </c>
      <c r="J66" t="str">
        <f>IF($K66="","",IFERROR(INDEX('Veri Merkezi'!$U$2:$U$1001,$K66),""))</f>
        <v/>
      </c>
      <c r="K66" t="str">
        <f>IF(K65="","",IFERROR(K65+MATCH("B Liste",INDEX('Veri Merkezi'!$S$2:$S$1001,K65+1):'Veri Merkezi'!$S$1001,0),""))</f>
        <v/>
      </c>
    </row>
    <row r="67" spans="1:11">
      <c r="A67" t="str">
        <f>IF($K67="","",IFERROR(INDEX('Veri Merkezi'!$A$2:$A$1001,$K67),""))</f>
        <v/>
      </c>
      <c r="B67" t="str">
        <f>IF($K67="","",IFERROR(INDEX('Veri Merkezi'!$E$2:$E$1001,$K67),""))</f>
        <v/>
      </c>
      <c r="C67" t="str">
        <f>IF($K67="","",IFERROR(INDEX('Veri Merkezi'!$D$2:$D$1001,$K67),""))</f>
        <v/>
      </c>
      <c r="D67" t="str">
        <f>IF($K67="","",IFERROR(INDEX('Veri Merkezi'!$F$2:$F$1001,$K67),""))</f>
        <v/>
      </c>
      <c r="E67" s="2" t="str">
        <f>IF($K67="","",IFERROR(INDEX('Veri Merkezi'!$G$2:$G$1001,$K67),""))</f>
        <v/>
      </c>
      <c r="F67" t="str">
        <f>IF($K67="","",IFERROR(INDEX('Veri Merkezi'!$H$2:$H$1001,$K67),""))</f>
        <v/>
      </c>
      <c r="G67" t="str">
        <f>IF($K67="","",IFERROR(INDEX('Veri Merkezi'!$R$2:$R$1001,$K67),""))</f>
        <v/>
      </c>
      <c r="H67" t="str">
        <f>IF($K67="","",IFERROR(INDEX('Veri Merkezi'!$S$2:$S$1001,$K67),""))</f>
        <v/>
      </c>
      <c r="I67" s="2" t="str">
        <f>IF($K67="","",IFERROR(INDEX('Veri Merkezi'!$T$2:$T$1001,$K67),""))</f>
        <v/>
      </c>
      <c r="J67" t="str">
        <f>IF($K67="","",IFERROR(INDEX('Veri Merkezi'!$U$2:$U$1001,$K67),""))</f>
        <v/>
      </c>
      <c r="K67" t="str">
        <f>IF(K66="","",IFERROR(K66+MATCH("B Liste",INDEX('Veri Merkezi'!$S$2:$S$1001,K66+1):'Veri Merkezi'!$S$1001,0),""))</f>
        <v/>
      </c>
    </row>
    <row r="68" spans="1:11">
      <c r="A68" t="str">
        <f>IF($K68="","",IFERROR(INDEX('Veri Merkezi'!$A$2:$A$1001,$K68),""))</f>
        <v/>
      </c>
      <c r="B68" t="str">
        <f>IF($K68="","",IFERROR(INDEX('Veri Merkezi'!$E$2:$E$1001,$K68),""))</f>
        <v/>
      </c>
      <c r="C68" t="str">
        <f>IF($K68="","",IFERROR(INDEX('Veri Merkezi'!$D$2:$D$1001,$K68),""))</f>
        <v/>
      </c>
      <c r="D68" t="str">
        <f>IF($K68="","",IFERROR(INDEX('Veri Merkezi'!$F$2:$F$1001,$K68),""))</f>
        <v/>
      </c>
      <c r="E68" s="2" t="str">
        <f>IF($K68="","",IFERROR(INDEX('Veri Merkezi'!$G$2:$G$1001,$K68),""))</f>
        <v/>
      </c>
      <c r="F68" t="str">
        <f>IF($K68="","",IFERROR(INDEX('Veri Merkezi'!$H$2:$H$1001,$K68),""))</f>
        <v/>
      </c>
      <c r="G68" t="str">
        <f>IF($K68="","",IFERROR(INDEX('Veri Merkezi'!$R$2:$R$1001,$K68),""))</f>
        <v/>
      </c>
      <c r="H68" t="str">
        <f>IF($K68="","",IFERROR(INDEX('Veri Merkezi'!$S$2:$S$1001,$K68),""))</f>
        <v/>
      </c>
      <c r="I68" s="2" t="str">
        <f>IF($K68="","",IFERROR(INDEX('Veri Merkezi'!$T$2:$T$1001,$K68),""))</f>
        <v/>
      </c>
      <c r="J68" t="str">
        <f>IF($K68="","",IFERROR(INDEX('Veri Merkezi'!$U$2:$U$1001,$K68),""))</f>
        <v/>
      </c>
      <c r="K68" t="str">
        <f>IF(K67="","",IFERROR(K67+MATCH("B Liste",INDEX('Veri Merkezi'!$S$2:$S$1001,K67+1):'Veri Merkezi'!$S$1001,0),""))</f>
        <v/>
      </c>
    </row>
    <row r="69" spans="1:11">
      <c r="A69" t="str">
        <f>IF($K69="","",IFERROR(INDEX('Veri Merkezi'!$A$2:$A$1001,$K69),""))</f>
        <v/>
      </c>
      <c r="B69" t="str">
        <f>IF($K69="","",IFERROR(INDEX('Veri Merkezi'!$E$2:$E$1001,$K69),""))</f>
        <v/>
      </c>
      <c r="C69" t="str">
        <f>IF($K69="","",IFERROR(INDEX('Veri Merkezi'!$D$2:$D$1001,$K69),""))</f>
        <v/>
      </c>
      <c r="D69" t="str">
        <f>IF($K69="","",IFERROR(INDEX('Veri Merkezi'!$F$2:$F$1001,$K69),""))</f>
        <v/>
      </c>
      <c r="E69" s="2" t="str">
        <f>IF($K69="","",IFERROR(INDEX('Veri Merkezi'!$G$2:$G$1001,$K69),""))</f>
        <v/>
      </c>
      <c r="F69" t="str">
        <f>IF($K69="","",IFERROR(INDEX('Veri Merkezi'!$H$2:$H$1001,$K69),""))</f>
        <v/>
      </c>
      <c r="G69" t="str">
        <f>IF($K69="","",IFERROR(INDEX('Veri Merkezi'!$R$2:$R$1001,$K69),""))</f>
        <v/>
      </c>
      <c r="H69" t="str">
        <f>IF($K69="","",IFERROR(INDEX('Veri Merkezi'!$S$2:$S$1001,$K69),""))</f>
        <v/>
      </c>
      <c r="I69" s="2" t="str">
        <f>IF($K69="","",IFERROR(INDEX('Veri Merkezi'!$T$2:$T$1001,$K69),""))</f>
        <v/>
      </c>
      <c r="J69" t="str">
        <f>IF($K69="","",IFERROR(INDEX('Veri Merkezi'!$U$2:$U$1001,$K69),""))</f>
        <v/>
      </c>
      <c r="K69" t="str">
        <f>IF(K68="","",IFERROR(K68+MATCH("B Liste",INDEX('Veri Merkezi'!$S$2:$S$1001,K68+1):'Veri Merkezi'!$S$1001,0),""))</f>
        <v/>
      </c>
    </row>
    <row r="70" spans="1:11">
      <c r="A70" t="str">
        <f>IF($K70="","",IFERROR(INDEX('Veri Merkezi'!$A$2:$A$1001,$K70),""))</f>
        <v/>
      </c>
      <c r="B70" t="str">
        <f>IF($K70="","",IFERROR(INDEX('Veri Merkezi'!$E$2:$E$1001,$K70),""))</f>
        <v/>
      </c>
      <c r="C70" t="str">
        <f>IF($K70="","",IFERROR(INDEX('Veri Merkezi'!$D$2:$D$1001,$K70),""))</f>
        <v/>
      </c>
      <c r="D70" t="str">
        <f>IF($K70="","",IFERROR(INDEX('Veri Merkezi'!$F$2:$F$1001,$K70),""))</f>
        <v/>
      </c>
      <c r="E70" s="2" t="str">
        <f>IF($K70="","",IFERROR(INDEX('Veri Merkezi'!$G$2:$G$1001,$K70),""))</f>
        <v/>
      </c>
      <c r="F70" t="str">
        <f>IF($K70="","",IFERROR(INDEX('Veri Merkezi'!$H$2:$H$1001,$K70),""))</f>
        <v/>
      </c>
      <c r="G70" t="str">
        <f>IF($K70="","",IFERROR(INDEX('Veri Merkezi'!$R$2:$R$1001,$K70),""))</f>
        <v/>
      </c>
      <c r="H70" t="str">
        <f>IF($K70="","",IFERROR(INDEX('Veri Merkezi'!$S$2:$S$1001,$K70),""))</f>
        <v/>
      </c>
      <c r="I70" s="2" t="str">
        <f>IF($K70="","",IFERROR(INDEX('Veri Merkezi'!$T$2:$T$1001,$K70),""))</f>
        <v/>
      </c>
      <c r="J70" t="str">
        <f>IF($K70="","",IFERROR(INDEX('Veri Merkezi'!$U$2:$U$1001,$K70),""))</f>
        <v/>
      </c>
      <c r="K70" t="str">
        <f>IF(K69="","",IFERROR(K69+MATCH("B Liste",INDEX('Veri Merkezi'!$S$2:$S$1001,K69+1):'Veri Merkezi'!$S$1001,0),""))</f>
        <v/>
      </c>
    </row>
    <row r="71" spans="1:11">
      <c r="A71" t="str">
        <f>IF($K71="","",IFERROR(INDEX('Veri Merkezi'!$A$2:$A$1001,$K71),""))</f>
        <v/>
      </c>
      <c r="B71" t="str">
        <f>IF($K71="","",IFERROR(INDEX('Veri Merkezi'!$E$2:$E$1001,$K71),""))</f>
        <v/>
      </c>
      <c r="C71" t="str">
        <f>IF($K71="","",IFERROR(INDEX('Veri Merkezi'!$D$2:$D$1001,$K71),""))</f>
        <v/>
      </c>
      <c r="D71" t="str">
        <f>IF($K71="","",IFERROR(INDEX('Veri Merkezi'!$F$2:$F$1001,$K71),""))</f>
        <v/>
      </c>
      <c r="E71" s="2" t="str">
        <f>IF($K71="","",IFERROR(INDEX('Veri Merkezi'!$G$2:$G$1001,$K71),""))</f>
        <v/>
      </c>
      <c r="F71" t="str">
        <f>IF($K71="","",IFERROR(INDEX('Veri Merkezi'!$H$2:$H$1001,$K71),""))</f>
        <v/>
      </c>
      <c r="G71" t="str">
        <f>IF($K71="","",IFERROR(INDEX('Veri Merkezi'!$R$2:$R$1001,$K71),""))</f>
        <v/>
      </c>
      <c r="H71" t="str">
        <f>IF($K71="","",IFERROR(INDEX('Veri Merkezi'!$S$2:$S$1001,$K71),""))</f>
        <v/>
      </c>
      <c r="I71" s="2" t="str">
        <f>IF($K71="","",IFERROR(INDEX('Veri Merkezi'!$T$2:$T$1001,$K71),""))</f>
        <v/>
      </c>
      <c r="J71" t="str">
        <f>IF($K71="","",IFERROR(INDEX('Veri Merkezi'!$U$2:$U$1001,$K71),""))</f>
        <v/>
      </c>
      <c r="K71" t="str">
        <f>IF(K70="","",IFERROR(K70+MATCH("B Liste",INDEX('Veri Merkezi'!$S$2:$S$1001,K70+1):'Veri Merkezi'!$S$1001,0),""))</f>
        <v/>
      </c>
    </row>
    <row r="72" spans="1:11">
      <c r="A72" t="str">
        <f>IF($K72="","",IFERROR(INDEX('Veri Merkezi'!$A$2:$A$1001,$K72),""))</f>
        <v/>
      </c>
      <c r="B72" t="str">
        <f>IF($K72="","",IFERROR(INDEX('Veri Merkezi'!$E$2:$E$1001,$K72),""))</f>
        <v/>
      </c>
      <c r="C72" t="str">
        <f>IF($K72="","",IFERROR(INDEX('Veri Merkezi'!$D$2:$D$1001,$K72),""))</f>
        <v/>
      </c>
      <c r="D72" t="str">
        <f>IF($K72="","",IFERROR(INDEX('Veri Merkezi'!$F$2:$F$1001,$K72),""))</f>
        <v/>
      </c>
      <c r="E72" s="2" t="str">
        <f>IF($K72="","",IFERROR(INDEX('Veri Merkezi'!$G$2:$G$1001,$K72),""))</f>
        <v/>
      </c>
      <c r="F72" t="str">
        <f>IF($K72="","",IFERROR(INDEX('Veri Merkezi'!$H$2:$H$1001,$K72),""))</f>
        <v/>
      </c>
      <c r="G72" t="str">
        <f>IF($K72="","",IFERROR(INDEX('Veri Merkezi'!$R$2:$R$1001,$K72),""))</f>
        <v/>
      </c>
      <c r="H72" t="str">
        <f>IF($K72="","",IFERROR(INDEX('Veri Merkezi'!$S$2:$S$1001,$K72),""))</f>
        <v/>
      </c>
      <c r="I72" s="2" t="str">
        <f>IF($K72="","",IFERROR(INDEX('Veri Merkezi'!$T$2:$T$1001,$K72),""))</f>
        <v/>
      </c>
      <c r="J72" t="str">
        <f>IF($K72="","",IFERROR(INDEX('Veri Merkezi'!$U$2:$U$1001,$K72),""))</f>
        <v/>
      </c>
      <c r="K72" t="str">
        <f>IF(K71="","",IFERROR(K71+MATCH("B Liste",INDEX('Veri Merkezi'!$S$2:$S$1001,K71+1):'Veri Merkezi'!$S$1001,0),""))</f>
        <v/>
      </c>
    </row>
    <row r="73" spans="1:11">
      <c r="A73" t="str">
        <f>IF($K73="","",IFERROR(INDEX('Veri Merkezi'!$A$2:$A$1001,$K73),""))</f>
        <v/>
      </c>
      <c r="B73" t="str">
        <f>IF($K73="","",IFERROR(INDEX('Veri Merkezi'!$E$2:$E$1001,$K73),""))</f>
        <v/>
      </c>
      <c r="C73" t="str">
        <f>IF($K73="","",IFERROR(INDEX('Veri Merkezi'!$D$2:$D$1001,$K73),""))</f>
        <v/>
      </c>
      <c r="D73" t="str">
        <f>IF($K73="","",IFERROR(INDEX('Veri Merkezi'!$F$2:$F$1001,$K73),""))</f>
        <v/>
      </c>
      <c r="E73" s="2" t="str">
        <f>IF($K73="","",IFERROR(INDEX('Veri Merkezi'!$G$2:$G$1001,$K73),""))</f>
        <v/>
      </c>
      <c r="F73" t="str">
        <f>IF($K73="","",IFERROR(INDEX('Veri Merkezi'!$H$2:$H$1001,$K73),""))</f>
        <v/>
      </c>
      <c r="G73" t="str">
        <f>IF($K73="","",IFERROR(INDEX('Veri Merkezi'!$R$2:$R$1001,$K73),""))</f>
        <v/>
      </c>
      <c r="H73" t="str">
        <f>IF($K73="","",IFERROR(INDEX('Veri Merkezi'!$S$2:$S$1001,$K73),""))</f>
        <v/>
      </c>
      <c r="I73" s="2" t="str">
        <f>IF($K73="","",IFERROR(INDEX('Veri Merkezi'!$T$2:$T$1001,$K73),""))</f>
        <v/>
      </c>
      <c r="J73" t="str">
        <f>IF($K73="","",IFERROR(INDEX('Veri Merkezi'!$U$2:$U$1001,$K73),""))</f>
        <v/>
      </c>
      <c r="K73" t="str">
        <f>IF(K72="","",IFERROR(K72+MATCH("B Liste",INDEX('Veri Merkezi'!$S$2:$S$1001,K72+1):'Veri Merkezi'!$S$1001,0),""))</f>
        <v/>
      </c>
    </row>
    <row r="74" spans="1:11">
      <c r="A74" t="str">
        <f>IF($K74="","",IFERROR(INDEX('Veri Merkezi'!$A$2:$A$1001,$K74),""))</f>
        <v/>
      </c>
      <c r="B74" t="str">
        <f>IF($K74="","",IFERROR(INDEX('Veri Merkezi'!$E$2:$E$1001,$K74),""))</f>
        <v/>
      </c>
      <c r="C74" t="str">
        <f>IF($K74="","",IFERROR(INDEX('Veri Merkezi'!$D$2:$D$1001,$K74),""))</f>
        <v/>
      </c>
      <c r="D74" t="str">
        <f>IF($K74="","",IFERROR(INDEX('Veri Merkezi'!$F$2:$F$1001,$K74),""))</f>
        <v/>
      </c>
      <c r="E74" s="2" t="str">
        <f>IF($K74="","",IFERROR(INDEX('Veri Merkezi'!$G$2:$G$1001,$K74),""))</f>
        <v/>
      </c>
      <c r="F74" t="str">
        <f>IF($K74="","",IFERROR(INDEX('Veri Merkezi'!$H$2:$H$1001,$K74),""))</f>
        <v/>
      </c>
      <c r="G74" t="str">
        <f>IF($K74="","",IFERROR(INDEX('Veri Merkezi'!$R$2:$R$1001,$K74),""))</f>
        <v/>
      </c>
      <c r="H74" t="str">
        <f>IF($K74="","",IFERROR(INDEX('Veri Merkezi'!$S$2:$S$1001,$K74),""))</f>
        <v/>
      </c>
      <c r="I74" s="2" t="str">
        <f>IF($K74="","",IFERROR(INDEX('Veri Merkezi'!$T$2:$T$1001,$K74),""))</f>
        <v/>
      </c>
      <c r="J74" t="str">
        <f>IF($K74="","",IFERROR(INDEX('Veri Merkezi'!$U$2:$U$1001,$K74),""))</f>
        <v/>
      </c>
      <c r="K74" t="str">
        <f>IF(K73="","",IFERROR(K73+MATCH("B Liste",INDEX('Veri Merkezi'!$S$2:$S$1001,K73+1):'Veri Merkezi'!$S$1001,0),""))</f>
        <v/>
      </c>
    </row>
    <row r="75" spans="1:11">
      <c r="A75" t="str">
        <f>IF($K75="","",IFERROR(INDEX('Veri Merkezi'!$A$2:$A$1001,$K75),""))</f>
        <v/>
      </c>
      <c r="B75" t="str">
        <f>IF($K75="","",IFERROR(INDEX('Veri Merkezi'!$E$2:$E$1001,$K75),""))</f>
        <v/>
      </c>
      <c r="C75" t="str">
        <f>IF($K75="","",IFERROR(INDEX('Veri Merkezi'!$D$2:$D$1001,$K75),""))</f>
        <v/>
      </c>
      <c r="D75" t="str">
        <f>IF($K75="","",IFERROR(INDEX('Veri Merkezi'!$F$2:$F$1001,$K75),""))</f>
        <v/>
      </c>
      <c r="E75" s="2" t="str">
        <f>IF($K75="","",IFERROR(INDEX('Veri Merkezi'!$G$2:$G$1001,$K75),""))</f>
        <v/>
      </c>
      <c r="F75" t="str">
        <f>IF($K75="","",IFERROR(INDEX('Veri Merkezi'!$H$2:$H$1001,$K75),""))</f>
        <v/>
      </c>
      <c r="G75" t="str">
        <f>IF($K75="","",IFERROR(INDEX('Veri Merkezi'!$R$2:$R$1001,$K75),""))</f>
        <v/>
      </c>
      <c r="H75" t="str">
        <f>IF($K75="","",IFERROR(INDEX('Veri Merkezi'!$S$2:$S$1001,$K75),""))</f>
        <v/>
      </c>
      <c r="I75" s="2" t="str">
        <f>IF($K75="","",IFERROR(INDEX('Veri Merkezi'!$T$2:$T$1001,$K75),""))</f>
        <v/>
      </c>
      <c r="J75" t="str">
        <f>IF($K75="","",IFERROR(INDEX('Veri Merkezi'!$U$2:$U$1001,$K75),""))</f>
        <v/>
      </c>
      <c r="K75" t="str">
        <f>IF(K74="","",IFERROR(K74+MATCH("B Liste",INDEX('Veri Merkezi'!$S$2:$S$1001,K74+1):'Veri Merkezi'!$S$1001,0),""))</f>
        <v/>
      </c>
    </row>
    <row r="76" spans="1:11">
      <c r="A76" t="str">
        <f>IF($K76="","",IFERROR(INDEX('Veri Merkezi'!$A$2:$A$1001,$K76),""))</f>
        <v/>
      </c>
      <c r="B76" t="str">
        <f>IF($K76="","",IFERROR(INDEX('Veri Merkezi'!$E$2:$E$1001,$K76),""))</f>
        <v/>
      </c>
      <c r="C76" t="str">
        <f>IF($K76="","",IFERROR(INDEX('Veri Merkezi'!$D$2:$D$1001,$K76),""))</f>
        <v/>
      </c>
      <c r="D76" t="str">
        <f>IF($K76="","",IFERROR(INDEX('Veri Merkezi'!$F$2:$F$1001,$K76),""))</f>
        <v/>
      </c>
      <c r="E76" s="2" t="str">
        <f>IF($K76="","",IFERROR(INDEX('Veri Merkezi'!$G$2:$G$1001,$K76),""))</f>
        <v/>
      </c>
      <c r="F76" t="str">
        <f>IF($K76="","",IFERROR(INDEX('Veri Merkezi'!$H$2:$H$1001,$K76),""))</f>
        <v/>
      </c>
      <c r="G76" t="str">
        <f>IF($K76="","",IFERROR(INDEX('Veri Merkezi'!$R$2:$R$1001,$K76),""))</f>
        <v/>
      </c>
      <c r="H76" t="str">
        <f>IF($K76="","",IFERROR(INDEX('Veri Merkezi'!$S$2:$S$1001,$K76),""))</f>
        <v/>
      </c>
      <c r="I76" s="2" t="str">
        <f>IF($K76="","",IFERROR(INDEX('Veri Merkezi'!$T$2:$T$1001,$K76),""))</f>
        <v/>
      </c>
      <c r="J76" t="str">
        <f>IF($K76="","",IFERROR(INDEX('Veri Merkezi'!$U$2:$U$1001,$K76),""))</f>
        <v/>
      </c>
      <c r="K76" t="str">
        <f>IF(K75="","",IFERROR(K75+MATCH("B Liste",INDEX('Veri Merkezi'!$S$2:$S$1001,K75+1):'Veri Merkezi'!$S$1001,0),""))</f>
        <v/>
      </c>
    </row>
    <row r="77" spans="1:11">
      <c r="A77" t="str">
        <f>IF($K77="","",IFERROR(INDEX('Veri Merkezi'!$A$2:$A$1001,$K77),""))</f>
        <v/>
      </c>
      <c r="B77" t="str">
        <f>IF($K77="","",IFERROR(INDEX('Veri Merkezi'!$E$2:$E$1001,$K77),""))</f>
        <v/>
      </c>
      <c r="C77" t="str">
        <f>IF($K77="","",IFERROR(INDEX('Veri Merkezi'!$D$2:$D$1001,$K77),""))</f>
        <v/>
      </c>
      <c r="D77" t="str">
        <f>IF($K77="","",IFERROR(INDEX('Veri Merkezi'!$F$2:$F$1001,$K77),""))</f>
        <v/>
      </c>
      <c r="E77" s="2" t="str">
        <f>IF($K77="","",IFERROR(INDEX('Veri Merkezi'!$G$2:$G$1001,$K77),""))</f>
        <v/>
      </c>
      <c r="F77" t="str">
        <f>IF($K77="","",IFERROR(INDEX('Veri Merkezi'!$H$2:$H$1001,$K77),""))</f>
        <v/>
      </c>
      <c r="G77" t="str">
        <f>IF($K77="","",IFERROR(INDEX('Veri Merkezi'!$R$2:$R$1001,$K77),""))</f>
        <v/>
      </c>
      <c r="H77" t="str">
        <f>IF($K77="","",IFERROR(INDEX('Veri Merkezi'!$S$2:$S$1001,$K77),""))</f>
        <v/>
      </c>
      <c r="I77" s="2" t="str">
        <f>IF($K77="","",IFERROR(INDEX('Veri Merkezi'!$T$2:$T$1001,$K77),""))</f>
        <v/>
      </c>
      <c r="J77" t="str">
        <f>IF($K77="","",IFERROR(INDEX('Veri Merkezi'!$U$2:$U$1001,$K77),""))</f>
        <v/>
      </c>
      <c r="K77" t="str">
        <f>IF(K76="","",IFERROR(K76+MATCH("B Liste",INDEX('Veri Merkezi'!$S$2:$S$1001,K76+1):'Veri Merkezi'!$S$1001,0),""))</f>
        <v/>
      </c>
    </row>
    <row r="78" spans="1:11">
      <c r="A78" t="str">
        <f>IF($K78="","",IFERROR(INDEX('Veri Merkezi'!$A$2:$A$1001,$K78),""))</f>
        <v/>
      </c>
      <c r="B78" t="str">
        <f>IF($K78="","",IFERROR(INDEX('Veri Merkezi'!$E$2:$E$1001,$K78),""))</f>
        <v/>
      </c>
      <c r="C78" t="str">
        <f>IF($K78="","",IFERROR(INDEX('Veri Merkezi'!$D$2:$D$1001,$K78),""))</f>
        <v/>
      </c>
      <c r="D78" t="str">
        <f>IF($K78="","",IFERROR(INDEX('Veri Merkezi'!$F$2:$F$1001,$K78),""))</f>
        <v/>
      </c>
      <c r="E78" s="2" t="str">
        <f>IF($K78="","",IFERROR(INDEX('Veri Merkezi'!$G$2:$G$1001,$K78),""))</f>
        <v/>
      </c>
      <c r="F78" t="str">
        <f>IF($K78="","",IFERROR(INDEX('Veri Merkezi'!$H$2:$H$1001,$K78),""))</f>
        <v/>
      </c>
      <c r="G78" t="str">
        <f>IF($K78="","",IFERROR(INDEX('Veri Merkezi'!$R$2:$R$1001,$K78),""))</f>
        <v/>
      </c>
      <c r="H78" t="str">
        <f>IF($K78="","",IFERROR(INDEX('Veri Merkezi'!$S$2:$S$1001,$K78),""))</f>
        <v/>
      </c>
      <c r="I78" s="2" t="str">
        <f>IF($K78="","",IFERROR(INDEX('Veri Merkezi'!$T$2:$T$1001,$K78),""))</f>
        <v/>
      </c>
      <c r="J78" t="str">
        <f>IF($K78="","",IFERROR(INDEX('Veri Merkezi'!$U$2:$U$1001,$K78),""))</f>
        <v/>
      </c>
      <c r="K78" t="str">
        <f>IF(K77="","",IFERROR(K77+MATCH("B Liste",INDEX('Veri Merkezi'!$S$2:$S$1001,K77+1):'Veri Merkezi'!$S$1001,0),""))</f>
        <v/>
      </c>
    </row>
    <row r="79" spans="1:11">
      <c r="A79" t="str">
        <f>IF($K79="","",IFERROR(INDEX('Veri Merkezi'!$A$2:$A$1001,$K79),""))</f>
        <v/>
      </c>
      <c r="B79" t="str">
        <f>IF($K79="","",IFERROR(INDEX('Veri Merkezi'!$E$2:$E$1001,$K79),""))</f>
        <v/>
      </c>
      <c r="C79" t="str">
        <f>IF($K79="","",IFERROR(INDEX('Veri Merkezi'!$D$2:$D$1001,$K79),""))</f>
        <v/>
      </c>
      <c r="D79" t="str">
        <f>IF($K79="","",IFERROR(INDEX('Veri Merkezi'!$F$2:$F$1001,$K79),""))</f>
        <v/>
      </c>
      <c r="E79" s="2" t="str">
        <f>IF($K79="","",IFERROR(INDEX('Veri Merkezi'!$G$2:$G$1001,$K79),""))</f>
        <v/>
      </c>
      <c r="F79" t="str">
        <f>IF($K79="","",IFERROR(INDEX('Veri Merkezi'!$H$2:$H$1001,$K79),""))</f>
        <v/>
      </c>
      <c r="G79" t="str">
        <f>IF($K79="","",IFERROR(INDEX('Veri Merkezi'!$R$2:$R$1001,$K79),""))</f>
        <v/>
      </c>
      <c r="H79" t="str">
        <f>IF($K79="","",IFERROR(INDEX('Veri Merkezi'!$S$2:$S$1001,$K79),""))</f>
        <v/>
      </c>
      <c r="I79" s="2" t="str">
        <f>IF($K79="","",IFERROR(INDEX('Veri Merkezi'!$T$2:$T$1001,$K79),""))</f>
        <v/>
      </c>
      <c r="J79" t="str">
        <f>IF($K79="","",IFERROR(INDEX('Veri Merkezi'!$U$2:$U$1001,$K79),""))</f>
        <v/>
      </c>
      <c r="K79" t="str">
        <f>IF(K78="","",IFERROR(K78+MATCH("B Liste",INDEX('Veri Merkezi'!$S$2:$S$1001,K78+1):'Veri Merkezi'!$S$1001,0),""))</f>
        <v/>
      </c>
    </row>
    <row r="80" spans="1:11">
      <c r="A80" t="str">
        <f>IF($K80="","",IFERROR(INDEX('Veri Merkezi'!$A$2:$A$1001,$K80),""))</f>
        <v/>
      </c>
      <c r="B80" t="str">
        <f>IF($K80="","",IFERROR(INDEX('Veri Merkezi'!$E$2:$E$1001,$K80),""))</f>
        <v/>
      </c>
      <c r="C80" t="str">
        <f>IF($K80="","",IFERROR(INDEX('Veri Merkezi'!$D$2:$D$1001,$K80),""))</f>
        <v/>
      </c>
      <c r="D80" t="str">
        <f>IF($K80="","",IFERROR(INDEX('Veri Merkezi'!$F$2:$F$1001,$K80),""))</f>
        <v/>
      </c>
      <c r="E80" s="2" t="str">
        <f>IF($K80="","",IFERROR(INDEX('Veri Merkezi'!$G$2:$G$1001,$K80),""))</f>
        <v/>
      </c>
      <c r="F80" t="str">
        <f>IF($K80="","",IFERROR(INDEX('Veri Merkezi'!$H$2:$H$1001,$K80),""))</f>
        <v/>
      </c>
      <c r="G80" t="str">
        <f>IF($K80="","",IFERROR(INDEX('Veri Merkezi'!$R$2:$R$1001,$K80),""))</f>
        <v/>
      </c>
      <c r="H80" t="str">
        <f>IF($K80="","",IFERROR(INDEX('Veri Merkezi'!$S$2:$S$1001,$K80),""))</f>
        <v/>
      </c>
      <c r="I80" s="2" t="str">
        <f>IF($K80="","",IFERROR(INDEX('Veri Merkezi'!$T$2:$T$1001,$K80),""))</f>
        <v/>
      </c>
      <c r="J80" t="str">
        <f>IF($K80="","",IFERROR(INDEX('Veri Merkezi'!$U$2:$U$1001,$K80),""))</f>
        <v/>
      </c>
      <c r="K80" t="str">
        <f>IF(K79="","",IFERROR(K79+MATCH("B Liste",INDEX('Veri Merkezi'!$S$2:$S$1001,K79+1):'Veri Merkezi'!$S$1001,0),""))</f>
        <v/>
      </c>
    </row>
    <row r="81" spans="1:11">
      <c r="A81" t="str">
        <f>IF($K81="","",IFERROR(INDEX('Veri Merkezi'!$A$2:$A$1001,$K81),""))</f>
        <v/>
      </c>
      <c r="B81" t="str">
        <f>IF($K81="","",IFERROR(INDEX('Veri Merkezi'!$E$2:$E$1001,$K81),""))</f>
        <v/>
      </c>
      <c r="C81" t="str">
        <f>IF($K81="","",IFERROR(INDEX('Veri Merkezi'!$D$2:$D$1001,$K81),""))</f>
        <v/>
      </c>
      <c r="D81" t="str">
        <f>IF($K81="","",IFERROR(INDEX('Veri Merkezi'!$F$2:$F$1001,$K81),""))</f>
        <v/>
      </c>
      <c r="E81" s="2" t="str">
        <f>IF($K81="","",IFERROR(INDEX('Veri Merkezi'!$G$2:$G$1001,$K81),""))</f>
        <v/>
      </c>
      <c r="F81" t="str">
        <f>IF($K81="","",IFERROR(INDEX('Veri Merkezi'!$H$2:$H$1001,$K81),""))</f>
        <v/>
      </c>
      <c r="G81" t="str">
        <f>IF($K81="","",IFERROR(INDEX('Veri Merkezi'!$R$2:$R$1001,$K81),""))</f>
        <v/>
      </c>
      <c r="H81" t="str">
        <f>IF($K81="","",IFERROR(INDEX('Veri Merkezi'!$S$2:$S$1001,$K81),""))</f>
        <v/>
      </c>
      <c r="I81" s="2" t="str">
        <f>IF($K81="","",IFERROR(INDEX('Veri Merkezi'!$T$2:$T$1001,$K81),""))</f>
        <v/>
      </c>
      <c r="J81" t="str">
        <f>IF($K81="","",IFERROR(INDEX('Veri Merkezi'!$U$2:$U$1001,$K81),""))</f>
        <v/>
      </c>
      <c r="K81" t="str">
        <f>IF(K80="","",IFERROR(K80+MATCH("B Liste",INDEX('Veri Merkezi'!$S$2:$S$1001,K80+1):'Veri Merkezi'!$S$1001,0),""))</f>
        <v/>
      </c>
    </row>
    <row r="82" spans="1:11">
      <c r="A82" t="str">
        <f>IF($K82="","",IFERROR(INDEX('Veri Merkezi'!$A$2:$A$1001,$K82),""))</f>
        <v/>
      </c>
      <c r="B82" t="str">
        <f>IF($K82="","",IFERROR(INDEX('Veri Merkezi'!$E$2:$E$1001,$K82),""))</f>
        <v/>
      </c>
      <c r="C82" t="str">
        <f>IF($K82="","",IFERROR(INDEX('Veri Merkezi'!$D$2:$D$1001,$K82),""))</f>
        <v/>
      </c>
      <c r="D82" t="str">
        <f>IF($K82="","",IFERROR(INDEX('Veri Merkezi'!$F$2:$F$1001,$K82),""))</f>
        <v/>
      </c>
      <c r="E82" s="2" t="str">
        <f>IF($K82="","",IFERROR(INDEX('Veri Merkezi'!$G$2:$G$1001,$K82),""))</f>
        <v/>
      </c>
      <c r="F82" t="str">
        <f>IF($K82="","",IFERROR(INDEX('Veri Merkezi'!$H$2:$H$1001,$K82),""))</f>
        <v/>
      </c>
      <c r="G82" t="str">
        <f>IF($K82="","",IFERROR(INDEX('Veri Merkezi'!$R$2:$R$1001,$K82),""))</f>
        <v/>
      </c>
      <c r="H82" t="str">
        <f>IF($K82="","",IFERROR(INDEX('Veri Merkezi'!$S$2:$S$1001,$K82),""))</f>
        <v/>
      </c>
      <c r="I82" s="2" t="str">
        <f>IF($K82="","",IFERROR(INDEX('Veri Merkezi'!$T$2:$T$1001,$K82),""))</f>
        <v/>
      </c>
      <c r="J82" t="str">
        <f>IF($K82="","",IFERROR(INDEX('Veri Merkezi'!$U$2:$U$1001,$K82),""))</f>
        <v/>
      </c>
      <c r="K82" t="str">
        <f>IF(K81="","",IFERROR(K81+MATCH("B Liste",INDEX('Veri Merkezi'!$S$2:$S$1001,K81+1):'Veri Merkezi'!$S$1001,0),""))</f>
        <v/>
      </c>
    </row>
    <row r="83" spans="1:11">
      <c r="A83" t="str">
        <f>IF($K83="","",IFERROR(INDEX('Veri Merkezi'!$A$2:$A$1001,$K83),""))</f>
        <v/>
      </c>
      <c r="B83" t="str">
        <f>IF($K83="","",IFERROR(INDEX('Veri Merkezi'!$E$2:$E$1001,$K83),""))</f>
        <v/>
      </c>
      <c r="C83" t="str">
        <f>IF($K83="","",IFERROR(INDEX('Veri Merkezi'!$D$2:$D$1001,$K83),""))</f>
        <v/>
      </c>
      <c r="D83" t="str">
        <f>IF($K83="","",IFERROR(INDEX('Veri Merkezi'!$F$2:$F$1001,$K83),""))</f>
        <v/>
      </c>
      <c r="E83" s="2" t="str">
        <f>IF($K83="","",IFERROR(INDEX('Veri Merkezi'!$G$2:$G$1001,$K83),""))</f>
        <v/>
      </c>
      <c r="F83" t="str">
        <f>IF($K83="","",IFERROR(INDEX('Veri Merkezi'!$H$2:$H$1001,$K83),""))</f>
        <v/>
      </c>
      <c r="G83" t="str">
        <f>IF($K83="","",IFERROR(INDEX('Veri Merkezi'!$R$2:$R$1001,$K83),""))</f>
        <v/>
      </c>
      <c r="H83" t="str">
        <f>IF($K83="","",IFERROR(INDEX('Veri Merkezi'!$S$2:$S$1001,$K83),""))</f>
        <v/>
      </c>
      <c r="I83" s="2" t="str">
        <f>IF($K83="","",IFERROR(INDEX('Veri Merkezi'!$T$2:$T$1001,$K83),""))</f>
        <v/>
      </c>
      <c r="J83" t="str">
        <f>IF($K83="","",IFERROR(INDEX('Veri Merkezi'!$U$2:$U$1001,$K83),""))</f>
        <v/>
      </c>
      <c r="K83" t="str">
        <f>IF(K82="","",IFERROR(K82+MATCH("B Liste",INDEX('Veri Merkezi'!$S$2:$S$1001,K82+1):'Veri Merkezi'!$S$1001,0),""))</f>
        <v/>
      </c>
    </row>
    <row r="84" spans="1:11">
      <c r="A84" t="str">
        <f>IF($K84="","",IFERROR(INDEX('Veri Merkezi'!$A$2:$A$1001,$K84),""))</f>
        <v/>
      </c>
      <c r="B84" t="str">
        <f>IF($K84="","",IFERROR(INDEX('Veri Merkezi'!$E$2:$E$1001,$K84),""))</f>
        <v/>
      </c>
      <c r="C84" t="str">
        <f>IF($K84="","",IFERROR(INDEX('Veri Merkezi'!$D$2:$D$1001,$K84),""))</f>
        <v/>
      </c>
      <c r="D84" t="str">
        <f>IF($K84="","",IFERROR(INDEX('Veri Merkezi'!$F$2:$F$1001,$K84),""))</f>
        <v/>
      </c>
      <c r="E84" s="2" t="str">
        <f>IF($K84="","",IFERROR(INDEX('Veri Merkezi'!$G$2:$G$1001,$K84),""))</f>
        <v/>
      </c>
      <c r="F84" t="str">
        <f>IF($K84="","",IFERROR(INDEX('Veri Merkezi'!$H$2:$H$1001,$K84),""))</f>
        <v/>
      </c>
      <c r="G84" t="str">
        <f>IF($K84="","",IFERROR(INDEX('Veri Merkezi'!$R$2:$R$1001,$K84),""))</f>
        <v/>
      </c>
      <c r="H84" t="str">
        <f>IF($K84="","",IFERROR(INDEX('Veri Merkezi'!$S$2:$S$1001,$K84),""))</f>
        <v/>
      </c>
      <c r="I84" s="2" t="str">
        <f>IF($K84="","",IFERROR(INDEX('Veri Merkezi'!$T$2:$T$1001,$K84),""))</f>
        <v/>
      </c>
      <c r="J84" t="str">
        <f>IF($K84="","",IFERROR(INDEX('Veri Merkezi'!$U$2:$U$1001,$K84),""))</f>
        <v/>
      </c>
      <c r="K84" t="str">
        <f>IF(K83="","",IFERROR(K83+MATCH("B Liste",INDEX('Veri Merkezi'!$S$2:$S$1001,K83+1):'Veri Merkezi'!$S$1001,0),""))</f>
        <v/>
      </c>
    </row>
    <row r="85" spans="1:11">
      <c r="A85" t="str">
        <f>IF($K85="","",IFERROR(INDEX('Veri Merkezi'!$A$2:$A$1001,$K85),""))</f>
        <v/>
      </c>
      <c r="B85" t="str">
        <f>IF($K85="","",IFERROR(INDEX('Veri Merkezi'!$E$2:$E$1001,$K85),""))</f>
        <v/>
      </c>
      <c r="C85" t="str">
        <f>IF($K85="","",IFERROR(INDEX('Veri Merkezi'!$D$2:$D$1001,$K85),""))</f>
        <v/>
      </c>
      <c r="D85" t="str">
        <f>IF($K85="","",IFERROR(INDEX('Veri Merkezi'!$F$2:$F$1001,$K85),""))</f>
        <v/>
      </c>
      <c r="E85" s="2" t="str">
        <f>IF($K85="","",IFERROR(INDEX('Veri Merkezi'!$G$2:$G$1001,$K85),""))</f>
        <v/>
      </c>
      <c r="F85" t="str">
        <f>IF($K85="","",IFERROR(INDEX('Veri Merkezi'!$H$2:$H$1001,$K85),""))</f>
        <v/>
      </c>
      <c r="G85" t="str">
        <f>IF($K85="","",IFERROR(INDEX('Veri Merkezi'!$R$2:$R$1001,$K85),""))</f>
        <v/>
      </c>
      <c r="H85" t="str">
        <f>IF($K85="","",IFERROR(INDEX('Veri Merkezi'!$S$2:$S$1001,$K85),""))</f>
        <v/>
      </c>
      <c r="I85" s="2" t="str">
        <f>IF($K85="","",IFERROR(INDEX('Veri Merkezi'!$T$2:$T$1001,$K85),""))</f>
        <v/>
      </c>
      <c r="J85" t="str">
        <f>IF($K85="","",IFERROR(INDEX('Veri Merkezi'!$U$2:$U$1001,$K85),""))</f>
        <v/>
      </c>
      <c r="K85" t="str">
        <f>IF(K84="","",IFERROR(K84+MATCH("B Liste",INDEX('Veri Merkezi'!$S$2:$S$1001,K84+1):'Veri Merkezi'!$S$1001,0),""))</f>
        <v/>
      </c>
    </row>
    <row r="86" spans="1:11">
      <c r="A86" t="str">
        <f>IF($K86="","",IFERROR(INDEX('Veri Merkezi'!$A$2:$A$1001,$K86),""))</f>
        <v/>
      </c>
      <c r="B86" t="str">
        <f>IF($K86="","",IFERROR(INDEX('Veri Merkezi'!$E$2:$E$1001,$K86),""))</f>
        <v/>
      </c>
      <c r="C86" t="str">
        <f>IF($K86="","",IFERROR(INDEX('Veri Merkezi'!$D$2:$D$1001,$K86),""))</f>
        <v/>
      </c>
      <c r="D86" t="str">
        <f>IF($K86="","",IFERROR(INDEX('Veri Merkezi'!$F$2:$F$1001,$K86),""))</f>
        <v/>
      </c>
      <c r="E86" s="2" t="str">
        <f>IF($K86="","",IFERROR(INDEX('Veri Merkezi'!$G$2:$G$1001,$K86),""))</f>
        <v/>
      </c>
      <c r="F86" t="str">
        <f>IF($K86="","",IFERROR(INDEX('Veri Merkezi'!$H$2:$H$1001,$K86),""))</f>
        <v/>
      </c>
      <c r="G86" t="str">
        <f>IF($K86="","",IFERROR(INDEX('Veri Merkezi'!$R$2:$R$1001,$K86),""))</f>
        <v/>
      </c>
      <c r="H86" t="str">
        <f>IF($K86="","",IFERROR(INDEX('Veri Merkezi'!$S$2:$S$1001,$K86),""))</f>
        <v/>
      </c>
      <c r="I86" s="2" t="str">
        <f>IF($K86="","",IFERROR(INDEX('Veri Merkezi'!$T$2:$T$1001,$K86),""))</f>
        <v/>
      </c>
      <c r="J86" t="str">
        <f>IF($K86="","",IFERROR(INDEX('Veri Merkezi'!$U$2:$U$1001,$K86),""))</f>
        <v/>
      </c>
      <c r="K86" t="str">
        <f>IF(K85="","",IFERROR(K85+MATCH("B Liste",INDEX('Veri Merkezi'!$S$2:$S$1001,K85+1):'Veri Merkezi'!$S$1001,0),""))</f>
        <v/>
      </c>
    </row>
    <row r="87" spans="1:11">
      <c r="A87" t="str">
        <f>IF($K87="","",IFERROR(INDEX('Veri Merkezi'!$A$2:$A$1001,$K87),""))</f>
        <v/>
      </c>
      <c r="B87" t="str">
        <f>IF($K87="","",IFERROR(INDEX('Veri Merkezi'!$E$2:$E$1001,$K87),""))</f>
        <v/>
      </c>
      <c r="C87" t="str">
        <f>IF($K87="","",IFERROR(INDEX('Veri Merkezi'!$D$2:$D$1001,$K87),""))</f>
        <v/>
      </c>
      <c r="D87" t="str">
        <f>IF($K87="","",IFERROR(INDEX('Veri Merkezi'!$F$2:$F$1001,$K87),""))</f>
        <v/>
      </c>
      <c r="E87" s="2" t="str">
        <f>IF($K87="","",IFERROR(INDEX('Veri Merkezi'!$G$2:$G$1001,$K87),""))</f>
        <v/>
      </c>
      <c r="F87" t="str">
        <f>IF($K87="","",IFERROR(INDEX('Veri Merkezi'!$H$2:$H$1001,$K87),""))</f>
        <v/>
      </c>
      <c r="G87" t="str">
        <f>IF($K87="","",IFERROR(INDEX('Veri Merkezi'!$R$2:$R$1001,$K87),""))</f>
        <v/>
      </c>
      <c r="H87" t="str">
        <f>IF($K87="","",IFERROR(INDEX('Veri Merkezi'!$S$2:$S$1001,$K87),""))</f>
        <v/>
      </c>
      <c r="I87" s="2" t="str">
        <f>IF($K87="","",IFERROR(INDEX('Veri Merkezi'!$T$2:$T$1001,$K87),""))</f>
        <v/>
      </c>
      <c r="J87" t="str">
        <f>IF($K87="","",IFERROR(INDEX('Veri Merkezi'!$U$2:$U$1001,$K87),""))</f>
        <v/>
      </c>
      <c r="K87" t="str">
        <f>IF(K86="","",IFERROR(K86+MATCH("B Liste",INDEX('Veri Merkezi'!$S$2:$S$1001,K86+1):'Veri Merkezi'!$S$1001,0),""))</f>
        <v/>
      </c>
    </row>
    <row r="88" spans="1:11">
      <c r="A88" t="str">
        <f>IF($K88="","",IFERROR(INDEX('Veri Merkezi'!$A$2:$A$1001,$K88),""))</f>
        <v/>
      </c>
      <c r="B88" t="str">
        <f>IF($K88="","",IFERROR(INDEX('Veri Merkezi'!$E$2:$E$1001,$K88),""))</f>
        <v/>
      </c>
      <c r="C88" t="str">
        <f>IF($K88="","",IFERROR(INDEX('Veri Merkezi'!$D$2:$D$1001,$K88),""))</f>
        <v/>
      </c>
      <c r="D88" t="str">
        <f>IF($K88="","",IFERROR(INDEX('Veri Merkezi'!$F$2:$F$1001,$K88),""))</f>
        <v/>
      </c>
      <c r="E88" s="2" t="str">
        <f>IF($K88="","",IFERROR(INDEX('Veri Merkezi'!$G$2:$G$1001,$K88),""))</f>
        <v/>
      </c>
      <c r="F88" t="str">
        <f>IF($K88="","",IFERROR(INDEX('Veri Merkezi'!$H$2:$H$1001,$K88),""))</f>
        <v/>
      </c>
      <c r="G88" t="str">
        <f>IF($K88="","",IFERROR(INDEX('Veri Merkezi'!$R$2:$R$1001,$K88),""))</f>
        <v/>
      </c>
      <c r="H88" t="str">
        <f>IF($K88="","",IFERROR(INDEX('Veri Merkezi'!$S$2:$S$1001,$K88),""))</f>
        <v/>
      </c>
      <c r="I88" s="2" t="str">
        <f>IF($K88="","",IFERROR(INDEX('Veri Merkezi'!$T$2:$T$1001,$K88),""))</f>
        <v/>
      </c>
      <c r="J88" t="str">
        <f>IF($K88="","",IFERROR(INDEX('Veri Merkezi'!$U$2:$U$1001,$K88),""))</f>
        <v/>
      </c>
      <c r="K88" t="str">
        <f>IF(K87="","",IFERROR(K87+MATCH("B Liste",INDEX('Veri Merkezi'!$S$2:$S$1001,K87+1):'Veri Merkezi'!$S$1001,0),""))</f>
        <v/>
      </c>
    </row>
    <row r="89" spans="1:11">
      <c r="A89" t="str">
        <f>IF($K89="","",IFERROR(INDEX('Veri Merkezi'!$A$2:$A$1001,$K89),""))</f>
        <v/>
      </c>
      <c r="B89" t="str">
        <f>IF($K89="","",IFERROR(INDEX('Veri Merkezi'!$E$2:$E$1001,$K89),""))</f>
        <v/>
      </c>
      <c r="C89" t="str">
        <f>IF($K89="","",IFERROR(INDEX('Veri Merkezi'!$D$2:$D$1001,$K89),""))</f>
        <v/>
      </c>
      <c r="D89" t="str">
        <f>IF($K89="","",IFERROR(INDEX('Veri Merkezi'!$F$2:$F$1001,$K89),""))</f>
        <v/>
      </c>
      <c r="E89" s="2" t="str">
        <f>IF($K89="","",IFERROR(INDEX('Veri Merkezi'!$G$2:$G$1001,$K89),""))</f>
        <v/>
      </c>
      <c r="F89" t="str">
        <f>IF($K89="","",IFERROR(INDEX('Veri Merkezi'!$H$2:$H$1001,$K89),""))</f>
        <v/>
      </c>
      <c r="G89" t="str">
        <f>IF($K89="","",IFERROR(INDEX('Veri Merkezi'!$R$2:$R$1001,$K89),""))</f>
        <v/>
      </c>
      <c r="H89" t="str">
        <f>IF($K89="","",IFERROR(INDEX('Veri Merkezi'!$S$2:$S$1001,$K89),""))</f>
        <v/>
      </c>
      <c r="I89" s="2" t="str">
        <f>IF($K89="","",IFERROR(INDEX('Veri Merkezi'!$T$2:$T$1001,$K89),""))</f>
        <v/>
      </c>
      <c r="J89" t="str">
        <f>IF($K89="","",IFERROR(INDEX('Veri Merkezi'!$U$2:$U$1001,$K89),""))</f>
        <v/>
      </c>
      <c r="K89" t="str">
        <f>IF(K88="","",IFERROR(K88+MATCH("B Liste",INDEX('Veri Merkezi'!$S$2:$S$1001,K88+1):'Veri Merkezi'!$S$1001,0),""))</f>
        <v/>
      </c>
    </row>
    <row r="90" spans="1:11">
      <c r="A90" t="str">
        <f>IF($K90="","",IFERROR(INDEX('Veri Merkezi'!$A$2:$A$1001,$K90),""))</f>
        <v/>
      </c>
      <c r="B90" t="str">
        <f>IF($K90="","",IFERROR(INDEX('Veri Merkezi'!$E$2:$E$1001,$K90),""))</f>
        <v/>
      </c>
      <c r="C90" t="str">
        <f>IF($K90="","",IFERROR(INDEX('Veri Merkezi'!$D$2:$D$1001,$K90),""))</f>
        <v/>
      </c>
      <c r="D90" t="str">
        <f>IF($K90="","",IFERROR(INDEX('Veri Merkezi'!$F$2:$F$1001,$K90),""))</f>
        <v/>
      </c>
      <c r="E90" s="2" t="str">
        <f>IF($K90="","",IFERROR(INDEX('Veri Merkezi'!$G$2:$G$1001,$K90),""))</f>
        <v/>
      </c>
      <c r="F90" t="str">
        <f>IF($K90="","",IFERROR(INDEX('Veri Merkezi'!$H$2:$H$1001,$K90),""))</f>
        <v/>
      </c>
      <c r="G90" t="str">
        <f>IF($K90="","",IFERROR(INDEX('Veri Merkezi'!$R$2:$R$1001,$K90),""))</f>
        <v/>
      </c>
      <c r="H90" t="str">
        <f>IF($K90="","",IFERROR(INDEX('Veri Merkezi'!$S$2:$S$1001,$K90),""))</f>
        <v/>
      </c>
      <c r="I90" s="2" t="str">
        <f>IF($K90="","",IFERROR(INDEX('Veri Merkezi'!$T$2:$T$1001,$K90),""))</f>
        <v/>
      </c>
      <c r="J90" t="str">
        <f>IF($K90="","",IFERROR(INDEX('Veri Merkezi'!$U$2:$U$1001,$K90),""))</f>
        <v/>
      </c>
      <c r="K90" t="str">
        <f>IF(K89="","",IFERROR(K89+MATCH("B Liste",INDEX('Veri Merkezi'!$S$2:$S$1001,K89+1):'Veri Merkezi'!$S$1001,0),""))</f>
        <v/>
      </c>
    </row>
    <row r="91" spans="1:11">
      <c r="A91" t="str">
        <f>IF($K91="","",IFERROR(INDEX('Veri Merkezi'!$A$2:$A$1001,$K91),""))</f>
        <v/>
      </c>
      <c r="B91" t="str">
        <f>IF($K91="","",IFERROR(INDEX('Veri Merkezi'!$E$2:$E$1001,$K91),""))</f>
        <v/>
      </c>
      <c r="C91" t="str">
        <f>IF($K91="","",IFERROR(INDEX('Veri Merkezi'!$D$2:$D$1001,$K91),""))</f>
        <v/>
      </c>
      <c r="D91" t="str">
        <f>IF($K91="","",IFERROR(INDEX('Veri Merkezi'!$F$2:$F$1001,$K91),""))</f>
        <v/>
      </c>
      <c r="E91" s="2" t="str">
        <f>IF($K91="","",IFERROR(INDEX('Veri Merkezi'!$G$2:$G$1001,$K91),""))</f>
        <v/>
      </c>
      <c r="F91" t="str">
        <f>IF($K91="","",IFERROR(INDEX('Veri Merkezi'!$H$2:$H$1001,$K91),""))</f>
        <v/>
      </c>
      <c r="G91" t="str">
        <f>IF($K91="","",IFERROR(INDEX('Veri Merkezi'!$R$2:$R$1001,$K91),""))</f>
        <v/>
      </c>
      <c r="H91" t="str">
        <f>IF($K91="","",IFERROR(INDEX('Veri Merkezi'!$S$2:$S$1001,$K91),""))</f>
        <v/>
      </c>
      <c r="I91" s="2" t="str">
        <f>IF($K91="","",IFERROR(INDEX('Veri Merkezi'!$T$2:$T$1001,$K91),""))</f>
        <v/>
      </c>
      <c r="J91" t="str">
        <f>IF($K91="","",IFERROR(INDEX('Veri Merkezi'!$U$2:$U$1001,$K91),""))</f>
        <v/>
      </c>
      <c r="K91" t="str">
        <f>IF(K90="","",IFERROR(K90+MATCH("B Liste",INDEX('Veri Merkezi'!$S$2:$S$1001,K90+1):'Veri Merkezi'!$S$1001,0),""))</f>
        <v/>
      </c>
    </row>
    <row r="92" spans="1:11">
      <c r="A92" t="str">
        <f>IF($K92="","",IFERROR(INDEX('Veri Merkezi'!$A$2:$A$1001,$K92),""))</f>
        <v/>
      </c>
      <c r="B92" t="str">
        <f>IF($K92="","",IFERROR(INDEX('Veri Merkezi'!$E$2:$E$1001,$K92),""))</f>
        <v/>
      </c>
      <c r="C92" t="str">
        <f>IF($K92="","",IFERROR(INDEX('Veri Merkezi'!$D$2:$D$1001,$K92),""))</f>
        <v/>
      </c>
      <c r="D92" t="str">
        <f>IF($K92="","",IFERROR(INDEX('Veri Merkezi'!$F$2:$F$1001,$K92),""))</f>
        <v/>
      </c>
      <c r="E92" s="2" t="str">
        <f>IF($K92="","",IFERROR(INDEX('Veri Merkezi'!$G$2:$G$1001,$K92),""))</f>
        <v/>
      </c>
      <c r="F92" t="str">
        <f>IF($K92="","",IFERROR(INDEX('Veri Merkezi'!$H$2:$H$1001,$K92),""))</f>
        <v/>
      </c>
      <c r="G92" t="str">
        <f>IF($K92="","",IFERROR(INDEX('Veri Merkezi'!$R$2:$R$1001,$K92),""))</f>
        <v/>
      </c>
      <c r="H92" t="str">
        <f>IF($K92="","",IFERROR(INDEX('Veri Merkezi'!$S$2:$S$1001,$K92),""))</f>
        <v/>
      </c>
      <c r="I92" s="2" t="str">
        <f>IF($K92="","",IFERROR(INDEX('Veri Merkezi'!$T$2:$T$1001,$K92),""))</f>
        <v/>
      </c>
      <c r="J92" t="str">
        <f>IF($K92="","",IFERROR(INDEX('Veri Merkezi'!$U$2:$U$1001,$K92),""))</f>
        <v/>
      </c>
      <c r="K92" t="str">
        <f>IF(K91="","",IFERROR(K91+MATCH("B Liste",INDEX('Veri Merkezi'!$S$2:$S$1001,K91+1):'Veri Merkezi'!$S$1001,0),""))</f>
        <v/>
      </c>
    </row>
    <row r="93" spans="1:11">
      <c r="A93" t="str">
        <f>IF($K93="","",IFERROR(INDEX('Veri Merkezi'!$A$2:$A$1001,$K93),""))</f>
        <v/>
      </c>
      <c r="B93" t="str">
        <f>IF($K93="","",IFERROR(INDEX('Veri Merkezi'!$E$2:$E$1001,$K93),""))</f>
        <v/>
      </c>
      <c r="C93" t="str">
        <f>IF($K93="","",IFERROR(INDEX('Veri Merkezi'!$D$2:$D$1001,$K93),""))</f>
        <v/>
      </c>
      <c r="D93" t="str">
        <f>IF($K93="","",IFERROR(INDEX('Veri Merkezi'!$F$2:$F$1001,$K93),""))</f>
        <v/>
      </c>
      <c r="E93" s="2" t="str">
        <f>IF($K93="","",IFERROR(INDEX('Veri Merkezi'!$G$2:$G$1001,$K93),""))</f>
        <v/>
      </c>
      <c r="F93" t="str">
        <f>IF($K93="","",IFERROR(INDEX('Veri Merkezi'!$H$2:$H$1001,$K93),""))</f>
        <v/>
      </c>
      <c r="G93" t="str">
        <f>IF($K93="","",IFERROR(INDEX('Veri Merkezi'!$R$2:$R$1001,$K93),""))</f>
        <v/>
      </c>
      <c r="H93" t="str">
        <f>IF($K93="","",IFERROR(INDEX('Veri Merkezi'!$S$2:$S$1001,$K93),""))</f>
        <v/>
      </c>
      <c r="I93" s="2" t="str">
        <f>IF($K93="","",IFERROR(INDEX('Veri Merkezi'!$T$2:$T$1001,$K93),""))</f>
        <v/>
      </c>
      <c r="J93" t="str">
        <f>IF($K93="","",IFERROR(INDEX('Veri Merkezi'!$U$2:$U$1001,$K93),""))</f>
        <v/>
      </c>
      <c r="K93" t="str">
        <f>IF(K92="","",IFERROR(K92+MATCH("B Liste",INDEX('Veri Merkezi'!$S$2:$S$1001,K92+1):'Veri Merkezi'!$S$1001,0),""))</f>
        <v/>
      </c>
    </row>
    <row r="94" spans="1:11">
      <c r="A94" t="str">
        <f>IF($K94="","",IFERROR(INDEX('Veri Merkezi'!$A$2:$A$1001,$K94),""))</f>
        <v/>
      </c>
      <c r="B94" t="str">
        <f>IF($K94="","",IFERROR(INDEX('Veri Merkezi'!$E$2:$E$1001,$K94),""))</f>
        <v/>
      </c>
      <c r="C94" t="str">
        <f>IF($K94="","",IFERROR(INDEX('Veri Merkezi'!$D$2:$D$1001,$K94),""))</f>
        <v/>
      </c>
      <c r="D94" t="str">
        <f>IF($K94="","",IFERROR(INDEX('Veri Merkezi'!$F$2:$F$1001,$K94),""))</f>
        <v/>
      </c>
      <c r="E94" s="2" t="str">
        <f>IF($K94="","",IFERROR(INDEX('Veri Merkezi'!$G$2:$G$1001,$K94),""))</f>
        <v/>
      </c>
      <c r="F94" t="str">
        <f>IF($K94="","",IFERROR(INDEX('Veri Merkezi'!$H$2:$H$1001,$K94),""))</f>
        <v/>
      </c>
      <c r="G94" t="str">
        <f>IF($K94="","",IFERROR(INDEX('Veri Merkezi'!$R$2:$R$1001,$K94),""))</f>
        <v/>
      </c>
      <c r="H94" t="str">
        <f>IF($K94="","",IFERROR(INDEX('Veri Merkezi'!$S$2:$S$1001,$K94),""))</f>
        <v/>
      </c>
      <c r="I94" s="2" t="str">
        <f>IF($K94="","",IFERROR(INDEX('Veri Merkezi'!$T$2:$T$1001,$K94),""))</f>
        <v/>
      </c>
      <c r="J94" t="str">
        <f>IF($K94="","",IFERROR(INDEX('Veri Merkezi'!$U$2:$U$1001,$K94),""))</f>
        <v/>
      </c>
      <c r="K94" t="str">
        <f>IF(K93="","",IFERROR(K93+MATCH("B Liste",INDEX('Veri Merkezi'!$S$2:$S$1001,K93+1):'Veri Merkezi'!$S$1001,0),""))</f>
        <v/>
      </c>
    </row>
    <row r="95" spans="1:11">
      <c r="A95" t="str">
        <f>IF($K95="","",IFERROR(INDEX('Veri Merkezi'!$A$2:$A$1001,$K95),""))</f>
        <v/>
      </c>
      <c r="B95" t="str">
        <f>IF($K95="","",IFERROR(INDEX('Veri Merkezi'!$E$2:$E$1001,$K95),""))</f>
        <v/>
      </c>
      <c r="C95" t="str">
        <f>IF($K95="","",IFERROR(INDEX('Veri Merkezi'!$D$2:$D$1001,$K95),""))</f>
        <v/>
      </c>
      <c r="D95" t="str">
        <f>IF($K95="","",IFERROR(INDEX('Veri Merkezi'!$F$2:$F$1001,$K95),""))</f>
        <v/>
      </c>
      <c r="E95" s="2" t="str">
        <f>IF($K95="","",IFERROR(INDEX('Veri Merkezi'!$G$2:$G$1001,$K95),""))</f>
        <v/>
      </c>
      <c r="F95" t="str">
        <f>IF($K95="","",IFERROR(INDEX('Veri Merkezi'!$H$2:$H$1001,$K95),""))</f>
        <v/>
      </c>
      <c r="G95" t="str">
        <f>IF($K95="","",IFERROR(INDEX('Veri Merkezi'!$R$2:$R$1001,$K95),""))</f>
        <v/>
      </c>
      <c r="H95" t="str">
        <f>IF($K95="","",IFERROR(INDEX('Veri Merkezi'!$S$2:$S$1001,$K95),""))</f>
        <v/>
      </c>
      <c r="I95" s="2" t="str">
        <f>IF($K95="","",IFERROR(INDEX('Veri Merkezi'!$T$2:$T$1001,$K95),""))</f>
        <v/>
      </c>
      <c r="J95" t="str">
        <f>IF($K95="","",IFERROR(INDEX('Veri Merkezi'!$U$2:$U$1001,$K95),""))</f>
        <v/>
      </c>
      <c r="K95" t="str">
        <f>IF(K94="","",IFERROR(K94+MATCH("B Liste",INDEX('Veri Merkezi'!$S$2:$S$1001,K94+1):'Veri Merkezi'!$S$1001,0),""))</f>
        <v/>
      </c>
    </row>
    <row r="96" spans="1:11">
      <c r="A96" t="str">
        <f>IF($K96="","",IFERROR(INDEX('Veri Merkezi'!$A$2:$A$1001,$K96),""))</f>
        <v/>
      </c>
      <c r="B96" t="str">
        <f>IF($K96="","",IFERROR(INDEX('Veri Merkezi'!$E$2:$E$1001,$K96),""))</f>
        <v/>
      </c>
      <c r="C96" t="str">
        <f>IF($K96="","",IFERROR(INDEX('Veri Merkezi'!$D$2:$D$1001,$K96),""))</f>
        <v/>
      </c>
      <c r="D96" t="str">
        <f>IF($K96="","",IFERROR(INDEX('Veri Merkezi'!$F$2:$F$1001,$K96),""))</f>
        <v/>
      </c>
      <c r="E96" s="2" t="str">
        <f>IF($K96="","",IFERROR(INDEX('Veri Merkezi'!$G$2:$G$1001,$K96),""))</f>
        <v/>
      </c>
      <c r="F96" t="str">
        <f>IF($K96="","",IFERROR(INDEX('Veri Merkezi'!$H$2:$H$1001,$K96),""))</f>
        <v/>
      </c>
      <c r="G96" t="str">
        <f>IF($K96="","",IFERROR(INDEX('Veri Merkezi'!$R$2:$R$1001,$K96),""))</f>
        <v/>
      </c>
      <c r="H96" t="str">
        <f>IF($K96="","",IFERROR(INDEX('Veri Merkezi'!$S$2:$S$1001,$K96),""))</f>
        <v/>
      </c>
      <c r="I96" s="2" t="str">
        <f>IF($K96="","",IFERROR(INDEX('Veri Merkezi'!$T$2:$T$1001,$K96),""))</f>
        <v/>
      </c>
      <c r="J96" t="str">
        <f>IF($K96="","",IFERROR(INDEX('Veri Merkezi'!$U$2:$U$1001,$K96),""))</f>
        <v/>
      </c>
      <c r="K96" t="str">
        <f>IF(K95="","",IFERROR(K95+MATCH("B Liste",INDEX('Veri Merkezi'!$S$2:$S$1001,K95+1):'Veri Merkezi'!$S$1001,0),""))</f>
        <v/>
      </c>
    </row>
    <row r="97" spans="1:11">
      <c r="A97" t="str">
        <f>IF($K97="","",IFERROR(INDEX('Veri Merkezi'!$A$2:$A$1001,$K97),""))</f>
        <v/>
      </c>
      <c r="B97" t="str">
        <f>IF($K97="","",IFERROR(INDEX('Veri Merkezi'!$E$2:$E$1001,$K97),""))</f>
        <v/>
      </c>
      <c r="C97" t="str">
        <f>IF($K97="","",IFERROR(INDEX('Veri Merkezi'!$D$2:$D$1001,$K97),""))</f>
        <v/>
      </c>
      <c r="D97" t="str">
        <f>IF($K97="","",IFERROR(INDEX('Veri Merkezi'!$F$2:$F$1001,$K97),""))</f>
        <v/>
      </c>
      <c r="E97" s="2" t="str">
        <f>IF($K97="","",IFERROR(INDEX('Veri Merkezi'!$G$2:$G$1001,$K97),""))</f>
        <v/>
      </c>
      <c r="F97" t="str">
        <f>IF($K97="","",IFERROR(INDEX('Veri Merkezi'!$H$2:$H$1001,$K97),""))</f>
        <v/>
      </c>
      <c r="G97" t="str">
        <f>IF($K97="","",IFERROR(INDEX('Veri Merkezi'!$R$2:$R$1001,$K97),""))</f>
        <v/>
      </c>
      <c r="H97" t="str">
        <f>IF($K97="","",IFERROR(INDEX('Veri Merkezi'!$S$2:$S$1001,$K97),""))</f>
        <v/>
      </c>
      <c r="I97" s="2" t="str">
        <f>IF($K97="","",IFERROR(INDEX('Veri Merkezi'!$T$2:$T$1001,$K97),""))</f>
        <v/>
      </c>
      <c r="J97" t="str">
        <f>IF($K97="","",IFERROR(INDEX('Veri Merkezi'!$U$2:$U$1001,$K97),""))</f>
        <v/>
      </c>
      <c r="K97" t="str">
        <f>IF(K96="","",IFERROR(K96+MATCH("B Liste",INDEX('Veri Merkezi'!$S$2:$S$1001,K96+1):'Veri Merkezi'!$S$1001,0),""))</f>
        <v/>
      </c>
    </row>
    <row r="98" spans="1:11">
      <c r="A98" t="str">
        <f>IF($K98="","",IFERROR(INDEX('Veri Merkezi'!$A$2:$A$1001,$K98),""))</f>
        <v/>
      </c>
      <c r="B98" t="str">
        <f>IF($K98="","",IFERROR(INDEX('Veri Merkezi'!$E$2:$E$1001,$K98),""))</f>
        <v/>
      </c>
      <c r="C98" t="str">
        <f>IF($K98="","",IFERROR(INDEX('Veri Merkezi'!$D$2:$D$1001,$K98),""))</f>
        <v/>
      </c>
      <c r="D98" t="str">
        <f>IF($K98="","",IFERROR(INDEX('Veri Merkezi'!$F$2:$F$1001,$K98),""))</f>
        <v/>
      </c>
      <c r="E98" s="2" t="str">
        <f>IF($K98="","",IFERROR(INDEX('Veri Merkezi'!$G$2:$G$1001,$K98),""))</f>
        <v/>
      </c>
      <c r="F98" t="str">
        <f>IF($K98="","",IFERROR(INDEX('Veri Merkezi'!$H$2:$H$1001,$K98),""))</f>
        <v/>
      </c>
      <c r="G98" t="str">
        <f>IF($K98="","",IFERROR(INDEX('Veri Merkezi'!$R$2:$R$1001,$K98),""))</f>
        <v/>
      </c>
      <c r="H98" t="str">
        <f>IF($K98="","",IFERROR(INDEX('Veri Merkezi'!$S$2:$S$1001,$K98),""))</f>
        <v/>
      </c>
      <c r="I98" s="2" t="str">
        <f>IF($K98="","",IFERROR(INDEX('Veri Merkezi'!$T$2:$T$1001,$K98),""))</f>
        <v/>
      </c>
      <c r="J98" t="str">
        <f>IF($K98="","",IFERROR(INDEX('Veri Merkezi'!$U$2:$U$1001,$K98),""))</f>
        <v/>
      </c>
      <c r="K98" t="str">
        <f>IF(K97="","",IFERROR(K97+MATCH("B Liste",INDEX('Veri Merkezi'!$S$2:$S$1001,K97+1):'Veri Merkezi'!$S$1001,0),""))</f>
        <v/>
      </c>
    </row>
    <row r="99" spans="1:11">
      <c r="A99" t="str">
        <f>IF($K99="","",IFERROR(INDEX('Veri Merkezi'!$A$2:$A$1001,$K99),""))</f>
        <v/>
      </c>
      <c r="B99" t="str">
        <f>IF($K99="","",IFERROR(INDEX('Veri Merkezi'!$E$2:$E$1001,$K99),""))</f>
        <v/>
      </c>
      <c r="C99" t="str">
        <f>IF($K99="","",IFERROR(INDEX('Veri Merkezi'!$D$2:$D$1001,$K99),""))</f>
        <v/>
      </c>
      <c r="D99" t="str">
        <f>IF($K99="","",IFERROR(INDEX('Veri Merkezi'!$F$2:$F$1001,$K99),""))</f>
        <v/>
      </c>
      <c r="E99" s="2" t="str">
        <f>IF($K99="","",IFERROR(INDEX('Veri Merkezi'!$G$2:$G$1001,$K99),""))</f>
        <v/>
      </c>
      <c r="F99" t="str">
        <f>IF($K99="","",IFERROR(INDEX('Veri Merkezi'!$H$2:$H$1001,$K99),""))</f>
        <v/>
      </c>
      <c r="G99" t="str">
        <f>IF($K99="","",IFERROR(INDEX('Veri Merkezi'!$R$2:$R$1001,$K99),""))</f>
        <v/>
      </c>
      <c r="H99" t="str">
        <f>IF($K99="","",IFERROR(INDEX('Veri Merkezi'!$S$2:$S$1001,$K99),""))</f>
        <v/>
      </c>
      <c r="I99" s="2" t="str">
        <f>IF($K99="","",IFERROR(INDEX('Veri Merkezi'!$T$2:$T$1001,$K99),""))</f>
        <v/>
      </c>
      <c r="J99" t="str">
        <f>IF($K99="","",IFERROR(INDEX('Veri Merkezi'!$U$2:$U$1001,$K99),""))</f>
        <v/>
      </c>
      <c r="K99" t="str">
        <f>IF(K98="","",IFERROR(K98+MATCH("B Liste",INDEX('Veri Merkezi'!$S$2:$S$1001,K98+1):'Veri Merkezi'!$S$1001,0),""))</f>
        <v/>
      </c>
    </row>
    <row r="100" spans="1:11">
      <c r="A100" t="str">
        <f>IF($K100="","",IFERROR(INDEX('Veri Merkezi'!$A$2:$A$1001,$K100),""))</f>
        <v/>
      </c>
      <c r="B100" t="str">
        <f>IF($K100="","",IFERROR(INDEX('Veri Merkezi'!$E$2:$E$1001,$K100),""))</f>
        <v/>
      </c>
      <c r="C100" t="str">
        <f>IF($K100="","",IFERROR(INDEX('Veri Merkezi'!$D$2:$D$1001,$K100),""))</f>
        <v/>
      </c>
      <c r="D100" t="str">
        <f>IF($K100="","",IFERROR(INDEX('Veri Merkezi'!$F$2:$F$1001,$K100),""))</f>
        <v/>
      </c>
      <c r="E100" s="2" t="str">
        <f>IF($K100="","",IFERROR(INDEX('Veri Merkezi'!$G$2:$G$1001,$K100),""))</f>
        <v/>
      </c>
      <c r="F100" t="str">
        <f>IF($K100="","",IFERROR(INDEX('Veri Merkezi'!$H$2:$H$1001,$K100),""))</f>
        <v/>
      </c>
      <c r="G100" t="str">
        <f>IF($K100="","",IFERROR(INDEX('Veri Merkezi'!$R$2:$R$1001,$K100),""))</f>
        <v/>
      </c>
      <c r="H100" t="str">
        <f>IF($K100="","",IFERROR(INDEX('Veri Merkezi'!$S$2:$S$1001,$K100),""))</f>
        <v/>
      </c>
      <c r="I100" s="2" t="str">
        <f>IF($K100="","",IFERROR(INDEX('Veri Merkezi'!$T$2:$T$1001,$K100),""))</f>
        <v/>
      </c>
      <c r="J100" t="str">
        <f>IF($K100="","",IFERROR(INDEX('Veri Merkezi'!$U$2:$U$1001,$K100),""))</f>
        <v/>
      </c>
      <c r="K100" t="str">
        <f>IF(K99="","",IFERROR(K99+MATCH("B Liste",INDEX('Veri Merkezi'!$S$2:$S$1001,K99+1):'Veri Merkezi'!$S$1001,0),""))</f>
        <v/>
      </c>
    </row>
    <row r="101" spans="1:11">
      <c r="A101" t="str">
        <f>IF($K101="","",IFERROR(INDEX('Veri Merkezi'!$A$2:$A$1001,$K101),""))</f>
        <v/>
      </c>
      <c r="B101" t="str">
        <f>IF($K101="","",IFERROR(INDEX('Veri Merkezi'!$E$2:$E$1001,$K101),""))</f>
        <v/>
      </c>
      <c r="C101" t="str">
        <f>IF($K101="","",IFERROR(INDEX('Veri Merkezi'!$D$2:$D$1001,$K101),""))</f>
        <v/>
      </c>
      <c r="D101" t="str">
        <f>IF($K101="","",IFERROR(INDEX('Veri Merkezi'!$F$2:$F$1001,$K101),""))</f>
        <v/>
      </c>
      <c r="E101" s="2" t="str">
        <f>IF($K101="","",IFERROR(INDEX('Veri Merkezi'!$G$2:$G$1001,$K101),""))</f>
        <v/>
      </c>
      <c r="F101" t="str">
        <f>IF($K101="","",IFERROR(INDEX('Veri Merkezi'!$H$2:$H$1001,$K101),""))</f>
        <v/>
      </c>
      <c r="G101" t="str">
        <f>IF($K101="","",IFERROR(INDEX('Veri Merkezi'!$R$2:$R$1001,$K101),""))</f>
        <v/>
      </c>
      <c r="H101" t="str">
        <f>IF($K101="","",IFERROR(INDEX('Veri Merkezi'!$S$2:$S$1001,$K101),""))</f>
        <v/>
      </c>
      <c r="I101" s="2" t="str">
        <f>IF($K101="","",IFERROR(INDEX('Veri Merkezi'!$T$2:$T$1001,$K101),""))</f>
        <v/>
      </c>
      <c r="J101" t="str">
        <f>IF($K101="","",IFERROR(INDEX('Veri Merkezi'!$U$2:$U$1001,$K101),""))</f>
        <v/>
      </c>
      <c r="K101" t="str">
        <f>IF(K100="","",IFERROR(K100+MATCH("B Liste",INDEX('Veri Merkezi'!$S$2:$S$1001,K100+1):'Veri Merkezi'!$S$1001,0),""))</f>
        <v/>
      </c>
    </row>
    <row r="102" spans="1:11">
      <c r="A102" t="str">
        <f>IF($K102="","",IFERROR(INDEX('Veri Merkezi'!$A$2:$A$1001,$K102),""))</f>
        <v/>
      </c>
      <c r="B102" t="str">
        <f>IF($K102="","",IFERROR(INDEX('Veri Merkezi'!$E$2:$E$1001,$K102),""))</f>
        <v/>
      </c>
      <c r="C102" t="str">
        <f>IF($K102="","",IFERROR(INDEX('Veri Merkezi'!$D$2:$D$1001,$K102),""))</f>
        <v/>
      </c>
      <c r="D102" t="str">
        <f>IF($K102="","",IFERROR(INDEX('Veri Merkezi'!$F$2:$F$1001,$K102),""))</f>
        <v/>
      </c>
      <c r="E102" s="2" t="str">
        <f>IF($K102="","",IFERROR(INDEX('Veri Merkezi'!$G$2:$G$1001,$K102),""))</f>
        <v/>
      </c>
      <c r="F102" t="str">
        <f>IF($K102="","",IFERROR(INDEX('Veri Merkezi'!$H$2:$H$1001,$K102),""))</f>
        <v/>
      </c>
      <c r="G102" t="str">
        <f>IF($K102="","",IFERROR(INDEX('Veri Merkezi'!$R$2:$R$1001,$K102),""))</f>
        <v/>
      </c>
      <c r="H102" t="str">
        <f>IF($K102="","",IFERROR(INDEX('Veri Merkezi'!$S$2:$S$1001,$K102),""))</f>
        <v/>
      </c>
      <c r="I102" s="2" t="str">
        <f>IF($K102="","",IFERROR(INDEX('Veri Merkezi'!$T$2:$T$1001,$K102),""))</f>
        <v/>
      </c>
      <c r="J102" t="str">
        <f>IF($K102="","",IFERROR(INDEX('Veri Merkezi'!$U$2:$U$1001,$K102),""))</f>
        <v/>
      </c>
      <c r="K102" t="str">
        <f>IF(K101="","",IFERROR(K101+MATCH("B Liste",INDEX('Veri Merkezi'!$S$2:$S$1001,K101+1):'Veri Merkezi'!$S$1001,0),""))</f>
        <v/>
      </c>
    </row>
    <row r="103" spans="1:11">
      <c r="A103" t="str">
        <f>IF($K103="","",IFERROR(INDEX('Veri Merkezi'!$A$2:$A$1001,$K103),""))</f>
        <v/>
      </c>
      <c r="B103" t="str">
        <f>IF($K103="","",IFERROR(INDEX('Veri Merkezi'!$E$2:$E$1001,$K103),""))</f>
        <v/>
      </c>
      <c r="C103" t="str">
        <f>IF($K103="","",IFERROR(INDEX('Veri Merkezi'!$D$2:$D$1001,$K103),""))</f>
        <v/>
      </c>
      <c r="D103" t="str">
        <f>IF($K103="","",IFERROR(INDEX('Veri Merkezi'!$F$2:$F$1001,$K103),""))</f>
        <v/>
      </c>
      <c r="E103" s="2" t="str">
        <f>IF($K103="","",IFERROR(INDEX('Veri Merkezi'!$G$2:$G$1001,$K103),""))</f>
        <v/>
      </c>
      <c r="F103" t="str">
        <f>IF($K103="","",IFERROR(INDEX('Veri Merkezi'!$H$2:$H$1001,$K103),""))</f>
        <v/>
      </c>
      <c r="G103" t="str">
        <f>IF($K103="","",IFERROR(INDEX('Veri Merkezi'!$R$2:$R$1001,$K103),""))</f>
        <v/>
      </c>
      <c r="H103" t="str">
        <f>IF($K103="","",IFERROR(INDEX('Veri Merkezi'!$S$2:$S$1001,$K103),""))</f>
        <v/>
      </c>
      <c r="I103" s="2" t="str">
        <f>IF($K103="","",IFERROR(INDEX('Veri Merkezi'!$T$2:$T$1001,$K103),""))</f>
        <v/>
      </c>
      <c r="J103" t="str">
        <f>IF($K103="","",IFERROR(INDEX('Veri Merkezi'!$U$2:$U$1001,$K103),""))</f>
        <v/>
      </c>
      <c r="K103" t="str">
        <f>IF(K102="","",IFERROR(K102+MATCH("B Liste",INDEX('Veri Merkezi'!$S$2:$S$1001,K102+1):'Veri Merkezi'!$S$1001,0),""))</f>
        <v/>
      </c>
    </row>
    <row r="104" spans="1:11">
      <c r="A104" t="str">
        <f>IF($K104="","",IFERROR(INDEX('Veri Merkezi'!$A$2:$A$1001,$K104),""))</f>
        <v/>
      </c>
      <c r="B104" t="str">
        <f>IF($K104="","",IFERROR(INDEX('Veri Merkezi'!$E$2:$E$1001,$K104),""))</f>
        <v/>
      </c>
      <c r="C104" t="str">
        <f>IF($K104="","",IFERROR(INDEX('Veri Merkezi'!$D$2:$D$1001,$K104),""))</f>
        <v/>
      </c>
      <c r="D104" t="str">
        <f>IF($K104="","",IFERROR(INDEX('Veri Merkezi'!$F$2:$F$1001,$K104),""))</f>
        <v/>
      </c>
      <c r="E104" s="2" t="str">
        <f>IF($K104="","",IFERROR(INDEX('Veri Merkezi'!$G$2:$G$1001,$K104),""))</f>
        <v/>
      </c>
      <c r="F104" t="str">
        <f>IF($K104="","",IFERROR(INDEX('Veri Merkezi'!$H$2:$H$1001,$K104),""))</f>
        <v/>
      </c>
      <c r="G104" t="str">
        <f>IF($K104="","",IFERROR(INDEX('Veri Merkezi'!$R$2:$R$1001,$K104),""))</f>
        <v/>
      </c>
      <c r="H104" t="str">
        <f>IF($K104="","",IFERROR(INDEX('Veri Merkezi'!$S$2:$S$1001,$K104),""))</f>
        <v/>
      </c>
      <c r="I104" s="2" t="str">
        <f>IF($K104="","",IFERROR(INDEX('Veri Merkezi'!$T$2:$T$1001,$K104),""))</f>
        <v/>
      </c>
      <c r="J104" t="str">
        <f>IF($K104="","",IFERROR(INDEX('Veri Merkezi'!$U$2:$U$1001,$K104),""))</f>
        <v/>
      </c>
      <c r="K104" t="str">
        <f>IF(K103="","",IFERROR(K103+MATCH("B Liste",INDEX('Veri Merkezi'!$S$2:$S$1001,K103+1):'Veri Merkezi'!$S$1001,0),""))</f>
        <v/>
      </c>
    </row>
    <row r="105" spans="1:11">
      <c r="A105" t="str">
        <f>IF($K105="","",IFERROR(INDEX('Veri Merkezi'!$A$2:$A$1001,$K105),""))</f>
        <v/>
      </c>
      <c r="B105" t="str">
        <f>IF($K105="","",IFERROR(INDEX('Veri Merkezi'!$E$2:$E$1001,$K105),""))</f>
        <v/>
      </c>
      <c r="C105" t="str">
        <f>IF($K105="","",IFERROR(INDEX('Veri Merkezi'!$D$2:$D$1001,$K105),""))</f>
        <v/>
      </c>
      <c r="D105" t="str">
        <f>IF($K105="","",IFERROR(INDEX('Veri Merkezi'!$F$2:$F$1001,$K105),""))</f>
        <v/>
      </c>
      <c r="E105" s="2" t="str">
        <f>IF($K105="","",IFERROR(INDEX('Veri Merkezi'!$G$2:$G$1001,$K105),""))</f>
        <v/>
      </c>
      <c r="F105" t="str">
        <f>IF($K105="","",IFERROR(INDEX('Veri Merkezi'!$H$2:$H$1001,$K105),""))</f>
        <v/>
      </c>
      <c r="G105" t="str">
        <f>IF($K105="","",IFERROR(INDEX('Veri Merkezi'!$R$2:$R$1001,$K105),""))</f>
        <v/>
      </c>
      <c r="H105" t="str">
        <f>IF($K105="","",IFERROR(INDEX('Veri Merkezi'!$S$2:$S$1001,$K105),""))</f>
        <v/>
      </c>
      <c r="I105" s="2" t="str">
        <f>IF($K105="","",IFERROR(INDEX('Veri Merkezi'!$T$2:$T$1001,$K105),""))</f>
        <v/>
      </c>
      <c r="J105" t="str">
        <f>IF($K105="","",IFERROR(INDEX('Veri Merkezi'!$U$2:$U$1001,$K105),""))</f>
        <v/>
      </c>
      <c r="K105" t="str">
        <f>IF(K104="","",IFERROR(K104+MATCH("B Liste",INDEX('Veri Merkezi'!$S$2:$S$1001,K104+1):'Veri Merkezi'!$S$1001,0),""))</f>
        <v/>
      </c>
    </row>
    <row r="106" spans="1:11">
      <c r="A106" t="str">
        <f>IF($K106="","",IFERROR(INDEX('Veri Merkezi'!$A$2:$A$1001,$K106),""))</f>
        <v/>
      </c>
      <c r="B106" t="str">
        <f>IF($K106="","",IFERROR(INDEX('Veri Merkezi'!$E$2:$E$1001,$K106),""))</f>
        <v/>
      </c>
      <c r="C106" t="str">
        <f>IF($K106="","",IFERROR(INDEX('Veri Merkezi'!$D$2:$D$1001,$K106),""))</f>
        <v/>
      </c>
      <c r="D106" t="str">
        <f>IF($K106="","",IFERROR(INDEX('Veri Merkezi'!$F$2:$F$1001,$K106),""))</f>
        <v/>
      </c>
      <c r="E106" s="2" t="str">
        <f>IF($K106="","",IFERROR(INDEX('Veri Merkezi'!$G$2:$G$1001,$K106),""))</f>
        <v/>
      </c>
      <c r="F106" t="str">
        <f>IF($K106="","",IFERROR(INDEX('Veri Merkezi'!$H$2:$H$1001,$K106),""))</f>
        <v/>
      </c>
      <c r="G106" t="str">
        <f>IF($K106="","",IFERROR(INDEX('Veri Merkezi'!$R$2:$R$1001,$K106),""))</f>
        <v/>
      </c>
      <c r="H106" t="str">
        <f>IF($K106="","",IFERROR(INDEX('Veri Merkezi'!$S$2:$S$1001,$K106),""))</f>
        <v/>
      </c>
      <c r="I106" s="2" t="str">
        <f>IF($K106="","",IFERROR(INDEX('Veri Merkezi'!$T$2:$T$1001,$K106),""))</f>
        <v/>
      </c>
      <c r="J106" t="str">
        <f>IF($K106="","",IFERROR(INDEX('Veri Merkezi'!$U$2:$U$1001,$K106),""))</f>
        <v/>
      </c>
      <c r="K106" t="str">
        <f>IF(K105="","",IFERROR(K105+MATCH("B Liste",INDEX('Veri Merkezi'!$S$2:$S$1001,K105+1):'Veri Merkezi'!$S$1001,0),""))</f>
        <v/>
      </c>
    </row>
    <row r="107" spans="1:11">
      <c r="A107" t="str">
        <f>IF($K107="","",IFERROR(INDEX('Veri Merkezi'!$A$2:$A$1001,$K107),""))</f>
        <v/>
      </c>
      <c r="B107" t="str">
        <f>IF($K107="","",IFERROR(INDEX('Veri Merkezi'!$E$2:$E$1001,$K107),""))</f>
        <v/>
      </c>
      <c r="C107" t="str">
        <f>IF($K107="","",IFERROR(INDEX('Veri Merkezi'!$D$2:$D$1001,$K107),""))</f>
        <v/>
      </c>
      <c r="D107" t="str">
        <f>IF($K107="","",IFERROR(INDEX('Veri Merkezi'!$F$2:$F$1001,$K107),""))</f>
        <v/>
      </c>
      <c r="E107" s="2" t="str">
        <f>IF($K107="","",IFERROR(INDEX('Veri Merkezi'!$G$2:$G$1001,$K107),""))</f>
        <v/>
      </c>
      <c r="F107" t="str">
        <f>IF($K107="","",IFERROR(INDEX('Veri Merkezi'!$H$2:$H$1001,$K107),""))</f>
        <v/>
      </c>
      <c r="G107" t="str">
        <f>IF($K107="","",IFERROR(INDEX('Veri Merkezi'!$R$2:$R$1001,$K107),""))</f>
        <v/>
      </c>
      <c r="H107" t="str">
        <f>IF($K107="","",IFERROR(INDEX('Veri Merkezi'!$S$2:$S$1001,$K107),""))</f>
        <v/>
      </c>
      <c r="I107" s="2" t="str">
        <f>IF($K107="","",IFERROR(INDEX('Veri Merkezi'!$T$2:$T$1001,$K107),""))</f>
        <v/>
      </c>
      <c r="J107" t="str">
        <f>IF($K107="","",IFERROR(INDEX('Veri Merkezi'!$U$2:$U$1001,$K107),""))</f>
        <v/>
      </c>
      <c r="K107" t="str">
        <f>IF(K106="","",IFERROR(K106+MATCH("B Liste",INDEX('Veri Merkezi'!$S$2:$S$1001,K106+1):'Veri Merkezi'!$S$1001,0),""))</f>
        <v/>
      </c>
    </row>
    <row r="108" spans="1:11">
      <c r="A108" t="str">
        <f>IF($K108="","",IFERROR(INDEX('Veri Merkezi'!$A$2:$A$1001,$K108),""))</f>
        <v/>
      </c>
      <c r="B108" t="str">
        <f>IF($K108="","",IFERROR(INDEX('Veri Merkezi'!$E$2:$E$1001,$K108),""))</f>
        <v/>
      </c>
      <c r="C108" t="str">
        <f>IF($K108="","",IFERROR(INDEX('Veri Merkezi'!$D$2:$D$1001,$K108),""))</f>
        <v/>
      </c>
      <c r="D108" t="str">
        <f>IF($K108="","",IFERROR(INDEX('Veri Merkezi'!$F$2:$F$1001,$K108),""))</f>
        <v/>
      </c>
      <c r="E108" s="2" t="str">
        <f>IF($K108="","",IFERROR(INDEX('Veri Merkezi'!$G$2:$G$1001,$K108),""))</f>
        <v/>
      </c>
      <c r="F108" t="str">
        <f>IF($K108="","",IFERROR(INDEX('Veri Merkezi'!$H$2:$H$1001,$K108),""))</f>
        <v/>
      </c>
      <c r="G108" t="str">
        <f>IF($K108="","",IFERROR(INDEX('Veri Merkezi'!$R$2:$R$1001,$K108),""))</f>
        <v/>
      </c>
      <c r="H108" t="str">
        <f>IF($K108="","",IFERROR(INDEX('Veri Merkezi'!$S$2:$S$1001,$K108),""))</f>
        <v/>
      </c>
      <c r="I108" s="2" t="str">
        <f>IF($K108="","",IFERROR(INDEX('Veri Merkezi'!$T$2:$T$1001,$K108),""))</f>
        <v/>
      </c>
      <c r="J108" t="str">
        <f>IF($K108="","",IFERROR(INDEX('Veri Merkezi'!$U$2:$U$1001,$K108),""))</f>
        <v/>
      </c>
      <c r="K108" t="str">
        <f>IF(K107="","",IFERROR(K107+MATCH("B Liste",INDEX('Veri Merkezi'!$S$2:$S$1001,K107+1):'Veri Merkezi'!$S$1001,0),""))</f>
        <v/>
      </c>
    </row>
    <row r="109" spans="1:11">
      <c r="A109" t="str">
        <f>IF($K109="","",IFERROR(INDEX('Veri Merkezi'!$A$2:$A$1001,$K109),""))</f>
        <v/>
      </c>
      <c r="B109" t="str">
        <f>IF($K109="","",IFERROR(INDEX('Veri Merkezi'!$E$2:$E$1001,$K109),""))</f>
        <v/>
      </c>
      <c r="C109" t="str">
        <f>IF($K109="","",IFERROR(INDEX('Veri Merkezi'!$D$2:$D$1001,$K109),""))</f>
        <v/>
      </c>
      <c r="D109" t="str">
        <f>IF($K109="","",IFERROR(INDEX('Veri Merkezi'!$F$2:$F$1001,$K109),""))</f>
        <v/>
      </c>
      <c r="E109" s="2" t="str">
        <f>IF($K109="","",IFERROR(INDEX('Veri Merkezi'!$G$2:$G$1001,$K109),""))</f>
        <v/>
      </c>
      <c r="F109" t="str">
        <f>IF($K109="","",IFERROR(INDEX('Veri Merkezi'!$H$2:$H$1001,$K109),""))</f>
        <v/>
      </c>
      <c r="G109" t="str">
        <f>IF($K109="","",IFERROR(INDEX('Veri Merkezi'!$R$2:$R$1001,$K109),""))</f>
        <v/>
      </c>
      <c r="H109" t="str">
        <f>IF($K109="","",IFERROR(INDEX('Veri Merkezi'!$S$2:$S$1001,$K109),""))</f>
        <v/>
      </c>
      <c r="I109" s="2" t="str">
        <f>IF($K109="","",IFERROR(INDEX('Veri Merkezi'!$T$2:$T$1001,$K109),""))</f>
        <v/>
      </c>
      <c r="J109" t="str">
        <f>IF($K109="","",IFERROR(INDEX('Veri Merkezi'!$U$2:$U$1001,$K109),""))</f>
        <v/>
      </c>
      <c r="K109" t="str">
        <f>IF(K108="","",IFERROR(K108+MATCH("B Liste",INDEX('Veri Merkezi'!$S$2:$S$1001,K108+1):'Veri Merkezi'!$S$1001,0),""))</f>
        <v/>
      </c>
    </row>
    <row r="110" spans="1:11">
      <c r="A110" t="str">
        <f>IF($K110="","",IFERROR(INDEX('Veri Merkezi'!$A$2:$A$1001,$K110),""))</f>
        <v/>
      </c>
      <c r="B110" t="str">
        <f>IF($K110="","",IFERROR(INDEX('Veri Merkezi'!$E$2:$E$1001,$K110),""))</f>
        <v/>
      </c>
      <c r="C110" t="str">
        <f>IF($K110="","",IFERROR(INDEX('Veri Merkezi'!$D$2:$D$1001,$K110),""))</f>
        <v/>
      </c>
      <c r="D110" t="str">
        <f>IF($K110="","",IFERROR(INDEX('Veri Merkezi'!$F$2:$F$1001,$K110),""))</f>
        <v/>
      </c>
      <c r="E110" s="2" t="str">
        <f>IF($K110="","",IFERROR(INDEX('Veri Merkezi'!$G$2:$G$1001,$K110),""))</f>
        <v/>
      </c>
      <c r="F110" t="str">
        <f>IF($K110="","",IFERROR(INDEX('Veri Merkezi'!$H$2:$H$1001,$K110),""))</f>
        <v/>
      </c>
      <c r="G110" t="str">
        <f>IF($K110="","",IFERROR(INDEX('Veri Merkezi'!$R$2:$R$1001,$K110),""))</f>
        <v/>
      </c>
      <c r="H110" t="str">
        <f>IF($K110="","",IFERROR(INDEX('Veri Merkezi'!$S$2:$S$1001,$K110),""))</f>
        <v/>
      </c>
      <c r="I110" s="2" t="str">
        <f>IF($K110="","",IFERROR(INDEX('Veri Merkezi'!$T$2:$T$1001,$K110),""))</f>
        <v/>
      </c>
      <c r="J110" t="str">
        <f>IF($K110="","",IFERROR(INDEX('Veri Merkezi'!$U$2:$U$1001,$K110),""))</f>
        <v/>
      </c>
      <c r="K110" t="str">
        <f>IF(K109="","",IFERROR(K109+MATCH("B Liste",INDEX('Veri Merkezi'!$S$2:$S$1001,K109+1):'Veri Merkezi'!$S$1001,0),""))</f>
        <v/>
      </c>
    </row>
    <row r="111" spans="1:11">
      <c r="A111" t="str">
        <f>IF($K111="","",IFERROR(INDEX('Veri Merkezi'!$A$2:$A$1001,$K111),""))</f>
        <v/>
      </c>
      <c r="B111" t="str">
        <f>IF($K111="","",IFERROR(INDEX('Veri Merkezi'!$E$2:$E$1001,$K111),""))</f>
        <v/>
      </c>
      <c r="C111" t="str">
        <f>IF($K111="","",IFERROR(INDEX('Veri Merkezi'!$D$2:$D$1001,$K111),""))</f>
        <v/>
      </c>
      <c r="D111" t="str">
        <f>IF($K111="","",IFERROR(INDEX('Veri Merkezi'!$F$2:$F$1001,$K111),""))</f>
        <v/>
      </c>
      <c r="E111" s="2" t="str">
        <f>IF($K111="","",IFERROR(INDEX('Veri Merkezi'!$G$2:$G$1001,$K111),""))</f>
        <v/>
      </c>
      <c r="F111" t="str">
        <f>IF($K111="","",IFERROR(INDEX('Veri Merkezi'!$H$2:$H$1001,$K111),""))</f>
        <v/>
      </c>
      <c r="G111" t="str">
        <f>IF($K111="","",IFERROR(INDEX('Veri Merkezi'!$R$2:$R$1001,$K111),""))</f>
        <v/>
      </c>
      <c r="H111" t="str">
        <f>IF($K111="","",IFERROR(INDEX('Veri Merkezi'!$S$2:$S$1001,$K111),""))</f>
        <v/>
      </c>
      <c r="I111" s="2" t="str">
        <f>IF($K111="","",IFERROR(INDEX('Veri Merkezi'!$T$2:$T$1001,$K111),""))</f>
        <v/>
      </c>
      <c r="J111" t="str">
        <f>IF($K111="","",IFERROR(INDEX('Veri Merkezi'!$U$2:$U$1001,$K111),""))</f>
        <v/>
      </c>
      <c r="K111" t="str">
        <f>IF(K110="","",IFERROR(K110+MATCH("B Liste",INDEX('Veri Merkezi'!$S$2:$S$1001,K110+1):'Veri Merkezi'!$S$1001,0),""))</f>
        <v/>
      </c>
    </row>
    <row r="112" spans="1:11">
      <c r="A112" t="str">
        <f>IF($K112="","",IFERROR(INDEX('Veri Merkezi'!$A$2:$A$1001,$K112),""))</f>
        <v/>
      </c>
      <c r="B112" t="str">
        <f>IF($K112="","",IFERROR(INDEX('Veri Merkezi'!$E$2:$E$1001,$K112),""))</f>
        <v/>
      </c>
      <c r="C112" t="str">
        <f>IF($K112="","",IFERROR(INDEX('Veri Merkezi'!$D$2:$D$1001,$K112),""))</f>
        <v/>
      </c>
      <c r="D112" t="str">
        <f>IF($K112="","",IFERROR(INDEX('Veri Merkezi'!$F$2:$F$1001,$K112),""))</f>
        <v/>
      </c>
      <c r="E112" s="2" t="str">
        <f>IF($K112="","",IFERROR(INDEX('Veri Merkezi'!$G$2:$G$1001,$K112),""))</f>
        <v/>
      </c>
      <c r="F112" t="str">
        <f>IF($K112="","",IFERROR(INDEX('Veri Merkezi'!$H$2:$H$1001,$K112),""))</f>
        <v/>
      </c>
      <c r="G112" t="str">
        <f>IF($K112="","",IFERROR(INDEX('Veri Merkezi'!$R$2:$R$1001,$K112),""))</f>
        <v/>
      </c>
      <c r="H112" t="str">
        <f>IF($K112="","",IFERROR(INDEX('Veri Merkezi'!$S$2:$S$1001,$K112),""))</f>
        <v/>
      </c>
      <c r="I112" s="2" t="str">
        <f>IF($K112="","",IFERROR(INDEX('Veri Merkezi'!$T$2:$T$1001,$K112),""))</f>
        <v/>
      </c>
      <c r="J112" t="str">
        <f>IF($K112="","",IFERROR(INDEX('Veri Merkezi'!$U$2:$U$1001,$K112),""))</f>
        <v/>
      </c>
      <c r="K112" t="str">
        <f>IF(K111="","",IFERROR(K111+MATCH("B Liste",INDEX('Veri Merkezi'!$S$2:$S$1001,K111+1):'Veri Merkezi'!$S$1001,0),""))</f>
        <v/>
      </c>
    </row>
    <row r="113" spans="1:11">
      <c r="A113" t="str">
        <f>IF($K113="","",IFERROR(INDEX('Veri Merkezi'!$A$2:$A$1001,$K113),""))</f>
        <v/>
      </c>
      <c r="B113" t="str">
        <f>IF($K113="","",IFERROR(INDEX('Veri Merkezi'!$E$2:$E$1001,$K113),""))</f>
        <v/>
      </c>
      <c r="C113" t="str">
        <f>IF($K113="","",IFERROR(INDEX('Veri Merkezi'!$D$2:$D$1001,$K113),""))</f>
        <v/>
      </c>
      <c r="D113" t="str">
        <f>IF($K113="","",IFERROR(INDEX('Veri Merkezi'!$F$2:$F$1001,$K113),""))</f>
        <v/>
      </c>
      <c r="E113" s="2" t="str">
        <f>IF($K113="","",IFERROR(INDEX('Veri Merkezi'!$G$2:$G$1001,$K113),""))</f>
        <v/>
      </c>
      <c r="F113" t="str">
        <f>IF($K113="","",IFERROR(INDEX('Veri Merkezi'!$H$2:$H$1001,$K113),""))</f>
        <v/>
      </c>
      <c r="G113" t="str">
        <f>IF($K113="","",IFERROR(INDEX('Veri Merkezi'!$R$2:$R$1001,$K113),""))</f>
        <v/>
      </c>
      <c r="H113" t="str">
        <f>IF($K113="","",IFERROR(INDEX('Veri Merkezi'!$S$2:$S$1001,$K113),""))</f>
        <v/>
      </c>
      <c r="I113" s="2" t="str">
        <f>IF($K113="","",IFERROR(INDEX('Veri Merkezi'!$T$2:$T$1001,$K113),""))</f>
        <v/>
      </c>
      <c r="J113" t="str">
        <f>IF($K113="","",IFERROR(INDEX('Veri Merkezi'!$U$2:$U$1001,$K113),""))</f>
        <v/>
      </c>
      <c r="K113" t="str">
        <f>IF(K112="","",IFERROR(K112+MATCH("B Liste",INDEX('Veri Merkezi'!$S$2:$S$1001,K112+1):'Veri Merkezi'!$S$1001,0),""))</f>
        <v/>
      </c>
    </row>
    <row r="114" spans="1:11">
      <c r="A114" t="str">
        <f>IF($K114="","",IFERROR(INDEX('Veri Merkezi'!$A$2:$A$1001,$K114),""))</f>
        <v/>
      </c>
      <c r="B114" t="str">
        <f>IF($K114="","",IFERROR(INDEX('Veri Merkezi'!$E$2:$E$1001,$K114),""))</f>
        <v/>
      </c>
      <c r="C114" t="str">
        <f>IF($K114="","",IFERROR(INDEX('Veri Merkezi'!$D$2:$D$1001,$K114),""))</f>
        <v/>
      </c>
      <c r="D114" t="str">
        <f>IF($K114="","",IFERROR(INDEX('Veri Merkezi'!$F$2:$F$1001,$K114),""))</f>
        <v/>
      </c>
      <c r="E114" s="2" t="str">
        <f>IF($K114="","",IFERROR(INDEX('Veri Merkezi'!$G$2:$G$1001,$K114),""))</f>
        <v/>
      </c>
      <c r="F114" t="str">
        <f>IF($K114="","",IFERROR(INDEX('Veri Merkezi'!$H$2:$H$1001,$K114),""))</f>
        <v/>
      </c>
      <c r="G114" t="str">
        <f>IF($K114="","",IFERROR(INDEX('Veri Merkezi'!$R$2:$R$1001,$K114),""))</f>
        <v/>
      </c>
      <c r="H114" t="str">
        <f>IF($K114="","",IFERROR(INDEX('Veri Merkezi'!$S$2:$S$1001,$K114),""))</f>
        <v/>
      </c>
      <c r="I114" s="2" t="str">
        <f>IF($K114="","",IFERROR(INDEX('Veri Merkezi'!$T$2:$T$1001,$K114),""))</f>
        <v/>
      </c>
      <c r="J114" t="str">
        <f>IF($K114="","",IFERROR(INDEX('Veri Merkezi'!$U$2:$U$1001,$K114),""))</f>
        <v/>
      </c>
      <c r="K114" t="str">
        <f>IF(K113="","",IFERROR(K113+MATCH("B Liste",INDEX('Veri Merkezi'!$S$2:$S$1001,K113+1):'Veri Merkezi'!$S$1001,0),""))</f>
        <v/>
      </c>
    </row>
    <row r="115" spans="1:11">
      <c r="A115" t="str">
        <f>IF($K115="","",IFERROR(INDEX('Veri Merkezi'!$A$2:$A$1001,$K115),""))</f>
        <v/>
      </c>
      <c r="B115" t="str">
        <f>IF($K115="","",IFERROR(INDEX('Veri Merkezi'!$E$2:$E$1001,$K115),""))</f>
        <v/>
      </c>
      <c r="C115" t="str">
        <f>IF($K115="","",IFERROR(INDEX('Veri Merkezi'!$D$2:$D$1001,$K115),""))</f>
        <v/>
      </c>
      <c r="D115" t="str">
        <f>IF($K115="","",IFERROR(INDEX('Veri Merkezi'!$F$2:$F$1001,$K115),""))</f>
        <v/>
      </c>
      <c r="E115" s="2" t="str">
        <f>IF($K115="","",IFERROR(INDEX('Veri Merkezi'!$G$2:$G$1001,$K115),""))</f>
        <v/>
      </c>
      <c r="F115" t="str">
        <f>IF($K115="","",IFERROR(INDEX('Veri Merkezi'!$H$2:$H$1001,$K115),""))</f>
        <v/>
      </c>
      <c r="G115" t="str">
        <f>IF($K115="","",IFERROR(INDEX('Veri Merkezi'!$R$2:$R$1001,$K115),""))</f>
        <v/>
      </c>
      <c r="H115" t="str">
        <f>IF($K115="","",IFERROR(INDEX('Veri Merkezi'!$S$2:$S$1001,$K115),""))</f>
        <v/>
      </c>
      <c r="I115" s="2" t="str">
        <f>IF($K115="","",IFERROR(INDEX('Veri Merkezi'!$T$2:$T$1001,$K115),""))</f>
        <v/>
      </c>
      <c r="J115" t="str">
        <f>IF($K115="","",IFERROR(INDEX('Veri Merkezi'!$U$2:$U$1001,$K115),""))</f>
        <v/>
      </c>
      <c r="K115" t="str">
        <f>IF(K114="","",IFERROR(K114+MATCH("B Liste",INDEX('Veri Merkezi'!$S$2:$S$1001,K114+1):'Veri Merkezi'!$S$1001,0),""))</f>
        <v/>
      </c>
    </row>
    <row r="116" spans="1:11">
      <c r="A116" t="str">
        <f>IF($K116="","",IFERROR(INDEX('Veri Merkezi'!$A$2:$A$1001,$K116),""))</f>
        <v/>
      </c>
      <c r="B116" t="str">
        <f>IF($K116="","",IFERROR(INDEX('Veri Merkezi'!$E$2:$E$1001,$K116),""))</f>
        <v/>
      </c>
      <c r="C116" t="str">
        <f>IF($K116="","",IFERROR(INDEX('Veri Merkezi'!$D$2:$D$1001,$K116),""))</f>
        <v/>
      </c>
      <c r="D116" t="str">
        <f>IF($K116="","",IFERROR(INDEX('Veri Merkezi'!$F$2:$F$1001,$K116),""))</f>
        <v/>
      </c>
      <c r="E116" s="2" t="str">
        <f>IF($K116="","",IFERROR(INDEX('Veri Merkezi'!$G$2:$G$1001,$K116),""))</f>
        <v/>
      </c>
      <c r="F116" t="str">
        <f>IF($K116="","",IFERROR(INDEX('Veri Merkezi'!$H$2:$H$1001,$K116),""))</f>
        <v/>
      </c>
      <c r="G116" t="str">
        <f>IF($K116="","",IFERROR(INDEX('Veri Merkezi'!$R$2:$R$1001,$K116),""))</f>
        <v/>
      </c>
      <c r="H116" t="str">
        <f>IF($K116="","",IFERROR(INDEX('Veri Merkezi'!$S$2:$S$1001,$K116),""))</f>
        <v/>
      </c>
      <c r="I116" s="2" t="str">
        <f>IF($K116="","",IFERROR(INDEX('Veri Merkezi'!$T$2:$T$1001,$K116),""))</f>
        <v/>
      </c>
      <c r="J116" t="str">
        <f>IF($K116="","",IFERROR(INDEX('Veri Merkezi'!$U$2:$U$1001,$K116),""))</f>
        <v/>
      </c>
      <c r="K116" t="str">
        <f>IF(K115="","",IFERROR(K115+MATCH("B Liste",INDEX('Veri Merkezi'!$S$2:$S$1001,K115+1):'Veri Merkezi'!$S$1001,0),""))</f>
        <v/>
      </c>
    </row>
    <row r="117" spans="1:11">
      <c r="A117" t="str">
        <f>IF($K117="","",IFERROR(INDEX('Veri Merkezi'!$A$2:$A$1001,$K117),""))</f>
        <v/>
      </c>
      <c r="B117" t="str">
        <f>IF($K117="","",IFERROR(INDEX('Veri Merkezi'!$E$2:$E$1001,$K117),""))</f>
        <v/>
      </c>
      <c r="C117" t="str">
        <f>IF($K117="","",IFERROR(INDEX('Veri Merkezi'!$D$2:$D$1001,$K117),""))</f>
        <v/>
      </c>
      <c r="D117" t="str">
        <f>IF($K117="","",IFERROR(INDEX('Veri Merkezi'!$F$2:$F$1001,$K117),""))</f>
        <v/>
      </c>
      <c r="E117" s="2" t="str">
        <f>IF($K117="","",IFERROR(INDEX('Veri Merkezi'!$G$2:$G$1001,$K117),""))</f>
        <v/>
      </c>
      <c r="F117" t="str">
        <f>IF($K117="","",IFERROR(INDEX('Veri Merkezi'!$H$2:$H$1001,$K117),""))</f>
        <v/>
      </c>
      <c r="G117" t="str">
        <f>IF($K117="","",IFERROR(INDEX('Veri Merkezi'!$R$2:$R$1001,$K117),""))</f>
        <v/>
      </c>
      <c r="H117" t="str">
        <f>IF($K117="","",IFERROR(INDEX('Veri Merkezi'!$S$2:$S$1001,$K117),""))</f>
        <v/>
      </c>
      <c r="I117" s="2" t="str">
        <f>IF($K117="","",IFERROR(INDEX('Veri Merkezi'!$T$2:$T$1001,$K117),""))</f>
        <v/>
      </c>
      <c r="J117" t="str">
        <f>IF($K117="","",IFERROR(INDEX('Veri Merkezi'!$U$2:$U$1001,$K117),""))</f>
        <v/>
      </c>
      <c r="K117" t="str">
        <f>IF(K116="","",IFERROR(K116+MATCH("B Liste",INDEX('Veri Merkezi'!$S$2:$S$1001,K116+1):'Veri Merkezi'!$S$1001,0),""))</f>
        <v/>
      </c>
    </row>
    <row r="118" spans="1:11">
      <c r="A118" t="str">
        <f>IF($K118="","",IFERROR(INDEX('Veri Merkezi'!$A$2:$A$1001,$K118),""))</f>
        <v/>
      </c>
      <c r="B118" t="str">
        <f>IF($K118="","",IFERROR(INDEX('Veri Merkezi'!$E$2:$E$1001,$K118),""))</f>
        <v/>
      </c>
      <c r="C118" t="str">
        <f>IF($K118="","",IFERROR(INDEX('Veri Merkezi'!$D$2:$D$1001,$K118),""))</f>
        <v/>
      </c>
      <c r="D118" t="str">
        <f>IF($K118="","",IFERROR(INDEX('Veri Merkezi'!$F$2:$F$1001,$K118),""))</f>
        <v/>
      </c>
      <c r="E118" s="2" t="str">
        <f>IF($K118="","",IFERROR(INDEX('Veri Merkezi'!$G$2:$G$1001,$K118),""))</f>
        <v/>
      </c>
      <c r="F118" t="str">
        <f>IF($K118="","",IFERROR(INDEX('Veri Merkezi'!$H$2:$H$1001,$K118),""))</f>
        <v/>
      </c>
      <c r="G118" t="str">
        <f>IF($K118="","",IFERROR(INDEX('Veri Merkezi'!$R$2:$R$1001,$K118),""))</f>
        <v/>
      </c>
      <c r="H118" t="str">
        <f>IF($K118="","",IFERROR(INDEX('Veri Merkezi'!$S$2:$S$1001,$K118),""))</f>
        <v/>
      </c>
      <c r="I118" s="2" t="str">
        <f>IF($K118="","",IFERROR(INDEX('Veri Merkezi'!$T$2:$T$1001,$K118),""))</f>
        <v/>
      </c>
      <c r="J118" t="str">
        <f>IF($K118="","",IFERROR(INDEX('Veri Merkezi'!$U$2:$U$1001,$K118),""))</f>
        <v/>
      </c>
      <c r="K118" t="str">
        <f>IF(K117="","",IFERROR(K117+MATCH("B Liste",INDEX('Veri Merkezi'!$S$2:$S$1001,K117+1):'Veri Merkezi'!$S$1001,0),""))</f>
        <v/>
      </c>
    </row>
    <row r="119" spans="1:11">
      <c r="A119" t="str">
        <f>IF($K119="","",IFERROR(INDEX('Veri Merkezi'!$A$2:$A$1001,$K119),""))</f>
        <v/>
      </c>
      <c r="B119" t="str">
        <f>IF($K119="","",IFERROR(INDEX('Veri Merkezi'!$E$2:$E$1001,$K119),""))</f>
        <v/>
      </c>
      <c r="C119" t="str">
        <f>IF($K119="","",IFERROR(INDEX('Veri Merkezi'!$D$2:$D$1001,$K119),""))</f>
        <v/>
      </c>
      <c r="D119" t="str">
        <f>IF($K119="","",IFERROR(INDEX('Veri Merkezi'!$F$2:$F$1001,$K119),""))</f>
        <v/>
      </c>
      <c r="E119" s="2" t="str">
        <f>IF($K119="","",IFERROR(INDEX('Veri Merkezi'!$G$2:$G$1001,$K119),""))</f>
        <v/>
      </c>
      <c r="F119" t="str">
        <f>IF($K119="","",IFERROR(INDEX('Veri Merkezi'!$H$2:$H$1001,$K119),""))</f>
        <v/>
      </c>
      <c r="G119" t="str">
        <f>IF($K119="","",IFERROR(INDEX('Veri Merkezi'!$R$2:$R$1001,$K119),""))</f>
        <v/>
      </c>
      <c r="H119" t="str">
        <f>IF($K119="","",IFERROR(INDEX('Veri Merkezi'!$S$2:$S$1001,$K119),""))</f>
        <v/>
      </c>
      <c r="I119" s="2" t="str">
        <f>IF($K119="","",IFERROR(INDEX('Veri Merkezi'!$T$2:$T$1001,$K119),""))</f>
        <v/>
      </c>
      <c r="J119" t="str">
        <f>IF($K119="","",IFERROR(INDEX('Veri Merkezi'!$U$2:$U$1001,$K119),""))</f>
        <v/>
      </c>
      <c r="K119" t="str">
        <f>IF(K118="","",IFERROR(K118+MATCH("B Liste",INDEX('Veri Merkezi'!$S$2:$S$1001,K118+1):'Veri Merkezi'!$S$1001,0),""))</f>
        <v/>
      </c>
    </row>
    <row r="120" spans="1:11">
      <c r="A120" t="str">
        <f>IF($K120="","",IFERROR(INDEX('Veri Merkezi'!$A$2:$A$1001,$K120),""))</f>
        <v/>
      </c>
      <c r="B120" t="str">
        <f>IF($K120="","",IFERROR(INDEX('Veri Merkezi'!$E$2:$E$1001,$K120),""))</f>
        <v/>
      </c>
      <c r="C120" t="str">
        <f>IF($K120="","",IFERROR(INDEX('Veri Merkezi'!$D$2:$D$1001,$K120),""))</f>
        <v/>
      </c>
      <c r="D120" t="str">
        <f>IF($K120="","",IFERROR(INDEX('Veri Merkezi'!$F$2:$F$1001,$K120),""))</f>
        <v/>
      </c>
      <c r="E120" s="2" t="str">
        <f>IF($K120="","",IFERROR(INDEX('Veri Merkezi'!$G$2:$G$1001,$K120),""))</f>
        <v/>
      </c>
      <c r="F120" t="str">
        <f>IF($K120="","",IFERROR(INDEX('Veri Merkezi'!$H$2:$H$1001,$K120),""))</f>
        <v/>
      </c>
      <c r="G120" t="str">
        <f>IF($K120="","",IFERROR(INDEX('Veri Merkezi'!$R$2:$R$1001,$K120),""))</f>
        <v/>
      </c>
      <c r="H120" t="str">
        <f>IF($K120="","",IFERROR(INDEX('Veri Merkezi'!$S$2:$S$1001,$K120),""))</f>
        <v/>
      </c>
      <c r="I120" s="2" t="str">
        <f>IF($K120="","",IFERROR(INDEX('Veri Merkezi'!$T$2:$T$1001,$K120),""))</f>
        <v/>
      </c>
      <c r="J120" t="str">
        <f>IF($K120="","",IFERROR(INDEX('Veri Merkezi'!$U$2:$U$1001,$K120),""))</f>
        <v/>
      </c>
      <c r="K120" t="str">
        <f>IF(K119="","",IFERROR(K119+MATCH("B Liste",INDEX('Veri Merkezi'!$S$2:$S$1001,K119+1):'Veri Merkezi'!$S$1001,0),""))</f>
        <v/>
      </c>
    </row>
    <row r="121" spans="1:11">
      <c r="A121" t="str">
        <f>IF($K121="","",IFERROR(INDEX('Veri Merkezi'!$A$2:$A$1001,$K121),""))</f>
        <v/>
      </c>
      <c r="B121" t="str">
        <f>IF($K121="","",IFERROR(INDEX('Veri Merkezi'!$E$2:$E$1001,$K121),""))</f>
        <v/>
      </c>
      <c r="C121" t="str">
        <f>IF($K121="","",IFERROR(INDEX('Veri Merkezi'!$D$2:$D$1001,$K121),""))</f>
        <v/>
      </c>
      <c r="D121" t="str">
        <f>IF($K121="","",IFERROR(INDEX('Veri Merkezi'!$F$2:$F$1001,$K121),""))</f>
        <v/>
      </c>
      <c r="E121" s="2" t="str">
        <f>IF($K121="","",IFERROR(INDEX('Veri Merkezi'!$G$2:$G$1001,$K121),""))</f>
        <v/>
      </c>
      <c r="F121" t="str">
        <f>IF($K121="","",IFERROR(INDEX('Veri Merkezi'!$H$2:$H$1001,$K121),""))</f>
        <v/>
      </c>
      <c r="G121" t="str">
        <f>IF($K121="","",IFERROR(INDEX('Veri Merkezi'!$R$2:$R$1001,$K121),""))</f>
        <v/>
      </c>
      <c r="H121" t="str">
        <f>IF($K121="","",IFERROR(INDEX('Veri Merkezi'!$S$2:$S$1001,$K121),""))</f>
        <v/>
      </c>
      <c r="I121" s="2" t="str">
        <f>IF($K121="","",IFERROR(INDEX('Veri Merkezi'!$T$2:$T$1001,$K121),""))</f>
        <v/>
      </c>
      <c r="J121" t="str">
        <f>IF($K121="","",IFERROR(INDEX('Veri Merkezi'!$U$2:$U$1001,$K121),""))</f>
        <v/>
      </c>
      <c r="K121" t="str">
        <f>IF(K120="","",IFERROR(K120+MATCH("B Liste",INDEX('Veri Merkezi'!$S$2:$S$1001,K120+1):'Veri Merkezi'!$S$1001,0),""))</f>
        <v/>
      </c>
    </row>
    <row r="122" spans="1:11">
      <c r="A122" t="str">
        <f>IF($K122="","",IFERROR(INDEX('Veri Merkezi'!$A$2:$A$1001,$K122),""))</f>
        <v/>
      </c>
      <c r="B122" t="str">
        <f>IF($K122="","",IFERROR(INDEX('Veri Merkezi'!$E$2:$E$1001,$K122),""))</f>
        <v/>
      </c>
      <c r="C122" t="str">
        <f>IF($K122="","",IFERROR(INDEX('Veri Merkezi'!$D$2:$D$1001,$K122),""))</f>
        <v/>
      </c>
      <c r="D122" t="str">
        <f>IF($K122="","",IFERROR(INDEX('Veri Merkezi'!$F$2:$F$1001,$K122),""))</f>
        <v/>
      </c>
      <c r="E122" s="2" t="str">
        <f>IF($K122="","",IFERROR(INDEX('Veri Merkezi'!$G$2:$G$1001,$K122),""))</f>
        <v/>
      </c>
      <c r="F122" t="str">
        <f>IF($K122="","",IFERROR(INDEX('Veri Merkezi'!$H$2:$H$1001,$K122),""))</f>
        <v/>
      </c>
      <c r="G122" t="str">
        <f>IF($K122="","",IFERROR(INDEX('Veri Merkezi'!$R$2:$R$1001,$K122),""))</f>
        <v/>
      </c>
      <c r="H122" t="str">
        <f>IF($K122="","",IFERROR(INDEX('Veri Merkezi'!$S$2:$S$1001,$K122),""))</f>
        <v/>
      </c>
      <c r="I122" s="2" t="str">
        <f>IF($K122="","",IFERROR(INDEX('Veri Merkezi'!$T$2:$T$1001,$K122),""))</f>
        <v/>
      </c>
      <c r="J122" t="str">
        <f>IF($K122="","",IFERROR(INDEX('Veri Merkezi'!$U$2:$U$1001,$K122),""))</f>
        <v/>
      </c>
      <c r="K122" t="str">
        <f>IF(K121="","",IFERROR(K121+MATCH("B Liste",INDEX('Veri Merkezi'!$S$2:$S$1001,K121+1):'Veri Merkezi'!$S$1001,0),""))</f>
        <v/>
      </c>
    </row>
    <row r="123" spans="1:11">
      <c r="A123" t="str">
        <f>IF($K123="","",IFERROR(INDEX('Veri Merkezi'!$A$2:$A$1001,$K123),""))</f>
        <v/>
      </c>
      <c r="B123" t="str">
        <f>IF($K123="","",IFERROR(INDEX('Veri Merkezi'!$E$2:$E$1001,$K123),""))</f>
        <v/>
      </c>
      <c r="C123" t="str">
        <f>IF($K123="","",IFERROR(INDEX('Veri Merkezi'!$D$2:$D$1001,$K123),""))</f>
        <v/>
      </c>
      <c r="D123" t="str">
        <f>IF($K123="","",IFERROR(INDEX('Veri Merkezi'!$F$2:$F$1001,$K123),""))</f>
        <v/>
      </c>
      <c r="E123" s="2" t="str">
        <f>IF($K123="","",IFERROR(INDEX('Veri Merkezi'!$G$2:$G$1001,$K123),""))</f>
        <v/>
      </c>
      <c r="F123" t="str">
        <f>IF($K123="","",IFERROR(INDEX('Veri Merkezi'!$H$2:$H$1001,$K123),""))</f>
        <v/>
      </c>
      <c r="G123" t="str">
        <f>IF($K123="","",IFERROR(INDEX('Veri Merkezi'!$R$2:$R$1001,$K123),""))</f>
        <v/>
      </c>
      <c r="H123" t="str">
        <f>IF($K123="","",IFERROR(INDEX('Veri Merkezi'!$S$2:$S$1001,$K123),""))</f>
        <v/>
      </c>
      <c r="I123" s="2" t="str">
        <f>IF($K123="","",IFERROR(INDEX('Veri Merkezi'!$T$2:$T$1001,$K123),""))</f>
        <v/>
      </c>
      <c r="J123" t="str">
        <f>IF($K123="","",IFERROR(INDEX('Veri Merkezi'!$U$2:$U$1001,$K123),""))</f>
        <v/>
      </c>
      <c r="K123" t="str">
        <f>IF(K122="","",IFERROR(K122+MATCH("B Liste",INDEX('Veri Merkezi'!$S$2:$S$1001,K122+1):'Veri Merkezi'!$S$1001,0),""))</f>
        <v/>
      </c>
    </row>
    <row r="124" spans="1:11">
      <c r="A124" t="str">
        <f>IF($K124="","",IFERROR(INDEX('Veri Merkezi'!$A$2:$A$1001,$K124),""))</f>
        <v/>
      </c>
      <c r="B124" t="str">
        <f>IF($K124="","",IFERROR(INDEX('Veri Merkezi'!$E$2:$E$1001,$K124),""))</f>
        <v/>
      </c>
      <c r="C124" t="str">
        <f>IF($K124="","",IFERROR(INDEX('Veri Merkezi'!$D$2:$D$1001,$K124),""))</f>
        <v/>
      </c>
      <c r="D124" t="str">
        <f>IF($K124="","",IFERROR(INDEX('Veri Merkezi'!$F$2:$F$1001,$K124),""))</f>
        <v/>
      </c>
      <c r="E124" s="2" t="str">
        <f>IF($K124="","",IFERROR(INDEX('Veri Merkezi'!$G$2:$G$1001,$K124),""))</f>
        <v/>
      </c>
      <c r="F124" t="str">
        <f>IF($K124="","",IFERROR(INDEX('Veri Merkezi'!$H$2:$H$1001,$K124),""))</f>
        <v/>
      </c>
      <c r="G124" t="str">
        <f>IF($K124="","",IFERROR(INDEX('Veri Merkezi'!$R$2:$R$1001,$K124),""))</f>
        <v/>
      </c>
      <c r="H124" t="str">
        <f>IF($K124="","",IFERROR(INDEX('Veri Merkezi'!$S$2:$S$1001,$K124),""))</f>
        <v/>
      </c>
      <c r="I124" s="2" t="str">
        <f>IF($K124="","",IFERROR(INDEX('Veri Merkezi'!$T$2:$T$1001,$K124),""))</f>
        <v/>
      </c>
      <c r="J124" t="str">
        <f>IF($K124="","",IFERROR(INDEX('Veri Merkezi'!$U$2:$U$1001,$K124),""))</f>
        <v/>
      </c>
      <c r="K124" t="str">
        <f>IF(K123="","",IFERROR(K123+MATCH("B Liste",INDEX('Veri Merkezi'!$S$2:$S$1001,K123+1):'Veri Merkezi'!$S$1001,0),""))</f>
        <v/>
      </c>
    </row>
    <row r="125" spans="1:11">
      <c r="A125" t="str">
        <f>IF($K125="","",IFERROR(INDEX('Veri Merkezi'!$A$2:$A$1001,$K125),""))</f>
        <v/>
      </c>
      <c r="B125" t="str">
        <f>IF($K125="","",IFERROR(INDEX('Veri Merkezi'!$E$2:$E$1001,$K125),""))</f>
        <v/>
      </c>
      <c r="C125" t="str">
        <f>IF($K125="","",IFERROR(INDEX('Veri Merkezi'!$D$2:$D$1001,$K125),""))</f>
        <v/>
      </c>
      <c r="D125" t="str">
        <f>IF($K125="","",IFERROR(INDEX('Veri Merkezi'!$F$2:$F$1001,$K125),""))</f>
        <v/>
      </c>
      <c r="E125" s="2" t="str">
        <f>IF($K125="","",IFERROR(INDEX('Veri Merkezi'!$G$2:$G$1001,$K125),""))</f>
        <v/>
      </c>
      <c r="F125" t="str">
        <f>IF($K125="","",IFERROR(INDEX('Veri Merkezi'!$H$2:$H$1001,$K125),""))</f>
        <v/>
      </c>
      <c r="G125" t="str">
        <f>IF($K125="","",IFERROR(INDEX('Veri Merkezi'!$R$2:$R$1001,$K125),""))</f>
        <v/>
      </c>
      <c r="H125" t="str">
        <f>IF($K125="","",IFERROR(INDEX('Veri Merkezi'!$S$2:$S$1001,$K125),""))</f>
        <v/>
      </c>
      <c r="I125" s="2" t="str">
        <f>IF($K125="","",IFERROR(INDEX('Veri Merkezi'!$T$2:$T$1001,$K125),""))</f>
        <v/>
      </c>
      <c r="J125" t="str">
        <f>IF($K125="","",IFERROR(INDEX('Veri Merkezi'!$U$2:$U$1001,$K125),""))</f>
        <v/>
      </c>
      <c r="K125" t="str">
        <f>IF(K124="","",IFERROR(K124+MATCH("B Liste",INDEX('Veri Merkezi'!$S$2:$S$1001,K124+1):'Veri Merkezi'!$S$1001,0),""))</f>
        <v/>
      </c>
    </row>
    <row r="126" spans="1:11">
      <c r="A126" t="str">
        <f>IF($K126="","",IFERROR(INDEX('Veri Merkezi'!$A$2:$A$1001,$K126),""))</f>
        <v/>
      </c>
      <c r="B126" t="str">
        <f>IF($K126="","",IFERROR(INDEX('Veri Merkezi'!$E$2:$E$1001,$K126),""))</f>
        <v/>
      </c>
      <c r="C126" t="str">
        <f>IF($K126="","",IFERROR(INDEX('Veri Merkezi'!$D$2:$D$1001,$K126),""))</f>
        <v/>
      </c>
      <c r="D126" t="str">
        <f>IF($K126="","",IFERROR(INDEX('Veri Merkezi'!$F$2:$F$1001,$K126),""))</f>
        <v/>
      </c>
      <c r="E126" s="2" t="str">
        <f>IF($K126="","",IFERROR(INDEX('Veri Merkezi'!$G$2:$G$1001,$K126),""))</f>
        <v/>
      </c>
      <c r="F126" t="str">
        <f>IF($K126="","",IFERROR(INDEX('Veri Merkezi'!$H$2:$H$1001,$K126),""))</f>
        <v/>
      </c>
      <c r="G126" t="str">
        <f>IF($K126="","",IFERROR(INDEX('Veri Merkezi'!$R$2:$R$1001,$K126),""))</f>
        <v/>
      </c>
      <c r="H126" t="str">
        <f>IF($K126="","",IFERROR(INDEX('Veri Merkezi'!$S$2:$S$1001,$K126),""))</f>
        <v/>
      </c>
      <c r="I126" s="2" t="str">
        <f>IF($K126="","",IFERROR(INDEX('Veri Merkezi'!$T$2:$T$1001,$K126),""))</f>
        <v/>
      </c>
      <c r="J126" t="str">
        <f>IF($K126="","",IFERROR(INDEX('Veri Merkezi'!$U$2:$U$1001,$K126),""))</f>
        <v/>
      </c>
      <c r="K126" t="str">
        <f>IF(K125="","",IFERROR(K125+MATCH("B Liste",INDEX('Veri Merkezi'!$S$2:$S$1001,K125+1):'Veri Merkezi'!$S$1001,0),""))</f>
        <v/>
      </c>
    </row>
    <row r="127" spans="1:11">
      <c r="A127" t="str">
        <f>IF($K127="","",IFERROR(INDEX('Veri Merkezi'!$A$2:$A$1001,$K127),""))</f>
        <v/>
      </c>
      <c r="B127" t="str">
        <f>IF($K127="","",IFERROR(INDEX('Veri Merkezi'!$E$2:$E$1001,$K127),""))</f>
        <v/>
      </c>
      <c r="C127" t="str">
        <f>IF($K127="","",IFERROR(INDEX('Veri Merkezi'!$D$2:$D$1001,$K127),""))</f>
        <v/>
      </c>
      <c r="D127" t="str">
        <f>IF($K127="","",IFERROR(INDEX('Veri Merkezi'!$F$2:$F$1001,$K127),""))</f>
        <v/>
      </c>
      <c r="E127" s="2" t="str">
        <f>IF($K127="","",IFERROR(INDEX('Veri Merkezi'!$G$2:$G$1001,$K127),""))</f>
        <v/>
      </c>
      <c r="F127" t="str">
        <f>IF($K127="","",IFERROR(INDEX('Veri Merkezi'!$H$2:$H$1001,$K127),""))</f>
        <v/>
      </c>
      <c r="G127" t="str">
        <f>IF($K127="","",IFERROR(INDEX('Veri Merkezi'!$R$2:$R$1001,$K127),""))</f>
        <v/>
      </c>
      <c r="H127" t="str">
        <f>IF($K127="","",IFERROR(INDEX('Veri Merkezi'!$S$2:$S$1001,$K127),""))</f>
        <v/>
      </c>
      <c r="I127" s="2" t="str">
        <f>IF($K127="","",IFERROR(INDEX('Veri Merkezi'!$T$2:$T$1001,$K127),""))</f>
        <v/>
      </c>
      <c r="J127" t="str">
        <f>IF($K127="","",IFERROR(INDEX('Veri Merkezi'!$U$2:$U$1001,$K127),""))</f>
        <v/>
      </c>
      <c r="K127" t="str">
        <f>IF(K126="","",IFERROR(K126+MATCH("B Liste",INDEX('Veri Merkezi'!$S$2:$S$1001,K126+1):'Veri Merkezi'!$S$1001,0),""))</f>
        <v/>
      </c>
    </row>
    <row r="128" spans="1:11">
      <c r="A128" t="str">
        <f>IF($K128="","",IFERROR(INDEX('Veri Merkezi'!$A$2:$A$1001,$K128),""))</f>
        <v/>
      </c>
      <c r="B128" t="str">
        <f>IF($K128="","",IFERROR(INDEX('Veri Merkezi'!$E$2:$E$1001,$K128),""))</f>
        <v/>
      </c>
      <c r="C128" t="str">
        <f>IF($K128="","",IFERROR(INDEX('Veri Merkezi'!$D$2:$D$1001,$K128),""))</f>
        <v/>
      </c>
      <c r="D128" t="str">
        <f>IF($K128="","",IFERROR(INDEX('Veri Merkezi'!$F$2:$F$1001,$K128),""))</f>
        <v/>
      </c>
      <c r="E128" s="2" t="str">
        <f>IF($K128="","",IFERROR(INDEX('Veri Merkezi'!$G$2:$G$1001,$K128),""))</f>
        <v/>
      </c>
      <c r="F128" t="str">
        <f>IF($K128="","",IFERROR(INDEX('Veri Merkezi'!$H$2:$H$1001,$K128),""))</f>
        <v/>
      </c>
      <c r="G128" t="str">
        <f>IF($K128="","",IFERROR(INDEX('Veri Merkezi'!$R$2:$R$1001,$K128),""))</f>
        <v/>
      </c>
      <c r="H128" t="str">
        <f>IF($K128="","",IFERROR(INDEX('Veri Merkezi'!$S$2:$S$1001,$K128),""))</f>
        <v/>
      </c>
      <c r="I128" s="2" t="str">
        <f>IF($K128="","",IFERROR(INDEX('Veri Merkezi'!$T$2:$T$1001,$K128),""))</f>
        <v/>
      </c>
      <c r="J128" t="str">
        <f>IF($K128="","",IFERROR(INDEX('Veri Merkezi'!$U$2:$U$1001,$K128),""))</f>
        <v/>
      </c>
      <c r="K128" t="str">
        <f>IF(K127="","",IFERROR(K127+MATCH("B Liste",INDEX('Veri Merkezi'!$S$2:$S$1001,K127+1):'Veri Merkezi'!$S$1001,0),""))</f>
        <v/>
      </c>
    </row>
    <row r="129" spans="1:11">
      <c r="A129" t="str">
        <f>IF($K129="","",IFERROR(INDEX('Veri Merkezi'!$A$2:$A$1001,$K129),""))</f>
        <v/>
      </c>
      <c r="B129" t="str">
        <f>IF($K129="","",IFERROR(INDEX('Veri Merkezi'!$E$2:$E$1001,$K129),""))</f>
        <v/>
      </c>
      <c r="C129" t="str">
        <f>IF($K129="","",IFERROR(INDEX('Veri Merkezi'!$D$2:$D$1001,$K129),""))</f>
        <v/>
      </c>
      <c r="D129" t="str">
        <f>IF($K129="","",IFERROR(INDEX('Veri Merkezi'!$F$2:$F$1001,$K129),""))</f>
        <v/>
      </c>
      <c r="E129" s="2" t="str">
        <f>IF($K129="","",IFERROR(INDEX('Veri Merkezi'!$G$2:$G$1001,$K129),""))</f>
        <v/>
      </c>
      <c r="F129" t="str">
        <f>IF($K129="","",IFERROR(INDEX('Veri Merkezi'!$H$2:$H$1001,$K129),""))</f>
        <v/>
      </c>
      <c r="G129" t="str">
        <f>IF($K129="","",IFERROR(INDEX('Veri Merkezi'!$R$2:$R$1001,$K129),""))</f>
        <v/>
      </c>
      <c r="H129" t="str">
        <f>IF($K129="","",IFERROR(INDEX('Veri Merkezi'!$S$2:$S$1001,$K129),""))</f>
        <v/>
      </c>
      <c r="I129" s="2" t="str">
        <f>IF($K129="","",IFERROR(INDEX('Veri Merkezi'!$T$2:$T$1001,$K129),""))</f>
        <v/>
      </c>
      <c r="J129" t="str">
        <f>IF($K129="","",IFERROR(INDEX('Veri Merkezi'!$U$2:$U$1001,$K129),""))</f>
        <v/>
      </c>
      <c r="K129" t="str">
        <f>IF(K128="","",IFERROR(K128+MATCH("B Liste",INDEX('Veri Merkezi'!$S$2:$S$1001,K128+1):'Veri Merkezi'!$S$1001,0),""))</f>
        <v/>
      </c>
    </row>
    <row r="130" spans="1:11">
      <c r="A130" t="str">
        <f>IF($K130="","",IFERROR(INDEX('Veri Merkezi'!$A$2:$A$1001,$K130),""))</f>
        <v/>
      </c>
      <c r="B130" t="str">
        <f>IF($K130="","",IFERROR(INDEX('Veri Merkezi'!$E$2:$E$1001,$K130),""))</f>
        <v/>
      </c>
      <c r="C130" t="str">
        <f>IF($K130="","",IFERROR(INDEX('Veri Merkezi'!$D$2:$D$1001,$K130),""))</f>
        <v/>
      </c>
      <c r="D130" t="str">
        <f>IF($K130="","",IFERROR(INDEX('Veri Merkezi'!$F$2:$F$1001,$K130),""))</f>
        <v/>
      </c>
      <c r="E130" s="2" t="str">
        <f>IF($K130="","",IFERROR(INDEX('Veri Merkezi'!$G$2:$G$1001,$K130),""))</f>
        <v/>
      </c>
      <c r="F130" t="str">
        <f>IF($K130="","",IFERROR(INDEX('Veri Merkezi'!$H$2:$H$1001,$K130),""))</f>
        <v/>
      </c>
      <c r="G130" t="str">
        <f>IF($K130="","",IFERROR(INDEX('Veri Merkezi'!$R$2:$R$1001,$K130),""))</f>
        <v/>
      </c>
      <c r="H130" t="str">
        <f>IF($K130="","",IFERROR(INDEX('Veri Merkezi'!$S$2:$S$1001,$K130),""))</f>
        <v/>
      </c>
      <c r="I130" s="2" t="str">
        <f>IF($K130="","",IFERROR(INDEX('Veri Merkezi'!$T$2:$T$1001,$K130),""))</f>
        <v/>
      </c>
      <c r="J130" t="str">
        <f>IF($K130="","",IFERROR(INDEX('Veri Merkezi'!$U$2:$U$1001,$K130),""))</f>
        <v/>
      </c>
      <c r="K130" t="str">
        <f>IF(K129="","",IFERROR(K129+MATCH("B Liste",INDEX('Veri Merkezi'!$S$2:$S$1001,K129+1):'Veri Merkezi'!$S$1001,0),""))</f>
        <v/>
      </c>
    </row>
    <row r="131" spans="1:11">
      <c r="A131" t="str">
        <f>IF($K131="","",IFERROR(INDEX('Veri Merkezi'!$A$2:$A$1001,$K131),""))</f>
        <v/>
      </c>
      <c r="B131" t="str">
        <f>IF($K131="","",IFERROR(INDEX('Veri Merkezi'!$E$2:$E$1001,$K131),""))</f>
        <v/>
      </c>
      <c r="C131" t="str">
        <f>IF($K131="","",IFERROR(INDEX('Veri Merkezi'!$D$2:$D$1001,$K131),""))</f>
        <v/>
      </c>
      <c r="D131" t="str">
        <f>IF($K131="","",IFERROR(INDEX('Veri Merkezi'!$F$2:$F$1001,$K131),""))</f>
        <v/>
      </c>
      <c r="E131" s="2" t="str">
        <f>IF($K131="","",IFERROR(INDEX('Veri Merkezi'!$G$2:$G$1001,$K131),""))</f>
        <v/>
      </c>
      <c r="F131" t="str">
        <f>IF($K131="","",IFERROR(INDEX('Veri Merkezi'!$H$2:$H$1001,$K131),""))</f>
        <v/>
      </c>
      <c r="G131" t="str">
        <f>IF($K131="","",IFERROR(INDEX('Veri Merkezi'!$R$2:$R$1001,$K131),""))</f>
        <v/>
      </c>
      <c r="H131" t="str">
        <f>IF($K131="","",IFERROR(INDEX('Veri Merkezi'!$S$2:$S$1001,$K131),""))</f>
        <v/>
      </c>
      <c r="I131" s="2" t="str">
        <f>IF($K131="","",IFERROR(INDEX('Veri Merkezi'!$T$2:$T$1001,$K131),""))</f>
        <v/>
      </c>
      <c r="J131" t="str">
        <f>IF($K131="","",IFERROR(INDEX('Veri Merkezi'!$U$2:$U$1001,$K131),""))</f>
        <v/>
      </c>
      <c r="K131" t="str">
        <f>IF(K130="","",IFERROR(K130+MATCH("B Liste",INDEX('Veri Merkezi'!$S$2:$S$1001,K130+1):'Veri Merkezi'!$S$1001,0),""))</f>
        <v/>
      </c>
    </row>
    <row r="132" spans="1:11">
      <c r="A132" t="str">
        <f>IF($K132="","",IFERROR(INDEX('Veri Merkezi'!$A$2:$A$1001,$K132),""))</f>
        <v/>
      </c>
      <c r="B132" t="str">
        <f>IF($K132="","",IFERROR(INDEX('Veri Merkezi'!$E$2:$E$1001,$K132),""))</f>
        <v/>
      </c>
      <c r="C132" t="str">
        <f>IF($K132="","",IFERROR(INDEX('Veri Merkezi'!$D$2:$D$1001,$K132),""))</f>
        <v/>
      </c>
      <c r="D132" t="str">
        <f>IF($K132="","",IFERROR(INDEX('Veri Merkezi'!$F$2:$F$1001,$K132),""))</f>
        <v/>
      </c>
      <c r="E132" s="2" t="str">
        <f>IF($K132="","",IFERROR(INDEX('Veri Merkezi'!$G$2:$G$1001,$K132),""))</f>
        <v/>
      </c>
      <c r="F132" t="str">
        <f>IF($K132="","",IFERROR(INDEX('Veri Merkezi'!$H$2:$H$1001,$K132),""))</f>
        <v/>
      </c>
      <c r="G132" t="str">
        <f>IF($K132="","",IFERROR(INDEX('Veri Merkezi'!$R$2:$R$1001,$K132),""))</f>
        <v/>
      </c>
      <c r="H132" t="str">
        <f>IF($K132="","",IFERROR(INDEX('Veri Merkezi'!$S$2:$S$1001,$K132),""))</f>
        <v/>
      </c>
      <c r="I132" s="2" t="str">
        <f>IF($K132="","",IFERROR(INDEX('Veri Merkezi'!$T$2:$T$1001,$K132),""))</f>
        <v/>
      </c>
      <c r="J132" t="str">
        <f>IF($K132="","",IFERROR(INDEX('Veri Merkezi'!$U$2:$U$1001,$K132),""))</f>
        <v/>
      </c>
      <c r="K132" t="str">
        <f>IF(K131="","",IFERROR(K131+MATCH("B Liste",INDEX('Veri Merkezi'!$S$2:$S$1001,K131+1):'Veri Merkezi'!$S$1001,0),""))</f>
        <v/>
      </c>
    </row>
    <row r="133" spans="1:11">
      <c r="A133" t="str">
        <f>IF($K133="","",IFERROR(INDEX('Veri Merkezi'!$A$2:$A$1001,$K133),""))</f>
        <v/>
      </c>
      <c r="B133" t="str">
        <f>IF($K133="","",IFERROR(INDEX('Veri Merkezi'!$E$2:$E$1001,$K133),""))</f>
        <v/>
      </c>
      <c r="C133" t="str">
        <f>IF($K133="","",IFERROR(INDEX('Veri Merkezi'!$D$2:$D$1001,$K133),""))</f>
        <v/>
      </c>
      <c r="D133" t="str">
        <f>IF($K133="","",IFERROR(INDEX('Veri Merkezi'!$F$2:$F$1001,$K133),""))</f>
        <v/>
      </c>
      <c r="E133" s="2" t="str">
        <f>IF($K133="","",IFERROR(INDEX('Veri Merkezi'!$G$2:$G$1001,$K133),""))</f>
        <v/>
      </c>
      <c r="F133" t="str">
        <f>IF($K133="","",IFERROR(INDEX('Veri Merkezi'!$H$2:$H$1001,$K133),""))</f>
        <v/>
      </c>
      <c r="G133" t="str">
        <f>IF($K133="","",IFERROR(INDEX('Veri Merkezi'!$R$2:$R$1001,$K133),""))</f>
        <v/>
      </c>
      <c r="H133" t="str">
        <f>IF($K133="","",IFERROR(INDEX('Veri Merkezi'!$S$2:$S$1001,$K133),""))</f>
        <v/>
      </c>
      <c r="I133" s="2" t="str">
        <f>IF($K133="","",IFERROR(INDEX('Veri Merkezi'!$T$2:$T$1001,$K133),""))</f>
        <v/>
      </c>
      <c r="J133" t="str">
        <f>IF($K133="","",IFERROR(INDEX('Veri Merkezi'!$U$2:$U$1001,$K133),""))</f>
        <v/>
      </c>
      <c r="K133" t="str">
        <f>IF(K132="","",IFERROR(K132+MATCH("B Liste",INDEX('Veri Merkezi'!$S$2:$S$1001,K132+1):'Veri Merkezi'!$S$1001,0),""))</f>
        <v/>
      </c>
    </row>
    <row r="134" spans="1:11">
      <c r="A134" t="str">
        <f>IF($K134="","",IFERROR(INDEX('Veri Merkezi'!$A$2:$A$1001,$K134),""))</f>
        <v/>
      </c>
      <c r="B134" t="str">
        <f>IF($K134="","",IFERROR(INDEX('Veri Merkezi'!$E$2:$E$1001,$K134),""))</f>
        <v/>
      </c>
      <c r="C134" t="str">
        <f>IF($K134="","",IFERROR(INDEX('Veri Merkezi'!$D$2:$D$1001,$K134),""))</f>
        <v/>
      </c>
      <c r="D134" t="str">
        <f>IF($K134="","",IFERROR(INDEX('Veri Merkezi'!$F$2:$F$1001,$K134),""))</f>
        <v/>
      </c>
      <c r="E134" s="2" t="str">
        <f>IF($K134="","",IFERROR(INDEX('Veri Merkezi'!$G$2:$G$1001,$K134),""))</f>
        <v/>
      </c>
      <c r="F134" t="str">
        <f>IF($K134="","",IFERROR(INDEX('Veri Merkezi'!$H$2:$H$1001,$K134),""))</f>
        <v/>
      </c>
      <c r="G134" t="str">
        <f>IF($K134="","",IFERROR(INDEX('Veri Merkezi'!$R$2:$R$1001,$K134),""))</f>
        <v/>
      </c>
      <c r="H134" t="str">
        <f>IF($K134="","",IFERROR(INDEX('Veri Merkezi'!$S$2:$S$1001,$K134),""))</f>
        <v/>
      </c>
      <c r="I134" s="2" t="str">
        <f>IF($K134="","",IFERROR(INDEX('Veri Merkezi'!$T$2:$T$1001,$K134),""))</f>
        <v/>
      </c>
      <c r="J134" t="str">
        <f>IF($K134="","",IFERROR(INDEX('Veri Merkezi'!$U$2:$U$1001,$K134),""))</f>
        <v/>
      </c>
      <c r="K134" t="str">
        <f>IF(K133="","",IFERROR(K133+MATCH("B Liste",INDEX('Veri Merkezi'!$S$2:$S$1001,K133+1):'Veri Merkezi'!$S$1001,0),""))</f>
        <v/>
      </c>
    </row>
    <row r="135" spans="1:11">
      <c r="A135" t="str">
        <f>IF($K135="","",IFERROR(INDEX('Veri Merkezi'!$A$2:$A$1001,$K135),""))</f>
        <v/>
      </c>
      <c r="B135" t="str">
        <f>IF($K135="","",IFERROR(INDEX('Veri Merkezi'!$E$2:$E$1001,$K135),""))</f>
        <v/>
      </c>
      <c r="C135" t="str">
        <f>IF($K135="","",IFERROR(INDEX('Veri Merkezi'!$D$2:$D$1001,$K135),""))</f>
        <v/>
      </c>
      <c r="D135" t="str">
        <f>IF($K135="","",IFERROR(INDEX('Veri Merkezi'!$F$2:$F$1001,$K135),""))</f>
        <v/>
      </c>
      <c r="E135" s="2" t="str">
        <f>IF($K135="","",IFERROR(INDEX('Veri Merkezi'!$G$2:$G$1001,$K135),""))</f>
        <v/>
      </c>
      <c r="F135" t="str">
        <f>IF($K135="","",IFERROR(INDEX('Veri Merkezi'!$H$2:$H$1001,$K135),""))</f>
        <v/>
      </c>
      <c r="G135" t="str">
        <f>IF($K135="","",IFERROR(INDEX('Veri Merkezi'!$R$2:$R$1001,$K135),""))</f>
        <v/>
      </c>
      <c r="H135" t="str">
        <f>IF($K135="","",IFERROR(INDEX('Veri Merkezi'!$S$2:$S$1001,$K135),""))</f>
        <v/>
      </c>
      <c r="I135" s="2" t="str">
        <f>IF($K135="","",IFERROR(INDEX('Veri Merkezi'!$T$2:$T$1001,$K135),""))</f>
        <v/>
      </c>
      <c r="J135" t="str">
        <f>IF($K135="","",IFERROR(INDEX('Veri Merkezi'!$U$2:$U$1001,$K135),""))</f>
        <v/>
      </c>
      <c r="K135" t="str">
        <f>IF(K134="","",IFERROR(K134+MATCH("B Liste",INDEX('Veri Merkezi'!$S$2:$S$1001,K134+1):'Veri Merkezi'!$S$1001,0),""))</f>
        <v/>
      </c>
    </row>
    <row r="136" spans="1:11">
      <c r="A136" t="str">
        <f>IF($K136="","",IFERROR(INDEX('Veri Merkezi'!$A$2:$A$1001,$K136),""))</f>
        <v/>
      </c>
      <c r="B136" t="str">
        <f>IF($K136="","",IFERROR(INDEX('Veri Merkezi'!$E$2:$E$1001,$K136),""))</f>
        <v/>
      </c>
      <c r="C136" t="str">
        <f>IF($K136="","",IFERROR(INDEX('Veri Merkezi'!$D$2:$D$1001,$K136),""))</f>
        <v/>
      </c>
      <c r="D136" t="str">
        <f>IF($K136="","",IFERROR(INDEX('Veri Merkezi'!$F$2:$F$1001,$K136),""))</f>
        <v/>
      </c>
      <c r="E136" s="2" t="str">
        <f>IF($K136="","",IFERROR(INDEX('Veri Merkezi'!$G$2:$G$1001,$K136),""))</f>
        <v/>
      </c>
      <c r="F136" t="str">
        <f>IF($K136="","",IFERROR(INDEX('Veri Merkezi'!$H$2:$H$1001,$K136),""))</f>
        <v/>
      </c>
      <c r="G136" t="str">
        <f>IF($K136="","",IFERROR(INDEX('Veri Merkezi'!$R$2:$R$1001,$K136),""))</f>
        <v/>
      </c>
      <c r="H136" t="str">
        <f>IF($K136="","",IFERROR(INDEX('Veri Merkezi'!$S$2:$S$1001,$K136),""))</f>
        <v/>
      </c>
      <c r="I136" s="2" t="str">
        <f>IF($K136="","",IFERROR(INDEX('Veri Merkezi'!$T$2:$T$1001,$K136),""))</f>
        <v/>
      </c>
      <c r="J136" t="str">
        <f>IF($K136="","",IFERROR(INDEX('Veri Merkezi'!$U$2:$U$1001,$K136),""))</f>
        <v/>
      </c>
      <c r="K136" t="str">
        <f>IF(K135="","",IFERROR(K135+MATCH("B Liste",INDEX('Veri Merkezi'!$S$2:$S$1001,K135+1):'Veri Merkezi'!$S$1001,0),""))</f>
        <v/>
      </c>
    </row>
    <row r="137" spans="1:11">
      <c r="A137" t="str">
        <f>IF($K137="","",IFERROR(INDEX('Veri Merkezi'!$A$2:$A$1001,$K137),""))</f>
        <v/>
      </c>
      <c r="B137" t="str">
        <f>IF($K137="","",IFERROR(INDEX('Veri Merkezi'!$E$2:$E$1001,$K137),""))</f>
        <v/>
      </c>
      <c r="C137" t="str">
        <f>IF($K137="","",IFERROR(INDEX('Veri Merkezi'!$D$2:$D$1001,$K137),""))</f>
        <v/>
      </c>
      <c r="D137" t="str">
        <f>IF($K137="","",IFERROR(INDEX('Veri Merkezi'!$F$2:$F$1001,$K137),""))</f>
        <v/>
      </c>
      <c r="E137" s="2" t="str">
        <f>IF($K137="","",IFERROR(INDEX('Veri Merkezi'!$G$2:$G$1001,$K137),""))</f>
        <v/>
      </c>
      <c r="F137" t="str">
        <f>IF($K137="","",IFERROR(INDEX('Veri Merkezi'!$H$2:$H$1001,$K137),""))</f>
        <v/>
      </c>
      <c r="G137" t="str">
        <f>IF($K137="","",IFERROR(INDEX('Veri Merkezi'!$R$2:$R$1001,$K137),""))</f>
        <v/>
      </c>
      <c r="H137" t="str">
        <f>IF($K137="","",IFERROR(INDEX('Veri Merkezi'!$S$2:$S$1001,$K137),""))</f>
        <v/>
      </c>
      <c r="I137" s="2" t="str">
        <f>IF($K137="","",IFERROR(INDEX('Veri Merkezi'!$T$2:$T$1001,$K137),""))</f>
        <v/>
      </c>
      <c r="J137" t="str">
        <f>IF($K137="","",IFERROR(INDEX('Veri Merkezi'!$U$2:$U$1001,$K137),""))</f>
        <v/>
      </c>
      <c r="K137" t="str">
        <f>IF(K136="","",IFERROR(K136+MATCH("B Liste",INDEX('Veri Merkezi'!$S$2:$S$1001,K136+1):'Veri Merkezi'!$S$1001,0),""))</f>
        <v/>
      </c>
    </row>
    <row r="138" spans="1:11">
      <c r="A138" t="str">
        <f>IF($K138="","",IFERROR(INDEX('Veri Merkezi'!$A$2:$A$1001,$K138),""))</f>
        <v/>
      </c>
      <c r="B138" t="str">
        <f>IF($K138="","",IFERROR(INDEX('Veri Merkezi'!$E$2:$E$1001,$K138),""))</f>
        <v/>
      </c>
      <c r="C138" t="str">
        <f>IF($K138="","",IFERROR(INDEX('Veri Merkezi'!$D$2:$D$1001,$K138),""))</f>
        <v/>
      </c>
      <c r="D138" t="str">
        <f>IF($K138="","",IFERROR(INDEX('Veri Merkezi'!$F$2:$F$1001,$K138),""))</f>
        <v/>
      </c>
      <c r="E138" s="2" t="str">
        <f>IF($K138="","",IFERROR(INDEX('Veri Merkezi'!$G$2:$G$1001,$K138),""))</f>
        <v/>
      </c>
      <c r="F138" t="str">
        <f>IF($K138="","",IFERROR(INDEX('Veri Merkezi'!$H$2:$H$1001,$K138),""))</f>
        <v/>
      </c>
      <c r="G138" t="str">
        <f>IF($K138="","",IFERROR(INDEX('Veri Merkezi'!$R$2:$R$1001,$K138),""))</f>
        <v/>
      </c>
      <c r="H138" t="str">
        <f>IF($K138="","",IFERROR(INDEX('Veri Merkezi'!$S$2:$S$1001,$K138),""))</f>
        <v/>
      </c>
      <c r="I138" s="2" t="str">
        <f>IF($K138="","",IFERROR(INDEX('Veri Merkezi'!$T$2:$T$1001,$K138),""))</f>
        <v/>
      </c>
      <c r="J138" t="str">
        <f>IF($K138="","",IFERROR(INDEX('Veri Merkezi'!$U$2:$U$1001,$K138),""))</f>
        <v/>
      </c>
      <c r="K138" t="str">
        <f>IF(K137="","",IFERROR(K137+MATCH("B Liste",INDEX('Veri Merkezi'!$S$2:$S$1001,K137+1):'Veri Merkezi'!$S$1001,0),""))</f>
        <v/>
      </c>
    </row>
    <row r="139" spans="1:11">
      <c r="A139" t="str">
        <f>IF($K139="","",IFERROR(INDEX('Veri Merkezi'!$A$2:$A$1001,$K139),""))</f>
        <v/>
      </c>
      <c r="B139" t="str">
        <f>IF($K139="","",IFERROR(INDEX('Veri Merkezi'!$E$2:$E$1001,$K139),""))</f>
        <v/>
      </c>
      <c r="C139" t="str">
        <f>IF($K139="","",IFERROR(INDEX('Veri Merkezi'!$D$2:$D$1001,$K139),""))</f>
        <v/>
      </c>
      <c r="D139" t="str">
        <f>IF($K139="","",IFERROR(INDEX('Veri Merkezi'!$F$2:$F$1001,$K139),""))</f>
        <v/>
      </c>
      <c r="E139" s="2" t="str">
        <f>IF($K139="","",IFERROR(INDEX('Veri Merkezi'!$G$2:$G$1001,$K139),""))</f>
        <v/>
      </c>
      <c r="F139" t="str">
        <f>IF($K139="","",IFERROR(INDEX('Veri Merkezi'!$H$2:$H$1001,$K139),""))</f>
        <v/>
      </c>
      <c r="G139" t="str">
        <f>IF($K139="","",IFERROR(INDEX('Veri Merkezi'!$R$2:$R$1001,$K139),""))</f>
        <v/>
      </c>
      <c r="H139" t="str">
        <f>IF($K139="","",IFERROR(INDEX('Veri Merkezi'!$S$2:$S$1001,$K139),""))</f>
        <v/>
      </c>
      <c r="I139" s="2" t="str">
        <f>IF($K139="","",IFERROR(INDEX('Veri Merkezi'!$T$2:$T$1001,$K139),""))</f>
        <v/>
      </c>
      <c r="J139" t="str">
        <f>IF($K139="","",IFERROR(INDEX('Veri Merkezi'!$U$2:$U$1001,$K139),""))</f>
        <v/>
      </c>
      <c r="K139" t="str">
        <f>IF(K138="","",IFERROR(K138+MATCH("B Liste",INDEX('Veri Merkezi'!$S$2:$S$1001,K138+1):'Veri Merkezi'!$S$1001,0),""))</f>
        <v/>
      </c>
    </row>
    <row r="140" spans="1:11">
      <c r="A140" t="str">
        <f>IF($K140="","",IFERROR(INDEX('Veri Merkezi'!$A$2:$A$1001,$K140),""))</f>
        <v/>
      </c>
      <c r="B140" t="str">
        <f>IF($K140="","",IFERROR(INDEX('Veri Merkezi'!$E$2:$E$1001,$K140),""))</f>
        <v/>
      </c>
      <c r="C140" t="str">
        <f>IF($K140="","",IFERROR(INDEX('Veri Merkezi'!$D$2:$D$1001,$K140),""))</f>
        <v/>
      </c>
      <c r="D140" t="str">
        <f>IF($K140="","",IFERROR(INDEX('Veri Merkezi'!$F$2:$F$1001,$K140),""))</f>
        <v/>
      </c>
      <c r="E140" s="2" t="str">
        <f>IF($K140="","",IFERROR(INDEX('Veri Merkezi'!$G$2:$G$1001,$K140),""))</f>
        <v/>
      </c>
      <c r="F140" t="str">
        <f>IF($K140="","",IFERROR(INDEX('Veri Merkezi'!$H$2:$H$1001,$K140),""))</f>
        <v/>
      </c>
      <c r="G140" t="str">
        <f>IF($K140="","",IFERROR(INDEX('Veri Merkezi'!$R$2:$R$1001,$K140),""))</f>
        <v/>
      </c>
      <c r="H140" t="str">
        <f>IF($K140="","",IFERROR(INDEX('Veri Merkezi'!$S$2:$S$1001,$K140),""))</f>
        <v/>
      </c>
      <c r="I140" s="2" t="str">
        <f>IF($K140="","",IFERROR(INDEX('Veri Merkezi'!$T$2:$T$1001,$K140),""))</f>
        <v/>
      </c>
      <c r="J140" t="str">
        <f>IF($K140="","",IFERROR(INDEX('Veri Merkezi'!$U$2:$U$1001,$K140),""))</f>
        <v/>
      </c>
      <c r="K140" t="str">
        <f>IF(K139="","",IFERROR(K139+MATCH("B Liste",INDEX('Veri Merkezi'!$S$2:$S$1001,K139+1):'Veri Merkezi'!$S$1001,0),""))</f>
        <v/>
      </c>
    </row>
    <row r="141" spans="1:11">
      <c r="A141" t="str">
        <f>IF($K141="","",IFERROR(INDEX('Veri Merkezi'!$A$2:$A$1001,$K141),""))</f>
        <v/>
      </c>
      <c r="B141" t="str">
        <f>IF($K141="","",IFERROR(INDEX('Veri Merkezi'!$E$2:$E$1001,$K141),""))</f>
        <v/>
      </c>
      <c r="C141" t="str">
        <f>IF($K141="","",IFERROR(INDEX('Veri Merkezi'!$D$2:$D$1001,$K141),""))</f>
        <v/>
      </c>
      <c r="D141" t="str">
        <f>IF($K141="","",IFERROR(INDEX('Veri Merkezi'!$F$2:$F$1001,$K141),""))</f>
        <v/>
      </c>
      <c r="E141" s="2" t="str">
        <f>IF($K141="","",IFERROR(INDEX('Veri Merkezi'!$G$2:$G$1001,$K141),""))</f>
        <v/>
      </c>
      <c r="F141" t="str">
        <f>IF($K141="","",IFERROR(INDEX('Veri Merkezi'!$H$2:$H$1001,$K141),""))</f>
        <v/>
      </c>
      <c r="G141" t="str">
        <f>IF($K141="","",IFERROR(INDEX('Veri Merkezi'!$R$2:$R$1001,$K141),""))</f>
        <v/>
      </c>
      <c r="H141" t="str">
        <f>IF($K141="","",IFERROR(INDEX('Veri Merkezi'!$S$2:$S$1001,$K141),""))</f>
        <v/>
      </c>
      <c r="I141" s="2" t="str">
        <f>IF($K141="","",IFERROR(INDEX('Veri Merkezi'!$T$2:$T$1001,$K141),""))</f>
        <v/>
      </c>
      <c r="J141" t="str">
        <f>IF($K141="","",IFERROR(INDEX('Veri Merkezi'!$U$2:$U$1001,$K141),""))</f>
        <v/>
      </c>
      <c r="K141" t="str">
        <f>IF(K140="","",IFERROR(K140+MATCH("B Liste",INDEX('Veri Merkezi'!$S$2:$S$1001,K140+1):'Veri Merkezi'!$S$1001,0),""))</f>
        <v/>
      </c>
    </row>
    <row r="142" spans="1:11">
      <c r="A142" t="str">
        <f>IF($K142="","",IFERROR(INDEX('Veri Merkezi'!$A$2:$A$1001,$K142),""))</f>
        <v/>
      </c>
      <c r="B142" t="str">
        <f>IF($K142="","",IFERROR(INDEX('Veri Merkezi'!$E$2:$E$1001,$K142),""))</f>
        <v/>
      </c>
      <c r="C142" t="str">
        <f>IF($K142="","",IFERROR(INDEX('Veri Merkezi'!$D$2:$D$1001,$K142),""))</f>
        <v/>
      </c>
      <c r="D142" t="str">
        <f>IF($K142="","",IFERROR(INDEX('Veri Merkezi'!$F$2:$F$1001,$K142),""))</f>
        <v/>
      </c>
      <c r="E142" s="2" t="str">
        <f>IF($K142="","",IFERROR(INDEX('Veri Merkezi'!$G$2:$G$1001,$K142),""))</f>
        <v/>
      </c>
      <c r="F142" t="str">
        <f>IF($K142="","",IFERROR(INDEX('Veri Merkezi'!$H$2:$H$1001,$K142),""))</f>
        <v/>
      </c>
      <c r="G142" t="str">
        <f>IF($K142="","",IFERROR(INDEX('Veri Merkezi'!$R$2:$R$1001,$K142),""))</f>
        <v/>
      </c>
      <c r="H142" t="str">
        <f>IF($K142="","",IFERROR(INDEX('Veri Merkezi'!$S$2:$S$1001,$K142),""))</f>
        <v/>
      </c>
      <c r="I142" s="2" t="str">
        <f>IF($K142="","",IFERROR(INDEX('Veri Merkezi'!$T$2:$T$1001,$K142),""))</f>
        <v/>
      </c>
      <c r="J142" t="str">
        <f>IF($K142="","",IFERROR(INDEX('Veri Merkezi'!$U$2:$U$1001,$K142),""))</f>
        <v/>
      </c>
      <c r="K142" t="str">
        <f>IF(K141="","",IFERROR(K141+MATCH("B Liste",INDEX('Veri Merkezi'!$S$2:$S$1001,K141+1):'Veri Merkezi'!$S$1001,0),""))</f>
        <v/>
      </c>
    </row>
    <row r="143" spans="1:11">
      <c r="A143" t="str">
        <f>IF($K143="","",IFERROR(INDEX('Veri Merkezi'!$A$2:$A$1001,$K143),""))</f>
        <v/>
      </c>
      <c r="B143" t="str">
        <f>IF($K143="","",IFERROR(INDEX('Veri Merkezi'!$E$2:$E$1001,$K143),""))</f>
        <v/>
      </c>
      <c r="C143" t="str">
        <f>IF($K143="","",IFERROR(INDEX('Veri Merkezi'!$D$2:$D$1001,$K143),""))</f>
        <v/>
      </c>
      <c r="D143" t="str">
        <f>IF($K143="","",IFERROR(INDEX('Veri Merkezi'!$F$2:$F$1001,$K143),""))</f>
        <v/>
      </c>
      <c r="E143" s="2" t="str">
        <f>IF($K143="","",IFERROR(INDEX('Veri Merkezi'!$G$2:$G$1001,$K143),""))</f>
        <v/>
      </c>
      <c r="F143" t="str">
        <f>IF($K143="","",IFERROR(INDEX('Veri Merkezi'!$H$2:$H$1001,$K143),""))</f>
        <v/>
      </c>
      <c r="G143" t="str">
        <f>IF($K143="","",IFERROR(INDEX('Veri Merkezi'!$R$2:$R$1001,$K143),""))</f>
        <v/>
      </c>
      <c r="H143" t="str">
        <f>IF($K143="","",IFERROR(INDEX('Veri Merkezi'!$S$2:$S$1001,$K143),""))</f>
        <v/>
      </c>
      <c r="I143" s="2" t="str">
        <f>IF($K143="","",IFERROR(INDEX('Veri Merkezi'!$T$2:$T$1001,$K143),""))</f>
        <v/>
      </c>
      <c r="J143" t="str">
        <f>IF($K143="","",IFERROR(INDEX('Veri Merkezi'!$U$2:$U$1001,$K143),""))</f>
        <v/>
      </c>
      <c r="K143" t="str">
        <f>IF(K142="","",IFERROR(K142+MATCH("B Liste",INDEX('Veri Merkezi'!$S$2:$S$1001,K142+1):'Veri Merkezi'!$S$1001,0),""))</f>
        <v/>
      </c>
    </row>
    <row r="144" spans="1:11">
      <c r="A144" t="str">
        <f>IF($K144="","",IFERROR(INDEX('Veri Merkezi'!$A$2:$A$1001,$K144),""))</f>
        <v/>
      </c>
      <c r="B144" t="str">
        <f>IF($K144="","",IFERROR(INDEX('Veri Merkezi'!$E$2:$E$1001,$K144),""))</f>
        <v/>
      </c>
      <c r="C144" t="str">
        <f>IF($K144="","",IFERROR(INDEX('Veri Merkezi'!$D$2:$D$1001,$K144),""))</f>
        <v/>
      </c>
      <c r="D144" t="str">
        <f>IF($K144="","",IFERROR(INDEX('Veri Merkezi'!$F$2:$F$1001,$K144),""))</f>
        <v/>
      </c>
      <c r="E144" s="2" t="str">
        <f>IF($K144="","",IFERROR(INDEX('Veri Merkezi'!$G$2:$G$1001,$K144),""))</f>
        <v/>
      </c>
      <c r="F144" t="str">
        <f>IF($K144="","",IFERROR(INDEX('Veri Merkezi'!$H$2:$H$1001,$K144),""))</f>
        <v/>
      </c>
      <c r="G144" t="str">
        <f>IF($K144="","",IFERROR(INDEX('Veri Merkezi'!$R$2:$R$1001,$K144),""))</f>
        <v/>
      </c>
      <c r="H144" t="str">
        <f>IF($K144="","",IFERROR(INDEX('Veri Merkezi'!$S$2:$S$1001,$K144),""))</f>
        <v/>
      </c>
      <c r="I144" s="2" t="str">
        <f>IF($K144="","",IFERROR(INDEX('Veri Merkezi'!$T$2:$T$1001,$K144),""))</f>
        <v/>
      </c>
      <c r="J144" t="str">
        <f>IF($K144="","",IFERROR(INDEX('Veri Merkezi'!$U$2:$U$1001,$K144),""))</f>
        <v/>
      </c>
      <c r="K144" t="str">
        <f>IF(K143="","",IFERROR(K143+MATCH("B Liste",INDEX('Veri Merkezi'!$S$2:$S$1001,K143+1):'Veri Merkezi'!$S$1001,0),""))</f>
        <v/>
      </c>
    </row>
    <row r="145" spans="1:11">
      <c r="A145" t="str">
        <f>IF($K145="","",IFERROR(INDEX('Veri Merkezi'!$A$2:$A$1001,$K145),""))</f>
        <v/>
      </c>
      <c r="B145" t="str">
        <f>IF($K145="","",IFERROR(INDEX('Veri Merkezi'!$E$2:$E$1001,$K145),""))</f>
        <v/>
      </c>
      <c r="C145" t="str">
        <f>IF($K145="","",IFERROR(INDEX('Veri Merkezi'!$D$2:$D$1001,$K145),""))</f>
        <v/>
      </c>
      <c r="D145" t="str">
        <f>IF($K145="","",IFERROR(INDEX('Veri Merkezi'!$F$2:$F$1001,$K145),""))</f>
        <v/>
      </c>
      <c r="E145" s="2" t="str">
        <f>IF($K145="","",IFERROR(INDEX('Veri Merkezi'!$G$2:$G$1001,$K145),""))</f>
        <v/>
      </c>
      <c r="F145" t="str">
        <f>IF($K145="","",IFERROR(INDEX('Veri Merkezi'!$H$2:$H$1001,$K145),""))</f>
        <v/>
      </c>
      <c r="G145" t="str">
        <f>IF($K145="","",IFERROR(INDEX('Veri Merkezi'!$R$2:$R$1001,$K145),""))</f>
        <v/>
      </c>
      <c r="H145" t="str">
        <f>IF($K145="","",IFERROR(INDEX('Veri Merkezi'!$S$2:$S$1001,$K145),""))</f>
        <v/>
      </c>
      <c r="I145" s="2" t="str">
        <f>IF($K145="","",IFERROR(INDEX('Veri Merkezi'!$T$2:$T$1001,$K145),""))</f>
        <v/>
      </c>
      <c r="J145" t="str">
        <f>IF($K145="","",IFERROR(INDEX('Veri Merkezi'!$U$2:$U$1001,$K145),""))</f>
        <v/>
      </c>
      <c r="K145" t="str">
        <f>IF(K144="","",IFERROR(K144+MATCH("B Liste",INDEX('Veri Merkezi'!$S$2:$S$1001,K144+1):'Veri Merkezi'!$S$1001,0),""))</f>
        <v/>
      </c>
    </row>
    <row r="146" spans="1:11">
      <c r="A146" t="str">
        <f>IF($K146="","",IFERROR(INDEX('Veri Merkezi'!$A$2:$A$1001,$K146),""))</f>
        <v/>
      </c>
      <c r="B146" t="str">
        <f>IF($K146="","",IFERROR(INDEX('Veri Merkezi'!$E$2:$E$1001,$K146),""))</f>
        <v/>
      </c>
      <c r="C146" t="str">
        <f>IF($K146="","",IFERROR(INDEX('Veri Merkezi'!$D$2:$D$1001,$K146),""))</f>
        <v/>
      </c>
      <c r="D146" t="str">
        <f>IF($K146="","",IFERROR(INDEX('Veri Merkezi'!$F$2:$F$1001,$K146),""))</f>
        <v/>
      </c>
      <c r="E146" s="2" t="str">
        <f>IF($K146="","",IFERROR(INDEX('Veri Merkezi'!$G$2:$G$1001,$K146),""))</f>
        <v/>
      </c>
      <c r="F146" t="str">
        <f>IF($K146="","",IFERROR(INDEX('Veri Merkezi'!$H$2:$H$1001,$K146),""))</f>
        <v/>
      </c>
      <c r="G146" t="str">
        <f>IF($K146="","",IFERROR(INDEX('Veri Merkezi'!$R$2:$R$1001,$K146),""))</f>
        <v/>
      </c>
      <c r="H146" t="str">
        <f>IF($K146="","",IFERROR(INDEX('Veri Merkezi'!$S$2:$S$1001,$K146),""))</f>
        <v/>
      </c>
      <c r="I146" s="2" t="str">
        <f>IF($K146="","",IFERROR(INDEX('Veri Merkezi'!$T$2:$T$1001,$K146),""))</f>
        <v/>
      </c>
      <c r="J146" t="str">
        <f>IF($K146="","",IFERROR(INDEX('Veri Merkezi'!$U$2:$U$1001,$K146),""))</f>
        <v/>
      </c>
      <c r="K146" t="str">
        <f>IF(K145="","",IFERROR(K145+MATCH("B Liste",INDEX('Veri Merkezi'!$S$2:$S$1001,K145+1):'Veri Merkezi'!$S$1001,0),""))</f>
        <v/>
      </c>
    </row>
    <row r="147" spans="1:11">
      <c r="A147" t="str">
        <f>IF($K147="","",IFERROR(INDEX('Veri Merkezi'!$A$2:$A$1001,$K147),""))</f>
        <v/>
      </c>
      <c r="B147" t="str">
        <f>IF($K147="","",IFERROR(INDEX('Veri Merkezi'!$E$2:$E$1001,$K147),""))</f>
        <v/>
      </c>
      <c r="C147" t="str">
        <f>IF($K147="","",IFERROR(INDEX('Veri Merkezi'!$D$2:$D$1001,$K147),""))</f>
        <v/>
      </c>
      <c r="D147" t="str">
        <f>IF($K147="","",IFERROR(INDEX('Veri Merkezi'!$F$2:$F$1001,$K147),""))</f>
        <v/>
      </c>
      <c r="E147" s="2" t="str">
        <f>IF($K147="","",IFERROR(INDEX('Veri Merkezi'!$G$2:$G$1001,$K147),""))</f>
        <v/>
      </c>
      <c r="F147" t="str">
        <f>IF($K147="","",IFERROR(INDEX('Veri Merkezi'!$H$2:$H$1001,$K147),""))</f>
        <v/>
      </c>
      <c r="G147" t="str">
        <f>IF($K147="","",IFERROR(INDEX('Veri Merkezi'!$R$2:$R$1001,$K147),""))</f>
        <v/>
      </c>
      <c r="H147" t="str">
        <f>IF($K147="","",IFERROR(INDEX('Veri Merkezi'!$S$2:$S$1001,$K147),""))</f>
        <v/>
      </c>
      <c r="I147" s="2" t="str">
        <f>IF($K147="","",IFERROR(INDEX('Veri Merkezi'!$T$2:$T$1001,$K147),""))</f>
        <v/>
      </c>
      <c r="J147" t="str">
        <f>IF($K147="","",IFERROR(INDEX('Veri Merkezi'!$U$2:$U$1001,$K147),""))</f>
        <v/>
      </c>
      <c r="K147" t="str">
        <f>IF(K146="","",IFERROR(K146+MATCH("B Liste",INDEX('Veri Merkezi'!$S$2:$S$1001,K146+1):'Veri Merkezi'!$S$1001,0),""))</f>
        <v/>
      </c>
    </row>
    <row r="148" spans="1:11">
      <c r="A148" t="str">
        <f>IF($K148="","",IFERROR(INDEX('Veri Merkezi'!$A$2:$A$1001,$K148),""))</f>
        <v/>
      </c>
      <c r="B148" t="str">
        <f>IF($K148="","",IFERROR(INDEX('Veri Merkezi'!$E$2:$E$1001,$K148),""))</f>
        <v/>
      </c>
      <c r="C148" t="str">
        <f>IF($K148="","",IFERROR(INDEX('Veri Merkezi'!$D$2:$D$1001,$K148),""))</f>
        <v/>
      </c>
      <c r="D148" t="str">
        <f>IF($K148="","",IFERROR(INDEX('Veri Merkezi'!$F$2:$F$1001,$K148),""))</f>
        <v/>
      </c>
      <c r="E148" s="2" t="str">
        <f>IF($K148="","",IFERROR(INDEX('Veri Merkezi'!$G$2:$G$1001,$K148),""))</f>
        <v/>
      </c>
      <c r="F148" t="str">
        <f>IF($K148="","",IFERROR(INDEX('Veri Merkezi'!$H$2:$H$1001,$K148),""))</f>
        <v/>
      </c>
      <c r="G148" t="str">
        <f>IF($K148="","",IFERROR(INDEX('Veri Merkezi'!$R$2:$R$1001,$K148),""))</f>
        <v/>
      </c>
      <c r="H148" t="str">
        <f>IF($K148="","",IFERROR(INDEX('Veri Merkezi'!$S$2:$S$1001,$K148),""))</f>
        <v/>
      </c>
      <c r="I148" s="2" t="str">
        <f>IF($K148="","",IFERROR(INDEX('Veri Merkezi'!$T$2:$T$1001,$K148),""))</f>
        <v/>
      </c>
      <c r="J148" t="str">
        <f>IF($K148="","",IFERROR(INDEX('Veri Merkezi'!$U$2:$U$1001,$K148),""))</f>
        <v/>
      </c>
      <c r="K148" t="str">
        <f>IF(K147="","",IFERROR(K147+MATCH("B Liste",INDEX('Veri Merkezi'!$S$2:$S$1001,K147+1):'Veri Merkezi'!$S$1001,0),""))</f>
        <v/>
      </c>
    </row>
    <row r="149" spans="1:11">
      <c r="A149" t="str">
        <f>IF($K149="","",IFERROR(INDEX('Veri Merkezi'!$A$2:$A$1001,$K149),""))</f>
        <v/>
      </c>
      <c r="B149" t="str">
        <f>IF($K149="","",IFERROR(INDEX('Veri Merkezi'!$E$2:$E$1001,$K149),""))</f>
        <v/>
      </c>
      <c r="C149" t="str">
        <f>IF($K149="","",IFERROR(INDEX('Veri Merkezi'!$D$2:$D$1001,$K149),""))</f>
        <v/>
      </c>
      <c r="D149" t="str">
        <f>IF($K149="","",IFERROR(INDEX('Veri Merkezi'!$F$2:$F$1001,$K149),""))</f>
        <v/>
      </c>
      <c r="E149" s="2" t="str">
        <f>IF($K149="","",IFERROR(INDEX('Veri Merkezi'!$G$2:$G$1001,$K149),""))</f>
        <v/>
      </c>
      <c r="F149" t="str">
        <f>IF($K149="","",IFERROR(INDEX('Veri Merkezi'!$H$2:$H$1001,$K149),""))</f>
        <v/>
      </c>
      <c r="G149" t="str">
        <f>IF($K149="","",IFERROR(INDEX('Veri Merkezi'!$R$2:$R$1001,$K149),""))</f>
        <v/>
      </c>
      <c r="H149" t="str">
        <f>IF($K149="","",IFERROR(INDEX('Veri Merkezi'!$S$2:$S$1001,$K149),""))</f>
        <v/>
      </c>
      <c r="I149" s="2" t="str">
        <f>IF($K149="","",IFERROR(INDEX('Veri Merkezi'!$T$2:$T$1001,$K149),""))</f>
        <v/>
      </c>
      <c r="J149" t="str">
        <f>IF($K149="","",IFERROR(INDEX('Veri Merkezi'!$U$2:$U$1001,$K149),""))</f>
        <v/>
      </c>
      <c r="K149" t="str">
        <f>IF(K148="","",IFERROR(K148+MATCH("B Liste",INDEX('Veri Merkezi'!$S$2:$S$1001,K148+1):'Veri Merkezi'!$S$1001,0),""))</f>
        <v/>
      </c>
    </row>
    <row r="150" spans="1:11">
      <c r="A150" t="str">
        <f>IF($K150="","",IFERROR(INDEX('Veri Merkezi'!$A$2:$A$1001,$K150),""))</f>
        <v/>
      </c>
      <c r="B150" t="str">
        <f>IF($K150="","",IFERROR(INDEX('Veri Merkezi'!$E$2:$E$1001,$K150),""))</f>
        <v/>
      </c>
      <c r="C150" t="str">
        <f>IF($K150="","",IFERROR(INDEX('Veri Merkezi'!$D$2:$D$1001,$K150),""))</f>
        <v/>
      </c>
      <c r="D150" t="str">
        <f>IF($K150="","",IFERROR(INDEX('Veri Merkezi'!$F$2:$F$1001,$K150),""))</f>
        <v/>
      </c>
      <c r="E150" s="2" t="str">
        <f>IF($K150="","",IFERROR(INDEX('Veri Merkezi'!$G$2:$G$1001,$K150),""))</f>
        <v/>
      </c>
      <c r="F150" t="str">
        <f>IF($K150="","",IFERROR(INDEX('Veri Merkezi'!$H$2:$H$1001,$K150),""))</f>
        <v/>
      </c>
      <c r="G150" t="str">
        <f>IF($K150="","",IFERROR(INDEX('Veri Merkezi'!$R$2:$R$1001,$K150),""))</f>
        <v/>
      </c>
      <c r="H150" t="str">
        <f>IF($K150="","",IFERROR(INDEX('Veri Merkezi'!$S$2:$S$1001,$K150),""))</f>
        <v/>
      </c>
      <c r="I150" s="2" t="str">
        <f>IF($K150="","",IFERROR(INDEX('Veri Merkezi'!$T$2:$T$1001,$K150),""))</f>
        <v/>
      </c>
      <c r="J150" t="str">
        <f>IF($K150="","",IFERROR(INDEX('Veri Merkezi'!$U$2:$U$1001,$K150),""))</f>
        <v/>
      </c>
      <c r="K150" t="str">
        <f>IF(K149="","",IFERROR(K149+MATCH("B Liste",INDEX('Veri Merkezi'!$S$2:$S$1001,K149+1):'Veri Merkezi'!$S$1001,0),""))</f>
        <v/>
      </c>
    </row>
    <row r="151" spans="1:11">
      <c r="A151" t="str">
        <f>IF($K151="","",IFERROR(INDEX('Veri Merkezi'!$A$2:$A$1001,$K151),""))</f>
        <v/>
      </c>
      <c r="B151" t="str">
        <f>IF($K151="","",IFERROR(INDEX('Veri Merkezi'!$E$2:$E$1001,$K151),""))</f>
        <v/>
      </c>
      <c r="C151" t="str">
        <f>IF($K151="","",IFERROR(INDEX('Veri Merkezi'!$D$2:$D$1001,$K151),""))</f>
        <v/>
      </c>
      <c r="D151" t="str">
        <f>IF($K151="","",IFERROR(INDEX('Veri Merkezi'!$F$2:$F$1001,$K151),""))</f>
        <v/>
      </c>
      <c r="E151" s="2" t="str">
        <f>IF($K151="","",IFERROR(INDEX('Veri Merkezi'!$G$2:$G$1001,$K151),""))</f>
        <v/>
      </c>
      <c r="F151" t="str">
        <f>IF($K151="","",IFERROR(INDEX('Veri Merkezi'!$H$2:$H$1001,$K151),""))</f>
        <v/>
      </c>
      <c r="G151" t="str">
        <f>IF($K151="","",IFERROR(INDEX('Veri Merkezi'!$R$2:$R$1001,$K151),""))</f>
        <v/>
      </c>
      <c r="H151" t="str">
        <f>IF($K151="","",IFERROR(INDEX('Veri Merkezi'!$S$2:$S$1001,$K151),""))</f>
        <v/>
      </c>
      <c r="I151" s="2" t="str">
        <f>IF($K151="","",IFERROR(INDEX('Veri Merkezi'!$T$2:$T$1001,$K151),""))</f>
        <v/>
      </c>
      <c r="J151" t="str">
        <f>IF($K151="","",IFERROR(INDEX('Veri Merkezi'!$U$2:$U$1001,$K151),""))</f>
        <v/>
      </c>
      <c r="K151" t="str">
        <f>IF(K150="","",IFERROR(K150+MATCH("B Liste",INDEX('Veri Merkezi'!$S$2:$S$1001,K150+1):'Veri Merkezi'!$S$1001,0),""))</f>
        <v/>
      </c>
    </row>
    <row r="152" spans="1:11">
      <c r="A152" t="str">
        <f>IF($K152="","",IFERROR(INDEX('Veri Merkezi'!$A$2:$A$1001,$K152),""))</f>
        <v/>
      </c>
      <c r="B152" t="str">
        <f>IF($K152="","",IFERROR(INDEX('Veri Merkezi'!$E$2:$E$1001,$K152),""))</f>
        <v/>
      </c>
      <c r="C152" t="str">
        <f>IF($K152="","",IFERROR(INDEX('Veri Merkezi'!$D$2:$D$1001,$K152),""))</f>
        <v/>
      </c>
      <c r="D152" t="str">
        <f>IF($K152="","",IFERROR(INDEX('Veri Merkezi'!$F$2:$F$1001,$K152),""))</f>
        <v/>
      </c>
      <c r="E152" s="2" t="str">
        <f>IF($K152="","",IFERROR(INDEX('Veri Merkezi'!$G$2:$G$1001,$K152),""))</f>
        <v/>
      </c>
      <c r="F152" t="str">
        <f>IF($K152="","",IFERROR(INDEX('Veri Merkezi'!$H$2:$H$1001,$K152),""))</f>
        <v/>
      </c>
      <c r="G152" t="str">
        <f>IF($K152="","",IFERROR(INDEX('Veri Merkezi'!$R$2:$R$1001,$K152),""))</f>
        <v/>
      </c>
      <c r="H152" t="str">
        <f>IF($K152="","",IFERROR(INDEX('Veri Merkezi'!$S$2:$S$1001,$K152),""))</f>
        <v/>
      </c>
      <c r="I152" s="2" t="str">
        <f>IF($K152="","",IFERROR(INDEX('Veri Merkezi'!$T$2:$T$1001,$K152),""))</f>
        <v/>
      </c>
      <c r="J152" t="str">
        <f>IF($K152="","",IFERROR(INDEX('Veri Merkezi'!$U$2:$U$1001,$K152),""))</f>
        <v/>
      </c>
      <c r="K152" t="str">
        <f>IF(K151="","",IFERROR(K151+MATCH("B Liste",INDEX('Veri Merkezi'!$S$2:$S$1001,K151+1):'Veri Merkezi'!$S$1001,0),""))</f>
        <v/>
      </c>
    </row>
    <row r="153" spans="1:11">
      <c r="A153" t="str">
        <f>IF($K153="","",IFERROR(INDEX('Veri Merkezi'!$A$2:$A$1001,$K153),""))</f>
        <v/>
      </c>
      <c r="B153" t="str">
        <f>IF($K153="","",IFERROR(INDEX('Veri Merkezi'!$E$2:$E$1001,$K153),""))</f>
        <v/>
      </c>
      <c r="C153" t="str">
        <f>IF($K153="","",IFERROR(INDEX('Veri Merkezi'!$D$2:$D$1001,$K153),""))</f>
        <v/>
      </c>
      <c r="D153" t="str">
        <f>IF($K153="","",IFERROR(INDEX('Veri Merkezi'!$F$2:$F$1001,$K153),""))</f>
        <v/>
      </c>
      <c r="E153" s="2" t="str">
        <f>IF($K153="","",IFERROR(INDEX('Veri Merkezi'!$G$2:$G$1001,$K153),""))</f>
        <v/>
      </c>
      <c r="F153" t="str">
        <f>IF($K153="","",IFERROR(INDEX('Veri Merkezi'!$H$2:$H$1001,$K153),""))</f>
        <v/>
      </c>
      <c r="G153" t="str">
        <f>IF($K153="","",IFERROR(INDEX('Veri Merkezi'!$R$2:$R$1001,$K153),""))</f>
        <v/>
      </c>
      <c r="H153" t="str">
        <f>IF($K153="","",IFERROR(INDEX('Veri Merkezi'!$S$2:$S$1001,$K153),""))</f>
        <v/>
      </c>
      <c r="I153" s="2" t="str">
        <f>IF($K153="","",IFERROR(INDEX('Veri Merkezi'!$T$2:$T$1001,$K153),""))</f>
        <v/>
      </c>
      <c r="J153" t="str">
        <f>IF($K153="","",IFERROR(INDEX('Veri Merkezi'!$U$2:$U$1001,$K153),""))</f>
        <v/>
      </c>
      <c r="K153" t="str">
        <f>IF(K152="","",IFERROR(K152+MATCH("B Liste",INDEX('Veri Merkezi'!$S$2:$S$1001,K152+1):'Veri Merkezi'!$S$1001,0),""))</f>
        <v/>
      </c>
    </row>
    <row r="154" spans="1:11">
      <c r="A154" t="str">
        <f>IF($K154="","",IFERROR(INDEX('Veri Merkezi'!$A$2:$A$1001,$K154),""))</f>
        <v/>
      </c>
      <c r="B154" t="str">
        <f>IF($K154="","",IFERROR(INDEX('Veri Merkezi'!$E$2:$E$1001,$K154),""))</f>
        <v/>
      </c>
      <c r="C154" t="str">
        <f>IF($K154="","",IFERROR(INDEX('Veri Merkezi'!$D$2:$D$1001,$K154),""))</f>
        <v/>
      </c>
      <c r="D154" t="str">
        <f>IF($K154="","",IFERROR(INDEX('Veri Merkezi'!$F$2:$F$1001,$K154),""))</f>
        <v/>
      </c>
      <c r="E154" s="2" t="str">
        <f>IF($K154="","",IFERROR(INDEX('Veri Merkezi'!$G$2:$G$1001,$K154),""))</f>
        <v/>
      </c>
      <c r="F154" t="str">
        <f>IF($K154="","",IFERROR(INDEX('Veri Merkezi'!$H$2:$H$1001,$K154),""))</f>
        <v/>
      </c>
      <c r="G154" t="str">
        <f>IF($K154="","",IFERROR(INDEX('Veri Merkezi'!$R$2:$R$1001,$K154),""))</f>
        <v/>
      </c>
      <c r="H154" t="str">
        <f>IF($K154="","",IFERROR(INDEX('Veri Merkezi'!$S$2:$S$1001,$K154),""))</f>
        <v/>
      </c>
      <c r="I154" s="2" t="str">
        <f>IF($K154="","",IFERROR(INDEX('Veri Merkezi'!$T$2:$T$1001,$K154),""))</f>
        <v/>
      </c>
      <c r="J154" t="str">
        <f>IF($K154="","",IFERROR(INDEX('Veri Merkezi'!$U$2:$U$1001,$K154),""))</f>
        <v/>
      </c>
      <c r="K154" t="str">
        <f>IF(K153="","",IFERROR(K153+MATCH("B Liste",INDEX('Veri Merkezi'!$S$2:$S$1001,K153+1):'Veri Merkezi'!$S$1001,0),""))</f>
        <v/>
      </c>
    </row>
    <row r="155" spans="1:11">
      <c r="A155" t="str">
        <f>IF($K155="","",IFERROR(INDEX('Veri Merkezi'!$A$2:$A$1001,$K155),""))</f>
        <v/>
      </c>
      <c r="B155" t="str">
        <f>IF($K155="","",IFERROR(INDEX('Veri Merkezi'!$E$2:$E$1001,$K155),""))</f>
        <v/>
      </c>
      <c r="C155" t="str">
        <f>IF($K155="","",IFERROR(INDEX('Veri Merkezi'!$D$2:$D$1001,$K155),""))</f>
        <v/>
      </c>
      <c r="D155" t="str">
        <f>IF($K155="","",IFERROR(INDEX('Veri Merkezi'!$F$2:$F$1001,$K155),""))</f>
        <v/>
      </c>
      <c r="E155" s="2" t="str">
        <f>IF($K155="","",IFERROR(INDEX('Veri Merkezi'!$G$2:$G$1001,$K155),""))</f>
        <v/>
      </c>
      <c r="F155" t="str">
        <f>IF($K155="","",IFERROR(INDEX('Veri Merkezi'!$H$2:$H$1001,$K155),""))</f>
        <v/>
      </c>
      <c r="G155" t="str">
        <f>IF($K155="","",IFERROR(INDEX('Veri Merkezi'!$R$2:$R$1001,$K155),""))</f>
        <v/>
      </c>
      <c r="H155" t="str">
        <f>IF($K155="","",IFERROR(INDEX('Veri Merkezi'!$S$2:$S$1001,$K155),""))</f>
        <v/>
      </c>
      <c r="I155" s="2" t="str">
        <f>IF($K155="","",IFERROR(INDEX('Veri Merkezi'!$T$2:$T$1001,$K155),""))</f>
        <v/>
      </c>
      <c r="J155" t="str">
        <f>IF($K155="","",IFERROR(INDEX('Veri Merkezi'!$U$2:$U$1001,$K155),""))</f>
        <v/>
      </c>
      <c r="K155" t="str">
        <f>IF(K154="","",IFERROR(K154+MATCH("B Liste",INDEX('Veri Merkezi'!$S$2:$S$1001,K154+1):'Veri Merkezi'!$S$1001,0),""))</f>
        <v/>
      </c>
    </row>
    <row r="156" spans="1:11">
      <c r="A156" t="str">
        <f>IF($K156="","",IFERROR(INDEX('Veri Merkezi'!$A$2:$A$1001,$K156),""))</f>
        <v/>
      </c>
      <c r="B156" t="str">
        <f>IF($K156="","",IFERROR(INDEX('Veri Merkezi'!$E$2:$E$1001,$K156),""))</f>
        <v/>
      </c>
      <c r="C156" t="str">
        <f>IF($K156="","",IFERROR(INDEX('Veri Merkezi'!$D$2:$D$1001,$K156),""))</f>
        <v/>
      </c>
      <c r="D156" t="str">
        <f>IF($K156="","",IFERROR(INDEX('Veri Merkezi'!$F$2:$F$1001,$K156),""))</f>
        <v/>
      </c>
      <c r="E156" s="2" t="str">
        <f>IF($K156="","",IFERROR(INDEX('Veri Merkezi'!$G$2:$G$1001,$K156),""))</f>
        <v/>
      </c>
      <c r="F156" t="str">
        <f>IF($K156="","",IFERROR(INDEX('Veri Merkezi'!$H$2:$H$1001,$K156),""))</f>
        <v/>
      </c>
      <c r="G156" t="str">
        <f>IF($K156="","",IFERROR(INDEX('Veri Merkezi'!$R$2:$R$1001,$K156),""))</f>
        <v/>
      </c>
      <c r="H156" t="str">
        <f>IF($K156="","",IFERROR(INDEX('Veri Merkezi'!$S$2:$S$1001,$K156),""))</f>
        <v/>
      </c>
      <c r="I156" s="2" t="str">
        <f>IF($K156="","",IFERROR(INDEX('Veri Merkezi'!$T$2:$T$1001,$K156),""))</f>
        <v/>
      </c>
      <c r="J156" t="str">
        <f>IF($K156="","",IFERROR(INDEX('Veri Merkezi'!$U$2:$U$1001,$K156),""))</f>
        <v/>
      </c>
      <c r="K156" t="str">
        <f>IF(K155="","",IFERROR(K155+MATCH("B Liste",INDEX('Veri Merkezi'!$S$2:$S$1001,K155+1):'Veri Merkezi'!$S$1001,0),""))</f>
        <v/>
      </c>
    </row>
    <row r="157" spans="1:11">
      <c r="A157" t="str">
        <f>IF($K157="","",IFERROR(INDEX('Veri Merkezi'!$A$2:$A$1001,$K157),""))</f>
        <v/>
      </c>
      <c r="B157" t="str">
        <f>IF($K157="","",IFERROR(INDEX('Veri Merkezi'!$E$2:$E$1001,$K157),""))</f>
        <v/>
      </c>
      <c r="C157" t="str">
        <f>IF($K157="","",IFERROR(INDEX('Veri Merkezi'!$D$2:$D$1001,$K157),""))</f>
        <v/>
      </c>
      <c r="D157" t="str">
        <f>IF($K157="","",IFERROR(INDEX('Veri Merkezi'!$F$2:$F$1001,$K157),""))</f>
        <v/>
      </c>
      <c r="E157" s="2" t="str">
        <f>IF($K157="","",IFERROR(INDEX('Veri Merkezi'!$G$2:$G$1001,$K157),""))</f>
        <v/>
      </c>
      <c r="F157" t="str">
        <f>IF($K157="","",IFERROR(INDEX('Veri Merkezi'!$H$2:$H$1001,$K157),""))</f>
        <v/>
      </c>
      <c r="G157" t="str">
        <f>IF($K157="","",IFERROR(INDEX('Veri Merkezi'!$R$2:$R$1001,$K157),""))</f>
        <v/>
      </c>
      <c r="H157" t="str">
        <f>IF($K157="","",IFERROR(INDEX('Veri Merkezi'!$S$2:$S$1001,$K157),""))</f>
        <v/>
      </c>
      <c r="I157" s="2" t="str">
        <f>IF($K157="","",IFERROR(INDEX('Veri Merkezi'!$T$2:$T$1001,$K157),""))</f>
        <v/>
      </c>
      <c r="J157" t="str">
        <f>IF($K157="","",IFERROR(INDEX('Veri Merkezi'!$U$2:$U$1001,$K157),""))</f>
        <v/>
      </c>
      <c r="K157" t="str">
        <f>IF(K156="","",IFERROR(K156+MATCH("B Liste",INDEX('Veri Merkezi'!$S$2:$S$1001,K156+1):'Veri Merkezi'!$S$1001,0),""))</f>
        <v/>
      </c>
    </row>
    <row r="158" spans="1:11">
      <c r="A158" t="str">
        <f>IF($K158="","",IFERROR(INDEX('Veri Merkezi'!$A$2:$A$1001,$K158),""))</f>
        <v/>
      </c>
      <c r="B158" t="str">
        <f>IF($K158="","",IFERROR(INDEX('Veri Merkezi'!$E$2:$E$1001,$K158),""))</f>
        <v/>
      </c>
      <c r="C158" t="str">
        <f>IF($K158="","",IFERROR(INDEX('Veri Merkezi'!$D$2:$D$1001,$K158),""))</f>
        <v/>
      </c>
      <c r="D158" t="str">
        <f>IF($K158="","",IFERROR(INDEX('Veri Merkezi'!$F$2:$F$1001,$K158),""))</f>
        <v/>
      </c>
      <c r="E158" s="2" t="str">
        <f>IF($K158="","",IFERROR(INDEX('Veri Merkezi'!$G$2:$G$1001,$K158),""))</f>
        <v/>
      </c>
      <c r="F158" t="str">
        <f>IF($K158="","",IFERROR(INDEX('Veri Merkezi'!$H$2:$H$1001,$K158),""))</f>
        <v/>
      </c>
      <c r="G158" t="str">
        <f>IF($K158="","",IFERROR(INDEX('Veri Merkezi'!$R$2:$R$1001,$K158),""))</f>
        <v/>
      </c>
      <c r="H158" t="str">
        <f>IF($K158="","",IFERROR(INDEX('Veri Merkezi'!$S$2:$S$1001,$K158),""))</f>
        <v/>
      </c>
      <c r="I158" s="2" t="str">
        <f>IF($K158="","",IFERROR(INDEX('Veri Merkezi'!$T$2:$T$1001,$K158),""))</f>
        <v/>
      </c>
      <c r="J158" t="str">
        <f>IF($K158="","",IFERROR(INDEX('Veri Merkezi'!$U$2:$U$1001,$K158),""))</f>
        <v/>
      </c>
      <c r="K158" t="str">
        <f>IF(K157="","",IFERROR(K157+MATCH("B Liste",INDEX('Veri Merkezi'!$S$2:$S$1001,K157+1):'Veri Merkezi'!$S$1001,0),""))</f>
        <v/>
      </c>
    </row>
    <row r="159" spans="1:11">
      <c r="A159" t="str">
        <f>IF($K159="","",IFERROR(INDEX('Veri Merkezi'!$A$2:$A$1001,$K159),""))</f>
        <v/>
      </c>
      <c r="B159" t="str">
        <f>IF($K159="","",IFERROR(INDEX('Veri Merkezi'!$E$2:$E$1001,$K159),""))</f>
        <v/>
      </c>
      <c r="C159" t="str">
        <f>IF($K159="","",IFERROR(INDEX('Veri Merkezi'!$D$2:$D$1001,$K159),""))</f>
        <v/>
      </c>
      <c r="D159" t="str">
        <f>IF($K159="","",IFERROR(INDEX('Veri Merkezi'!$F$2:$F$1001,$K159),""))</f>
        <v/>
      </c>
      <c r="E159" s="2" t="str">
        <f>IF($K159="","",IFERROR(INDEX('Veri Merkezi'!$G$2:$G$1001,$K159),""))</f>
        <v/>
      </c>
      <c r="F159" t="str">
        <f>IF($K159="","",IFERROR(INDEX('Veri Merkezi'!$H$2:$H$1001,$K159),""))</f>
        <v/>
      </c>
      <c r="G159" t="str">
        <f>IF($K159="","",IFERROR(INDEX('Veri Merkezi'!$R$2:$R$1001,$K159),""))</f>
        <v/>
      </c>
      <c r="H159" t="str">
        <f>IF($K159="","",IFERROR(INDEX('Veri Merkezi'!$S$2:$S$1001,$K159),""))</f>
        <v/>
      </c>
      <c r="I159" s="2" t="str">
        <f>IF($K159="","",IFERROR(INDEX('Veri Merkezi'!$T$2:$T$1001,$K159),""))</f>
        <v/>
      </c>
      <c r="J159" t="str">
        <f>IF($K159="","",IFERROR(INDEX('Veri Merkezi'!$U$2:$U$1001,$K159),""))</f>
        <v/>
      </c>
      <c r="K159" t="str">
        <f>IF(K158="","",IFERROR(K158+MATCH("B Liste",INDEX('Veri Merkezi'!$S$2:$S$1001,K158+1):'Veri Merkezi'!$S$1001,0),""))</f>
        <v/>
      </c>
    </row>
    <row r="160" spans="1:11">
      <c r="A160" t="str">
        <f>IF($K160="","",IFERROR(INDEX('Veri Merkezi'!$A$2:$A$1001,$K160),""))</f>
        <v/>
      </c>
      <c r="B160" t="str">
        <f>IF($K160="","",IFERROR(INDEX('Veri Merkezi'!$E$2:$E$1001,$K160),""))</f>
        <v/>
      </c>
      <c r="C160" t="str">
        <f>IF($K160="","",IFERROR(INDEX('Veri Merkezi'!$D$2:$D$1001,$K160),""))</f>
        <v/>
      </c>
      <c r="D160" t="str">
        <f>IF($K160="","",IFERROR(INDEX('Veri Merkezi'!$F$2:$F$1001,$K160),""))</f>
        <v/>
      </c>
      <c r="E160" s="2" t="str">
        <f>IF($K160="","",IFERROR(INDEX('Veri Merkezi'!$G$2:$G$1001,$K160),""))</f>
        <v/>
      </c>
      <c r="F160" t="str">
        <f>IF($K160="","",IFERROR(INDEX('Veri Merkezi'!$H$2:$H$1001,$K160),""))</f>
        <v/>
      </c>
      <c r="G160" t="str">
        <f>IF($K160="","",IFERROR(INDEX('Veri Merkezi'!$R$2:$R$1001,$K160),""))</f>
        <v/>
      </c>
      <c r="H160" t="str">
        <f>IF($K160="","",IFERROR(INDEX('Veri Merkezi'!$S$2:$S$1001,$K160),""))</f>
        <v/>
      </c>
      <c r="I160" s="2" t="str">
        <f>IF($K160="","",IFERROR(INDEX('Veri Merkezi'!$T$2:$T$1001,$K160),""))</f>
        <v/>
      </c>
      <c r="J160" t="str">
        <f>IF($K160="","",IFERROR(INDEX('Veri Merkezi'!$U$2:$U$1001,$K160),""))</f>
        <v/>
      </c>
      <c r="K160" t="str">
        <f>IF(K159="","",IFERROR(K159+MATCH("B Liste",INDEX('Veri Merkezi'!$S$2:$S$1001,K159+1):'Veri Merkezi'!$S$1001,0),""))</f>
        <v/>
      </c>
    </row>
    <row r="161" spans="1:11">
      <c r="A161" t="str">
        <f>IF($K161="","",IFERROR(INDEX('Veri Merkezi'!$A$2:$A$1001,$K161),""))</f>
        <v/>
      </c>
      <c r="B161" t="str">
        <f>IF($K161="","",IFERROR(INDEX('Veri Merkezi'!$E$2:$E$1001,$K161),""))</f>
        <v/>
      </c>
      <c r="C161" t="str">
        <f>IF($K161="","",IFERROR(INDEX('Veri Merkezi'!$D$2:$D$1001,$K161),""))</f>
        <v/>
      </c>
      <c r="D161" t="str">
        <f>IF($K161="","",IFERROR(INDEX('Veri Merkezi'!$F$2:$F$1001,$K161),""))</f>
        <v/>
      </c>
      <c r="E161" s="2" t="str">
        <f>IF($K161="","",IFERROR(INDEX('Veri Merkezi'!$G$2:$G$1001,$K161),""))</f>
        <v/>
      </c>
      <c r="F161" t="str">
        <f>IF($K161="","",IFERROR(INDEX('Veri Merkezi'!$H$2:$H$1001,$K161),""))</f>
        <v/>
      </c>
      <c r="G161" t="str">
        <f>IF($K161="","",IFERROR(INDEX('Veri Merkezi'!$R$2:$R$1001,$K161),""))</f>
        <v/>
      </c>
      <c r="H161" t="str">
        <f>IF($K161="","",IFERROR(INDEX('Veri Merkezi'!$S$2:$S$1001,$K161),""))</f>
        <v/>
      </c>
      <c r="I161" s="2" t="str">
        <f>IF($K161="","",IFERROR(INDEX('Veri Merkezi'!$T$2:$T$1001,$K161),""))</f>
        <v/>
      </c>
      <c r="J161" t="str">
        <f>IF($K161="","",IFERROR(INDEX('Veri Merkezi'!$U$2:$U$1001,$K161),""))</f>
        <v/>
      </c>
      <c r="K161" t="str">
        <f>IF(K160="","",IFERROR(K160+MATCH("B Liste",INDEX('Veri Merkezi'!$S$2:$S$1001,K160+1):'Veri Merkezi'!$S$1001,0),""))</f>
        <v/>
      </c>
    </row>
    <row r="162" spans="1:11">
      <c r="A162" t="str">
        <f>IF($K162="","",IFERROR(INDEX('Veri Merkezi'!$A$2:$A$1001,$K162),""))</f>
        <v/>
      </c>
      <c r="B162" t="str">
        <f>IF($K162="","",IFERROR(INDEX('Veri Merkezi'!$E$2:$E$1001,$K162),""))</f>
        <v/>
      </c>
      <c r="C162" t="str">
        <f>IF($K162="","",IFERROR(INDEX('Veri Merkezi'!$D$2:$D$1001,$K162),""))</f>
        <v/>
      </c>
      <c r="D162" t="str">
        <f>IF($K162="","",IFERROR(INDEX('Veri Merkezi'!$F$2:$F$1001,$K162),""))</f>
        <v/>
      </c>
      <c r="E162" s="2" t="str">
        <f>IF($K162="","",IFERROR(INDEX('Veri Merkezi'!$G$2:$G$1001,$K162),""))</f>
        <v/>
      </c>
      <c r="F162" t="str">
        <f>IF($K162="","",IFERROR(INDEX('Veri Merkezi'!$H$2:$H$1001,$K162),""))</f>
        <v/>
      </c>
      <c r="G162" t="str">
        <f>IF($K162="","",IFERROR(INDEX('Veri Merkezi'!$R$2:$R$1001,$K162),""))</f>
        <v/>
      </c>
      <c r="H162" t="str">
        <f>IF($K162="","",IFERROR(INDEX('Veri Merkezi'!$S$2:$S$1001,$K162),""))</f>
        <v/>
      </c>
      <c r="I162" s="2" t="str">
        <f>IF($K162="","",IFERROR(INDEX('Veri Merkezi'!$T$2:$T$1001,$K162),""))</f>
        <v/>
      </c>
      <c r="J162" t="str">
        <f>IF($K162="","",IFERROR(INDEX('Veri Merkezi'!$U$2:$U$1001,$K162),""))</f>
        <v/>
      </c>
      <c r="K162" t="str">
        <f>IF(K161="","",IFERROR(K161+MATCH("B Liste",INDEX('Veri Merkezi'!$S$2:$S$1001,K161+1):'Veri Merkezi'!$S$1001,0),""))</f>
        <v/>
      </c>
    </row>
    <row r="163" spans="1:11">
      <c r="A163" t="str">
        <f>IF($K163="","",IFERROR(INDEX('Veri Merkezi'!$A$2:$A$1001,$K163),""))</f>
        <v/>
      </c>
      <c r="B163" t="str">
        <f>IF($K163="","",IFERROR(INDEX('Veri Merkezi'!$E$2:$E$1001,$K163),""))</f>
        <v/>
      </c>
      <c r="C163" t="str">
        <f>IF($K163="","",IFERROR(INDEX('Veri Merkezi'!$D$2:$D$1001,$K163),""))</f>
        <v/>
      </c>
      <c r="D163" t="str">
        <f>IF($K163="","",IFERROR(INDEX('Veri Merkezi'!$F$2:$F$1001,$K163),""))</f>
        <v/>
      </c>
      <c r="E163" s="2" t="str">
        <f>IF($K163="","",IFERROR(INDEX('Veri Merkezi'!$G$2:$G$1001,$K163),""))</f>
        <v/>
      </c>
      <c r="F163" t="str">
        <f>IF($K163="","",IFERROR(INDEX('Veri Merkezi'!$H$2:$H$1001,$K163),""))</f>
        <v/>
      </c>
      <c r="G163" t="str">
        <f>IF($K163="","",IFERROR(INDEX('Veri Merkezi'!$R$2:$R$1001,$K163),""))</f>
        <v/>
      </c>
      <c r="H163" t="str">
        <f>IF($K163="","",IFERROR(INDEX('Veri Merkezi'!$S$2:$S$1001,$K163),""))</f>
        <v/>
      </c>
      <c r="I163" s="2" t="str">
        <f>IF($K163="","",IFERROR(INDEX('Veri Merkezi'!$T$2:$T$1001,$K163),""))</f>
        <v/>
      </c>
      <c r="J163" t="str">
        <f>IF($K163="","",IFERROR(INDEX('Veri Merkezi'!$U$2:$U$1001,$K163),""))</f>
        <v/>
      </c>
      <c r="K163" t="str">
        <f>IF(K162="","",IFERROR(K162+MATCH("B Liste",INDEX('Veri Merkezi'!$S$2:$S$1001,K162+1):'Veri Merkezi'!$S$1001,0),""))</f>
        <v/>
      </c>
    </row>
    <row r="164" spans="1:11">
      <c r="A164" t="str">
        <f>IF($K164="","",IFERROR(INDEX('Veri Merkezi'!$A$2:$A$1001,$K164),""))</f>
        <v/>
      </c>
      <c r="B164" t="str">
        <f>IF($K164="","",IFERROR(INDEX('Veri Merkezi'!$E$2:$E$1001,$K164),""))</f>
        <v/>
      </c>
      <c r="C164" t="str">
        <f>IF($K164="","",IFERROR(INDEX('Veri Merkezi'!$D$2:$D$1001,$K164),""))</f>
        <v/>
      </c>
      <c r="D164" t="str">
        <f>IF($K164="","",IFERROR(INDEX('Veri Merkezi'!$F$2:$F$1001,$K164),""))</f>
        <v/>
      </c>
      <c r="E164" s="2" t="str">
        <f>IF($K164="","",IFERROR(INDEX('Veri Merkezi'!$G$2:$G$1001,$K164),""))</f>
        <v/>
      </c>
      <c r="F164" t="str">
        <f>IF($K164="","",IFERROR(INDEX('Veri Merkezi'!$H$2:$H$1001,$K164),""))</f>
        <v/>
      </c>
      <c r="G164" t="str">
        <f>IF($K164="","",IFERROR(INDEX('Veri Merkezi'!$R$2:$R$1001,$K164),""))</f>
        <v/>
      </c>
      <c r="H164" t="str">
        <f>IF($K164="","",IFERROR(INDEX('Veri Merkezi'!$S$2:$S$1001,$K164),""))</f>
        <v/>
      </c>
      <c r="I164" s="2" t="str">
        <f>IF($K164="","",IFERROR(INDEX('Veri Merkezi'!$T$2:$T$1001,$K164),""))</f>
        <v/>
      </c>
      <c r="J164" t="str">
        <f>IF($K164="","",IFERROR(INDEX('Veri Merkezi'!$U$2:$U$1001,$K164),""))</f>
        <v/>
      </c>
      <c r="K164" t="str">
        <f>IF(K163="","",IFERROR(K163+MATCH("B Liste",INDEX('Veri Merkezi'!$S$2:$S$1001,K163+1):'Veri Merkezi'!$S$1001,0),""))</f>
        <v/>
      </c>
    </row>
    <row r="165" spans="1:11">
      <c r="A165" t="str">
        <f>IF($K165="","",IFERROR(INDEX('Veri Merkezi'!$A$2:$A$1001,$K165),""))</f>
        <v/>
      </c>
      <c r="B165" t="str">
        <f>IF($K165="","",IFERROR(INDEX('Veri Merkezi'!$E$2:$E$1001,$K165),""))</f>
        <v/>
      </c>
      <c r="C165" t="str">
        <f>IF($K165="","",IFERROR(INDEX('Veri Merkezi'!$D$2:$D$1001,$K165),""))</f>
        <v/>
      </c>
      <c r="D165" t="str">
        <f>IF($K165="","",IFERROR(INDEX('Veri Merkezi'!$F$2:$F$1001,$K165),""))</f>
        <v/>
      </c>
      <c r="E165" s="2" t="str">
        <f>IF($K165="","",IFERROR(INDEX('Veri Merkezi'!$G$2:$G$1001,$K165),""))</f>
        <v/>
      </c>
      <c r="F165" t="str">
        <f>IF($K165="","",IFERROR(INDEX('Veri Merkezi'!$H$2:$H$1001,$K165),""))</f>
        <v/>
      </c>
      <c r="G165" t="str">
        <f>IF($K165="","",IFERROR(INDEX('Veri Merkezi'!$R$2:$R$1001,$K165),""))</f>
        <v/>
      </c>
      <c r="H165" t="str">
        <f>IF($K165="","",IFERROR(INDEX('Veri Merkezi'!$S$2:$S$1001,$K165),""))</f>
        <v/>
      </c>
      <c r="I165" s="2" t="str">
        <f>IF($K165="","",IFERROR(INDEX('Veri Merkezi'!$T$2:$T$1001,$K165),""))</f>
        <v/>
      </c>
      <c r="J165" t="str">
        <f>IF($K165="","",IFERROR(INDEX('Veri Merkezi'!$U$2:$U$1001,$K165),""))</f>
        <v/>
      </c>
      <c r="K165" t="str">
        <f>IF(K164="","",IFERROR(K164+MATCH("B Liste",INDEX('Veri Merkezi'!$S$2:$S$1001,K164+1):'Veri Merkezi'!$S$1001,0),""))</f>
        <v/>
      </c>
    </row>
    <row r="166" spans="1:11">
      <c r="A166" t="str">
        <f>IF($K166="","",IFERROR(INDEX('Veri Merkezi'!$A$2:$A$1001,$K166),""))</f>
        <v/>
      </c>
      <c r="B166" t="str">
        <f>IF($K166="","",IFERROR(INDEX('Veri Merkezi'!$E$2:$E$1001,$K166),""))</f>
        <v/>
      </c>
      <c r="C166" t="str">
        <f>IF($K166="","",IFERROR(INDEX('Veri Merkezi'!$D$2:$D$1001,$K166),""))</f>
        <v/>
      </c>
      <c r="D166" t="str">
        <f>IF($K166="","",IFERROR(INDEX('Veri Merkezi'!$F$2:$F$1001,$K166),""))</f>
        <v/>
      </c>
      <c r="E166" s="2" t="str">
        <f>IF($K166="","",IFERROR(INDEX('Veri Merkezi'!$G$2:$G$1001,$K166),""))</f>
        <v/>
      </c>
      <c r="F166" t="str">
        <f>IF($K166="","",IFERROR(INDEX('Veri Merkezi'!$H$2:$H$1001,$K166),""))</f>
        <v/>
      </c>
      <c r="G166" t="str">
        <f>IF($K166="","",IFERROR(INDEX('Veri Merkezi'!$R$2:$R$1001,$K166),""))</f>
        <v/>
      </c>
      <c r="H166" t="str">
        <f>IF($K166="","",IFERROR(INDEX('Veri Merkezi'!$S$2:$S$1001,$K166),""))</f>
        <v/>
      </c>
      <c r="I166" s="2" t="str">
        <f>IF($K166="","",IFERROR(INDEX('Veri Merkezi'!$T$2:$T$1001,$K166),""))</f>
        <v/>
      </c>
      <c r="J166" t="str">
        <f>IF($K166="","",IFERROR(INDEX('Veri Merkezi'!$U$2:$U$1001,$K166),""))</f>
        <v/>
      </c>
      <c r="K166" t="str">
        <f>IF(K165="","",IFERROR(K165+MATCH("B Liste",INDEX('Veri Merkezi'!$S$2:$S$1001,K165+1):'Veri Merkezi'!$S$1001,0),""))</f>
        <v/>
      </c>
    </row>
    <row r="167" spans="1:11">
      <c r="A167" t="str">
        <f>IF($K167="","",IFERROR(INDEX('Veri Merkezi'!$A$2:$A$1001,$K167),""))</f>
        <v/>
      </c>
      <c r="B167" t="str">
        <f>IF($K167="","",IFERROR(INDEX('Veri Merkezi'!$E$2:$E$1001,$K167),""))</f>
        <v/>
      </c>
      <c r="C167" t="str">
        <f>IF($K167="","",IFERROR(INDEX('Veri Merkezi'!$D$2:$D$1001,$K167),""))</f>
        <v/>
      </c>
      <c r="D167" t="str">
        <f>IF($K167="","",IFERROR(INDEX('Veri Merkezi'!$F$2:$F$1001,$K167),""))</f>
        <v/>
      </c>
      <c r="E167" s="2" t="str">
        <f>IF($K167="","",IFERROR(INDEX('Veri Merkezi'!$G$2:$G$1001,$K167),""))</f>
        <v/>
      </c>
      <c r="F167" t="str">
        <f>IF($K167="","",IFERROR(INDEX('Veri Merkezi'!$H$2:$H$1001,$K167),""))</f>
        <v/>
      </c>
      <c r="G167" t="str">
        <f>IF($K167="","",IFERROR(INDEX('Veri Merkezi'!$R$2:$R$1001,$K167),""))</f>
        <v/>
      </c>
      <c r="H167" t="str">
        <f>IF($K167="","",IFERROR(INDEX('Veri Merkezi'!$S$2:$S$1001,$K167),""))</f>
        <v/>
      </c>
      <c r="I167" s="2" t="str">
        <f>IF($K167="","",IFERROR(INDEX('Veri Merkezi'!$T$2:$T$1001,$K167),""))</f>
        <v/>
      </c>
      <c r="J167" t="str">
        <f>IF($K167="","",IFERROR(INDEX('Veri Merkezi'!$U$2:$U$1001,$K167),""))</f>
        <v/>
      </c>
      <c r="K167" t="str">
        <f>IF(K166="","",IFERROR(K166+MATCH("B Liste",INDEX('Veri Merkezi'!$S$2:$S$1001,K166+1):'Veri Merkezi'!$S$1001,0),""))</f>
        <v/>
      </c>
    </row>
    <row r="168" spans="1:11">
      <c r="A168" t="str">
        <f>IF($K168="","",IFERROR(INDEX('Veri Merkezi'!$A$2:$A$1001,$K168),""))</f>
        <v/>
      </c>
      <c r="B168" t="str">
        <f>IF($K168="","",IFERROR(INDEX('Veri Merkezi'!$E$2:$E$1001,$K168),""))</f>
        <v/>
      </c>
      <c r="C168" t="str">
        <f>IF($K168="","",IFERROR(INDEX('Veri Merkezi'!$D$2:$D$1001,$K168),""))</f>
        <v/>
      </c>
      <c r="D168" t="str">
        <f>IF($K168="","",IFERROR(INDEX('Veri Merkezi'!$F$2:$F$1001,$K168),""))</f>
        <v/>
      </c>
      <c r="E168" s="2" t="str">
        <f>IF($K168="","",IFERROR(INDEX('Veri Merkezi'!$G$2:$G$1001,$K168),""))</f>
        <v/>
      </c>
      <c r="F168" t="str">
        <f>IF($K168="","",IFERROR(INDEX('Veri Merkezi'!$H$2:$H$1001,$K168),""))</f>
        <v/>
      </c>
      <c r="G168" t="str">
        <f>IF($K168="","",IFERROR(INDEX('Veri Merkezi'!$R$2:$R$1001,$K168),""))</f>
        <v/>
      </c>
      <c r="H168" t="str">
        <f>IF($K168="","",IFERROR(INDEX('Veri Merkezi'!$S$2:$S$1001,$K168),""))</f>
        <v/>
      </c>
      <c r="I168" s="2" t="str">
        <f>IF($K168="","",IFERROR(INDEX('Veri Merkezi'!$T$2:$T$1001,$K168),""))</f>
        <v/>
      </c>
      <c r="J168" t="str">
        <f>IF($K168="","",IFERROR(INDEX('Veri Merkezi'!$U$2:$U$1001,$K168),""))</f>
        <v/>
      </c>
      <c r="K168" t="str">
        <f>IF(K167="","",IFERROR(K167+MATCH("B Liste",INDEX('Veri Merkezi'!$S$2:$S$1001,K167+1):'Veri Merkezi'!$S$1001,0),""))</f>
        <v/>
      </c>
    </row>
    <row r="169" spans="1:11">
      <c r="A169" t="str">
        <f>IF($K169="","",IFERROR(INDEX('Veri Merkezi'!$A$2:$A$1001,$K169),""))</f>
        <v/>
      </c>
      <c r="B169" t="str">
        <f>IF($K169="","",IFERROR(INDEX('Veri Merkezi'!$E$2:$E$1001,$K169),""))</f>
        <v/>
      </c>
      <c r="C169" t="str">
        <f>IF($K169="","",IFERROR(INDEX('Veri Merkezi'!$D$2:$D$1001,$K169),""))</f>
        <v/>
      </c>
      <c r="D169" t="str">
        <f>IF($K169="","",IFERROR(INDEX('Veri Merkezi'!$F$2:$F$1001,$K169),""))</f>
        <v/>
      </c>
      <c r="E169" s="2" t="str">
        <f>IF($K169="","",IFERROR(INDEX('Veri Merkezi'!$G$2:$G$1001,$K169),""))</f>
        <v/>
      </c>
      <c r="F169" t="str">
        <f>IF($K169="","",IFERROR(INDEX('Veri Merkezi'!$H$2:$H$1001,$K169),""))</f>
        <v/>
      </c>
      <c r="G169" t="str">
        <f>IF($K169="","",IFERROR(INDEX('Veri Merkezi'!$R$2:$R$1001,$K169),""))</f>
        <v/>
      </c>
      <c r="H169" t="str">
        <f>IF($K169="","",IFERROR(INDEX('Veri Merkezi'!$S$2:$S$1001,$K169),""))</f>
        <v/>
      </c>
      <c r="I169" s="2" t="str">
        <f>IF($K169="","",IFERROR(INDEX('Veri Merkezi'!$T$2:$T$1001,$K169),""))</f>
        <v/>
      </c>
      <c r="J169" t="str">
        <f>IF($K169="","",IFERROR(INDEX('Veri Merkezi'!$U$2:$U$1001,$K169),""))</f>
        <v/>
      </c>
      <c r="K169" t="str">
        <f>IF(K168="","",IFERROR(K168+MATCH("B Liste",INDEX('Veri Merkezi'!$S$2:$S$1001,K168+1):'Veri Merkezi'!$S$1001,0),""))</f>
        <v/>
      </c>
    </row>
    <row r="170" spans="1:11">
      <c r="A170" t="str">
        <f>IF($K170="","",IFERROR(INDEX('Veri Merkezi'!$A$2:$A$1001,$K170),""))</f>
        <v/>
      </c>
      <c r="B170" t="str">
        <f>IF($K170="","",IFERROR(INDEX('Veri Merkezi'!$E$2:$E$1001,$K170),""))</f>
        <v/>
      </c>
      <c r="C170" t="str">
        <f>IF($K170="","",IFERROR(INDEX('Veri Merkezi'!$D$2:$D$1001,$K170),""))</f>
        <v/>
      </c>
      <c r="D170" t="str">
        <f>IF($K170="","",IFERROR(INDEX('Veri Merkezi'!$F$2:$F$1001,$K170),""))</f>
        <v/>
      </c>
      <c r="E170" s="2" t="str">
        <f>IF($K170="","",IFERROR(INDEX('Veri Merkezi'!$G$2:$G$1001,$K170),""))</f>
        <v/>
      </c>
      <c r="F170" t="str">
        <f>IF($K170="","",IFERROR(INDEX('Veri Merkezi'!$H$2:$H$1001,$K170),""))</f>
        <v/>
      </c>
      <c r="G170" t="str">
        <f>IF($K170="","",IFERROR(INDEX('Veri Merkezi'!$R$2:$R$1001,$K170),""))</f>
        <v/>
      </c>
      <c r="H170" t="str">
        <f>IF($K170="","",IFERROR(INDEX('Veri Merkezi'!$S$2:$S$1001,$K170),""))</f>
        <v/>
      </c>
      <c r="I170" s="2" t="str">
        <f>IF($K170="","",IFERROR(INDEX('Veri Merkezi'!$T$2:$T$1001,$K170),""))</f>
        <v/>
      </c>
      <c r="J170" t="str">
        <f>IF($K170="","",IFERROR(INDEX('Veri Merkezi'!$U$2:$U$1001,$K170),""))</f>
        <v/>
      </c>
      <c r="K170" t="str">
        <f>IF(K169="","",IFERROR(K169+MATCH("B Liste",INDEX('Veri Merkezi'!$S$2:$S$1001,K169+1):'Veri Merkezi'!$S$1001,0),""))</f>
        <v/>
      </c>
    </row>
    <row r="171" spans="1:11">
      <c r="A171" t="str">
        <f>IF($K171="","",IFERROR(INDEX('Veri Merkezi'!$A$2:$A$1001,$K171),""))</f>
        <v/>
      </c>
      <c r="B171" t="str">
        <f>IF($K171="","",IFERROR(INDEX('Veri Merkezi'!$E$2:$E$1001,$K171),""))</f>
        <v/>
      </c>
      <c r="C171" t="str">
        <f>IF($K171="","",IFERROR(INDEX('Veri Merkezi'!$D$2:$D$1001,$K171),""))</f>
        <v/>
      </c>
      <c r="D171" t="str">
        <f>IF($K171="","",IFERROR(INDEX('Veri Merkezi'!$F$2:$F$1001,$K171),""))</f>
        <v/>
      </c>
      <c r="E171" s="2" t="str">
        <f>IF($K171="","",IFERROR(INDEX('Veri Merkezi'!$G$2:$G$1001,$K171),""))</f>
        <v/>
      </c>
      <c r="F171" t="str">
        <f>IF($K171="","",IFERROR(INDEX('Veri Merkezi'!$H$2:$H$1001,$K171),""))</f>
        <v/>
      </c>
      <c r="G171" t="str">
        <f>IF($K171="","",IFERROR(INDEX('Veri Merkezi'!$R$2:$R$1001,$K171),""))</f>
        <v/>
      </c>
      <c r="H171" t="str">
        <f>IF($K171="","",IFERROR(INDEX('Veri Merkezi'!$S$2:$S$1001,$K171),""))</f>
        <v/>
      </c>
      <c r="I171" s="2" t="str">
        <f>IF($K171="","",IFERROR(INDEX('Veri Merkezi'!$T$2:$T$1001,$K171),""))</f>
        <v/>
      </c>
      <c r="J171" t="str">
        <f>IF($K171="","",IFERROR(INDEX('Veri Merkezi'!$U$2:$U$1001,$K171),""))</f>
        <v/>
      </c>
      <c r="K171" t="str">
        <f>IF(K170="","",IFERROR(K170+MATCH("B Liste",INDEX('Veri Merkezi'!$S$2:$S$1001,K170+1):'Veri Merkezi'!$S$1001,0),""))</f>
        <v/>
      </c>
    </row>
    <row r="172" spans="1:11">
      <c r="A172" t="str">
        <f>IF($K172="","",IFERROR(INDEX('Veri Merkezi'!$A$2:$A$1001,$K172),""))</f>
        <v/>
      </c>
      <c r="B172" t="str">
        <f>IF($K172="","",IFERROR(INDEX('Veri Merkezi'!$E$2:$E$1001,$K172),""))</f>
        <v/>
      </c>
      <c r="C172" t="str">
        <f>IF($K172="","",IFERROR(INDEX('Veri Merkezi'!$D$2:$D$1001,$K172),""))</f>
        <v/>
      </c>
      <c r="D172" t="str">
        <f>IF($K172="","",IFERROR(INDEX('Veri Merkezi'!$F$2:$F$1001,$K172),""))</f>
        <v/>
      </c>
      <c r="E172" s="2" t="str">
        <f>IF($K172="","",IFERROR(INDEX('Veri Merkezi'!$G$2:$G$1001,$K172),""))</f>
        <v/>
      </c>
      <c r="F172" t="str">
        <f>IF($K172="","",IFERROR(INDEX('Veri Merkezi'!$H$2:$H$1001,$K172),""))</f>
        <v/>
      </c>
      <c r="G172" t="str">
        <f>IF($K172="","",IFERROR(INDEX('Veri Merkezi'!$R$2:$R$1001,$K172),""))</f>
        <v/>
      </c>
      <c r="H172" t="str">
        <f>IF($K172="","",IFERROR(INDEX('Veri Merkezi'!$S$2:$S$1001,$K172),""))</f>
        <v/>
      </c>
      <c r="I172" s="2" t="str">
        <f>IF($K172="","",IFERROR(INDEX('Veri Merkezi'!$T$2:$T$1001,$K172),""))</f>
        <v/>
      </c>
      <c r="J172" t="str">
        <f>IF($K172="","",IFERROR(INDEX('Veri Merkezi'!$U$2:$U$1001,$K172),""))</f>
        <v/>
      </c>
      <c r="K172" t="str">
        <f>IF(K171="","",IFERROR(K171+MATCH("B Liste",INDEX('Veri Merkezi'!$S$2:$S$1001,K171+1):'Veri Merkezi'!$S$1001,0),""))</f>
        <v/>
      </c>
    </row>
    <row r="173" spans="1:11">
      <c r="A173" t="str">
        <f>IF($K173="","",IFERROR(INDEX('Veri Merkezi'!$A$2:$A$1001,$K173),""))</f>
        <v/>
      </c>
      <c r="B173" t="str">
        <f>IF($K173="","",IFERROR(INDEX('Veri Merkezi'!$E$2:$E$1001,$K173),""))</f>
        <v/>
      </c>
      <c r="C173" t="str">
        <f>IF($K173="","",IFERROR(INDEX('Veri Merkezi'!$D$2:$D$1001,$K173),""))</f>
        <v/>
      </c>
      <c r="D173" t="str">
        <f>IF($K173="","",IFERROR(INDEX('Veri Merkezi'!$F$2:$F$1001,$K173),""))</f>
        <v/>
      </c>
      <c r="E173" s="2" t="str">
        <f>IF($K173="","",IFERROR(INDEX('Veri Merkezi'!$G$2:$G$1001,$K173),""))</f>
        <v/>
      </c>
      <c r="F173" t="str">
        <f>IF($K173="","",IFERROR(INDEX('Veri Merkezi'!$H$2:$H$1001,$K173),""))</f>
        <v/>
      </c>
      <c r="G173" t="str">
        <f>IF($K173="","",IFERROR(INDEX('Veri Merkezi'!$R$2:$R$1001,$K173),""))</f>
        <v/>
      </c>
      <c r="H173" t="str">
        <f>IF($K173="","",IFERROR(INDEX('Veri Merkezi'!$S$2:$S$1001,$K173),""))</f>
        <v/>
      </c>
      <c r="I173" s="2" t="str">
        <f>IF($K173="","",IFERROR(INDEX('Veri Merkezi'!$T$2:$T$1001,$K173),""))</f>
        <v/>
      </c>
      <c r="J173" t="str">
        <f>IF($K173="","",IFERROR(INDEX('Veri Merkezi'!$U$2:$U$1001,$K173),""))</f>
        <v/>
      </c>
      <c r="K173" t="str">
        <f>IF(K172="","",IFERROR(K172+MATCH("B Liste",INDEX('Veri Merkezi'!$S$2:$S$1001,K172+1):'Veri Merkezi'!$S$1001,0),""))</f>
        <v/>
      </c>
    </row>
    <row r="174" spans="1:11">
      <c r="A174" t="str">
        <f>IF($K174="","",IFERROR(INDEX('Veri Merkezi'!$A$2:$A$1001,$K174),""))</f>
        <v/>
      </c>
      <c r="B174" t="str">
        <f>IF($K174="","",IFERROR(INDEX('Veri Merkezi'!$E$2:$E$1001,$K174),""))</f>
        <v/>
      </c>
      <c r="C174" t="str">
        <f>IF($K174="","",IFERROR(INDEX('Veri Merkezi'!$D$2:$D$1001,$K174),""))</f>
        <v/>
      </c>
      <c r="D174" t="str">
        <f>IF($K174="","",IFERROR(INDEX('Veri Merkezi'!$F$2:$F$1001,$K174),""))</f>
        <v/>
      </c>
      <c r="E174" s="2" t="str">
        <f>IF($K174="","",IFERROR(INDEX('Veri Merkezi'!$G$2:$G$1001,$K174),""))</f>
        <v/>
      </c>
      <c r="F174" t="str">
        <f>IF($K174="","",IFERROR(INDEX('Veri Merkezi'!$H$2:$H$1001,$K174),""))</f>
        <v/>
      </c>
      <c r="G174" t="str">
        <f>IF($K174="","",IFERROR(INDEX('Veri Merkezi'!$R$2:$R$1001,$K174),""))</f>
        <v/>
      </c>
      <c r="H174" t="str">
        <f>IF($K174="","",IFERROR(INDEX('Veri Merkezi'!$S$2:$S$1001,$K174),""))</f>
        <v/>
      </c>
      <c r="I174" s="2" t="str">
        <f>IF($K174="","",IFERROR(INDEX('Veri Merkezi'!$T$2:$T$1001,$K174),""))</f>
        <v/>
      </c>
      <c r="J174" t="str">
        <f>IF($K174="","",IFERROR(INDEX('Veri Merkezi'!$U$2:$U$1001,$K174),""))</f>
        <v/>
      </c>
      <c r="K174" t="str">
        <f>IF(K173="","",IFERROR(K173+MATCH("B Liste",INDEX('Veri Merkezi'!$S$2:$S$1001,K173+1):'Veri Merkezi'!$S$1001,0),""))</f>
        <v/>
      </c>
    </row>
    <row r="175" spans="1:11">
      <c r="A175" t="str">
        <f>IF($K175="","",IFERROR(INDEX('Veri Merkezi'!$A$2:$A$1001,$K175),""))</f>
        <v/>
      </c>
      <c r="B175" t="str">
        <f>IF($K175="","",IFERROR(INDEX('Veri Merkezi'!$E$2:$E$1001,$K175),""))</f>
        <v/>
      </c>
      <c r="C175" t="str">
        <f>IF($K175="","",IFERROR(INDEX('Veri Merkezi'!$D$2:$D$1001,$K175),""))</f>
        <v/>
      </c>
      <c r="D175" t="str">
        <f>IF($K175="","",IFERROR(INDEX('Veri Merkezi'!$F$2:$F$1001,$K175),""))</f>
        <v/>
      </c>
      <c r="E175" s="2" t="str">
        <f>IF($K175="","",IFERROR(INDEX('Veri Merkezi'!$G$2:$G$1001,$K175),""))</f>
        <v/>
      </c>
      <c r="F175" t="str">
        <f>IF($K175="","",IFERROR(INDEX('Veri Merkezi'!$H$2:$H$1001,$K175),""))</f>
        <v/>
      </c>
      <c r="G175" t="str">
        <f>IF($K175="","",IFERROR(INDEX('Veri Merkezi'!$R$2:$R$1001,$K175),""))</f>
        <v/>
      </c>
      <c r="H175" t="str">
        <f>IF($K175="","",IFERROR(INDEX('Veri Merkezi'!$S$2:$S$1001,$K175),""))</f>
        <v/>
      </c>
      <c r="I175" s="2" t="str">
        <f>IF($K175="","",IFERROR(INDEX('Veri Merkezi'!$T$2:$T$1001,$K175),""))</f>
        <v/>
      </c>
      <c r="J175" t="str">
        <f>IF($K175="","",IFERROR(INDEX('Veri Merkezi'!$U$2:$U$1001,$K175),""))</f>
        <v/>
      </c>
      <c r="K175" t="str">
        <f>IF(K174="","",IFERROR(K174+MATCH("B Liste",INDEX('Veri Merkezi'!$S$2:$S$1001,K174+1):'Veri Merkezi'!$S$1001,0),""))</f>
        <v/>
      </c>
    </row>
    <row r="176" spans="1:11">
      <c r="A176" t="str">
        <f>IF($K176="","",IFERROR(INDEX('Veri Merkezi'!$A$2:$A$1001,$K176),""))</f>
        <v/>
      </c>
      <c r="B176" t="str">
        <f>IF($K176="","",IFERROR(INDEX('Veri Merkezi'!$E$2:$E$1001,$K176),""))</f>
        <v/>
      </c>
      <c r="C176" t="str">
        <f>IF($K176="","",IFERROR(INDEX('Veri Merkezi'!$D$2:$D$1001,$K176),""))</f>
        <v/>
      </c>
      <c r="D176" t="str">
        <f>IF($K176="","",IFERROR(INDEX('Veri Merkezi'!$F$2:$F$1001,$K176),""))</f>
        <v/>
      </c>
      <c r="E176" s="2" t="str">
        <f>IF($K176="","",IFERROR(INDEX('Veri Merkezi'!$G$2:$G$1001,$K176),""))</f>
        <v/>
      </c>
      <c r="F176" t="str">
        <f>IF($K176="","",IFERROR(INDEX('Veri Merkezi'!$H$2:$H$1001,$K176),""))</f>
        <v/>
      </c>
      <c r="G176" t="str">
        <f>IF($K176="","",IFERROR(INDEX('Veri Merkezi'!$R$2:$R$1001,$K176),""))</f>
        <v/>
      </c>
      <c r="H176" t="str">
        <f>IF($K176="","",IFERROR(INDEX('Veri Merkezi'!$S$2:$S$1001,$K176),""))</f>
        <v/>
      </c>
      <c r="I176" s="2" t="str">
        <f>IF($K176="","",IFERROR(INDEX('Veri Merkezi'!$T$2:$T$1001,$K176),""))</f>
        <v/>
      </c>
      <c r="J176" t="str">
        <f>IF($K176="","",IFERROR(INDEX('Veri Merkezi'!$U$2:$U$1001,$K176),""))</f>
        <v/>
      </c>
      <c r="K176" t="str">
        <f>IF(K175="","",IFERROR(K175+MATCH("B Liste",INDEX('Veri Merkezi'!$S$2:$S$1001,K175+1):'Veri Merkezi'!$S$1001,0),""))</f>
        <v/>
      </c>
    </row>
    <row r="177" spans="1:11">
      <c r="A177" t="str">
        <f>IF($K177="","",IFERROR(INDEX('Veri Merkezi'!$A$2:$A$1001,$K177),""))</f>
        <v/>
      </c>
      <c r="B177" t="str">
        <f>IF($K177="","",IFERROR(INDEX('Veri Merkezi'!$E$2:$E$1001,$K177),""))</f>
        <v/>
      </c>
      <c r="C177" t="str">
        <f>IF($K177="","",IFERROR(INDEX('Veri Merkezi'!$D$2:$D$1001,$K177),""))</f>
        <v/>
      </c>
      <c r="D177" t="str">
        <f>IF($K177="","",IFERROR(INDEX('Veri Merkezi'!$F$2:$F$1001,$K177),""))</f>
        <v/>
      </c>
      <c r="E177" s="2" t="str">
        <f>IF($K177="","",IFERROR(INDEX('Veri Merkezi'!$G$2:$G$1001,$K177),""))</f>
        <v/>
      </c>
      <c r="F177" t="str">
        <f>IF($K177="","",IFERROR(INDEX('Veri Merkezi'!$H$2:$H$1001,$K177),""))</f>
        <v/>
      </c>
      <c r="G177" t="str">
        <f>IF($K177="","",IFERROR(INDEX('Veri Merkezi'!$R$2:$R$1001,$K177),""))</f>
        <v/>
      </c>
      <c r="H177" t="str">
        <f>IF($K177="","",IFERROR(INDEX('Veri Merkezi'!$S$2:$S$1001,$K177),""))</f>
        <v/>
      </c>
      <c r="I177" s="2" t="str">
        <f>IF($K177="","",IFERROR(INDEX('Veri Merkezi'!$T$2:$T$1001,$K177),""))</f>
        <v/>
      </c>
      <c r="J177" t="str">
        <f>IF($K177="","",IFERROR(INDEX('Veri Merkezi'!$U$2:$U$1001,$K177),""))</f>
        <v/>
      </c>
      <c r="K177" t="str">
        <f>IF(K176="","",IFERROR(K176+MATCH("B Liste",INDEX('Veri Merkezi'!$S$2:$S$1001,K176+1):'Veri Merkezi'!$S$1001,0),""))</f>
        <v/>
      </c>
    </row>
    <row r="178" spans="1:11">
      <c r="A178" t="str">
        <f>IF($K178="","",IFERROR(INDEX('Veri Merkezi'!$A$2:$A$1001,$K178),""))</f>
        <v/>
      </c>
      <c r="B178" t="str">
        <f>IF($K178="","",IFERROR(INDEX('Veri Merkezi'!$E$2:$E$1001,$K178),""))</f>
        <v/>
      </c>
      <c r="C178" t="str">
        <f>IF($K178="","",IFERROR(INDEX('Veri Merkezi'!$D$2:$D$1001,$K178),""))</f>
        <v/>
      </c>
      <c r="D178" t="str">
        <f>IF($K178="","",IFERROR(INDEX('Veri Merkezi'!$F$2:$F$1001,$K178),""))</f>
        <v/>
      </c>
      <c r="E178" s="2" t="str">
        <f>IF($K178="","",IFERROR(INDEX('Veri Merkezi'!$G$2:$G$1001,$K178),""))</f>
        <v/>
      </c>
      <c r="F178" t="str">
        <f>IF($K178="","",IFERROR(INDEX('Veri Merkezi'!$H$2:$H$1001,$K178),""))</f>
        <v/>
      </c>
      <c r="G178" t="str">
        <f>IF($K178="","",IFERROR(INDEX('Veri Merkezi'!$R$2:$R$1001,$K178),""))</f>
        <v/>
      </c>
      <c r="H178" t="str">
        <f>IF($K178="","",IFERROR(INDEX('Veri Merkezi'!$S$2:$S$1001,$K178),""))</f>
        <v/>
      </c>
      <c r="I178" s="2" t="str">
        <f>IF($K178="","",IFERROR(INDEX('Veri Merkezi'!$T$2:$T$1001,$K178),""))</f>
        <v/>
      </c>
      <c r="J178" t="str">
        <f>IF($K178="","",IFERROR(INDEX('Veri Merkezi'!$U$2:$U$1001,$K178),""))</f>
        <v/>
      </c>
      <c r="K178" t="str">
        <f>IF(K177="","",IFERROR(K177+MATCH("B Liste",INDEX('Veri Merkezi'!$S$2:$S$1001,K177+1):'Veri Merkezi'!$S$1001,0),""))</f>
        <v/>
      </c>
    </row>
    <row r="179" spans="1:11">
      <c r="A179" t="str">
        <f>IF($K179="","",IFERROR(INDEX('Veri Merkezi'!$A$2:$A$1001,$K179),""))</f>
        <v/>
      </c>
      <c r="B179" t="str">
        <f>IF($K179="","",IFERROR(INDEX('Veri Merkezi'!$E$2:$E$1001,$K179),""))</f>
        <v/>
      </c>
      <c r="C179" t="str">
        <f>IF($K179="","",IFERROR(INDEX('Veri Merkezi'!$D$2:$D$1001,$K179),""))</f>
        <v/>
      </c>
      <c r="D179" t="str">
        <f>IF($K179="","",IFERROR(INDEX('Veri Merkezi'!$F$2:$F$1001,$K179),""))</f>
        <v/>
      </c>
      <c r="E179" s="2" t="str">
        <f>IF($K179="","",IFERROR(INDEX('Veri Merkezi'!$G$2:$G$1001,$K179),""))</f>
        <v/>
      </c>
      <c r="F179" t="str">
        <f>IF($K179="","",IFERROR(INDEX('Veri Merkezi'!$H$2:$H$1001,$K179),""))</f>
        <v/>
      </c>
      <c r="G179" t="str">
        <f>IF($K179="","",IFERROR(INDEX('Veri Merkezi'!$R$2:$R$1001,$K179),""))</f>
        <v/>
      </c>
      <c r="H179" t="str">
        <f>IF($K179="","",IFERROR(INDEX('Veri Merkezi'!$S$2:$S$1001,$K179),""))</f>
        <v/>
      </c>
      <c r="I179" s="2" t="str">
        <f>IF($K179="","",IFERROR(INDEX('Veri Merkezi'!$T$2:$T$1001,$K179),""))</f>
        <v/>
      </c>
      <c r="J179" t="str">
        <f>IF($K179="","",IFERROR(INDEX('Veri Merkezi'!$U$2:$U$1001,$K179),""))</f>
        <v/>
      </c>
      <c r="K179" t="str">
        <f>IF(K178="","",IFERROR(K178+MATCH("B Liste",INDEX('Veri Merkezi'!$S$2:$S$1001,K178+1):'Veri Merkezi'!$S$1001,0),""))</f>
        <v/>
      </c>
    </row>
    <row r="180" spans="1:11">
      <c r="A180" t="str">
        <f>IF($K180="","",IFERROR(INDEX('Veri Merkezi'!$A$2:$A$1001,$K180),""))</f>
        <v/>
      </c>
      <c r="B180" t="str">
        <f>IF($K180="","",IFERROR(INDEX('Veri Merkezi'!$E$2:$E$1001,$K180),""))</f>
        <v/>
      </c>
      <c r="C180" t="str">
        <f>IF($K180="","",IFERROR(INDEX('Veri Merkezi'!$D$2:$D$1001,$K180),""))</f>
        <v/>
      </c>
      <c r="D180" t="str">
        <f>IF($K180="","",IFERROR(INDEX('Veri Merkezi'!$F$2:$F$1001,$K180),""))</f>
        <v/>
      </c>
      <c r="E180" s="2" t="str">
        <f>IF($K180="","",IFERROR(INDEX('Veri Merkezi'!$G$2:$G$1001,$K180),""))</f>
        <v/>
      </c>
      <c r="F180" t="str">
        <f>IF($K180="","",IFERROR(INDEX('Veri Merkezi'!$H$2:$H$1001,$K180),""))</f>
        <v/>
      </c>
      <c r="G180" t="str">
        <f>IF($K180="","",IFERROR(INDEX('Veri Merkezi'!$R$2:$R$1001,$K180),""))</f>
        <v/>
      </c>
      <c r="H180" t="str">
        <f>IF($K180="","",IFERROR(INDEX('Veri Merkezi'!$S$2:$S$1001,$K180),""))</f>
        <v/>
      </c>
      <c r="I180" s="2" t="str">
        <f>IF($K180="","",IFERROR(INDEX('Veri Merkezi'!$T$2:$T$1001,$K180),""))</f>
        <v/>
      </c>
      <c r="J180" t="str">
        <f>IF($K180="","",IFERROR(INDEX('Veri Merkezi'!$U$2:$U$1001,$K180),""))</f>
        <v/>
      </c>
      <c r="K180" t="str">
        <f>IF(K179="","",IFERROR(K179+MATCH("B Liste",INDEX('Veri Merkezi'!$S$2:$S$1001,K179+1):'Veri Merkezi'!$S$1001,0),""))</f>
        <v/>
      </c>
    </row>
    <row r="181" spans="1:11">
      <c r="A181" t="str">
        <f>IF($K181="","",IFERROR(INDEX('Veri Merkezi'!$A$2:$A$1001,$K181),""))</f>
        <v/>
      </c>
      <c r="B181" t="str">
        <f>IF($K181="","",IFERROR(INDEX('Veri Merkezi'!$E$2:$E$1001,$K181),""))</f>
        <v/>
      </c>
      <c r="C181" t="str">
        <f>IF($K181="","",IFERROR(INDEX('Veri Merkezi'!$D$2:$D$1001,$K181),""))</f>
        <v/>
      </c>
      <c r="D181" t="str">
        <f>IF($K181="","",IFERROR(INDEX('Veri Merkezi'!$F$2:$F$1001,$K181),""))</f>
        <v/>
      </c>
      <c r="E181" s="2" t="str">
        <f>IF($K181="","",IFERROR(INDEX('Veri Merkezi'!$G$2:$G$1001,$K181),""))</f>
        <v/>
      </c>
      <c r="F181" t="str">
        <f>IF($K181="","",IFERROR(INDEX('Veri Merkezi'!$H$2:$H$1001,$K181),""))</f>
        <v/>
      </c>
      <c r="G181" t="str">
        <f>IF($K181="","",IFERROR(INDEX('Veri Merkezi'!$R$2:$R$1001,$K181),""))</f>
        <v/>
      </c>
      <c r="H181" t="str">
        <f>IF($K181="","",IFERROR(INDEX('Veri Merkezi'!$S$2:$S$1001,$K181),""))</f>
        <v/>
      </c>
      <c r="I181" s="2" t="str">
        <f>IF($K181="","",IFERROR(INDEX('Veri Merkezi'!$T$2:$T$1001,$K181),""))</f>
        <v/>
      </c>
      <c r="J181" t="str">
        <f>IF($K181="","",IFERROR(INDEX('Veri Merkezi'!$U$2:$U$1001,$K181),""))</f>
        <v/>
      </c>
      <c r="K181" t="str">
        <f>IF(K180="","",IFERROR(K180+MATCH("B Liste",INDEX('Veri Merkezi'!$S$2:$S$1001,K180+1):'Veri Merkezi'!$S$1001,0),""))</f>
        <v/>
      </c>
    </row>
    <row r="182" spans="1:11">
      <c r="A182" t="str">
        <f>IF($K182="","",IFERROR(INDEX('Veri Merkezi'!$A$2:$A$1001,$K182),""))</f>
        <v/>
      </c>
      <c r="B182" t="str">
        <f>IF($K182="","",IFERROR(INDEX('Veri Merkezi'!$E$2:$E$1001,$K182),""))</f>
        <v/>
      </c>
      <c r="C182" t="str">
        <f>IF($K182="","",IFERROR(INDEX('Veri Merkezi'!$D$2:$D$1001,$K182),""))</f>
        <v/>
      </c>
      <c r="D182" t="str">
        <f>IF($K182="","",IFERROR(INDEX('Veri Merkezi'!$F$2:$F$1001,$K182),""))</f>
        <v/>
      </c>
      <c r="E182" s="2" t="str">
        <f>IF($K182="","",IFERROR(INDEX('Veri Merkezi'!$G$2:$G$1001,$K182),""))</f>
        <v/>
      </c>
      <c r="F182" t="str">
        <f>IF($K182="","",IFERROR(INDEX('Veri Merkezi'!$H$2:$H$1001,$K182),""))</f>
        <v/>
      </c>
      <c r="G182" t="str">
        <f>IF($K182="","",IFERROR(INDEX('Veri Merkezi'!$R$2:$R$1001,$K182),""))</f>
        <v/>
      </c>
      <c r="H182" t="str">
        <f>IF($K182="","",IFERROR(INDEX('Veri Merkezi'!$S$2:$S$1001,$K182),""))</f>
        <v/>
      </c>
      <c r="I182" s="2" t="str">
        <f>IF($K182="","",IFERROR(INDEX('Veri Merkezi'!$T$2:$T$1001,$K182),""))</f>
        <v/>
      </c>
      <c r="J182" t="str">
        <f>IF($K182="","",IFERROR(INDEX('Veri Merkezi'!$U$2:$U$1001,$K182),""))</f>
        <v/>
      </c>
      <c r="K182" t="str">
        <f>IF(K181="","",IFERROR(K181+MATCH("B Liste",INDEX('Veri Merkezi'!$S$2:$S$1001,K181+1):'Veri Merkezi'!$S$1001,0),""))</f>
        <v/>
      </c>
    </row>
    <row r="183" spans="1:11">
      <c r="A183" t="str">
        <f>IF($K183="","",IFERROR(INDEX('Veri Merkezi'!$A$2:$A$1001,$K183),""))</f>
        <v/>
      </c>
      <c r="B183" t="str">
        <f>IF($K183="","",IFERROR(INDEX('Veri Merkezi'!$E$2:$E$1001,$K183),""))</f>
        <v/>
      </c>
      <c r="C183" t="str">
        <f>IF($K183="","",IFERROR(INDEX('Veri Merkezi'!$D$2:$D$1001,$K183),""))</f>
        <v/>
      </c>
      <c r="D183" t="str">
        <f>IF($K183="","",IFERROR(INDEX('Veri Merkezi'!$F$2:$F$1001,$K183),""))</f>
        <v/>
      </c>
      <c r="E183" s="2" t="str">
        <f>IF($K183="","",IFERROR(INDEX('Veri Merkezi'!$G$2:$G$1001,$K183),""))</f>
        <v/>
      </c>
      <c r="F183" t="str">
        <f>IF($K183="","",IFERROR(INDEX('Veri Merkezi'!$H$2:$H$1001,$K183),""))</f>
        <v/>
      </c>
      <c r="G183" t="str">
        <f>IF($K183="","",IFERROR(INDEX('Veri Merkezi'!$R$2:$R$1001,$K183),""))</f>
        <v/>
      </c>
      <c r="H183" t="str">
        <f>IF($K183="","",IFERROR(INDEX('Veri Merkezi'!$S$2:$S$1001,$K183),""))</f>
        <v/>
      </c>
      <c r="I183" s="2" t="str">
        <f>IF($K183="","",IFERROR(INDEX('Veri Merkezi'!$T$2:$T$1001,$K183),""))</f>
        <v/>
      </c>
      <c r="J183" t="str">
        <f>IF($K183="","",IFERROR(INDEX('Veri Merkezi'!$U$2:$U$1001,$K183),""))</f>
        <v/>
      </c>
      <c r="K183" t="str">
        <f>IF(K182="","",IFERROR(K182+MATCH("B Liste",INDEX('Veri Merkezi'!$S$2:$S$1001,K182+1):'Veri Merkezi'!$S$1001,0),""))</f>
        <v/>
      </c>
    </row>
    <row r="184" spans="1:11">
      <c r="A184" t="str">
        <f>IF($K184="","",IFERROR(INDEX('Veri Merkezi'!$A$2:$A$1001,$K184),""))</f>
        <v/>
      </c>
      <c r="B184" t="str">
        <f>IF($K184="","",IFERROR(INDEX('Veri Merkezi'!$E$2:$E$1001,$K184),""))</f>
        <v/>
      </c>
      <c r="C184" t="str">
        <f>IF($K184="","",IFERROR(INDEX('Veri Merkezi'!$D$2:$D$1001,$K184),""))</f>
        <v/>
      </c>
      <c r="D184" t="str">
        <f>IF($K184="","",IFERROR(INDEX('Veri Merkezi'!$F$2:$F$1001,$K184),""))</f>
        <v/>
      </c>
      <c r="E184" s="2" t="str">
        <f>IF($K184="","",IFERROR(INDEX('Veri Merkezi'!$G$2:$G$1001,$K184),""))</f>
        <v/>
      </c>
      <c r="F184" t="str">
        <f>IF($K184="","",IFERROR(INDEX('Veri Merkezi'!$H$2:$H$1001,$K184),""))</f>
        <v/>
      </c>
      <c r="G184" t="str">
        <f>IF($K184="","",IFERROR(INDEX('Veri Merkezi'!$R$2:$R$1001,$K184),""))</f>
        <v/>
      </c>
      <c r="H184" t="str">
        <f>IF($K184="","",IFERROR(INDEX('Veri Merkezi'!$S$2:$S$1001,$K184),""))</f>
        <v/>
      </c>
      <c r="I184" s="2" t="str">
        <f>IF($K184="","",IFERROR(INDEX('Veri Merkezi'!$T$2:$T$1001,$K184),""))</f>
        <v/>
      </c>
      <c r="J184" t="str">
        <f>IF($K184="","",IFERROR(INDEX('Veri Merkezi'!$U$2:$U$1001,$K184),""))</f>
        <v/>
      </c>
      <c r="K184" t="str">
        <f>IF(K183="","",IFERROR(K183+MATCH("B Liste",INDEX('Veri Merkezi'!$S$2:$S$1001,K183+1):'Veri Merkezi'!$S$1001,0),""))</f>
        <v/>
      </c>
    </row>
    <row r="185" spans="1:11">
      <c r="A185" t="str">
        <f>IF($K185="","",IFERROR(INDEX('Veri Merkezi'!$A$2:$A$1001,$K185),""))</f>
        <v/>
      </c>
      <c r="B185" t="str">
        <f>IF($K185="","",IFERROR(INDEX('Veri Merkezi'!$E$2:$E$1001,$K185),""))</f>
        <v/>
      </c>
      <c r="C185" t="str">
        <f>IF($K185="","",IFERROR(INDEX('Veri Merkezi'!$D$2:$D$1001,$K185),""))</f>
        <v/>
      </c>
      <c r="D185" t="str">
        <f>IF($K185="","",IFERROR(INDEX('Veri Merkezi'!$F$2:$F$1001,$K185),""))</f>
        <v/>
      </c>
      <c r="E185" s="2" t="str">
        <f>IF($K185="","",IFERROR(INDEX('Veri Merkezi'!$G$2:$G$1001,$K185),""))</f>
        <v/>
      </c>
      <c r="F185" t="str">
        <f>IF($K185="","",IFERROR(INDEX('Veri Merkezi'!$H$2:$H$1001,$K185),""))</f>
        <v/>
      </c>
      <c r="G185" t="str">
        <f>IF($K185="","",IFERROR(INDEX('Veri Merkezi'!$R$2:$R$1001,$K185),""))</f>
        <v/>
      </c>
      <c r="H185" t="str">
        <f>IF($K185="","",IFERROR(INDEX('Veri Merkezi'!$S$2:$S$1001,$K185),""))</f>
        <v/>
      </c>
      <c r="I185" s="2" t="str">
        <f>IF($K185="","",IFERROR(INDEX('Veri Merkezi'!$T$2:$T$1001,$K185),""))</f>
        <v/>
      </c>
      <c r="J185" t="str">
        <f>IF($K185="","",IFERROR(INDEX('Veri Merkezi'!$U$2:$U$1001,$K185),""))</f>
        <v/>
      </c>
      <c r="K185" t="str">
        <f>IF(K184="","",IFERROR(K184+MATCH("B Liste",INDEX('Veri Merkezi'!$S$2:$S$1001,K184+1):'Veri Merkezi'!$S$1001,0),""))</f>
        <v/>
      </c>
    </row>
    <row r="186" spans="1:11">
      <c r="A186" t="str">
        <f>IF($K186="","",IFERROR(INDEX('Veri Merkezi'!$A$2:$A$1001,$K186),""))</f>
        <v/>
      </c>
      <c r="B186" t="str">
        <f>IF($K186="","",IFERROR(INDEX('Veri Merkezi'!$E$2:$E$1001,$K186),""))</f>
        <v/>
      </c>
      <c r="C186" t="str">
        <f>IF($K186="","",IFERROR(INDEX('Veri Merkezi'!$D$2:$D$1001,$K186),""))</f>
        <v/>
      </c>
      <c r="D186" t="str">
        <f>IF($K186="","",IFERROR(INDEX('Veri Merkezi'!$F$2:$F$1001,$K186),""))</f>
        <v/>
      </c>
      <c r="E186" s="2" t="str">
        <f>IF($K186="","",IFERROR(INDEX('Veri Merkezi'!$G$2:$G$1001,$K186),""))</f>
        <v/>
      </c>
      <c r="F186" t="str">
        <f>IF($K186="","",IFERROR(INDEX('Veri Merkezi'!$H$2:$H$1001,$K186),""))</f>
        <v/>
      </c>
      <c r="G186" t="str">
        <f>IF($K186="","",IFERROR(INDEX('Veri Merkezi'!$R$2:$R$1001,$K186),""))</f>
        <v/>
      </c>
      <c r="H186" t="str">
        <f>IF($K186="","",IFERROR(INDEX('Veri Merkezi'!$S$2:$S$1001,$K186),""))</f>
        <v/>
      </c>
      <c r="I186" s="2" t="str">
        <f>IF($K186="","",IFERROR(INDEX('Veri Merkezi'!$T$2:$T$1001,$K186),""))</f>
        <v/>
      </c>
      <c r="J186" t="str">
        <f>IF($K186="","",IFERROR(INDEX('Veri Merkezi'!$U$2:$U$1001,$K186),""))</f>
        <v/>
      </c>
      <c r="K186" t="str">
        <f>IF(K185="","",IFERROR(K185+MATCH("B Liste",INDEX('Veri Merkezi'!$S$2:$S$1001,K185+1):'Veri Merkezi'!$S$1001,0),""))</f>
        <v/>
      </c>
    </row>
    <row r="187" spans="1:11">
      <c r="A187" t="str">
        <f>IF($K187="","",IFERROR(INDEX('Veri Merkezi'!$A$2:$A$1001,$K187),""))</f>
        <v/>
      </c>
      <c r="B187" t="str">
        <f>IF($K187="","",IFERROR(INDEX('Veri Merkezi'!$E$2:$E$1001,$K187),""))</f>
        <v/>
      </c>
      <c r="C187" t="str">
        <f>IF($K187="","",IFERROR(INDEX('Veri Merkezi'!$D$2:$D$1001,$K187),""))</f>
        <v/>
      </c>
      <c r="D187" t="str">
        <f>IF($K187="","",IFERROR(INDEX('Veri Merkezi'!$F$2:$F$1001,$K187),""))</f>
        <v/>
      </c>
      <c r="E187" s="2" t="str">
        <f>IF($K187="","",IFERROR(INDEX('Veri Merkezi'!$G$2:$G$1001,$K187),""))</f>
        <v/>
      </c>
      <c r="F187" t="str">
        <f>IF($K187="","",IFERROR(INDEX('Veri Merkezi'!$H$2:$H$1001,$K187),""))</f>
        <v/>
      </c>
      <c r="G187" t="str">
        <f>IF($K187="","",IFERROR(INDEX('Veri Merkezi'!$R$2:$R$1001,$K187),""))</f>
        <v/>
      </c>
      <c r="H187" t="str">
        <f>IF($K187="","",IFERROR(INDEX('Veri Merkezi'!$S$2:$S$1001,$K187),""))</f>
        <v/>
      </c>
      <c r="I187" s="2" t="str">
        <f>IF($K187="","",IFERROR(INDEX('Veri Merkezi'!$T$2:$T$1001,$K187),""))</f>
        <v/>
      </c>
      <c r="J187" t="str">
        <f>IF($K187="","",IFERROR(INDEX('Veri Merkezi'!$U$2:$U$1001,$K187),""))</f>
        <v/>
      </c>
      <c r="K187" t="str">
        <f>IF(K186="","",IFERROR(K186+MATCH("B Liste",INDEX('Veri Merkezi'!$S$2:$S$1001,K186+1):'Veri Merkezi'!$S$1001,0),""))</f>
        <v/>
      </c>
    </row>
    <row r="188" spans="1:11">
      <c r="A188" t="str">
        <f>IF($K188="","",IFERROR(INDEX('Veri Merkezi'!$A$2:$A$1001,$K188),""))</f>
        <v/>
      </c>
      <c r="B188" t="str">
        <f>IF($K188="","",IFERROR(INDEX('Veri Merkezi'!$E$2:$E$1001,$K188),""))</f>
        <v/>
      </c>
      <c r="C188" t="str">
        <f>IF($K188="","",IFERROR(INDEX('Veri Merkezi'!$D$2:$D$1001,$K188),""))</f>
        <v/>
      </c>
      <c r="D188" t="str">
        <f>IF($K188="","",IFERROR(INDEX('Veri Merkezi'!$F$2:$F$1001,$K188),""))</f>
        <v/>
      </c>
      <c r="E188" s="2" t="str">
        <f>IF($K188="","",IFERROR(INDEX('Veri Merkezi'!$G$2:$G$1001,$K188),""))</f>
        <v/>
      </c>
      <c r="F188" t="str">
        <f>IF($K188="","",IFERROR(INDEX('Veri Merkezi'!$H$2:$H$1001,$K188),""))</f>
        <v/>
      </c>
      <c r="G188" t="str">
        <f>IF($K188="","",IFERROR(INDEX('Veri Merkezi'!$R$2:$R$1001,$K188),""))</f>
        <v/>
      </c>
      <c r="H188" t="str">
        <f>IF($K188="","",IFERROR(INDEX('Veri Merkezi'!$S$2:$S$1001,$K188),""))</f>
        <v/>
      </c>
      <c r="I188" s="2" t="str">
        <f>IF($K188="","",IFERROR(INDEX('Veri Merkezi'!$T$2:$T$1001,$K188),""))</f>
        <v/>
      </c>
      <c r="J188" t="str">
        <f>IF($K188="","",IFERROR(INDEX('Veri Merkezi'!$U$2:$U$1001,$K188),""))</f>
        <v/>
      </c>
      <c r="K188" t="str">
        <f>IF(K187="","",IFERROR(K187+MATCH("B Liste",INDEX('Veri Merkezi'!$S$2:$S$1001,K187+1):'Veri Merkezi'!$S$1001,0),""))</f>
        <v/>
      </c>
    </row>
    <row r="189" spans="1:11">
      <c r="A189" t="str">
        <f>IF($K189="","",IFERROR(INDEX('Veri Merkezi'!$A$2:$A$1001,$K189),""))</f>
        <v/>
      </c>
      <c r="B189" t="str">
        <f>IF($K189="","",IFERROR(INDEX('Veri Merkezi'!$E$2:$E$1001,$K189),""))</f>
        <v/>
      </c>
      <c r="C189" t="str">
        <f>IF($K189="","",IFERROR(INDEX('Veri Merkezi'!$D$2:$D$1001,$K189),""))</f>
        <v/>
      </c>
      <c r="D189" t="str">
        <f>IF($K189="","",IFERROR(INDEX('Veri Merkezi'!$F$2:$F$1001,$K189),""))</f>
        <v/>
      </c>
      <c r="E189" s="2" t="str">
        <f>IF($K189="","",IFERROR(INDEX('Veri Merkezi'!$G$2:$G$1001,$K189),""))</f>
        <v/>
      </c>
      <c r="F189" t="str">
        <f>IF($K189="","",IFERROR(INDEX('Veri Merkezi'!$H$2:$H$1001,$K189),""))</f>
        <v/>
      </c>
      <c r="G189" t="str">
        <f>IF($K189="","",IFERROR(INDEX('Veri Merkezi'!$R$2:$R$1001,$K189),""))</f>
        <v/>
      </c>
      <c r="H189" t="str">
        <f>IF($K189="","",IFERROR(INDEX('Veri Merkezi'!$S$2:$S$1001,$K189),""))</f>
        <v/>
      </c>
      <c r="I189" s="2" t="str">
        <f>IF($K189="","",IFERROR(INDEX('Veri Merkezi'!$T$2:$T$1001,$K189),""))</f>
        <v/>
      </c>
      <c r="J189" t="str">
        <f>IF($K189="","",IFERROR(INDEX('Veri Merkezi'!$U$2:$U$1001,$K189),""))</f>
        <v/>
      </c>
      <c r="K189" t="str">
        <f>IF(K188="","",IFERROR(K188+MATCH("B Liste",INDEX('Veri Merkezi'!$S$2:$S$1001,K188+1):'Veri Merkezi'!$S$1001,0),""))</f>
        <v/>
      </c>
    </row>
    <row r="190" spans="1:11">
      <c r="A190" t="str">
        <f>IF($K190="","",IFERROR(INDEX('Veri Merkezi'!$A$2:$A$1001,$K190),""))</f>
        <v/>
      </c>
      <c r="B190" t="str">
        <f>IF($K190="","",IFERROR(INDEX('Veri Merkezi'!$E$2:$E$1001,$K190),""))</f>
        <v/>
      </c>
      <c r="C190" t="str">
        <f>IF($K190="","",IFERROR(INDEX('Veri Merkezi'!$D$2:$D$1001,$K190),""))</f>
        <v/>
      </c>
      <c r="D190" t="str">
        <f>IF($K190="","",IFERROR(INDEX('Veri Merkezi'!$F$2:$F$1001,$K190),""))</f>
        <v/>
      </c>
      <c r="E190" s="2" t="str">
        <f>IF($K190="","",IFERROR(INDEX('Veri Merkezi'!$G$2:$G$1001,$K190),""))</f>
        <v/>
      </c>
      <c r="F190" t="str">
        <f>IF($K190="","",IFERROR(INDEX('Veri Merkezi'!$H$2:$H$1001,$K190),""))</f>
        <v/>
      </c>
      <c r="G190" t="str">
        <f>IF($K190="","",IFERROR(INDEX('Veri Merkezi'!$R$2:$R$1001,$K190),""))</f>
        <v/>
      </c>
      <c r="H190" t="str">
        <f>IF($K190="","",IFERROR(INDEX('Veri Merkezi'!$S$2:$S$1001,$K190),""))</f>
        <v/>
      </c>
      <c r="I190" s="2" t="str">
        <f>IF($K190="","",IFERROR(INDEX('Veri Merkezi'!$T$2:$T$1001,$K190),""))</f>
        <v/>
      </c>
      <c r="J190" t="str">
        <f>IF($K190="","",IFERROR(INDEX('Veri Merkezi'!$U$2:$U$1001,$K190),""))</f>
        <v/>
      </c>
      <c r="K190" t="str">
        <f>IF(K189="","",IFERROR(K189+MATCH("B Liste",INDEX('Veri Merkezi'!$S$2:$S$1001,K189+1):'Veri Merkezi'!$S$1001,0),""))</f>
        <v/>
      </c>
    </row>
    <row r="191" spans="1:11">
      <c r="A191" t="str">
        <f>IF($K191="","",IFERROR(INDEX('Veri Merkezi'!$A$2:$A$1001,$K191),""))</f>
        <v/>
      </c>
      <c r="B191" t="str">
        <f>IF($K191="","",IFERROR(INDEX('Veri Merkezi'!$E$2:$E$1001,$K191),""))</f>
        <v/>
      </c>
      <c r="C191" t="str">
        <f>IF($K191="","",IFERROR(INDEX('Veri Merkezi'!$D$2:$D$1001,$K191),""))</f>
        <v/>
      </c>
      <c r="D191" t="str">
        <f>IF($K191="","",IFERROR(INDEX('Veri Merkezi'!$F$2:$F$1001,$K191),""))</f>
        <v/>
      </c>
      <c r="E191" s="2" t="str">
        <f>IF($K191="","",IFERROR(INDEX('Veri Merkezi'!$G$2:$G$1001,$K191),""))</f>
        <v/>
      </c>
      <c r="F191" t="str">
        <f>IF($K191="","",IFERROR(INDEX('Veri Merkezi'!$H$2:$H$1001,$K191),""))</f>
        <v/>
      </c>
      <c r="G191" t="str">
        <f>IF($K191="","",IFERROR(INDEX('Veri Merkezi'!$R$2:$R$1001,$K191),""))</f>
        <v/>
      </c>
      <c r="H191" t="str">
        <f>IF($K191="","",IFERROR(INDEX('Veri Merkezi'!$S$2:$S$1001,$K191),""))</f>
        <v/>
      </c>
      <c r="I191" s="2" t="str">
        <f>IF($K191="","",IFERROR(INDEX('Veri Merkezi'!$T$2:$T$1001,$K191),""))</f>
        <v/>
      </c>
      <c r="J191" t="str">
        <f>IF($K191="","",IFERROR(INDEX('Veri Merkezi'!$U$2:$U$1001,$K191),""))</f>
        <v/>
      </c>
      <c r="K191" t="str">
        <f>IF(K190="","",IFERROR(K190+MATCH("B Liste",INDEX('Veri Merkezi'!$S$2:$S$1001,K190+1):'Veri Merkezi'!$S$1001,0),""))</f>
        <v/>
      </c>
    </row>
    <row r="192" spans="1:11">
      <c r="A192" t="str">
        <f>IF($K192="","",IFERROR(INDEX('Veri Merkezi'!$A$2:$A$1001,$K192),""))</f>
        <v/>
      </c>
      <c r="B192" t="str">
        <f>IF($K192="","",IFERROR(INDEX('Veri Merkezi'!$E$2:$E$1001,$K192),""))</f>
        <v/>
      </c>
      <c r="C192" t="str">
        <f>IF($K192="","",IFERROR(INDEX('Veri Merkezi'!$D$2:$D$1001,$K192),""))</f>
        <v/>
      </c>
      <c r="D192" t="str">
        <f>IF($K192="","",IFERROR(INDEX('Veri Merkezi'!$F$2:$F$1001,$K192),""))</f>
        <v/>
      </c>
      <c r="E192" s="2" t="str">
        <f>IF($K192="","",IFERROR(INDEX('Veri Merkezi'!$G$2:$G$1001,$K192),""))</f>
        <v/>
      </c>
      <c r="F192" t="str">
        <f>IF($K192="","",IFERROR(INDEX('Veri Merkezi'!$H$2:$H$1001,$K192),""))</f>
        <v/>
      </c>
      <c r="G192" t="str">
        <f>IF($K192="","",IFERROR(INDEX('Veri Merkezi'!$R$2:$R$1001,$K192),""))</f>
        <v/>
      </c>
      <c r="H192" t="str">
        <f>IF($K192="","",IFERROR(INDEX('Veri Merkezi'!$S$2:$S$1001,$K192),""))</f>
        <v/>
      </c>
      <c r="I192" s="2" t="str">
        <f>IF($K192="","",IFERROR(INDEX('Veri Merkezi'!$T$2:$T$1001,$K192),""))</f>
        <v/>
      </c>
      <c r="J192" t="str">
        <f>IF($K192="","",IFERROR(INDEX('Veri Merkezi'!$U$2:$U$1001,$K192),""))</f>
        <v/>
      </c>
      <c r="K192" t="str">
        <f>IF(K191="","",IFERROR(K191+MATCH("B Liste",INDEX('Veri Merkezi'!$S$2:$S$1001,K191+1):'Veri Merkezi'!$S$1001,0),""))</f>
        <v/>
      </c>
    </row>
    <row r="193" spans="1:11">
      <c r="A193" t="str">
        <f>IF($K193="","",IFERROR(INDEX('Veri Merkezi'!$A$2:$A$1001,$K193),""))</f>
        <v/>
      </c>
      <c r="B193" t="str">
        <f>IF($K193="","",IFERROR(INDEX('Veri Merkezi'!$E$2:$E$1001,$K193),""))</f>
        <v/>
      </c>
      <c r="C193" t="str">
        <f>IF($K193="","",IFERROR(INDEX('Veri Merkezi'!$D$2:$D$1001,$K193),""))</f>
        <v/>
      </c>
      <c r="D193" t="str">
        <f>IF($K193="","",IFERROR(INDEX('Veri Merkezi'!$F$2:$F$1001,$K193),""))</f>
        <v/>
      </c>
      <c r="E193" s="2" t="str">
        <f>IF($K193="","",IFERROR(INDEX('Veri Merkezi'!$G$2:$G$1001,$K193),""))</f>
        <v/>
      </c>
      <c r="F193" t="str">
        <f>IF($K193="","",IFERROR(INDEX('Veri Merkezi'!$H$2:$H$1001,$K193),""))</f>
        <v/>
      </c>
      <c r="G193" t="str">
        <f>IF($K193="","",IFERROR(INDEX('Veri Merkezi'!$R$2:$R$1001,$K193),""))</f>
        <v/>
      </c>
      <c r="H193" t="str">
        <f>IF($K193="","",IFERROR(INDEX('Veri Merkezi'!$S$2:$S$1001,$K193),""))</f>
        <v/>
      </c>
      <c r="I193" s="2" t="str">
        <f>IF($K193="","",IFERROR(INDEX('Veri Merkezi'!$T$2:$T$1001,$K193),""))</f>
        <v/>
      </c>
      <c r="J193" t="str">
        <f>IF($K193="","",IFERROR(INDEX('Veri Merkezi'!$U$2:$U$1001,$K193),""))</f>
        <v/>
      </c>
      <c r="K193" t="str">
        <f>IF(K192="","",IFERROR(K192+MATCH("B Liste",INDEX('Veri Merkezi'!$S$2:$S$1001,K192+1):'Veri Merkezi'!$S$1001,0),""))</f>
        <v/>
      </c>
    </row>
    <row r="194" spans="1:11">
      <c r="A194" t="str">
        <f>IF($K194="","",IFERROR(INDEX('Veri Merkezi'!$A$2:$A$1001,$K194),""))</f>
        <v/>
      </c>
      <c r="B194" t="str">
        <f>IF($K194="","",IFERROR(INDEX('Veri Merkezi'!$E$2:$E$1001,$K194),""))</f>
        <v/>
      </c>
      <c r="C194" t="str">
        <f>IF($K194="","",IFERROR(INDEX('Veri Merkezi'!$D$2:$D$1001,$K194),""))</f>
        <v/>
      </c>
      <c r="D194" t="str">
        <f>IF($K194="","",IFERROR(INDEX('Veri Merkezi'!$F$2:$F$1001,$K194),""))</f>
        <v/>
      </c>
      <c r="E194" s="2" t="str">
        <f>IF($K194="","",IFERROR(INDEX('Veri Merkezi'!$G$2:$G$1001,$K194),""))</f>
        <v/>
      </c>
      <c r="F194" t="str">
        <f>IF($K194="","",IFERROR(INDEX('Veri Merkezi'!$H$2:$H$1001,$K194),""))</f>
        <v/>
      </c>
      <c r="G194" t="str">
        <f>IF($K194="","",IFERROR(INDEX('Veri Merkezi'!$R$2:$R$1001,$K194),""))</f>
        <v/>
      </c>
      <c r="H194" t="str">
        <f>IF($K194="","",IFERROR(INDEX('Veri Merkezi'!$S$2:$S$1001,$K194),""))</f>
        <v/>
      </c>
      <c r="I194" s="2" t="str">
        <f>IF($K194="","",IFERROR(INDEX('Veri Merkezi'!$T$2:$T$1001,$K194),""))</f>
        <v/>
      </c>
      <c r="J194" t="str">
        <f>IF($K194="","",IFERROR(INDEX('Veri Merkezi'!$U$2:$U$1001,$K194),""))</f>
        <v/>
      </c>
      <c r="K194" t="str">
        <f>IF(K193="","",IFERROR(K193+MATCH("B Liste",INDEX('Veri Merkezi'!$S$2:$S$1001,K193+1):'Veri Merkezi'!$S$1001,0),""))</f>
        <v/>
      </c>
    </row>
    <row r="195" spans="1:11">
      <c r="A195" t="str">
        <f>IF($K195="","",IFERROR(INDEX('Veri Merkezi'!$A$2:$A$1001,$K195),""))</f>
        <v/>
      </c>
      <c r="B195" t="str">
        <f>IF($K195="","",IFERROR(INDEX('Veri Merkezi'!$E$2:$E$1001,$K195),""))</f>
        <v/>
      </c>
      <c r="C195" t="str">
        <f>IF($K195="","",IFERROR(INDEX('Veri Merkezi'!$D$2:$D$1001,$K195),""))</f>
        <v/>
      </c>
      <c r="D195" t="str">
        <f>IF($K195="","",IFERROR(INDEX('Veri Merkezi'!$F$2:$F$1001,$K195),""))</f>
        <v/>
      </c>
      <c r="E195" s="2" t="str">
        <f>IF($K195="","",IFERROR(INDEX('Veri Merkezi'!$G$2:$G$1001,$K195),""))</f>
        <v/>
      </c>
      <c r="F195" t="str">
        <f>IF($K195="","",IFERROR(INDEX('Veri Merkezi'!$H$2:$H$1001,$K195),""))</f>
        <v/>
      </c>
      <c r="G195" t="str">
        <f>IF($K195="","",IFERROR(INDEX('Veri Merkezi'!$R$2:$R$1001,$K195),""))</f>
        <v/>
      </c>
      <c r="H195" t="str">
        <f>IF($K195="","",IFERROR(INDEX('Veri Merkezi'!$S$2:$S$1001,$K195),""))</f>
        <v/>
      </c>
      <c r="I195" s="2" t="str">
        <f>IF($K195="","",IFERROR(INDEX('Veri Merkezi'!$T$2:$T$1001,$K195),""))</f>
        <v/>
      </c>
      <c r="J195" t="str">
        <f>IF($K195="","",IFERROR(INDEX('Veri Merkezi'!$U$2:$U$1001,$K195),""))</f>
        <v/>
      </c>
      <c r="K195" t="str">
        <f>IF(K194="","",IFERROR(K194+MATCH("B Liste",INDEX('Veri Merkezi'!$S$2:$S$1001,K194+1):'Veri Merkezi'!$S$1001,0),""))</f>
        <v/>
      </c>
    </row>
    <row r="196" spans="1:11">
      <c r="A196" t="str">
        <f>IF($K196="","",IFERROR(INDEX('Veri Merkezi'!$A$2:$A$1001,$K196),""))</f>
        <v/>
      </c>
      <c r="B196" t="str">
        <f>IF($K196="","",IFERROR(INDEX('Veri Merkezi'!$E$2:$E$1001,$K196),""))</f>
        <v/>
      </c>
      <c r="C196" t="str">
        <f>IF($K196="","",IFERROR(INDEX('Veri Merkezi'!$D$2:$D$1001,$K196),""))</f>
        <v/>
      </c>
      <c r="D196" t="str">
        <f>IF($K196="","",IFERROR(INDEX('Veri Merkezi'!$F$2:$F$1001,$K196),""))</f>
        <v/>
      </c>
      <c r="E196" s="2" t="str">
        <f>IF($K196="","",IFERROR(INDEX('Veri Merkezi'!$G$2:$G$1001,$K196),""))</f>
        <v/>
      </c>
      <c r="F196" t="str">
        <f>IF($K196="","",IFERROR(INDEX('Veri Merkezi'!$H$2:$H$1001,$K196),""))</f>
        <v/>
      </c>
      <c r="G196" t="str">
        <f>IF($K196="","",IFERROR(INDEX('Veri Merkezi'!$R$2:$R$1001,$K196),""))</f>
        <v/>
      </c>
      <c r="H196" t="str">
        <f>IF($K196="","",IFERROR(INDEX('Veri Merkezi'!$S$2:$S$1001,$K196),""))</f>
        <v/>
      </c>
      <c r="I196" s="2" t="str">
        <f>IF($K196="","",IFERROR(INDEX('Veri Merkezi'!$T$2:$T$1001,$K196),""))</f>
        <v/>
      </c>
      <c r="J196" t="str">
        <f>IF($K196="","",IFERROR(INDEX('Veri Merkezi'!$U$2:$U$1001,$K196),""))</f>
        <v/>
      </c>
      <c r="K196" t="str">
        <f>IF(K195="","",IFERROR(K195+MATCH("B Liste",INDEX('Veri Merkezi'!$S$2:$S$1001,K195+1):'Veri Merkezi'!$S$1001,0),""))</f>
        <v/>
      </c>
    </row>
    <row r="197" spans="1:11">
      <c r="A197" t="str">
        <f>IF($K197="","",IFERROR(INDEX('Veri Merkezi'!$A$2:$A$1001,$K197),""))</f>
        <v/>
      </c>
      <c r="B197" t="str">
        <f>IF($K197="","",IFERROR(INDEX('Veri Merkezi'!$E$2:$E$1001,$K197),""))</f>
        <v/>
      </c>
      <c r="C197" t="str">
        <f>IF($K197="","",IFERROR(INDEX('Veri Merkezi'!$D$2:$D$1001,$K197),""))</f>
        <v/>
      </c>
      <c r="D197" t="str">
        <f>IF($K197="","",IFERROR(INDEX('Veri Merkezi'!$F$2:$F$1001,$K197),""))</f>
        <v/>
      </c>
      <c r="E197" s="2" t="str">
        <f>IF($K197="","",IFERROR(INDEX('Veri Merkezi'!$G$2:$G$1001,$K197),""))</f>
        <v/>
      </c>
      <c r="F197" t="str">
        <f>IF($K197="","",IFERROR(INDEX('Veri Merkezi'!$H$2:$H$1001,$K197),""))</f>
        <v/>
      </c>
      <c r="G197" t="str">
        <f>IF($K197="","",IFERROR(INDEX('Veri Merkezi'!$R$2:$R$1001,$K197),""))</f>
        <v/>
      </c>
      <c r="H197" t="str">
        <f>IF($K197="","",IFERROR(INDEX('Veri Merkezi'!$S$2:$S$1001,$K197),""))</f>
        <v/>
      </c>
      <c r="I197" s="2" t="str">
        <f>IF($K197="","",IFERROR(INDEX('Veri Merkezi'!$T$2:$T$1001,$K197),""))</f>
        <v/>
      </c>
      <c r="J197" t="str">
        <f>IF($K197="","",IFERROR(INDEX('Veri Merkezi'!$U$2:$U$1001,$K197),""))</f>
        <v/>
      </c>
      <c r="K197" t="str">
        <f>IF(K196="","",IFERROR(K196+MATCH("B Liste",INDEX('Veri Merkezi'!$S$2:$S$1001,K196+1):'Veri Merkezi'!$S$1001,0),""))</f>
        <v/>
      </c>
    </row>
    <row r="198" spans="1:11">
      <c r="A198" t="str">
        <f>IF($K198="","",IFERROR(INDEX('Veri Merkezi'!$A$2:$A$1001,$K198),""))</f>
        <v/>
      </c>
      <c r="B198" t="str">
        <f>IF($K198="","",IFERROR(INDEX('Veri Merkezi'!$E$2:$E$1001,$K198),""))</f>
        <v/>
      </c>
      <c r="C198" t="str">
        <f>IF($K198="","",IFERROR(INDEX('Veri Merkezi'!$D$2:$D$1001,$K198),""))</f>
        <v/>
      </c>
      <c r="D198" t="str">
        <f>IF($K198="","",IFERROR(INDEX('Veri Merkezi'!$F$2:$F$1001,$K198),""))</f>
        <v/>
      </c>
      <c r="E198" s="2" t="str">
        <f>IF($K198="","",IFERROR(INDEX('Veri Merkezi'!$G$2:$G$1001,$K198),""))</f>
        <v/>
      </c>
      <c r="F198" t="str">
        <f>IF($K198="","",IFERROR(INDEX('Veri Merkezi'!$H$2:$H$1001,$K198),""))</f>
        <v/>
      </c>
      <c r="G198" t="str">
        <f>IF($K198="","",IFERROR(INDEX('Veri Merkezi'!$R$2:$R$1001,$K198),""))</f>
        <v/>
      </c>
      <c r="H198" t="str">
        <f>IF($K198="","",IFERROR(INDEX('Veri Merkezi'!$S$2:$S$1001,$K198),""))</f>
        <v/>
      </c>
      <c r="I198" s="2" t="str">
        <f>IF($K198="","",IFERROR(INDEX('Veri Merkezi'!$T$2:$T$1001,$K198),""))</f>
        <v/>
      </c>
      <c r="J198" t="str">
        <f>IF($K198="","",IFERROR(INDEX('Veri Merkezi'!$U$2:$U$1001,$K198),""))</f>
        <v/>
      </c>
      <c r="K198" t="str">
        <f>IF(K197="","",IFERROR(K197+MATCH("B Liste",INDEX('Veri Merkezi'!$S$2:$S$1001,K197+1):'Veri Merkezi'!$S$1001,0),""))</f>
        <v/>
      </c>
    </row>
    <row r="199" spans="1:11">
      <c r="A199" t="str">
        <f>IF($K199="","",IFERROR(INDEX('Veri Merkezi'!$A$2:$A$1001,$K199),""))</f>
        <v/>
      </c>
      <c r="B199" t="str">
        <f>IF($K199="","",IFERROR(INDEX('Veri Merkezi'!$E$2:$E$1001,$K199),""))</f>
        <v/>
      </c>
      <c r="C199" t="str">
        <f>IF($K199="","",IFERROR(INDEX('Veri Merkezi'!$D$2:$D$1001,$K199),""))</f>
        <v/>
      </c>
      <c r="D199" t="str">
        <f>IF($K199="","",IFERROR(INDEX('Veri Merkezi'!$F$2:$F$1001,$K199),""))</f>
        <v/>
      </c>
      <c r="E199" s="2" t="str">
        <f>IF($K199="","",IFERROR(INDEX('Veri Merkezi'!$G$2:$G$1001,$K199),""))</f>
        <v/>
      </c>
      <c r="F199" t="str">
        <f>IF($K199="","",IFERROR(INDEX('Veri Merkezi'!$H$2:$H$1001,$K199),""))</f>
        <v/>
      </c>
      <c r="G199" t="str">
        <f>IF($K199="","",IFERROR(INDEX('Veri Merkezi'!$R$2:$R$1001,$K199),""))</f>
        <v/>
      </c>
      <c r="H199" t="str">
        <f>IF($K199="","",IFERROR(INDEX('Veri Merkezi'!$S$2:$S$1001,$K199),""))</f>
        <v/>
      </c>
      <c r="I199" s="2" t="str">
        <f>IF($K199="","",IFERROR(INDEX('Veri Merkezi'!$T$2:$T$1001,$K199),""))</f>
        <v/>
      </c>
      <c r="J199" t="str">
        <f>IF($K199="","",IFERROR(INDEX('Veri Merkezi'!$U$2:$U$1001,$K199),""))</f>
        <v/>
      </c>
      <c r="K199" t="str">
        <f>IF(K198="","",IFERROR(K198+MATCH("B Liste",INDEX('Veri Merkezi'!$S$2:$S$1001,K198+1):'Veri Merkezi'!$S$1001,0),""))</f>
        <v/>
      </c>
    </row>
    <row r="200" spans="1:11">
      <c r="A200" t="str">
        <f>IF($K200="","",IFERROR(INDEX('Veri Merkezi'!$A$2:$A$1001,$K200),""))</f>
        <v/>
      </c>
      <c r="B200" t="str">
        <f>IF($K200="","",IFERROR(INDEX('Veri Merkezi'!$E$2:$E$1001,$K200),""))</f>
        <v/>
      </c>
      <c r="C200" t="str">
        <f>IF($K200="","",IFERROR(INDEX('Veri Merkezi'!$D$2:$D$1001,$K200),""))</f>
        <v/>
      </c>
      <c r="D200" t="str">
        <f>IF($K200="","",IFERROR(INDEX('Veri Merkezi'!$F$2:$F$1001,$K200),""))</f>
        <v/>
      </c>
      <c r="E200" s="2" t="str">
        <f>IF($K200="","",IFERROR(INDEX('Veri Merkezi'!$G$2:$G$1001,$K200),""))</f>
        <v/>
      </c>
      <c r="F200" t="str">
        <f>IF($K200="","",IFERROR(INDEX('Veri Merkezi'!$H$2:$H$1001,$K200),""))</f>
        <v/>
      </c>
      <c r="G200" t="str">
        <f>IF($K200="","",IFERROR(INDEX('Veri Merkezi'!$R$2:$R$1001,$K200),""))</f>
        <v/>
      </c>
      <c r="H200" t="str">
        <f>IF($K200="","",IFERROR(INDEX('Veri Merkezi'!$S$2:$S$1001,$K200),""))</f>
        <v/>
      </c>
      <c r="I200" s="2" t="str">
        <f>IF($K200="","",IFERROR(INDEX('Veri Merkezi'!$T$2:$T$1001,$K200),""))</f>
        <v/>
      </c>
      <c r="J200" t="str">
        <f>IF($K200="","",IFERROR(INDEX('Veri Merkezi'!$U$2:$U$1001,$K200),""))</f>
        <v/>
      </c>
      <c r="K200" t="str">
        <f>IF(K199="","",IFERROR(K199+MATCH("B Liste",INDEX('Veri Merkezi'!$S$2:$S$1001,K199+1):'Veri Merkezi'!$S$1001,0),""))</f>
        <v/>
      </c>
    </row>
    <row r="201" spans="1:11">
      <c r="A201" t="str">
        <f>IF($K201="","",IFERROR(INDEX('Veri Merkezi'!$A$2:$A$1001,$K201),""))</f>
        <v/>
      </c>
      <c r="B201" t="str">
        <f>IF($K201="","",IFERROR(INDEX('Veri Merkezi'!$E$2:$E$1001,$K201),""))</f>
        <v/>
      </c>
      <c r="C201" t="str">
        <f>IF($K201="","",IFERROR(INDEX('Veri Merkezi'!$D$2:$D$1001,$K201),""))</f>
        <v/>
      </c>
      <c r="D201" t="str">
        <f>IF($K201="","",IFERROR(INDEX('Veri Merkezi'!$F$2:$F$1001,$K201),""))</f>
        <v/>
      </c>
      <c r="E201" s="2" t="str">
        <f>IF($K201="","",IFERROR(INDEX('Veri Merkezi'!$G$2:$G$1001,$K201),""))</f>
        <v/>
      </c>
      <c r="F201" t="str">
        <f>IF($K201="","",IFERROR(INDEX('Veri Merkezi'!$H$2:$H$1001,$K201),""))</f>
        <v/>
      </c>
      <c r="G201" t="str">
        <f>IF($K201="","",IFERROR(INDEX('Veri Merkezi'!$R$2:$R$1001,$K201),""))</f>
        <v/>
      </c>
      <c r="H201" t="str">
        <f>IF($K201="","",IFERROR(INDEX('Veri Merkezi'!$S$2:$S$1001,$K201),""))</f>
        <v/>
      </c>
      <c r="I201" s="2" t="str">
        <f>IF($K201="","",IFERROR(INDEX('Veri Merkezi'!$T$2:$T$1001,$K201),""))</f>
        <v/>
      </c>
      <c r="J201" t="str">
        <f>IF($K201="","",IFERROR(INDEX('Veri Merkezi'!$U$2:$U$1001,$K201),""))</f>
        <v/>
      </c>
      <c r="K201" t="str">
        <f>IF(K200="","",IFERROR(K200+MATCH("B Liste",INDEX('Veri Merkezi'!$S$2:$S$1001,K200+1):'Veri Merkezi'!$S$1001,0),""))</f>
        <v/>
      </c>
    </row>
    <row r="202" spans="1:11">
      <c r="A202" t="str">
        <f>IF($K202="","",IFERROR(INDEX('Veri Merkezi'!$A$2:$A$1001,$K202),""))</f>
        <v/>
      </c>
      <c r="B202" t="str">
        <f>IF($K202="","",IFERROR(INDEX('Veri Merkezi'!$E$2:$E$1001,$K202),""))</f>
        <v/>
      </c>
      <c r="C202" t="str">
        <f>IF($K202="","",IFERROR(INDEX('Veri Merkezi'!$D$2:$D$1001,$K202),""))</f>
        <v/>
      </c>
      <c r="D202" t="str">
        <f>IF($K202="","",IFERROR(INDEX('Veri Merkezi'!$F$2:$F$1001,$K202),""))</f>
        <v/>
      </c>
      <c r="E202" s="2" t="str">
        <f>IF($K202="","",IFERROR(INDEX('Veri Merkezi'!$G$2:$G$1001,$K202),""))</f>
        <v/>
      </c>
      <c r="F202" t="str">
        <f>IF($K202="","",IFERROR(INDEX('Veri Merkezi'!$H$2:$H$1001,$K202),""))</f>
        <v/>
      </c>
      <c r="G202" t="str">
        <f>IF($K202="","",IFERROR(INDEX('Veri Merkezi'!$R$2:$R$1001,$K202),""))</f>
        <v/>
      </c>
      <c r="H202" t="str">
        <f>IF($K202="","",IFERROR(INDEX('Veri Merkezi'!$S$2:$S$1001,$K202),""))</f>
        <v/>
      </c>
      <c r="I202" s="2" t="str">
        <f>IF($K202="","",IFERROR(INDEX('Veri Merkezi'!$T$2:$T$1001,$K202),""))</f>
        <v/>
      </c>
      <c r="J202" t="str">
        <f>IF($K202="","",IFERROR(INDEX('Veri Merkezi'!$U$2:$U$1001,$K202),""))</f>
        <v/>
      </c>
      <c r="K202" t="str">
        <f>IF(K201="","",IFERROR(K201+MATCH("B Liste",INDEX('Veri Merkezi'!$S$2:$S$1001,K201+1):'Veri Merkezi'!$S$1001,0),""))</f>
        <v/>
      </c>
    </row>
    <row r="203" spans="1:11">
      <c r="A203" t="str">
        <f>IF($K203="","",IFERROR(INDEX('Veri Merkezi'!$A$2:$A$1001,$K203),""))</f>
        <v/>
      </c>
      <c r="B203" t="str">
        <f>IF($K203="","",IFERROR(INDEX('Veri Merkezi'!$E$2:$E$1001,$K203),""))</f>
        <v/>
      </c>
      <c r="C203" t="str">
        <f>IF($K203="","",IFERROR(INDEX('Veri Merkezi'!$D$2:$D$1001,$K203),""))</f>
        <v/>
      </c>
      <c r="D203" t="str">
        <f>IF($K203="","",IFERROR(INDEX('Veri Merkezi'!$F$2:$F$1001,$K203),""))</f>
        <v/>
      </c>
      <c r="E203" s="2" t="str">
        <f>IF($K203="","",IFERROR(INDEX('Veri Merkezi'!$G$2:$G$1001,$K203),""))</f>
        <v/>
      </c>
      <c r="F203" t="str">
        <f>IF($K203="","",IFERROR(INDEX('Veri Merkezi'!$H$2:$H$1001,$K203),""))</f>
        <v/>
      </c>
      <c r="G203" t="str">
        <f>IF($K203="","",IFERROR(INDEX('Veri Merkezi'!$R$2:$R$1001,$K203),""))</f>
        <v/>
      </c>
      <c r="H203" t="str">
        <f>IF($K203="","",IFERROR(INDEX('Veri Merkezi'!$S$2:$S$1001,$K203),""))</f>
        <v/>
      </c>
      <c r="I203" s="2" t="str">
        <f>IF($K203="","",IFERROR(INDEX('Veri Merkezi'!$T$2:$T$1001,$K203),""))</f>
        <v/>
      </c>
      <c r="J203" t="str">
        <f>IF($K203="","",IFERROR(INDEX('Veri Merkezi'!$U$2:$U$1001,$K203),""))</f>
        <v/>
      </c>
      <c r="K203" t="str">
        <f>IF(K202="","",IFERROR(K202+MATCH("B Liste",INDEX('Veri Merkezi'!$S$2:$S$1001,K202+1):'Veri Merkezi'!$S$1001,0),""))</f>
        <v/>
      </c>
    </row>
    <row r="204" spans="1:11">
      <c r="A204" t="str">
        <f>IF($K204="","",IFERROR(INDEX('Veri Merkezi'!$A$2:$A$1001,$K204),""))</f>
        <v/>
      </c>
      <c r="B204" t="str">
        <f>IF($K204="","",IFERROR(INDEX('Veri Merkezi'!$E$2:$E$1001,$K204),""))</f>
        <v/>
      </c>
      <c r="C204" t="str">
        <f>IF($K204="","",IFERROR(INDEX('Veri Merkezi'!$D$2:$D$1001,$K204),""))</f>
        <v/>
      </c>
      <c r="D204" t="str">
        <f>IF($K204="","",IFERROR(INDEX('Veri Merkezi'!$F$2:$F$1001,$K204),""))</f>
        <v/>
      </c>
      <c r="E204" s="2" t="str">
        <f>IF($K204="","",IFERROR(INDEX('Veri Merkezi'!$G$2:$G$1001,$K204),""))</f>
        <v/>
      </c>
      <c r="F204" t="str">
        <f>IF($K204="","",IFERROR(INDEX('Veri Merkezi'!$H$2:$H$1001,$K204),""))</f>
        <v/>
      </c>
      <c r="G204" t="str">
        <f>IF($K204="","",IFERROR(INDEX('Veri Merkezi'!$R$2:$R$1001,$K204),""))</f>
        <v/>
      </c>
      <c r="H204" t="str">
        <f>IF($K204="","",IFERROR(INDEX('Veri Merkezi'!$S$2:$S$1001,$K204),""))</f>
        <v/>
      </c>
      <c r="I204" s="2" t="str">
        <f>IF($K204="","",IFERROR(INDEX('Veri Merkezi'!$T$2:$T$1001,$K204),""))</f>
        <v/>
      </c>
      <c r="J204" t="str">
        <f>IF($K204="","",IFERROR(INDEX('Veri Merkezi'!$U$2:$U$1001,$K204),""))</f>
        <v/>
      </c>
      <c r="K204" t="str">
        <f>IF(K203="","",IFERROR(K203+MATCH("B Liste",INDEX('Veri Merkezi'!$S$2:$S$1001,K203+1):'Veri Merkezi'!$S$1001,0),""))</f>
        <v/>
      </c>
    </row>
    <row r="205" spans="1:11">
      <c r="A205" t="str">
        <f>IF($K205="","",IFERROR(INDEX('Veri Merkezi'!$A$2:$A$1001,$K205),""))</f>
        <v/>
      </c>
      <c r="B205" t="str">
        <f>IF($K205="","",IFERROR(INDEX('Veri Merkezi'!$E$2:$E$1001,$K205),""))</f>
        <v/>
      </c>
      <c r="C205" t="str">
        <f>IF($K205="","",IFERROR(INDEX('Veri Merkezi'!$D$2:$D$1001,$K205),""))</f>
        <v/>
      </c>
      <c r="D205" t="str">
        <f>IF($K205="","",IFERROR(INDEX('Veri Merkezi'!$F$2:$F$1001,$K205),""))</f>
        <v/>
      </c>
      <c r="E205" s="2" t="str">
        <f>IF($K205="","",IFERROR(INDEX('Veri Merkezi'!$G$2:$G$1001,$K205),""))</f>
        <v/>
      </c>
      <c r="F205" t="str">
        <f>IF($K205="","",IFERROR(INDEX('Veri Merkezi'!$H$2:$H$1001,$K205),""))</f>
        <v/>
      </c>
      <c r="G205" t="str">
        <f>IF($K205="","",IFERROR(INDEX('Veri Merkezi'!$R$2:$R$1001,$K205),""))</f>
        <v/>
      </c>
      <c r="H205" t="str">
        <f>IF($K205="","",IFERROR(INDEX('Veri Merkezi'!$S$2:$S$1001,$K205),""))</f>
        <v/>
      </c>
      <c r="I205" s="2" t="str">
        <f>IF($K205="","",IFERROR(INDEX('Veri Merkezi'!$T$2:$T$1001,$K205),""))</f>
        <v/>
      </c>
      <c r="J205" t="str">
        <f>IF($K205="","",IFERROR(INDEX('Veri Merkezi'!$U$2:$U$1001,$K205),""))</f>
        <v/>
      </c>
      <c r="K205" t="str">
        <f>IF(K204="","",IFERROR(K204+MATCH("B Liste",INDEX('Veri Merkezi'!$S$2:$S$1001,K204+1):'Veri Merkezi'!$S$1001,0),""))</f>
        <v/>
      </c>
    </row>
    <row r="206" spans="1:11">
      <c r="A206" t="str">
        <f>IF($K206="","",IFERROR(INDEX('Veri Merkezi'!$A$2:$A$1001,$K206),""))</f>
        <v/>
      </c>
      <c r="B206" t="str">
        <f>IF($K206="","",IFERROR(INDEX('Veri Merkezi'!$E$2:$E$1001,$K206),""))</f>
        <v/>
      </c>
      <c r="C206" t="str">
        <f>IF($K206="","",IFERROR(INDEX('Veri Merkezi'!$D$2:$D$1001,$K206),""))</f>
        <v/>
      </c>
      <c r="D206" t="str">
        <f>IF($K206="","",IFERROR(INDEX('Veri Merkezi'!$F$2:$F$1001,$K206),""))</f>
        <v/>
      </c>
      <c r="E206" s="2" t="str">
        <f>IF($K206="","",IFERROR(INDEX('Veri Merkezi'!$G$2:$G$1001,$K206),""))</f>
        <v/>
      </c>
      <c r="F206" t="str">
        <f>IF($K206="","",IFERROR(INDEX('Veri Merkezi'!$H$2:$H$1001,$K206),""))</f>
        <v/>
      </c>
      <c r="G206" t="str">
        <f>IF($K206="","",IFERROR(INDEX('Veri Merkezi'!$R$2:$R$1001,$K206),""))</f>
        <v/>
      </c>
      <c r="H206" t="str">
        <f>IF($K206="","",IFERROR(INDEX('Veri Merkezi'!$S$2:$S$1001,$K206),""))</f>
        <v/>
      </c>
      <c r="I206" s="2" t="str">
        <f>IF($K206="","",IFERROR(INDEX('Veri Merkezi'!$T$2:$T$1001,$K206),""))</f>
        <v/>
      </c>
      <c r="J206" t="str">
        <f>IF($K206="","",IFERROR(INDEX('Veri Merkezi'!$U$2:$U$1001,$K206),""))</f>
        <v/>
      </c>
      <c r="K206" t="str">
        <f>IF(K205="","",IFERROR(K205+MATCH("B Liste",INDEX('Veri Merkezi'!$S$2:$S$1001,K205+1):'Veri Merkezi'!$S$1001,0),""))</f>
        <v/>
      </c>
    </row>
    <row r="207" spans="1:11">
      <c r="A207" t="str">
        <f>IF($K207="","",IFERROR(INDEX('Veri Merkezi'!$A$2:$A$1001,$K207),""))</f>
        <v/>
      </c>
      <c r="B207" t="str">
        <f>IF($K207="","",IFERROR(INDEX('Veri Merkezi'!$E$2:$E$1001,$K207),""))</f>
        <v/>
      </c>
      <c r="C207" t="str">
        <f>IF($K207="","",IFERROR(INDEX('Veri Merkezi'!$D$2:$D$1001,$K207),""))</f>
        <v/>
      </c>
      <c r="D207" t="str">
        <f>IF($K207="","",IFERROR(INDEX('Veri Merkezi'!$F$2:$F$1001,$K207),""))</f>
        <v/>
      </c>
      <c r="E207" s="2" t="str">
        <f>IF($K207="","",IFERROR(INDEX('Veri Merkezi'!$G$2:$G$1001,$K207),""))</f>
        <v/>
      </c>
      <c r="F207" t="str">
        <f>IF($K207="","",IFERROR(INDEX('Veri Merkezi'!$H$2:$H$1001,$K207),""))</f>
        <v/>
      </c>
      <c r="G207" t="str">
        <f>IF($K207="","",IFERROR(INDEX('Veri Merkezi'!$R$2:$R$1001,$K207),""))</f>
        <v/>
      </c>
      <c r="H207" t="str">
        <f>IF($K207="","",IFERROR(INDEX('Veri Merkezi'!$S$2:$S$1001,$K207),""))</f>
        <v/>
      </c>
      <c r="I207" s="2" t="str">
        <f>IF($K207="","",IFERROR(INDEX('Veri Merkezi'!$T$2:$T$1001,$K207),""))</f>
        <v/>
      </c>
      <c r="J207" t="str">
        <f>IF($K207="","",IFERROR(INDEX('Veri Merkezi'!$U$2:$U$1001,$K207),""))</f>
        <v/>
      </c>
      <c r="K207" t="str">
        <f>IF(K206="","",IFERROR(K206+MATCH("B Liste",INDEX('Veri Merkezi'!$S$2:$S$1001,K206+1):'Veri Merkezi'!$S$1001,0),""))</f>
        <v/>
      </c>
    </row>
    <row r="208" spans="1:11">
      <c r="A208" t="str">
        <f>IF($K208="","",IFERROR(INDEX('Veri Merkezi'!$A$2:$A$1001,$K208),""))</f>
        <v/>
      </c>
      <c r="B208" t="str">
        <f>IF($K208="","",IFERROR(INDEX('Veri Merkezi'!$E$2:$E$1001,$K208),""))</f>
        <v/>
      </c>
      <c r="C208" t="str">
        <f>IF($K208="","",IFERROR(INDEX('Veri Merkezi'!$D$2:$D$1001,$K208),""))</f>
        <v/>
      </c>
      <c r="D208" t="str">
        <f>IF($K208="","",IFERROR(INDEX('Veri Merkezi'!$F$2:$F$1001,$K208),""))</f>
        <v/>
      </c>
      <c r="E208" s="2" t="str">
        <f>IF($K208="","",IFERROR(INDEX('Veri Merkezi'!$G$2:$G$1001,$K208),""))</f>
        <v/>
      </c>
      <c r="F208" t="str">
        <f>IF($K208="","",IFERROR(INDEX('Veri Merkezi'!$H$2:$H$1001,$K208),""))</f>
        <v/>
      </c>
      <c r="G208" t="str">
        <f>IF($K208="","",IFERROR(INDEX('Veri Merkezi'!$R$2:$R$1001,$K208),""))</f>
        <v/>
      </c>
      <c r="H208" t="str">
        <f>IF($K208="","",IFERROR(INDEX('Veri Merkezi'!$S$2:$S$1001,$K208),""))</f>
        <v/>
      </c>
      <c r="I208" s="2" t="str">
        <f>IF($K208="","",IFERROR(INDEX('Veri Merkezi'!$T$2:$T$1001,$K208),""))</f>
        <v/>
      </c>
      <c r="J208" t="str">
        <f>IF($K208="","",IFERROR(INDEX('Veri Merkezi'!$U$2:$U$1001,$K208),""))</f>
        <v/>
      </c>
      <c r="K208" t="str">
        <f>IF(K207="","",IFERROR(K207+MATCH("B Liste",INDEX('Veri Merkezi'!$S$2:$S$1001,K207+1):'Veri Merkezi'!$S$1001,0),""))</f>
        <v/>
      </c>
    </row>
    <row r="209" spans="1:11">
      <c r="A209" t="str">
        <f>IF($K209="","",IFERROR(INDEX('Veri Merkezi'!$A$2:$A$1001,$K209),""))</f>
        <v/>
      </c>
      <c r="B209" t="str">
        <f>IF($K209="","",IFERROR(INDEX('Veri Merkezi'!$E$2:$E$1001,$K209),""))</f>
        <v/>
      </c>
      <c r="C209" t="str">
        <f>IF($K209="","",IFERROR(INDEX('Veri Merkezi'!$D$2:$D$1001,$K209),""))</f>
        <v/>
      </c>
      <c r="D209" t="str">
        <f>IF($K209="","",IFERROR(INDEX('Veri Merkezi'!$F$2:$F$1001,$K209),""))</f>
        <v/>
      </c>
      <c r="E209" s="2" t="str">
        <f>IF($K209="","",IFERROR(INDEX('Veri Merkezi'!$G$2:$G$1001,$K209),""))</f>
        <v/>
      </c>
      <c r="F209" t="str">
        <f>IF($K209="","",IFERROR(INDEX('Veri Merkezi'!$H$2:$H$1001,$K209),""))</f>
        <v/>
      </c>
      <c r="G209" t="str">
        <f>IF($K209="","",IFERROR(INDEX('Veri Merkezi'!$R$2:$R$1001,$K209),""))</f>
        <v/>
      </c>
      <c r="H209" t="str">
        <f>IF($K209="","",IFERROR(INDEX('Veri Merkezi'!$S$2:$S$1001,$K209),""))</f>
        <v/>
      </c>
      <c r="I209" s="2" t="str">
        <f>IF($K209="","",IFERROR(INDEX('Veri Merkezi'!$T$2:$T$1001,$K209),""))</f>
        <v/>
      </c>
      <c r="J209" t="str">
        <f>IF($K209="","",IFERROR(INDEX('Veri Merkezi'!$U$2:$U$1001,$K209),""))</f>
        <v/>
      </c>
      <c r="K209" t="str">
        <f>IF(K208="","",IFERROR(K208+MATCH("B Liste",INDEX('Veri Merkezi'!$S$2:$S$1001,K208+1):'Veri Merkezi'!$S$1001,0),""))</f>
        <v/>
      </c>
    </row>
    <row r="210" spans="1:11">
      <c r="A210" t="str">
        <f>IF($K210="","",IFERROR(INDEX('Veri Merkezi'!$A$2:$A$1001,$K210),""))</f>
        <v/>
      </c>
      <c r="B210" t="str">
        <f>IF($K210="","",IFERROR(INDEX('Veri Merkezi'!$E$2:$E$1001,$K210),""))</f>
        <v/>
      </c>
      <c r="C210" t="str">
        <f>IF($K210="","",IFERROR(INDEX('Veri Merkezi'!$D$2:$D$1001,$K210),""))</f>
        <v/>
      </c>
      <c r="D210" t="str">
        <f>IF($K210="","",IFERROR(INDEX('Veri Merkezi'!$F$2:$F$1001,$K210),""))</f>
        <v/>
      </c>
      <c r="E210" s="2" t="str">
        <f>IF($K210="","",IFERROR(INDEX('Veri Merkezi'!$G$2:$G$1001,$K210),""))</f>
        <v/>
      </c>
      <c r="F210" t="str">
        <f>IF($K210="","",IFERROR(INDEX('Veri Merkezi'!$H$2:$H$1001,$K210),""))</f>
        <v/>
      </c>
      <c r="G210" t="str">
        <f>IF($K210="","",IFERROR(INDEX('Veri Merkezi'!$R$2:$R$1001,$K210),""))</f>
        <v/>
      </c>
      <c r="H210" t="str">
        <f>IF($K210="","",IFERROR(INDEX('Veri Merkezi'!$S$2:$S$1001,$K210),""))</f>
        <v/>
      </c>
      <c r="I210" s="2" t="str">
        <f>IF($K210="","",IFERROR(INDEX('Veri Merkezi'!$T$2:$T$1001,$K210),""))</f>
        <v/>
      </c>
      <c r="J210" t="str">
        <f>IF($K210="","",IFERROR(INDEX('Veri Merkezi'!$U$2:$U$1001,$K210),""))</f>
        <v/>
      </c>
      <c r="K210" t="str">
        <f>IF(K209="","",IFERROR(K209+MATCH("B Liste",INDEX('Veri Merkezi'!$S$2:$S$1001,K209+1):'Veri Merkezi'!$S$1001,0),""))</f>
        <v/>
      </c>
    </row>
    <row r="211" spans="1:11">
      <c r="A211" t="str">
        <f>IF($K211="","",IFERROR(INDEX('Veri Merkezi'!$A$2:$A$1001,$K211),""))</f>
        <v/>
      </c>
      <c r="B211" t="str">
        <f>IF($K211="","",IFERROR(INDEX('Veri Merkezi'!$E$2:$E$1001,$K211),""))</f>
        <v/>
      </c>
      <c r="C211" t="str">
        <f>IF($K211="","",IFERROR(INDEX('Veri Merkezi'!$D$2:$D$1001,$K211),""))</f>
        <v/>
      </c>
      <c r="D211" t="str">
        <f>IF($K211="","",IFERROR(INDEX('Veri Merkezi'!$F$2:$F$1001,$K211),""))</f>
        <v/>
      </c>
      <c r="E211" s="2" t="str">
        <f>IF($K211="","",IFERROR(INDEX('Veri Merkezi'!$G$2:$G$1001,$K211),""))</f>
        <v/>
      </c>
      <c r="F211" t="str">
        <f>IF($K211="","",IFERROR(INDEX('Veri Merkezi'!$H$2:$H$1001,$K211),""))</f>
        <v/>
      </c>
      <c r="G211" t="str">
        <f>IF($K211="","",IFERROR(INDEX('Veri Merkezi'!$R$2:$R$1001,$K211),""))</f>
        <v/>
      </c>
      <c r="H211" t="str">
        <f>IF($K211="","",IFERROR(INDEX('Veri Merkezi'!$S$2:$S$1001,$K211),""))</f>
        <v/>
      </c>
      <c r="I211" s="2" t="str">
        <f>IF($K211="","",IFERROR(INDEX('Veri Merkezi'!$T$2:$T$1001,$K211),""))</f>
        <v/>
      </c>
      <c r="J211" t="str">
        <f>IF($K211="","",IFERROR(INDEX('Veri Merkezi'!$U$2:$U$1001,$K211),""))</f>
        <v/>
      </c>
      <c r="K211" t="str">
        <f>IF(K210="","",IFERROR(K210+MATCH("B Liste",INDEX('Veri Merkezi'!$S$2:$S$1001,K210+1):'Veri Merkezi'!$S$1001,0),""))</f>
        <v/>
      </c>
    </row>
    <row r="212" spans="1:11">
      <c r="A212" t="str">
        <f>IF($K212="","",IFERROR(INDEX('Veri Merkezi'!$A$2:$A$1001,$K212),""))</f>
        <v/>
      </c>
      <c r="B212" t="str">
        <f>IF($K212="","",IFERROR(INDEX('Veri Merkezi'!$E$2:$E$1001,$K212),""))</f>
        <v/>
      </c>
      <c r="C212" t="str">
        <f>IF($K212="","",IFERROR(INDEX('Veri Merkezi'!$D$2:$D$1001,$K212),""))</f>
        <v/>
      </c>
      <c r="D212" t="str">
        <f>IF($K212="","",IFERROR(INDEX('Veri Merkezi'!$F$2:$F$1001,$K212),""))</f>
        <v/>
      </c>
      <c r="E212" s="2" t="str">
        <f>IF($K212="","",IFERROR(INDEX('Veri Merkezi'!$G$2:$G$1001,$K212),""))</f>
        <v/>
      </c>
      <c r="F212" t="str">
        <f>IF($K212="","",IFERROR(INDEX('Veri Merkezi'!$H$2:$H$1001,$K212),""))</f>
        <v/>
      </c>
      <c r="G212" t="str">
        <f>IF($K212="","",IFERROR(INDEX('Veri Merkezi'!$R$2:$R$1001,$K212),""))</f>
        <v/>
      </c>
      <c r="H212" t="str">
        <f>IF($K212="","",IFERROR(INDEX('Veri Merkezi'!$S$2:$S$1001,$K212),""))</f>
        <v/>
      </c>
      <c r="I212" s="2" t="str">
        <f>IF($K212="","",IFERROR(INDEX('Veri Merkezi'!$T$2:$T$1001,$K212),""))</f>
        <v/>
      </c>
      <c r="J212" t="str">
        <f>IF($K212="","",IFERROR(INDEX('Veri Merkezi'!$U$2:$U$1001,$K212),""))</f>
        <v/>
      </c>
      <c r="K212" t="str">
        <f>IF(K211="","",IFERROR(K211+MATCH("B Liste",INDEX('Veri Merkezi'!$S$2:$S$1001,K211+1):'Veri Merkezi'!$S$1001,0),""))</f>
        <v/>
      </c>
    </row>
    <row r="213" spans="1:11">
      <c r="A213" t="str">
        <f>IF($K213="","",IFERROR(INDEX('Veri Merkezi'!$A$2:$A$1001,$K213),""))</f>
        <v/>
      </c>
      <c r="B213" t="str">
        <f>IF($K213="","",IFERROR(INDEX('Veri Merkezi'!$E$2:$E$1001,$K213),""))</f>
        <v/>
      </c>
      <c r="C213" t="str">
        <f>IF($K213="","",IFERROR(INDEX('Veri Merkezi'!$D$2:$D$1001,$K213),""))</f>
        <v/>
      </c>
      <c r="D213" t="str">
        <f>IF($K213="","",IFERROR(INDEX('Veri Merkezi'!$F$2:$F$1001,$K213),""))</f>
        <v/>
      </c>
      <c r="E213" s="2" t="str">
        <f>IF($K213="","",IFERROR(INDEX('Veri Merkezi'!$G$2:$G$1001,$K213),""))</f>
        <v/>
      </c>
      <c r="F213" t="str">
        <f>IF($K213="","",IFERROR(INDEX('Veri Merkezi'!$H$2:$H$1001,$K213),""))</f>
        <v/>
      </c>
      <c r="G213" t="str">
        <f>IF($K213="","",IFERROR(INDEX('Veri Merkezi'!$R$2:$R$1001,$K213),""))</f>
        <v/>
      </c>
      <c r="H213" t="str">
        <f>IF($K213="","",IFERROR(INDEX('Veri Merkezi'!$S$2:$S$1001,$K213),""))</f>
        <v/>
      </c>
      <c r="I213" s="2" t="str">
        <f>IF($K213="","",IFERROR(INDEX('Veri Merkezi'!$T$2:$T$1001,$K213),""))</f>
        <v/>
      </c>
      <c r="J213" t="str">
        <f>IF($K213="","",IFERROR(INDEX('Veri Merkezi'!$U$2:$U$1001,$K213),""))</f>
        <v/>
      </c>
      <c r="K213" t="str">
        <f>IF(K212="","",IFERROR(K212+MATCH("B Liste",INDEX('Veri Merkezi'!$S$2:$S$1001,K212+1):'Veri Merkezi'!$S$1001,0),""))</f>
        <v/>
      </c>
    </row>
    <row r="214" spans="1:11">
      <c r="A214" t="str">
        <f>IF($K214="","",IFERROR(INDEX('Veri Merkezi'!$A$2:$A$1001,$K214),""))</f>
        <v/>
      </c>
      <c r="B214" t="str">
        <f>IF($K214="","",IFERROR(INDEX('Veri Merkezi'!$E$2:$E$1001,$K214),""))</f>
        <v/>
      </c>
      <c r="C214" t="str">
        <f>IF($K214="","",IFERROR(INDEX('Veri Merkezi'!$D$2:$D$1001,$K214),""))</f>
        <v/>
      </c>
      <c r="D214" t="str">
        <f>IF($K214="","",IFERROR(INDEX('Veri Merkezi'!$F$2:$F$1001,$K214),""))</f>
        <v/>
      </c>
      <c r="E214" s="2" t="str">
        <f>IF($K214="","",IFERROR(INDEX('Veri Merkezi'!$G$2:$G$1001,$K214),""))</f>
        <v/>
      </c>
      <c r="F214" t="str">
        <f>IF($K214="","",IFERROR(INDEX('Veri Merkezi'!$H$2:$H$1001,$K214),""))</f>
        <v/>
      </c>
      <c r="G214" t="str">
        <f>IF($K214="","",IFERROR(INDEX('Veri Merkezi'!$R$2:$R$1001,$K214),""))</f>
        <v/>
      </c>
      <c r="H214" t="str">
        <f>IF($K214="","",IFERROR(INDEX('Veri Merkezi'!$S$2:$S$1001,$K214),""))</f>
        <v/>
      </c>
      <c r="I214" s="2" t="str">
        <f>IF($K214="","",IFERROR(INDEX('Veri Merkezi'!$T$2:$T$1001,$K214),""))</f>
        <v/>
      </c>
      <c r="J214" t="str">
        <f>IF($K214="","",IFERROR(INDEX('Veri Merkezi'!$U$2:$U$1001,$K214),""))</f>
        <v/>
      </c>
      <c r="K214" t="str">
        <f>IF(K213="","",IFERROR(K213+MATCH("B Liste",INDEX('Veri Merkezi'!$S$2:$S$1001,K213+1):'Veri Merkezi'!$S$1001,0),""))</f>
        <v/>
      </c>
    </row>
    <row r="215" spans="1:11">
      <c r="A215" t="str">
        <f>IF($K215="","",IFERROR(INDEX('Veri Merkezi'!$A$2:$A$1001,$K215),""))</f>
        <v/>
      </c>
      <c r="B215" t="str">
        <f>IF($K215="","",IFERROR(INDEX('Veri Merkezi'!$E$2:$E$1001,$K215),""))</f>
        <v/>
      </c>
      <c r="C215" t="str">
        <f>IF($K215="","",IFERROR(INDEX('Veri Merkezi'!$D$2:$D$1001,$K215),""))</f>
        <v/>
      </c>
      <c r="D215" t="str">
        <f>IF($K215="","",IFERROR(INDEX('Veri Merkezi'!$F$2:$F$1001,$K215),""))</f>
        <v/>
      </c>
      <c r="E215" s="2" t="str">
        <f>IF($K215="","",IFERROR(INDEX('Veri Merkezi'!$G$2:$G$1001,$K215),""))</f>
        <v/>
      </c>
      <c r="F215" t="str">
        <f>IF($K215="","",IFERROR(INDEX('Veri Merkezi'!$H$2:$H$1001,$K215),""))</f>
        <v/>
      </c>
      <c r="G215" t="str">
        <f>IF($K215="","",IFERROR(INDEX('Veri Merkezi'!$R$2:$R$1001,$K215),""))</f>
        <v/>
      </c>
      <c r="H215" t="str">
        <f>IF($K215="","",IFERROR(INDEX('Veri Merkezi'!$S$2:$S$1001,$K215),""))</f>
        <v/>
      </c>
      <c r="I215" s="2" t="str">
        <f>IF($K215="","",IFERROR(INDEX('Veri Merkezi'!$T$2:$T$1001,$K215),""))</f>
        <v/>
      </c>
      <c r="J215" t="str">
        <f>IF($K215="","",IFERROR(INDEX('Veri Merkezi'!$U$2:$U$1001,$K215),""))</f>
        <v/>
      </c>
      <c r="K215" t="str">
        <f>IF(K214="","",IFERROR(K214+MATCH("B Liste",INDEX('Veri Merkezi'!$S$2:$S$1001,K214+1):'Veri Merkezi'!$S$1001,0),""))</f>
        <v/>
      </c>
    </row>
    <row r="216" spans="1:11">
      <c r="A216" t="str">
        <f>IF($K216="","",IFERROR(INDEX('Veri Merkezi'!$A$2:$A$1001,$K216),""))</f>
        <v/>
      </c>
      <c r="B216" t="str">
        <f>IF($K216="","",IFERROR(INDEX('Veri Merkezi'!$E$2:$E$1001,$K216),""))</f>
        <v/>
      </c>
      <c r="C216" t="str">
        <f>IF($K216="","",IFERROR(INDEX('Veri Merkezi'!$D$2:$D$1001,$K216),""))</f>
        <v/>
      </c>
      <c r="D216" t="str">
        <f>IF($K216="","",IFERROR(INDEX('Veri Merkezi'!$F$2:$F$1001,$K216),""))</f>
        <v/>
      </c>
      <c r="E216" s="2" t="str">
        <f>IF($K216="","",IFERROR(INDEX('Veri Merkezi'!$G$2:$G$1001,$K216),""))</f>
        <v/>
      </c>
      <c r="F216" t="str">
        <f>IF($K216="","",IFERROR(INDEX('Veri Merkezi'!$H$2:$H$1001,$K216),""))</f>
        <v/>
      </c>
      <c r="G216" t="str">
        <f>IF($K216="","",IFERROR(INDEX('Veri Merkezi'!$R$2:$R$1001,$K216),""))</f>
        <v/>
      </c>
      <c r="H216" t="str">
        <f>IF($K216="","",IFERROR(INDEX('Veri Merkezi'!$S$2:$S$1001,$K216),""))</f>
        <v/>
      </c>
      <c r="I216" s="2" t="str">
        <f>IF($K216="","",IFERROR(INDEX('Veri Merkezi'!$T$2:$T$1001,$K216),""))</f>
        <v/>
      </c>
      <c r="J216" t="str">
        <f>IF($K216="","",IFERROR(INDEX('Veri Merkezi'!$U$2:$U$1001,$K216),""))</f>
        <v/>
      </c>
      <c r="K216" t="str">
        <f>IF(K215="","",IFERROR(K215+MATCH("B Liste",INDEX('Veri Merkezi'!$S$2:$S$1001,K215+1):'Veri Merkezi'!$S$1001,0),""))</f>
        <v/>
      </c>
    </row>
    <row r="217" spans="1:11">
      <c r="A217" t="str">
        <f>IF($K217="","",IFERROR(INDEX('Veri Merkezi'!$A$2:$A$1001,$K217),""))</f>
        <v/>
      </c>
      <c r="B217" t="str">
        <f>IF($K217="","",IFERROR(INDEX('Veri Merkezi'!$E$2:$E$1001,$K217),""))</f>
        <v/>
      </c>
      <c r="C217" t="str">
        <f>IF($K217="","",IFERROR(INDEX('Veri Merkezi'!$D$2:$D$1001,$K217),""))</f>
        <v/>
      </c>
      <c r="D217" t="str">
        <f>IF($K217="","",IFERROR(INDEX('Veri Merkezi'!$F$2:$F$1001,$K217),""))</f>
        <v/>
      </c>
      <c r="E217" s="2" t="str">
        <f>IF($K217="","",IFERROR(INDEX('Veri Merkezi'!$G$2:$G$1001,$K217),""))</f>
        <v/>
      </c>
      <c r="F217" t="str">
        <f>IF($K217="","",IFERROR(INDEX('Veri Merkezi'!$H$2:$H$1001,$K217),""))</f>
        <v/>
      </c>
      <c r="G217" t="str">
        <f>IF($K217="","",IFERROR(INDEX('Veri Merkezi'!$R$2:$R$1001,$K217),""))</f>
        <v/>
      </c>
      <c r="H217" t="str">
        <f>IF($K217="","",IFERROR(INDEX('Veri Merkezi'!$S$2:$S$1001,$K217),""))</f>
        <v/>
      </c>
      <c r="I217" s="2" t="str">
        <f>IF($K217="","",IFERROR(INDEX('Veri Merkezi'!$T$2:$T$1001,$K217),""))</f>
        <v/>
      </c>
      <c r="J217" t="str">
        <f>IF($K217="","",IFERROR(INDEX('Veri Merkezi'!$U$2:$U$1001,$K217),""))</f>
        <v/>
      </c>
      <c r="K217" t="str">
        <f>IF(K216="","",IFERROR(K216+MATCH("B Liste",INDEX('Veri Merkezi'!$S$2:$S$1001,K216+1):'Veri Merkezi'!$S$1001,0),""))</f>
        <v/>
      </c>
    </row>
    <row r="218" spans="1:11">
      <c r="A218" t="str">
        <f>IF($K218="","",IFERROR(INDEX('Veri Merkezi'!$A$2:$A$1001,$K218),""))</f>
        <v/>
      </c>
      <c r="B218" t="str">
        <f>IF($K218="","",IFERROR(INDEX('Veri Merkezi'!$E$2:$E$1001,$K218),""))</f>
        <v/>
      </c>
      <c r="C218" t="str">
        <f>IF($K218="","",IFERROR(INDEX('Veri Merkezi'!$D$2:$D$1001,$K218),""))</f>
        <v/>
      </c>
      <c r="D218" t="str">
        <f>IF($K218="","",IFERROR(INDEX('Veri Merkezi'!$F$2:$F$1001,$K218),""))</f>
        <v/>
      </c>
      <c r="E218" s="2" t="str">
        <f>IF($K218="","",IFERROR(INDEX('Veri Merkezi'!$G$2:$G$1001,$K218),""))</f>
        <v/>
      </c>
      <c r="F218" t="str">
        <f>IF($K218="","",IFERROR(INDEX('Veri Merkezi'!$H$2:$H$1001,$K218),""))</f>
        <v/>
      </c>
      <c r="G218" t="str">
        <f>IF($K218="","",IFERROR(INDEX('Veri Merkezi'!$R$2:$R$1001,$K218),""))</f>
        <v/>
      </c>
      <c r="H218" t="str">
        <f>IF($K218="","",IFERROR(INDEX('Veri Merkezi'!$S$2:$S$1001,$K218),""))</f>
        <v/>
      </c>
      <c r="I218" s="2" t="str">
        <f>IF($K218="","",IFERROR(INDEX('Veri Merkezi'!$T$2:$T$1001,$K218),""))</f>
        <v/>
      </c>
      <c r="J218" t="str">
        <f>IF($K218="","",IFERROR(INDEX('Veri Merkezi'!$U$2:$U$1001,$K218),""))</f>
        <v/>
      </c>
      <c r="K218" t="str">
        <f>IF(K217="","",IFERROR(K217+MATCH("B Liste",INDEX('Veri Merkezi'!$S$2:$S$1001,K217+1):'Veri Merkezi'!$S$1001,0),""))</f>
        <v/>
      </c>
    </row>
    <row r="219" spans="1:11">
      <c r="A219" t="str">
        <f>IF($K219="","",IFERROR(INDEX('Veri Merkezi'!$A$2:$A$1001,$K219),""))</f>
        <v/>
      </c>
      <c r="B219" t="str">
        <f>IF($K219="","",IFERROR(INDEX('Veri Merkezi'!$E$2:$E$1001,$K219),""))</f>
        <v/>
      </c>
      <c r="C219" t="str">
        <f>IF($K219="","",IFERROR(INDEX('Veri Merkezi'!$D$2:$D$1001,$K219),""))</f>
        <v/>
      </c>
      <c r="D219" t="str">
        <f>IF($K219="","",IFERROR(INDEX('Veri Merkezi'!$F$2:$F$1001,$K219),""))</f>
        <v/>
      </c>
      <c r="E219" s="2" t="str">
        <f>IF($K219="","",IFERROR(INDEX('Veri Merkezi'!$G$2:$G$1001,$K219),""))</f>
        <v/>
      </c>
      <c r="F219" t="str">
        <f>IF($K219="","",IFERROR(INDEX('Veri Merkezi'!$H$2:$H$1001,$K219),""))</f>
        <v/>
      </c>
      <c r="G219" t="str">
        <f>IF($K219="","",IFERROR(INDEX('Veri Merkezi'!$R$2:$R$1001,$K219),""))</f>
        <v/>
      </c>
      <c r="H219" t="str">
        <f>IF($K219="","",IFERROR(INDEX('Veri Merkezi'!$S$2:$S$1001,$K219),""))</f>
        <v/>
      </c>
      <c r="I219" s="2" t="str">
        <f>IF($K219="","",IFERROR(INDEX('Veri Merkezi'!$T$2:$T$1001,$K219),""))</f>
        <v/>
      </c>
      <c r="J219" t="str">
        <f>IF($K219="","",IFERROR(INDEX('Veri Merkezi'!$U$2:$U$1001,$K219),""))</f>
        <v/>
      </c>
      <c r="K219" t="str">
        <f>IF(K218="","",IFERROR(K218+MATCH("B Liste",INDEX('Veri Merkezi'!$S$2:$S$1001,K218+1):'Veri Merkezi'!$S$1001,0),""))</f>
        <v/>
      </c>
    </row>
    <row r="220" spans="1:11">
      <c r="A220" t="str">
        <f>IF($K220="","",IFERROR(INDEX('Veri Merkezi'!$A$2:$A$1001,$K220),""))</f>
        <v/>
      </c>
      <c r="B220" t="str">
        <f>IF($K220="","",IFERROR(INDEX('Veri Merkezi'!$E$2:$E$1001,$K220),""))</f>
        <v/>
      </c>
      <c r="C220" t="str">
        <f>IF($K220="","",IFERROR(INDEX('Veri Merkezi'!$D$2:$D$1001,$K220),""))</f>
        <v/>
      </c>
      <c r="D220" t="str">
        <f>IF($K220="","",IFERROR(INDEX('Veri Merkezi'!$F$2:$F$1001,$K220),""))</f>
        <v/>
      </c>
      <c r="E220" s="2" t="str">
        <f>IF($K220="","",IFERROR(INDEX('Veri Merkezi'!$G$2:$G$1001,$K220),""))</f>
        <v/>
      </c>
      <c r="F220" t="str">
        <f>IF($K220="","",IFERROR(INDEX('Veri Merkezi'!$H$2:$H$1001,$K220),""))</f>
        <v/>
      </c>
      <c r="G220" t="str">
        <f>IF($K220="","",IFERROR(INDEX('Veri Merkezi'!$R$2:$R$1001,$K220),""))</f>
        <v/>
      </c>
      <c r="H220" t="str">
        <f>IF($K220="","",IFERROR(INDEX('Veri Merkezi'!$S$2:$S$1001,$K220),""))</f>
        <v/>
      </c>
      <c r="I220" s="2" t="str">
        <f>IF($K220="","",IFERROR(INDEX('Veri Merkezi'!$T$2:$T$1001,$K220),""))</f>
        <v/>
      </c>
      <c r="J220" t="str">
        <f>IF($K220="","",IFERROR(INDEX('Veri Merkezi'!$U$2:$U$1001,$K220),""))</f>
        <v/>
      </c>
      <c r="K220" t="str">
        <f>IF(K219="","",IFERROR(K219+MATCH("B Liste",INDEX('Veri Merkezi'!$S$2:$S$1001,K219+1):'Veri Merkezi'!$S$1001,0),""))</f>
        <v/>
      </c>
    </row>
    <row r="221" spans="1:11">
      <c r="A221" t="str">
        <f>IF($K221="","",IFERROR(INDEX('Veri Merkezi'!$A$2:$A$1001,$K221),""))</f>
        <v/>
      </c>
      <c r="B221" t="str">
        <f>IF($K221="","",IFERROR(INDEX('Veri Merkezi'!$E$2:$E$1001,$K221),""))</f>
        <v/>
      </c>
      <c r="C221" t="str">
        <f>IF($K221="","",IFERROR(INDEX('Veri Merkezi'!$D$2:$D$1001,$K221),""))</f>
        <v/>
      </c>
      <c r="D221" t="str">
        <f>IF($K221="","",IFERROR(INDEX('Veri Merkezi'!$F$2:$F$1001,$K221),""))</f>
        <v/>
      </c>
      <c r="E221" s="2" t="str">
        <f>IF($K221="","",IFERROR(INDEX('Veri Merkezi'!$G$2:$G$1001,$K221),""))</f>
        <v/>
      </c>
      <c r="F221" t="str">
        <f>IF($K221="","",IFERROR(INDEX('Veri Merkezi'!$H$2:$H$1001,$K221),""))</f>
        <v/>
      </c>
      <c r="G221" t="str">
        <f>IF($K221="","",IFERROR(INDEX('Veri Merkezi'!$R$2:$R$1001,$K221),""))</f>
        <v/>
      </c>
      <c r="H221" t="str">
        <f>IF($K221="","",IFERROR(INDEX('Veri Merkezi'!$S$2:$S$1001,$K221),""))</f>
        <v/>
      </c>
      <c r="I221" s="2" t="str">
        <f>IF($K221="","",IFERROR(INDEX('Veri Merkezi'!$T$2:$T$1001,$K221),""))</f>
        <v/>
      </c>
      <c r="J221" t="str">
        <f>IF($K221="","",IFERROR(INDEX('Veri Merkezi'!$U$2:$U$1001,$K221),""))</f>
        <v/>
      </c>
      <c r="K221" t="str">
        <f>IF(K220="","",IFERROR(K220+MATCH("B Liste",INDEX('Veri Merkezi'!$S$2:$S$1001,K220+1):'Veri Merkezi'!$S$1001,0),""))</f>
        <v/>
      </c>
    </row>
    <row r="222" spans="1:11">
      <c r="A222" t="str">
        <f>IF($K222="","",IFERROR(INDEX('Veri Merkezi'!$A$2:$A$1001,$K222),""))</f>
        <v/>
      </c>
      <c r="B222" t="str">
        <f>IF($K222="","",IFERROR(INDEX('Veri Merkezi'!$E$2:$E$1001,$K222),""))</f>
        <v/>
      </c>
      <c r="C222" t="str">
        <f>IF($K222="","",IFERROR(INDEX('Veri Merkezi'!$D$2:$D$1001,$K222),""))</f>
        <v/>
      </c>
      <c r="D222" t="str">
        <f>IF($K222="","",IFERROR(INDEX('Veri Merkezi'!$F$2:$F$1001,$K222),""))</f>
        <v/>
      </c>
      <c r="E222" s="2" t="str">
        <f>IF($K222="","",IFERROR(INDEX('Veri Merkezi'!$G$2:$G$1001,$K222),""))</f>
        <v/>
      </c>
      <c r="F222" t="str">
        <f>IF($K222="","",IFERROR(INDEX('Veri Merkezi'!$H$2:$H$1001,$K222),""))</f>
        <v/>
      </c>
      <c r="G222" t="str">
        <f>IF($K222="","",IFERROR(INDEX('Veri Merkezi'!$R$2:$R$1001,$K222),""))</f>
        <v/>
      </c>
      <c r="H222" t="str">
        <f>IF($K222="","",IFERROR(INDEX('Veri Merkezi'!$S$2:$S$1001,$K222),""))</f>
        <v/>
      </c>
      <c r="I222" s="2" t="str">
        <f>IF($K222="","",IFERROR(INDEX('Veri Merkezi'!$T$2:$T$1001,$K222),""))</f>
        <v/>
      </c>
      <c r="J222" t="str">
        <f>IF($K222="","",IFERROR(INDEX('Veri Merkezi'!$U$2:$U$1001,$K222),""))</f>
        <v/>
      </c>
      <c r="K222" t="str">
        <f>IF(K221="","",IFERROR(K221+MATCH("B Liste",INDEX('Veri Merkezi'!$S$2:$S$1001,K221+1):'Veri Merkezi'!$S$1001,0),""))</f>
        <v/>
      </c>
    </row>
    <row r="223" spans="1:11">
      <c r="A223" t="str">
        <f>IF($K223="","",IFERROR(INDEX('Veri Merkezi'!$A$2:$A$1001,$K223),""))</f>
        <v/>
      </c>
      <c r="B223" t="str">
        <f>IF($K223="","",IFERROR(INDEX('Veri Merkezi'!$E$2:$E$1001,$K223),""))</f>
        <v/>
      </c>
      <c r="C223" t="str">
        <f>IF($K223="","",IFERROR(INDEX('Veri Merkezi'!$D$2:$D$1001,$K223),""))</f>
        <v/>
      </c>
      <c r="D223" t="str">
        <f>IF($K223="","",IFERROR(INDEX('Veri Merkezi'!$F$2:$F$1001,$K223),""))</f>
        <v/>
      </c>
      <c r="E223" s="2" t="str">
        <f>IF($K223="","",IFERROR(INDEX('Veri Merkezi'!$G$2:$G$1001,$K223),""))</f>
        <v/>
      </c>
      <c r="F223" t="str">
        <f>IF($K223="","",IFERROR(INDEX('Veri Merkezi'!$H$2:$H$1001,$K223),""))</f>
        <v/>
      </c>
      <c r="G223" t="str">
        <f>IF($K223="","",IFERROR(INDEX('Veri Merkezi'!$R$2:$R$1001,$K223),""))</f>
        <v/>
      </c>
      <c r="H223" t="str">
        <f>IF($K223="","",IFERROR(INDEX('Veri Merkezi'!$S$2:$S$1001,$K223),""))</f>
        <v/>
      </c>
      <c r="I223" s="2" t="str">
        <f>IF($K223="","",IFERROR(INDEX('Veri Merkezi'!$T$2:$T$1001,$K223),""))</f>
        <v/>
      </c>
      <c r="J223" t="str">
        <f>IF($K223="","",IFERROR(INDEX('Veri Merkezi'!$U$2:$U$1001,$K223),""))</f>
        <v/>
      </c>
      <c r="K223" t="str">
        <f>IF(K222="","",IFERROR(K222+MATCH("B Liste",INDEX('Veri Merkezi'!$S$2:$S$1001,K222+1):'Veri Merkezi'!$S$1001,0),""))</f>
        <v/>
      </c>
    </row>
    <row r="224" spans="1:11">
      <c r="A224" t="str">
        <f>IF($K224="","",IFERROR(INDEX('Veri Merkezi'!$A$2:$A$1001,$K224),""))</f>
        <v/>
      </c>
      <c r="B224" t="str">
        <f>IF($K224="","",IFERROR(INDEX('Veri Merkezi'!$E$2:$E$1001,$K224),""))</f>
        <v/>
      </c>
      <c r="C224" t="str">
        <f>IF($K224="","",IFERROR(INDEX('Veri Merkezi'!$D$2:$D$1001,$K224),""))</f>
        <v/>
      </c>
      <c r="D224" t="str">
        <f>IF($K224="","",IFERROR(INDEX('Veri Merkezi'!$F$2:$F$1001,$K224),""))</f>
        <v/>
      </c>
      <c r="E224" s="2" t="str">
        <f>IF($K224="","",IFERROR(INDEX('Veri Merkezi'!$G$2:$G$1001,$K224),""))</f>
        <v/>
      </c>
      <c r="F224" t="str">
        <f>IF($K224="","",IFERROR(INDEX('Veri Merkezi'!$H$2:$H$1001,$K224),""))</f>
        <v/>
      </c>
      <c r="G224" t="str">
        <f>IF($K224="","",IFERROR(INDEX('Veri Merkezi'!$R$2:$R$1001,$K224),""))</f>
        <v/>
      </c>
      <c r="H224" t="str">
        <f>IF($K224="","",IFERROR(INDEX('Veri Merkezi'!$S$2:$S$1001,$K224),""))</f>
        <v/>
      </c>
      <c r="I224" s="2" t="str">
        <f>IF($K224="","",IFERROR(INDEX('Veri Merkezi'!$T$2:$T$1001,$K224),""))</f>
        <v/>
      </c>
      <c r="J224" t="str">
        <f>IF($K224="","",IFERROR(INDEX('Veri Merkezi'!$U$2:$U$1001,$K224),""))</f>
        <v/>
      </c>
      <c r="K224" t="str">
        <f>IF(K223="","",IFERROR(K223+MATCH("B Liste",INDEX('Veri Merkezi'!$S$2:$S$1001,K223+1):'Veri Merkezi'!$S$1001,0),""))</f>
        <v/>
      </c>
    </row>
    <row r="225" spans="1:11">
      <c r="A225" t="str">
        <f>IF($K225="","",IFERROR(INDEX('Veri Merkezi'!$A$2:$A$1001,$K225),""))</f>
        <v/>
      </c>
      <c r="B225" t="str">
        <f>IF($K225="","",IFERROR(INDEX('Veri Merkezi'!$E$2:$E$1001,$K225),""))</f>
        <v/>
      </c>
      <c r="C225" t="str">
        <f>IF($K225="","",IFERROR(INDEX('Veri Merkezi'!$D$2:$D$1001,$K225),""))</f>
        <v/>
      </c>
      <c r="D225" t="str">
        <f>IF($K225="","",IFERROR(INDEX('Veri Merkezi'!$F$2:$F$1001,$K225),""))</f>
        <v/>
      </c>
      <c r="E225" s="2" t="str">
        <f>IF($K225="","",IFERROR(INDEX('Veri Merkezi'!$G$2:$G$1001,$K225),""))</f>
        <v/>
      </c>
      <c r="F225" t="str">
        <f>IF($K225="","",IFERROR(INDEX('Veri Merkezi'!$H$2:$H$1001,$K225),""))</f>
        <v/>
      </c>
      <c r="G225" t="str">
        <f>IF($K225="","",IFERROR(INDEX('Veri Merkezi'!$R$2:$R$1001,$K225),""))</f>
        <v/>
      </c>
      <c r="H225" t="str">
        <f>IF($K225="","",IFERROR(INDEX('Veri Merkezi'!$S$2:$S$1001,$K225),""))</f>
        <v/>
      </c>
      <c r="I225" s="2" t="str">
        <f>IF($K225="","",IFERROR(INDEX('Veri Merkezi'!$T$2:$T$1001,$K225),""))</f>
        <v/>
      </c>
      <c r="J225" t="str">
        <f>IF($K225="","",IFERROR(INDEX('Veri Merkezi'!$U$2:$U$1001,$K225),""))</f>
        <v/>
      </c>
      <c r="K225" t="str">
        <f>IF(K224="","",IFERROR(K224+MATCH("B Liste",INDEX('Veri Merkezi'!$S$2:$S$1001,K224+1):'Veri Merkezi'!$S$1001,0),""))</f>
        <v/>
      </c>
    </row>
    <row r="226" spans="1:11">
      <c r="A226" t="str">
        <f>IF($K226="","",IFERROR(INDEX('Veri Merkezi'!$A$2:$A$1001,$K226),""))</f>
        <v/>
      </c>
      <c r="B226" t="str">
        <f>IF($K226="","",IFERROR(INDEX('Veri Merkezi'!$E$2:$E$1001,$K226),""))</f>
        <v/>
      </c>
      <c r="C226" t="str">
        <f>IF($K226="","",IFERROR(INDEX('Veri Merkezi'!$D$2:$D$1001,$K226),""))</f>
        <v/>
      </c>
      <c r="D226" t="str">
        <f>IF($K226="","",IFERROR(INDEX('Veri Merkezi'!$F$2:$F$1001,$K226),""))</f>
        <v/>
      </c>
      <c r="E226" s="2" t="str">
        <f>IF($K226="","",IFERROR(INDEX('Veri Merkezi'!$G$2:$G$1001,$K226),""))</f>
        <v/>
      </c>
      <c r="F226" t="str">
        <f>IF($K226="","",IFERROR(INDEX('Veri Merkezi'!$H$2:$H$1001,$K226),""))</f>
        <v/>
      </c>
      <c r="G226" t="str">
        <f>IF($K226="","",IFERROR(INDEX('Veri Merkezi'!$R$2:$R$1001,$K226),""))</f>
        <v/>
      </c>
      <c r="H226" t="str">
        <f>IF($K226="","",IFERROR(INDEX('Veri Merkezi'!$S$2:$S$1001,$K226),""))</f>
        <v/>
      </c>
      <c r="I226" s="2" t="str">
        <f>IF($K226="","",IFERROR(INDEX('Veri Merkezi'!$T$2:$T$1001,$K226),""))</f>
        <v/>
      </c>
      <c r="J226" t="str">
        <f>IF($K226="","",IFERROR(INDEX('Veri Merkezi'!$U$2:$U$1001,$K226),""))</f>
        <v/>
      </c>
      <c r="K226" t="str">
        <f>IF(K225="","",IFERROR(K225+MATCH("B Liste",INDEX('Veri Merkezi'!$S$2:$S$1001,K225+1):'Veri Merkezi'!$S$1001,0),""))</f>
        <v/>
      </c>
    </row>
    <row r="227" spans="1:11">
      <c r="A227" t="str">
        <f>IF($K227="","",IFERROR(INDEX('Veri Merkezi'!$A$2:$A$1001,$K227),""))</f>
        <v/>
      </c>
      <c r="B227" t="str">
        <f>IF($K227="","",IFERROR(INDEX('Veri Merkezi'!$E$2:$E$1001,$K227),""))</f>
        <v/>
      </c>
      <c r="C227" t="str">
        <f>IF($K227="","",IFERROR(INDEX('Veri Merkezi'!$D$2:$D$1001,$K227),""))</f>
        <v/>
      </c>
      <c r="D227" t="str">
        <f>IF($K227="","",IFERROR(INDEX('Veri Merkezi'!$F$2:$F$1001,$K227),""))</f>
        <v/>
      </c>
      <c r="E227" s="2" t="str">
        <f>IF($K227="","",IFERROR(INDEX('Veri Merkezi'!$G$2:$G$1001,$K227),""))</f>
        <v/>
      </c>
      <c r="F227" t="str">
        <f>IF($K227="","",IFERROR(INDEX('Veri Merkezi'!$H$2:$H$1001,$K227),""))</f>
        <v/>
      </c>
      <c r="G227" t="str">
        <f>IF($K227="","",IFERROR(INDEX('Veri Merkezi'!$R$2:$R$1001,$K227),""))</f>
        <v/>
      </c>
      <c r="H227" t="str">
        <f>IF($K227="","",IFERROR(INDEX('Veri Merkezi'!$S$2:$S$1001,$K227),""))</f>
        <v/>
      </c>
      <c r="I227" s="2" t="str">
        <f>IF($K227="","",IFERROR(INDEX('Veri Merkezi'!$T$2:$T$1001,$K227),""))</f>
        <v/>
      </c>
      <c r="J227" t="str">
        <f>IF($K227="","",IFERROR(INDEX('Veri Merkezi'!$U$2:$U$1001,$K227),""))</f>
        <v/>
      </c>
      <c r="K227" t="str">
        <f>IF(K226="","",IFERROR(K226+MATCH("B Liste",INDEX('Veri Merkezi'!$S$2:$S$1001,K226+1):'Veri Merkezi'!$S$1001,0),""))</f>
        <v/>
      </c>
    </row>
    <row r="228" spans="1:11">
      <c r="A228" t="str">
        <f>IF($K228="","",IFERROR(INDEX('Veri Merkezi'!$A$2:$A$1001,$K228),""))</f>
        <v/>
      </c>
      <c r="B228" t="str">
        <f>IF($K228="","",IFERROR(INDEX('Veri Merkezi'!$E$2:$E$1001,$K228),""))</f>
        <v/>
      </c>
      <c r="C228" t="str">
        <f>IF($K228="","",IFERROR(INDEX('Veri Merkezi'!$D$2:$D$1001,$K228),""))</f>
        <v/>
      </c>
      <c r="D228" t="str">
        <f>IF($K228="","",IFERROR(INDEX('Veri Merkezi'!$F$2:$F$1001,$K228),""))</f>
        <v/>
      </c>
      <c r="E228" s="2" t="str">
        <f>IF($K228="","",IFERROR(INDEX('Veri Merkezi'!$G$2:$G$1001,$K228),""))</f>
        <v/>
      </c>
      <c r="F228" t="str">
        <f>IF($K228="","",IFERROR(INDEX('Veri Merkezi'!$H$2:$H$1001,$K228),""))</f>
        <v/>
      </c>
      <c r="G228" t="str">
        <f>IF($K228="","",IFERROR(INDEX('Veri Merkezi'!$R$2:$R$1001,$K228),""))</f>
        <v/>
      </c>
      <c r="H228" t="str">
        <f>IF($K228="","",IFERROR(INDEX('Veri Merkezi'!$S$2:$S$1001,$K228),""))</f>
        <v/>
      </c>
      <c r="I228" s="2" t="str">
        <f>IF($K228="","",IFERROR(INDEX('Veri Merkezi'!$T$2:$T$1001,$K228),""))</f>
        <v/>
      </c>
      <c r="J228" t="str">
        <f>IF($K228="","",IFERROR(INDEX('Veri Merkezi'!$U$2:$U$1001,$K228),""))</f>
        <v/>
      </c>
      <c r="K228" t="str">
        <f>IF(K227="","",IFERROR(K227+MATCH("B Liste",INDEX('Veri Merkezi'!$S$2:$S$1001,K227+1):'Veri Merkezi'!$S$1001,0),""))</f>
        <v/>
      </c>
    </row>
    <row r="229" spans="1:11">
      <c r="A229" t="str">
        <f>IF($K229="","",IFERROR(INDEX('Veri Merkezi'!$A$2:$A$1001,$K229),""))</f>
        <v/>
      </c>
      <c r="B229" t="str">
        <f>IF($K229="","",IFERROR(INDEX('Veri Merkezi'!$E$2:$E$1001,$K229),""))</f>
        <v/>
      </c>
      <c r="C229" t="str">
        <f>IF($K229="","",IFERROR(INDEX('Veri Merkezi'!$D$2:$D$1001,$K229),""))</f>
        <v/>
      </c>
      <c r="D229" t="str">
        <f>IF($K229="","",IFERROR(INDEX('Veri Merkezi'!$F$2:$F$1001,$K229),""))</f>
        <v/>
      </c>
      <c r="E229" s="2" t="str">
        <f>IF($K229="","",IFERROR(INDEX('Veri Merkezi'!$G$2:$G$1001,$K229),""))</f>
        <v/>
      </c>
      <c r="F229" t="str">
        <f>IF($K229="","",IFERROR(INDEX('Veri Merkezi'!$H$2:$H$1001,$K229),""))</f>
        <v/>
      </c>
      <c r="G229" t="str">
        <f>IF($K229="","",IFERROR(INDEX('Veri Merkezi'!$R$2:$R$1001,$K229),""))</f>
        <v/>
      </c>
      <c r="H229" t="str">
        <f>IF($K229="","",IFERROR(INDEX('Veri Merkezi'!$S$2:$S$1001,$K229),""))</f>
        <v/>
      </c>
      <c r="I229" s="2" t="str">
        <f>IF($K229="","",IFERROR(INDEX('Veri Merkezi'!$T$2:$T$1001,$K229),""))</f>
        <v/>
      </c>
      <c r="J229" t="str">
        <f>IF($K229="","",IFERROR(INDEX('Veri Merkezi'!$U$2:$U$1001,$K229),""))</f>
        <v/>
      </c>
      <c r="K229" t="str">
        <f>IF(K228="","",IFERROR(K228+MATCH("B Liste",INDEX('Veri Merkezi'!$S$2:$S$1001,K228+1):'Veri Merkezi'!$S$1001,0),""))</f>
        <v/>
      </c>
    </row>
    <row r="230" spans="1:11">
      <c r="A230" t="str">
        <f>IF($K230="","",IFERROR(INDEX('Veri Merkezi'!$A$2:$A$1001,$K230),""))</f>
        <v/>
      </c>
      <c r="B230" t="str">
        <f>IF($K230="","",IFERROR(INDEX('Veri Merkezi'!$E$2:$E$1001,$K230),""))</f>
        <v/>
      </c>
      <c r="C230" t="str">
        <f>IF($K230="","",IFERROR(INDEX('Veri Merkezi'!$D$2:$D$1001,$K230),""))</f>
        <v/>
      </c>
      <c r="D230" t="str">
        <f>IF($K230="","",IFERROR(INDEX('Veri Merkezi'!$F$2:$F$1001,$K230),""))</f>
        <v/>
      </c>
      <c r="E230" s="2" t="str">
        <f>IF($K230="","",IFERROR(INDEX('Veri Merkezi'!$G$2:$G$1001,$K230),""))</f>
        <v/>
      </c>
      <c r="F230" t="str">
        <f>IF($K230="","",IFERROR(INDEX('Veri Merkezi'!$H$2:$H$1001,$K230),""))</f>
        <v/>
      </c>
      <c r="G230" t="str">
        <f>IF($K230="","",IFERROR(INDEX('Veri Merkezi'!$R$2:$R$1001,$K230),""))</f>
        <v/>
      </c>
      <c r="H230" t="str">
        <f>IF($K230="","",IFERROR(INDEX('Veri Merkezi'!$S$2:$S$1001,$K230),""))</f>
        <v/>
      </c>
      <c r="I230" s="2" t="str">
        <f>IF($K230="","",IFERROR(INDEX('Veri Merkezi'!$T$2:$T$1001,$K230),""))</f>
        <v/>
      </c>
      <c r="J230" t="str">
        <f>IF($K230="","",IFERROR(INDEX('Veri Merkezi'!$U$2:$U$1001,$K230),""))</f>
        <v/>
      </c>
      <c r="K230" t="str">
        <f>IF(K229="","",IFERROR(K229+MATCH("B Liste",INDEX('Veri Merkezi'!$S$2:$S$1001,K229+1):'Veri Merkezi'!$S$1001,0),""))</f>
        <v/>
      </c>
    </row>
    <row r="231" spans="1:11">
      <c r="A231" t="str">
        <f>IF($K231="","",IFERROR(INDEX('Veri Merkezi'!$A$2:$A$1001,$K231),""))</f>
        <v/>
      </c>
      <c r="B231" t="str">
        <f>IF($K231="","",IFERROR(INDEX('Veri Merkezi'!$E$2:$E$1001,$K231),""))</f>
        <v/>
      </c>
      <c r="C231" t="str">
        <f>IF($K231="","",IFERROR(INDEX('Veri Merkezi'!$D$2:$D$1001,$K231),""))</f>
        <v/>
      </c>
      <c r="D231" t="str">
        <f>IF($K231="","",IFERROR(INDEX('Veri Merkezi'!$F$2:$F$1001,$K231),""))</f>
        <v/>
      </c>
      <c r="E231" s="2" t="str">
        <f>IF($K231="","",IFERROR(INDEX('Veri Merkezi'!$G$2:$G$1001,$K231),""))</f>
        <v/>
      </c>
      <c r="F231" t="str">
        <f>IF($K231="","",IFERROR(INDEX('Veri Merkezi'!$H$2:$H$1001,$K231),""))</f>
        <v/>
      </c>
      <c r="G231" t="str">
        <f>IF($K231="","",IFERROR(INDEX('Veri Merkezi'!$R$2:$R$1001,$K231),""))</f>
        <v/>
      </c>
      <c r="H231" t="str">
        <f>IF($K231="","",IFERROR(INDEX('Veri Merkezi'!$S$2:$S$1001,$K231),""))</f>
        <v/>
      </c>
      <c r="I231" s="2" t="str">
        <f>IF($K231="","",IFERROR(INDEX('Veri Merkezi'!$T$2:$T$1001,$K231),""))</f>
        <v/>
      </c>
      <c r="J231" t="str">
        <f>IF($K231="","",IFERROR(INDEX('Veri Merkezi'!$U$2:$U$1001,$K231),""))</f>
        <v/>
      </c>
      <c r="K231" t="str">
        <f>IF(K230="","",IFERROR(K230+MATCH("B Liste",INDEX('Veri Merkezi'!$S$2:$S$1001,K230+1):'Veri Merkezi'!$S$1001,0),""))</f>
        <v/>
      </c>
    </row>
    <row r="232" spans="1:11">
      <c r="A232" t="str">
        <f>IF($K232="","",IFERROR(INDEX('Veri Merkezi'!$A$2:$A$1001,$K232),""))</f>
        <v/>
      </c>
      <c r="B232" t="str">
        <f>IF($K232="","",IFERROR(INDEX('Veri Merkezi'!$E$2:$E$1001,$K232),""))</f>
        <v/>
      </c>
      <c r="C232" t="str">
        <f>IF($K232="","",IFERROR(INDEX('Veri Merkezi'!$D$2:$D$1001,$K232),""))</f>
        <v/>
      </c>
      <c r="D232" t="str">
        <f>IF($K232="","",IFERROR(INDEX('Veri Merkezi'!$F$2:$F$1001,$K232),""))</f>
        <v/>
      </c>
      <c r="E232" s="2" t="str">
        <f>IF($K232="","",IFERROR(INDEX('Veri Merkezi'!$G$2:$G$1001,$K232),""))</f>
        <v/>
      </c>
      <c r="F232" t="str">
        <f>IF($K232="","",IFERROR(INDEX('Veri Merkezi'!$H$2:$H$1001,$K232),""))</f>
        <v/>
      </c>
      <c r="G232" t="str">
        <f>IF($K232="","",IFERROR(INDEX('Veri Merkezi'!$R$2:$R$1001,$K232),""))</f>
        <v/>
      </c>
      <c r="H232" t="str">
        <f>IF($K232="","",IFERROR(INDEX('Veri Merkezi'!$S$2:$S$1001,$K232),""))</f>
        <v/>
      </c>
      <c r="I232" s="2" t="str">
        <f>IF($K232="","",IFERROR(INDEX('Veri Merkezi'!$T$2:$T$1001,$K232),""))</f>
        <v/>
      </c>
      <c r="J232" t="str">
        <f>IF($K232="","",IFERROR(INDEX('Veri Merkezi'!$U$2:$U$1001,$K232),""))</f>
        <v/>
      </c>
      <c r="K232" t="str">
        <f>IF(K231="","",IFERROR(K231+MATCH("B Liste",INDEX('Veri Merkezi'!$S$2:$S$1001,K231+1):'Veri Merkezi'!$S$1001,0),""))</f>
        <v/>
      </c>
    </row>
    <row r="233" spans="1:11">
      <c r="A233" t="str">
        <f>IF($K233="","",IFERROR(INDEX('Veri Merkezi'!$A$2:$A$1001,$K233),""))</f>
        <v/>
      </c>
      <c r="B233" t="str">
        <f>IF($K233="","",IFERROR(INDEX('Veri Merkezi'!$E$2:$E$1001,$K233),""))</f>
        <v/>
      </c>
      <c r="C233" t="str">
        <f>IF($K233="","",IFERROR(INDEX('Veri Merkezi'!$D$2:$D$1001,$K233),""))</f>
        <v/>
      </c>
      <c r="D233" t="str">
        <f>IF($K233="","",IFERROR(INDEX('Veri Merkezi'!$F$2:$F$1001,$K233),""))</f>
        <v/>
      </c>
      <c r="E233" s="2" t="str">
        <f>IF($K233="","",IFERROR(INDEX('Veri Merkezi'!$G$2:$G$1001,$K233),""))</f>
        <v/>
      </c>
      <c r="F233" t="str">
        <f>IF($K233="","",IFERROR(INDEX('Veri Merkezi'!$H$2:$H$1001,$K233),""))</f>
        <v/>
      </c>
      <c r="G233" t="str">
        <f>IF($K233="","",IFERROR(INDEX('Veri Merkezi'!$R$2:$R$1001,$K233),""))</f>
        <v/>
      </c>
      <c r="H233" t="str">
        <f>IF($K233="","",IFERROR(INDEX('Veri Merkezi'!$S$2:$S$1001,$K233),""))</f>
        <v/>
      </c>
      <c r="I233" s="2" t="str">
        <f>IF($K233="","",IFERROR(INDEX('Veri Merkezi'!$T$2:$T$1001,$K233),""))</f>
        <v/>
      </c>
      <c r="J233" t="str">
        <f>IF($K233="","",IFERROR(INDEX('Veri Merkezi'!$U$2:$U$1001,$K233),""))</f>
        <v/>
      </c>
      <c r="K233" t="str">
        <f>IF(K232="","",IFERROR(K232+MATCH("B Liste",INDEX('Veri Merkezi'!$S$2:$S$1001,K232+1):'Veri Merkezi'!$S$1001,0),""))</f>
        <v/>
      </c>
    </row>
    <row r="234" spans="1:11">
      <c r="A234" t="str">
        <f>IF($K234="","",IFERROR(INDEX('Veri Merkezi'!$A$2:$A$1001,$K234),""))</f>
        <v/>
      </c>
      <c r="B234" t="str">
        <f>IF($K234="","",IFERROR(INDEX('Veri Merkezi'!$E$2:$E$1001,$K234),""))</f>
        <v/>
      </c>
      <c r="C234" t="str">
        <f>IF($K234="","",IFERROR(INDEX('Veri Merkezi'!$D$2:$D$1001,$K234),""))</f>
        <v/>
      </c>
      <c r="D234" t="str">
        <f>IF($K234="","",IFERROR(INDEX('Veri Merkezi'!$F$2:$F$1001,$K234),""))</f>
        <v/>
      </c>
      <c r="E234" s="2" t="str">
        <f>IF($K234="","",IFERROR(INDEX('Veri Merkezi'!$G$2:$G$1001,$K234),""))</f>
        <v/>
      </c>
      <c r="F234" t="str">
        <f>IF($K234="","",IFERROR(INDEX('Veri Merkezi'!$H$2:$H$1001,$K234),""))</f>
        <v/>
      </c>
      <c r="G234" t="str">
        <f>IF($K234="","",IFERROR(INDEX('Veri Merkezi'!$R$2:$R$1001,$K234),""))</f>
        <v/>
      </c>
      <c r="H234" t="str">
        <f>IF($K234="","",IFERROR(INDEX('Veri Merkezi'!$S$2:$S$1001,$K234),""))</f>
        <v/>
      </c>
      <c r="I234" s="2" t="str">
        <f>IF($K234="","",IFERROR(INDEX('Veri Merkezi'!$T$2:$T$1001,$K234),""))</f>
        <v/>
      </c>
      <c r="J234" t="str">
        <f>IF($K234="","",IFERROR(INDEX('Veri Merkezi'!$U$2:$U$1001,$K234),""))</f>
        <v/>
      </c>
      <c r="K234" t="str">
        <f>IF(K233="","",IFERROR(K233+MATCH("B Liste",INDEX('Veri Merkezi'!$S$2:$S$1001,K233+1):'Veri Merkezi'!$S$1001,0),""))</f>
        <v/>
      </c>
    </row>
    <row r="235" spans="1:11">
      <c r="A235" t="str">
        <f>IF($K235="","",IFERROR(INDEX('Veri Merkezi'!$A$2:$A$1001,$K235),""))</f>
        <v/>
      </c>
      <c r="B235" t="str">
        <f>IF($K235="","",IFERROR(INDEX('Veri Merkezi'!$E$2:$E$1001,$K235),""))</f>
        <v/>
      </c>
      <c r="C235" t="str">
        <f>IF($K235="","",IFERROR(INDEX('Veri Merkezi'!$D$2:$D$1001,$K235),""))</f>
        <v/>
      </c>
      <c r="D235" t="str">
        <f>IF($K235="","",IFERROR(INDEX('Veri Merkezi'!$F$2:$F$1001,$K235),""))</f>
        <v/>
      </c>
      <c r="E235" s="2" t="str">
        <f>IF($K235="","",IFERROR(INDEX('Veri Merkezi'!$G$2:$G$1001,$K235),""))</f>
        <v/>
      </c>
      <c r="F235" t="str">
        <f>IF($K235="","",IFERROR(INDEX('Veri Merkezi'!$H$2:$H$1001,$K235),""))</f>
        <v/>
      </c>
      <c r="G235" t="str">
        <f>IF($K235="","",IFERROR(INDEX('Veri Merkezi'!$R$2:$R$1001,$K235),""))</f>
        <v/>
      </c>
      <c r="H235" t="str">
        <f>IF($K235="","",IFERROR(INDEX('Veri Merkezi'!$S$2:$S$1001,$K235),""))</f>
        <v/>
      </c>
      <c r="I235" s="2" t="str">
        <f>IF($K235="","",IFERROR(INDEX('Veri Merkezi'!$T$2:$T$1001,$K235),""))</f>
        <v/>
      </c>
      <c r="J235" t="str">
        <f>IF($K235="","",IFERROR(INDEX('Veri Merkezi'!$U$2:$U$1001,$K235),""))</f>
        <v/>
      </c>
      <c r="K235" t="str">
        <f>IF(K234="","",IFERROR(K234+MATCH("B Liste",INDEX('Veri Merkezi'!$S$2:$S$1001,K234+1):'Veri Merkezi'!$S$1001,0),""))</f>
        <v/>
      </c>
    </row>
    <row r="236" spans="1:11">
      <c r="A236" t="str">
        <f>IF($K236="","",IFERROR(INDEX('Veri Merkezi'!$A$2:$A$1001,$K236),""))</f>
        <v/>
      </c>
      <c r="B236" t="str">
        <f>IF($K236="","",IFERROR(INDEX('Veri Merkezi'!$E$2:$E$1001,$K236),""))</f>
        <v/>
      </c>
      <c r="C236" t="str">
        <f>IF($K236="","",IFERROR(INDEX('Veri Merkezi'!$D$2:$D$1001,$K236),""))</f>
        <v/>
      </c>
      <c r="D236" t="str">
        <f>IF($K236="","",IFERROR(INDEX('Veri Merkezi'!$F$2:$F$1001,$K236),""))</f>
        <v/>
      </c>
      <c r="E236" s="2" t="str">
        <f>IF($K236="","",IFERROR(INDEX('Veri Merkezi'!$G$2:$G$1001,$K236),""))</f>
        <v/>
      </c>
      <c r="F236" t="str">
        <f>IF($K236="","",IFERROR(INDEX('Veri Merkezi'!$H$2:$H$1001,$K236),""))</f>
        <v/>
      </c>
      <c r="G236" t="str">
        <f>IF($K236="","",IFERROR(INDEX('Veri Merkezi'!$R$2:$R$1001,$K236),""))</f>
        <v/>
      </c>
      <c r="H236" t="str">
        <f>IF($K236="","",IFERROR(INDEX('Veri Merkezi'!$S$2:$S$1001,$K236),""))</f>
        <v/>
      </c>
      <c r="I236" s="2" t="str">
        <f>IF($K236="","",IFERROR(INDEX('Veri Merkezi'!$T$2:$T$1001,$K236),""))</f>
        <v/>
      </c>
      <c r="J236" t="str">
        <f>IF($K236="","",IFERROR(INDEX('Veri Merkezi'!$U$2:$U$1001,$K236),""))</f>
        <v/>
      </c>
      <c r="K236" t="str">
        <f>IF(K235="","",IFERROR(K235+MATCH("B Liste",INDEX('Veri Merkezi'!$S$2:$S$1001,K235+1):'Veri Merkezi'!$S$1001,0),""))</f>
        <v/>
      </c>
    </row>
    <row r="237" spans="1:11">
      <c r="A237" t="str">
        <f>IF($K237="","",IFERROR(INDEX('Veri Merkezi'!$A$2:$A$1001,$K237),""))</f>
        <v/>
      </c>
      <c r="B237" t="str">
        <f>IF($K237="","",IFERROR(INDEX('Veri Merkezi'!$E$2:$E$1001,$K237),""))</f>
        <v/>
      </c>
      <c r="C237" t="str">
        <f>IF($K237="","",IFERROR(INDEX('Veri Merkezi'!$D$2:$D$1001,$K237),""))</f>
        <v/>
      </c>
      <c r="D237" t="str">
        <f>IF($K237="","",IFERROR(INDEX('Veri Merkezi'!$F$2:$F$1001,$K237),""))</f>
        <v/>
      </c>
      <c r="E237" s="2" t="str">
        <f>IF($K237="","",IFERROR(INDEX('Veri Merkezi'!$G$2:$G$1001,$K237),""))</f>
        <v/>
      </c>
      <c r="F237" t="str">
        <f>IF($K237="","",IFERROR(INDEX('Veri Merkezi'!$H$2:$H$1001,$K237),""))</f>
        <v/>
      </c>
      <c r="G237" t="str">
        <f>IF($K237="","",IFERROR(INDEX('Veri Merkezi'!$R$2:$R$1001,$K237),""))</f>
        <v/>
      </c>
      <c r="H237" t="str">
        <f>IF($K237="","",IFERROR(INDEX('Veri Merkezi'!$S$2:$S$1001,$K237),""))</f>
        <v/>
      </c>
      <c r="I237" s="2" t="str">
        <f>IF($K237="","",IFERROR(INDEX('Veri Merkezi'!$T$2:$T$1001,$K237),""))</f>
        <v/>
      </c>
      <c r="J237" t="str">
        <f>IF($K237="","",IFERROR(INDEX('Veri Merkezi'!$U$2:$U$1001,$K237),""))</f>
        <v/>
      </c>
      <c r="K237" t="str">
        <f>IF(K236="","",IFERROR(K236+MATCH("B Liste",INDEX('Veri Merkezi'!$S$2:$S$1001,K236+1):'Veri Merkezi'!$S$1001,0),""))</f>
        <v/>
      </c>
    </row>
    <row r="238" spans="1:11">
      <c r="A238" t="str">
        <f>IF($K238="","",IFERROR(INDEX('Veri Merkezi'!$A$2:$A$1001,$K238),""))</f>
        <v/>
      </c>
      <c r="B238" t="str">
        <f>IF($K238="","",IFERROR(INDEX('Veri Merkezi'!$E$2:$E$1001,$K238),""))</f>
        <v/>
      </c>
      <c r="C238" t="str">
        <f>IF($K238="","",IFERROR(INDEX('Veri Merkezi'!$D$2:$D$1001,$K238),""))</f>
        <v/>
      </c>
      <c r="D238" t="str">
        <f>IF($K238="","",IFERROR(INDEX('Veri Merkezi'!$F$2:$F$1001,$K238),""))</f>
        <v/>
      </c>
      <c r="E238" s="2" t="str">
        <f>IF($K238="","",IFERROR(INDEX('Veri Merkezi'!$G$2:$G$1001,$K238),""))</f>
        <v/>
      </c>
      <c r="F238" t="str">
        <f>IF($K238="","",IFERROR(INDEX('Veri Merkezi'!$H$2:$H$1001,$K238),""))</f>
        <v/>
      </c>
      <c r="G238" t="str">
        <f>IF($K238="","",IFERROR(INDEX('Veri Merkezi'!$R$2:$R$1001,$K238),""))</f>
        <v/>
      </c>
      <c r="H238" t="str">
        <f>IF($K238="","",IFERROR(INDEX('Veri Merkezi'!$S$2:$S$1001,$K238),""))</f>
        <v/>
      </c>
      <c r="I238" s="2" t="str">
        <f>IF($K238="","",IFERROR(INDEX('Veri Merkezi'!$T$2:$T$1001,$K238),""))</f>
        <v/>
      </c>
      <c r="J238" t="str">
        <f>IF($K238="","",IFERROR(INDEX('Veri Merkezi'!$U$2:$U$1001,$K238),""))</f>
        <v/>
      </c>
      <c r="K238" t="str">
        <f>IF(K237="","",IFERROR(K237+MATCH("B Liste",INDEX('Veri Merkezi'!$S$2:$S$1001,K237+1):'Veri Merkezi'!$S$1001,0),""))</f>
        <v/>
      </c>
    </row>
    <row r="239" spans="1:11">
      <c r="A239" t="str">
        <f>IF($K239="","",IFERROR(INDEX('Veri Merkezi'!$A$2:$A$1001,$K239),""))</f>
        <v/>
      </c>
      <c r="B239" t="str">
        <f>IF($K239="","",IFERROR(INDEX('Veri Merkezi'!$E$2:$E$1001,$K239),""))</f>
        <v/>
      </c>
      <c r="C239" t="str">
        <f>IF($K239="","",IFERROR(INDEX('Veri Merkezi'!$D$2:$D$1001,$K239),""))</f>
        <v/>
      </c>
      <c r="D239" t="str">
        <f>IF($K239="","",IFERROR(INDEX('Veri Merkezi'!$F$2:$F$1001,$K239),""))</f>
        <v/>
      </c>
      <c r="E239" s="2" t="str">
        <f>IF($K239="","",IFERROR(INDEX('Veri Merkezi'!$G$2:$G$1001,$K239),""))</f>
        <v/>
      </c>
      <c r="F239" t="str">
        <f>IF($K239="","",IFERROR(INDEX('Veri Merkezi'!$H$2:$H$1001,$K239),""))</f>
        <v/>
      </c>
      <c r="G239" t="str">
        <f>IF($K239="","",IFERROR(INDEX('Veri Merkezi'!$R$2:$R$1001,$K239),""))</f>
        <v/>
      </c>
      <c r="H239" t="str">
        <f>IF($K239="","",IFERROR(INDEX('Veri Merkezi'!$S$2:$S$1001,$K239),""))</f>
        <v/>
      </c>
      <c r="I239" s="2" t="str">
        <f>IF($K239="","",IFERROR(INDEX('Veri Merkezi'!$T$2:$T$1001,$K239),""))</f>
        <v/>
      </c>
      <c r="J239" t="str">
        <f>IF($K239="","",IFERROR(INDEX('Veri Merkezi'!$U$2:$U$1001,$K239),""))</f>
        <v/>
      </c>
      <c r="K239" t="str">
        <f>IF(K238="","",IFERROR(K238+MATCH("B Liste",INDEX('Veri Merkezi'!$S$2:$S$1001,K238+1):'Veri Merkezi'!$S$1001,0),""))</f>
        <v/>
      </c>
    </row>
    <row r="240" spans="1:11">
      <c r="A240" t="str">
        <f>IF($K240="","",IFERROR(INDEX('Veri Merkezi'!$A$2:$A$1001,$K240),""))</f>
        <v/>
      </c>
      <c r="B240" t="str">
        <f>IF($K240="","",IFERROR(INDEX('Veri Merkezi'!$E$2:$E$1001,$K240),""))</f>
        <v/>
      </c>
      <c r="C240" t="str">
        <f>IF($K240="","",IFERROR(INDEX('Veri Merkezi'!$D$2:$D$1001,$K240),""))</f>
        <v/>
      </c>
      <c r="D240" t="str">
        <f>IF($K240="","",IFERROR(INDEX('Veri Merkezi'!$F$2:$F$1001,$K240),""))</f>
        <v/>
      </c>
      <c r="E240" s="2" t="str">
        <f>IF($K240="","",IFERROR(INDEX('Veri Merkezi'!$G$2:$G$1001,$K240),""))</f>
        <v/>
      </c>
      <c r="F240" t="str">
        <f>IF($K240="","",IFERROR(INDEX('Veri Merkezi'!$H$2:$H$1001,$K240),""))</f>
        <v/>
      </c>
      <c r="G240" t="str">
        <f>IF($K240="","",IFERROR(INDEX('Veri Merkezi'!$R$2:$R$1001,$K240),""))</f>
        <v/>
      </c>
      <c r="H240" t="str">
        <f>IF($K240="","",IFERROR(INDEX('Veri Merkezi'!$S$2:$S$1001,$K240),""))</f>
        <v/>
      </c>
      <c r="I240" s="2" t="str">
        <f>IF($K240="","",IFERROR(INDEX('Veri Merkezi'!$T$2:$T$1001,$K240),""))</f>
        <v/>
      </c>
      <c r="J240" t="str">
        <f>IF($K240="","",IFERROR(INDEX('Veri Merkezi'!$U$2:$U$1001,$K240),""))</f>
        <v/>
      </c>
      <c r="K240" t="str">
        <f>IF(K239="","",IFERROR(K239+MATCH("B Liste",INDEX('Veri Merkezi'!$S$2:$S$1001,K239+1):'Veri Merkezi'!$S$1001,0),""))</f>
        <v/>
      </c>
    </row>
    <row r="241" spans="1:11">
      <c r="A241" t="str">
        <f>IF($K241="","",IFERROR(INDEX('Veri Merkezi'!$A$2:$A$1001,$K241),""))</f>
        <v/>
      </c>
      <c r="B241" t="str">
        <f>IF($K241="","",IFERROR(INDEX('Veri Merkezi'!$E$2:$E$1001,$K241),""))</f>
        <v/>
      </c>
      <c r="C241" t="str">
        <f>IF($K241="","",IFERROR(INDEX('Veri Merkezi'!$D$2:$D$1001,$K241),""))</f>
        <v/>
      </c>
      <c r="D241" t="str">
        <f>IF($K241="","",IFERROR(INDEX('Veri Merkezi'!$F$2:$F$1001,$K241),""))</f>
        <v/>
      </c>
      <c r="E241" s="2" t="str">
        <f>IF($K241="","",IFERROR(INDEX('Veri Merkezi'!$G$2:$G$1001,$K241),""))</f>
        <v/>
      </c>
      <c r="F241" t="str">
        <f>IF($K241="","",IFERROR(INDEX('Veri Merkezi'!$H$2:$H$1001,$K241),""))</f>
        <v/>
      </c>
      <c r="G241" t="str">
        <f>IF($K241="","",IFERROR(INDEX('Veri Merkezi'!$R$2:$R$1001,$K241),""))</f>
        <v/>
      </c>
      <c r="H241" t="str">
        <f>IF($K241="","",IFERROR(INDEX('Veri Merkezi'!$S$2:$S$1001,$K241),""))</f>
        <v/>
      </c>
      <c r="I241" s="2" t="str">
        <f>IF($K241="","",IFERROR(INDEX('Veri Merkezi'!$T$2:$T$1001,$K241),""))</f>
        <v/>
      </c>
      <c r="J241" t="str">
        <f>IF($K241="","",IFERROR(INDEX('Veri Merkezi'!$U$2:$U$1001,$K241),""))</f>
        <v/>
      </c>
      <c r="K241" t="str">
        <f>IF(K240="","",IFERROR(K240+MATCH("B Liste",INDEX('Veri Merkezi'!$S$2:$S$1001,K240+1):'Veri Merkezi'!$S$1001,0),""))</f>
        <v/>
      </c>
    </row>
    <row r="242" spans="1:11">
      <c r="A242" t="str">
        <f>IF($K242="","",IFERROR(INDEX('Veri Merkezi'!$A$2:$A$1001,$K242),""))</f>
        <v/>
      </c>
      <c r="B242" t="str">
        <f>IF($K242="","",IFERROR(INDEX('Veri Merkezi'!$E$2:$E$1001,$K242),""))</f>
        <v/>
      </c>
      <c r="C242" t="str">
        <f>IF($K242="","",IFERROR(INDEX('Veri Merkezi'!$D$2:$D$1001,$K242),""))</f>
        <v/>
      </c>
      <c r="D242" t="str">
        <f>IF($K242="","",IFERROR(INDEX('Veri Merkezi'!$F$2:$F$1001,$K242),""))</f>
        <v/>
      </c>
      <c r="E242" s="2" t="str">
        <f>IF($K242="","",IFERROR(INDEX('Veri Merkezi'!$G$2:$G$1001,$K242),""))</f>
        <v/>
      </c>
      <c r="F242" t="str">
        <f>IF($K242="","",IFERROR(INDEX('Veri Merkezi'!$H$2:$H$1001,$K242),""))</f>
        <v/>
      </c>
      <c r="G242" t="str">
        <f>IF($K242="","",IFERROR(INDEX('Veri Merkezi'!$R$2:$R$1001,$K242),""))</f>
        <v/>
      </c>
      <c r="H242" t="str">
        <f>IF($K242="","",IFERROR(INDEX('Veri Merkezi'!$S$2:$S$1001,$K242),""))</f>
        <v/>
      </c>
      <c r="I242" s="2" t="str">
        <f>IF($K242="","",IFERROR(INDEX('Veri Merkezi'!$T$2:$T$1001,$K242),""))</f>
        <v/>
      </c>
      <c r="J242" t="str">
        <f>IF($K242="","",IFERROR(INDEX('Veri Merkezi'!$U$2:$U$1001,$K242),""))</f>
        <v/>
      </c>
      <c r="K242" t="str">
        <f>IF(K241="","",IFERROR(K241+MATCH("B Liste",INDEX('Veri Merkezi'!$S$2:$S$1001,K241+1):'Veri Merkezi'!$S$1001,0),""))</f>
        <v/>
      </c>
    </row>
    <row r="243" spans="1:11">
      <c r="A243" t="str">
        <f>IF($K243="","",IFERROR(INDEX('Veri Merkezi'!$A$2:$A$1001,$K243),""))</f>
        <v/>
      </c>
      <c r="B243" t="str">
        <f>IF($K243="","",IFERROR(INDEX('Veri Merkezi'!$E$2:$E$1001,$K243),""))</f>
        <v/>
      </c>
      <c r="C243" t="str">
        <f>IF($K243="","",IFERROR(INDEX('Veri Merkezi'!$D$2:$D$1001,$K243),""))</f>
        <v/>
      </c>
      <c r="D243" t="str">
        <f>IF($K243="","",IFERROR(INDEX('Veri Merkezi'!$F$2:$F$1001,$K243),""))</f>
        <v/>
      </c>
      <c r="E243" s="2" t="str">
        <f>IF($K243="","",IFERROR(INDEX('Veri Merkezi'!$G$2:$G$1001,$K243),""))</f>
        <v/>
      </c>
      <c r="F243" t="str">
        <f>IF($K243="","",IFERROR(INDEX('Veri Merkezi'!$H$2:$H$1001,$K243),""))</f>
        <v/>
      </c>
      <c r="G243" t="str">
        <f>IF($K243="","",IFERROR(INDEX('Veri Merkezi'!$R$2:$R$1001,$K243),""))</f>
        <v/>
      </c>
      <c r="H243" t="str">
        <f>IF($K243="","",IFERROR(INDEX('Veri Merkezi'!$S$2:$S$1001,$K243),""))</f>
        <v/>
      </c>
      <c r="I243" s="2" t="str">
        <f>IF($K243="","",IFERROR(INDEX('Veri Merkezi'!$T$2:$T$1001,$K243),""))</f>
        <v/>
      </c>
      <c r="J243" t="str">
        <f>IF($K243="","",IFERROR(INDEX('Veri Merkezi'!$U$2:$U$1001,$K243),""))</f>
        <v/>
      </c>
      <c r="K243" t="str">
        <f>IF(K242="","",IFERROR(K242+MATCH("B Liste",INDEX('Veri Merkezi'!$S$2:$S$1001,K242+1):'Veri Merkezi'!$S$1001,0),""))</f>
        <v/>
      </c>
    </row>
    <row r="244" spans="1:11">
      <c r="A244" t="str">
        <f>IF($K244="","",IFERROR(INDEX('Veri Merkezi'!$A$2:$A$1001,$K244),""))</f>
        <v/>
      </c>
      <c r="B244" t="str">
        <f>IF($K244="","",IFERROR(INDEX('Veri Merkezi'!$E$2:$E$1001,$K244),""))</f>
        <v/>
      </c>
      <c r="C244" t="str">
        <f>IF($K244="","",IFERROR(INDEX('Veri Merkezi'!$D$2:$D$1001,$K244),""))</f>
        <v/>
      </c>
      <c r="D244" t="str">
        <f>IF($K244="","",IFERROR(INDEX('Veri Merkezi'!$F$2:$F$1001,$K244),""))</f>
        <v/>
      </c>
      <c r="E244" s="2" t="str">
        <f>IF($K244="","",IFERROR(INDEX('Veri Merkezi'!$G$2:$G$1001,$K244),""))</f>
        <v/>
      </c>
      <c r="F244" t="str">
        <f>IF($K244="","",IFERROR(INDEX('Veri Merkezi'!$H$2:$H$1001,$K244),""))</f>
        <v/>
      </c>
      <c r="G244" t="str">
        <f>IF($K244="","",IFERROR(INDEX('Veri Merkezi'!$R$2:$R$1001,$K244),""))</f>
        <v/>
      </c>
      <c r="H244" t="str">
        <f>IF($K244="","",IFERROR(INDEX('Veri Merkezi'!$S$2:$S$1001,$K244),""))</f>
        <v/>
      </c>
      <c r="I244" s="2" t="str">
        <f>IF($K244="","",IFERROR(INDEX('Veri Merkezi'!$T$2:$T$1001,$K244),""))</f>
        <v/>
      </c>
      <c r="J244" t="str">
        <f>IF($K244="","",IFERROR(INDEX('Veri Merkezi'!$U$2:$U$1001,$K244),""))</f>
        <v/>
      </c>
      <c r="K244" t="str">
        <f>IF(K243="","",IFERROR(K243+MATCH("B Liste",INDEX('Veri Merkezi'!$S$2:$S$1001,K243+1):'Veri Merkezi'!$S$1001,0),""))</f>
        <v/>
      </c>
    </row>
    <row r="245" spans="1:11">
      <c r="A245" t="str">
        <f>IF($K245="","",IFERROR(INDEX('Veri Merkezi'!$A$2:$A$1001,$K245),""))</f>
        <v/>
      </c>
      <c r="B245" t="str">
        <f>IF($K245="","",IFERROR(INDEX('Veri Merkezi'!$E$2:$E$1001,$K245),""))</f>
        <v/>
      </c>
      <c r="C245" t="str">
        <f>IF($K245="","",IFERROR(INDEX('Veri Merkezi'!$D$2:$D$1001,$K245),""))</f>
        <v/>
      </c>
      <c r="D245" t="str">
        <f>IF($K245="","",IFERROR(INDEX('Veri Merkezi'!$F$2:$F$1001,$K245),""))</f>
        <v/>
      </c>
      <c r="E245" s="2" t="str">
        <f>IF($K245="","",IFERROR(INDEX('Veri Merkezi'!$G$2:$G$1001,$K245),""))</f>
        <v/>
      </c>
      <c r="F245" t="str">
        <f>IF($K245="","",IFERROR(INDEX('Veri Merkezi'!$H$2:$H$1001,$K245),""))</f>
        <v/>
      </c>
      <c r="G245" t="str">
        <f>IF($K245="","",IFERROR(INDEX('Veri Merkezi'!$R$2:$R$1001,$K245),""))</f>
        <v/>
      </c>
      <c r="H245" t="str">
        <f>IF($K245="","",IFERROR(INDEX('Veri Merkezi'!$S$2:$S$1001,$K245),""))</f>
        <v/>
      </c>
      <c r="I245" s="2" t="str">
        <f>IF($K245="","",IFERROR(INDEX('Veri Merkezi'!$T$2:$T$1001,$K245),""))</f>
        <v/>
      </c>
      <c r="J245" t="str">
        <f>IF($K245="","",IFERROR(INDEX('Veri Merkezi'!$U$2:$U$1001,$K245),""))</f>
        <v/>
      </c>
      <c r="K245" t="str">
        <f>IF(K244="","",IFERROR(K244+MATCH("B Liste",INDEX('Veri Merkezi'!$S$2:$S$1001,K244+1):'Veri Merkezi'!$S$1001,0),""))</f>
        <v/>
      </c>
    </row>
    <row r="246" spans="1:11">
      <c r="A246" t="str">
        <f>IF($K246="","",IFERROR(INDEX('Veri Merkezi'!$A$2:$A$1001,$K246),""))</f>
        <v/>
      </c>
      <c r="B246" t="str">
        <f>IF($K246="","",IFERROR(INDEX('Veri Merkezi'!$E$2:$E$1001,$K246),""))</f>
        <v/>
      </c>
      <c r="C246" t="str">
        <f>IF($K246="","",IFERROR(INDEX('Veri Merkezi'!$D$2:$D$1001,$K246),""))</f>
        <v/>
      </c>
      <c r="D246" t="str">
        <f>IF($K246="","",IFERROR(INDEX('Veri Merkezi'!$F$2:$F$1001,$K246),""))</f>
        <v/>
      </c>
      <c r="E246" s="2" t="str">
        <f>IF($K246="","",IFERROR(INDEX('Veri Merkezi'!$G$2:$G$1001,$K246),""))</f>
        <v/>
      </c>
      <c r="F246" t="str">
        <f>IF($K246="","",IFERROR(INDEX('Veri Merkezi'!$H$2:$H$1001,$K246),""))</f>
        <v/>
      </c>
      <c r="G246" t="str">
        <f>IF($K246="","",IFERROR(INDEX('Veri Merkezi'!$R$2:$R$1001,$K246),""))</f>
        <v/>
      </c>
      <c r="H246" t="str">
        <f>IF($K246="","",IFERROR(INDEX('Veri Merkezi'!$S$2:$S$1001,$K246),""))</f>
        <v/>
      </c>
      <c r="I246" s="2" t="str">
        <f>IF($K246="","",IFERROR(INDEX('Veri Merkezi'!$T$2:$T$1001,$K246),""))</f>
        <v/>
      </c>
      <c r="J246" t="str">
        <f>IF($K246="","",IFERROR(INDEX('Veri Merkezi'!$U$2:$U$1001,$K246),""))</f>
        <v/>
      </c>
      <c r="K246" t="str">
        <f>IF(K245="","",IFERROR(K245+MATCH("B Liste",INDEX('Veri Merkezi'!$S$2:$S$1001,K245+1):'Veri Merkezi'!$S$1001,0),""))</f>
        <v/>
      </c>
    </row>
    <row r="247" spans="1:11">
      <c r="A247" t="str">
        <f>IF($K247="","",IFERROR(INDEX('Veri Merkezi'!$A$2:$A$1001,$K247),""))</f>
        <v/>
      </c>
      <c r="B247" t="str">
        <f>IF($K247="","",IFERROR(INDEX('Veri Merkezi'!$E$2:$E$1001,$K247),""))</f>
        <v/>
      </c>
      <c r="C247" t="str">
        <f>IF($K247="","",IFERROR(INDEX('Veri Merkezi'!$D$2:$D$1001,$K247),""))</f>
        <v/>
      </c>
      <c r="D247" t="str">
        <f>IF($K247="","",IFERROR(INDEX('Veri Merkezi'!$F$2:$F$1001,$K247),""))</f>
        <v/>
      </c>
      <c r="E247" s="2" t="str">
        <f>IF($K247="","",IFERROR(INDEX('Veri Merkezi'!$G$2:$G$1001,$K247),""))</f>
        <v/>
      </c>
      <c r="F247" t="str">
        <f>IF($K247="","",IFERROR(INDEX('Veri Merkezi'!$H$2:$H$1001,$K247),""))</f>
        <v/>
      </c>
      <c r="G247" t="str">
        <f>IF($K247="","",IFERROR(INDEX('Veri Merkezi'!$R$2:$R$1001,$K247),""))</f>
        <v/>
      </c>
      <c r="H247" t="str">
        <f>IF($K247="","",IFERROR(INDEX('Veri Merkezi'!$S$2:$S$1001,$K247),""))</f>
        <v/>
      </c>
      <c r="I247" s="2" t="str">
        <f>IF($K247="","",IFERROR(INDEX('Veri Merkezi'!$T$2:$T$1001,$K247),""))</f>
        <v/>
      </c>
      <c r="J247" t="str">
        <f>IF($K247="","",IFERROR(INDEX('Veri Merkezi'!$U$2:$U$1001,$K247),""))</f>
        <v/>
      </c>
      <c r="K247" t="str">
        <f>IF(K246="","",IFERROR(K246+MATCH("B Liste",INDEX('Veri Merkezi'!$S$2:$S$1001,K246+1):'Veri Merkezi'!$S$1001,0),""))</f>
        <v/>
      </c>
    </row>
    <row r="248" spans="1:11">
      <c r="A248" t="str">
        <f>IF($K248="","",IFERROR(INDEX('Veri Merkezi'!$A$2:$A$1001,$K248),""))</f>
        <v/>
      </c>
      <c r="B248" t="str">
        <f>IF($K248="","",IFERROR(INDEX('Veri Merkezi'!$E$2:$E$1001,$K248),""))</f>
        <v/>
      </c>
      <c r="C248" t="str">
        <f>IF($K248="","",IFERROR(INDEX('Veri Merkezi'!$D$2:$D$1001,$K248),""))</f>
        <v/>
      </c>
      <c r="D248" t="str">
        <f>IF($K248="","",IFERROR(INDEX('Veri Merkezi'!$F$2:$F$1001,$K248),""))</f>
        <v/>
      </c>
      <c r="E248" s="2" t="str">
        <f>IF($K248="","",IFERROR(INDEX('Veri Merkezi'!$G$2:$G$1001,$K248),""))</f>
        <v/>
      </c>
      <c r="F248" t="str">
        <f>IF($K248="","",IFERROR(INDEX('Veri Merkezi'!$H$2:$H$1001,$K248),""))</f>
        <v/>
      </c>
      <c r="G248" t="str">
        <f>IF($K248="","",IFERROR(INDEX('Veri Merkezi'!$R$2:$R$1001,$K248),""))</f>
        <v/>
      </c>
      <c r="H248" t="str">
        <f>IF($K248="","",IFERROR(INDEX('Veri Merkezi'!$S$2:$S$1001,$K248),""))</f>
        <v/>
      </c>
      <c r="I248" s="2" t="str">
        <f>IF($K248="","",IFERROR(INDEX('Veri Merkezi'!$T$2:$T$1001,$K248),""))</f>
        <v/>
      </c>
      <c r="J248" t="str">
        <f>IF($K248="","",IFERROR(INDEX('Veri Merkezi'!$U$2:$U$1001,$K248),""))</f>
        <v/>
      </c>
      <c r="K248" t="str">
        <f>IF(K247="","",IFERROR(K247+MATCH("B Liste",INDEX('Veri Merkezi'!$S$2:$S$1001,K247+1):'Veri Merkezi'!$S$1001,0),""))</f>
        <v/>
      </c>
    </row>
    <row r="249" spans="1:11">
      <c r="A249" t="str">
        <f>IF($K249="","",IFERROR(INDEX('Veri Merkezi'!$A$2:$A$1001,$K249),""))</f>
        <v/>
      </c>
      <c r="B249" t="str">
        <f>IF($K249="","",IFERROR(INDEX('Veri Merkezi'!$E$2:$E$1001,$K249),""))</f>
        <v/>
      </c>
      <c r="C249" t="str">
        <f>IF($K249="","",IFERROR(INDEX('Veri Merkezi'!$D$2:$D$1001,$K249),""))</f>
        <v/>
      </c>
      <c r="D249" t="str">
        <f>IF($K249="","",IFERROR(INDEX('Veri Merkezi'!$F$2:$F$1001,$K249),""))</f>
        <v/>
      </c>
      <c r="E249" s="2" t="str">
        <f>IF($K249="","",IFERROR(INDEX('Veri Merkezi'!$G$2:$G$1001,$K249),""))</f>
        <v/>
      </c>
      <c r="F249" t="str">
        <f>IF($K249="","",IFERROR(INDEX('Veri Merkezi'!$H$2:$H$1001,$K249),""))</f>
        <v/>
      </c>
      <c r="G249" t="str">
        <f>IF($K249="","",IFERROR(INDEX('Veri Merkezi'!$R$2:$R$1001,$K249),""))</f>
        <v/>
      </c>
      <c r="H249" t="str">
        <f>IF($K249="","",IFERROR(INDEX('Veri Merkezi'!$S$2:$S$1001,$K249),""))</f>
        <v/>
      </c>
      <c r="I249" s="2" t="str">
        <f>IF($K249="","",IFERROR(INDEX('Veri Merkezi'!$T$2:$T$1001,$K249),""))</f>
        <v/>
      </c>
      <c r="J249" t="str">
        <f>IF($K249="","",IFERROR(INDEX('Veri Merkezi'!$U$2:$U$1001,$K249),""))</f>
        <v/>
      </c>
      <c r="K249" t="str">
        <f>IF(K248="","",IFERROR(K248+MATCH("B Liste",INDEX('Veri Merkezi'!$S$2:$S$1001,K248+1):'Veri Merkezi'!$S$1001,0),""))</f>
        <v/>
      </c>
    </row>
    <row r="250" spans="1:11">
      <c r="A250" t="str">
        <f>IF($K250="","",IFERROR(INDEX('Veri Merkezi'!$A$2:$A$1001,$K250),""))</f>
        <v/>
      </c>
      <c r="B250" t="str">
        <f>IF($K250="","",IFERROR(INDEX('Veri Merkezi'!$E$2:$E$1001,$K250),""))</f>
        <v/>
      </c>
      <c r="C250" t="str">
        <f>IF($K250="","",IFERROR(INDEX('Veri Merkezi'!$D$2:$D$1001,$K250),""))</f>
        <v/>
      </c>
      <c r="D250" t="str">
        <f>IF($K250="","",IFERROR(INDEX('Veri Merkezi'!$F$2:$F$1001,$K250),""))</f>
        <v/>
      </c>
      <c r="E250" s="2" t="str">
        <f>IF($K250="","",IFERROR(INDEX('Veri Merkezi'!$G$2:$G$1001,$K250),""))</f>
        <v/>
      </c>
      <c r="F250" t="str">
        <f>IF($K250="","",IFERROR(INDEX('Veri Merkezi'!$H$2:$H$1001,$K250),""))</f>
        <v/>
      </c>
      <c r="G250" t="str">
        <f>IF($K250="","",IFERROR(INDEX('Veri Merkezi'!$R$2:$R$1001,$K250),""))</f>
        <v/>
      </c>
      <c r="H250" t="str">
        <f>IF($K250="","",IFERROR(INDEX('Veri Merkezi'!$S$2:$S$1001,$K250),""))</f>
        <v/>
      </c>
      <c r="I250" s="2" t="str">
        <f>IF($K250="","",IFERROR(INDEX('Veri Merkezi'!$T$2:$T$1001,$K250),""))</f>
        <v/>
      </c>
      <c r="J250" t="str">
        <f>IF($K250="","",IFERROR(INDEX('Veri Merkezi'!$U$2:$U$1001,$K250),""))</f>
        <v/>
      </c>
      <c r="K250" t="str">
        <f>IF(K249="","",IFERROR(K249+MATCH("B Liste",INDEX('Veri Merkezi'!$S$2:$S$1001,K249+1):'Veri Merkezi'!$S$1001,0),""))</f>
        <v/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0"/>
  <sheetViews>
    <sheetView workbookViewId="0">
      <selection activeCell="C30" sqref="C30"/>
    </sheetView>
  </sheetViews>
  <sheetFormatPr baseColWidth="10" defaultColWidth="8.83203125" defaultRowHeight="14"/>
  <cols>
    <col min="1" max="1" width="35.1640625" bestFit="1" customWidth="1"/>
    <col min="2" max="2" width="16" customWidth="1"/>
    <col min="3" max="3" width="8" customWidth="1"/>
    <col min="4" max="4" width="20" customWidth="1"/>
    <col min="5" max="5" width="16" customWidth="1"/>
    <col min="6" max="6" width="11" customWidth="1"/>
    <col min="7" max="7" width="12" customWidth="1"/>
    <col min="8" max="9" width="14" customWidth="1"/>
    <col min="10" max="10" width="24" customWidth="1"/>
    <col min="11" max="11" width="13" hidden="1" customWidth="1"/>
  </cols>
  <sheetData>
    <row r="1" spans="1:11" ht="21" customHeight="1">
      <c r="A1" s="94" t="s">
        <v>184</v>
      </c>
      <c r="B1" s="68"/>
      <c r="C1" s="68"/>
      <c r="D1" s="68"/>
      <c r="E1" s="68"/>
      <c r="F1" s="68"/>
      <c r="G1" s="68"/>
      <c r="H1" s="68"/>
      <c r="I1" s="68"/>
      <c r="J1" s="68"/>
    </row>
    <row r="3" spans="1:11" ht="16" customHeight="1">
      <c r="A3" s="30" t="s">
        <v>1</v>
      </c>
      <c r="B3" s="30" t="s">
        <v>5</v>
      </c>
      <c r="C3" s="30" t="s">
        <v>4</v>
      </c>
      <c r="D3" s="30" t="s">
        <v>7</v>
      </c>
      <c r="E3" s="30" t="s">
        <v>175</v>
      </c>
      <c r="F3" s="30" t="s">
        <v>9</v>
      </c>
      <c r="G3" s="30" t="s">
        <v>19</v>
      </c>
      <c r="H3" s="30" t="s">
        <v>20</v>
      </c>
      <c r="I3" s="30" t="s">
        <v>21</v>
      </c>
      <c r="J3" s="30" t="s">
        <v>182</v>
      </c>
    </row>
    <row r="4" spans="1:11">
      <c r="A4" t="str">
        <f>IF($K4="","",IFERROR(INDEX('Veri Merkezi'!$A$2:$A$1001,$K4),""))</f>
        <v>LEONARDO PİNHEİRO DA CONCEİÇAO</v>
      </c>
      <c r="B4" t="str">
        <f>IF($K4="","",IFERROR(INDEX('Veri Merkezi'!$E$2:$E$1001,$K4),""))</f>
        <v>Stoper</v>
      </c>
      <c r="C4">
        <f ca="1">IF($K4="","",IFERROR(INDEX('Veri Merkezi'!$D$2:$D$1001,$K4),""))</f>
        <v>30</v>
      </c>
      <c r="D4" t="str">
        <f>IF($K4="","",IFERROR(INDEX('Veri Merkezi'!$F$2:$F$1001,$K4),""))</f>
        <v>ATLETICA-PR</v>
      </c>
      <c r="E4" s="2">
        <f>IF($K4="","",IFERROR(INDEX('Veri Merkezi'!$G$2:$G$1001,$K4),""))</f>
        <v>47118</v>
      </c>
      <c r="F4" t="str">
        <f>IF($K4="","",IFERROR(INDEX('Veri Merkezi'!$H$2:$H$1001,$K4),""))</f>
        <v>Yeşil</v>
      </c>
      <c r="G4" t="str">
        <f>IF($K4="","",IFERROR(INDEX('Veri Merkezi'!$R$2:$R$1001,$K4),""))</f>
        <v/>
      </c>
      <c r="H4" t="str">
        <f>IF($K4="","",IFERROR(INDEX('Veri Merkezi'!$S$2:$S$1001,$K4),""))</f>
        <v>Takip</v>
      </c>
      <c r="I4" s="2" t="str">
        <f>IF($K4="","",IFERROR(INDEX('Veri Merkezi'!$T$2:$T$1001,$K4),""))</f>
        <v/>
      </c>
      <c r="J4" t="str">
        <f>IF($K4="","",IFERROR(INDEX('Veri Merkezi'!$U$2:$U$1001,$K4),""))</f>
        <v>Stoperler</v>
      </c>
      <c r="K4">
        <f>IFERROR(MATCH("Takip",'Veri Merkezi'!$S$2:$S$1001,0),"")</f>
        <v>105</v>
      </c>
    </row>
    <row r="5" spans="1:11">
      <c r="A5" t="str">
        <f>IF($K5="","",IFERROR(INDEX('Veri Merkezi'!$A$2:$A$1001,$K5),""))</f>
        <v>JAKOV MEDIC</v>
      </c>
      <c r="B5" t="str">
        <f>IF($K5="","",IFERROR(INDEX('Veri Merkezi'!$E$2:$E$1001,$K5),""))</f>
        <v>Stoper</v>
      </c>
      <c r="C5">
        <f ca="1">IF($K5="","",IFERROR(INDEX('Veri Merkezi'!$D$2:$D$1001,$K5),""))</f>
        <v>28</v>
      </c>
      <c r="D5" t="str">
        <f>IF($K5="","",IFERROR(INDEX('Veri Merkezi'!$F$2:$F$1001,$K5),""))</f>
        <v>UTRECHT</v>
      </c>
      <c r="E5" s="2">
        <f>IF($K5="","",IFERROR(INDEX('Veri Merkezi'!$G$2:$G$1001,$K5),""))</f>
        <v>46568</v>
      </c>
      <c r="F5" t="str">
        <f>IF($K5="","",IFERROR(INDEX('Veri Merkezi'!$H$2:$H$1001,$K5),""))</f>
        <v>Sarı</v>
      </c>
      <c r="G5" t="str">
        <f>IF($K5="","",IFERROR(INDEX('Veri Merkezi'!$R$2:$R$1001,$K5),""))</f>
        <v/>
      </c>
      <c r="H5" t="str">
        <f>IF($K5="","",IFERROR(INDEX('Veri Merkezi'!$S$2:$S$1001,$K5),""))</f>
        <v>Takip</v>
      </c>
      <c r="I5" s="2" t="str">
        <f>IF($K5="","",IFERROR(INDEX('Veri Merkezi'!$T$2:$T$1001,$K5),""))</f>
        <v/>
      </c>
      <c r="J5" t="str">
        <f>IF($K5="","",IFERROR(INDEX('Veri Merkezi'!$U$2:$U$1001,$K5),""))</f>
        <v>Stoperler</v>
      </c>
      <c r="K5">
        <f>IF(K4="","",IFERROR(K4+MATCH("Takip",INDEX('Veri Merkezi'!$S$2:$S$1001,K4+1):'Veri Merkezi'!$S$1001,0),""))</f>
        <v>111</v>
      </c>
    </row>
    <row r="6" spans="1:11">
      <c r="A6" t="str">
        <f>IF($K6="","",IFERROR(INDEX('Veri Merkezi'!$A$2:$A$1001,$K6),""))</f>
        <v>AHMED HADZIMUJOVIC</v>
      </c>
      <c r="B6" t="str">
        <f>IF($K6="","",IFERROR(INDEX('Veri Merkezi'!$E$2:$E$1001,$K6),""))</f>
        <v>Stoper</v>
      </c>
      <c r="C6">
        <f ca="1">IF($K6="","",IFERROR(INDEX('Veri Merkezi'!$D$2:$D$1001,$K6),""))</f>
        <v>19</v>
      </c>
      <c r="D6" t="str">
        <f>IF($K6="","",IFERROR(INDEX('Veri Merkezi'!$F$2:$F$1001,$K6),""))</f>
        <v>NOVI PAZAR</v>
      </c>
      <c r="E6" s="2">
        <f>IF($K6="","",IFERROR(INDEX('Veri Merkezi'!$G$2:$G$1001,$K6),""))</f>
        <v>46568</v>
      </c>
      <c r="F6" t="str">
        <f>IF($K6="","",IFERROR(INDEX('Veri Merkezi'!$H$2:$H$1001,$K6),""))</f>
        <v>Sarı</v>
      </c>
      <c r="G6" t="str">
        <f>IF($K6="","",IFERROR(INDEX('Veri Merkezi'!$R$2:$R$1001,$K6),""))</f>
        <v/>
      </c>
      <c r="H6" t="str">
        <f>IF($K6="","",IFERROR(INDEX('Veri Merkezi'!$S$2:$S$1001,$K6),""))</f>
        <v>Takip</v>
      </c>
      <c r="I6" s="2" t="str">
        <f>IF($K6="","",IFERROR(INDEX('Veri Merkezi'!$T$2:$T$1001,$K6),""))</f>
        <v/>
      </c>
      <c r="J6" t="str">
        <f>IF($K6="","",IFERROR(INDEX('Veri Merkezi'!$U$2:$U$1001,$K6),""))</f>
        <v>Stoperler</v>
      </c>
      <c r="K6">
        <f>IF(K5="","",IFERROR(K5+MATCH("Takip",INDEX('Veri Merkezi'!$S$2:$S$1001,K5+1):'Veri Merkezi'!$S$1001,0),""))</f>
        <v>116</v>
      </c>
    </row>
    <row r="7" spans="1:11">
      <c r="A7" t="str">
        <f>IF($K7="","",IFERROR(INDEX('Veri Merkezi'!$A$2:$A$1001,$K7),""))</f>
        <v>MARIO TUDOSE</v>
      </c>
      <c r="B7" t="str">
        <f>IF($K7="","",IFERROR(INDEX('Veri Merkezi'!$E$2:$E$1001,$K7),""))</f>
        <v>Stoper</v>
      </c>
      <c r="C7">
        <f ca="1">IF($K7="","",IFERROR(INDEX('Veri Merkezi'!$D$2:$D$1001,$K7),""))</f>
        <v>21</v>
      </c>
      <c r="D7" t="str">
        <f>IF($K7="","",IFERROR(INDEX('Veri Merkezi'!$F$2:$F$1001,$K7),""))</f>
        <v>FC ARGES</v>
      </c>
      <c r="E7" s="2">
        <f>IF($K7="","",IFERROR(INDEX('Veri Merkezi'!$G$2:$G$1001,$K7),""))</f>
        <v>47289</v>
      </c>
      <c r="F7" t="str">
        <f>IF($K7="","",IFERROR(INDEX('Veri Merkezi'!$H$2:$H$1001,$K7),""))</f>
        <v>Sarı</v>
      </c>
      <c r="G7" t="str">
        <f>IF($K7="","",IFERROR(INDEX('Veri Merkezi'!$R$2:$R$1001,$K7),""))</f>
        <v/>
      </c>
      <c r="H7" t="str">
        <f>IF($K7="","",IFERROR(INDEX('Veri Merkezi'!$S$2:$S$1001,$K7),""))</f>
        <v>Takip</v>
      </c>
      <c r="I7" s="2" t="str">
        <f>IF($K7="","",IFERROR(INDEX('Veri Merkezi'!$T$2:$T$1001,$K7),""))</f>
        <v/>
      </c>
      <c r="J7" t="str">
        <f>IF($K7="","",IFERROR(INDEX('Veri Merkezi'!$U$2:$U$1001,$K7),""))</f>
        <v>Stoperler</v>
      </c>
      <c r="K7">
        <f>IF(K6="","",IFERROR(K6+MATCH("Takip",INDEX('Veri Merkezi'!$S$2:$S$1001,K6+1):'Veri Merkezi'!$S$1001,0),""))</f>
        <v>119</v>
      </c>
    </row>
    <row r="8" spans="1:11">
      <c r="A8" t="str">
        <f>IF($K8="","",IFERROR(INDEX('Veri Merkezi'!$A$2:$A$1001,$K8),""))</f>
        <v>CHECK KEITA</v>
      </c>
      <c r="B8" t="str">
        <f>IF($K8="","",IFERROR(INDEX('Veri Merkezi'!$E$2:$E$1001,$K8),""))</f>
        <v>Stoper</v>
      </c>
      <c r="C8">
        <f ca="1">IF($K8="","",IFERROR(INDEX('Veri Merkezi'!$D$2:$D$1001,$K8),""))</f>
        <v>23</v>
      </c>
      <c r="D8" t="str">
        <f>IF($K8="","",IFERROR(INDEX('Veri Merkezi'!$F$2:$F$1001,$K8),""))</f>
        <v>ROYAL CHARLEROI SC</v>
      </c>
      <c r="E8" s="2">
        <f>IF($K8="","",IFERROR(INDEX('Veri Merkezi'!$G$2:$G$1001,$K8),""))</f>
        <v>46568</v>
      </c>
      <c r="F8" t="str">
        <f>IF($K8="","",IFERROR(INDEX('Veri Merkezi'!$H$2:$H$1001,$K8),""))</f>
        <v>Sarı</v>
      </c>
      <c r="G8" t="str">
        <f>IF($K8="","",IFERROR(INDEX('Veri Merkezi'!$R$2:$R$1001,$K8),""))</f>
        <v/>
      </c>
      <c r="H8" t="str">
        <f>IF($K8="","",IFERROR(INDEX('Veri Merkezi'!$S$2:$S$1001,$K8),""))</f>
        <v>Takip</v>
      </c>
      <c r="I8" s="2" t="str">
        <f>IF($K8="","",IFERROR(INDEX('Veri Merkezi'!$T$2:$T$1001,$K8),""))</f>
        <v/>
      </c>
      <c r="J8" t="str">
        <f>IF($K8="","",IFERROR(INDEX('Veri Merkezi'!$U$2:$U$1001,$K8),""))</f>
        <v>Stoperler</v>
      </c>
      <c r="K8">
        <f>IF(K7="","",IFERROR(K7+MATCH("Takip",INDEX('Veri Merkezi'!$S$2:$S$1001,K7+1):'Veri Merkezi'!$S$1001,0),""))</f>
        <v>123</v>
      </c>
    </row>
    <row r="9" spans="1:11">
      <c r="A9" t="str">
        <f>IF($K9="","",IFERROR(INDEX('Veri Merkezi'!$A$2:$A$1001,$K9),""))</f>
        <v>GIOVANNI VAN ZWAM</v>
      </c>
      <c r="B9" t="str">
        <f>IF($K9="","",IFERROR(INDEX('Veri Merkezi'!$E$2:$E$1001,$K9),""))</f>
        <v>Stoper</v>
      </c>
      <c r="C9">
        <f ca="1">IF($K9="","",IFERROR(INDEX('Veri Merkezi'!$D$2:$D$1001,$K9),""))</f>
        <v>22</v>
      </c>
      <c r="D9" t="str">
        <f>IF($K9="","",IFERROR(INDEX('Veri Merkezi'!$F$2:$F$1001,$K9),""))</f>
        <v>GO AHEAD EAGLES</v>
      </c>
      <c r="E9" s="2">
        <f>IF($K9="","",IFERROR(INDEX('Veri Merkezi'!$G$2:$G$1001,$K9),""))</f>
        <v>46568</v>
      </c>
      <c r="F9" t="str">
        <f>IF($K9="","",IFERROR(INDEX('Veri Merkezi'!$H$2:$H$1001,$K9),""))</f>
        <v>Sarı</v>
      </c>
      <c r="G9" t="str">
        <f>IF($K9="","",IFERROR(INDEX('Veri Merkezi'!$R$2:$R$1001,$K9),""))</f>
        <v/>
      </c>
      <c r="H9" t="str">
        <f>IF($K9="","",IFERROR(INDEX('Veri Merkezi'!$S$2:$S$1001,$K9),""))</f>
        <v>Takip</v>
      </c>
      <c r="I9" s="2" t="str">
        <f>IF($K9="","",IFERROR(INDEX('Veri Merkezi'!$T$2:$T$1001,$K9),""))</f>
        <v/>
      </c>
      <c r="J9" t="str">
        <f>IF($K9="","",IFERROR(INDEX('Veri Merkezi'!$U$2:$U$1001,$K9),""))</f>
        <v>Stoperler</v>
      </c>
      <c r="K9">
        <f>IF(K8="","",IFERROR(K8+MATCH("Takip",INDEX('Veri Merkezi'!$S$2:$S$1001,K8+1):'Veri Merkezi'!$S$1001,0),""))</f>
        <v>124</v>
      </c>
    </row>
    <row r="10" spans="1:11">
      <c r="A10" t="str">
        <f>IF($K10="","",IFERROR(INDEX('Veri Merkezi'!$A$2:$A$1001,$K10),""))</f>
        <v>JOAO PEDRO MOTURANO</v>
      </c>
      <c r="B10" t="str">
        <f>IF($K10="","",IFERROR(INDEX('Veri Merkezi'!$E$2:$E$1001,$K10),""))</f>
        <v>Sağ Bek</v>
      </c>
      <c r="C10">
        <f ca="1">IF($K10="","",IFERROR(INDEX('Veri Merkezi'!$D$2:$D$1001,$K10),""))</f>
        <v>29</v>
      </c>
      <c r="D10" t="str">
        <f>IF($K10="","",IFERROR(INDEX('Veri Merkezi'!$F$2:$F$1001,$K10),""))</f>
        <v>GREMIO</v>
      </c>
      <c r="E10" s="2">
        <f>IF($K10="","",IFERROR(INDEX('Veri Merkezi'!$G$2:$G$1001,$K10),""))</f>
        <v>46752</v>
      </c>
      <c r="F10" t="str">
        <f>IF($K10="","",IFERROR(INDEX('Veri Merkezi'!$H$2:$H$1001,$K10),""))</f>
        <v>Sarı</v>
      </c>
      <c r="G10" t="str">
        <f>IF($K10="","",IFERROR(INDEX('Veri Merkezi'!$R$2:$R$1001,$K10),""))</f>
        <v/>
      </c>
      <c r="H10" t="str">
        <f>IF($K10="","",IFERROR(INDEX('Veri Merkezi'!$S$2:$S$1001,$K10),""))</f>
        <v>Takip</v>
      </c>
      <c r="I10" s="2" t="str">
        <f>IF($K10="","",IFERROR(INDEX('Veri Merkezi'!$T$2:$T$1001,$K10),""))</f>
        <v/>
      </c>
      <c r="J10" t="str">
        <f>IF($K10="","",IFERROR(INDEX('Veri Merkezi'!$U$2:$U$1001,$K10),""))</f>
        <v>Sağ Bekler</v>
      </c>
      <c r="K10">
        <f>IF(K9="","",IFERROR(K9+MATCH("Takip",INDEX('Veri Merkezi'!$S$2:$S$1001,K9+1):'Veri Merkezi'!$S$1001,0),""))</f>
        <v>203</v>
      </c>
    </row>
    <row r="11" spans="1:11">
      <c r="A11" t="str">
        <f>IF($K11="","",IFERROR(INDEX('Veri Merkezi'!$A$2:$A$1001,$K11),""))</f>
        <v>CASPER HOJER</v>
      </c>
      <c r="B11" t="str">
        <f>IF($K11="","",IFERROR(INDEX('Veri Merkezi'!$E$2:$E$1001,$K11),""))</f>
        <v>Sol Bek</v>
      </c>
      <c r="C11">
        <f ca="1">IF($K11="","",IFERROR(INDEX('Veri Merkezi'!$D$2:$D$1001,$K11),""))</f>
        <v>31</v>
      </c>
      <c r="D11" t="str">
        <f>IF($K11="","",IFERROR(INDEX('Veri Merkezi'!$F$2:$F$1001,$K11),""))</f>
        <v>FREE</v>
      </c>
      <c r="E11" s="2" t="str">
        <f>IF($K11="","",IFERROR(INDEX('Veri Merkezi'!$G$2:$G$1001,$K11),""))</f>
        <v>-</v>
      </c>
      <c r="F11" t="str">
        <f>IF($K11="","",IFERROR(INDEX('Veri Merkezi'!$H$2:$H$1001,$K11),""))</f>
        <v>Sarı</v>
      </c>
      <c r="G11" t="str">
        <f>IF($K11="","",IFERROR(INDEX('Veri Merkezi'!$R$2:$R$1001,$K11),""))</f>
        <v/>
      </c>
      <c r="H11" t="str">
        <f>IF($K11="","",IFERROR(INDEX('Veri Merkezi'!$S$2:$S$1001,$K11),""))</f>
        <v>Takip</v>
      </c>
      <c r="I11" s="2" t="str">
        <f>IF($K11="","",IFERROR(INDEX('Veri Merkezi'!$T$2:$T$1001,$K11),""))</f>
        <v/>
      </c>
      <c r="J11" t="str">
        <f>IF($K11="","",IFERROR(INDEX('Veri Merkezi'!$U$2:$U$1001,$K11),""))</f>
        <v>Sol Bekler</v>
      </c>
      <c r="K11">
        <f>IF(K10="","",IFERROR(K10+MATCH("Takip",INDEX('Veri Merkezi'!$S$2:$S$1001,K10+1):'Veri Merkezi'!$S$1001,0),""))</f>
        <v>305</v>
      </c>
    </row>
    <row r="12" spans="1:11">
      <c r="A12" t="str">
        <f>IF($K12="","",IFERROR(INDEX('Veri Merkezi'!$A$2:$A$1001,$K12),""))</f>
        <v>YVES BISSOUMA</v>
      </c>
      <c r="B12" t="str">
        <f>IF($K12="","",IFERROR(INDEX('Veri Merkezi'!$E$2:$E$1001,$K12),""))</f>
        <v>6 Numara</v>
      </c>
      <c r="C12">
        <f ca="1">IF($K12="","",IFERROR(INDEX('Veri Merkezi'!$D$2:$D$1001,$K12),""))</f>
        <v>30</v>
      </c>
      <c r="D12" t="str">
        <f>IF($K12="","",IFERROR(INDEX('Veri Merkezi'!$F$2:$F$1001,$K12),""))</f>
        <v>FREE</v>
      </c>
      <c r="E12" s="2" t="str">
        <f>IF($K12="","",IFERROR(INDEX('Veri Merkezi'!$G$2:$G$1001,$K12),""))</f>
        <v>-</v>
      </c>
      <c r="F12" t="str">
        <f>IF($K12="","",IFERROR(INDEX('Veri Merkezi'!$H$2:$H$1001,$K12),""))</f>
        <v>Sarı</v>
      </c>
      <c r="G12" t="str">
        <f>IF($K12="","",IFERROR(INDEX('Veri Merkezi'!$R$2:$R$1001,$K12),""))</f>
        <v/>
      </c>
      <c r="H12" t="str">
        <f>IF($K12="","",IFERROR(INDEX('Veri Merkezi'!$S$2:$S$1001,$K12),""))</f>
        <v>Takip</v>
      </c>
      <c r="I12" s="2" t="str">
        <f>IF($K12="","",IFERROR(INDEX('Veri Merkezi'!$T$2:$T$1001,$K12),""))</f>
        <v/>
      </c>
      <c r="J12" t="str">
        <f>IF($K12="","",IFERROR(INDEX('Veri Merkezi'!$U$2:$U$1001,$K12),""))</f>
        <v>6 Numaralar</v>
      </c>
      <c r="K12">
        <f>IF(K11="","",IFERROR(K11+MATCH("Takip",INDEX('Veri Merkezi'!$S$2:$S$1001,K11+1):'Veri Merkezi'!$S$1001,0),""))</f>
        <v>401</v>
      </c>
    </row>
    <row r="13" spans="1:11">
      <c r="A13" t="str">
        <f>IF($K13="","",IFERROR(INDEX('Veri Merkezi'!$A$2:$A$1001,$K13),""))</f>
        <v>LUCA REGIARDO</v>
      </c>
      <c r="B13" t="str">
        <f>IF($K13="","",IFERROR(INDEX('Veri Merkezi'!$E$2:$E$1001,$K13),""))</f>
        <v>6 Numara</v>
      </c>
      <c r="C13">
        <f ca="1">IF($K13="","",IFERROR(INDEX('Veri Merkezi'!$D$2:$D$1001,$K13),""))</f>
        <v>19</v>
      </c>
      <c r="D13" t="str">
        <f>IF($K13="","",IFERROR(INDEX('Veri Merkezi'!$F$2:$F$1001,$K13),""))</f>
        <v>NEWELL'S</v>
      </c>
      <c r="E13" s="2">
        <f>IF($K13="","",IFERROR(INDEX('Veri Merkezi'!$G$2:$G$1001,$K13),""))</f>
        <v>47483</v>
      </c>
      <c r="F13" t="str">
        <f>IF($K13="","",IFERROR(INDEX('Veri Merkezi'!$H$2:$H$1001,$K13),""))</f>
        <v>Yeşil</v>
      </c>
      <c r="G13" t="str">
        <f>IF($K13="","",IFERROR(INDEX('Veri Merkezi'!$R$2:$R$1001,$K13),""))</f>
        <v/>
      </c>
      <c r="H13" t="str">
        <f>IF($K13="","",IFERROR(INDEX('Veri Merkezi'!$S$2:$S$1001,$K13),""))</f>
        <v>Takip</v>
      </c>
      <c r="I13" s="2" t="str">
        <f>IF($K13="","",IFERROR(INDEX('Veri Merkezi'!$T$2:$T$1001,$K13),""))</f>
        <v/>
      </c>
      <c r="J13" t="str">
        <f>IF($K13="","",IFERROR(INDEX('Veri Merkezi'!$U$2:$U$1001,$K13),""))</f>
        <v>6 Numaralar</v>
      </c>
      <c r="K13">
        <f>IF(K12="","",IFERROR(K12+MATCH("Takip",INDEX('Veri Merkezi'!$S$2:$S$1001,K12+1):'Veri Merkezi'!$S$1001,0),""))</f>
        <v>403</v>
      </c>
    </row>
    <row r="14" spans="1:11">
      <c r="A14" t="str">
        <f>IF($K14="","",IFERROR(INDEX('Veri Merkezi'!$A$2:$A$1001,$K14),""))</f>
        <v>CHARLYS MATHEUS LİMA</v>
      </c>
      <c r="B14" t="str">
        <f>IF($K14="","",IFERROR(INDEX('Veri Merkezi'!$E$2:$E$1001,$K14),""))</f>
        <v>6 Numara</v>
      </c>
      <c r="C14">
        <f ca="1">IF($K14="","",IFERROR(INDEX('Veri Merkezi'!$D$2:$D$1001,$K14),""))</f>
        <v>22</v>
      </c>
      <c r="D14" t="str">
        <f>IF($K14="","",IFERROR(INDEX('Veri Merkezi'!$F$2:$F$1001,$K14),""))</f>
        <v>İNTER</v>
      </c>
      <c r="E14" s="2">
        <f>IF($K14="","",IFERROR(INDEX('Veri Merkezi'!$G$2:$G$1001,$K14),""))</f>
        <v>46568</v>
      </c>
      <c r="F14" t="str">
        <f>IF($K14="","",IFERROR(INDEX('Veri Merkezi'!$H$2:$H$1001,$K14),""))</f>
        <v>Sarı</v>
      </c>
      <c r="G14" t="str">
        <f>IF($K14="","",IFERROR(INDEX('Veri Merkezi'!$R$2:$R$1001,$K14),""))</f>
        <v/>
      </c>
      <c r="H14" t="str">
        <f>IF($K14="","",IFERROR(INDEX('Veri Merkezi'!$S$2:$S$1001,$K14),""))</f>
        <v>Takip</v>
      </c>
      <c r="I14" s="2" t="str">
        <f>IF($K14="","",IFERROR(INDEX('Veri Merkezi'!$T$2:$T$1001,$K14),""))</f>
        <v/>
      </c>
      <c r="J14" t="str">
        <f>IF($K14="","",IFERROR(INDEX('Veri Merkezi'!$U$2:$U$1001,$K14),""))</f>
        <v>6 Numaralar</v>
      </c>
      <c r="K14">
        <f>IF(K13="","",IFERROR(K13+MATCH("Takip",INDEX('Veri Merkezi'!$S$2:$S$1001,K13+1):'Veri Merkezi'!$S$1001,0),""))</f>
        <v>408</v>
      </c>
    </row>
    <row r="15" spans="1:11">
      <c r="A15" t="str">
        <f>IF($K15="","",IFERROR(INDEX('Veri Merkezi'!$A$2:$A$1001,$K15),""))</f>
        <v>YARI VERSHAEREN</v>
      </c>
      <c r="B15" t="str">
        <f>IF($K15="","",IFERROR(INDEX('Veri Merkezi'!$E$2:$E$1001,$K15),""))</f>
        <v>8 Numara</v>
      </c>
      <c r="C15">
        <f ca="1">IF($K15="","",IFERROR(INDEX('Veri Merkezi'!$D$2:$D$1001,$K15),""))</f>
        <v>25</v>
      </c>
      <c r="D15" t="str">
        <f>IF($K15="","",IFERROR(INDEX('Veri Merkezi'!$F$2:$F$1001,$K15),""))</f>
        <v>SAMPDORIA</v>
      </c>
      <c r="E15" s="2">
        <f>IF($K15="","",IFERROR(INDEX('Veri Merkezi'!$G$2:$G$1001,$K15),""))</f>
        <v>47299</v>
      </c>
      <c r="F15" t="str">
        <f>IF($K15="","",IFERROR(INDEX('Veri Merkezi'!$H$2:$H$1001,$K15),""))</f>
        <v>Yeşil</v>
      </c>
      <c r="G15" t="str">
        <f>IF($K15="","",IFERROR(INDEX('Veri Merkezi'!$R$2:$R$1001,$K15),""))</f>
        <v/>
      </c>
      <c r="H15" t="str">
        <f>IF($K15="","",IFERROR(INDEX('Veri Merkezi'!$S$2:$S$1001,$K15),""))</f>
        <v>Takip</v>
      </c>
      <c r="I15" s="2" t="str">
        <f>IF($K15="","",IFERROR(INDEX('Veri Merkezi'!$T$2:$T$1001,$K15),""))</f>
        <v/>
      </c>
      <c r="J15" t="str">
        <f>IF($K15="","",IFERROR(INDEX('Veri Merkezi'!$U$2:$U$1001,$K15),""))</f>
        <v>8 Numaralar</v>
      </c>
      <c r="K15">
        <f>IF(K14="","",IFERROR(K14+MATCH("Takip",INDEX('Veri Merkezi'!$S$2:$S$1001,K14+1):'Veri Merkezi'!$S$1001,0),""))</f>
        <v>508</v>
      </c>
    </row>
    <row r="16" spans="1:11">
      <c r="A16" t="str">
        <f>IF($K16="","",IFERROR(INDEX('Veri Merkezi'!$A$2:$A$1001,$K16),""))</f>
        <v>JOVAN SLJIVIC</v>
      </c>
      <c r="B16" t="str">
        <f>IF($K16="","",IFERROR(INDEX('Veri Merkezi'!$E$2:$E$1001,$K16),""))</f>
        <v>8 Numara</v>
      </c>
      <c r="C16">
        <f ca="1">IF($K16="","",IFERROR(INDEX('Veri Merkezi'!$D$2:$D$1001,$K16),""))</f>
        <v>21</v>
      </c>
      <c r="D16" t="str">
        <f>IF($K16="","",IFERROR(INDEX('Veri Merkezi'!$F$2:$F$1001,$K16),""))</f>
        <v>OFK BEOGRAD</v>
      </c>
      <c r="E16" s="2">
        <f>IF($K16="","",IFERROR(INDEX('Veri Merkezi'!$G$2:$G$1001,$K16),""))</f>
        <v>46568</v>
      </c>
      <c r="F16" t="str">
        <f>IF($K16="","",IFERROR(INDEX('Veri Merkezi'!$H$2:$H$1001,$K16),""))</f>
        <v>Sarı</v>
      </c>
      <c r="G16" t="str">
        <f>IF($K16="","",IFERROR(INDEX('Veri Merkezi'!$R$2:$R$1001,$K16),""))</f>
        <v/>
      </c>
      <c r="H16" t="str">
        <f>IF($K16="","",IFERROR(INDEX('Veri Merkezi'!$S$2:$S$1001,$K16),""))</f>
        <v>Takip</v>
      </c>
      <c r="I16" s="2" t="str">
        <f>IF($K16="","",IFERROR(INDEX('Veri Merkezi'!$T$2:$T$1001,$K16),""))</f>
        <v/>
      </c>
      <c r="J16" t="str">
        <f>IF($K16="","",IFERROR(INDEX('Veri Merkezi'!$U$2:$U$1001,$K16),""))</f>
        <v>8 Numaralar</v>
      </c>
      <c r="K16">
        <f>IF(K15="","",IFERROR(K15+MATCH("Takip",INDEX('Veri Merkezi'!$S$2:$S$1001,K15+1):'Veri Merkezi'!$S$1001,0),""))</f>
        <v>512</v>
      </c>
    </row>
    <row r="17" spans="1:11">
      <c r="A17" t="str">
        <f>IF($K17="","",IFERROR(INDEX('Veri Merkezi'!$A$2:$A$1001,$K17),""))</f>
        <v>ALPHADJO CISSE</v>
      </c>
      <c r="B17" t="str">
        <f>IF($K17="","",IFERROR(INDEX('Veri Merkezi'!$E$2:$E$1001,$K17),""))</f>
        <v>10 Numara</v>
      </c>
      <c r="C17">
        <f ca="1">IF($K17="","",IFERROR(INDEX('Veri Merkezi'!$D$2:$D$1001,$K17),""))</f>
        <v>20</v>
      </c>
      <c r="D17" t="str">
        <f>IF($K17="","",IFERROR(INDEX('Veri Merkezi'!$F$2:$F$1001,$K17),""))</f>
        <v>MİLAN</v>
      </c>
      <c r="E17" s="2">
        <f>IF($K17="","",IFERROR(INDEX('Veri Merkezi'!$G$2:$G$1001,$K17),""))</f>
        <v>47664</v>
      </c>
      <c r="F17" t="str">
        <f>IF($K17="","",IFERROR(INDEX('Veri Merkezi'!$H$2:$H$1001,$K17),""))</f>
        <v>Sarı</v>
      </c>
      <c r="G17" t="str">
        <f>IF($K17="","",IFERROR(INDEX('Veri Merkezi'!$R$2:$R$1001,$K17),""))</f>
        <v/>
      </c>
      <c r="H17" t="str">
        <f>IF($K17="","",IFERROR(INDEX('Veri Merkezi'!$S$2:$S$1001,$K17),""))</f>
        <v>Takip</v>
      </c>
      <c r="I17" s="2" t="str">
        <f>IF($K17="","",IFERROR(INDEX('Veri Merkezi'!$T$2:$T$1001,$K17),""))</f>
        <v/>
      </c>
      <c r="J17" t="str">
        <f>IF($K17="","",IFERROR(INDEX('Veri Merkezi'!$U$2:$U$1001,$K17),""))</f>
        <v>10 Numaralar</v>
      </c>
      <c r="K17">
        <f>IF(K16="","",IFERROR(K16+MATCH("Takip",INDEX('Veri Merkezi'!$S$2:$S$1001,K16+1):'Veri Merkezi'!$S$1001,0),""))</f>
        <v>601</v>
      </c>
    </row>
    <row r="18" spans="1:11">
      <c r="A18" t="str">
        <f>IF($K18="","",IFERROR(INDEX('Veri Merkezi'!$A$2:$A$1001,$K18),""))</f>
        <v>MİLAN VUKOTİC</v>
      </c>
      <c r="B18" t="str">
        <f>IF($K18="","",IFERROR(INDEX('Veri Merkezi'!$E$2:$E$1001,$K18),""))</f>
        <v>10 Numara</v>
      </c>
      <c r="C18">
        <f ca="1">IF($K18="","",IFERROR(INDEX('Veri Merkezi'!$D$2:$D$1001,$K18),""))</f>
        <v>24</v>
      </c>
      <c r="D18" t="str">
        <f>IF($K18="","",IFERROR(INDEX('Veri Merkezi'!$F$2:$F$1001,$K18),""))</f>
        <v>PARTİZAN</v>
      </c>
      <c r="E18" s="2">
        <f>IF($K18="","",IFERROR(INDEX('Veri Merkezi'!$G$2:$G$1001,$K18),""))</f>
        <v>47299</v>
      </c>
      <c r="F18" t="str">
        <f>IF($K18="","",IFERROR(INDEX('Veri Merkezi'!$H$2:$H$1001,$K18),""))</f>
        <v>Yeşil</v>
      </c>
      <c r="G18" t="str">
        <f>IF($K18="","",IFERROR(INDEX('Veri Merkezi'!$R$2:$R$1001,$K18),""))</f>
        <v/>
      </c>
      <c r="H18" t="str">
        <f>IF($K18="","",IFERROR(INDEX('Veri Merkezi'!$S$2:$S$1001,$K18),""))</f>
        <v>Takip</v>
      </c>
      <c r="I18" s="2" t="str">
        <f>IF($K18="","",IFERROR(INDEX('Veri Merkezi'!$T$2:$T$1001,$K18),""))</f>
        <v/>
      </c>
      <c r="J18" t="str">
        <f>IF($K18="","",IFERROR(INDEX('Veri Merkezi'!$U$2:$U$1001,$K18),""))</f>
        <v>10 Numaralar</v>
      </c>
      <c r="K18">
        <f>IF(K17="","",IFERROR(K17+MATCH("Takip",INDEX('Veri Merkezi'!$S$2:$S$1001,K17+1):'Veri Merkezi'!$S$1001,0),""))</f>
        <v>610</v>
      </c>
    </row>
    <row r="19" spans="1:11">
      <c r="A19" t="str">
        <f>IF($K19="","",IFERROR(INDEX('Veri Merkezi'!$A$2:$A$1001,$K19),""))</f>
        <v>EMRE ERDOĞAN</v>
      </c>
      <c r="B19" t="str">
        <f>IF($K19="","",IFERROR(INDEX('Veri Merkezi'!$E$2:$E$1001,$K19),""))</f>
        <v>Kanat</v>
      </c>
      <c r="C19">
        <f ca="1">IF($K19="","",IFERROR(INDEX('Veri Merkezi'!$D$2:$D$1001,$K19),""))</f>
        <v>19</v>
      </c>
      <c r="D19" t="str">
        <f>IF($K19="","",IFERROR(INDEX('Veri Merkezi'!$F$2:$F$1001,$K19),""))</f>
        <v>1860 MUNIH</v>
      </c>
      <c r="E19" s="2">
        <f>IF($K19="","",IFERROR(INDEX('Veri Merkezi'!$G$2:$G$1001,$K19),""))</f>
        <v>46568</v>
      </c>
      <c r="F19" t="str">
        <f>IF($K19="","",IFERROR(INDEX('Veri Merkezi'!$H$2:$H$1001,$K19),""))</f>
        <v>Sarı</v>
      </c>
      <c r="G19" t="str">
        <f>IF($K19="","",IFERROR(INDEX('Veri Merkezi'!$R$2:$R$1001,$K19),""))</f>
        <v/>
      </c>
      <c r="H19" t="str">
        <f>IF($K19="","",IFERROR(INDEX('Veri Merkezi'!$S$2:$S$1001,$K19),""))</f>
        <v>Takip</v>
      </c>
      <c r="I19" s="2" t="str">
        <f>IF($K19="","",IFERROR(INDEX('Veri Merkezi'!$T$2:$T$1001,$K19),""))</f>
        <v/>
      </c>
      <c r="J19" t="str">
        <f>IF($K19="","",IFERROR(INDEX('Veri Merkezi'!$U$2:$U$1001,$K19),""))</f>
        <v>Kanatlar</v>
      </c>
      <c r="K19">
        <f>IF(K18="","",IFERROR(K18+MATCH("Takip",INDEX('Veri Merkezi'!$S$2:$S$1001,K18+1):'Veri Merkezi'!$S$1001,0),""))</f>
        <v>703</v>
      </c>
    </row>
    <row r="20" spans="1:11">
      <c r="A20" t="str">
        <f>IF($K20="","",IFERROR(INDEX('Veri Merkezi'!$A$2:$A$1001,$K20),""))</f>
        <v>LURİ TAVARES</v>
      </c>
      <c r="B20" t="str">
        <f>IF($K20="","",IFERROR(INDEX('Veri Merkezi'!$E$2:$E$1001,$K20),""))</f>
        <v>Kanat</v>
      </c>
      <c r="C20">
        <f ca="1">IF($K20="","",IFERROR(INDEX('Veri Merkezi'!$D$2:$D$1001,$K20),""))</f>
        <v>25</v>
      </c>
      <c r="D20" t="str">
        <f>IF($K20="","",IFERROR(INDEX('Veri Merkezi'!$F$2:$F$1001,$K20),""))</f>
        <v>NK VARAZDIN</v>
      </c>
      <c r="E20" s="2">
        <f>IF($K20="","",IFERROR(INDEX('Veri Merkezi'!$G$2:$G$1001,$K20),""))</f>
        <v>46904</v>
      </c>
      <c r="F20" t="str">
        <f>IF($K20="","",IFERROR(INDEX('Veri Merkezi'!$H$2:$H$1001,$K20),""))</f>
        <v>Sarı</v>
      </c>
      <c r="G20" t="str">
        <f>IF($K20="","",IFERROR(INDEX('Veri Merkezi'!$R$2:$R$1001,$K20),""))</f>
        <v/>
      </c>
      <c r="H20" t="str">
        <f>IF($K20="","",IFERROR(INDEX('Veri Merkezi'!$S$2:$S$1001,$K20),""))</f>
        <v>Takip</v>
      </c>
      <c r="I20" s="2" t="str">
        <f>IF($K20="","",IFERROR(INDEX('Veri Merkezi'!$T$2:$T$1001,$K20),""))</f>
        <v/>
      </c>
      <c r="J20" t="str">
        <f>IF($K20="","",IFERROR(INDEX('Veri Merkezi'!$U$2:$U$1001,$K20),""))</f>
        <v>Kanatlar</v>
      </c>
      <c r="K20">
        <f>IF(K19="","",IFERROR(K19+MATCH("Takip",INDEX('Veri Merkezi'!$S$2:$S$1001,K19+1):'Veri Merkezi'!$S$1001,0),""))</f>
        <v>708</v>
      </c>
    </row>
    <row r="21" spans="1:11">
      <c r="A21" t="str">
        <f>IF($K21="","",IFERROR(INDEX('Veri Merkezi'!$A$2:$A$1001,$K21),""))</f>
        <v>MARİN PETKOV</v>
      </c>
      <c r="B21" t="str">
        <f>IF($K21="","",IFERROR(INDEX('Veri Merkezi'!$E$2:$E$1001,$K21),""))</f>
        <v>Kanat</v>
      </c>
      <c r="C21">
        <f ca="1">IF($K21="","",IFERROR(INDEX('Veri Merkezi'!$D$2:$D$1001,$K21),""))</f>
        <v>23</v>
      </c>
      <c r="D21" t="str">
        <f>IF($K21="","",IFERROR(INDEX('Veri Merkezi'!$F$2:$F$1001,$K21),""))</f>
        <v>AL-TAAWOUN</v>
      </c>
      <c r="E21" s="2">
        <f>IF($K21="","",IFERROR(INDEX('Veri Merkezi'!$G$2:$G$1001,$K21),""))</f>
        <v>46934</v>
      </c>
      <c r="F21" t="str">
        <f>IF($K21="","",IFERROR(INDEX('Veri Merkezi'!$H$2:$H$1001,$K21),""))</f>
        <v>Sarı</v>
      </c>
      <c r="G21" t="str">
        <f>IF($K21="","",IFERROR(INDEX('Veri Merkezi'!$R$2:$R$1001,$K21),""))</f>
        <v/>
      </c>
      <c r="H21" t="str">
        <f>IF($K21="","",IFERROR(INDEX('Veri Merkezi'!$S$2:$S$1001,$K21),""))</f>
        <v>Takip</v>
      </c>
      <c r="I21" s="2" t="str">
        <f>IF($K21="","",IFERROR(INDEX('Veri Merkezi'!$T$2:$T$1001,$K21),""))</f>
        <v/>
      </c>
      <c r="J21" t="str">
        <f>IF($K21="","",IFERROR(INDEX('Veri Merkezi'!$U$2:$U$1001,$K21),""))</f>
        <v>Kanatlar</v>
      </c>
      <c r="K21">
        <f>IF(K20="","",IFERROR(K20+MATCH("Takip",INDEX('Veri Merkezi'!$S$2:$S$1001,K20+1):'Veri Merkezi'!$S$1001,0),""))</f>
        <v>709</v>
      </c>
    </row>
    <row r="22" spans="1:11">
      <c r="A22" t="str">
        <f>IF($K22="","",IFERROR(INDEX('Veri Merkezi'!$A$2:$A$1001,$K22),""))</f>
        <v>THIERNO BALLO</v>
      </c>
      <c r="B22" t="str">
        <f>IF($K22="","",IFERROR(INDEX('Veri Merkezi'!$E$2:$E$1001,$K22),""))</f>
        <v>Kanat</v>
      </c>
      <c r="C22">
        <f ca="1">IF($K22="","",IFERROR(INDEX('Veri Merkezi'!$D$2:$D$1001,$K22),""))</f>
        <v>24</v>
      </c>
      <c r="D22" t="str">
        <f>IF($K22="","",IFERROR(INDEX('Veri Merkezi'!$F$2:$F$1001,$K22),""))</f>
        <v>ST.ETTIEN</v>
      </c>
      <c r="E22" s="2">
        <f>IF($K22="","",IFERROR(INDEX('Veri Merkezi'!$G$2:$G$1001,$K22),""))</f>
        <v>47664</v>
      </c>
      <c r="F22" t="str">
        <f>IF($K22="","",IFERROR(INDEX('Veri Merkezi'!$H$2:$H$1001,$K22),""))</f>
        <v>Sarı</v>
      </c>
      <c r="G22" t="str">
        <f>IF($K22="","",IFERROR(INDEX('Veri Merkezi'!$R$2:$R$1001,$K22),""))</f>
        <v/>
      </c>
      <c r="H22" t="str">
        <f>IF($K22="","",IFERROR(INDEX('Veri Merkezi'!$S$2:$S$1001,$K22),""))</f>
        <v>Takip</v>
      </c>
      <c r="I22" s="2" t="str">
        <f>IF($K22="","",IFERROR(INDEX('Veri Merkezi'!$T$2:$T$1001,$K22),""))</f>
        <v/>
      </c>
      <c r="J22" t="str">
        <f>IF($K22="","",IFERROR(INDEX('Veri Merkezi'!$U$2:$U$1001,$K22),""))</f>
        <v>Kanatlar</v>
      </c>
      <c r="K22">
        <f>IF(K21="","",IFERROR(K21+MATCH("Takip",INDEX('Veri Merkezi'!$S$2:$S$1001,K21+1):'Veri Merkezi'!$S$1001,0),""))</f>
        <v>711</v>
      </c>
    </row>
    <row r="23" spans="1:11">
      <c r="A23" t="str">
        <f>IF($K23="","",IFERROR(INDEX('Veri Merkezi'!$A$2:$A$1001,$K23),""))</f>
        <v>JONATHAN IKONE</v>
      </c>
      <c r="B23" t="str">
        <f>IF($K23="","",IFERROR(INDEX('Veri Merkezi'!$E$2:$E$1001,$K23),""))</f>
        <v>Kanat</v>
      </c>
      <c r="C23">
        <f ca="1">IF($K23="","",IFERROR(INDEX('Veri Merkezi'!$D$2:$D$1001,$K23),""))</f>
        <v>28</v>
      </c>
      <c r="D23" t="str">
        <f>IF($K23="","",IFERROR(INDEX('Veri Merkezi'!$F$2:$F$1001,$K23),""))</f>
        <v>PARIS FC</v>
      </c>
      <c r="E23" s="2">
        <f>IF($K23="","",IFERROR(INDEX('Veri Merkezi'!$G$2:$G$1001,$K23),""))</f>
        <v>46568</v>
      </c>
      <c r="F23" t="str">
        <f>IF($K23="","",IFERROR(INDEX('Veri Merkezi'!$H$2:$H$1001,$K23),""))</f>
        <v>Sarı</v>
      </c>
      <c r="G23" t="str">
        <f>IF($K23="","",IFERROR(INDEX('Veri Merkezi'!$R$2:$R$1001,$K23),""))</f>
        <v/>
      </c>
      <c r="H23" t="str">
        <f>IF($K23="","",IFERROR(INDEX('Veri Merkezi'!$S$2:$S$1001,$K23),""))</f>
        <v>Takip</v>
      </c>
      <c r="I23" s="2" t="str">
        <f>IF($K23="","",IFERROR(INDEX('Veri Merkezi'!$T$2:$T$1001,$K23),""))</f>
        <v/>
      </c>
      <c r="J23" t="str">
        <f>IF($K23="","",IFERROR(INDEX('Veri Merkezi'!$U$2:$U$1001,$K23),""))</f>
        <v>Kanatlar</v>
      </c>
      <c r="K23">
        <f>IF(K22="","",IFERROR(K22+MATCH("Takip",INDEX('Veri Merkezi'!$S$2:$S$1001,K22+1):'Veri Merkezi'!$S$1001,0),""))</f>
        <v>719</v>
      </c>
    </row>
    <row r="24" spans="1:11">
      <c r="A24" t="str">
        <f>IF($K24="","",IFERROR(INDEX('Veri Merkezi'!$A$2:$A$1001,$K24),""))</f>
        <v>FILIP AKDEMIR</v>
      </c>
      <c r="B24" t="str">
        <f>IF($K24="","",IFERROR(INDEX('Veri Merkezi'!$E$2:$E$1001,$K24),""))</f>
        <v>Forvet</v>
      </c>
      <c r="C24">
        <f ca="1">IF($K24="","",IFERROR(INDEX('Veri Merkezi'!$D$2:$D$1001,$K24),""))</f>
        <v>21</v>
      </c>
      <c r="D24" t="str">
        <f>IF($K24="","",IFERROR(INDEX('Veri Merkezi'!$F$2:$F$1001,$K24),""))</f>
        <v>LUNDS BK</v>
      </c>
      <c r="E24" s="2">
        <f>IF($K24="","",IFERROR(INDEX('Veri Merkezi'!$G$2:$G$1001,$K24),""))</f>
        <v>46356</v>
      </c>
      <c r="F24" t="str">
        <f>IF($K24="","",IFERROR(INDEX('Veri Merkezi'!$H$2:$H$1001,$K24),""))</f>
        <v>Sarı</v>
      </c>
      <c r="G24" t="str">
        <f>IF($K24="","",IFERROR(INDEX('Veri Merkezi'!$R$2:$R$1001,$K24),""))</f>
        <v/>
      </c>
      <c r="H24" t="str">
        <f>IF($K24="","",IFERROR(INDEX('Veri Merkezi'!$S$2:$S$1001,$K24),""))</f>
        <v>Takip</v>
      </c>
      <c r="I24" s="2" t="str">
        <f>IF($K24="","",IFERROR(INDEX('Veri Merkezi'!$T$2:$T$1001,$K24),""))</f>
        <v/>
      </c>
      <c r="J24" t="str">
        <f>IF($K24="","",IFERROR(INDEX('Veri Merkezi'!$U$2:$U$1001,$K24),""))</f>
        <v>Forvetler</v>
      </c>
      <c r="K24">
        <f>IF(K23="","",IFERROR(K23+MATCH("Takip",INDEX('Veri Merkezi'!$S$2:$S$1001,K23+1):'Veri Merkezi'!$S$1001,0),""))</f>
        <v>801</v>
      </c>
    </row>
    <row r="25" spans="1:11">
      <c r="A25" t="str">
        <f>IF($K25="","",IFERROR(INDEX('Veri Merkezi'!$A$2:$A$1001,$K25),""))</f>
        <v>GUI NEGAO</v>
      </c>
      <c r="B25" t="str">
        <f>IF($K25="","",IFERROR(INDEX('Veri Merkezi'!$E$2:$E$1001,$K25),""))</f>
        <v>Forvet</v>
      </c>
      <c r="C25">
        <f ca="1">IF($K25="","",IFERROR(INDEX('Veri Merkezi'!$D$2:$D$1001,$K25),""))</f>
        <v>19</v>
      </c>
      <c r="D25" t="str">
        <f>IF($K25="","",IFERROR(INDEX('Veri Merkezi'!$F$2:$F$1001,$K25),""))</f>
        <v>CORİNTHİANS</v>
      </c>
      <c r="E25" s="2">
        <f>IF($K25="","",IFERROR(INDEX('Veri Merkezi'!$G$2:$G$1001,$K25),""))</f>
        <v>47664</v>
      </c>
      <c r="F25" t="str">
        <f>IF($K25="","",IFERROR(INDEX('Veri Merkezi'!$H$2:$H$1001,$K25),""))</f>
        <v>Sarı</v>
      </c>
      <c r="G25" t="str">
        <f>IF($K25="","",IFERROR(INDEX('Veri Merkezi'!$R$2:$R$1001,$K25),""))</f>
        <v/>
      </c>
      <c r="H25" t="str">
        <f>IF($K25="","",IFERROR(INDEX('Veri Merkezi'!$S$2:$S$1001,$K25),""))</f>
        <v>Takip</v>
      </c>
      <c r="I25" s="2" t="str">
        <f>IF($K25="","",IFERROR(INDEX('Veri Merkezi'!$T$2:$T$1001,$K25),""))</f>
        <v/>
      </c>
      <c r="J25" t="str">
        <f>IF($K25="","",IFERROR(INDEX('Veri Merkezi'!$U$2:$U$1001,$K25),""))</f>
        <v>Forvetler</v>
      </c>
      <c r="K25">
        <f>IF(K24="","",IFERROR(K24+MATCH("Takip",INDEX('Veri Merkezi'!$S$2:$S$1001,K24+1):'Veri Merkezi'!$S$1001,0),""))</f>
        <v>805</v>
      </c>
    </row>
    <row r="26" spans="1:11">
      <c r="A26" t="str">
        <f>IF($K26="","",IFERROR(INDEX('Veri Merkezi'!$A$2:$A$1001,$K26),""))</f>
        <v>CHUKWUBUIKEM IKWUEMESI</v>
      </c>
      <c r="B26" t="str">
        <f>IF($K26="","",IFERROR(INDEX('Veri Merkezi'!$E$2:$E$1001,$K26),""))</f>
        <v>Forvet</v>
      </c>
      <c r="C26">
        <f ca="1">IF($K26="","",IFERROR(INDEX('Veri Merkezi'!$D$2:$D$1001,$K26),""))</f>
        <v>25</v>
      </c>
      <c r="D26" t="str">
        <f>IF($K26="","",IFERROR(INDEX('Veri Merkezi'!$F$2:$F$1001,$K26),""))</f>
        <v>OH LEUVEN</v>
      </c>
      <c r="E26" s="2">
        <f>IF($K26="","",IFERROR(INDEX('Veri Merkezi'!$G$2:$G$1001,$K26),""))</f>
        <v>46934</v>
      </c>
      <c r="F26" t="str">
        <f>IF($K26="","",IFERROR(INDEX('Veri Merkezi'!$H$2:$H$1001,$K26),""))</f>
        <v>Sarı</v>
      </c>
      <c r="G26" t="str">
        <f>IF($K26="","",IFERROR(INDEX('Veri Merkezi'!$R$2:$R$1001,$K26),""))</f>
        <v/>
      </c>
      <c r="H26" t="str">
        <f>IF($K26="","",IFERROR(INDEX('Veri Merkezi'!$S$2:$S$1001,$K26),""))</f>
        <v>Takip</v>
      </c>
      <c r="I26" s="2" t="str">
        <f>IF($K26="","",IFERROR(INDEX('Veri Merkezi'!$T$2:$T$1001,$K26),""))</f>
        <v/>
      </c>
      <c r="J26" t="str">
        <f>IF($K26="","",IFERROR(INDEX('Veri Merkezi'!$U$2:$U$1001,$K26),""))</f>
        <v>Forvetler</v>
      </c>
      <c r="K26">
        <f>IF(K25="","",IFERROR(K25+MATCH("Takip",INDEX('Veri Merkezi'!$S$2:$S$1001,K25+1):'Veri Merkezi'!$S$1001,0),""))</f>
        <v>818</v>
      </c>
    </row>
    <row r="27" spans="1:11">
      <c r="A27" t="str">
        <f>IF($K27="","",IFERROR(INDEX('Veri Merkezi'!$A$2:$A$1001,$K27),""))</f>
        <v/>
      </c>
      <c r="B27" t="str">
        <f>IF($K27="","",IFERROR(INDEX('Veri Merkezi'!$E$2:$E$1001,$K27),""))</f>
        <v/>
      </c>
      <c r="C27" t="str">
        <f>IF($K27="","",IFERROR(INDEX('Veri Merkezi'!$D$2:$D$1001,$K27),""))</f>
        <v/>
      </c>
      <c r="D27" t="str">
        <f>IF($K27="","",IFERROR(INDEX('Veri Merkezi'!$F$2:$F$1001,$K27),""))</f>
        <v/>
      </c>
      <c r="E27" s="2" t="str">
        <f>IF($K27="","",IFERROR(INDEX('Veri Merkezi'!$G$2:$G$1001,$K27),""))</f>
        <v/>
      </c>
      <c r="F27" t="str">
        <f>IF($K27="","",IFERROR(INDEX('Veri Merkezi'!$H$2:$H$1001,$K27),""))</f>
        <v/>
      </c>
      <c r="G27" t="str">
        <f>IF($K27="","",IFERROR(INDEX('Veri Merkezi'!$R$2:$R$1001,$K27),""))</f>
        <v/>
      </c>
      <c r="H27" t="str">
        <f>IF($K27="","",IFERROR(INDEX('Veri Merkezi'!$S$2:$S$1001,$K27),""))</f>
        <v/>
      </c>
      <c r="I27" s="2" t="str">
        <f>IF($K27="","",IFERROR(INDEX('Veri Merkezi'!$T$2:$T$1001,$K27),""))</f>
        <v/>
      </c>
      <c r="J27" t="str">
        <f>IF($K27="","",IFERROR(INDEX('Veri Merkezi'!$U$2:$U$1001,$K27),""))</f>
        <v/>
      </c>
      <c r="K27" t="str">
        <f>IF(K26="","",IFERROR(K26+MATCH("Takip",INDEX('Veri Merkezi'!$S$2:$S$1001,K26+1):'Veri Merkezi'!$S$1001,0),""))</f>
        <v/>
      </c>
    </row>
    <row r="28" spans="1:11">
      <c r="A28" t="str">
        <f>IF($K28="","",IFERROR(INDEX('Veri Merkezi'!$A$2:$A$1001,$K28),""))</f>
        <v/>
      </c>
      <c r="B28" t="str">
        <f>IF($K28="","",IFERROR(INDEX('Veri Merkezi'!$E$2:$E$1001,$K28),""))</f>
        <v/>
      </c>
      <c r="C28" t="str">
        <f>IF($K28="","",IFERROR(INDEX('Veri Merkezi'!$D$2:$D$1001,$K28),""))</f>
        <v/>
      </c>
      <c r="D28" t="str">
        <f>IF($K28="","",IFERROR(INDEX('Veri Merkezi'!$F$2:$F$1001,$K28),""))</f>
        <v/>
      </c>
      <c r="E28" s="2" t="str">
        <f>IF($K28="","",IFERROR(INDEX('Veri Merkezi'!$G$2:$G$1001,$K28),""))</f>
        <v/>
      </c>
      <c r="F28" t="str">
        <f>IF($K28="","",IFERROR(INDEX('Veri Merkezi'!$H$2:$H$1001,$K28),""))</f>
        <v/>
      </c>
      <c r="G28" t="str">
        <f>IF($K28="","",IFERROR(INDEX('Veri Merkezi'!$R$2:$R$1001,$K28),""))</f>
        <v/>
      </c>
      <c r="H28" t="str">
        <f>IF($K28="","",IFERROR(INDEX('Veri Merkezi'!$S$2:$S$1001,$K28),""))</f>
        <v/>
      </c>
      <c r="I28" s="2" t="str">
        <f>IF($K28="","",IFERROR(INDEX('Veri Merkezi'!$T$2:$T$1001,$K28),""))</f>
        <v/>
      </c>
      <c r="J28" t="str">
        <f>IF($K28="","",IFERROR(INDEX('Veri Merkezi'!$U$2:$U$1001,$K28),""))</f>
        <v/>
      </c>
      <c r="K28" t="str">
        <f>IF(K27="","",IFERROR(K27+MATCH("Takip",INDEX('Veri Merkezi'!$S$2:$S$1001,K27+1):'Veri Merkezi'!$S$1001,0),""))</f>
        <v/>
      </c>
    </row>
    <row r="29" spans="1:11">
      <c r="A29" t="str">
        <f>IF($K29="","",IFERROR(INDEX('Veri Merkezi'!$A$2:$A$1001,$K29),""))</f>
        <v/>
      </c>
      <c r="B29" t="str">
        <f>IF($K29="","",IFERROR(INDEX('Veri Merkezi'!$E$2:$E$1001,$K29),""))</f>
        <v/>
      </c>
      <c r="C29" t="str">
        <f>IF($K29="","",IFERROR(INDEX('Veri Merkezi'!$D$2:$D$1001,$K29),""))</f>
        <v/>
      </c>
      <c r="D29" t="str">
        <f>IF($K29="","",IFERROR(INDEX('Veri Merkezi'!$F$2:$F$1001,$K29),""))</f>
        <v/>
      </c>
      <c r="E29" s="2" t="str">
        <f>IF($K29="","",IFERROR(INDEX('Veri Merkezi'!$G$2:$G$1001,$K29),""))</f>
        <v/>
      </c>
      <c r="F29" t="str">
        <f>IF($K29="","",IFERROR(INDEX('Veri Merkezi'!$H$2:$H$1001,$K29),""))</f>
        <v/>
      </c>
      <c r="G29" t="str">
        <f>IF($K29="","",IFERROR(INDEX('Veri Merkezi'!$R$2:$R$1001,$K29),""))</f>
        <v/>
      </c>
      <c r="H29" t="str">
        <f>IF($K29="","",IFERROR(INDEX('Veri Merkezi'!$S$2:$S$1001,$K29),""))</f>
        <v/>
      </c>
      <c r="I29" s="2" t="str">
        <f>IF($K29="","",IFERROR(INDEX('Veri Merkezi'!$T$2:$T$1001,$K29),""))</f>
        <v/>
      </c>
      <c r="J29" t="str">
        <f>IF($K29="","",IFERROR(INDEX('Veri Merkezi'!$U$2:$U$1001,$K29),""))</f>
        <v/>
      </c>
      <c r="K29" t="str">
        <f>IF(K28="","",IFERROR(K28+MATCH("Takip",INDEX('Veri Merkezi'!$S$2:$S$1001,K28+1):'Veri Merkezi'!$S$1001,0),""))</f>
        <v/>
      </c>
    </row>
    <row r="30" spans="1:11">
      <c r="A30" t="str">
        <f>IF($K30="","",IFERROR(INDEX('Veri Merkezi'!$A$2:$A$1001,$K30),""))</f>
        <v/>
      </c>
      <c r="B30" t="str">
        <f>IF($K30="","",IFERROR(INDEX('Veri Merkezi'!$E$2:$E$1001,$K30),""))</f>
        <v/>
      </c>
      <c r="C30" t="str">
        <f>IF($K30="","",IFERROR(INDEX('Veri Merkezi'!$D$2:$D$1001,$K30),""))</f>
        <v/>
      </c>
      <c r="D30" t="str">
        <f>IF($K30="","",IFERROR(INDEX('Veri Merkezi'!$F$2:$F$1001,$K30),""))</f>
        <v/>
      </c>
      <c r="E30" s="2" t="str">
        <f>IF($K30="","",IFERROR(INDEX('Veri Merkezi'!$G$2:$G$1001,$K30),""))</f>
        <v/>
      </c>
      <c r="F30" t="str">
        <f>IF($K30="","",IFERROR(INDEX('Veri Merkezi'!$H$2:$H$1001,$K30),""))</f>
        <v/>
      </c>
      <c r="G30" t="str">
        <f>IF($K30="","",IFERROR(INDEX('Veri Merkezi'!$R$2:$R$1001,$K30),""))</f>
        <v/>
      </c>
      <c r="H30" t="str">
        <f>IF($K30="","",IFERROR(INDEX('Veri Merkezi'!$S$2:$S$1001,$K30),""))</f>
        <v/>
      </c>
      <c r="I30" s="2" t="str">
        <f>IF($K30="","",IFERROR(INDEX('Veri Merkezi'!$T$2:$T$1001,$K30),""))</f>
        <v/>
      </c>
      <c r="J30" t="str">
        <f>IF($K30="","",IFERROR(INDEX('Veri Merkezi'!$U$2:$U$1001,$K30),""))</f>
        <v/>
      </c>
      <c r="K30" t="str">
        <f>IF(K29="","",IFERROR(K29+MATCH("Takip",INDEX('Veri Merkezi'!$S$2:$S$1001,K29+1):'Veri Merkezi'!$S$1001,0),""))</f>
        <v/>
      </c>
    </row>
    <row r="31" spans="1:11">
      <c r="A31" t="str">
        <f>IF($K31="","",IFERROR(INDEX('Veri Merkezi'!$A$2:$A$1001,$K31),""))</f>
        <v/>
      </c>
      <c r="B31" t="str">
        <f>IF($K31="","",IFERROR(INDEX('Veri Merkezi'!$E$2:$E$1001,$K31),""))</f>
        <v/>
      </c>
      <c r="C31" t="str">
        <f>IF($K31="","",IFERROR(INDEX('Veri Merkezi'!$D$2:$D$1001,$K31),""))</f>
        <v/>
      </c>
      <c r="D31" t="str">
        <f>IF($K31="","",IFERROR(INDEX('Veri Merkezi'!$F$2:$F$1001,$K31),""))</f>
        <v/>
      </c>
      <c r="E31" s="2" t="str">
        <f>IF($K31="","",IFERROR(INDEX('Veri Merkezi'!$G$2:$G$1001,$K31),""))</f>
        <v/>
      </c>
      <c r="F31" t="str">
        <f>IF($K31="","",IFERROR(INDEX('Veri Merkezi'!$H$2:$H$1001,$K31),""))</f>
        <v/>
      </c>
      <c r="G31" t="str">
        <f>IF($K31="","",IFERROR(INDEX('Veri Merkezi'!$R$2:$R$1001,$K31),""))</f>
        <v/>
      </c>
      <c r="H31" t="str">
        <f>IF($K31="","",IFERROR(INDEX('Veri Merkezi'!$S$2:$S$1001,$K31),""))</f>
        <v/>
      </c>
      <c r="I31" s="2" t="str">
        <f>IF($K31="","",IFERROR(INDEX('Veri Merkezi'!$T$2:$T$1001,$K31),""))</f>
        <v/>
      </c>
      <c r="J31" t="str">
        <f>IF($K31="","",IFERROR(INDEX('Veri Merkezi'!$U$2:$U$1001,$K31),""))</f>
        <v/>
      </c>
      <c r="K31" t="str">
        <f>IF(K30="","",IFERROR(K30+MATCH("Takip",INDEX('Veri Merkezi'!$S$2:$S$1001,K30+1):'Veri Merkezi'!$S$1001,0),""))</f>
        <v/>
      </c>
    </row>
    <row r="32" spans="1:11">
      <c r="A32" t="str">
        <f>IF($K32="","",IFERROR(INDEX('Veri Merkezi'!$A$2:$A$1001,$K32),""))</f>
        <v/>
      </c>
      <c r="B32" t="str">
        <f>IF($K32="","",IFERROR(INDEX('Veri Merkezi'!$E$2:$E$1001,$K32),""))</f>
        <v/>
      </c>
      <c r="C32" t="str">
        <f>IF($K32="","",IFERROR(INDEX('Veri Merkezi'!$D$2:$D$1001,$K32),""))</f>
        <v/>
      </c>
      <c r="D32" t="str">
        <f>IF($K32="","",IFERROR(INDEX('Veri Merkezi'!$F$2:$F$1001,$K32),""))</f>
        <v/>
      </c>
      <c r="E32" s="2" t="str">
        <f>IF($K32="","",IFERROR(INDEX('Veri Merkezi'!$G$2:$G$1001,$K32),""))</f>
        <v/>
      </c>
      <c r="F32" t="str">
        <f>IF($K32="","",IFERROR(INDEX('Veri Merkezi'!$H$2:$H$1001,$K32),""))</f>
        <v/>
      </c>
      <c r="G32" t="str">
        <f>IF($K32="","",IFERROR(INDEX('Veri Merkezi'!$R$2:$R$1001,$K32),""))</f>
        <v/>
      </c>
      <c r="H32" t="str">
        <f>IF($K32="","",IFERROR(INDEX('Veri Merkezi'!$S$2:$S$1001,$K32),""))</f>
        <v/>
      </c>
      <c r="I32" s="2" t="str">
        <f>IF($K32="","",IFERROR(INDEX('Veri Merkezi'!$T$2:$T$1001,$K32),""))</f>
        <v/>
      </c>
      <c r="J32" t="str">
        <f>IF($K32="","",IFERROR(INDEX('Veri Merkezi'!$U$2:$U$1001,$K32),""))</f>
        <v/>
      </c>
      <c r="K32" t="str">
        <f>IF(K31="","",IFERROR(K31+MATCH("Takip",INDEX('Veri Merkezi'!$S$2:$S$1001,K31+1):'Veri Merkezi'!$S$1001,0),""))</f>
        <v/>
      </c>
    </row>
    <row r="33" spans="1:11">
      <c r="A33" t="str">
        <f>IF($K33="","",IFERROR(INDEX('Veri Merkezi'!$A$2:$A$1001,$K33),""))</f>
        <v/>
      </c>
      <c r="B33" t="str">
        <f>IF($K33="","",IFERROR(INDEX('Veri Merkezi'!$E$2:$E$1001,$K33),""))</f>
        <v/>
      </c>
      <c r="C33" t="str">
        <f>IF($K33="","",IFERROR(INDEX('Veri Merkezi'!$D$2:$D$1001,$K33),""))</f>
        <v/>
      </c>
      <c r="D33" t="str">
        <f>IF($K33="","",IFERROR(INDEX('Veri Merkezi'!$F$2:$F$1001,$K33),""))</f>
        <v/>
      </c>
      <c r="E33" s="2" t="str">
        <f>IF($K33="","",IFERROR(INDEX('Veri Merkezi'!$G$2:$G$1001,$K33),""))</f>
        <v/>
      </c>
      <c r="F33" t="str">
        <f>IF($K33="","",IFERROR(INDEX('Veri Merkezi'!$H$2:$H$1001,$K33),""))</f>
        <v/>
      </c>
      <c r="G33" t="str">
        <f>IF($K33="","",IFERROR(INDEX('Veri Merkezi'!$R$2:$R$1001,$K33),""))</f>
        <v/>
      </c>
      <c r="H33" t="str">
        <f>IF($K33="","",IFERROR(INDEX('Veri Merkezi'!$S$2:$S$1001,$K33),""))</f>
        <v/>
      </c>
      <c r="I33" s="2" t="str">
        <f>IF($K33="","",IFERROR(INDEX('Veri Merkezi'!$T$2:$T$1001,$K33),""))</f>
        <v/>
      </c>
      <c r="J33" t="str">
        <f>IF($K33="","",IFERROR(INDEX('Veri Merkezi'!$U$2:$U$1001,$K33),""))</f>
        <v/>
      </c>
      <c r="K33" t="str">
        <f>IF(K32="","",IFERROR(K32+MATCH("Takip",INDEX('Veri Merkezi'!$S$2:$S$1001,K32+1):'Veri Merkezi'!$S$1001,0),""))</f>
        <v/>
      </c>
    </row>
    <row r="34" spans="1:11">
      <c r="A34" t="str">
        <f>IF($K34="","",IFERROR(INDEX('Veri Merkezi'!$A$2:$A$1001,$K34),""))</f>
        <v/>
      </c>
      <c r="B34" t="str">
        <f>IF($K34="","",IFERROR(INDEX('Veri Merkezi'!$E$2:$E$1001,$K34),""))</f>
        <v/>
      </c>
      <c r="C34" t="str">
        <f>IF($K34="","",IFERROR(INDEX('Veri Merkezi'!$D$2:$D$1001,$K34),""))</f>
        <v/>
      </c>
      <c r="D34" t="str">
        <f>IF($K34="","",IFERROR(INDEX('Veri Merkezi'!$F$2:$F$1001,$K34),""))</f>
        <v/>
      </c>
      <c r="E34" s="2" t="str">
        <f>IF($K34="","",IFERROR(INDEX('Veri Merkezi'!$G$2:$G$1001,$K34),""))</f>
        <v/>
      </c>
      <c r="F34" t="str">
        <f>IF($K34="","",IFERROR(INDEX('Veri Merkezi'!$H$2:$H$1001,$K34),""))</f>
        <v/>
      </c>
      <c r="G34" t="str">
        <f>IF($K34="","",IFERROR(INDEX('Veri Merkezi'!$R$2:$R$1001,$K34),""))</f>
        <v/>
      </c>
      <c r="H34" t="str">
        <f>IF($K34="","",IFERROR(INDEX('Veri Merkezi'!$S$2:$S$1001,$K34),""))</f>
        <v/>
      </c>
      <c r="I34" s="2" t="str">
        <f>IF($K34="","",IFERROR(INDEX('Veri Merkezi'!$T$2:$T$1001,$K34),""))</f>
        <v/>
      </c>
      <c r="J34" t="str">
        <f>IF($K34="","",IFERROR(INDEX('Veri Merkezi'!$U$2:$U$1001,$K34),""))</f>
        <v/>
      </c>
      <c r="K34" t="str">
        <f>IF(K33="","",IFERROR(K33+MATCH("Takip",INDEX('Veri Merkezi'!$S$2:$S$1001,K33+1):'Veri Merkezi'!$S$1001,0),""))</f>
        <v/>
      </c>
    </row>
    <row r="35" spans="1:11">
      <c r="A35" t="str">
        <f>IF($K35="","",IFERROR(INDEX('Veri Merkezi'!$A$2:$A$1001,$K35),""))</f>
        <v/>
      </c>
      <c r="B35" t="str">
        <f>IF($K35="","",IFERROR(INDEX('Veri Merkezi'!$E$2:$E$1001,$K35),""))</f>
        <v/>
      </c>
      <c r="C35" t="str">
        <f>IF($K35="","",IFERROR(INDEX('Veri Merkezi'!$D$2:$D$1001,$K35),""))</f>
        <v/>
      </c>
      <c r="D35" t="str">
        <f>IF($K35="","",IFERROR(INDEX('Veri Merkezi'!$F$2:$F$1001,$K35),""))</f>
        <v/>
      </c>
      <c r="E35" s="2" t="str">
        <f>IF($K35="","",IFERROR(INDEX('Veri Merkezi'!$G$2:$G$1001,$K35),""))</f>
        <v/>
      </c>
      <c r="F35" t="str">
        <f>IF($K35="","",IFERROR(INDEX('Veri Merkezi'!$H$2:$H$1001,$K35),""))</f>
        <v/>
      </c>
      <c r="G35" t="str">
        <f>IF($K35="","",IFERROR(INDEX('Veri Merkezi'!$R$2:$R$1001,$K35),""))</f>
        <v/>
      </c>
      <c r="H35" t="str">
        <f>IF($K35="","",IFERROR(INDEX('Veri Merkezi'!$S$2:$S$1001,$K35),""))</f>
        <v/>
      </c>
      <c r="I35" s="2" t="str">
        <f>IF($K35="","",IFERROR(INDEX('Veri Merkezi'!$T$2:$T$1001,$K35),""))</f>
        <v/>
      </c>
      <c r="J35" t="str">
        <f>IF($K35="","",IFERROR(INDEX('Veri Merkezi'!$U$2:$U$1001,$K35),""))</f>
        <v/>
      </c>
      <c r="K35" t="str">
        <f>IF(K34="","",IFERROR(K34+MATCH("Takip",INDEX('Veri Merkezi'!$S$2:$S$1001,K34+1):'Veri Merkezi'!$S$1001,0),""))</f>
        <v/>
      </c>
    </row>
    <row r="36" spans="1:11">
      <c r="A36" t="str">
        <f>IF($K36="","",IFERROR(INDEX('Veri Merkezi'!$A$2:$A$1001,$K36),""))</f>
        <v/>
      </c>
      <c r="B36" t="str">
        <f>IF($K36="","",IFERROR(INDEX('Veri Merkezi'!$E$2:$E$1001,$K36),""))</f>
        <v/>
      </c>
      <c r="C36" t="str">
        <f>IF($K36="","",IFERROR(INDEX('Veri Merkezi'!$D$2:$D$1001,$K36),""))</f>
        <v/>
      </c>
      <c r="D36" t="str">
        <f>IF($K36="","",IFERROR(INDEX('Veri Merkezi'!$F$2:$F$1001,$K36),""))</f>
        <v/>
      </c>
      <c r="E36" s="2" t="str">
        <f>IF($K36="","",IFERROR(INDEX('Veri Merkezi'!$G$2:$G$1001,$K36),""))</f>
        <v/>
      </c>
      <c r="F36" t="str">
        <f>IF($K36="","",IFERROR(INDEX('Veri Merkezi'!$H$2:$H$1001,$K36),""))</f>
        <v/>
      </c>
      <c r="G36" t="str">
        <f>IF($K36="","",IFERROR(INDEX('Veri Merkezi'!$R$2:$R$1001,$K36),""))</f>
        <v/>
      </c>
      <c r="H36" t="str">
        <f>IF($K36="","",IFERROR(INDEX('Veri Merkezi'!$S$2:$S$1001,$K36),""))</f>
        <v/>
      </c>
      <c r="I36" s="2" t="str">
        <f>IF($K36="","",IFERROR(INDEX('Veri Merkezi'!$T$2:$T$1001,$K36),""))</f>
        <v/>
      </c>
      <c r="J36" t="str">
        <f>IF($K36="","",IFERROR(INDEX('Veri Merkezi'!$U$2:$U$1001,$K36),""))</f>
        <v/>
      </c>
      <c r="K36" t="str">
        <f>IF(K35="","",IFERROR(K35+MATCH("Takip",INDEX('Veri Merkezi'!$S$2:$S$1001,K35+1):'Veri Merkezi'!$S$1001,0),""))</f>
        <v/>
      </c>
    </row>
    <row r="37" spans="1:11">
      <c r="A37" t="str">
        <f>IF($K37="","",IFERROR(INDEX('Veri Merkezi'!$A$2:$A$1001,$K37),""))</f>
        <v/>
      </c>
      <c r="B37" t="str">
        <f>IF($K37="","",IFERROR(INDEX('Veri Merkezi'!$E$2:$E$1001,$K37),""))</f>
        <v/>
      </c>
      <c r="C37" t="str">
        <f>IF($K37="","",IFERROR(INDEX('Veri Merkezi'!$D$2:$D$1001,$K37),""))</f>
        <v/>
      </c>
      <c r="D37" t="str">
        <f>IF($K37="","",IFERROR(INDEX('Veri Merkezi'!$F$2:$F$1001,$K37),""))</f>
        <v/>
      </c>
      <c r="E37" s="2" t="str">
        <f>IF($K37="","",IFERROR(INDEX('Veri Merkezi'!$G$2:$G$1001,$K37),""))</f>
        <v/>
      </c>
      <c r="F37" t="str">
        <f>IF($K37="","",IFERROR(INDEX('Veri Merkezi'!$H$2:$H$1001,$K37),""))</f>
        <v/>
      </c>
      <c r="G37" t="str">
        <f>IF($K37="","",IFERROR(INDEX('Veri Merkezi'!$R$2:$R$1001,$K37),""))</f>
        <v/>
      </c>
      <c r="H37" t="str">
        <f>IF($K37="","",IFERROR(INDEX('Veri Merkezi'!$S$2:$S$1001,$K37),""))</f>
        <v/>
      </c>
      <c r="I37" s="2" t="str">
        <f>IF($K37="","",IFERROR(INDEX('Veri Merkezi'!$T$2:$T$1001,$K37),""))</f>
        <v/>
      </c>
      <c r="J37" t="str">
        <f>IF($K37="","",IFERROR(INDEX('Veri Merkezi'!$U$2:$U$1001,$K37),""))</f>
        <v/>
      </c>
      <c r="K37" t="str">
        <f>IF(K36="","",IFERROR(K36+MATCH("Takip",INDEX('Veri Merkezi'!$S$2:$S$1001,K36+1):'Veri Merkezi'!$S$1001,0),""))</f>
        <v/>
      </c>
    </row>
    <row r="38" spans="1:11">
      <c r="A38" t="str">
        <f>IF($K38="","",IFERROR(INDEX('Veri Merkezi'!$A$2:$A$1001,$K38),""))</f>
        <v/>
      </c>
      <c r="B38" t="str">
        <f>IF($K38="","",IFERROR(INDEX('Veri Merkezi'!$E$2:$E$1001,$K38),""))</f>
        <v/>
      </c>
      <c r="C38" t="str">
        <f>IF($K38="","",IFERROR(INDEX('Veri Merkezi'!$D$2:$D$1001,$K38),""))</f>
        <v/>
      </c>
      <c r="D38" t="str">
        <f>IF($K38="","",IFERROR(INDEX('Veri Merkezi'!$F$2:$F$1001,$K38),""))</f>
        <v/>
      </c>
      <c r="E38" s="2" t="str">
        <f>IF($K38="","",IFERROR(INDEX('Veri Merkezi'!$G$2:$G$1001,$K38),""))</f>
        <v/>
      </c>
      <c r="F38" t="str">
        <f>IF($K38="","",IFERROR(INDEX('Veri Merkezi'!$H$2:$H$1001,$K38),""))</f>
        <v/>
      </c>
      <c r="G38" t="str">
        <f>IF($K38="","",IFERROR(INDEX('Veri Merkezi'!$R$2:$R$1001,$K38),""))</f>
        <v/>
      </c>
      <c r="H38" t="str">
        <f>IF($K38="","",IFERROR(INDEX('Veri Merkezi'!$S$2:$S$1001,$K38),""))</f>
        <v/>
      </c>
      <c r="I38" s="2" t="str">
        <f>IF($K38="","",IFERROR(INDEX('Veri Merkezi'!$T$2:$T$1001,$K38),""))</f>
        <v/>
      </c>
      <c r="J38" t="str">
        <f>IF($K38="","",IFERROR(INDEX('Veri Merkezi'!$U$2:$U$1001,$K38),""))</f>
        <v/>
      </c>
      <c r="K38" t="str">
        <f>IF(K37="","",IFERROR(K37+MATCH("Takip",INDEX('Veri Merkezi'!$S$2:$S$1001,K37+1):'Veri Merkezi'!$S$1001,0),""))</f>
        <v/>
      </c>
    </row>
    <row r="39" spans="1:11">
      <c r="A39" t="str">
        <f>IF($K39="","",IFERROR(INDEX('Veri Merkezi'!$A$2:$A$1001,$K39),""))</f>
        <v/>
      </c>
      <c r="B39" t="str">
        <f>IF($K39="","",IFERROR(INDEX('Veri Merkezi'!$E$2:$E$1001,$K39),""))</f>
        <v/>
      </c>
      <c r="C39" t="str">
        <f>IF($K39="","",IFERROR(INDEX('Veri Merkezi'!$D$2:$D$1001,$K39),""))</f>
        <v/>
      </c>
      <c r="D39" t="str">
        <f>IF($K39="","",IFERROR(INDEX('Veri Merkezi'!$F$2:$F$1001,$K39),""))</f>
        <v/>
      </c>
      <c r="E39" s="2" t="str">
        <f>IF($K39="","",IFERROR(INDEX('Veri Merkezi'!$G$2:$G$1001,$K39),""))</f>
        <v/>
      </c>
      <c r="F39" t="str">
        <f>IF($K39="","",IFERROR(INDEX('Veri Merkezi'!$H$2:$H$1001,$K39),""))</f>
        <v/>
      </c>
      <c r="G39" t="str">
        <f>IF($K39="","",IFERROR(INDEX('Veri Merkezi'!$R$2:$R$1001,$K39),""))</f>
        <v/>
      </c>
      <c r="H39" t="str">
        <f>IF($K39="","",IFERROR(INDEX('Veri Merkezi'!$S$2:$S$1001,$K39),""))</f>
        <v/>
      </c>
      <c r="I39" s="2" t="str">
        <f>IF($K39="","",IFERROR(INDEX('Veri Merkezi'!$T$2:$T$1001,$K39),""))</f>
        <v/>
      </c>
      <c r="J39" t="str">
        <f>IF($K39="","",IFERROR(INDEX('Veri Merkezi'!$U$2:$U$1001,$K39),""))</f>
        <v/>
      </c>
      <c r="K39" t="str">
        <f>IF(K38="","",IFERROR(K38+MATCH("Takip",INDEX('Veri Merkezi'!$S$2:$S$1001,K38+1):'Veri Merkezi'!$S$1001,0),""))</f>
        <v/>
      </c>
    </row>
    <row r="40" spans="1:11">
      <c r="A40" t="str">
        <f>IF($K40="","",IFERROR(INDEX('Veri Merkezi'!$A$2:$A$1001,$K40),""))</f>
        <v/>
      </c>
      <c r="B40" t="str">
        <f>IF($K40="","",IFERROR(INDEX('Veri Merkezi'!$E$2:$E$1001,$K40),""))</f>
        <v/>
      </c>
      <c r="C40" t="str">
        <f>IF($K40="","",IFERROR(INDEX('Veri Merkezi'!$D$2:$D$1001,$K40),""))</f>
        <v/>
      </c>
      <c r="D40" t="str">
        <f>IF($K40="","",IFERROR(INDEX('Veri Merkezi'!$F$2:$F$1001,$K40),""))</f>
        <v/>
      </c>
      <c r="E40" s="2" t="str">
        <f>IF($K40="","",IFERROR(INDEX('Veri Merkezi'!$G$2:$G$1001,$K40),""))</f>
        <v/>
      </c>
      <c r="F40" t="str">
        <f>IF($K40="","",IFERROR(INDEX('Veri Merkezi'!$H$2:$H$1001,$K40),""))</f>
        <v/>
      </c>
      <c r="G40" t="str">
        <f>IF($K40="","",IFERROR(INDEX('Veri Merkezi'!$R$2:$R$1001,$K40),""))</f>
        <v/>
      </c>
      <c r="H40" t="str">
        <f>IF($K40="","",IFERROR(INDEX('Veri Merkezi'!$S$2:$S$1001,$K40),""))</f>
        <v/>
      </c>
      <c r="I40" s="2" t="str">
        <f>IF($K40="","",IFERROR(INDEX('Veri Merkezi'!$T$2:$T$1001,$K40),""))</f>
        <v/>
      </c>
      <c r="J40" t="str">
        <f>IF($K40="","",IFERROR(INDEX('Veri Merkezi'!$U$2:$U$1001,$K40),""))</f>
        <v/>
      </c>
      <c r="K40" t="str">
        <f>IF(K39="","",IFERROR(K39+MATCH("Takip",INDEX('Veri Merkezi'!$S$2:$S$1001,K39+1):'Veri Merkezi'!$S$1001,0),""))</f>
        <v/>
      </c>
    </row>
    <row r="41" spans="1:11">
      <c r="A41" t="str">
        <f>IF($K41="","",IFERROR(INDEX('Veri Merkezi'!$A$2:$A$1001,$K41),""))</f>
        <v/>
      </c>
      <c r="B41" t="str">
        <f>IF($K41="","",IFERROR(INDEX('Veri Merkezi'!$E$2:$E$1001,$K41),""))</f>
        <v/>
      </c>
      <c r="C41" t="str">
        <f>IF($K41="","",IFERROR(INDEX('Veri Merkezi'!$D$2:$D$1001,$K41),""))</f>
        <v/>
      </c>
      <c r="D41" t="str">
        <f>IF($K41="","",IFERROR(INDEX('Veri Merkezi'!$F$2:$F$1001,$K41),""))</f>
        <v/>
      </c>
      <c r="E41" s="2" t="str">
        <f>IF($K41="","",IFERROR(INDEX('Veri Merkezi'!$G$2:$G$1001,$K41),""))</f>
        <v/>
      </c>
      <c r="F41" t="str">
        <f>IF($K41="","",IFERROR(INDEX('Veri Merkezi'!$H$2:$H$1001,$K41),""))</f>
        <v/>
      </c>
      <c r="G41" t="str">
        <f>IF($K41="","",IFERROR(INDEX('Veri Merkezi'!$R$2:$R$1001,$K41),""))</f>
        <v/>
      </c>
      <c r="H41" t="str">
        <f>IF($K41="","",IFERROR(INDEX('Veri Merkezi'!$S$2:$S$1001,$K41),""))</f>
        <v/>
      </c>
      <c r="I41" s="2" t="str">
        <f>IF($K41="","",IFERROR(INDEX('Veri Merkezi'!$T$2:$T$1001,$K41),""))</f>
        <v/>
      </c>
      <c r="J41" t="str">
        <f>IF($K41="","",IFERROR(INDEX('Veri Merkezi'!$U$2:$U$1001,$K41),""))</f>
        <v/>
      </c>
      <c r="K41" t="str">
        <f>IF(K40="","",IFERROR(K40+MATCH("Takip",INDEX('Veri Merkezi'!$S$2:$S$1001,K40+1):'Veri Merkezi'!$S$1001,0),""))</f>
        <v/>
      </c>
    </row>
    <row r="42" spans="1:11">
      <c r="A42" t="str">
        <f>IF($K42="","",IFERROR(INDEX('Veri Merkezi'!$A$2:$A$1001,$K42),""))</f>
        <v/>
      </c>
      <c r="B42" t="str">
        <f>IF($K42="","",IFERROR(INDEX('Veri Merkezi'!$E$2:$E$1001,$K42),""))</f>
        <v/>
      </c>
      <c r="C42" t="str">
        <f>IF($K42="","",IFERROR(INDEX('Veri Merkezi'!$D$2:$D$1001,$K42),""))</f>
        <v/>
      </c>
      <c r="D42" t="str">
        <f>IF($K42="","",IFERROR(INDEX('Veri Merkezi'!$F$2:$F$1001,$K42),""))</f>
        <v/>
      </c>
      <c r="E42" s="2" t="str">
        <f>IF($K42="","",IFERROR(INDEX('Veri Merkezi'!$G$2:$G$1001,$K42),""))</f>
        <v/>
      </c>
      <c r="F42" t="str">
        <f>IF($K42="","",IFERROR(INDEX('Veri Merkezi'!$H$2:$H$1001,$K42),""))</f>
        <v/>
      </c>
      <c r="G42" t="str">
        <f>IF($K42="","",IFERROR(INDEX('Veri Merkezi'!$R$2:$R$1001,$K42),""))</f>
        <v/>
      </c>
      <c r="H42" t="str">
        <f>IF($K42="","",IFERROR(INDEX('Veri Merkezi'!$S$2:$S$1001,$K42),""))</f>
        <v/>
      </c>
      <c r="I42" s="2" t="str">
        <f>IF($K42="","",IFERROR(INDEX('Veri Merkezi'!$T$2:$T$1001,$K42),""))</f>
        <v/>
      </c>
      <c r="J42" t="str">
        <f>IF($K42="","",IFERROR(INDEX('Veri Merkezi'!$U$2:$U$1001,$K42),""))</f>
        <v/>
      </c>
      <c r="K42" t="str">
        <f>IF(K41="","",IFERROR(K41+MATCH("Takip",INDEX('Veri Merkezi'!$S$2:$S$1001,K41+1):'Veri Merkezi'!$S$1001,0),""))</f>
        <v/>
      </c>
    </row>
    <row r="43" spans="1:11">
      <c r="A43" t="str">
        <f>IF($K43="","",IFERROR(INDEX('Veri Merkezi'!$A$2:$A$1001,$K43),""))</f>
        <v/>
      </c>
      <c r="B43" t="str">
        <f>IF($K43="","",IFERROR(INDEX('Veri Merkezi'!$E$2:$E$1001,$K43),""))</f>
        <v/>
      </c>
      <c r="C43" t="str">
        <f>IF($K43="","",IFERROR(INDEX('Veri Merkezi'!$D$2:$D$1001,$K43),""))</f>
        <v/>
      </c>
      <c r="D43" t="str">
        <f>IF($K43="","",IFERROR(INDEX('Veri Merkezi'!$F$2:$F$1001,$K43),""))</f>
        <v/>
      </c>
      <c r="E43" s="2" t="str">
        <f>IF($K43="","",IFERROR(INDEX('Veri Merkezi'!$G$2:$G$1001,$K43),""))</f>
        <v/>
      </c>
      <c r="F43" t="str">
        <f>IF($K43="","",IFERROR(INDEX('Veri Merkezi'!$H$2:$H$1001,$K43),""))</f>
        <v/>
      </c>
      <c r="G43" t="str">
        <f>IF($K43="","",IFERROR(INDEX('Veri Merkezi'!$R$2:$R$1001,$K43),""))</f>
        <v/>
      </c>
      <c r="H43" t="str">
        <f>IF($K43="","",IFERROR(INDEX('Veri Merkezi'!$S$2:$S$1001,$K43),""))</f>
        <v/>
      </c>
      <c r="I43" s="2" t="str">
        <f>IF($K43="","",IFERROR(INDEX('Veri Merkezi'!$T$2:$T$1001,$K43),""))</f>
        <v/>
      </c>
      <c r="J43" t="str">
        <f>IF($K43="","",IFERROR(INDEX('Veri Merkezi'!$U$2:$U$1001,$K43),""))</f>
        <v/>
      </c>
      <c r="K43" t="str">
        <f>IF(K42="","",IFERROR(K42+MATCH("Takip",INDEX('Veri Merkezi'!$S$2:$S$1001,K42+1):'Veri Merkezi'!$S$1001,0),""))</f>
        <v/>
      </c>
    </row>
    <row r="44" spans="1:11">
      <c r="A44" t="str">
        <f>IF($K44="","",IFERROR(INDEX('Veri Merkezi'!$A$2:$A$1001,$K44),""))</f>
        <v/>
      </c>
      <c r="B44" t="str">
        <f>IF($K44="","",IFERROR(INDEX('Veri Merkezi'!$E$2:$E$1001,$K44),""))</f>
        <v/>
      </c>
      <c r="C44" t="str">
        <f>IF($K44="","",IFERROR(INDEX('Veri Merkezi'!$D$2:$D$1001,$K44),""))</f>
        <v/>
      </c>
      <c r="D44" t="str">
        <f>IF($K44="","",IFERROR(INDEX('Veri Merkezi'!$F$2:$F$1001,$K44),""))</f>
        <v/>
      </c>
      <c r="E44" s="2" t="str">
        <f>IF($K44="","",IFERROR(INDEX('Veri Merkezi'!$G$2:$G$1001,$K44),""))</f>
        <v/>
      </c>
      <c r="F44" t="str">
        <f>IF($K44="","",IFERROR(INDEX('Veri Merkezi'!$H$2:$H$1001,$K44),""))</f>
        <v/>
      </c>
      <c r="G44" t="str">
        <f>IF($K44="","",IFERROR(INDEX('Veri Merkezi'!$R$2:$R$1001,$K44),""))</f>
        <v/>
      </c>
      <c r="H44" t="str">
        <f>IF($K44="","",IFERROR(INDEX('Veri Merkezi'!$S$2:$S$1001,$K44),""))</f>
        <v/>
      </c>
      <c r="I44" s="2" t="str">
        <f>IF($K44="","",IFERROR(INDEX('Veri Merkezi'!$T$2:$T$1001,$K44),""))</f>
        <v/>
      </c>
      <c r="J44" t="str">
        <f>IF($K44="","",IFERROR(INDEX('Veri Merkezi'!$U$2:$U$1001,$K44),""))</f>
        <v/>
      </c>
      <c r="K44" t="str">
        <f>IF(K43="","",IFERROR(K43+MATCH("Takip",INDEX('Veri Merkezi'!$S$2:$S$1001,K43+1):'Veri Merkezi'!$S$1001,0),""))</f>
        <v/>
      </c>
    </row>
    <row r="45" spans="1:11">
      <c r="A45" t="str">
        <f>IF($K45="","",IFERROR(INDEX('Veri Merkezi'!$A$2:$A$1001,$K45),""))</f>
        <v/>
      </c>
      <c r="B45" t="str">
        <f>IF($K45="","",IFERROR(INDEX('Veri Merkezi'!$E$2:$E$1001,$K45),""))</f>
        <v/>
      </c>
      <c r="C45" t="str">
        <f>IF($K45="","",IFERROR(INDEX('Veri Merkezi'!$D$2:$D$1001,$K45),""))</f>
        <v/>
      </c>
      <c r="D45" t="str">
        <f>IF($K45="","",IFERROR(INDEX('Veri Merkezi'!$F$2:$F$1001,$K45),""))</f>
        <v/>
      </c>
      <c r="E45" s="2" t="str">
        <f>IF($K45="","",IFERROR(INDEX('Veri Merkezi'!$G$2:$G$1001,$K45),""))</f>
        <v/>
      </c>
      <c r="F45" t="str">
        <f>IF($K45="","",IFERROR(INDEX('Veri Merkezi'!$H$2:$H$1001,$K45),""))</f>
        <v/>
      </c>
      <c r="G45" t="str">
        <f>IF($K45="","",IFERROR(INDEX('Veri Merkezi'!$R$2:$R$1001,$K45),""))</f>
        <v/>
      </c>
      <c r="H45" t="str">
        <f>IF($K45="","",IFERROR(INDEX('Veri Merkezi'!$S$2:$S$1001,$K45),""))</f>
        <v/>
      </c>
      <c r="I45" s="2" t="str">
        <f>IF($K45="","",IFERROR(INDEX('Veri Merkezi'!$T$2:$T$1001,$K45),""))</f>
        <v/>
      </c>
      <c r="J45" t="str">
        <f>IF($K45="","",IFERROR(INDEX('Veri Merkezi'!$U$2:$U$1001,$K45),""))</f>
        <v/>
      </c>
      <c r="K45" t="str">
        <f>IF(K44="","",IFERROR(K44+MATCH("Takip",INDEX('Veri Merkezi'!$S$2:$S$1001,K44+1):'Veri Merkezi'!$S$1001,0),""))</f>
        <v/>
      </c>
    </row>
    <row r="46" spans="1:11">
      <c r="A46" t="str">
        <f>IF($K46="","",IFERROR(INDEX('Veri Merkezi'!$A$2:$A$1001,$K46),""))</f>
        <v/>
      </c>
      <c r="B46" t="str">
        <f>IF($K46="","",IFERROR(INDEX('Veri Merkezi'!$E$2:$E$1001,$K46),""))</f>
        <v/>
      </c>
      <c r="C46" t="str">
        <f>IF($K46="","",IFERROR(INDEX('Veri Merkezi'!$D$2:$D$1001,$K46),""))</f>
        <v/>
      </c>
      <c r="D46" t="str">
        <f>IF($K46="","",IFERROR(INDEX('Veri Merkezi'!$F$2:$F$1001,$K46),""))</f>
        <v/>
      </c>
      <c r="E46" s="2" t="str">
        <f>IF($K46="","",IFERROR(INDEX('Veri Merkezi'!$G$2:$G$1001,$K46),""))</f>
        <v/>
      </c>
      <c r="F46" t="str">
        <f>IF($K46="","",IFERROR(INDEX('Veri Merkezi'!$H$2:$H$1001,$K46),""))</f>
        <v/>
      </c>
      <c r="G46" t="str">
        <f>IF($K46="","",IFERROR(INDEX('Veri Merkezi'!$R$2:$R$1001,$K46),""))</f>
        <v/>
      </c>
      <c r="H46" t="str">
        <f>IF($K46="","",IFERROR(INDEX('Veri Merkezi'!$S$2:$S$1001,$K46),""))</f>
        <v/>
      </c>
      <c r="I46" s="2" t="str">
        <f>IF($K46="","",IFERROR(INDEX('Veri Merkezi'!$T$2:$T$1001,$K46),""))</f>
        <v/>
      </c>
      <c r="J46" t="str">
        <f>IF($K46="","",IFERROR(INDEX('Veri Merkezi'!$U$2:$U$1001,$K46),""))</f>
        <v/>
      </c>
      <c r="K46" t="str">
        <f>IF(K45="","",IFERROR(K45+MATCH("Takip",INDEX('Veri Merkezi'!$S$2:$S$1001,K45+1):'Veri Merkezi'!$S$1001,0),""))</f>
        <v/>
      </c>
    </row>
    <row r="47" spans="1:11">
      <c r="A47" t="str">
        <f>IF($K47="","",IFERROR(INDEX('Veri Merkezi'!$A$2:$A$1001,$K47),""))</f>
        <v/>
      </c>
      <c r="B47" t="str">
        <f>IF($K47="","",IFERROR(INDEX('Veri Merkezi'!$E$2:$E$1001,$K47),""))</f>
        <v/>
      </c>
      <c r="C47" t="str">
        <f>IF($K47="","",IFERROR(INDEX('Veri Merkezi'!$D$2:$D$1001,$K47),""))</f>
        <v/>
      </c>
      <c r="D47" t="str">
        <f>IF($K47="","",IFERROR(INDEX('Veri Merkezi'!$F$2:$F$1001,$K47),""))</f>
        <v/>
      </c>
      <c r="E47" s="2" t="str">
        <f>IF($K47="","",IFERROR(INDEX('Veri Merkezi'!$G$2:$G$1001,$K47),""))</f>
        <v/>
      </c>
      <c r="F47" t="str">
        <f>IF($K47="","",IFERROR(INDEX('Veri Merkezi'!$H$2:$H$1001,$K47),""))</f>
        <v/>
      </c>
      <c r="G47" t="str">
        <f>IF($K47="","",IFERROR(INDEX('Veri Merkezi'!$R$2:$R$1001,$K47),""))</f>
        <v/>
      </c>
      <c r="H47" t="str">
        <f>IF($K47="","",IFERROR(INDEX('Veri Merkezi'!$S$2:$S$1001,$K47),""))</f>
        <v/>
      </c>
      <c r="I47" s="2" t="str">
        <f>IF($K47="","",IFERROR(INDEX('Veri Merkezi'!$T$2:$T$1001,$K47),""))</f>
        <v/>
      </c>
      <c r="J47" t="str">
        <f>IF($K47="","",IFERROR(INDEX('Veri Merkezi'!$U$2:$U$1001,$K47),""))</f>
        <v/>
      </c>
      <c r="K47" t="str">
        <f>IF(K46="","",IFERROR(K46+MATCH("Takip",INDEX('Veri Merkezi'!$S$2:$S$1001,K46+1):'Veri Merkezi'!$S$1001,0),""))</f>
        <v/>
      </c>
    </row>
    <row r="48" spans="1:11">
      <c r="A48" t="str">
        <f>IF($K48="","",IFERROR(INDEX('Veri Merkezi'!$A$2:$A$1001,$K48),""))</f>
        <v/>
      </c>
      <c r="B48" t="str">
        <f>IF($K48="","",IFERROR(INDEX('Veri Merkezi'!$E$2:$E$1001,$K48),""))</f>
        <v/>
      </c>
      <c r="C48" t="str">
        <f>IF($K48="","",IFERROR(INDEX('Veri Merkezi'!$D$2:$D$1001,$K48),""))</f>
        <v/>
      </c>
      <c r="D48" t="str">
        <f>IF($K48="","",IFERROR(INDEX('Veri Merkezi'!$F$2:$F$1001,$K48),""))</f>
        <v/>
      </c>
      <c r="E48" s="2" t="str">
        <f>IF($K48="","",IFERROR(INDEX('Veri Merkezi'!$G$2:$G$1001,$K48),""))</f>
        <v/>
      </c>
      <c r="F48" t="str">
        <f>IF($K48="","",IFERROR(INDEX('Veri Merkezi'!$H$2:$H$1001,$K48),""))</f>
        <v/>
      </c>
      <c r="G48" t="str">
        <f>IF($K48="","",IFERROR(INDEX('Veri Merkezi'!$R$2:$R$1001,$K48),""))</f>
        <v/>
      </c>
      <c r="H48" t="str">
        <f>IF($K48="","",IFERROR(INDEX('Veri Merkezi'!$S$2:$S$1001,$K48),""))</f>
        <v/>
      </c>
      <c r="I48" s="2" t="str">
        <f>IF($K48="","",IFERROR(INDEX('Veri Merkezi'!$T$2:$T$1001,$K48),""))</f>
        <v/>
      </c>
      <c r="J48" t="str">
        <f>IF($K48="","",IFERROR(INDEX('Veri Merkezi'!$U$2:$U$1001,$K48),""))</f>
        <v/>
      </c>
      <c r="K48" t="str">
        <f>IF(K47="","",IFERROR(K47+MATCH("Takip",INDEX('Veri Merkezi'!$S$2:$S$1001,K47+1):'Veri Merkezi'!$S$1001,0),""))</f>
        <v/>
      </c>
    </row>
    <row r="49" spans="1:11">
      <c r="A49" t="str">
        <f>IF($K49="","",IFERROR(INDEX('Veri Merkezi'!$A$2:$A$1001,$K49),""))</f>
        <v/>
      </c>
      <c r="B49" t="str">
        <f>IF($K49="","",IFERROR(INDEX('Veri Merkezi'!$E$2:$E$1001,$K49),""))</f>
        <v/>
      </c>
      <c r="C49" t="str">
        <f>IF($K49="","",IFERROR(INDEX('Veri Merkezi'!$D$2:$D$1001,$K49),""))</f>
        <v/>
      </c>
      <c r="D49" t="str">
        <f>IF($K49="","",IFERROR(INDEX('Veri Merkezi'!$F$2:$F$1001,$K49),""))</f>
        <v/>
      </c>
      <c r="E49" s="2" t="str">
        <f>IF($K49="","",IFERROR(INDEX('Veri Merkezi'!$G$2:$G$1001,$K49),""))</f>
        <v/>
      </c>
      <c r="F49" t="str">
        <f>IF($K49="","",IFERROR(INDEX('Veri Merkezi'!$H$2:$H$1001,$K49),""))</f>
        <v/>
      </c>
      <c r="G49" t="str">
        <f>IF($K49="","",IFERROR(INDEX('Veri Merkezi'!$R$2:$R$1001,$K49),""))</f>
        <v/>
      </c>
      <c r="H49" t="str">
        <f>IF($K49="","",IFERROR(INDEX('Veri Merkezi'!$S$2:$S$1001,$K49),""))</f>
        <v/>
      </c>
      <c r="I49" s="2" t="str">
        <f>IF($K49="","",IFERROR(INDEX('Veri Merkezi'!$T$2:$T$1001,$K49),""))</f>
        <v/>
      </c>
      <c r="J49" t="str">
        <f>IF($K49="","",IFERROR(INDEX('Veri Merkezi'!$U$2:$U$1001,$K49),""))</f>
        <v/>
      </c>
      <c r="K49" t="str">
        <f>IF(K48="","",IFERROR(K48+MATCH("Takip",INDEX('Veri Merkezi'!$S$2:$S$1001,K48+1):'Veri Merkezi'!$S$1001,0),""))</f>
        <v/>
      </c>
    </row>
    <row r="50" spans="1:11">
      <c r="A50" t="str">
        <f>IF($K50="","",IFERROR(INDEX('Veri Merkezi'!$A$2:$A$1001,$K50),""))</f>
        <v/>
      </c>
      <c r="B50" t="str">
        <f>IF($K50="","",IFERROR(INDEX('Veri Merkezi'!$E$2:$E$1001,$K50),""))</f>
        <v/>
      </c>
      <c r="C50" t="str">
        <f>IF($K50="","",IFERROR(INDEX('Veri Merkezi'!$D$2:$D$1001,$K50),""))</f>
        <v/>
      </c>
      <c r="D50" t="str">
        <f>IF($K50="","",IFERROR(INDEX('Veri Merkezi'!$F$2:$F$1001,$K50),""))</f>
        <v/>
      </c>
      <c r="E50" s="2" t="str">
        <f>IF($K50="","",IFERROR(INDEX('Veri Merkezi'!$G$2:$G$1001,$K50),""))</f>
        <v/>
      </c>
      <c r="F50" t="str">
        <f>IF($K50="","",IFERROR(INDEX('Veri Merkezi'!$H$2:$H$1001,$K50),""))</f>
        <v/>
      </c>
      <c r="G50" t="str">
        <f>IF($K50="","",IFERROR(INDEX('Veri Merkezi'!$R$2:$R$1001,$K50),""))</f>
        <v/>
      </c>
      <c r="H50" t="str">
        <f>IF($K50="","",IFERROR(INDEX('Veri Merkezi'!$S$2:$S$1001,$K50),""))</f>
        <v/>
      </c>
      <c r="I50" s="2" t="str">
        <f>IF($K50="","",IFERROR(INDEX('Veri Merkezi'!$T$2:$T$1001,$K50),""))</f>
        <v/>
      </c>
      <c r="J50" t="str">
        <f>IF($K50="","",IFERROR(INDEX('Veri Merkezi'!$U$2:$U$1001,$K50),""))</f>
        <v/>
      </c>
      <c r="K50" t="str">
        <f>IF(K49="","",IFERROR(K49+MATCH("Takip",INDEX('Veri Merkezi'!$S$2:$S$1001,K49+1):'Veri Merkezi'!$S$1001,0),""))</f>
        <v/>
      </c>
    </row>
    <row r="51" spans="1:11">
      <c r="A51" t="str">
        <f>IF($K51="","",IFERROR(INDEX('Veri Merkezi'!$A$2:$A$1001,$K51),""))</f>
        <v/>
      </c>
      <c r="B51" t="str">
        <f>IF($K51="","",IFERROR(INDEX('Veri Merkezi'!$E$2:$E$1001,$K51),""))</f>
        <v/>
      </c>
      <c r="C51" t="str">
        <f>IF($K51="","",IFERROR(INDEX('Veri Merkezi'!$D$2:$D$1001,$K51),""))</f>
        <v/>
      </c>
      <c r="D51" t="str">
        <f>IF($K51="","",IFERROR(INDEX('Veri Merkezi'!$F$2:$F$1001,$K51),""))</f>
        <v/>
      </c>
      <c r="E51" s="2" t="str">
        <f>IF($K51="","",IFERROR(INDEX('Veri Merkezi'!$G$2:$G$1001,$K51),""))</f>
        <v/>
      </c>
      <c r="F51" t="str">
        <f>IF($K51="","",IFERROR(INDEX('Veri Merkezi'!$H$2:$H$1001,$K51),""))</f>
        <v/>
      </c>
      <c r="G51" t="str">
        <f>IF($K51="","",IFERROR(INDEX('Veri Merkezi'!$R$2:$R$1001,$K51),""))</f>
        <v/>
      </c>
      <c r="H51" t="str">
        <f>IF($K51="","",IFERROR(INDEX('Veri Merkezi'!$S$2:$S$1001,$K51),""))</f>
        <v/>
      </c>
      <c r="I51" s="2" t="str">
        <f>IF($K51="","",IFERROR(INDEX('Veri Merkezi'!$T$2:$T$1001,$K51),""))</f>
        <v/>
      </c>
      <c r="J51" t="str">
        <f>IF($K51="","",IFERROR(INDEX('Veri Merkezi'!$U$2:$U$1001,$K51),""))</f>
        <v/>
      </c>
      <c r="K51" t="str">
        <f>IF(K50="","",IFERROR(K50+MATCH("Takip",INDEX('Veri Merkezi'!$S$2:$S$1001,K50+1):'Veri Merkezi'!$S$1001,0),""))</f>
        <v/>
      </c>
    </row>
    <row r="52" spans="1:11">
      <c r="A52" t="str">
        <f>IF($K52="","",IFERROR(INDEX('Veri Merkezi'!$A$2:$A$1001,$K52),""))</f>
        <v/>
      </c>
      <c r="B52" t="str">
        <f>IF($K52="","",IFERROR(INDEX('Veri Merkezi'!$E$2:$E$1001,$K52),""))</f>
        <v/>
      </c>
      <c r="C52" t="str">
        <f>IF($K52="","",IFERROR(INDEX('Veri Merkezi'!$D$2:$D$1001,$K52),""))</f>
        <v/>
      </c>
      <c r="D52" t="str">
        <f>IF($K52="","",IFERROR(INDEX('Veri Merkezi'!$F$2:$F$1001,$K52),""))</f>
        <v/>
      </c>
      <c r="E52" s="2" t="str">
        <f>IF($K52="","",IFERROR(INDEX('Veri Merkezi'!$G$2:$G$1001,$K52),""))</f>
        <v/>
      </c>
      <c r="F52" t="str">
        <f>IF($K52="","",IFERROR(INDEX('Veri Merkezi'!$H$2:$H$1001,$K52),""))</f>
        <v/>
      </c>
      <c r="G52" t="str">
        <f>IF($K52="","",IFERROR(INDEX('Veri Merkezi'!$R$2:$R$1001,$K52),""))</f>
        <v/>
      </c>
      <c r="H52" t="str">
        <f>IF($K52="","",IFERROR(INDEX('Veri Merkezi'!$S$2:$S$1001,$K52),""))</f>
        <v/>
      </c>
      <c r="I52" s="2" t="str">
        <f>IF($K52="","",IFERROR(INDEX('Veri Merkezi'!$T$2:$T$1001,$K52),""))</f>
        <v/>
      </c>
      <c r="J52" t="str">
        <f>IF($K52="","",IFERROR(INDEX('Veri Merkezi'!$U$2:$U$1001,$K52),""))</f>
        <v/>
      </c>
      <c r="K52" t="str">
        <f>IF(K51="","",IFERROR(K51+MATCH("Takip",INDEX('Veri Merkezi'!$S$2:$S$1001,K51+1):'Veri Merkezi'!$S$1001,0),""))</f>
        <v/>
      </c>
    </row>
    <row r="53" spans="1:11">
      <c r="A53" t="str">
        <f>IF($K53="","",IFERROR(INDEX('Veri Merkezi'!$A$2:$A$1001,$K53),""))</f>
        <v/>
      </c>
      <c r="B53" t="str">
        <f>IF($K53="","",IFERROR(INDEX('Veri Merkezi'!$E$2:$E$1001,$K53),""))</f>
        <v/>
      </c>
      <c r="C53" t="str">
        <f>IF($K53="","",IFERROR(INDEX('Veri Merkezi'!$D$2:$D$1001,$K53),""))</f>
        <v/>
      </c>
      <c r="D53" t="str">
        <f>IF($K53="","",IFERROR(INDEX('Veri Merkezi'!$F$2:$F$1001,$K53),""))</f>
        <v/>
      </c>
      <c r="E53" s="2" t="str">
        <f>IF($K53="","",IFERROR(INDEX('Veri Merkezi'!$G$2:$G$1001,$K53),""))</f>
        <v/>
      </c>
      <c r="F53" t="str">
        <f>IF($K53="","",IFERROR(INDEX('Veri Merkezi'!$H$2:$H$1001,$K53),""))</f>
        <v/>
      </c>
      <c r="G53" t="str">
        <f>IF($K53="","",IFERROR(INDEX('Veri Merkezi'!$R$2:$R$1001,$K53),""))</f>
        <v/>
      </c>
      <c r="H53" t="str">
        <f>IF($K53="","",IFERROR(INDEX('Veri Merkezi'!$S$2:$S$1001,$K53),""))</f>
        <v/>
      </c>
      <c r="I53" s="2" t="str">
        <f>IF($K53="","",IFERROR(INDEX('Veri Merkezi'!$T$2:$T$1001,$K53),""))</f>
        <v/>
      </c>
      <c r="J53" t="str">
        <f>IF($K53="","",IFERROR(INDEX('Veri Merkezi'!$U$2:$U$1001,$K53),""))</f>
        <v/>
      </c>
      <c r="K53" t="str">
        <f>IF(K52="","",IFERROR(K52+MATCH("Takip",INDEX('Veri Merkezi'!$S$2:$S$1001,K52+1):'Veri Merkezi'!$S$1001,0),""))</f>
        <v/>
      </c>
    </row>
    <row r="54" spans="1:11">
      <c r="A54" t="str">
        <f>IF($K54="","",IFERROR(INDEX('Veri Merkezi'!$A$2:$A$1001,$K54),""))</f>
        <v/>
      </c>
      <c r="B54" t="str">
        <f>IF($K54="","",IFERROR(INDEX('Veri Merkezi'!$E$2:$E$1001,$K54),""))</f>
        <v/>
      </c>
      <c r="C54" t="str">
        <f>IF($K54="","",IFERROR(INDEX('Veri Merkezi'!$D$2:$D$1001,$K54),""))</f>
        <v/>
      </c>
      <c r="D54" t="str">
        <f>IF($K54="","",IFERROR(INDEX('Veri Merkezi'!$F$2:$F$1001,$K54),""))</f>
        <v/>
      </c>
      <c r="E54" s="2" t="str">
        <f>IF($K54="","",IFERROR(INDEX('Veri Merkezi'!$G$2:$G$1001,$K54),""))</f>
        <v/>
      </c>
      <c r="F54" t="str">
        <f>IF($K54="","",IFERROR(INDEX('Veri Merkezi'!$H$2:$H$1001,$K54),""))</f>
        <v/>
      </c>
      <c r="G54" t="str">
        <f>IF($K54="","",IFERROR(INDEX('Veri Merkezi'!$R$2:$R$1001,$K54),""))</f>
        <v/>
      </c>
      <c r="H54" t="str">
        <f>IF($K54="","",IFERROR(INDEX('Veri Merkezi'!$S$2:$S$1001,$K54),""))</f>
        <v/>
      </c>
      <c r="I54" s="2" t="str">
        <f>IF($K54="","",IFERROR(INDEX('Veri Merkezi'!$T$2:$T$1001,$K54),""))</f>
        <v/>
      </c>
      <c r="J54" t="str">
        <f>IF($K54="","",IFERROR(INDEX('Veri Merkezi'!$U$2:$U$1001,$K54),""))</f>
        <v/>
      </c>
      <c r="K54" t="str">
        <f>IF(K53="","",IFERROR(K53+MATCH("Takip",INDEX('Veri Merkezi'!$S$2:$S$1001,K53+1):'Veri Merkezi'!$S$1001,0),""))</f>
        <v/>
      </c>
    </row>
    <row r="55" spans="1:11">
      <c r="A55" t="str">
        <f>IF($K55="","",IFERROR(INDEX('Veri Merkezi'!$A$2:$A$1001,$K55),""))</f>
        <v/>
      </c>
      <c r="B55" t="str">
        <f>IF($K55="","",IFERROR(INDEX('Veri Merkezi'!$E$2:$E$1001,$K55),""))</f>
        <v/>
      </c>
      <c r="C55" t="str">
        <f>IF($K55="","",IFERROR(INDEX('Veri Merkezi'!$D$2:$D$1001,$K55),""))</f>
        <v/>
      </c>
      <c r="D55" t="str">
        <f>IF($K55="","",IFERROR(INDEX('Veri Merkezi'!$F$2:$F$1001,$K55),""))</f>
        <v/>
      </c>
      <c r="E55" s="2" t="str">
        <f>IF($K55="","",IFERROR(INDEX('Veri Merkezi'!$G$2:$G$1001,$K55),""))</f>
        <v/>
      </c>
      <c r="F55" t="str">
        <f>IF($K55="","",IFERROR(INDEX('Veri Merkezi'!$H$2:$H$1001,$K55),""))</f>
        <v/>
      </c>
      <c r="G55" t="str">
        <f>IF($K55="","",IFERROR(INDEX('Veri Merkezi'!$R$2:$R$1001,$K55),""))</f>
        <v/>
      </c>
      <c r="H55" t="str">
        <f>IF($K55="","",IFERROR(INDEX('Veri Merkezi'!$S$2:$S$1001,$K55),""))</f>
        <v/>
      </c>
      <c r="I55" s="2" t="str">
        <f>IF($K55="","",IFERROR(INDEX('Veri Merkezi'!$T$2:$T$1001,$K55),""))</f>
        <v/>
      </c>
      <c r="J55" t="str">
        <f>IF($K55="","",IFERROR(INDEX('Veri Merkezi'!$U$2:$U$1001,$K55),""))</f>
        <v/>
      </c>
      <c r="K55" t="str">
        <f>IF(K54="","",IFERROR(K54+MATCH("Takip",INDEX('Veri Merkezi'!$S$2:$S$1001,K54+1):'Veri Merkezi'!$S$1001,0),""))</f>
        <v/>
      </c>
    </row>
    <row r="56" spans="1:11">
      <c r="A56" t="str">
        <f>IF($K56="","",IFERROR(INDEX('Veri Merkezi'!$A$2:$A$1001,$K56),""))</f>
        <v/>
      </c>
      <c r="B56" t="str">
        <f>IF($K56="","",IFERROR(INDEX('Veri Merkezi'!$E$2:$E$1001,$K56),""))</f>
        <v/>
      </c>
      <c r="C56" t="str">
        <f>IF($K56="","",IFERROR(INDEX('Veri Merkezi'!$D$2:$D$1001,$K56),""))</f>
        <v/>
      </c>
      <c r="D56" t="str">
        <f>IF($K56="","",IFERROR(INDEX('Veri Merkezi'!$F$2:$F$1001,$K56),""))</f>
        <v/>
      </c>
      <c r="E56" s="2" t="str">
        <f>IF($K56="","",IFERROR(INDEX('Veri Merkezi'!$G$2:$G$1001,$K56),""))</f>
        <v/>
      </c>
      <c r="F56" t="str">
        <f>IF($K56="","",IFERROR(INDEX('Veri Merkezi'!$H$2:$H$1001,$K56),""))</f>
        <v/>
      </c>
      <c r="G56" t="str">
        <f>IF($K56="","",IFERROR(INDEX('Veri Merkezi'!$R$2:$R$1001,$K56),""))</f>
        <v/>
      </c>
      <c r="H56" t="str">
        <f>IF($K56="","",IFERROR(INDEX('Veri Merkezi'!$S$2:$S$1001,$K56),""))</f>
        <v/>
      </c>
      <c r="I56" s="2" t="str">
        <f>IF($K56="","",IFERROR(INDEX('Veri Merkezi'!$T$2:$T$1001,$K56),""))</f>
        <v/>
      </c>
      <c r="J56" t="str">
        <f>IF($K56="","",IFERROR(INDEX('Veri Merkezi'!$U$2:$U$1001,$K56),""))</f>
        <v/>
      </c>
      <c r="K56" t="str">
        <f>IF(K55="","",IFERROR(K55+MATCH("Takip",INDEX('Veri Merkezi'!$S$2:$S$1001,K55+1):'Veri Merkezi'!$S$1001,0),""))</f>
        <v/>
      </c>
    </row>
    <row r="57" spans="1:11">
      <c r="A57" t="str">
        <f>IF($K57="","",IFERROR(INDEX('Veri Merkezi'!$A$2:$A$1001,$K57),""))</f>
        <v/>
      </c>
      <c r="B57" t="str">
        <f>IF($K57="","",IFERROR(INDEX('Veri Merkezi'!$E$2:$E$1001,$K57),""))</f>
        <v/>
      </c>
      <c r="C57" t="str">
        <f>IF($K57="","",IFERROR(INDEX('Veri Merkezi'!$D$2:$D$1001,$K57),""))</f>
        <v/>
      </c>
      <c r="D57" t="str">
        <f>IF($K57="","",IFERROR(INDEX('Veri Merkezi'!$F$2:$F$1001,$K57),""))</f>
        <v/>
      </c>
      <c r="E57" s="2" t="str">
        <f>IF($K57="","",IFERROR(INDEX('Veri Merkezi'!$G$2:$G$1001,$K57),""))</f>
        <v/>
      </c>
      <c r="F57" t="str">
        <f>IF($K57="","",IFERROR(INDEX('Veri Merkezi'!$H$2:$H$1001,$K57),""))</f>
        <v/>
      </c>
      <c r="G57" t="str">
        <f>IF($K57="","",IFERROR(INDEX('Veri Merkezi'!$R$2:$R$1001,$K57),""))</f>
        <v/>
      </c>
      <c r="H57" t="str">
        <f>IF($K57="","",IFERROR(INDEX('Veri Merkezi'!$S$2:$S$1001,$K57),""))</f>
        <v/>
      </c>
      <c r="I57" s="2" t="str">
        <f>IF($K57="","",IFERROR(INDEX('Veri Merkezi'!$T$2:$T$1001,$K57),""))</f>
        <v/>
      </c>
      <c r="J57" t="str">
        <f>IF($K57="","",IFERROR(INDEX('Veri Merkezi'!$U$2:$U$1001,$K57),""))</f>
        <v/>
      </c>
      <c r="K57" t="str">
        <f>IF(K56="","",IFERROR(K56+MATCH("Takip",INDEX('Veri Merkezi'!$S$2:$S$1001,K56+1):'Veri Merkezi'!$S$1001,0),""))</f>
        <v/>
      </c>
    </row>
    <row r="58" spans="1:11">
      <c r="A58" t="str">
        <f>IF($K58="","",IFERROR(INDEX('Veri Merkezi'!$A$2:$A$1001,$K58),""))</f>
        <v/>
      </c>
      <c r="B58" t="str">
        <f>IF($K58="","",IFERROR(INDEX('Veri Merkezi'!$E$2:$E$1001,$K58),""))</f>
        <v/>
      </c>
      <c r="C58" t="str">
        <f>IF($K58="","",IFERROR(INDEX('Veri Merkezi'!$D$2:$D$1001,$K58),""))</f>
        <v/>
      </c>
      <c r="D58" t="str">
        <f>IF($K58="","",IFERROR(INDEX('Veri Merkezi'!$F$2:$F$1001,$K58),""))</f>
        <v/>
      </c>
      <c r="E58" s="2" t="str">
        <f>IF($K58="","",IFERROR(INDEX('Veri Merkezi'!$G$2:$G$1001,$K58),""))</f>
        <v/>
      </c>
      <c r="F58" t="str">
        <f>IF($K58="","",IFERROR(INDEX('Veri Merkezi'!$H$2:$H$1001,$K58),""))</f>
        <v/>
      </c>
      <c r="G58" t="str">
        <f>IF($K58="","",IFERROR(INDEX('Veri Merkezi'!$R$2:$R$1001,$K58),""))</f>
        <v/>
      </c>
      <c r="H58" t="str">
        <f>IF($K58="","",IFERROR(INDEX('Veri Merkezi'!$S$2:$S$1001,$K58),""))</f>
        <v/>
      </c>
      <c r="I58" s="2" t="str">
        <f>IF($K58="","",IFERROR(INDEX('Veri Merkezi'!$T$2:$T$1001,$K58),""))</f>
        <v/>
      </c>
      <c r="J58" t="str">
        <f>IF($K58="","",IFERROR(INDEX('Veri Merkezi'!$U$2:$U$1001,$K58),""))</f>
        <v/>
      </c>
      <c r="K58" t="str">
        <f>IF(K57="","",IFERROR(K57+MATCH("Takip",INDEX('Veri Merkezi'!$S$2:$S$1001,K57+1):'Veri Merkezi'!$S$1001,0),""))</f>
        <v/>
      </c>
    </row>
    <row r="59" spans="1:11">
      <c r="A59" t="str">
        <f>IF($K59="","",IFERROR(INDEX('Veri Merkezi'!$A$2:$A$1001,$K59),""))</f>
        <v/>
      </c>
      <c r="B59" t="str">
        <f>IF($K59="","",IFERROR(INDEX('Veri Merkezi'!$E$2:$E$1001,$K59),""))</f>
        <v/>
      </c>
      <c r="C59" t="str">
        <f>IF($K59="","",IFERROR(INDEX('Veri Merkezi'!$D$2:$D$1001,$K59),""))</f>
        <v/>
      </c>
      <c r="D59" t="str">
        <f>IF($K59="","",IFERROR(INDEX('Veri Merkezi'!$F$2:$F$1001,$K59),""))</f>
        <v/>
      </c>
      <c r="E59" s="2" t="str">
        <f>IF($K59="","",IFERROR(INDEX('Veri Merkezi'!$G$2:$G$1001,$K59),""))</f>
        <v/>
      </c>
      <c r="F59" t="str">
        <f>IF($K59="","",IFERROR(INDEX('Veri Merkezi'!$H$2:$H$1001,$K59),""))</f>
        <v/>
      </c>
      <c r="G59" t="str">
        <f>IF($K59="","",IFERROR(INDEX('Veri Merkezi'!$R$2:$R$1001,$K59),""))</f>
        <v/>
      </c>
      <c r="H59" t="str">
        <f>IF($K59="","",IFERROR(INDEX('Veri Merkezi'!$S$2:$S$1001,$K59),""))</f>
        <v/>
      </c>
      <c r="I59" s="2" t="str">
        <f>IF($K59="","",IFERROR(INDEX('Veri Merkezi'!$T$2:$T$1001,$K59),""))</f>
        <v/>
      </c>
      <c r="J59" t="str">
        <f>IF($K59="","",IFERROR(INDEX('Veri Merkezi'!$U$2:$U$1001,$K59),""))</f>
        <v/>
      </c>
      <c r="K59" t="str">
        <f>IF(K58="","",IFERROR(K58+MATCH("Takip",INDEX('Veri Merkezi'!$S$2:$S$1001,K58+1):'Veri Merkezi'!$S$1001,0),""))</f>
        <v/>
      </c>
    </row>
    <row r="60" spans="1:11">
      <c r="A60" t="str">
        <f>IF($K60="","",IFERROR(INDEX('Veri Merkezi'!$A$2:$A$1001,$K60),""))</f>
        <v/>
      </c>
      <c r="B60" t="str">
        <f>IF($K60="","",IFERROR(INDEX('Veri Merkezi'!$E$2:$E$1001,$K60),""))</f>
        <v/>
      </c>
      <c r="C60" t="str">
        <f>IF($K60="","",IFERROR(INDEX('Veri Merkezi'!$D$2:$D$1001,$K60),""))</f>
        <v/>
      </c>
      <c r="D60" t="str">
        <f>IF($K60="","",IFERROR(INDEX('Veri Merkezi'!$F$2:$F$1001,$K60),""))</f>
        <v/>
      </c>
      <c r="E60" s="2" t="str">
        <f>IF($K60="","",IFERROR(INDEX('Veri Merkezi'!$G$2:$G$1001,$K60),""))</f>
        <v/>
      </c>
      <c r="F60" t="str">
        <f>IF($K60="","",IFERROR(INDEX('Veri Merkezi'!$H$2:$H$1001,$K60),""))</f>
        <v/>
      </c>
      <c r="G60" t="str">
        <f>IF($K60="","",IFERROR(INDEX('Veri Merkezi'!$R$2:$R$1001,$K60),""))</f>
        <v/>
      </c>
      <c r="H60" t="str">
        <f>IF($K60="","",IFERROR(INDEX('Veri Merkezi'!$S$2:$S$1001,$K60),""))</f>
        <v/>
      </c>
      <c r="I60" s="2" t="str">
        <f>IF($K60="","",IFERROR(INDEX('Veri Merkezi'!$T$2:$T$1001,$K60),""))</f>
        <v/>
      </c>
      <c r="J60" t="str">
        <f>IF($K60="","",IFERROR(INDEX('Veri Merkezi'!$U$2:$U$1001,$K60),""))</f>
        <v/>
      </c>
      <c r="K60" t="str">
        <f>IF(K59="","",IFERROR(K59+MATCH("Takip",INDEX('Veri Merkezi'!$S$2:$S$1001,K59+1):'Veri Merkezi'!$S$1001,0),""))</f>
        <v/>
      </c>
    </row>
    <row r="61" spans="1:11">
      <c r="A61" t="str">
        <f>IF($K61="","",IFERROR(INDEX('Veri Merkezi'!$A$2:$A$1001,$K61),""))</f>
        <v/>
      </c>
      <c r="B61" t="str">
        <f>IF($K61="","",IFERROR(INDEX('Veri Merkezi'!$E$2:$E$1001,$K61),""))</f>
        <v/>
      </c>
      <c r="C61" t="str">
        <f>IF($K61="","",IFERROR(INDEX('Veri Merkezi'!$D$2:$D$1001,$K61),""))</f>
        <v/>
      </c>
      <c r="D61" t="str">
        <f>IF($K61="","",IFERROR(INDEX('Veri Merkezi'!$F$2:$F$1001,$K61),""))</f>
        <v/>
      </c>
      <c r="E61" s="2" t="str">
        <f>IF($K61="","",IFERROR(INDEX('Veri Merkezi'!$G$2:$G$1001,$K61),""))</f>
        <v/>
      </c>
      <c r="F61" t="str">
        <f>IF($K61="","",IFERROR(INDEX('Veri Merkezi'!$H$2:$H$1001,$K61),""))</f>
        <v/>
      </c>
      <c r="G61" t="str">
        <f>IF($K61="","",IFERROR(INDEX('Veri Merkezi'!$R$2:$R$1001,$K61),""))</f>
        <v/>
      </c>
      <c r="H61" t="str">
        <f>IF($K61="","",IFERROR(INDEX('Veri Merkezi'!$S$2:$S$1001,$K61),""))</f>
        <v/>
      </c>
      <c r="I61" s="2" t="str">
        <f>IF($K61="","",IFERROR(INDEX('Veri Merkezi'!$T$2:$T$1001,$K61),""))</f>
        <v/>
      </c>
      <c r="J61" t="str">
        <f>IF($K61="","",IFERROR(INDEX('Veri Merkezi'!$U$2:$U$1001,$K61),""))</f>
        <v/>
      </c>
      <c r="K61" t="str">
        <f>IF(K60="","",IFERROR(K60+MATCH("Takip",INDEX('Veri Merkezi'!$S$2:$S$1001,K60+1):'Veri Merkezi'!$S$1001,0),""))</f>
        <v/>
      </c>
    </row>
    <row r="62" spans="1:11">
      <c r="A62" t="str">
        <f>IF($K62="","",IFERROR(INDEX('Veri Merkezi'!$A$2:$A$1001,$K62),""))</f>
        <v/>
      </c>
      <c r="B62" t="str">
        <f>IF($K62="","",IFERROR(INDEX('Veri Merkezi'!$E$2:$E$1001,$K62),""))</f>
        <v/>
      </c>
      <c r="C62" t="str">
        <f>IF($K62="","",IFERROR(INDEX('Veri Merkezi'!$D$2:$D$1001,$K62),""))</f>
        <v/>
      </c>
      <c r="D62" t="str">
        <f>IF($K62="","",IFERROR(INDEX('Veri Merkezi'!$F$2:$F$1001,$K62),""))</f>
        <v/>
      </c>
      <c r="E62" s="2" t="str">
        <f>IF($K62="","",IFERROR(INDEX('Veri Merkezi'!$G$2:$G$1001,$K62),""))</f>
        <v/>
      </c>
      <c r="F62" t="str">
        <f>IF($K62="","",IFERROR(INDEX('Veri Merkezi'!$H$2:$H$1001,$K62),""))</f>
        <v/>
      </c>
      <c r="G62" t="str">
        <f>IF($K62="","",IFERROR(INDEX('Veri Merkezi'!$R$2:$R$1001,$K62),""))</f>
        <v/>
      </c>
      <c r="H62" t="str">
        <f>IF($K62="","",IFERROR(INDEX('Veri Merkezi'!$S$2:$S$1001,$K62),""))</f>
        <v/>
      </c>
      <c r="I62" s="2" t="str">
        <f>IF($K62="","",IFERROR(INDEX('Veri Merkezi'!$T$2:$T$1001,$K62),""))</f>
        <v/>
      </c>
      <c r="J62" t="str">
        <f>IF($K62="","",IFERROR(INDEX('Veri Merkezi'!$U$2:$U$1001,$K62),""))</f>
        <v/>
      </c>
      <c r="K62" t="str">
        <f>IF(K61="","",IFERROR(K61+MATCH("Takip",INDEX('Veri Merkezi'!$S$2:$S$1001,K61+1):'Veri Merkezi'!$S$1001,0),""))</f>
        <v/>
      </c>
    </row>
    <row r="63" spans="1:11">
      <c r="A63" t="str">
        <f>IF($K63="","",IFERROR(INDEX('Veri Merkezi'!$A$2:$A$1001,$K63),""))</f>
        <v/>
      </c>
      <c r="B63" t="str">
        <f>IF($K63="","",IFERROR(INDEX('Veri Merkezi'!$E$2:$E$1001,$K63),""))</f>
        <v/>
      </c>
      <c r="C63" t="str">
        <f>IF($K63="","",IFERROR(INDEX('Veri Merkezi'!$D$2:$D$1001,$K63),""))</f>
        <v/>
      </c>
      <c r="D63" t="str">
        <f>IF($K63="","",IFERROR(INDEX('Veri Merkezi'!$F$2:$F$1001,$K63),""))</f>
        <v/>
      </c>
      <c r="E63" s="2" t="str">
        <f>IF($K63="","",IFERROR(INDEX('Veri Merkezi'!$G$2:$G$1001,$K63),""))</f>
        <v/>
      </c>
      <c r="F63" t="str">
        <f>IF($K63="","",IFERROR(INDEX('Veri Merkezi'!$H$2:$H$1001,$K63),""))</f>
        <v/>
      </c>
      <c r="G63" t="str">
        <f>IF($K63="","",IFERROR(INDEX('Veri Merkezi'!$R$2:$R$1001,$K63),""))</f>
        <v/>
      </c>
      <c r="H63" t="str">
        <f>IF($K63="","",IFERROR(INDEX('Veri Merkezi'!$S$2:$S$1001,$K63),""))</f>
        <v/>
      </c>
      <c r="I63" s="2" t="str">
        <f>IF($K63="","",IFERROR(INDEX('Veri Merkezi'!$T$2:$T$1001,$K63),""))</f>
        <v/>
      </c>
      <c r="J63" t="str">
        <f>IF($K63="","",IFERROR(INDEX('Veri Merkezi'!$U$2:$U$1001,$K63),""))</f>
        <v/>
      </c>
      <c r="K63" t="str">
        <f>IF(K62="","",IFERROR(K62+MATCH("Takip",INDEX('Veri Merkezi'!$S$2:$S$1001,K62+1):'Veri Merkezi'!$S$1001,0),""))</f>
        <v/>
      </c>
    </row>
    <row r="64" spans="1:11">
      <c r="A64" t="str">
        <f>IF($K64="","",IFERROR(INDEX('Veri Merkezi'!$A$2:$A$1001,$K64),""))</f>
        <v/>
      </c>
      <c r="B64" t="str">
        <f>IF($K64="","",IFERROR(INDEX('Veri Merkezi'!$E$2:$E$1001,$K64),""))</f>
        <v/>
      </c>
      <c r="C64" t="str">
        <f>IF($K64="","",IFERROR(INDEX('Veri Merkezi'!$D$2:$D$1001,$K64),""))</f>
        <v/>
      </c>
      <c r="D64" t="str">
        <f>IF($K64="","",IFERROR(INDEX('Veri Merkezi'!$F$2:$F$1001,$K64),""))</f>
        <v/>
      </c>
      <c r="E64" s="2" t="str">
        <f>IF($K64="","",IFERROR(INDEX('Veri Merkezi'!$G$2:$G$1001,$K64),""))</f>
        <v/>
      </c>
      <c r="F64" t="str">
        <f>IF($K64="","",IFERROR(INDEX('Veri Merkezi'!$H$2:$H$1001,$K64),""))</f>
        <v/>
      </c>
      <c r="G64" t="str">
        <f>IF($K64="","",IFERROR(INDEX('Veri Merkezi'!$R$2:$R$1001,$K64),""))</f>
        <v/>
      </c>
      <c r="H64" t="str">
        <f>IF($K64="","",IFERROR(INDEX('Veri Merkezi'!$S$2:$S$1001,$K64),""))</f>
        <v/>
      </c>
      <c r="I64" s="2" t="str">
        <f>IF($K64="","",IFERROR(INDEX('Veri Merkezi'!$T$2:$T$1001,$K64),""))</f>
        <v/>
      </c>
      <c r="J64" t="str">
        <f>IF($K64="","",IFERROR(INDEX('Veri Merkezi'!$U$2:$U$1001,$K64),""))</f>
        <v/>
      </c>
      <c r="K64" t="str">
        <f>IF(K63="","",IFERROR(K63+MATCH("Takip",INDEX('Veri Merkezi'!$S$2:$S$1001,K63+1):'Veri Merkezi'!$S$1001,0),""))</f>
        <v/>
      </c>
    </row>
    <row r="65" spans="1:11">
      <c r="A65" t="str">
        <f>IF($K65="","",IFERROR(INDEX('Veri Merkezi'!$A$2:$A$1001,$K65),""))</f>
        <v/>
      </c>
      <c r="B65" t="str">
        <f>IF($K65="","",IFERROR(INDEX('Veri Merkezi'!$E$2:$E$1001,$K65),""))</f>
        <v/>
      </c>
      <c r="C65" t="str">
        <f>IF($K65="","",IFERROR(INDEX('Veri Merkezi'!$D$2:$D$1001,$K65),""))</f>
        <v/>
      </c>
      <c r="D65" t="str">
        <f>IF($K65="","",IFERROR(INDEX('Veri Merkezi'!$F$2:$F$1001,$K65),""))</f>
        <v/>
      </c>
      <c r="E65" s="2" t="str">
        <f>IF($K65="","",IFERROR(INDEX('Veri Merkezi'!$G$2:$G$1001,$K65),""))</f>
        <v/>
      </c>
      <c r="F65" t="str">
        <f>IF($K65="","",IFERROR(INDEX('Veri Merkezi'!$H$2:$H$1001,$K65),""))</f>
        <v/>
      </c>
      <c r="G65" t="str">
        <f>IF($K65="","",IFERROR(INDEX('Veri Merkezi'!$R$2:$R$1001,$K65),""))</f>
        <v/>
      </c>
      <c r="H65" t="str">
        <f>IF($K65="","",IFERROR(INDEX('Veri Merkezi'!$S$2:$S$1001,$K65),""))</f>
        <v/>
      </c>
      <c r="I65" s="2" t="str">
        <f>IF($K65="","",IFERROR(INDEX('Veri Merkezi'!$T$2:$T$1001,$K65),""))</f>
        <v/>
      </c>
      <c r="J65" t="str">
        <f>IF($K65="","",IFERROR(INDEX('Veri Merkezi'!$U$2:$U$1001,$K65),""))</f>
        <v/>
      </c>
      <c r="K65" t="str">
        <f>IF(K64="","",IFERROR(K64+MATCH("Takip",INDEX('Veri Merkezi'!$S$2:$S$1001,K64+1):'Veri Merkezi'!$S$1001,0),""))</f>
        <v/>
      </c>
    </row>
    <row r="66" spans="1:11">
      <c r="A66" t="str">
        <f>IF($K66="","",IFERROR(INDEX('Veri Merkezi'!$A$2:$A$1001,$K66),""))</f>
        <v/>
      </c>
      <c r="B66" t="str">
        <f>IF($K66="","",IFERROR(INDEX('Veri Merkezi'!$E$2:$E$1001,$K66),""))</f>
        <v/>
      </c>
      <c r="C66" t="str">
        <f>IF($K66="","",IFERROR(INDEX('Veri Merkezi'!$D$2:$D$1001,$K66),""))</f>
        <v/>
      </c>
      <c r="D66" t="str">
        <f>IF($K66="","",IFERROR(INDEX('Veri Merkezi'!$F$2:$F$1001,$K66),""))</f>
        <v/>
      </c>
      <c r="E66" s="2" t="str">
        <f>IF($K66="","",IFERROR(INDEX('Veri Merkezi'!$G$2:$G$1001,$K66),""))</f>
        <v/>
      </c>
      <c r="F66" t="str">
        <f>IF($K66="","",IFERROR(INDEX('Veri Merkezi'!$H$2:$H$1001,$K66),""))</f>
        <v/>
      </c>
      <c r="G66" t="str">
        <f>IF($K66="","",IFERROR(INDEX('Veri Merkezi'!$R$2:$R$1001,$K66),""))</f>
        <v/>
      </c>
      <c r="H66" t="str">
        <f>IF($K66="","",IFERROR(INDEX('Veri Merkezi'!$S$2:$S$1001,$K66),""))</f>
        <v/>
      </c>
      <c r="I66" s="2" t="str">
        <f>IF($K66="","",IFERROR(INDEX('Veri Merkezi'!$T$2:$T$1001,$K66),""))</f>
        <v/>
      </c>
      <c r="J66" t="str">
        <f>IF($K66="","",IFERROR(INDEX('Veri Merkezi'!$U$2:$U$1001,$K66),""))</f>
        <v/>
      </c>
      <c r="K66" t="str">
        <f>IF(K65="","",IFERROR(K65+MATCH("Takip",INDEX('Veri Merkezi'!$S$2:$S$1001,K65+1):'Veri Merkezi'!$S$1001,0),""))</f>
        <v/>
      </c>
    </row>
    <row r="67" spans="1:11">
      <c r="A67" t="str">
        <f>IF($K67="","",IFERROR(INDEX('Veri Merkezi'!$A$2:$A$1001,$K67),""))</f>
        <v/>
      </c>
      <c r="B67" t="str">
        <f>IF($K67="","",IFERROR(INDEX('Veri Merkezi'!$E$2:$E$1001,$K67),""))</f>
        <v/>
      </c>
      <c r="C67" t="str">
        <f>IF($K67="","",IFERROR(INDEX('Veri Merkezi'!$D$2:$D$1001,$K67),""))</f>
        <v/>
      </c>
      <c r="D67" t="str">
        <f>IF($K67="","",IFERROR(INDEX('Veri Merkezi'!$F$2:$F$1001,$K67),""))</f>
        <v/>
      </c>
      <c r="E67" s="2" t="str">
        <f>IF($K67="","",IFERROR(INDEX('Veri Merkezi'!$G$2:$G$1001,$K67),""))</f>
        <v/>
      </c>
      <c r="F67" t="str">
        <f>IF($K67="","",IFERROR(INDEX('Veri Merkezi'!$H$2:$H$1001,$K67),""))</f>
        <v/>
      </c>
      <c r="G67" t="str">
        <f>IF($K67="","",IFERROR(INDEX('Veri Merkezi'!$R$2:$R$1001,$K67),""))</f>
        <v/>
      </c>
      <c r="H67" t="str">
        <f>IF($K67="","",IFERROR(INDEX('Veri Merkezi'!$S$2:$S$1001,$K67),""))</f>
        <v/>
      </c>
      <c r="I67" s="2" t="str">
        <f>IF($K67="","",IFERROR(INDEX('Veri Merkezi'!$T$2:$T$1001,$K67),""))</f>
        <v/>
      </c>
      <c r="J67" t="str">
        <f>IF($K67="","",IFERROR(INDEX('Veri Merkezi'!$U$2:$U$1001,$K67),""))</f>
        <v/>
      </c>
      <c r="K67" t="str">
        <f>IF(K66="","",IFERROR(K66+MATCH("Takip",INDEX('Veri Merkezi'!$S$2:$S$1001,K66+1):'Veri Merkezi'!$S$1001,0),""))</f>
        <v/>
      </c>
    </row>
    <row r="68" spans="1:11">
      <c r="A68" t="str">
        <f>IF($K68="","",IFERROR(INDEX('Veri Merkezi'!$A$2:$A$1001,$K68),""))</f>
        <v/>
      </c>
      <c r="B68" t="str">
        <f>IF($K68="","",IFERROR(INDEX('Veri Merkezi'!$E$2:$E$1001,$K68),""))</f>
        <v/>
      </c>
      <c r="C68" t="str">
        <f>IF($K68="","",IFERROR(INDEX('Veri Merkezi'!$D$2:$D$1001,$K68),""))</f>
        <v/>
      </c>
      <c r="D68" t="str">
        <f>IF($K68="","",IFERROR(INDEX('Veri Merkezi'!$F$2:$F$1001,$K68),""))</f>
        <v/>
      </c>
      <c r="E68" s="2" t="str">
        <f>IF($K68="","",IFERROR(INDEX('Veri Merkezi'!$G$2:$G$1001,$K68),""))</f>
        <v/>
      </c>
      <c r="F68" t="str">
        <f>IF($K68="","",IFERROR(INDEX('Veri Merkezi'!$H$2:$H$1001,$K68),""))</f>
        <v/>
      </c>
      <c r="G68" t="str">
        <f>IF($K68="","",IFERROR(INDEX('Veri Merkezi'!$R$2:$R$1001,$K68),""))</f>
        <v/>
      </c>
      <c r="H68" t="str">
        <f>IF($K68="","",IFERROR(INDEX('Veri Merkezi'!$S$2:$S$1001,$K68),""))</f>
        <v/>
      </c>
      <c r="I68" s="2" t="str">
        <f>IF($K68="","",IFERROR(INDEX('Veri Merkezi'!$T$2:$T$1001,$K68),""))</f>
        <v/>
      </c>
      <c r="J68" t="str">
        <f>IF($K68="","",IFERROR(INDEX('Veri Merkezi'!$U$2:$U$1001,$K68),""))</f>
        <v/>
      </c>
      <c r="K68" t="str">
        <f>IF(K67="","",IFERROR(K67+MATCH("Takip",INDEX('Veri Merkezi'!$S$2:$S$1001,K67+1):'Veri Merkezi'!$S$1001,0),""))</f>
        <v/>
      </c>
    </row>
    <row r="69" spans="1:11">
      <c r="A69" t="str">
        <f>IF($K69="","",IFERROR(INDEX('Veri Merkezi'!$A$2:$A$1001,$K69),""))</f>
        <v/>
      </c>
      <c r="B69" t="str">
        <f>IF($K69="","",IFERROR(INDEX('Veri Merkezi'!$E$2:$E$1001,$K69),""))</f>
        <v/>
      </c>
      <c r="C69" t="str">
        <f>IF($K69="","",IFERROR(INDEX('Veri Merkezi'!$D$2:$D$1001,$K69),""))</f>
        <v/>
      </c>
      <c r="D69" t="str">
        <f>IF($K69="","",IFERROR(INDEX('Veri Merkezi'!$F$2:$F$1001,$K69),""))</f>
        <v/>
      </c>
      <c r="E69" s="2" t="str">
        <f>IF($K69="","",IFERROR(INDEX('Veri Merkezi'!$G$2:$G$1001,$K69),""))</f>
        <v/>
      </c>
      <c r="F69" t="str">
        <f>IF($K69="","",IFERROR(INDEX('Veri Merkezi'!$H$2:$H$1001,$K69),""))</f>
        <v/>
      </c>
      <c r="G69" t="str">
        <f>IF($K69="","",IFERROR(INDEX('Veri Merkezi'!$R$2:$R$1001,$K69),""))</f>
        <v/>
      </c>
      <c r="H69" t="str">
        <f>IF($K69="","",IFERROR(INDEX('Veri Merkezi'!$S$2:$S$1001,$K69),""))</f>
        <v/>
      </c>
      <c r="I69" s="2" t="str">
        <f>IF($K69="","",IFERROR(INDEX('Veri Merkezi'!$T$2:$T$1001,$K69),""))</f>
        <v/>
      </c>
      <c r="J69" t="str">
        <f>IF($K69="","",IFERROR(INDEX('Veri Merkezi'!$U$2:$U$1001,$K69),""))</f>
        <v/>
      </c>
      <c r="K69" t="str">
        <f>IF(K68="","",IFERROR(K68+MATCH("Takip",INDEX('Veri Merkezi'!$S$2:$S$1001,K68+1):'Veri Merkezi'!$S$1001,0),""))</f>
        <v/>
      </c>
    </row>
    <row r="70" spans="1:11">
      <c r="A70" t="str">
        <f>IF($K70="","",IFERROR(INDEX('Veri Merkezi'!$A$2:$A$1001,$K70),""))</f>
        <v/>
      </c>
      <c r="B70" t="str">
        <f>IF($K70="","",IFERROR(INDEX('Veri Merkezi'!$E$2:$E$1001,$K70),""))</f>
        <v/>
      </c>
      <c r="C70" t="str">
        <f>IF($K70="","",IFERROR(INDEX('Veri Merkezi'!$D$2:$D$1001,$K70),""))</f>
        <v/>
      </c>
      <c r="D70" t="str">
        <f>IF($K70="","",IFERROR(INDEX('Veri Merkezi'!$F$2:$F$1001,$K70),""))</f>
        <v/>
      </c>
      <c r="E70" s="2" t="str">
        <f>IF($K70="","",IFERROR(INDEX('Veri Merkezi'!$G$2:$G$1001,$K70),""))</f>
        <v/>
      </c>
      <c r="F70" t="str">
        <f>IF($K70="","",IFERROR(INDEX('Veri Merkezi'!$H$2:$H$1001,$K70),""))</f>
        <v/>
      </c>
      <c r="G70" t="str">
        <f>IF($K70="","",IFERROR(INDEX('Veri Merkezi'!$R$2:$R$1001,$K70),""))</f>
        <v/>
      </c>
      <c r="H70" t="str">
        <f>IF($K70="","",IFERROR(INDEX('Veri Merkezi'!$S$2:$S$1001,$K70),""))</f>
        <v/>
      </c>
      <c r="I70" s="2" t="str">
        <f>IF($K70="","",IFERROR(INDEX('Veri Merkezi'!$T$2:$T$1001,$K70),""))</f>
        <v/>
      </c>
      <c r="J70" t="str">
        <f>IF($K70="","",IFERROR(INDEX('Veri Merkezi'!$U$2:$U$1001,$K70),""))</f>
        <v/>
      </c>
      <c r="K70" t="str">
        <f>IF(K69="","",IFERROR(K69+MATCH("Takip",INDEX('Veri Merkezi'!$S$2:$S$1001,K69+1):'Veri Merkezi'!$S$1001,0),""))</f>
        <v/>
      </c>
    </row>
    <row r="71" spans="1:11">
      <c r="A71" t="str">
        <f>IF($K71="","",IFERROR(INDEX('Veri Merkezi'!$A$2:$A$1001,$K71),""))</f>
        <v/>
      </c>
      <c r="B71" t="str">
        <f>IF($K71="","",IFERROR(INDEX('Veri Merkezi'!$E$2:$E$1001,$K71),""))</f>
        <v/>
      </c>
      <c r="C71" t="str">
        <f>IF($K71="","",IFERROR(INDEX('Veri Merkezi'!$D$2:$D$1001,$K71),""))</f>
        <v/>
      </c>
      <c r="D71" t="str">
        <f>IF($K71="","",IFERROR(INDEX('Veri Merkezi'!$F$2:$F$1001,$K71),""))</f>
        <v/>
      </c>
      <c r="E71" s="2" t="str">
        <f>IF($K71="","",IFERROR(INDEX('Veri Merkezi'!$G$2:$G$1001,$K71),""))</f>
        <v/>
      </c>
      <c r="F71" t="str">
        <f>IF($K71="","",IFERROR(INDEX('Veri Merkezi'!$H$2:$H$1001,$K71),""))</f>
        <v/>
      </c>
      <c r="G71" t="str">
        <f>IF($K71="","",IFERROR(INDEX('Veri Merkezi'!$R$2:$R$1001,$K71),""))</f>
        <v/>
      </c>
      <c r="H71" t="str">
        <f>IF($K71="","",IFERROR(INDEX('Veri Merkezi'!$S$2:$S$1001,$K71),""))</f>
        <v/>
      </c>
      <c r="I71" s="2" t="str">
        <f>IF($K71="","",IFERROR(INDEX('Veri Merkezi'!$T$2:$T$1001,$K71),""))</f>
        <v/>
      </c>
      <c r="J71" t="str">
        <f>IF($K71="","",IFERROR(INDEX('Veri Merkezi'!$U$2:$U$1001,$K71),""))</f>
        <v/>
      </c>
      <c r="K71" t="str">
        <f>IF(K70="","",IFERROR(K70+MATCH("Takip",INDEX('Veri Merkezi'!$S$2:$S$1001,K70+1):'Veri Merkezi'!$S$1001,0),""))</f>
        <v/>
      </c>
    </row>
    <row r="72" spans="1:11">
      <c r="A72" t="str">
        <f>IF($K72="","",IFERROR(INDEX('Veri Merkezi'!$A$2:$A$1001,$K72),""))</f>
        <v/>
      </c>
      <c r="B72" t="str">
        <f>IF($K72="","",IFERROR(INDEX('Veri Merkezi'!$E$2:$E$1001,$K72),""))</f>
        <v/>
      </c>
      <c r="C72" t="str">
        <f>IF($K72="","",IFERROR(INDEX('Veri Merkezi'!$D$2:$D$1001,$K72),""))</f>
        <v/>
      </c>
      <c r="D72" t="str">
        <f>IF($K72="","",IFERROR(INDEX('Veri Merkezi'!$F$2:$F$1001,$K72),""))</f>
        <v/>
      </c>
      <c r="E72" s="2" t="str">
        <f>IF($K72="","",IFERROR(INDEX('Veri Merkezi'!$G$2:$G$1001,$K72),""))</f>
        <v/>
      </c>
      <c r="F72" t="str">
        <f>IF($K72="","",IFERROR(INDEX('Veri Merkezi'!$H$2:$H$1001,$K72),""))</f>
        <v/>
      </c>
      <c r="G72" t="str">
        <f>IF($K72="","",IFERROR(INDEX('Veri Merkezi'!$R$2:$R$1001,$K72),""))</f>
        <v/>
      </c>
      <c r="H72" t="str">
        <f>IF($K72="","",IFERROR(INDEX('Veri Merkezi'!$S$2:$S$1001,$K72),""))</f>
        <v/>
      </c>
      <c r="I72" s="2" t="str">
        <f>IF($K72="","",IFERROR(INDEX('Veri Merkezi'!$T$2:$T$1001,$K72),""))</f>
        <v/>
      </c>
      <c r="J72" t="str">
        <f>IF($K72="","",IFERROR(INDEX('Veri Merkezi'!$U$2:$U$1001,$K72),""))</f>
        <v/>
      </c>
      <c r="K72" t="str">
        <f>IF(K71="","",IFERROR(K71+MATCH("Takip",INDEX('Veri Merkezi'!$S$2:$S$1001,K71+1):'Veri Merkezi'!$S$1001,0),""))</f>
        <v/>
      </c>
    </row>
    <row r="73" spans="1:11">
      <c r="A73" t="str">
        <f>IF($K73="","",IFERROR(INDEX('Veri Merkezi'!$A$2:$A$1001,$K73),""))</f>
        <v/>
      </c>
      <c r="B73" t="str">
        <f>IF($K73="","",IFERROR(INDEX('Veri Merkezi'!$E$2:$E$1001,$K73),""))</f>
        <v/>
      </c>
      <c r="C73" t="str">
        <f>IF($K73="","",IFERROR(INDEX('Veri Merkezi'!$D$2:$D$1001,$K73),""))</f>
        <v/>
      </c>
      <c r="D73" t="str">
        <f>IF($K73="","",IFERROR(INDEX('Veri Merkezi'!$F$2:$F$1001,$K73),""))</f>
        <v/>
      </c>
      <c r="E73" s="2" t="str">
        <f>IF($K73="","",IFERROR(INDEX('Veri Merkezi'!$G$2:$G$1001,$K73),""))</f>
        <v/>
      </c>
      <c r="F73" t="str">
        <f>IF($K73="","",IFERROR(INDEX('Veri Merkezi'!$H$2:$H$1001,$K73),""))</f>
        <v/>
      </c>
      <c r="G73" t="str">
        <f>IF($K73="","",IFERROR(INDEX('Veri Merkezi'!$R$2:$R$1001,$K73),""))</f>
        <v/>
      </c>
      <c r="H73" t="str">
        <f>IF($K73="","",IFERROR(INDEX('Veri Merkezi'!$S$2:$S$1001,$K73),""))</f>
        <v/>
      </c>
      <c r="I73" s="2" t="str">
        <f>IF($K73="","",IFERROR(INDEX('Veri Merkezi'!$T$2:$T$1001,$K73),""))</f>
        <v/>
      </c>
      <c r="J73" t="str">
        <f>IF($K73="","",IFERROR(INDEX('Veri Merkezi'!$U$2:$U$1001,$K73),""))</f>
        <v/>
      </c>
      <c r="K73" t="str">
        <f>IF(K72="","",IFERROR(K72+MATCH("Takip",INDEX('Veri Merkezi'!$S$2:$S$1001,K72+1):'Veri Merkezi'!$S$1001,0),""))</f>
        <v/>
      </c>
    </row>
    <row r="74" spans="1:11">
      <c r="A74" t="str">
        <f>IF($K74="","",IFERROR(INDEX('Veri Merkezi'!$A$2:$A$1001,$K74),""))</f>
        <v/>
      </c>
      <c r="B74" t="str">
        <f>IF($K74="","",IFERROR(INDEX('Veri Merkezi'!$E$2:$E$1001,$K74),""))</f>
        <v/>
      </c>
      <c r="C74" t="str">
        <f>IF($K74="","",IFERROR(INDEX('Veri Merkezi'!$D$2:$D$1001,$K74),""))</f>
        <v/>
      </c>
      <c r="D74" t="str">
        <f>IF($K74="","",IFERROR(INDEX('Veri Merkezi'!$F$2:$F$1001,$K74),""))</f>
        <v/>
      </c>
      <c r="E74" s="2" t="str">
        <f>IF($K74="","",IFERROR(INDEX('Veri Merkezi'!$G$2:$G$1001,$K74),""))</f>
        <v/>
      </c>
      <c r="F74" t="str">
        <f>IF($K74="","",IFERROR(INDEX('Veri Merkezi'!$H$2:$H$1001,$K74),""))</f>
        <v/>
      </c>
      <c r="G74" t="str">
        <f>IF($K74="","",IFERROR(INDEX('Veri Merkezi'!$R$2:$R$1001,$K74),""))</f>
        <v/>
      </c>
      <c r="H74" t="str">
        <f>IF($K74="","",IFERROR(INDEX('Veri Merkezi'!$S$2:$S$1001,$K74),""))</f>
        <v/>
      </c>
      <c r="I74" s="2" t="str">
        <f>IF($K74="","",IFERROR(INDEX('Veri Merkezi'!$T$2:$T$1001,$K74),""))</f>
        <v/>
      </c>
      <c r="J74" t="str">
        <f>IF($K74="","",IFERROR(INDEX('Veri Merkezi'!$U$2:$U$1001,$K74),""))</f>
        <v/>
      </c>
      <c r="K74" t="str">
        <f>IF(K73="","",IFERROR(K73+MATCH("Takip",INDEX('Veri Merkezi'!$S$2:$S$1001,K73+1):'Veri Merkezi'!$S$1001,0),""))</f>
        <v/>
      </c>
    </row>
    <row r="75" spans="1:11">
      <c r="A75" t="str">
        <f>IF($K75="","",IFERROR(INDEX('Veri Merkezi'!$A$2:$A$1001,$K75),""))</f>
        <v/>
      </c>
      <c r="B75" t="str">
        <f>IF($K75="","",IFERROR(INDEX('Veri Merkezi'!$E$2:$E$1001,$K75),""))</f>
        <v/>
      </c>
      <c r="C75" t="str">
        <f>IF($K75="","",IFERROR(INDEX('Veri Merkezi'!$D$2:$D$1001,$K75),""))</f>
        <v/>
      </c>
      <c r="D75" t="str">
        <f>IF($K75="","",IFERROR(INDEX('Veri Merkezi'!$F$2:$F$1001,$K75),""))</f>
        <v/>
      </c>
      <c r="E75" s="2" t="str">
        <f>IF($K75="","",IFERROR(INDEX('Veri Merkezi'!$G$2:$G$1001,$K75),""))</f>
        <v/>
      </c>
      <c r="F75" t="str">
        <f>IF($K75="","",IFERROR(INDEX('Veri Merkezi'!$H$2:$H$1001,$K75),""))</f>
        <v/>
      </c>
      <c r="G75" t="str">
        <f>IF($K75="","",IFERROR(INDEX('Veri Merkezi'!$R$2:$R$1001,$K75),""))</f>
        <v/>
      </c>
      <c r="H75" t="str">
        <f>IF($K75="","",IFERROR(INDEX('Veri Merkezi'!$S$2:$S$1001,$K75),""))</f>
        <v/>
      </c>
      <c r="I75" s="2" t="str">
        <f>IF($K75="","",IFERROR(INDEX('Veri Merkezi'!$T$2:$T$1001,$K75),""))</f>
        <v/>
      </c>
      <c r="J75" t="str">
        <f>IF($K75="","",IFERROR(INDEX('Veri Merkezi'!$U$2:$U$1001,$K75),""))</f>
        <v/>
      </c>
      <c r="K75" t="str">
        <f>IF(K74="","",IFERROR(K74+MATCH("Takip",INDEX('Veri Merkezi'!$S$2:$S$1001,K74+1):'Veri Merkezi'!$S$1001,0),""))</f>
        <v/>
      </c>
    </row>
    <row r="76" spans="1:11">
      <c r="A76" t="str">
        <f>IF($K76="","",IFERROR(INDEX('Veri Merkezi'!$A$2:$A$1001,$K76),""))</f>
        <v/>
      </c>
      <c r="B76" t="str">
        <f>IF($K76="","",IFERROR(INDEX('Veri Merkezi'!$E$2:$E$1001,$K76),""))</f>
        <v/>
      </c>
      <c r="C76" t="str">
        <f>IF($K76="","",IFERROR(INDEX('Veri Merkezi'!$D$2:$D$1001,$K76),""))</f>
        <v/>
      </c>
      <c r="D76" t="str">
        <f>IF($K76="","",IFERROR(INDEX('Veri Merkezi'!$F$2:$F$1001,$K76),""))</f>
        <v/>
      </c>
      <c r="E76" s="2" t="str">
        <f>IF($K76="","",IFERROR(INDEX('Veri Merkezi'!$G$2:$G$1001,$K76),""))</f>
        <v/>
      </c>
      <c r="F76" t="str">
        <f>IF($K76="","",IFERROR(INDEX('Veri Merkezi'!$H$2:$H$1001,$K76),""))</f>
        <v/>
      </c>
      <c r="G76" t="str">
        <f>IF($K76="","",IFERROR(INDEX('Veri Merkezi'!$R$2:$R$1001,$K76),""))</f>
        <v/>
      </c>
      <c r="H76" t="str">
        <f>IF($K76="","",IFERROR(INDEX('Veri Merkezi'!$S$2:$S$1001,$K76),""))</f>
        <v/>
      </c>
      <c r="I76" s="2" t="str">
        <f>IF($K76="","",IFERROR(INDEX('Veri Merkezi'!$T$2:$T$1001,$K76),""))</f>
        <v/>
      </c>
      <c r="J76" t="str">
        <f>IF($K76="","",IFERROR(INDEX('Veri Merkezi'!$U$2:$U$1001,$K76),""))</f>
        <v/>
      </c>
      <c r="K76" t="str">
        <f>IF(K75="","",IFERROR(K75+MATCH("Takip",INDEX('Veri Merkezi'!$S$2:$S$1001,K75+1):'Veri Merkezi'!$S$1001,0),""))</f>
        <v/>
      </c>
    </row>
    <row r="77" spans="1:11">
      <c r="A77" t="str">
        <f>IF($K77="","",IFERROR(INDEX('Veri Merkezi'!$A$2:$A$1001,$K77),""))</f>
        <v/>
      </c>
      <c r="B77" t="str">
        <f>IF($K77="","",IFERROR(INDEX('Veri Merkezi'!$E$2:$E$1001,$K77),""))</f>
        <v/>
      </c>
      <c r="C77" t="str">
        <f>IF($K77="","",IFERROR(INDEX('Veri Merkezi'!$D$2:$D$1001,$K77),""))</f>
        <v/>
      </c>
      <c r="D77" t="str">
        <f>IF($K77="","",IFERROR(INDEX('Veri Merkezi'!$F$2:$F$1001,$K77),""))</f>
        <v/>
      </c>
      <c r="E77" s="2" t="str">
        <f>IF($K77="","",IFERROR(INDEX('Veri Merkezi'!$G$2:$G$1001,$K77),""))</f>
        <v/>
      </c>
      <c r="F77" t="str">
        <f>IF($K77="","",IFERROR(INDEX('Veri Merkezi'!$H$2:$H$1001,$K77),""))</f>
        <v/>
      </c>
      <c r="G77" t="str">
        <f>IF($K77="","",IFERROR(INDEX('Veri Merkezi'!$R$2:$R$1001,$K77),""))</f>
        <v/>
      </c>
      <c r="H77" t="str">
        <f>IF($K77="","",IFERROR(INDEX('Veri Merkezi'!$S$2:$S$1001,$K77),""))</f>
        <v/>
      </c>
      <c r="I77" s="2" t="str">
        <f>IF($K77="","",IFERROR(INDEX('Veri Merkezi'!$T$2:$T$1001,$K77),""))</f>
        <v/>
      </c>
      <c r="J77" t="str">
        <f>IF($K77="","",IFERROR(INDEX('Veri Merkezi'!$U$2:$U$1001,$K77),""))</f>
        <v/>
      </c>
      <c r="K77" t="str">
        <f>IF(K76="","",IFERROR(K76+MATCH("Takip",INDEX('Veri Merkezi'!$S$2:$S$1001,K76+1):'Veri Merkezi'!$S$1001,0),""))</f>
        <v/>
      </c>
    </row>
    <row r="78" spans="1:11">
      <c r="A78" t="str">
        <f>IF($K78="","",IFERROR(INDEX('Veri Merkezi'!$A$2:$A$1001,$K78),""))</f>
        <v/>
      </c>
      <c r="B78" t="str">
        <f>IF($K78="","",IFERROR(INDEX('Veri Merkezi'!$E$2:$E$1001,$K78),""))</f>
        <v/>
      </c>
      <c r="C78" t="str">
        <f>IF($K78="","",IFERROR(INDEX('Veri Merkezi'!$D$2:$D$1001,$K78),""))</f>
        <v/>
      </c>
      <c r="D78" t="str">
        <f>IF($K78="","",IFERROR(INDEX('Veri Merkezi'!$F$2:$F$1001,$K78),""))</f>
        <v/>
      </c>
      <c r="E78" s="2" t="str">
        <f>IF($K78="","",IFERROR(INDEX('Veri Merkezi'!$G$2:$G$1001,$K78),""))</f>
        <v/>
      </c>
      <c r="F78" t="str">
        <f>IF($K78="","",IFERROR(INDEX('Veri Merkezi'!$H$2:$H$1001,$K78),""))</f>
        <v/>
      </c>
      <c r="G78" t="str">
        <f>IF($K78="","",IFERROR(INDEX('Veri Merkezi'!$R$2:$R$1001,$K78),""))</f>
        <v/>
      </c>
      <c r="H78" t="str">
        <f>IF($K78="","",IFERROR(INDEX('Veri Merkezi'!$S$2:$S$1001,$K78),""))</f>
        <v/>
      </c>
      <c r="I78" s="2" t="str">
        <f>IF($K78="","",IFERROR(INDEX('Veri Merkezi'!$T$2:$T$1001,$K78),""))</f>
        <v/>
      </c>
      <c r="J78" t="str">
        <f>IF($K78="","",IFERROR(INDEX('Veri Merkezi'!$U$2:$U$1001,$K78),""))</f>
        <v/>
      </c>
      <c r="K78" t="str">
        <f>IF(K77="","",IFERROR(K77+MATCH("Takip",INDEX('Veri Merkezi'!$S$2:$S$1001,K77+1):'Veri Merkezi'!$S$1001,0),""))</f>
        <v/>
      </c>
    </row>
    <row r="79" spans="1:11">
      <c r="A79" t="str">
        <f>IF($K79="","",IFERROR(INDEX('Veri Merkezi'!$A$2:$A$1001,$K79),""))</f>
        <v/>
      </c>
      <c r="B79" t="str">
        <f>IF($K79="","",IFERROR(INDEX('Veri Merkezi'!$E$2:$E$1001,$K79),""))</f>
        <v/>
      </c>
      <c r="C79" t="str">
        <f>IF($K79="","",IFERROR(INDEX('Veri Merkezi'!$D$2:$D$1001,$K79),""))</f>
        <v/>
      </c>
      <c r="D79" t="str">
        <f>IF($K79="","",IFERROR(INDEX('Veri Merkezi'!$F$2:$F$1001,$K79),""))</f>
        <v/>
      </c>
      <c r="E79" s="2" t="str">
        <f>IF($K79="","",IFERROR(INDEX('Veri Merkezi'!$G$2:$G$1001,$K79),""))</f>
        <v/>
      </c>
      <c r="F79" t="str">
        <f>IF($K79="","",IFERROR(INDEX('Veri Merkezi'!$H$2:$H$1001,$K79),""))</f>
        <v/>
      </c>
      <c r="G79" t="str">
        <f>IF($K79="","",IFERROR(INDEX('Veri Merkezi'!$R$2:$R$1001,$K79),""))</f>
        <v/>
      </c>
      <c r="H79" t="str">
        <f>IF($K79="","",IFERROR(INDEX('Veri Merkezi'!$S$2:$S$1001,$K79),""))</f>
        <v/>
      </c>
      <c r="I79" s="2" t="str">
        <f>IF($K79="","",IFERROR(INDEX('Veri Merkezi'!$T$2:$T$1001,$K79),""))</f>
        <v/>
      </c>
      <c r="J79" t="str">
        <f>IF($K79="","",IFERROR(INDEX('Veri Merkezi'!$U$2:$U$1001,$K79),""))</f>
        <v/>
      </c>
      <c r="K79" t="str">
        <f>IF(K78="","",IFERROR(K78+MATCH("Takip",INDEX('Veri Merkezi'!$S$2:$S$1001,K78+1):'Veri Merkezi'!$S$1001,0),""))</f>
        <v/>
      </c>
    </row>
    <row r="80" spans="1:11">
      <c r="A80" t="str">
        <f>IF($K80="","",IFERROR(INDEX('Veri Merkezi'!$A$2:$A$1001,$K80),""))</f>
        <v/>
      </c>
      <c r="B80" t="str">
        <f>IF($K80="","",IFERROR(INDEX('Veri Merkezi'!$E$2:$E$1001,$K80),""))</f>
        <v/>
      </c>
      <c r="C80" t="str">
        <f>IF($K80="","",IFERROR(INDEX('Veri Merkezi'!$D$2:$D$1001,$K80),""))</f>
        <v/>
      </c>
      <c r="D80" t="str">
        <f>IF($K80="","",IFERROR(INDEX('Veri Merkezi'!$F$2:$F$1001,$K80),""))</f>
        <v/>
      </c>
      <c r="E80" s="2" t="str">
        <f>IF($K80="","",IFERROR(INDEX('Veri Merkezi'!$G$2:$G$1001,$K80),""))</f>
        <v/>
      </c>
      <c r="F80" t="str">
        <f>IF($K80="","",IFERROR(INDEX('Veri Merkezi'!$H$2:$H$1001,$K80),""))</f>
        <v/>
      </c>
      <c r="G80" t="str">
        <f>IF($K80="","",IFERROR(INDEX('Veri Merkezi'!$R$2:$R$1001,$K80),""))</f>
        <v/>
      </c>
      <c r="H80" t="str">
        <f>IF($K80="","",IFERROR(INDEX('Veri Merkezi'!$S$2:$S$1001,$K80),""))</f>
        <v/>
      </c>
      <c r="I80" s="2" t="str">
        <f>IF($K80="","",IFERROR(INDEX('Veri Merkezi'!$T$2:$T$1001,$K80),""))</f>
        <v/>
      </c>
      <c r="J80" t="str">
        <f>IF($K80="","",IFERROR(INDEX('Veri Merkezi'!$U$2:$U$1001,$K80),""))</f>
        <v/>
      </c>
      <c r="K80" t="str">
        <f>IF(K79="","",IFERROR(K79+MATCH("Takip",INDEX('Veri Merkezi'!$S$2:$S$1001,K79+1):'Veri Merkezi'!$S$1001,0),""))</f>
        <v/>
      </c>
    </row>
    <row r="81" spans="1:11">
      <c r="A81" t="str">
        <f>IF($K81="","",IFERROR(INDEX('Veri Merkezi'!$A$2:$A$1001,$K81),""))</f>
        <v/>
      </c>
      <c r="B81" t="str">
        <f>IF($K81="","",IFERROR(INDEX('Veri Merkezi'!$E$2:$E$1001,$K81),""))</f>
        <v/>
      </c>
      <c r="C81" t="str">
        <f>IF($K81="","",IFERROR(INDEX('Veri Merkezi'!$D$2:$D$1001,$K81),""))</f>
        <v/>
      </c>
      <c r="D81" t="str">
        <f>IF($K81="","",IFERROR(INDEX('Veri Merkezi'!$F$2:$F$1001,$K81),""))</f>
        <v/>
      </c>
      <c r="E81" s="2" t="str">
        <f>IF($K81="","",IFERROR(INDEX('Veri Merkezi'!$G$2:$G$1001,$K81),""))</f>
        <v/>
      </c>
      <c r="F81" t="str">
        <f>IF($K81="","",IFERROR(INDEX('Veri Merkezi'!$H$2:$H$1001,$K81),""))</f>
        <v/>
      </c>
      <c r="G81" t="str">
        <f>IF($K81="","",IFERROR(INDEX('Veri Merkezi'!$R$2:$R$1001,$K81),""))</f>
        <v/>
      </c>
      <c r="H81" t="str">
        <f>IF($K81="","",IFERROR(INDEX('Veri Merkezi'!$S$2:$S$1001,$K81),""))</f>
        <v/>
      </c>
      <c r="I81" s="2" t="str">
        <f>IF($K81="","",IFERROR(INDEX('Veri Merkezi'!$T$2:$T$1001,$K81),""))</f>
        <v/>
      </c>
      <c r="J81" t="str">
        <f>IF($K81="","",IFERROR(INDEX('Veri Merkezi'!$U$2:$U$1001,$K81),""))</f>
        <v/>
      </c>
      <c r="K81" t="str">
        <f>IF(K80="","",IFERROR(K80+MATCH("Takip",INDEX('Veri Merkezi'!$S$2:$S$1001,K80+1):'Veri Merkezi'!$S$1001,0),""))</f>
        <v/>
      </c>
    </row>
    <row r="82" spans="1:11">
      <c r="A82" t="str">
        <f>IF($K82="","",IFERROR(INDEX('Veri Merkezi'!$A$2:$A$1001,$K82),""))</f>
        <v/>
      </c>
      <c r="B82" t="str">
        <f>IF($K82="","",IFERROR(INDEX('Veri Merkezi'!$E$2:$E$1001,$K82),""))</f>
        <v/>
      </c>
      <c r="C82" t="str">
        <f>IF($K82="","",IFERROR(INDEX('Veri Merkezi'!$D$2:$D$1001,$K82),""))</f>
        <v/>
      </c>
      <c r="D82" t="str">
        <f>IF($K82="","",IFERROR(INDEX('Veri Merkezi'!$F$2:$F$1001,$K82),""))</f>
        <v/>
      </c>
      <c r="E82" s="2" t="str">
        <f>IF($K82="","",IFERROR(INDEX('Veri Merkezi'!$G$2:$G$1001,$K82),""))</f>
        <v/>
      </c>
      <c r="F82" t="str">
        <f>IF($K82="","",IFERROR(INDEX('Veri Merkezi'!$H$2:$H$1001,$K82),""))</f>
        <v/>
      </c>
      <c r="G82" t="str">
        <f>IF($K82="","",IFERROR(INDEX('Veri Merkezi'!$R$2:$R$1001,$K82),""))</f>
        <v/>
      </c>
      <c r="H82" t="str">
        <f>IF($K82="","",IFERROR(INDEX('Veri Merkezi'!$S$2:$S$1001,$K82),""))</f>
        <v/>
      </c>
      <c r="I82" s="2" t="str">
        <f>IF($K82="","",IFERROR(INDEX('Veri Merkezi'!$T$2:$T$1001,$K82),""))</f>
        <v/>
      </c>
      <c r="J82" t="str">
        <f>IF($K82="","",IFERROR(INDEX('Veri Merkezi'!$U$2:$U$1001,$K82),""))</f>
        <v/>
      </c>
      <c r="K82" t="str">
        <f>IF(K81="","",IFERROR(K81+MATCH("Takip",INDEX('Veri Merkezi'!$S$2:$S$1001,K81+1):'Veri Merkezi'!$S$1001,0),""))</f>
        <v/>
      </c>
    </row>
    <row r="83" spans="1:11">
      <c r="A83" t="str">
        <f>IF($K83="","",IFERROR(INDEX('Veri Merkezi'!$A$2:$A$1001,$K83),""))</f>
        <v/>
      </c>
      <c r="B83" t="str">
        <f>IF($K83="","",IFERROR(INDEX('Veri Merkezi'!$E$2:$E$1001,$K83),""))</f>
        <v/>
      </c>
      <c r="C83" t="str">
        <f>IF($K83="","",IFERROR(INDEX('Veri Merkezi'!$D$2:$D$1001,$K83),""))</f>
        <v/>
      </c>
      <c r="D83" t="str">
        <f>IF($K83="","",IFERROR(INDEX('Veri Merkezi'!$F$2:$F$1001,$K83),""))</f>
        <v/>
      </c>
      <c r="E83" s="2" t="str">
        <f>IF($K83="","",IFERROR(INDEX('Veri Merkezi'!$G$2:$G$1001,$K83),""))</f>
        <v/>
      </c>
      <c r="F83" t="str">
        <f>IF($K83="","",IFERROR(INDEX('Veri Merkezi'!$H$2:$H$1001,$K83),""))</f>
        <v/>
      </c>
      <c r="G83" t="str">
        <f>IF($K83="","",IFERROR(INDEX('Veri Merkezi'!$R$2:$R$1001,$K83),""))</f>
        <v/>
      </c>
      <c r="H83" t="str">
        <f>IF($K83="","",IFERROR(INDEX('Veri Merkezi'!$S$2:$S$1001,$K83),""))</f>
        <v/>
      </c>
      <c r="I83" s="2" t="str">
        <f>IF($K83="","",IFERROR(INDEX('Veri Merkezi'!$T$2:$T$1001,$K83),""))</f>
        <v/>
      </c>
      <c r="J83" t="str">
        <f>IF($K83="","",IFERROR(INDEX('Veri Merkezi'!$U$2:$U$1001,$K83),""))</f>
        <v/>
      </c>
      <c r="K83" t="str">
        <f>IF(K82="","",IFERROR(K82+MATCH("Takip",INDEX('Veri Merkezi'!$S$2:$S$1001,K82+1):'Veri Merkezi'!$S$1001,0),""))</f>
        <v/>
      </c>
    </row>
    <row r="84" spans="1:11">
      <c r="A84" t="str">
        <f>IF($K84="","",IFERROR(INDEX('Veri Merkezi'!$A$2:$A$1001,$K84),""))</f>
        <v/>
      </c>
      <c r="B84" t="str">
        <f>IF($K84="","",IFERROR(INDEX('Veri Merkezi'!$E$2:$E$1001,$K84),""))</f>
        <v/>
      </c>
      <c r="C84" t="str">
        <f>IF($K84="","",IFERROR(INDEX('Veri Merkezi'!$D$2:$D$1001,$K84),""))</f>
        <v/>
      </c>
      <c r="D84" t="str">
        <f>IF($K84="","",IFERROR(INDEX('Veri Merkezi'!$F$2:$F$1001,$K84),""))</f>
        <v/>
      </c>
      <c r="E84" s="2" t="str">
        <f>IF($K84="","",IFERROR(INDEX('Veri Merkezi'!$G$2:$G$1001,$K84),""))</f>
        <v/>
      </c>
      <c r="F84" t="str">
        <f>IF($K84="","",IFERROR(INDEX('Veri Merkezi'!$H$2:$H$1001,$K84),""))</f>
        <v/>
      </c>
      <c r="G84" t="str">
        <f>IF($K84="","",IFERROR(INDEX('Veri Merkezi'!$R$2:$R$1001,$K84),""))</f>
        <v/>
      </c>
      <c r="H84" t="str">
        <f>IF($K84="","",IFERROR(INDEX('Veri Merkezi'!$S$2:$S$1001,$K84),""))</f>
        <v/>
      </c>
      <c r="I84" s="2" t="str">
        <f>IF($K84="","",IFERROR(INDEX('Veri Merkezi'!$T$2:$T$1001,$K84),""))</f>
        <v/>
      </c>
      <c r="J84" t="str">
        <f>IF($K84="","",IFERROR(INDEX('Veri Merkezi'!$U$2:$U$1001,$K84),""))</f>
        <v/>
      </c>
      <c r="K84" t="str">
        <f>IF(K83="","",IFERROR(K83+MATCH("Takip",INDEX('Veri Merkezi'!$S$2:$S$1001,K83+1):'Veri Merkezi'!$S$1001,0),""))</f>
        <v/>
      </c>
    </row>
    <row r="85" spans="1:11">
      <c r="A85" t="str">
        <f>IF($K85="","",IFERROR(INDEX('Veri Merkezi'!$A$2:$A$1001,$K85),""))</f>
        <v/>
      </c>
      <c r="B85" t="str">
        <f>IF($K85="","",IFERROR(INDEX('Veri Merkezi'!$E$2:$E$1001,$K85),""))</f>
        <v/>
      </c>
      <c r="C85" t="str">
        <f>IF($K85="","",IFERROR(INDEX('Veri Merkezi'!$D$2:$D$1001,$K85),""))</f>
        <v/>
      </c>
      <c r="D85" t="str">
        <f>IF($K85="","",IFERROR(INDEX('Veri Merkezi'!$F$2:$F$1001,$K85),""))</f>
        <v/>
      </c>
      <c r="E85" s="2" t="str">
        <f>IF($K85="","",IFERROR(INDEX('Veri Merkezi'!$G$2:$G$1001,$K85),""))</f>
        <v/>
      </c>
      <c r="F85" t="str">
        <f>IF($K85="","",IFERROR(INDEX('Veri Merkezi'!$H$2:$H$1001,$K85),""))</f>
        <v/>
      </c>
      <c r="G85" t="str">
        <f>IF($K85="","",IFERROR(INDEX('Veri Merkezi'!$R$2:$R$1001,$K85),""))</f>
        <v/>
      </c>
      <c r="H85" t="str">
        <f>IF($K85="","",IFERROR(INDEX('Veri Merkezi'!$S$2:$S$1001,$K85),""))</f>
        <v/>
      </c>
      <c r="I85" s="2" t="str">
        <f>IF($K85="","",IFERROR(INDEX('Veri Merkezi'!$T$2:$T$1001,$K85),""))</f>
        <v/>
      </c>
      <c r="J85" t="str">
        <f>IF($K85="","",IFERROR(INDEX('Veri Merkezi'!$U$2:$U$1001,$K85),""))</f>
        <v/>
      </c>
      <c r="K85" t="str">
        <f>IF(K84="","",IFERROR(K84+MATCH("Takip",INDEX('Veri Merkezi'!$S$2:$S$1001,K84+1):'Veri Merkezi'!$S$1001,0),""))</f>
        <v/>
      </c>
    </row>
    <row r="86" spans="1:11">
      <c r="A86" t="str">
        <f>IF($K86="","",IFERROR(INDEX('Veri Merkezi'!$A$2:$A$1001,$K86),""))</f>
        <v/>
      </c>
      <c r="B86" t="str">
        <f>IF($K86="","",IFERROR(INDEX('Veri Merkezi'!$E$2:$E$1001,$K86),""))</f>
        <v/>
      </c>
      <c r="C86" t="str">
        <f>IF($K86="","",IFERROR(INDEX('Veri Merkezi'!$D$2:$D$1001,$K86),""))</f>
        <v/>
      </c>
      <c r="D86" t="str">
        <f>IF($K86="","",IFERROR(INDEX('Veri Merkezi'!$F$2:$F$1001,$K86),""))</f>
        <v/>
      </c>
      <c r="E86" s="2" t="str">
        <f>IF($K86="","",IFERROR(INDEX('Veri Merkezi'!$G$2:$G$1001,$K86),""))</f>
        <v/>
      </c>
      <c r="F86" t="str">
        <f>IF($K86="","",IFERROR(INDEX('Veri Merkezi'!$H$2:$H$1001,$K86),""))</f>
        <v/>
      </c>
      <c r="G86" t="str">
        <f>IF($K86="","",IFERROR(INDEX('Veri Merkezi'!$R$2:$R$1001,$K86),""))</f>
        <v/>
      </c>
      <c r="H86" t="str">
        <f>IF($K86="","",IFERROR(INDEX('Veri Merkezi'!$S$2:$S$1001,$K86),""))</f>
        <v/>
      </c>
      <c r="I86" s="2" t="str">
        <f>IF($K86="","",IFERROR(INDEX('Veri Merkezi'!$T$2:$T$1001,$K86),""))</f>
        <v/>
      </c>
      <c r="J86" t="str">
        <f>IF($K86="","",IFERROR(INDEX('Veri Merkezi'!$U$2:$U$1001,$K86),""))</f>
        <v/>
      </c>
      <c r="K86" t="str">
        <f>IF(K85="","",IFERROR(K85+MATCH("Takip",INDEX('Veri Merkezi'!$S$2:$S$1001,K85+1):'Veri Merkezi'!$S$1001,0),""))</f>
        <v/>
      </c>
    </row>
    <row r="87" spans="1:11">
      <c r="A87" t="str">
        <f>IF($K87="","",IFERROR(INDEX('Veri Merkezi'!$A$2:$A$1001,$K87),""))</f>
        <v/>
      </c>
      <c r="B87" t="str">
        <f>IF($K87="","",IFERROR(INDEX('Veri Merkezi'!$E$2:$E$1001,$K87),""))</f>
        <v/>
      </c>
      <c r="C87" t="str">
        <f>IF($K87="","",IFERROR(INDEX('Veri Merkezi'!$D$2:$D$1001,$K87),""))</f>
        <v/>
      </c>
      <c r="D87" t="str">
        <f>IF($K87="","",IFERROR(INDEX('Veri Merkezi'!$F$2:$F$1001,$K87),""))</f>
        <v/>
      </c>
      <c r="E87" s="2" t="str">
        <f>IF($K87="","",IFERROR(INDEX('Veri Merkezi'!$G$2:$G$1001,$K87),""))</f>
        <v/>
      </c>
      <c r="F87" t="str">
        <f>IF($K87="","",IFERROR(INDEX('Veri Merkezi'!$H$2:$H$1001,$K87),""))</f>
        <v/>
      </c>
      <c r="G87" t="str">
        <f>IF($K87="","",IFERROR(INDEX('Veri Merkezi'!$R$2:$R$1001,$K87),""))</f>
        <v/>
      </c>
      <c r="H87" t="str">
        <f>IF($K87="","",IFERROR(INDEX('Veri Merkezi'!$S$2:$S$1001,$K87),""))</f>
        <v/>
      </c>
      <c r="I87" s="2" t="str">
        <f>IF($K87="","",IFERROR(INDEX('Veri Merkezi'!$T$2:$T$1001,$K87),""))</f>
        <v/>
      </c>
      <c r="J87" t="str">
        <f>IF($K87="","",IFERROR(INDEX('Veri Merkezi'!$U$2:$U$1001,$K87),""))</f>
        <v/>
      </c>
      <c r="K87" t="str">
        <f>IF(K86="","",IFERROR(K86+MATCH("Takip",INDEX('Veri Merkezi'!$S$2:$S$1001,K86+1):'Veri Merkezi'!$S$1001,0),""))</f>
        <v/>
      </c>
    </row>
    <row r="88" spans="1:11">
      <c r="A88" t="str">
        <f>IF($K88="","",IFERROR(INDEX('Veri Merkezi'!$A$2:$A$1001,$K88),""))</f>
        <v/>
      </c>
      <c r="B88" t="str">
        <f>IF($K88="","",IFERROR(INDEX('Veri Merkezi'!$E$2:$E$1001,$K88),""))</f>
        <v/>
      </c>
      <c r="C88" t="str">
        <f>IF($K88="","",IFERROR(INDEX('Veri Merkezi'!$D$2:$D$1001,$K88),""))</f>
        <v/>
      </c>
      <c r="D88" t="str">
        <f>IF($K88="","",IFERROR(INDEX('Veri Merkezi'!$F$2:$F$1001,$K88),""))</f>
        <v/>
      </c>
      <c r="E88" s="2" t="str">
        <f>IF($K88="","",IFERROR(INDEX('Veri Merkezi'!$G$2:$G$1001,$K88),""))</f>
        <v/>
      </c>
      <c r="F88" t="str">
        <f>IF($K88="","",IFERROR(INDEX('Veri Merkezi'!$H$2:$H$1001,$K88),""))</f>
        <v/>
      </c>
      <c r="G88" t="str">
        <f>IF($K88="","",IFERROR(INDEX('Veri Merkezi'!$R$2:$R$1001,$K88),""))</f>
        <v/>
      </c>
      <c r="H88" t="str">
        <f>IF($K88="","",IFERROR(INDEX('Veri Merkezi'!$S$2:$S$1001,$K88),""))</f>
        <v/>
      </c>
      <c r="I88" s="2" t="str">
        <f>IF($K88="","",IFERROR(INDEX('Veri Merkezi'!$T$2:$T$1001,$K88),""))</f>
        <v/>
      </c>
      <c r="J88" t="str">
        <f>IF($K88="","",IFERROR(INDEX('Veri Merkezi'!$U$2:$U$1001,$K88),""))</f>
        <v/>
      </c>
      <c r="K88" t="str">
        <f>IF(K87="","",IFERROR(K87+MATCH("Takip",INDEX('Veri Merkezi'!$S$2:$S$1001,K87+1):'Veri Merkezi'!$S$1001,0),""))</f>
        <v/>
      </c>
    </row>
    <row r="89" spans="1:11">
      <c r="A89" t="str">
        <f>IF($K89="","",IFERROR(INDEX('Veri Merkezi'!$A$2:$A$1001,$K89),""))</f>
        <v/>
      </c>
      <c r="B89" t="str">
        <f>IF($K89="","",IFERROR(INDEX('Veri Merkezi'!$E$2:$E$1001,$K89),""))</f>
        <v/>
      </c>
      <c r="C89" t="str">
        <f>IF($K89="","",IFERROR(INDEX('Veri Merkezi'!$D$2:$D$1001,$K89),""))</f>
        <v/>
      </c>
      <c r="D89" t="str">
        <f>IF($K89="","",IFERROR(INDEX('Veri Merkezi'!$F$2:$F$1001,$K89),""))</f>
        <v/>
      </c>
      <c r="E89" s="2" t="str">
        <f>IF($K89="","",IFERROR(INDEX('Veri Merkezi'!$G$2:$G$1001,$K89),""))</f>
        <v/>
      </c>
      <c r="F89" t="str">
        <f>IF($K89="","",IFERROR(INDEX('Veri Merkezi'!$H$2:$H$1001,$K89),""))</f>
        <v/>
      </c>
      <c r="G89" t="str">
        <f>IF($K89="","",IFERROR(INDEX('Veri Merkezi'!$R$2:$R$1001,$K89),""))</f>
        <v/>
      </c>
      <c r="H89" t="str">
        <f>IF($K89="","",IFERROR(INDEX('Veri Merkezi'!$S$2:$S$1001,$K89),""))</f>
        <v/>
      </c>
      <c r="I89" s="2" t="str">
        <f>IF($K89="","",IFERROR(INDEX('Veri Merkezi'!$T$2:$T$1001,$K89),""))</f>
        <v/>
      </c>
      <c r="J89" t="str">
        <f>IF($K89="","",IFERROR(INDEX('Veri Merkezi'!$U$2:$U$1001,$K89),""))</f>
        <v/>
      </c>
      <c r="K89" t="str">
        <f>IF(K88="","",IFERROR(K88+MATCH("Takip",INDEX('Veri Merkezi'!$S$2:$S$1001,K88+1):'Veri Merkezi'!$S$1001,0),""))</f>
        <v/>
      </c>
    </row>
    <row r="90" spans="1:11">
      <c r="A90" t="str">
        <f>IF($K90="","",IFERROR(INDEX('Veri Merkezi'!$A$2:$A$1001,$K90),""))</f>
        <v/>
      </c>
      <c r="B90" t="str">
        <f>IF($K90="","",IFERROR(INDEX('Veri Merkezi'!$E$2:$E$1001,$K90),""))</f>
        <v/>
      </c>
      <c r="C90" t="str">
        <f>IF($K90="","",IFERROR(INDEX('Veri Merkezi'!$D$2:$D$1001,$K90),""))</f>
        <v/>
      </c>
      <c r="D90" t="str">
        <f>IF($K90="","",IFERROR(INDEX('Veri Merkezi'!$F$2:$F$1001,$K90),""))</f>
        <v/>
      </c>
      <c r="E90" s="2" t="str">
        <f>IF($K90="","",IFERROR(INDEX('Veri Merkezi'!$G$2:$G$1001,$K90),""))</f>
        <v/>
      </c>
      <c r="F90" t="str">
        <f>IF($K90="","",IFERROR(INDEX('Veri Merkezi'!$H$2:$H$1001,$K90),""))</f>
        <v/>
      </c>
      <c r="G90" t="str">
        <f>IF($K90="","",IFERROR(INDEX('Veri Merkezi'!$R$2:$R$1001,$K90),""))</f>
        <v/>
      </c>
      <c r="H90" t="str">
        <f>IF($K90="","",IFERROR(INDEX('Veri Merkezi'!$S$2:$S$1001,$K90),""))</f>
        <v/>
      </c>
      <c r="I90" s="2" t="str">
        <f>IF($K90="","",IFERROR(INDEX('Veri Merkezi'!$T$2:$T$1001,$K90),""))</f>
        <v/>
      </c>
      <c r="J90" t="str">
        <f>IF($K90="","",IFERROR(INDEX('Veri Merkezi'!$U$2:$U$1001,$K90),""))</f>
        <v/>
      </c>
      <c r="K90" t="str">
        <f>IF(K89="","",IFERROR(K89+MATCH("Takip",INDEX('Veri Merkezi'!$S$2:$S$1001,K89+1):'Veri Merkezi'!$S$1001,0),""))</f>
        <v/>
      </c>
    </row>
    <row r="91" spans="1:11">
      <c r="A91" t="str">
        <f>IF($K91="","",IFERROR(INDEX('Veri Merkezi'!$A$2:$A$1001,$K91),""))</f>
        <v/>
      </c>
      <c r="B91" t="str">
        <f>IF($K91="","",IFERROR(INDEX('Veri Merkezi'!$E$2:$E$1001,$K91),""))</f>
        <v/>
      </c>
      <c r="C91" t="str">
        <f>IF($K91="","",IFERROR(INDEX('Veri Merkezi'!$D$2:$D$1001,$K91),""))</f>
        <v/>
      </c>
      <c r="D91" t="str">
        <f>IF($K91="","",IFERROR(INDEX('Veri Merkezi'!$F$2:$F$1001,$K91),""))</f>
        <v/>
      </c>
      <c r="E91" s="2" t="str">
        <f>IF($K91="","",IFERROR(INDEX('Veri Merkezi'!$G$2:$G$1001,$K91),""))</f>
        <v/>
      </c>
      <c r="F91" t="str">
        <f>IF($K91="","",IFERROR(INDEX('Veri Merkezi'!$H$2:$H$1001,$K91),""))</f>
        <v/>
      </c>
      <c r="G91" t="str">
        <f>IF($K91="","",IFERROR(INDEX('Veri Merkezi'!$R$2:$R$1001,$K91),""))</f>
        <v/>
      </c>
      <c r="H91" t="str">
        <f>IF($K91="","",IFERROR(INDEX('Veri Merkezi'!$S$2:$S$1001,$K91),""))</f>
        <v/>
      </c>
      <c r="I91" s="2" t="str">
        <f>IF($K91="","",IFERROR(INDEX('Veri Merkezi'!$T$2:$T$1001,$K91),""))</f>
        <v/>
      </c>
      <c r="J91" t="str">
        <f>IF($K91="","",IFERROR(INDEX('Veri Merkezi'!$U$2:$U$1001,$K91),""))</f>
        <v/>
      </c>
      <c r="K91" t="str">
        <f>IF(K90="","",IFERROR(K90+MATCH("Takip",INDEX('Veri Merkezi'!$S$2:$S$1001,K90+1):'Veri Merkezi'!$S$1001,0),""))</f>
        <v/>
      </c>
    </row>
    <row r="92" spans="1:11">
      <c r="A92" t="str">
        <f>IF($K92="","",IFERROR(INDEX('Veri Merkezi'!$A$2:$A$1001,$K92),""))</f>
        <v/>
      </c>
      <c r="B92" t="str">
        <f>IF($K92="","",IFERROR(INDEX('Veri Merkezi'!$E$2:$E$1001,$K92),""))</f>
        <v/>
      </c>
      <c r="C92" t="str">
        <f>IF($K92="","",IFERROR(INDEX('Veri Merkezi'!$D$2:$D$1001,$K92),""))</f>
        <v/>
      </c>
      <c r="D92" t="str">
        <f>IF($K92="","",IFERROR(INDEX('Veri Merkezi'!$F$2:$F$1001,$K92),""))</f>
        <v/>
      </c>
      <c r="E92" s="2" t="str">
        <f>IF($K92="","",IFERROR(INDEX('Veri Merkezi'!$G$2:$G$1001,$K92),""))</f>
        <v/>
      </c>
      <c r="F92" t="str">
        <f>IF($K92="","",IFERROR(INDEX('Veri Merkezi'!$H$2:$H$1001,$K92),""))</f>
        <v/>
      </c>
      <c r="G92" t="str">
        <f>IF($K92="","",IFERROR(INDEX('Veri Merkezi'!$R$2:$R$1001,$K92),""))</f>
        <v/>
      </c>
      <c r="H92" t="str">
        <f>IF($K92="","",IFERROR(INDEX('Veri Merkezi'!$S$2:$S$1001,$K92),""))</f>
        <v/>
      </c>
      <c r="I92" s="2" t="str">
        <f>IF($K92="","",IFERROR(INDEX('Veri Merkezi'!$T$2:$T$1001,$K92),""))</f>
        <v/>
      </c>
      <c r="J92" t="str">
        <f>IF($K92="","",IFERROR(INDEX('Veri Merkezi'!$U$2:$U$1001,$K92),""))</f>
        <v/>
      </c>
      <c r="K92" t="str">
        <f>IF(K91="","",IFERROR(K91+MATCH("Takip",INDEX('Veri Merkezi'!$S$2:$S$1001,K91+1):'Veri Merkezi'!$S$1001,0),""))</f>
        <v/>
      </c>
    </row>
    <row r="93" spans="1:11">
      <c r="A93" t="str">
        <f>IF($K93="","",IFERROR(INDEX('Veri Merkezi'!$A$2:$A$1001,$K93),""))</f>
        <v/>
      </c>
      <c r="B93" t="str">
        <f>IF($K93="","",IFERROR(INDEX('Veri Merkezi'!$E$2:$E$1001,$K93),""))</f>
        <v/>
      </c>
      <c r="C93" t="str">
        <f>IF($K93="","",IFERROR(INDEX('Veri Merkezi'!$D$2:$D$1001,$K93),""))</f>
        <v/>
      </c>
      <c r="D93" t="str">
        <f>IF($K93="","",IFERROR(INDEX('Veri Merkezi'!$F$2:$F$1001,$K93),""))</f>
        <v/>
      </c>
      <c r="E93" s="2" t="str">
        <f>IF($K93="","",IFERROR(INDEX('Veri Merkezi'!$G$2:$G$1001,$K93),""))</f>
        <v/>
      </c>
      <c r="F93" t="str">
        <f>IF($K93="","",IFERROR(INDEX('Veri Merkezi'!$H$2:$H$1001,$K93),""))</f>
        <v/>
      </c>
      <c r="G93" t="str">
        <f>IF($K93="","",IFERROR(INDEX('Veri Merkezi'!$R$2:$R$1001,$K93),""))</f>
        <v/>
      </c>
      <c r="H93" t="str">
        <f>IF($K93="","",IFERROR(INDEX('Veri Merkezi'!$S$2:$S$1001,$K93),""))</f>
        <v/>
      </c>
      <c r="I93" s="2" t="str">
        <f>IF($K93="","",IFERROR(INDEX('Veri Merkezi'!$T$2:$T$1001,$K93),""))</f>
        <v/>
      </c>
      <c r="J93" t="str">
        <f>IF($K93="","",IFERROR(INDEX('Veri Merkezi'!$U$2:$U$1001,$K93),""))</f>
        <v/>
      </c>
      <c r="K93" t="str">
        <f>IF(K92="","",IFERROR(K92+MATCH("Takip",INDEX('Veri Merkezi'!$S$2:$S$1001,K92+1):'Veri Merkezi'!$S$1001,0),""))</f>
        <v/>
      </c>
    </row>
    <row r="94" spans="1:11">
      <c r="A94" t="str">
        <f>IF($K94="","",IFERROR(INDEX('Veri Merkezi'!$A$2:$A$1001,$K94),""))</f>
        <v/>
      </c>
      <c r="B94" t="str">
        <f>IF($K94="","",IFERROR(INDEX('Veri Merkezi'!$E$2:$E$1001,$K94),""))</f>
        <v/>
      </c>
      <c r="C94" t="str">
        <f>IF($K94="","",IFERROR(INDEX('Veri Merkezi'!$D$2:$D$1001,$K94),""))</f>
        <v/>
      </c>
      <c r="D94" t="str">
        <f>IF($K94="","",IFERROR(INDEX('Veri Merkezi'!$F$2:$F$1001,$K94),""))</f>
        <v/>
      </c>
      <c r="E94" s="2" t="str">
        <f>IF($K94="","",IFERROR(INDEX('Veri Merkezi'!$G$2:$G$1001,$K94),""))</f>
        <v/>
      </c>
      <c r="F94" t="str">
        <f>IF($K94="","",IFERROR(INDEX('Veri Merkezi'!$H$2:$H$1001,$K94),""))</f>
        <v/>
      </c>
      <c r="G94" t="str">
        <f>IF($K94="","",IFERROR(INDEX('Veri Merkezi'!$R$2:$R$1001,$K94),""))</f>
        <v/>
      </c>
      <c r="H94" t="str">
        <f>IF($K94="","",IFERROR(INDEX('Veri Merkezi'!$S$2:$S$1001,$K94),""))</f>
        <v/>
      </c>
      <c r="I94" s="2" t="str">
        <f>IF($K94="","",IFERROR(INDEX('Veri Merkezi'!$T$2:$T$1001,$K94),""))</f>
        <v/>
      </c>
      <c r="J94" t="str">
        <f>IF($K94="","",IFERROR(INDEX('Veri Merkezi'!$U$2:$U$1001,$K94),""))</f>
        <v/>
      </c>
      <c r="K94" t="str">
        <f>IF(K93="","",IFERROR(K93+MATCH("Takip",INDEX('Veri Merkezi'!$S$2:$S$1001,K93+1):'Veri Merkezi'!$S$1001,0),""))</f>
        <v/>
      </c>
    </row>
    <row r="95" spans="1:11">
      <c r="A95" t="str">
        <f>IF($K95="","",IFERROR(INDEX('Veri Merkezi'!$A$2:$A$1001,$K95),""))</f>
        <v/>
      </c>
      <c r="B95" t="str">
        <f>IF($K95="","",IFERROR(INDEX('Veri Merkezi'!$E$2:$E$1001,$K95),""))</f>
        <v/>
      </c>
      <c r="C95" t="str">
        <f>IF($K95="","",IFERROR(INDEX('Veri Merkezi'!$D$2:$D$1001,$K95),""))</f>
        <v/>
      </c>
      <c r="D95" t="str">
        <f>IF($K95="","",IFERROR(INDEX('Veri Merkezi'!$F$2:$F$1001,$K95),""))</f>
        <v/>
      </c>
      <c r="E95" s="2" t="str">
        <f>IF($K95="","",IFERROR(INDEX('Veri Merkezi'!$G$2:$G$1001,$K95),""))</f>
        <v/>
      </c>
      <c r="F95" t="str">
        <f>IF($K95="","",IFERROR(INDEX('Veri Merkezi'!$H$2:$H$1001,$K95),""))</f>
        <v/>
      </c>
      <c r="G95" t="str">
        <f>IF($K95="","",IFERROR(INDEX('Veri Merkezi'!$R$2:$R$1001,$K95),""))</f>
        <v/>
      </c>
      <c r="H95" t="str">
        <f>IF($K95="","",IFERROR(INDEX('Veri Merkezi'!$S$2:$S$1001,$K95),""))</f>
        <v/>
      </c>
      <c r="I95" s="2" t="str">
        <f>IF($K95="","",IFERROR(INDEX('Veri Merkezi'!$T$2:$T$1001,$K95),""))</f>
        <v/>
      </c>
      <c r="J95" t="str">
        <f>IF($K95="","",IFERROR(INDEX('Veri Merkezi'!$U$2:$U$1001,$K95),""))</f>
        <v/>
      </c>
      <c r="K95" t="str">
        <f>IF(K94="","",IFERROR(K94+MATCH("Takip",INDEX('Veri Merkezi'!$S$2:$S$1001,K94+1):'Veri Merkezi'!$S$1001,0),""))</f>
        <v/>
      </c>
    </row>
    <row r="96" spans="1:11">
      <c r="A96" t="str">
        <f>IF($K96="","",IFERROR(INDEX('Veri Merkezi'!$A$2:$A$1001,$K96),""))</f>
        <v/>
      </c>
      <c r="B96" t="str">
        <f>IF($K96="","",IFERROR(INDEX('Veri Merkezi'!$E$2:$E$1001,$K96),""))</f>
        <v/>
      </c>
      <c r="C96" t="str">
        <f>IF($K96="","",IFERROR(INDEX('Veri Merkezi'!$D$2:$D$1001,$K96),""))</f>
        <v/>
      </c>
      <c r="D96" t="str">
        <f>IF($K96="","",IFERROR(INDEX('Veri Merkezi'!$F$2:$F$1001,$K96),""))</f>
        <v/>
      </c>
      <c r="E96" s="2" t="str">
        <f>IF($K96="","",IFERROR(INDEX('Veri Merkezi'!$G$2:$G$1001,$K96),""))</f>
        <v/>
      </c>
      <c r="F96" t="str">
        <f>IF($K96="","",IFERROR(INDEX('Veri Merkezi'!$H$2:$H$1001,$K96),""))</f>
        <v/>
      </c>
      <c r="G96" t="str">
        <f>IF($K96="","",IFERROR(INDEX('Veri Merkezi'!$R$2:$R$1001,$K96),""))</f>
        <v/>
      </c>
      <c r="H96" t="str">
        <f>IF($K96="","",IFERROR(INDEX('Veri Merkezi'!$S$2:$S$1001,$K96),""))</f>
        <v/>
      </c>
      <c r="I96" s="2" t="str">
        <f>IF($K96="","",IFERROR(INDEX('Veri Merkezi'!$T$2:$T$1001,$K96),""))</f>
        <v/>
      </c>
      <c r="J96" t="str">
        <f>IF($K96="","",IFERROR(INDEX('Veri Merkezi'!$U$2:$U$1001,$K96),""))</f>
        <v/>
      </c>
      <c r="K96" t="str">
        <f>IF(K95="","",IFERROR(K95+MATCH("Takip",INDEX('Veri Merkezi'!$S$2:$S$1001,K95+1):'Veri Merkezi'!$S$1001,0),""))</f>
        <v/>
      </c>
    </row>
    <row r="97" spans="1:11">
      <c r="A97" t="str">
        <f>IF($K97="","",IFERROR(INDEX('Veri Merkezi'!$A$2:$A$1001,$K97),""))</f>
        <v/>
      </c>
      <c r="B97" t="str">
        <f>IF($K97="","",IFERROR(INDEX('Veri Merkezi'!$E$2:$E$1001,$K97),""))</f>
        <v/>
      </c>
      <c r="C97" t="str">
        <f>IF($K97="","",IFERROR(INDEX('Veri Merkezi'!$D$2:$D$1001,$K97),""))</f>
        <v/>
      </c>
      <c r="D97" t="str">
        <f>IF($K97="","",IFERROR(INDEX('Veri Merkezi'!$F$2:$F$1001,$K97),""))</f>
        <v/>
      </c>
      <c r="E97" s="2" t="str">
        <f>IF($K97="","",IFERROR(INDEX('Veri Merkezi'!$G$2:$G$1001,$K97),""))</f>
        <v/>
      </c>
      <c r="F97" t="str">
        <f>IF($K97="","",IFERROR(INDEX('Veri Merkezi'!$H$2:$H$1001,$K97),""))</f>
        <v/>
      </c>
      <c r="G97" t="str">
        <f>IF($K97="","",IFERROR(INDEX('Veri Merkezi'!$R$2:$R$1001,$K97),""))</f>
        <v/>
      </c>
      <c r="H97" t="str">
        <f>IF($K97="","",IFERROR(INDEX('Veri Merkezi'!$S$2:$S$1001,$K97),""))</f>
        <v/>
      </c>
      <c r="I97" s="2" t="str">
        <f>IF($K97="","",IFERROR(INDEX('Veri Merkezi'!$T$2:$T$1001,$K97),""))</f>
        <v/>
      </c>
      <c r="J97" t="str">
        <f>IF($K97="","",IFERROR(INDEX('Veri Merkezi'!$U$2:$U$1001,$K97),""))</f>
        <v/>
      </c>
      <c r="K97" t="str">
        <f>IF(K96="","",IFERROR(K96+MATCH("Takip",INDEX('Veri Merkezi'!$S$2:$S$1001,K96+1):'Veri Merkezi'!$S$1001,0),""))</f>
        <v/>
      </c>
    </row>
    <row r="98" spans="1:11">
      <c r="A98" t="str">
        <f>IF($K98="","",IFERROR(INDEX('Veri Merkezi'!$A$2:$A$1001,$K98),""))</f>
        <v/>
      </c>
      <c r="B98" t="str">
        <f>IF($K98="","",IFERROR(INDEX('Veri Merkezi'!$E$2:$E$1001,$K98),""))</f>
        <v/>
      </c>
      <c r="C98" t="str">
        <f>IF($K98="","",IFERROR(INDEX('Veri Merkezi'!$D$2:$D$1001,$K98),""))</f>
        <v/>
      </c>
      <c r="D98" t="str">
        <f>IF($K98="","",IFERROR(INDEX('Veri Merkezi'!$F$2:$F$1001,$K98),""))</f>
        <v/>
      </c>
      <c r="E98" s="2" t="str">
        <f>IF($K98="","",IFERROR(INDEX('Veri Merkezi'!$G$2:$G$1001,$K98),""))</f>
        <v/>
      </c>
      <c r="F98" t="str">
        <f>IF($K98="","",IFERROR(INDEX('Veri Merkezi'!$H$2:$H$1001,$K98),""))</f>
        <v/>
      </c>
      <c r="G98" t="str">
        <f>IF($K98="","",IFERROR(INDEX('Veri Merkezi'!$R$2:$R$1001,$K98),""))</f>
        <v/>
      </c>
      <c r="H98" t="str">
        <f>IF($K98="","",IFERROR(INDEX('Veri Merkezi'!$S$2:$S$1001,$K98),""))</f>
        <v/>
      </c>
      <c r="I98" s="2" t="str">
        <f>IF($K98="","",IFERROR(INDEX('Veri Merkezi'!$T$2:$T$1001,$K98),""))</f>
        <v/>
      </c>
      <c r="J98" t="str">
        <f>IF($K98="","",IFERROR(INDEX('Veri Merkezi'!$U$2:$U$1001,$K98),""))</f>
        <v/>
      </c>
      <c r="K98" t="str">
        <f>IF(K97="","",IFERROR(K97+MATCH("Takip",INDEX('Veri Merkezi'!$S$2:$S$1001,K97+1):'Veri Merkezi'!$S$1001,0),""))</f>
        <v/>
      </c>
    </row>
    <row r="99" spans="1:11">
      <c r="A99" t="str">
        <f>IF($K99="","",IFERROR(INDEX('Veri Merkezi'!$A$2:$A$1001,$K99),""))</f>
        <v/>
      </c>
      <c r="B99" t="str">
        <f>IF($K99="","",IFERROR(INDEX('Veri Merkezi'!$E$2:$E$1001,$K99),""))</f>
        <v/>
      </c>
      <c r="C99" t="str">
        <f>IF($K99="","",IFERROR(INDEX('Veri Merkezi'!$D$2:$D$1001,$K99),""))</f>
        <v/>
      </c>
      <c r="D99" t="str">
        <f>IF($K99="","",IFERROR(INDEX('Veri Merkezi'!$F$2:$F$1001,$K99),""))</f>
        <v/>
      </c>
      <c r="E99" s="2" t="str">
        <f>IF($K99="","",IFERROR(INDEX('Veri Merkezi'!$G$2:$G$1001,$K99),""))</f>
        <v/>
      </c>
      <c r="F99" t="str">
        <f>IF($K99="","",IFERROR(INDEX('Veri Merkezi'!$H$2:$H$1001,$K99),""))</f>
        <v/>
      </c>
      <c r="G99" t="str">
        <f>IF($K99="","",IFERROR(INDEX('Veri Merkezi'!$R$2:$R$1001,$K99),""))</f>
        <v/>
      </c>
      <c r="H99" t="str">
        <f>IF($K99="","",IFERROR(INDEX('Veri Merkezi'!$S$2:$S$1001,$K99),""))</f>
        <v/>
      </c>
      <c r="I99" s="2" t="str">
        <f>IF($K99="","",IFERROR(INDEX('Veri Merkezi'!$T$2:$T$1001,$K99),""))</f>
        <v/>
      </c>
      <c r="J99" t="str">
        <f>IF($K99="","",IFERROR(INDEX('Veri Merkezi'!$U$2:$U$1001,$K99),""))</f>
        <v/>
      </c>
      <c r="K99" t="str">
        <f>IF(K98="","",IFERROR(K98+MATCH("Takip",INDEX('Veri Merkezi'!$S$2:$S$1001,K98+1):'Veri Merkezi'!$S$1001,0),""))</f>
        <v/>
      </c>
    </row>
    <row r="100" spans="1:11">
      <c r="A100" t="str">
        <f>IF($K100="","",IFERROR(INDEX('Veri Merkezi'!$A$2:$A$1001,$K100),""))</f>
        <v/>
      </c>
      <c r="B100" t="str">
        <f>IF($K100="","",IFERROR(INDEX('Veri Merkezi'!$E$2:$E$1001,$K100),""))</f>
        <v/>
      </c>
      <c r="C100" t="str">
        <f>IF($K100="","",IFERROR(INDEX('Veri Merkezi'!$D$2:$D$1001,$K100),""))</f>
        <v/>
      </c>
      <c r="D100" t="str">
        <f>IF($K100="","",IFERROR(INDEX('Veri Merkezi'!$F$2:$F$1001,$K100),""))</f>
        <v/>
      </c>
      <c r="E100" s="2" t="str">
        <f>IF($K100="","",IFERROR(INDEX('Veri Merkezi'!$G$2:$G$1001,$K100),""))</f>
        <v/>
      </c>
      <c r="F100" t="str">
        <f>IF($K100="","",IFERROR(INDEX('Veri Merkezi'!$H$2:$H$1001,$K100),""))</f>
        <v/>
      </c>
      <c r="G100" t="str">
        <f>IF($K100="","",IFERROR(INDEX('Veri Merkezi'!$R$2:$R$1001,$K100),""))</f>
        <v/>
      </c>
      <c r="H100" t="str">
        <f>IF($K100="","",IFERROR(INDEX('Veri Merkezi'!$S$2:$S$1001,$K100),""))</f>
        <v/>
      </c>
      <c r="I100" s="2" t="str">
        <f>IF($K100="","",IFERROR(INDEX('Veri Merkezi'!$T$2:$T$1001,$K100),""))</f>
        <v/>
      </c>
      <c r="J100" t="str">
        <f>IF($K100="","",IFERROR(INDEX('Veri Merkezi'!$U$2:$U$1001,$K100),""))</f>
        <v/>
      </c>
      <c r="K100" t="str">
        <f>IF(K99="","",IFERROR(K99+MATCH("Takip",INDEX('Veri Merkezi'!$S$2:$S$1001,K99+1):'Veri Merkezi'!$S$1001,0),""))</f>
        <v/>
      </c>
    </row>
    <row r="101" spans="1:11">
      <c r="A101" t="str">
        <f>IF($K101="","",IFERROR(INDEX('Veri Merkezi'!$A$2:$A$1001,$K101),""))</f>
        <v/>
      </c>
      <c r="B101" t="str">
        <f>IF($K101="","",IFERROR(INDEX('Veri Merkezi'!$E$2:$E$1001,$K101),""))</f>
        <v/>
      </c>
      <c r="C101" t="str">
        <f>IF($K101="","",IFERROR(INDEX('Veri Merkezi'!$D$2:$D$1001,$K101),""))</f>
        <v/>
      </c>
      <c r="D101" t="str">
        <f>IF($K101="","",IFERROR(INDEX('Veri Merkezi'!$F$2:$F$1001,$K101),""))</f>
        <v/>
      </c>
      <c r="E101" s="2" t="str">
        <f>IF($K101="","",IFERROR(INDEX('Veri Merkezi'!$G$2:$G$1001,$K101),""))</f>
        <v/>
      </c>
      <c r="F101" t="str">
        <f>IF($K101="","",IFERROR(INDEX('Veri Merkezi'!$H$2:$H$1001,$K101),""))</f>
        <v/>
      </c>
      <c r="G101" t="str">
        <f>IF($K101="","",IFERROR(INDEX('Veri Merkezi'!$R$2:$R$1001,$K101),""))</f>
        <v/>
      </c>
      <c r="H101" t="str">
        <f>IF($K101="","",IFERROR(INDEX('Veri Merkezi'!$S$2:$S$1001,$K101),""))</f>
        <v/>
      </c>
      <c r="I101" s="2" t="str">
        <f>IF($K101="","",IFERROR(INDEX('Veri Merkezi'!$T$2:$T$1001,$K101),""))</f>
        <v/>
      </c>
      <c r="J101" t="str">
        <f>IF($K101="","",IFERROR(INDEX('Veri Merkezi'!$U$2:$U$1001,$K101),""))</f>
        <v/>
      </c>
      <c r="K101" t="str">
        <f>IF(K100="","",IFERROR(K100+MATCH("Takip",INDEX('Veri Merkezi'!$S$2:$S$1001,K100+1):'Veri Merkezi'!$S$1001,0),""))</f>
        <v/>
      </c>
    </row>
    <row r="102" spans="1:11">
      <c r="A102" t="str">
        <f>IF($K102="","",IFERROR(INDEX('Veri Merkezi'!$A$2:$A$1001,$K102),""))</f>
        <v/>
      </c>
      <c r="B102" t="str">
        <f>IF($K102="","",IFERROR(INDEX('Veri Merkezi'!$E$2:$E$1001,$K102),""))</f>
        <v/>
      </c>
      <c r="C102" t="str">
        <f>IF($K102="","",IFERROR(INDEX('Veri Merkezi'!$D$2:$D$1001,$K102),""))</f>
        <v/>
      </c>
      <c r="D102" t="str">
        <f>IF($K102="","",IFERROR(INDEX('Veri Merkezi'!$F$2:$F$1001,$K102),""))</f>
        <v/>
      </c>
      <c r="E102" s="2" t="str">
        <f>IF($K102="","",IFERROR(INDEX('Veri Merkezi'!$G$2:$G$1001,$K102),""))</f>
        <v/>
      </c>
      <c r="F102" t="str">
        <f>IF($K102="","",IFERROR(INDEX('Veri Merkezi'!$H$2:$H$1001,$K102),""))</f>
        <v/>
      </c>
      <c r="G102" t="str">
        <f>IF($K102="","",IFERROR(INDEX('Veri Merkezi'!$R$2:$R$1001,$K102),""))</f>
        <v/>
      </c>
      <c r="H102" t="str">
        <f>IF($K102="","",IFERROR(INDEX('Veri Merkezi'!$S$2:$S$1001,$K102),""))</f>
        <v/>
      </c>
      <c r="I102" s="2" t="str">
        <f>IF($K102="","",IFERROR(INDEX('Veri Merkezi'!$T$2:$T$1001,$K102),""))</f>
        <v/>
      </c>
      <c r="J102" t="str">
        <f>IF($K102="","",IFERROR(INDEX('Veri Merkezi'!$U$2:$U$1001,$K102),""))</f>
        <v/>
      </c>
      <c r="K102" t="str">
        <f>IF(K101="","",IFERROR(K101+MATCH("Takip",INDEX('Veri Merkezi'!$S$2:$S$1001,K101+1):'Veri Merkezi'!$S$1001,0),""))</f>
        <v/>
      </c>
    </row>
    <row r="103" spans="1:11">
      <c r="A103" t="str">
        <f>IF($K103="","",IFERROR(INDEX('Veri Merkezi'!$A$2:$A$1001,$K103),""))</f>
        <v/>
      </c>
      <c r="B103" t="str">
        <f>IF($K103="","",IFERROR(INDEX('Veri Merkezi'!$E$2:$E$1001,$K103),""))</f>
        <v/>
      </c>
      <c r="C103" t="str">
        <f>IF($K103="","",IFERROR(INDEX('Veri Merkezi'!$D$2:$D$1001,$K103),""))</f>
        <v/>
      </c>
      <c r="D103" t="str">
        <f>IF($K103="","",IFERROR(INDEX('Veri Merkezi'!$F$2:$F$1001,$K103),""))</f>
        <v/>
      </c>
      <c r="E103" s="2" t="str">
        <f>IF($K103="","",IFERROR(INDEX('Veri Merkezi'!$G$2:$G$1001,$K103),""))</f>
        <v/>
      </c>
      <c r="F103" t="str">
        <f>IF($K103="","",IFERROR(INDEX('Veri Merkezi'!$H$2:$H$1001,$K103),""))</f>
        <v/>
      </c>
      <c r="G103" t="str">
        <f>IF($K103="","",IFERROR(INDEX('Veri Merkezi'!$R$2:$R$1001,$K103),""))</f>
        <v/>
      </c>
      <c r="H103" t="str">
        <f>IF($K103="","",IFERROR(INDEX('Veri Merkezi'!$S$2:$S$1001,$K103),""))</f>
        <v/>
      </c>
      <c r="I103" s="2" t="str">
        <f>IF($K103="","",IFERROR(INDEX('Veri Merkezi'!$T$2:$T$1001,$K103),""))</f>
        <v/>
      </c>
      <c r="J103" t="str">
        <f>IF($K103="","",IFERROR(INDEX('Veri Merkezi'!$U$2:$U$1001,$K103),""))</f>
        <v/>
      </c>
      <c r="K103" t="str">
        <f>IF(K102="","",IFERROR(K102+MATCH("Takip",INDEX('Veri Merkezi'!$S$2:$S$1001,K102+1):'Veri Merkezi'!$S$1001,0),""))</f>
        <v/>
      </c>
    </row>
    <row r="104" spans="1:11">
      <c r="A104" t="str">
        <f>IF($K104="","",IFERROR(INDEX('Veri Merkezi'!$A$2:$A$1001,$K104),""))</f>
        <v/>
      </c>
      <c r="B104" t="str">
        <f>IF($K104="","",IFERROR(INDEX('Veri Merkezi'!$E$2:$E$1001,$K104),""))</f>
        <v/>
      </c>
      <c r="C104" t="str">
        <f>IF($K104="","",IFERROR(INDEX('Veri Merkezi'!$D$2:$D$1001,$K104),""))</f>
        <v/>
      </c>
      <c r="D104" t="str">
        <f>IF($K104="","",IFERROR(INDEX('Veri Merkezi'!$F$2:$F$1001,$K104),""))</f>
        <v/>
      </c>
      <c r="E104" s="2" t="str">
        <f>IF($K104="","",IFERROR(INDEX('Veri Merkezi'!$G$2:$G$1001,$K104),""))</f>
        <v/>
      </c>
      <c r="F104" t="str">
        <f>IF($K104="","",IFERROR(INDEX('Veri Merkezi'!$H$2:$H$1001,$K104),""))</f>
        <v/>
      </c>
      <c r="G104" t="str">
        <f>IF($K104="","",IFERROR(INDEX('Veri Merkezi'!$R$2:$R$1001,$K104),""))</f>
        <v/>
      </c>
      <c r="H104" t="str">
        <f>IF($K104="","",IFERROR(INDEX('Veri Merkezi'!$S$2:$S$1001,$K104),""))</f>
        <v/>
      </c>
      <c r="I104" s="2" t="str">
        <f>IF($K104="","",IFERROR(INDEX('Veri Merkezi'!$T$2:$T$1001,$K104),""))</f>
        <v/>
      </c>
      <c r="J104" t="str">
        <f>IF($K104="","",IFERROR(INDEX('Veri Merkezi'!$U$2:$U$1001,$K104),""))</f>
        <v/>
      </c>
      <c r="K104" t="str">
        <f>IF(K103="","",IFERROR(K103+MATCH("Takip",INDEX('Veri Merkezi'!$S$2:$S$1001,K103+1):'Veri Merkezi'!$S$1001,0),""))</f>
        <v/>
      </c>
    </row>
    <row r="105" spans="1:11">
      <c r="A105" t="str">
        <f>IF($K105="","",IFERROR(INDEX('Veri Merkezi'!$A$2:$A$1001,$K105),""))</f>
        <v/>
      </c>
      <c r="B105" t="str">
        <f>IF($K105="","",IFERROR(INDEX('Veri Merkezi'!$E$2:$E$1001,$K105),""))</f>
        <v/>
      </c>
      <c r="C105" t="str">
        <f>IF($K105="","",IFERROR(INDEX('Veri Merkezi'!$D$2:$D$1001,$K105),""))</f>
        <v/>
      </c>
      <c r="D105" t="str">
        <f>IF($K105="","",IFERROR(INDEX('Veri Merkezi'!$F$2:$F$1001,$K105),""))</f>
        <v/>
      </c>
      <c r="E105" s="2" t="str">
        <f>IF($K105="","",IFERROR(INDEX('Veri Merkezi'!$G$2:$G$1001,$K105),""))</f>
        <v/>
      </c>
      <c r="F105" t="str">
        <f>IF($K105="","",IFERROR(INDEX('Veri Merkezi'!$H$2:$H$1001,$K105),""))</f>
        <v/>
      </c>
      <c r="G105" t="str">
        <f>IF($K105="","",IFERROR(INDEX('Veri Merkezi'!$R$2:$R$1001,$K105),""))</f>
        <v/>
      </c>
      <c r="H105" t="str">
        <f>IF($K105="","",IFERROR(INDEX('Veri Merkezi'!$S$2:$S$1001,$K105),""))</f>
        <v/>
      </c>
      <c r="I105" s="2" t="str">
        <f>IF($K105="","",IFERROR(INDEX('Veri Merkezi'!$T$2:$T$1001,$K105),""))</f>
        <v/>
      </c>
      <c r="J105" t="str">
        <f>IF($K105="","",IFERROR(INDEX('Veri Merkezi'!$U$2:$U$1001,$K105),""))</f>
        <v/>
      </c>
      <c r="K105" t="str">
        <f>IF(K104="","",IFERROR(K104+MATCH("Takip",INDEX('Veri Merkezi'!$S$2:$S$1001,K104+1):'Veri Merkezi'!$S$1001,0),""))</f>
        <v/>
      </c>
    </row>
    <row r="106" spans="1:11">
      <c r="A106" t="str">
        <f>IF($K106="","",IFERROR(INDEX('Veri Merkezi'!$A$2:$A$1001,$K106),""))</f>
        <v/>
      </c>
      <c r="B106" t="str">
        <f>IF($K106="","",IFERROR(INDEX('Veri Merkezi'!$E$2:$E$1001,$K106),""))</f>
        <v/>
      </c>
      <c r="C106" t="str">
        <f>IF($K106="","",IFERROR(INDEX('Veri Merkezi'!$D$2:$D$1001,$K106),""))</f>
        <v/>
      </c>
      <c r="D106" t="str">
        <f>IF($K106="","",IFERROR(INDEX('Veri Merkezi'!$F$2:$F$1001,$K106),""))</f>
        <v/>
      </c>
      <c r="E106" s="2" t="str">
        <f>IF($K106="","",IFERROR(INDEX('Veri Merkezi'!$G$2:$G$1001,$K106),""))</f>
        <v/>
      </c>
      <c r="F106" t="str">
        <f>IF($K106="","",IFERROR(INDEX('Veri Merkezi'!$H$2:$H$1001,$K106),""))</f>
        <v/>
      </c>
      <c r="G106" t="str">
        <f>IF($K106="","",IFERROR(INDEX('Veri Merkezi'!$R$2:$R$1001,$K106),""))</f>
        <v/>
      </c>
      <c r="H106" t="str">
        <f>IF($K106="","",IFERROR(INDEX('Veri Merkezi'!$S$2:$S$1001,$K106),""))</f>
        <v/>
      </c>
      <c r="I106" s="2" t="str">
        <f>IF($K106="","",IFERROR(INDEX('Veri Merkezi'!$T$2:$T$1001,$K106),""))</f>
        <v/>
      </c>
      <c r="J106" t="str">
        <f>IF($K106="","",IFERROR(INDEX('Veri Merkezi'!$U$2:$U$1001,$K106),""))</f>
        <v/>
      </c>
      <c r="K106" t="str">
        <f>IF(K105="","",IFERROR(K105+MATCH("Takip",INDEX('Veri Merkezi'!$S$2:$S$1001,K105+1):'Veri Merkezi'!$S$1001,0),""))</f>
        <v/>
      </c>
    </row>
    <row r="107" spans="1:11">
      <c r="A107" t="str">
        <f>IF($K107="","",IFERROR(INDEX('Veri Merkezi'!$A$2:$A$1001,$K107),""))</f>
        <v/>
      </c>
      <c r="B107" t="str">
        <f>IF($K107="","",IFERROR(INDEX('Veri Merkezi'!$E$2:$E$1001,$K107),""))</f>
        <v/>
      </c>
      <c r="C107" t="str">
        <f>IF($K107="","",IFERROR(INDEX('Veri Merkezi'!$D$2:$D$1001,$K107),""))</f>
        <v/>
      </c>
      <c r="D107" t="str">
        <f>IF($K107="","",IFERROR(INDEX('Veri Merkezi'!$F$2:$F$1001,$K107),""))</f>
        <v/>
      </c>
      <c r="E107" s="2" t="str">
        <f>IF($K107="","",IFERROR(INDEX('Veri Merkezi'!$G$2:$G$1001,$K107),""))</f>
        <v/>
      </c>
      <c r="F107" t="str">
        <f>IF($K107="","",IFERROR(INDEX('Veri Merkezi'!$H$2:$H$1001,$K107),""))</f>
        <v/>
      </c>
      <c r="G107" t="str">
        <f>IF($K107="","",IFERROR(INDEX('Veri Merkezi'!$R$2:$R$1001,$K107),""))</f>
        <v/>
      </c>
      <c r="H107" t="str">
        <f>IF($K107="","",IFERROR(INDEX('Veri Merkezi'!$S$2:$S$1001,$K107),""))</f>
        <v/>
      </c>
      <c r="I107" s="2" t="str">
        <f>IF($K107="","",IFERROR(INDEX('Veri Merkezi'!$T$2:$T$1001,$K107),""))</f>
        <v/>
      </c>
      <c r="J107" t="str">
        <f>IF($K107="","",IFERROR(INDEX('Veri Merkezi'!$U$2:$U$1001,$K107),""))</f>
        <v/>
      </c>
      <c r="K107" t="str">
        <f>IF(K106="","",IFERROR(K106+MATCH("Takip",INDEX('Veri Merkezi'!$S$2:$S$1001,K106+1):'Veri Merkezi'!$S$1001,0),""))</f>
        <v/>
      </c>
    </row>
    <row r="108" spans="1:11">
      <c r="A108" t="str">
        <f>IF($K108="","",IFERROR(INDEX('Veri Merkezi'!$A$2:$A$1001,$K108),""))</f>
        <v/>
      </c>
      <c r="B108" t="str">
        <f>IF($K108="","",IFERROR(INDEX('Veri Merkezi'!$E$2:$E$1001,$K108),""))</f>
        <v/>
      </c>
      <c r="C108" t="str">
        <f>IF($K108="","",IFERROR(INDEX('Veri Merkezi'!$D$2:$D$1001,$K108),""))</f>
        <v/>
      </c>
      <c r="D108" t="str">
        <f>IF($K108="","",IFERROR(INDEX('Veri Merkezi'!$F$2:$F$1001,$K108),""))</f>
        <v/>
      </c>
      <c r="E108" s="2" t="str">
        <f>IF($K108="","",IFERROR(INDEX('Veri Merkezi'!$G$2:$G$1001,$K108),""))</f>
        <v/>
      </c>
      <c r="F108" t="str">
        <f>IF($K108="","",IFERROR(INDEX('Veri Merkezi'!$H$2:$H$1001,$K108),""))</f>
        <v/>
      </c>
      <c r="G108" t="str">
        <f>IF($K108="","",IFERROR(INDEX('Veri Merkezi'!$R$2:$R$1001,$K108),""))</f>
        <v/>
      </c>
      <c r="H108" t="str">
        <f>IF($K108="","",IFERROR(INDEX('Veri Merkezi'!$S$2:$S$1001,$K108),""))</f>
        <v/>
      </c>
      <c r="I108" s="2" t="str">
        <f>IF($K108="","",IFERROR(INDEX('Veri Merkezi'!$T$2:$T$1001,$K108),""))</f>
        <v/>
      </c>
      <c r="J108" t="str">
        <f>IF($K108="","",IFERROR(INDEX('Veri Merkezi'!$U$2:$U$1001,$K108),""))</f>
        <v/>
      </c>
      <c r="K108" t="str">
        <f>IF(K107="","",IFERROR(K107+MATCH("Takip",INDEX('Veri Merkezi'!$S$2:$S$1001,K107+1):'Veri Merkezi'!$S$1001,0),""))</f>
        <v/>
      </c>
    </row>
    <row r="109" spans="1:11">
      <c r="A109" t="str">
        <f>IF($K109="","",IFERROR(INDEX('Veri Merkezi'!$A$2:$A$1001,$K109),""))</f>
        <v/>
      </c>
      <c r="B109" t="str">
        <f>IF($K109="","",IFERROR(INDEX('Veri Merkezi'!$E$2:$E$1001,$K109),""))</f>
        <v/>
      </c>
      <c r="C109" t="str">
        <f>IF($K109="","",IFERROR(INDEX('Veri Merkezi'!$D$2:$D$1001,$K109),""))</f>
        <v/>
      </c>
      <c r="D109" t="str">
        <f>IF($K109="","",IFERROR(INDEX('Veri Merkezi'!$F$2:$F$1001,$K109),""))</f>
        <v/>
      </c>
      <c r="E109" s="2" t="str">
        <f>IF($K109="","",IFERROR(INDEX('Veri Merkezi'!$G$2:$G$1001,$K109),""))</f>
        <v/>
      </c>
      <c r="F109" t="str">
        <f>IF($K109="","",IFERROR(INDEX('Veri Merkezi'!$H$2:$H$1001,$K109),""))</f>
        <v/>
      </c>
      <c r="G109" t="str">
        <f>IF($K109="","",IFERROR(INDEX('Veri Merkezi'!$R$2:$R$1001,$K109),""))</f>
        <v/>
      </c>
      <c r="H109" t="str">
        <f>IF($K109="","",IFERROR(INDEX('Veri Merkezi'!$S$2:$S$1001,$K109),""))</f>
        <v/>
      </c>
      <c r="I109" s="2" t="str">
        <f>IF($K109="","",IFERROR(INDEX('Veri Merkezi'!$T$2:$T$1001,$K109),""))</f>
        <v/>
      </c>
      <c r="J109" t="str">
        <f>IF($K109="","",IFERROR(INDEX('Veri Merkezi'!$U$2:$U$1001,$K109),""))</f>
        <v/>
      </c>
      <c r="K109" t="str">
        <f>IF(K108="","",IFERROR(K108+MATCH("Takip",INDEX('Veri Merkezi'!$S$2:$S$1001,K108+1):'Veri Merkezi'!$S$1001,0),""))</f>
        <v/>
      </c>
    </row>
    <row r="110" spans="1:11">
      <c r="A110" t="str">
        <f>IF($K110="","",IFERROR(INDEX('Veri Merkezi'!$A$2:$A$1001,$K110),""))</f>
        <v/>
      </c>
      <c r="B110" t="str">
        <f>IF($K110="","",IFERROR(INDEX('Veri Merkezi'!$E$2:$E$1001,$K110),""))</f>
        <v/>
      </c>
      <c r="C110" t="str">
        <f>IF($K110="","",IFERROR(INDEX('Veri Merkezi'!$D$2:$D$1001,$K110),""))</f>
        <v/>
      </c>
      <c r="D110" t="str">
        <f>IF($K110="","",IFERROR(INDEX('Veri Merkezi'!$F$2:$F$1001,$K110),""))</f>
        <v/>
      </c>
      <c r="E110" s="2" t="str">
        <f>IF($K110="","",IFERROR(INDEX('Veri Merkezi'!$G$2:$G$1001,$K110),""))</f>
        <v/>
      </c>
      <c r="F110" t="str">
        <f>IF($K110="","",IFERROR(INDEX('Veri Merkezi'!$H$2:$H$1001,$K110),""))</f>
        <v/>
      </c>
      <c r="G110" t="str">
        <f>IF($K110="","",IFERROR(INDEX('Veri Merkezi'!$R$2:$R$1001,$K110),""))</f>
        <v/>
      </c>
      <c r="H110" t="str">
        <f>IF($K110="","",IFERROR(INDEX('Veri Merkezi'!$S$2:$S$1001,$K110),""))</f>
        <v/>
      </c>
      <c r="I110" s="2" t="str">
        <f>IF($K110="","",IFERROR(INDEX('Veri Merkezi'!$T$2:$T$1001,$K110),""))</f>
        <v/>
      </c>
      <c r="J110" t="str">
        <f>IF($K110="","",IFERROR(INDEX('Veri Merkezi'!$U$2:$U$1001,$K110),""))</f>
        <v/>
      </c>
      <c r="K110" t="str">
        <f>IF(K109="","",IFERROR(K109+MATCH("Takip",INDEX('Veri Merkezi'!$S$2:$S$1001,K109+1):'Veri Merkezi'!$S$1001,0),""))</f>
        <v/>
      </c>
    </row>
    <row r="111" spans="1:11">
      <c r="A111" t="str">
        <f>IF($K111="","",IFERROR(INDEX('Veri Merkezi'!$A$2:$A$1001,$K111),""))</f>
        <v/>
      </c>
      <c r="B111" t="str">
        <f>IF($K111="","",IFERROR(INDEX('Veri Merkezi'!$E$2:$E$1001,$K111),""))</f>
        <v/>
      </c>
      <c r="C111" t="str">
        <f>IF($K111="","",IFERROR(INDEX('Veri Merkezi'!$D$2:$D$1001,$K111),""))</f>
        <v/>
      </c>
      <c r="D111" t="str">
        <f>IF($K111="","",IFERROR(INDEX('Veri Merkezi'!$F$2:$F$1001,$K111),""))</f>
        <v/>
      </c>
      <c r="E111" s="2" t="str">
        <f>IF($K111="","",IFERROR(INDEX('Veri Merkezi'!$G$2:$G$1001,$K111),""))</f>
        <v/>
      </c>
      <c r="F111" t="str">
        <f>IF($K111="","",IFERROR(INDEX('Veri Merkezi'!$H$2:$H$1001,$K111),""))</f>
        <v/>
      </c>
      <c r="G111" t="str">
        <f>IF($K111="","",IFERROR(INDEX('Veri Merkezi'!$R$2:$R$1001,$K111),""))</f>
        <v/>
      </c>
      <c r="H111" t="str">
        <f>IF($K111="","",IFERROR(INDEX('Veri Merkezi'!$S$2:$S$1001,$K111),""))</f>
        <v/>
      </c>
      <c r="I111" s="2" t="str">
        <f>IF($K111="","",IFERROR(INDEX('Veri Merkezi'!$T$2:$T$1001,$K111),""))</f>
        <v/>
      </c>
      <c r="J111" t="str">
        <f>IF($K111="","",IFERROR(INDEX('Veri Merkezi'!$U$2:$U$1001,$K111),""))</f>
        <v/>
      </c>
      <c r="K111" t="str">
        <f>IF(K110="","",IFERROR(K110+MATCH("Takip",INDEX('Veri Merkezi'!$S$2:$S$1001,K110+1):'Veri Merkezi'!$S$1001,0),""))</f>
        <v/>
      </c>
    </row>
    <row r="112" spans="1:11">
      <c r="A112" t="str">
        <f>IF($K112="","",IFERROR(INDEX('Veri Merkezi'!$A$2:$A$1001,$K112),""))</f>
        <v/>
      </c>
      <c r="B112" t="str">
        <f>IF($K112="","",IFERROR(INDEX('Veri Merkezi'!$E$2:$E$1001,$K112),""))</f>
        <v/>
      </c>
      <c r="C112" t="str">
        <f>IF($K112="","",IFERROR(INDEX('Veri Merkezi'!$D$2:$D$1001,$K112),""))</f>
        <v/>
      </c>
      <c r="D112" t="str">
        <f>IF($K112="","",IFERROR(INDEX('Veri Merkezi'!$F$2:$F$1001,$K112),""))</f>
        <v/>
      </c>
      <c r="E112" s="2" t="str">
        <f>IF($K112="","",IFERROR(INDEX('Veri Merkezi'!$G$2:$G$1001,$K112),""))</f>
        <v/>
      </c>
      <c r="F112" t="str">
        <f>IF($K112="","",IFERROR(INDEX('Veri Merkezi'!$H$2:$H$1001,$K112),""))</f>
        <v/>
      </c>
      <c r="G112" t="str">
        <f>IF($K112="","",IFERROR(INDEX('Veri Merkezi'!$R$2:$R$1001,$K112),""))</f>
        <v/>
      </c>
      <c r="H112" t="str">
        <f>IF($K112="","",IFERROR(INDEX('Veri Merkezi'!$S$2:$S$1001,$K112),""))</f>
        <v/>
      </c>
      <c r="I112" s="2" t="str">
        <f>IF($K112="","",IFERROR(INDEX('Veri Merkezi'!$T$2:$T$1001,$K112),""))</f>
        <v/>
      </c>
      <c r="J112" t="str">
        <f>IF($K112="","",IFERROR(INDEX('Veri Merkezi'!$U$2:$U$1001,$K112),""))</f>
        <v/>
      </c>
      <c r="K112" t="str">
        <f>IF(K111="","",IFERROR(K111+MATCH("Takip",INDEX('Veri Merkezi'!$S$2:$S$1001,K111+1):'Veri Merkezi'!$S$1001,0),""))</f>
        <v/>
      </c>
    </row>
    <row r="113" spans="1:11">
      <c r="A113" t="str">
        <f>IF($K113="","",IFERROR(INDEX('Veri Merkezi'!$A$2:$A$1001,$K113),""))</f>
        <v/>
      </c>
      <c r="B113" t="str">
        <f>IF($K113="","",IFERROR(INDEX('Veri Merkezi'!$E$2:$E$1001,$K113),""))</f>
        <v/>
      </c>
      <c r="C113" t="str">
        <f>IF($K113="","",IFERROR(INDEX('Veri Merkezi'!$D$2:$D$1001,$K113),""))</f>
        <v/>
      </c>
      <c r="D113" t="str">
        <f>IF($K113="","",IFERROR(INDEX('Veri Merkezi'!$F$2:$F$1001,$K113),""))</f>
        <v/>
      </c>
      <c r="E113" s="2" t="str">
        <f>IF($K113="","",IFERROR(INDEX('Veri Merkezi'!$G$2:$G$1001,$K113),""))</f>
        <v/>
      </c>
      <c r="F113" t="str">
        <f>IF($K113="","",IFERROR(INDEX('Veri Merkezi'!$H$2:$H$1001,$K113),""))</f>
        <v/>
      </c>
      <c r="G113" t="str">
        <f>IF($K113="","",IFERROR(INDEX('Veri Merkezi'!$R$2:$R$1001,$K113),""))</f>
        <v/>
      </c>
      <c r="H113" t="str">
        <f>IF($K113="","",IFERROR(INDEX('Veri Merkezi'!$S$2:$S$1001,$K113),""))</f>
        <v/>
      </c>
      <c r="I113" s="2" t="str">
        <f>IF($K113="","",IFERROR(INDEX('Veri Merkezi'!$T$2:$T$1001,$K113),""))</f>
        <v/>
      </c>
      <c r="J113" t="str">
        <f>IF($K113="","",IFERROR(INDEX('Veri Merkezi'!$U$2:$U$1001,$K113),""))</f>
        <v/>
      </c>
      <c r="K113" t="str">
        <f>IF(K112="","",IFERROR(K112+MATCH("Takip",INDEX('Veri Merkezi'!$S$2:$S$1001,K112+1):'Veri Merkezi'!$S$1001,0),""))</f>
        <v/>
      </c>
    </row>
    <row r="114" spans="1:11">
      <c r="A114" t="str">
        <f>IF($K114="","",IFERROR(INDEX('Veri Merkezi'!$A$2:$A$1001,$K114),""))</f>
        <v/>
      </c>
      <c r="B114" t="str">
        <f>IF($K114="","",IFERROR(INDEX('Veri Merkezi'!$E$2:$E$1001,$K114),""))</f>
        <v/>
      </c>
      <c r="C114" t="str">
        <f>IF($K114="","",IFERROR(INDEX('Veri Merkezi'!$D$2:$D$1001,$K114),""))</f>
        <v/>
      </c>
      <c r="D114" t="str">
        <f>IF($K114="","",IFERROR(INDEX('Veri Merkezi'!$F$2:$F$1001,$K114),""))</f>
        <v/>
      </c>
      <c r="E114" s="2" t="str">
        <f>IF($K114="","",IFERROR(INDEX('Veri Merkezi'!$G$2:$G$1001,$K114),""))</f>
        <v/>
      </c>
      <c r="F114" t="str">
        <f>IF($K114="","",IFERROR(INDEX('Veri Merkezi'!$H$2:$H$1001,$K114),""))</f>
        <v/>
      </c>
      <c r="G114" t="str">
        <f>IF($K114="","",IFERROR(INDEX('Veri Merkezi'!$R$2:$R$1001,$K114),""))</f>
        <v/>
      </c>
      <c r="H114" t="str">
        <f>IF($K114="","",IFERROR(INDEX('Veri Merkezi'!$S$2:$S$1001,$K114),""))</f>
        <v/>
      </c>
      <c r="I114" s="2" t="str">
        <f>IF($K114="","",IFERROR(INDEX('Veri Merkezi'!$T$2:$T$1001,$K114),""))</f>
        <v/>
      </c>
      <c r="J114" t="str">
        <f>IF($K114="","",IFERROR(INDEX('Veri Merkezi'!$U$2:$U$1001,$K114),""))</f>
        <v/>
      </c>
      <c r="K114" t="str">
        <f>IF(K113="","",IFERROR(K113+MATCH("Takip",INDEX('Veri Merkezi'!$S$2:$S$1001,K113+1):'Veri Merkezi'!$S$1001,0),""))</f>
        <v/>
      </c>
    </row>
    <row r="115" spans="1:11">
      <c r="A115" t="str">
        <f>IF($K115="","",IFERROR(INDEX('Veri Merkezi'!$A$2:$A$1001,$K115),""))</f>
        <v/>
      </c>
      <c r="B115" t="str">
        <f>IF($K115="","",IFERROR(INDEX('Veri Merkezi'!$E$2:$E$1001,$K115),""))</f>
        <v/>
      </c>
      <c r="C115" t="str">
        <f>IF($K115="","",IFERROR(INDEX('Veri Merkezi'!$D$2:$D$1001,$K115),""))</f>
        <v/>
      </c>
      <c r="D115" t="str">
        <f>IF($K115="","",IFERROR(INDEX('Veri Merkezi'!$F$2:$F$1001,$K115),""))</f>
        <v/>
      </c>
      <c r="E115" s="2" t="str">
        <f>IF($K115="","",IFERROR(INDEX('Veri Merkezi'!$G$2:$G$1001,$K115),""))</f>
        <v/>
      </c>
      <c r="F115" t="str">
        <f>IF($K115="","",IFERROR(INDEX('Veri Merkezi'!$H$2:$H$1001,$K115),""))</f>
        <v/>
      </c>
      <c r="G115" t="str">
        <f>IF($K115="","",IFERROR(INDEX('Veri Merkezi'!$R$2:$R$1001,$K115),""))</f>
        <v/>
      </c>
      <c r="H115" t="str">
        <f>IF($K115="","",IFERROR(INDEX('Veri Merkezi'!$S$2:$S$1001,$K115),""))</f>
        <v/>
      </c>
      <c r="I115" s="2" t="str">
        <f>IF($K115="","",IFERROR(INDEX('Veri Merkezi'!$T$2:$T$1001,$K115),""))</f>
        <v/>
      </c>
      <c r="J115" t="str">
        <f>IF($K115="","",IFERROR(INDEX('Veri Merkezi'!$U$2:$U$1001,$K115),""))</f>
        <v/>
      </c>
      <c r="K115" t="str">
        <f>IF(K114="","",IFERROR(K114+MATCH("Takip",INDEX('Veri Merkezi'!$S$2:$S$1001,K114+1):'Veri Merkezi'!$S$1001,0),""))</f>
        <v/>
      </c>
    </row>
    <row r="116" spans="1:11">
      <c r="A116" t="str">
        <f>IF($K116="","",IFERROR(INDEX('Veri Merkezi'!$A$2:$A$1001,$K116),""))</f>
        <v/>
      </c>
      <c r="B116" t="str">
        <f>IF($K116="","",IFERROR(INDEX('Veri Merkezi'!$E$2:$E$1001,$K116),""))</f>
        <v/>
      </c>
      <c r="C116" t="str">
        <f>IF($K116="","",IFERROR(INDEX('Veri Merkezi'!$D$2:$D$1001,$K116),""))</f>
        <v/>
      </c>
      <c r="D116" t="str">
        <f>IF($K116="","",IFERROR(INDEX('Veri Merkezi'!$F$2:$F$1001,$K116),""))</f>
        <v/>
      </c>
      <c r="E116" s="2" t="str">
        <f>IF($K116="","",IFERROR(INDEX('Veri Merkezi'!$G$2:$G$1001,$K116),""))</f>
        <v/>
      </c>
      <c r="F116" t="str">
        <f>IF($K116="","",IFERROR(INDEX('Veri Merkezi'!$H$2:$H$1001,$K116),""))</f>
        <v/>
      </c>
      <c r="G116" t="str">
        <f>IF($K116="","",IFERROR(INDEX('Veri Merkezi'!$R$2:$R$1001,$K116),""))</f>
        <v/>
      </c>
      <c r="H116" t="str">
        <f>IF($K116="","",IFERROR(INDEX('Veri Merkezi'!$S$2:$S$1001,$K116),""))</f>
        <v/>
      </c>
      <c r="I116" s="2" t="str">
        <f>IF($K116="","",IFERROR(INDEX('Veri Merkezi'!$T$2:$T$1001,$K116),""))</f>
        <v/>
      </c>
      <c r="J116" t="str">
        <f>IF($K116="","",IFERROR(INDEX('Veri Merkezi'!$U$2:$U$1001,$K116),""))</f>
        <v/>
      </c>
      <c r="K116" t="str">
        <f>IF(K115="","",IFERROR(K115+MATCH("Takip",INDEX('Veri Merkezi'!$S$2:$S$1001,K115+1):'Veri Merkezi'!$S$1001,0),""))</f>
        <v/>
      </c>
    </row>
    <row r="117" spans="1:11">
      <c r="A117" t="str">
        <f>IF($K117="","",IFERROR(INDEX('Veri Merkezi'!$A$2:$A$1001,$K117),""))</f>
        <v/>
      </c>
      <c r="B117" t="str">
        <f>IF($K117="","",IFERROR(INDEX('Veri Merkezi'!$E$2:$E$1001,$K117),""))</f>
        <v/>
      </c>
      <c r="C117" t="str">
        <f>IF($K117="","",IFERROR(INDEX('Veri Merkezi'!$D$2:$D$1001,$K117),""))</f>
        <v/>
      </c>
      <c r="D117" t="str">
        <f>IF($K117="","",IFERROR(INDEX('Veri Merkezi'!$F$2:$F$1001,$K117),""))</f>
        <v/>
      </c>
      <c r="E117" s="2" t="str">
        <f>IF($K117="","",IFERROR(INDEX('Veri Merkezi'!$G$2:$G$1001,$K117),""))</f>
        <v/>
      </c>
      <c r="F117" t="str">
        <f>IF($K117="","",IFERROR(INDEX('Veri Merkezi'!$H$2:$H$1001,$K117),""))</f>
        <v/>
      </c>
      <c r="G117" t="str">
        <f>IF($K117="","",IFERROR(INDEX('Veri Merkezi'!$R$2:$R$1001,$K117),""))</f>
        <v/>
      </c>
      <c r="H117" t="str">
        <f>IF($K117="","",IFERROR(INDEX('Veri Merkezi'!$S$2:$S$1001,$K117),""))</f>
        <v/>
      </c>
      <c r="I117" s="2" t="str">
        <f>IF($K117="","",IFERROR(INDEX('Veri Merkezi'!$T$2:$T$1001,$K117),""))</f>
        <v/>
      </c>
      <c r="J117" t="str">
        <f>IF($K117="","",IFERROR(INDEX('Veri Merkezi'!$U$2:$U$1001,$K117),""))</f>
        <v/>
      </c>
      <c r="K117" t="str">
        <f>IF(K116="","",IFERROR(K116+MATCH("Takip",INDEX('Veri Merkezi'!$S$2:$S$1001,K116+1):'Veri Merkezi'!$S$1001,0),""))</f>
        <v/>
      </c>
    </row>
    <row r="118" spans="1:11">
      <c r="A118" t="str">
        <f>IF($K118="","",IFERROR(INDEX('Veri Merkezi'!$A$2:$A$1001,$K118),""))</f>
        <v/>
      </c>
      <c r="B118" t="str">
        <f>IF($K118="","",IFERROR(INDEX('Veri Merkezi'!$E$2:$E$1001,$K118),""))</f>
        <v/>
      </c>
      <c r="C118" t="str">
        <f>IF($K118="","",IFERROR(INDEX('Veri Merkezi'!$D$2:$D$1001,$K118),""))</f>
        <v/>
      </c>
      <c r="D118" t="str">
        <f>IF($K118="","",IFERROR(INDEX('Veri Merkezi'!$F$2:$F$1001,$K118),""))</f>
        <v/>
      </c>
      <c r="E118" s="2" t="str">
        <f>IF($K118="","",IFERROR(INDEX('Veri Merkezi'!$G$2:$G$1001,$K118),""))</f>
        <v/>
      </c>
      <c r="F118" t="str">
        <f>IF($K118="","",IFERROR(INDEX('Veri Merkezi'!$H$2:$H$1001,$K118),""))</f>
        <v/>
      </c>
      <c r="G118" t="str">
        <f>IF($K118="","",IFERROR(INDEX('Veri Merkezi'!$R$2:$R$1001,$K118),""))</f>
        <v/>
      </c>
      <c r="H118" t="str">
        <f>IF($K118="","",IFERROR(INDEX('Veri Merkezi'!$S$2:$S$1001,$K118),""))</f>
        <v/>
      </c>
      <c r="I118" s="2" t="str">
        <f>IF($K118="","",IFERROR(INDEX('Veri Merkezi'!$T$2:$T$1001,$K118),""))</f>
        <v/>
      </c>
      <c r="J118" t="str">
        <f>IF($K118="","",IFERROR(INDEX('Veri Merkezi'!$U$2:$U$1001,$K118),""))</f>
        <v/>
      </c>
      <c r="K118" t="str">
        <f>IF(K117="","",IFERROR(K117+MATCH("Takip",INDEX('Veri Merkezi'!$S$2:$S$1001,K117+1):'Veri Merkezi'!$S$1001,0),""))</f>
        <v/>
      </c>
    </row>
    <row r="119" spans="1:11">
      <c r="A119" t="str">
        <f>IF($K119="","",IFERROR(INDEX('Veri Merkezi'!$A$2:$A$1001,$K119),""))</f>
        <v/>
      </c>
      <c r="B119" t="str">
        <f>IF($K119="","",IFERROR(INDEX('Veri Merkezi'!$E$2:$E$1001,$K119),""))</f>
        <v/>
      </c>
      <c r="C119" t="str">
        <f>IF($K119="","",IFERROR(INDEX('Veri Merkezi'!$D$2:$D$1001,$K119),""))</f>
        <v/>
      </c>
      <c r="D119" t="str">
        <f>IF($K119="","",IFERROR(INDEX('Veri Merkezi'!$F$2:$F$1001,$K119),""))</f>
        <v/>
      </c>
      <c r="E119" s="2" t="str">
        <f>IF($K119="","",IFERROR(INDEX('Veri Merkezi'!$G$2:$G$1001,$K119),""))</f>
        <v/>
      </c>
      <c r="F119" t="str">
        <f>IF($K119="","",IFERROR(INDEX('Veri Merkezi'!$H$2:$H$1001,$K119),""))</f>
        <v/>
      </c>
      <c r="G119" t="str">
        <f>IF($K119="","",IFERROR(INDEX('Veri Merkezi'!$R$2:$R$1001,$K119),""))</f>
        <v/>
      </c>
      <c r="H119" t="str">
        <f>IF($K119="","",IFERROR(INDEX('Veri Merkezi'!$S$2:$S$1001,$K119),""))</f>
        <v/>
      </c>
      <c r="I119" s="2" t="str">
        <f>IF($K119="","",IFERROR(INDEX('Veri Merkezi'!$T$2:$T$1001,$K119),""))</f>
        <v/>
      </c>
      <c r="J119" t="str">
        <f>IF($K119="","",IFERROR(INDEX('Veri Merkezi'!$U$2:$U$1001,$K119),""))</f>
        <v/>
      </c>
      <c r="K119" t="str">
        <f>IF(K118="","",IFERROR(K118+MATCH("Takip",INDEX('Veri Merkezi'!$S$2:$S$1001,K118+1):'Veri Merkezi'!$S$1001,0),""))</f>
        <v/>
      </c>
    </row>
    <row r="120" spans="1:11">
      <c r="A120" t="str">
        <f>IF($K120="","",IFERROR(INDEX('Veri Merkezi'!$A$2:$A$1001,$K120),""))</f>
        <v/>
      </c>
      <c r="B120" t="str">
        <f>IF($K120="","",IFERROR(INDEX('Veri Merkezi'!$E$2:$E$1001,$K120),""))</f>
        <v/>
      </c>
      <c r="C120" t="str">
        <f>IF($K120="","",IFERROR(INDEX('Veri Merkezi'!$D$2:$D$1001,$K120),""))</f>
        <v/>
      </c>
      <c r="D120" t="str">
        <f>IF($K120="","",IFERROR(INDEX('Veri Merkezi'!$F$2:$F$1001,$K120),""))</f>
        <v/>
      </c>
      <c r="E120" s="2" t="str">
        <f>IF($K120="","",IFERROR(INDEX('Veri Merkezi'!$G$2:$G$1001,$K120),""))</f>
        <v/>
      </c>
      <c r="F120" t="str">
        <f>IF($K120="","",IFERROR(INDEX('Veri Merkezi'!$H$2:$H$1001,$K120),""))</f>
        <v/>
      </c>
      <c r="G120" t="str">
        <f>IF($K120="","",IFERROR(INDEX('Veri Merkezi'!$R$2:$R$1001,$K120),""))</f>
        <v/>
      </c>
      <c r="H120" t="str">
        <f>IF($K120="","",IFERROR(INDEX('Veri Merkezi'!$S$2:$S$1001,$K120),""))</f>
        <v/>
      </c>
      <c r="I120" s="2" t="str">
        <f>IF($K120="","",IFERROR(INDEX('Veri Merkezi'!$T$2:$T$1001,$K120),""))</f>
        <v/>
      </c>
      <c r="J120" t="str">
        <f>IF($K120="","",IFERROR(INDEX('Veri Merkezi'!$U$2:$U$1001,$K120),""))</f>
        <v/>
      </c>
      <c r="K120" t="str">
        <f>IF(K119="","",IFERROR(K119+MATCH("Takip",INDEX('Veri Merkezi'!$S$2:$S$1001,K119+1):'Veri Merkezi'!$S$1001,0),""))</f>
        <v/>
      </c>
    </row>
    <row r="121" spans="1:11">
      <c r="A121" t="str">
        <f>IF($K121="","",IFERROR(INDEX('Veri Merkezi'!$A$2:$A$1001,$K121),""))</f>
        <v/>
      </c>
      <c r="B121" t="str">
        <f>IF($K121="","",IFERROR(INDEX('Veri Merkezi'!$E$2:$E$1001,$K121),""))</f>
        <v/>
      </c>
      <c r="C121" t="str">
        <f>IF($K121="","",IFERROR(INDEX('Veri Merkezi'!$D$2:$D$1001,$K121),""))</f>
        <v/>
      </c>
      <c r="D121" t="str">
        <f>IF($K121="","",IFERROR(INDEX('Veri Merkezi'!$F$2:$F$1001,$K121),""))</f>
        <v/>
      </c>
      <c r="E121" s="2" t="str">
        <f>IF($K121="","",IFERROR(INDEX('Veri Merkezi'!$G$2:$G$1001,$K121),""))</f>
        <v/>
      </c>
      <c r="F121" t="str">
        <f>IF($K121="","",IFERROR(INDEX('Veri Merkezi'!$H$2:$H$1001,$K121),""))</f>
        <v/>
      </c>
      <c r="G121" t="str">
        <f>IF($K121="","",IFERROR(INDEX('Veri Merkezi'!$R$2:$R$1001,$K121),""))</f>
        <v/>
      </c>
      <c r="H121" t="str">
        <f>IF($K121="","",IFERROR(INDEX('Veri Merkezi'!$S$2:$S$1001,$K121),""))</f>
        <v/>
      </c>
      <c r="I121" s="2" t="str">
        <f>IF($K121="","",IFERROR(INDEX('Veri Merkezi'!$T$2:$T$1001,$K121),""))</f>
        <v/>
      </c>
      <c r="J121" t="str">
        <f>IF($K121="","",IFERROR(INDEX('Veri Merkezi'!$U$2:$U$1001,$K121),""))</f>
        <v/>
      </c>
      <c r="K121" t="str">
        <f>IF(K120="","",IFERROR(K120+MATCH("Takip",INDEX('Veri Merkezi'!$S$2:$S$1001,K120+1):'Veri Merkezi'!$S$1001,0),""))</f>
        <v/>
      </c>
    </row>
    <row r="122" spans="1:11">
      <c r="A122" t="str">
        <f>IF($K122="","",IFERROR(INDEX('Veri Merkezi'!$A$2:$A$1001,$K122),""))</f>
        <v/>
      </c>
      <c r="B122" t="str">
        <f>IF($K122="","",IFERROR(INDEX('Veri Merkezi'!$E$2:$E$1001,$K122),""))</f>
        <v/>
      </c>
      <c r="C122" t="str">
        <f>IF($K122="","",IFERROR(INDEX('Veri Merkezi'!$D$2:$D$1001,$K122),""))</f>
        <v/>
      </c>
      <c r="D122" t="str">
        <f>IF($K122="","",IFERROR(INDEX('Veri Merkezi'!$F$2:$F$1001,$K122),""))</f>
        <v/>
      </c>
      <c r="E122" s="2" t="str">
        <f>IF($K122="","",IFERROR(INDEX('Veri Merkezi'!$G$2:$G$1001,$K122),""))</f>
        <v/>
      </c>
      <c r="F122" t="str">
        <f>IF($K122="","",IFERROR(INDEX('Veri Merkezi'!$H$2:$H$1001,$K122),""))</f>
        <v/>
      </c>
      <c r="G122" t="str">
        <f>IF($K122="","",IFERROR(INDEX('Veri Merkezi'!$R$2:$R$1001,$K122),""))</f>
        <v/>
      </c>
      <c r="H122" t="str">
        <f>IF($K122="","",IFERROR(INDEX('Veri Merkezi'!$S$2:$S$1001,$K122),""))</f>
        <v/>
      </c>
      <c r="I122" s="2" t="str">
        <f>IF($K122="","",IFERROR(INDEX('Veri Merkezi'!$T$2:$T$1001,$K122),""))</f>
        <v/>
      </c>
      <c r="J122" t="str">
        <f>IF($K122="","",IFERROR(INDEX('Veri Merkezi'!$U$2:$U$1001,$K122),""))</f>
        <v/>
      </c>
      <c r="K122" t="str">
        <f>IF(K121="","",IFERROR(K121+MATCH("Takip",INDEX('Veri Merkezi'!$S$2:$S$1001,K121+1):'Veri Merkezi'!$S$1001,0),""))</f>
        <v/>
      </c>
    </row>
    <row r="123" spans="1:11">
      <c r="A123" t="str">
        <f>IF($K123="","",IFERROR(INDEX('Veri Merkezi'!$A$2:$A$1001,$K123),""))</f>
        <v/>
      </c>
      <c r="B123" t="str">
        <f>IF($K123="","",IFERROR(INDEX('Veri Merkezi'!$E$2:$E$1001,$K123),""))</f>
        <v/>
      </c>
      <c r="C123" t="str">
        <f>IF($K123="","",IFERROR(INDEX('Veri Merkezi'!$D$2:$D$1001,$K123),""))</f>
        <v/>
      </c>
      <c r="D123" t="str">
        <f>IF($K123="","",IFERROR(INDEX('Veri Merkezi'!$F$2:$F$1001,$K123),""))</f>
        <v/>
      </c>
      <c r="E123" s="2" t="str">
        <f>IF($K123="","",IFERROR(INDEX('Veri Merkezi'!$G$2:$G$1001,$K123),""))</f>
        <v/>
      </c>
      <c r="F123" t="str">
        <f>IF($K123="","",IFERROR(INDEX('Veri Merkezi'!$H$2:$H$1001,$K123),""))</f>
        <v/>
      </c>
      <c r="G123" t="str">
        <f>IF($K123="","",IFERROR(INDEX('Veri Merkezi'!$R$2:$R$1001,$K123),""))</f>
        <v/>
      </c>
      <c r="H123" t="str">
        <f>IF($K123="","",IFERROR(INDEX('Veri Merkezi'!$S$2:$S$1001,$K123),""))</f>
        <v/>
      </c>
      <c r="I123" s="2" t="str">
        <f>IF($K123="","",IFERROR(INDEX('Veri Merkezi'!$T$2:$T$1001,$K123),""))</f>
        <v/>
      </c>
      <c r="J123" t="str">
        <f>IF($K123="","",IFERROR(INDEX('Veri Merkezi'!$U$2:$U$1001,$K123),""))</f>
        <v/>
      </c>
      <c r="K123" t="str">
        <f>IF(K122="","",IFERROR(K122+MATCH("Takip",INDEX('Veri Merkezi'!$S$2:$S$1001,K122+1):'Veri Merkezi'!$S$1001,0),""))</f>
        <v/>
      </c>
    </row>
    <row r="124" spans="1:11">
      <c r="A124" t="str">
        <f>IF($K124="","",IFERROR(INDEX('Veri Merkezi'!$A$2:$A$1001,$K124),""))</f>
        <v/>
      </c>
      <c r="B124" t="str">
        <f>IF($K124="","",IFERROR(INDEX('Veri Merkezi'!$E$2:$E$1001,$K124),""))</f>
        <v/>
      </c>
      <c r="C124" t="str">
        <f>IF($K124="","",IFERROR(INDEX('Veri Merkezi'!$D$2:$D$1001,$K124),""))</f>
        <v/>
      </c>
      <c r="D124" t="str">
        <f>IF($K124="","",IFERROR(INDEX('Veri Merkezi'!$F$2:$F$1001,$K124),""))</f>
        <v/>
      </c>
      <c r="E124" s="2" t="str">
        <f>IF($K124="","",IFERROR(INDEX('Veri Merkezi'!$G$2:$G$1001,$K124),""))</f>
        <v/>
      </c>
      <c r="F124" t="str">
        <f>IF($K124="","",IFERROR(INDEX('Veri Merkezi'!$H$2:$H$1001,$K124),""))</f>
        <v/>
      </c>
      <c r="G124" t="str">
        <f>IF($K124="","",IFERROR(INDEX('Veri Merkezi'!$R$2:$R$1001,$K124),""))</f>
        <v/>
      </c>
      <c r="H124" t="str">
        <f>IF($K124="","",IFERROR(INDEX('Veri Merkezi'!$S$2:$S$1001,$K124),""))</f>
        <v/>
      </c>
      <c r="I124" s="2" t="str">
        <f>IF($K124="","",IFERROR(INDEX('Veri Merkezi'!$T$2:$T$1001,$K124),""))</f>
        <v/>
      </c>
      <c r="J124" t="str">
        <f>IF($K124="","",IFERROR(INDEX('Veri Merkezi'!$U$2:$U$1001,$K124),""))</f>
        <v/>
      </c>
      <c r="K124" t="str">
        <f>IF(K123="","",IFERROR(K123+MATCH("Takip",INDEX('Veri Merkezi'!$S$2:$S$1001,K123+1):'Veri Merkezi'!$S$1001,0),""))</f>
        <v/>
      </c>
    </row>
    <row r="125" spans="1:11">
      <c r="A125" t="str">
        <f>IF($K125="","",IFERROR(INDEX('Veri Merkezi'!$A$2:$A$1001,$K125),""))</f>
        <v/>
      </c>
      <c r="B125" t="str">
        <f>IF($K125="","",IFERROR(INDEX('Veri Merkezi'!$E$2:$E$1001,$K125),""))</f>
        <v/>
      </c>
      <c r="C125" t="str">
        <f>IF($K125="","",IFERROR(INDEX('Veri Merkezi'!$D$2:$D$1001,$K125),""))</f>
        <v/>
      </c>
      <c r="D125" t="str">
        <f>IF($K125="","",IFERROR(INDEX('Veri Merkezi'!$F$2:$F$1001,$K125),""))</f>
        <v/>
      </c>
      <c r="E125" s="2" t="str">
        <f>IF($K125="","",IFERROR(INDEX('Veri Merkezi'!$G$2:$G$1001,$K125),""))</f>
        <v/>
      </c>
      <c r="F125" t="str">
        <f>IF($K125="","",IFERROR(INDEX('Veri Merkezi'!$H$2:$H$1001,$K125),""))</f>
        <v/>
      </c>
      <c r="G125" t="str">
        <f>IF($K125="","",IFERROR(INDEX('Veri Merkezi'!$R$2:$R$1001,$K125),""))</f>
        <v/>
      </c>
      <c r="H125" t="str">
        <f>IF($K125="","",IFERROR(INDEX('Veri Merkezi'!$S$2:$S$1001,$K125),""))</f>
        <v/>
      </c>
      <c r="I125" s="2" t="str">
        <f>IF($K125="","",IFERROR(INDEX('Veri Merkezi'!$T$2:$T$1001,$K125),""))</f>
        <v/>
      </c>
      <c r="J125" t="str">
        <f>IF($K125="","",IFERROR(INDEX('Veri Merkezi'!$U$2:$U$1001,$K125),""))</f>
        <v/>
      </c>
      <c r="K125" t="str">
        <f>IF(K124="","",IFERROR(K124+MATCH("Takip",INDEX('Veri Merkezi'!$S$2:$S$1001,K124+1):'Veri Merkezi'!$S$1001,0),""))</f>
        <v/>
      </c>
    </row>
    <row r="126" spans="1:11">
      <c r="A126" t="str">
        <f>IF($K126="","",IFERROR(INDEX('Veri Merkezi'!$A$2:$A$1001,$K126),""))</f>
        <v/>
      </c>
      <c r="B126" t="str">
        <f>IF($K126="","",IFERROR(INDEX('Veri Merkezi'!$E$2:$E$1001,$K126),""))</f>
        <v/>
      </c>
      <c r="C126" t="str">
        <f>IF($K126="","",IFERROR(INDEX('Veri Merkezi'!$D$2:$D$1001,$K126),""))</f>
        <v/>
      </c>
      <c r="D126" t="str">
        <f>IF($K126="","",IFERROR(INDEX('Veri Merkezi'!$F$2:$F$1001,$K126),""))</f>
        <v/>
      </c>
      <c r="E126" s="2" t="str">
        <f>IF($K126="","",IFERROR(INDEX('Veri Merkezi'!$G$2:$G$1001,$K126),""))</f>
        <v/>
      </c>
      <c r="F126" t="str">
        <f>IF($K126="","",IFERROR(INDEX('Veri Merkezi'!$H$2:$H$1001,$K126),""))</f>
        <v/>
      </c>
      <c r="G126" t="str">
        <f>IF($K126="","",IFERROR(INDEX('Veri Merkezi'!$R$2:$R$1001,$K126),""))</f>
        <v/>
      </c>
      <c r="H126" t="str">
        <f>IF($K126="","",IFERROR(INDEX('Veri Merkezi'!$S$2:$S$1001,$K126),""))</f>
        <v/>
      </c>
      <c r="I126" s="2" t="str">
        <f>IF($K126="","",IFERROR(INDEX('Veri Merkezi'!$T$2:$T$1001,$K126),""))</f>
        <v/>
      </c>
      <c r="J126" t="str">
        <f>IF($K126="","",IFERROR(INDEX('Veri Merkezi'!$U$2:$U$1001,$K126),""))</f>
        <v/>
      </c>
      <c r="K126" t="str">
        <f>IF(K125="","",IFERROR(K125+MATCH("Takip",INDEX('Veri Merkezi'!$S$2:$S$1001,K125+1):'Veri Merkezi'!$S$1001,0),""))</f>
        <v/>
      </c>
    </row>
    <row r="127" spans="1:11">
      <c r="A127" t="str">
        <f>IF($K127="","",IFERROR(INDEX('Veri Merkezi'!$A$2:$A$1001,$K127),""))</f>
        <v/>
      </c>
      <c r="B127" t="str">
        <f>IF($K127="","",IFERROR(INDEX('Veri Merkezi'!$E$2:$E$1001,$K127),""))</f>
        <v/>
      </c>
      <c r="C127" t="str">
        <f>IF($K127="","",IFERROR(INDEX('Veri Merkezi'!$D$2:$D$1001,$K127),""))</f>
        <v/>
      </c>
      <c r="D127" t="str">
        <f>IF($K127="","",IFERROR(INDEX('Veri Merkezi'!$F$2:$F$1001,$K127),""))</f>
        <v/>
      </c>
      <c r="E127" s="2" t="str">
        <f>IF($K127="","",IFERROR(INDEX('Veri Merkezi'!$G$2:$G$1001,$K127),""))</f>
        <v/>
      </c>
      <c r="F127" t="str">
        <f>IF($K127="","",IFERROR(INDEX('Veri Merkezi'!$H$2:$H$1001,$K127),""))</f>
        <v/>
      </c>
      <c r="G127" t="str">
        <f>IF($K127="","",IFERROR(INDEX('Veri Merkezi'!$R$2:$R$1001,$K127),""))</f>
        <v/>
      </c>
      <c r="H127" t="str">
        <f>IF($K127="","",IFERROR(INDEX('Veri Merkezi'!$S$2:$S$1001,$K127),""))</f>
        <v/>
      </c>
      <c r="I127" s="2" t="str">
        <f>IF($K127="","",IFERROR(INDEX('Veri Merkezi'!$T$2:$T$1001,$K127),""))</f>
        <v/>
      </c>
      <c r="J127" t="str">
        <f>IF($K127="","",IFERROR(INDEX('Veri Merkezi'!$U$2:$U$1001,$K127),""))</f>
        <v/>
      </c>
      <c r="K127" t="str">
        <f>IF(K126="","",IFERROR(K126+MATCH("Takip",INDEX('Veri Merkezi'!$S$2:$S$1001,K126+1):'Veri Merkezi'!$S$1001,0),""))</f>
        <v/>
      </c>
    </row>
    <row r="128" spans="1:11">
      <c r="A128" t="str">
        <f>IF($K128="","",IFERROR(INDEX('Veri Merkezi'!$A$2:$A$1001,$K128),""))</f>
        <v/>
      </c>
      <c r="B128" t="str">
        <f>IF($K128="","",IFERROR(INDEX('Veri Merkezi'!$E$2:$E$1001,$K128),""))</f>
        <v/>
      </c>
      <c r="C128" t="str">
        <f>IF($K128="","",IFERROR(INDEX('Veri Merkezi'!$D$2:$D$1001,$K128),""))</f>
        <v/>
      </c>
      <c r="D128" t="str">
        <f>IF($K128="","",IFERROR(INDEX('Veri Merkezi'!$F$2:$F$1001,$K128),""))</f>
        <v/>
      </c>
      <c r="E128" s="2" t="str">
        <f>IF($K128="","",IFERROR(INDEX('Veri Merkezi'!$G$2:$G$1001,$K128),""))</f>
        <v/>
      </c>
      <c r="F128" t="str">
        <f>IF($K128="","",IFERROR(INDEX('Veri Merkezi'!$H$2:$H$1001,$K128),""))</f>
        <v/>
      </c>
      <c r="G128" t="str">
        <f>IF($K128="","",IFERROR(INDEX('Veri Merkezi'!$R$2:$R$1001,$K128),""))</f>
        <v/>
      </c>
      <c r="H128" t="str">
        <f>IF($K128="","",IFERROR(INDEX('Veri Merkezi'!$S$2:$S$1001,$K128),""))</f>
        <v/>
      </c>
      <c r="I128" s="2" t="str">
        <f>IF($K128="","",IFERROR(INDEX('Veri Merkezi'!$T$2:$T$1001,$K128),""))</f>
        <v/>
      </c>
      <c r="J128" t="str">
        <f>IF($K128="","",IFERROR(INDEX('Veri Merkezi'!$U$2:$U$1001,$K128),""))</f>
        <v/>
      </c>
      <c r="K128" t="str">
        <f>IF(K127="","",IFERROR(K127+MATCH("Takip",INDEX('Veri Merkezi'!$S$2:$S$1001,K127+1):'Veri Merkezi'!$S$1001,0),""))</f>
        <v/>
      </c>
    </row>
    <row r="129" spans="1:11">
      <c r="A129" t="str">
        <f>IF($K129="","",IFERROR(INDEX('Veri Merkezi'!$A$2:$A$1001,$K129),""))</f>
        <v/>
      </c>
      <c r="B129" t="str">
        <f>IF($K129="","",IFERROR(INDEX('Veri Merkezi'!$E$2:$E$1001,$K129),""))</f>
        <v/>
      </c>
      <c r="C129" t="str">
        <f>IF($K129="","",IFERROR(INDEX('Veri Merkezi'!$D$2:$D$1001,$K129),""))</f>
        <v/>
      </c>
      <c r="D129" t="str">
        <f>IF($K129="","",IFERROR(INDEX('Veri Merkezi'!$F$2:$F$1001,$K129),""))</f>
        <v/>
      </c>
      <c r="E129" s="2" t="str">
        <f>IF($K129="","",IFERROR(INDEX('Veri Merkezi'!$G$2:$G$1001,$K129),""))</f>
        <v/>
      </c>
      <c r="F129" t="str">
        <f>IF($K129="","",IFERROR(INDEX('Veri Merkezi'!$H$2:$H$1001,$K129),""))</f>
        <v/>
      </c>
      <c r="G129" t="str">
        <f>IF($K129="","",IFERROR(INDEX('Veri Merkezi'!$R$2:$R$1001,$K129),""))</f>
        <v/>
      </c>
      <c r="H129" t="str">
        <f>IF($K129="","",IFERROR(INDEX('Veri Merkezi'!$S$2:$S$1001,$K129),""))</f>
        <v/>
      </c>
      <c r="I129" s="2" t="str">
        <f>IF($K129="","",IFERROR(INDEX('Veri Merkezi'!$T$2:$T$1001,$K129),""))</f>
        <v/>
      </c>
      <c r="J129" t="str">
        <f>IF($K129="","",IFERROR(INDEX('Veri Merkezi'!$U$2:$U$1001,$K129),""))</f>
        <v/>
      </c>
      <c r="K129" t="str">
        <f>IF(K128="","",IFERROR(K128+MATCH("Takip",INDEX('Veri Merkezi'!$S$2:$S$1001,K128+1):'Veri Merkezi'!$S$1001,0),""))</f>
        <v/>
      </c>
    </row>
    <row r="130" spans="1:11">
      <c r="A130" t="str">
        <f>IF($K130="","",IFERROR(INDEX('Veri Merkezi'!$A$2:$A$1001,$K130),""))</f>
        <v/>
      </c>
      <c r="B130" t="str">
        <f>IF($K130="","",IFERROR(INDEX('Veri Merkezi'!$E$2:$E$1001,$K130),""))</f>
        <v/>
      </c>
      <c r="C130" t="str">
        <f>IF($K130="","",IFERROR(INDEX('Veri Merkezi'!$D$2:$D$1001,$K130),""))</f>
        <v/>
      </c>
      <c r="D130" t="str">
        <f>IF($K130="","",IFERROR(INDEX('Veri Merkezi'!$F$2:$F$1001,$K130),""))</f>
        <v/>
      </c>
      <c r="E130" s="2" t="str">
        <f>IF($K130="","",IFERROR(INDEX('Veri Merkezi'!$G$2:$G$1001,$K130),""))</f>
        <v/>
      </c>
      <c r="F130" t="str">
        <f>IF($K130="","",IFERROR(INDEX('Veri Merkezi'!$H$2:$H$1001,$K130),""))</f>
        <v/>
      </c>
      <c r="G130" t="str">
        <f>IF($K130="","",IFERROR(INDEX('Veri Merkezi'!$R$2:$R$1001,$K130),""))</f>
        <v/>
      </c>
      <c r="H130" t="str">
        <f>IF($K130="","",IFERROR(INDEX('Veri Merkezi'!$S$2:$S$1001,$K130),""))</f>
        <v/>
      </c>
      <c r="I130" s="2" t="str">
        <f>IF($K130="","",IFERROR(INDEX('Veri Merkezi'!$T$2:$T$1001,$K130),""))</f>
        <v/>
      </c>
      <c r="J130" t="str">
        <f>IF($K130="","",IFERROR(INDEX('Veri Merkezi'!$U$2:$U$1001,$K130),""))</f>
        <v/>
      </c>
      <c r="K130" t="str">
        <f>IF(K129="","",IFERROR(K129+MATCH("Takip",INDEX('Veri Merkezi'!$S$2:$S$1001,K129+1):'Veri Merkezi'!$S$1001,0),""))</f>
        <v/>
      </c>
    </row>
    <row r="131" spans="1:11">
      <c r="A131" t="str">
        <f>IF($K131="","",IFERROR(INDEX('Veri Merkezi'!$A$2:$A$1001,$K131),""))</f>
        <v/>
      </c>
      <c r="B131" t="str">
        <f>IF($K131="","",IFERROR(INDEX('Veri Merkezi'!$E$2:$E$1001,$K131),""))</f>
        <v/>
      </c>
      <c r="C131" t="str">
        <f>IF($K131="","",IFERROR(INDEX('Veri Merkezi'!$D$2:$D$1001,$K131),""))</f>
        <v/>
      </c>
      <c r="D131" t="str">
        <f>IF($K131="","",IFERROR(INDEX('Veri Merkezi'!$F$2:$F$1001,$K131),""))</f>
        <v/>
      </c>
      <c r="E131" s="2" t="str">
        <f>IF($K131="","",IFERROR(INDEX('Veri Merkezi'!$G$2:$G$1001,$K131),""))</f>
        <v/>
      </c>
      <c r="F131" t="str">
        <f>IF($K131="","",IFERROR(INDEX('Veri Merkezi'!$H$2:$H$1001,$K131),""))</f>
        <v/>
      </c>
      <c r="G131" t="str">
        <f>IF($K131="","",IFERROR(INDEX('Veri Merkezi'!$R$2:$R$1001,$K131),""))</f>
        <v/>
      </c>
      <c r="H131" t="str">
        <f>IF($K131="","",IFERROR(INDEX('Veri Merkezi'!$S$2:$S$1001,$K131),""))</f>
        <v/>
      </c>
      <c r="I131" s="2" t="str">
        <f>IF($K131="","",IFERROR(INDEX('Veri Merkezi'!$T$2:$T$1001,$K131),""))</f>
        <v/>
      </c>
      <c r="J131" t="str">
        <f>IF($K131="","",IFERROR(INDEX('Veri Merkezi'!$U$2:$U$1001,$K131),""))</f>
        <v/>
      </c>
      <c r="K131" t="str">
        <f>IF(K130="","",IFERROR(K130+MATCH("Takip",INDEX('Veri Merkezi'!$S$2:$S$1001,K130+1):'Veri Merkezi'!$S$1001,0),""))</f>
        <v/>
      </c>
    </row>
    <row r="132" spans="1:11">
      <c r="A132" t="str">
        <f>IF($K132="","",IFERROR(INDEX('Veri Merkezi'!$A$2:$A$1001,$K132),""))</f>
        <v/>
      </c>
      <c r="B132" t="str">
        <f>IF($K132="","",IFERROR(INDEX('Veri Merkezi'!$E$2:$E$1001,$K132),""))</f>
        <v/>
      </c>
      <c r="C132" t="str">
        <f>IF($K132="","",IFERROR(INDEX('Veri Merkezi'!$D$2:$D$1001,$K132),""))</f>
        <v/>
      </c>
      <c r="D132" t="str">
        <f>IF($K132="","",IFERROR(INDEX('Veri Merkezi'!$F$2:$F$1001,$K132),""))</f>
        <v/>
      </c>
      <c r="E132" s="2" t="str">
        <f>IF($K132="","",IFERROR(INDEX('Veri Merkezi'!$G$2:$G$1001,$K132),""))</f>
        <v/>
      </c>
      <c r="F132" t="str">
        <f>IF($K132="","",IFERROR(INDEX('Veri Merkezi'!$H$2:$H$1001,$K132),""))</f>
        <v/>
      </c>
      <c r="G132" t="str">
        <f>IF($K132="","",IFERROR(INDEX('Veri Merkezi'!$R$2:$R$1001,$K132),""))</f>
        <v/>
      </c>
      <c r="H132" t="str">
        <f>IF($K132="","",IFERROR(INDEX('Veri Merkezi'!$S$2:$S$1001,$K132),""))</f>
        <v/>
      </c>
      <c r="I132" s="2" t="str">
        <f>IF($K132="","",IFERROR(INDEX('Veri Merkezi'!$T$2:$T$1001,$K132),""))</f>
        <v/>
      </c>
      <c r="J132" t="str">
        <f>IF($K132="","",IFERROR(INDEX('Veri Merkezi'!$U$2:$U$1001,$K132),""))</f>
        <v/>
      </c>
      <c r="K132" t="str">
        <f>IF(K131="","",IFERROR(K131+MATCH("Takip",INDEX('Veri Merkezi'!$S$2:$S$1001,K131+1):'Veri Merkezi'!$S$1001,0),""))</f>
        <v/>
      </c>
    </row>
    <row r="133" spans="1:11">
      <c r="A133" t="str">
        <f>IF($K133="","",IFERROR(INDEX('Veri Merkezi'!$A$2:$A$1001,$K133),""))</f>
        <v/>
      </c>
      <c r="B133" t="str">
        <f>IF($K133="","",IFERROR(INDEX('Veri Merkezi'!$E$2:$E$1001,$K133),""))</f>
        <v/>
      </c>
      <c r="C133" t="str">
        <f>IF($K133="","",IFERROR(INDEX('Veri Merkezi'!$D$2:$D$1001,$K133),""))</f>
        <v/>
      </c>
      <c r="D133" t="str">
        <f>IF($K133="","",IFERROR(INDEX('Veri Merkezi'!$F$2:$F$1001,$K133),""))</f>
        <v/>
      </c>
      <c r="E133" s="2" t="str">
        <f>IF($K133="","",IFERROR(INDEX('Veri Merkezi'!$G$2:$G$1001,$K133),""))</f>
        <v/>
      </c>
      <c r="F133" t="str">
        <f>IF($K133="","",IFERROR(INDEX('Veri Merkezi'!$H$2:$H$1001,$K133),""))</f>
        <v/>
      </c>
      <c r="G133" t="str">
        <f>IF($K133="","",IFERROR(INDEX('Veri Merkezi'!$R$2:$R$1001,$K133),""))</f>
        <v/>
      </c>
      <c r="H133" t="str">
        <f>IF($K133="","",IFERROR(INDEX('Veri Merkezi'!$S$2:$S$1001,$K133),""))</f>
        <v/>
      </c>
      <c r="I133" s="2" t="str">
        <f>IF($K133="","",IFERROR(INDEX('Veri Merkezi'!$T$2:$T$1001,$K133),""))</f>
        <v/>
      </c>
      <c r="J133" t="str">
        <f>IF($K133="","",IFERROR(INDEX('Veri Merkezi'!$U$2:$U$1001,$K133),""))</f>
        <v/>
      </c>
      <c r="K133" t="str">
        <f>IF(K132="","",IFERROR(K132+MATCH("Takip",INDEX('Veri Merkezi'!$S$2:$S$1001,K132+1):'Veri Merkezi'!$S$1001,0),""))</f>
        <v/>
      </c>
    </row>
    <row r="134" spans="1:11">
      <c r="A134" t="str">
        <f>IF($K134="","",IFERROR(INDEX('Veri Merkezi'!$A$2:$A$1001,$K134),""))</f>
        <v/>
      </c>
      <c r="B134" t="str">
        <f>IF($K134="","",IFERROR(INDEX('Veri Merkezi'!$E$2:$E$1001,$K134),""))</f>
        <v/>
      </c>
      <c r="C134" t="str">
        <f>IF($K134="","",IFERROR(INDEX('Veri Merkezi'!$D$2:$D$1001,$K134),""))</f>
        <v/>
      </c>
      <c r="D134" t="str">
        <f>IF($K134="","",IFERROR(INDEX('Veri Merkezi'!$F$2:$F$1001,$K134),""))</f>
        <v/>
      </c>
      <c r="E134" s="2" t="str">
        <f>IF($K134="","",IFERROR(INDEX('Veri Merkezi'!$G$2:$G$1001,$K134),""))</f>
        <v/>
      </c>
      <c r="F134" t="str">
        <f>IF($K134="","",IFERROR(INDEX('Veri Merkezi'!$H$2:$H$1001,$K134),""))</f>
        <v/>
      </c>
      <c r="G134" t="str">
        <f>IF($K134="","",IFERROR(INDEX('Veri Merkezi'!$R$2:$R$1001,$K134),""))</f>
        <v/>
      </c>
      <c r="H134" t="str">
        <f>IF($K134="","",IFERROR(INDEX('Veri Merkezi'!$S$2:$S$1001,$K134),""))</f>
        <v/>
      </c>
      <c r="I134" s="2" t="str">
        <f>IF($K134="","",IFERROR(INDEX('Veri Merkezi'!$T$2:$T$1001,$K134),""))</f>
        <v/>
      </c>
      <c r="J134" t="str">
        <f>IF($K134="","",IFERROR(INDEX('Veri Merkezi'!$U$2:$U$1001,$K134),""))</f>
        <v/>
      </c>
      <c r="K134" t="str">
        <f>IF(K133="","",IFERROR(K133+MATCH("Takip",INDEX('Veri Merkezi'!$S$2:$S$1001,K133+1):'Veri Merkezi'!$S$1001,0),""))</f>
        <v/>
      </c>
    </row>
    <row r="135" spans="1:11">
      <c r="A135" t="str">
        <f>IF($K135="","",IFERROR(INDEX('Veri Merkezi'!$A$2:$A$1001,$K135),""))</f>
        <v/>
      </c>
      <c r="B135" t="str">
        <f>IF($K135="","",IFERROR(INDEX('Veri Merkezi'!$E$2:$E$1001,$K135),""))</f>
        <v/>
      </c>
      <c r="C135" t="str">
        <f>IF($K135="","",IFERROR(INDEX('Veri Merkezi'!$D$2:$D$1001,$K135),""))</f>
        <v/>
      </c>
      <c r="D135" t="str">
        <f>IF($K135="","",IFERROR(INDEX('Veri Merkezi'!$F$2:$F$1001,$K135),""))</f>
        <v/>
      </c>
      <c r="E135" s="2" t="str">
        <f>IF($K135="","",IFERROR(INDEX('Veri Merkezi'!$G$2:$G$1001,$K135),""))</f>
        <v/>
      </c>
      <c r="F135" t="str">
        <f>IF($K135="","",IFERROR(INDEX('Veri Merkezi'!$H$2:$H$1001,$K135),""))</f>
        <v/>
      </c>
      <c r="G135" t="str">
        <f>IF($K135="","",IFERROR(INDEX('Veri Merkezi'!$R$2:$R$1001,$K135),""))</f>
        <v/>
      </c>
      <c r="H135" t="str">
        <f>IF($K135="","",IFERROR(INDEX('Veri Merkezi'!$S$2:$S$1001,$K135),""))</f>
        <v/>
      </c>
      <c r="I135" s="2" t="str">
        <f>IF($K135="","",IFERROR(INDEX('Veri Merkezi'!$T$2:$T$1001,$K135),""))</f>
        <v/>
      </c>
      <c r="J135" t="str">
        <f>IF($K135="","",IFERROR(INDEX('Veri Merkezi'!$U$2:$U$1001,$K135),""))</f>
        <v/>
      </c>
      <c r="K135" t="str">
        <f>IF(K134="","",IFERROR(K134+MATCH("Takip",INDEX('Veri Merkezi'!$S$2:$S$1001,K134+1):'Veri Merkezi'!$S$1001,0),""))</f>
        <v/>
      </c>
    </row>
    <row r="136" spans="1:11">
      <c r="A136" t="str">
        <f>IF($K136="","",IFERROR(INDEX('Veri Merkezi'!$A$2:$A$1001,$K136),""))</f>
        <v/>
      </c>
      <c r="B136" t="str">
        <f>IF($K136="","",IFERROR(INDEX('Veri Merkezi'!$E$2:$E$1001,$K136),""))</f>
        <v/>
      </c>
      <c r="C136" t="str">
        <f>IF($K136="","",IFERROR(INDEX('Veri Merkezi'!$D$2:$D$1001,$K136),""))</f>
        <v/>
      </c>
      <c r="D136" t="str">
        <f>IF($K136="","",IFERROR(INDEX('Veri Merkezi'!$F$2:$F$1001,$K136),""))</f>
        <v/>
      </c>
      <c r="E136" s="2" t="str">
        <f>IF($K136="","",IFERROR(INDEX('Veri Merkezi'!$G$2:$G$1001,$K136),""))</f>
        <v/>
      </c>
      <c r="F136" t="str">
        <f>IF($K136="","",IFERROR(INDEX('Veri Merkezi'!$H$2:$H$1001,$K136),""))</f>
        <v/>
      </c>
      <c r="G136" t="str">
        <f>IF($K136="","",IFERROR(INDEX('Veri Merkezi'!$R$2:$R$1001,$K136),""))</f>
        <v/>
      </c>
      <c r="H136" t="str">
        <f>IF($K136="","",IFERROR(INDEX('Veri Merkezi'!$S$2:$S$1001,$K136),""))</f>
        <v/>
      </c>
      <c r="I136" s="2" t="str">
        <f>IF($K136="","",IFERROR(INDEX('Veri Merkezi'!$T$2:$T$1001,$K136),""))</f>
        <v/>
      </c>
      <c r="J136" t="str">
        <f>IF($K136="","",IFERROR(INDEX('Veri Merkezi'!$U$2:$U$1001,$K136),""))</f>
        <v/>
      </c>
      <c r="K136" t="str">
        <f>IF(K135="","",IFERROR(K135+MATCH("Takip",INDEX('Veri Merkezi'!$S$2:$S$1001,K135+1):'Veri Merkezi'!$S$1001,0),""))</f>
        <v/>
      </c>
    </row>
    <row r="137" spans="1:11">
      <c r="A137" t="str">
        <f>IF($K137="","",IFERROR(INDEX('Veri Merkezi'!$A$2:$A$1001,$K137),""))</f>
        <v/>
      </c>
      <c r="B137" t="str">
        <f>IF($K137="","",IFERROR(INDEX('Veri Merkezi'!$E$2:$E$1001,$K137),""))</f>
        <v/>
      </c>
      <c r="C137" t="str">
        <f>IF($K137="","",IFERROR(INDEX('Veri Merkezi'!$D$2:$D$1001,$K137),""))</f>
        <v/>
      </c>
      <c r="D137" t="str">
        <f>IF($K137="","",IFERROR(INDEX('Veri Merkezi'!$F$2:$F$1001,$K137),""))</f>
        <v/>
      </c>
      <c r="E137" s="2" t="str">
        <f>IF($K137="","",IFERROR(INDEX('Veri Merkezi'!$G$2:$G$1001,$K137),""))</f>
        <v/>
      </c>
      <c r="F137" t="str">
        <f>IF($K137="","",IFERROR(INDEX('Veri Merkezi'!$H$2:$H$1001,$K137),""))</f>
        <v/>
      </c>
      <c r="G137" t="str">
        <f>IF($K137="","",IFERROR(INDEX('Veri Merkezi'!$R$2:$R$1001,$K137),""))</f>
        <v/>
      </c>
      <c r="H137" t="str">
        <f>IF($K137="","",IFERROR(INDEX('Veri Merkezi'!$S$2:$S$1001,$K137),""))</f>
        <v/>
      </c>
      <c r="I137" s="2" t="str">
        <f>IF($K137="","",IFERROR(INDEX('Veri Merkezi'!$T$2:$T$1001,$K137),""))</f>
        <v/>
      </c>
      <c r="J137" t="str">
        <f>IF($K137="","",IFERROR(INDEX('Veri Merkezi'!$U$2:$U$1001,$K137),""))</f>
        <v/>
      </c>
      <c r="K137" t="str">
        <f>IF(K136="","",IFERROR(K136+MATCH("Takip",INDEX('Veri Merkezi'!$S$2:$S$1001,K136+1):'Veri Merkezi'!$S$1001,0),""))</f>
        <v/>
      </c>
    </row>
    <row r="138" spans="1:11">
      <c r="A138" t="str">
        <f>IF($K138="","",IFERROR(INDEX('Veri Merkezi'!$A$2:$A$1001,$K138),""))</f>
        <v/>
      </c>
      <c r="B138" t="str">
        <f>IF($K138="","",IFERROR(INDEX('Veri Merkezi'!$E$2:$E$1001,$K138),""))</f>
        <v/>
      </c>
      <c r="C138" t="str">
        <f>IF($K138="","",IFERROR(INDEX('Veri Merkezi'!$D$2:$D$1001,$K138),""))</f>
        <v/>
      </c>
      <c r="D138" t="str">
        <f>IF($K138="","",IFERROR(INDEX('Veri Merkezi'!$F$2:$F$1001,$K138),""))</f>
        <v/>
      </c>
      <c r="E138" s="2" t="str">
        <f>IF($K138="","",IFERROR(INDEX('Veri Merkezi'!$G$2:$G$1001,$K138),""))</f>
        <v/>
      </c>
      <c r="F138" t="str">
        <f>IF($K138="","",IFERROR(INDEX('Veri Merkezi'!$H$2:$H$1001,$K138),""))</f>
        <v/>
      </c>
      <c r="G138" t="str">
        <f>IF($K138="","",IFERROR(INDEX('Veri Merkezi'!$R$2:$R$1001,$K138),""))</f>
        <v/>
      </c>
      <c r="H138" t="str">
        <f>IF($K138="","",IFERROR(INDEX('Veri Merkezi'!$S$2:$S$1001,$K138),""))</f>
        <v/>
      </c>
      <c r="I138" s="2" t="str">
        <f>IF($K138="","",IFERROR(INDEX('Veri Merkezi'!$T$2:$T$1001,$K138),""))</f>
        <v/>
      </c>
      <c r="J138" t="str">
        <f>IF($K138="","",IFERROR(INDEX('Veri Merkezi'!$U$2:$U$1001,$K138),""))</f>
        <v/>
      </c>
      <c r="K138" t="str">
        <f>IF(K137="","",IFERROR(K137+MATCH("Takip",INDEX('Veri Merkezi'!$S$2:$S$1001,K137+1):'Veri Merkezi'!$S$1001,0),""))</f>
        <v/>
      </c>
    </row>
    <row r="139" spans="1:11">
      <c r="A139" t="str">
        <f>IF($K139="","",IFERROR(INDEX('Veri Merkezi'!$A$2:$A$1001,$K139),""))</f>
        <v/>
      </c>
      <c r="B139" t="str">
        <f>IF($K139="","",IFERROR(INDEX('Veri Merkezi'!$E$2:$E$1001,$K139),""))</f>
        <v/>
      </c>
      <c r="C139" t="str">
        <f>IF($K139="","",IFERROR(INDEX('Veri Merkezi'!$D$2:$D$1001,$K139),""))</f>
        <v/>
      </c>
      <c r="D139" t="str">
        <f>IF($K139="","",IFERROR(INDEX('Veri Merkezi'!$F$2:$F$1001,$K139),""))</f>
        <v/>
      </c>
      <c r="E139" s="2" t="str">
        <f>IF($K139="","",IFERROR(INDEX('Veri Merkezi'!$G$2:$G$1001,$K139),""))</f>
        <v/>
      </c>
      <c r="F139" t="str">
        <f>IF($K139="","",IFERROR(INDEX('Veri Merkezi'!$H$2:$H$1001,$K139),""))</f>
        <v/>
      </c>
      <c r="G139" t="str">
        <f>IF($K139="","",IFERROR(INDEX('Veri Merkezi'!$R$2:$R$1001,$K139),""))</f>
        <v/>
      </c>
      <c r="H139" t="str">
        <f>IF($K139="","",IFERROR(INDEX('Veri Merkezi'!$S$2:$S$1001,$K139),""))</f>
        <v/>
      </c>
      <c r="I139" s="2" t="str">
        <f>IF($K139="","",IFERROR(INDEX('Veri Merkezi'!$T$2:$T$1001,$K139),""))</f>
        <v/>
      </c>
      <c r="J139" t="str">
        <f>IF($K139="","",IFERROR(INDEX('Veri Merkezi'!$U$2:$U$1001,$K139),""))</f>
        <v/>
      </c>
      <c r="K139" t="str">
        <f>IF(K138="","",IFERROR(K138+MATCH("Takip",INDEX('Veri Merkezi'!$S$2:$S$1001,K138+1):'Veri Merkezi'!$S$1001,0),""))</f>
        <v/>
      </c>
    </row>
    <row r="140" spans="1:11">
      <c r="A140" t="str">
        <f>IF($K140="","",IFERROR(INDEX('Veri Merkezi'!$A$2:$A$1001,$K140),""))</f>
        <v/>
      </c>
      <c r="B140" t="str">
        <f>IF($K140="","",IFERROR(INDEX('Veri Merkezi'!$E$2:$E$1001,$K140),""))</f>
        <v/>
      </c>
      <c r="C140" t="str">
        <f>IF($K140="","",IFERROR(INDEX('Veri Merkezi'!$D$2:$D$1001,$K140),""))</f>
        <v/>
      </c>
      <c r="D140" t="str">
        <f>IF($K140="","",IFERROR(INDEX('Veri Merkezi'!$F$2:$F$1001,$K140),""))</f>
        <v/>
      </c>
      <c r="E140" s="2" t="str">
        <f>IF($K140="","",IFERROR(INDEX('Veri Merkezi'!$G$2:$G$1001,$K140),""))</f>
        <v/>
      </c>
      <c r="F140" t="str">
        <f>IF($K140="","",IFERROR(INDEX('Veri Merkezi'!$H$2:$H$1001,$K140),""))</f>
        <v/>
      </c>
      <c r="G140" t="str">
        <f>IF($K140="","",IFERROR(INDEX('Veri Merkezi'!$R$2:$R$1001,$K140),""))</f>
        <v/>
      </c>
      <c r="H140" t="str">
        <f>IF($K140="","",IFERROR(INDEX('Veri Merkezi'!$S$2:$S$1001,$K140),""))</f>
        <v/>
      </c>
      <c r="I140" s="2" t="str">
        <f>IF($K140="","",IFERROR(INDEX('Veri Merkezi'!$T$2:$T$1001,$K140),""))</f>
        <v/>
      </c>
      <c r="J140" t="str">
        <f>IF($K140="","",IFERROR(INDEX('Veri Merkezi'!$U$2:$U$1001,$K140),""))</f>
        <v/>
      </c>
      <c r="K140" t="str">
        <f>IF(K139="","",IFERROR(K139+MATCH("Takip",INDEX('Veri Merkezi'!$S$2:$S$1001,K139+1):'Veri Merkezi'!$S$1001,0),""))</f>
        <v/>
      </c>
    </row>
    <row r="141" spans="1:11">
      <c r="A141" t="str">
        <f>IF($K141="","",IFERROR(INDEX('Veri Merkezi'!$A$2:$A$1001,$K141),""))</f>
        <v/>
      </c>
      <c r="B141" t="str">
        <f>IF($K141="","",IFERROR(INDEX('Veri Merkezi'!$E$2:$E$1001,$K141),""))</f>
        <v/>
      </c>
      <c r="C141" t="str">
        <f>IF($K141="","",IFERROR(INDEX('Veri Merkezi'!$D$2:$D$1001,$K141),""))</f>
        <v/>
      </c>
      <c r="D141" t="str">
        <f>IF($K141="","",IFERROR(INDEX('Veri Merkezi'!$F$2:$F$1001,$K141),""))</f>
        <v/>
      </c>
      <c r="E141" s="2" t="str">
        <f>IF($K141="","",IFERROR(INDEX('Veri Merkezi'!$G$2:$G$1001,$K141),""))</f>
        <v/>
      </c>
      <c r="F141" t="str">
        <f>IF($K141="","",IFERROR(INDEX('Veri Merkezi'!$H$2:$H$1001,$K141),""))</f>
        <v/>
      </c>
      <c r="G141" t="str">
        <f>IF($K141="","",IFERROR(INDEX('Veri Merkezi'!$R$2:$R$1001,$K141),""))</f>
        <v/>
      </c>
      <c r="H141" t="str">
        <f>IF($K141="","",IFERROR(INDEX('Veri Merkezi'!$S$2:$S$1001,$K141),""))</f>
        <v/>
      </c>
      <c r="I141" s="2" t="str">
        <f>IF($K141="","",IFERROR(INDEX('Veri Merkezi'!$T$2:$T$1001,$K141),""))</f>
        <v/>
      </c>
      <c r="J141" t="str">
        <f>IF($K141="","",IFERROR(INDEX('Veri Merkezi'!$U$2:$U$1001,$K141),""))</f>
        <v/>
      </c>
      <c r="K141" t="str">
        <f>IF(K140="","",IFERROR(K140+MATCH("Takip",INDEX('Veri Merkezi'!$S$2:$S$1001,K140+1):'Veri Merkezi'!$S$1001,0),""))</f>
        <v/>
      </c>
    </row>
    <row r="142" spans="1:11">
      <c r="A142" t="str">
        <f>IF($K142="","",IFERROR(INDEX('Veri Merkezi'!$A$2:$A$1001,$K142),""))</f>
        <v/>
      </c>
      <c r="B142" t="str">
        <f>IF($K142="","",IFERROR(INDEX('Veri Merkezi'!$E$2:$E$1001,$K142),""))</f>
        <v/>
      </c>
      <c r="C142" t="str">
        <f>IF($K142="","",IFERROR(INDEX('Veri Merkezi'!$D$2:$D$1001,$K142),""))</f>
        <v/>
      </c>
      <c r="D142" t="str">
        <f>IF($K142="","",IFERROR(INDEX('Veri Merkezi'!$F$2:$F$1001,$K142),""))</f>
        <v/>
      </c>
      <c r="E142" s="2" t="str">
        <f>IF($K142="","",IFERROR(INDEX('Veri Merkezi'!$G$2:$G$1001,$K142),""))</f>
        <v/>
      </c>
      <c r="F142" t="str">
        <f>IF($K142="","",IFERROR(INDEX('Veri Merkezi'!$H$2:$H$1001,$K142),""))</f>
        <v/>
      </c>
      <c r="G142" t="str">
        <f>IF($K142="","",IFERROR(INDEX('Veri Merkezi'!$R$2:$R$1001,$K142),""))</f>
        <v/>
      </c>
      <c r="H142" t="str">
        <f>IF($K142="","",IFERROR(INDEX('Veri Merkezi'!$S$2:$S$1001,$K142),""))</f>
        <v/>
      </c>
      <c r="I142" s="2" t="str">
        <f>IF($K142="","",IFERROR(INDEX('Veri Merkezi'!$T$2:$T$1001,$K142),""))</f>
        <v/>
      </c>
      <c r="J142" t="str">
        <f>IF($K142="","",IFERROR(INDEX('Veri Merkezi'!$U$2:$U$1001,$K142),""))</f>
        <v/>
      </c>
      <c r="K142" t="str">
        <f>IF(K141="","",IFERROR(K141+MATCH("Takip",INDEX('Veri Merkezi'!$S$2:$S$1001,K141+1):'Veri Merkezi'!$S$1001,0),""))</f>
        <v/>
      </c>
    </row>
    <row r="143" spans="1:11">
      <c r="A143" t="str">
        <f>IF($K143="","",IFERROR(INDEX('Veri Merkezi'!$A$2:$A$1001,$K143),""))</f>
        <v/>
      </c>
      <c r="B143" t="str">
        <f>IF($K143="","",IFERROR(INDEX('Veri Merkezi'!$E$2:$E$1001,$K143),""))</f>
        <v/>
      </c>
      <c r="C143" t="str">
        <f>IF($K143="","",IFERROR(INDEX('Veri Merkezi'!$D$2:$D$1001,$K143),""))</f>
        <v/>
      </c>
      <c r="D143" t="str">
        <f>IF($K143="","",IFERROR(INDEX('Veri Merkezi'!$F$2:$F$1001,$K143),""))</f>
        <v/>
      </c>
      <c r="E143" s="2" t="str">
        <f>IF($K143="","",IFERROR(INDEX('Veri Merkezi'!$G$2:$G$1001,$K143),""))</f>
        <v/>
      </c>
      <c r="F143" t="str">
        <f>IF($K143="","",IFERROR(INDEX('Veri Merkezi'!$H$2:$H$1001,$K143),""))</f>
        <v/>
      </c>
      <c r="G143" t="str">
        <f>IF($K143="","",IFERROR(INDEX('Veri Merkezi'!$R$2:$R$1001,$K143),""))</f>
        <v/>
      </c>
      <c r="H143" t="str">
        <f>IF($K143="","",IFERROR(INDEX('Veri Merkezi'!$S$2:$S$1001,$K143),""))</f>
        <v/>
      </c>
      <c r="I143" s="2" t="str">
        <f>IF($K143="","",IFERROR(INDEX('Veri Merkezi'!$T$2:$T$1001,$K143),""))</f>
        <v/>
      </c>
      <c r="J143" t="str">
        <f>IF($K143="","",IFERROR(INDEX('Veri Merkezi'!$U$2:$U$1001,$K143),""))</f>
        <v/>
      </c>
      <c r="K143" t="str">
        <f>IF(K142="","",IFERROR(K142+MATCH("Takip",INDEX('Veri Merkezi'!$S$2:$S$1001,K142+1):'Veri Merkezi'!$S$1001,0),""))</f>
        <v/>
      </c>
    </row>
    <row r="144" spans="1:11">
      <c r="A144" t="str">
        <f>IF($K144="","",IFERROR(INDEX('Veri Merkezi'!$A$2:$A$1001,$K144),""))</f>
        <v/>
      </c>
      <c r="B144" t="str">
        <f>IF($K144="","",IFERROR(INDEX('Veri Merkezi'!$E$2:$E$1001,$K144),""))</f>
        <v/>
      </c>
      <c r="C144" t="str">
        <f>IF($K144="","",IFERROR(INDEX('Veri Merkezi'!$D$2:$D$1001,$K144),""))</f>
        <v/>
      </c>
      <c r="D144" t="str">
        <f>IF($K144="","",IFERROR(INDEX('Veri Merkezi'!$F$2:$F$1001,$K144),""))</f>
        <v/>
      </c>
      <c r="E144" s="2" t="str">
        <f>IF($K144="","",IFERROR(INDEX('Veri Merkezi'!$G$2:$G$1001,$K144),""))</f>
        <v/>
      </c>
      <c r="F144" t="str">
        <f>IF($K144="","",IFERROR(INDEX('Veri Merkezi'!$H$2:$H$1001,$K144),""))</f>
        <v/>
      </c>
      <c r="G144" t="str">
        <f>IF($K144="","",IFERROR(INDEX('Veri Merkezi'!$R$2:$R$1001,$K144),""))</f>
        <v/>
      </c>
      <c r="H144" t="str">
        <f>IF($K144="","",IFERROR(INDEX('Veri Merkezi'!$S$2:$S$1001,$K144),""))</f>
        <v/>
      </c>
      <c r="I144" s="2" t="str">
        <f>IF($K144="","",IFERROR(INDEX('Veri Merkezi'!$T$2:$T$1001,$K144),""))</f>
        <v/>
      </c>
      <c r="J144" t="str">
        <f>IF($K144="","",IFERROR(INDEX('Veri Merkezi'!$U$2:$U$1001,$K144),""))</f>
        <v/>
      </c>
      <c r="K144" t="str">
        <f>IF(K143="","",IFERROR(K143+MATCH("Takip",INDEX('Veri Merkezi'!$S$2:$S$1001,K143+1):'Veri Merkezi'!$S$1001,0),""))</f>
        <v/>
      </c>
    </row>
    <row r="145" spans="1:11">
      <c r="A145" t="str">
        <f>IF($K145="","",IFERROR(INDEX('Veri Merkezi'!$A$2:$A$1001,$K145),""))</f>
        <v/>
      </c>
      <c r="B145" t="str">
        <f>IF($K145="","",IFERROR(INDEX('Veri Merkezi'!$E$2:$E$1001,$K145),""))</f>
        <v/>
      </c>
      <c r="C145" t="str">
        <f>IF($K145="","",IFERROR(INDEX('Veri Merkezi'!$D$2:$D$1001,$K145),""))</f>
        <v/>
      </c>
      <c r="D145" t="str">
        <f>IF($K145="","",IFERROR(INDEX('Veri Merkezi'!$F$2:$F$1001,$K145),""))</f>
        <v/>
      </c>
      <c r="E145" s="2" t="str">
        <f>IF($K145="","",IFERROR(INDEX('Veri Merkezi'!$G$2:$G$1001,$K145),""))</f>
        <v/>
      </c>
      <c r="F145" t="str">
        <f>IF($K145="","",IFERROR(INDEX('Veri Merkezi'!$H$2:$H$1001,$K145),""))</f>
        <v/>
      </c>
      <c r="G145" t="str">
        <f>IF($K145="","",IFERROR(INDEX('Veri Merkezi'!$R$2:$R$1001,$K145),""))</f>
        <v/>
      </c>
      <c r="H145" t="str">
        <f>IF($K145="","",IFERROR(INDEX('Veri Merkezi'!$S$2:$S$1001,$K145),""))</f>
        <v/>
      </c>
      <c r="I145" s="2" t="str">
        <f>IF($K145="","",IFERROR(INDEX('Veri Merkezi'!$T$2:$T$1001,$K145),""))</f>
        <v/>
      </c>
      <c r="J145" t="str">
        <f>IF($K145="","",IFERROR(INDEX('Veri Merkezi'!$U$2:$U$1001,$K145),""))</f>
        <v/>
      </c>
      <c r="K145" t="str">
        <f>IF(K144="","",IFERROR(K144+MATCH("Takip",INDEX('Veri Merkezi'!$S$2:$S$1001,K144+1):'Veri Merkezi'!$S$1001,0),""))</f>
        <v/>
      </c>
    </row>
    <row r="146" spans="1:11">
      <c r="A146" t="str">
        <f>IF($K146="","",IFERROR(INDEX('Veri Merkezi'!$A$2:$A$1001,$K146),""))</f>
        <v/>
      </c>
      <c r="B146" t="str">
        <f>IF($K146="","",IFERROR(INDEX('Veri Merkezi'!$E$2:$E$1001,$K146),""))</f>
        <v/>
      </c>
      <c r="C146" t="str">
        <f>IF($K146="","",IFERROR(INDEX('Veri Merkezi'!$D$2:$D$1001,$K146),""))</f>
        <v/>
      </c>
      <c r="D146" t="str">
        <f>IF($K146="","",IFERROR(INDEX('Veri Merkezi'!$F$2:$F$1001,$K146),""))</f>
        <v/>
      </c>
      <c r="E146" s="2" t="str">
        <f>IF($K146="","",IFERROR(INDEX('Veri Merkezi'!$G$2:$G$1001,$K146),""))</f>
        <v/>
      </c>
      <c r="F146" t="str">
        <f>IF($K146="","",IFERROR(INDEX('Veri Merkezi'!$H$2:$H$1001,$K146),""))</f>
        <v/>
      </c>
      <c r="G146" t="str">
        <f>IF($K146="","",IFERROR(INDEX('Veri Merkezi'!$R$2:$R$1001,$K146),""))</f>
        <v/>
      </c>
      <c r="H146" t="str">
        <f>IF($K146="","",IFERROR(INDEX('Veri Merkezi'!$S$2:$S$1001,$K146),""))</f>
        <v/>
      </c>
      <c r="I146" s="2" t="str">
        <f>IF($K146="","",IFERROR(INDEX('Veri Merkezi'!$T$2:$T$1001,$K146),""))</f>
        <v/>
      </c>
      <c r="J146" t="str">
        <f>IF($K146="","",IFERROR(INDEX('Veri Merkezi'!$U$2:$U$1001,$K146),""))</f>
        <v/>
      </c>
      <c r="K146" t="str">
        <f>IF(K145="","",IFERROR(K145+MATCH("Takip",INDEX('Veri Merkezi'!$S$2:$S$1001,K145+1):'Veri Merkezi'!$S$1001,0),""))</f>
        <v/>
      </c>
    </row>
    <row r="147" spans="1:11">
      <c r="A147" t="str">
        <f>IF($K147="","",IFERROR(INDEX('Veri Merkezi'!$A$2:$A$1001,$K147),""))</f>
        <v/>
      </c>
      <c r="B147" t="str">
        <f>IF($K147="","",IFERROR(INDEX('Veri Merkezi'!$E$2:$E$1001,$K147),""))</f>
        <v/>
      </c>
      <c r="C147" t="str">
        <f>IF($K147="","",IFERROR(INDEX('Veri Merkezi'!$D$2:$D$1001,$K147),""))</f>
        <v/>
      </c>
      <c r="D147" t="str">
        <f>IF($K147="","",IFERROR(INDEX('Veri Merkezi'!$F$2:$F$1001,$K147),""))</f>
        <v/>
      </c>
      <c r="E147" s="2" t="str">
        <f>IF($K147="","",IFERROR(INDEX('Veri Merkezi'!$G$2:$G$1001,$K147),""))</f>
        <v/>
      </c>
      <c r="F147" t="str">
        <f>IF($K147="","",IFERROR(INDEX('Veri Merkezi'!$H$2:$H$1001,$K147),""))</f>
        <v/>
      </c>
      <c r="G147" t="str">
        <f>IF($K147="","",IFERROR(INDEX('Veri Merkezi'!$R$2:$R$1001,$K147),""))</f>
        <v/>
      </c>
      <c r="H147" t="str">
        <f>IF($K147="","",IFERROR(INDEX('Veri Merkezi'!$S$2:$S$1001,$K147),""))</f>
        <v/>
      </c>
      <c r="I147" s="2" t="str">
        <f>IF($K147="","",IFERROR(INDEX('Veri Merkezi'!$T$2:$T$1001,$K147),""))</f>
        <v/>
      </c>
      <c r="J147" t="str">
        <f>IF($K147="","",IFERROR(INDEX('Veri Merkezi'!$U$2:$U$1001,$K147),""))</f>
        <v/>
      </c>
      <c r="K147" t="str">
        <f>IF(K146="","",IFERROR(K146+MATCH("Takip",INDEX('Veri Merkezi'!$S$2:$S$1001,K146+1):'Veri Merkezi'!$S$1001,0),""))</f>
        <v/>
      </c>
    </row>
    <row r="148" spans="1:11">
      <c r="A148" t="str">
        <f>IF($K148="","",IFERROR(INDEX('Veri Merkezi'!$A$2:$A$1001,$K148),""))</f>
        <v/>
      </c>
      <c r="B148" t="str">
        <f>IF($K148="","",IFERROR(INDEX('Veri Merkezi'!$E$2:$E$1001,$K148),""))</f>
        <v/>
      </c>
      <c r="C148" t="str">
        <f>IF($K148="","",IFERROR(INDEX('Veri Merkezi'!$D$2:$D$1001,$K148),""))</f>
        <v/>
      </c>
      <c r="D148" t="str">
        <f>IF($K148="","",IFERROR(INDEX('Veri Merkezi'!$F$2:$F$1001,$K148),""))</f>
        <v/>
      </c>
      <c r="E148" s="2" t="str">
        <f>IF($K148="","",IFERROR(INDEX('Veri Merkezi'!$G$2:$G$1001,$K148),""))</f>
        <v/>
      </c>
      <c r="F148" t="str">
        <f>IF($K148="","",IFERROR(INDEX('Veri Merkezi'!$H$2:$H$1001,$K148),""))</f>
        <v/>
      </c>
      <c r="G148" t="str">
        <f>IF($K148="","",IFERROR(INDEX('Veri Merkezi'!$R$2:$R$1001,$K148),""))</f>
        <v/>
      </c>
      <c r="H148" t="str">
        <f>IF($K148="","",IFERROR(INDEX('Veri Merkezi'!$S$2:$S$1001,$K148),""))</f>
        <v/>
      </c>
      <c r="I148" s="2" t="str">
        <f>IF($K148="","",IFERROR(INDEX('Veri Merkezi'!$T$2:$T$1001,$K148),""))</f>
        <v/>
      </c>
      <c r="J148" t="str">
        <f>IF($K148="","",IFERROR(INDEX('Veri Merkezi'!$U$2:$U$1001,$K148),""))</f>
        <v/>
      </c>
      <c r="K148" t="str">
        <f>IF(K147="","",IFERROR(K147+MATCH("Takip",INDEX('Veri Merkezi'!$S$2:$S$1001,K147+1):'Veri Merkezi'!$S$1001,0),""))</f>
        <v/>
      </c>
    </row>
    <row r="149" spans="1:11">
      <c r="A149" t="str">
        <f>IF($K149="","",IFERROR(INDEX('Veri Merkezi'!$A$2:$A$1001,$K149),""))</f>
        <v/>
      </c>
      <c r="B149" t="str">
        <f>IF($K149="","",IFERROR(INDEX('Veri Merkezi'!$E$2:$E$1001,$K149),""))</f>
        <v/>
      </c>
      <c r="C149" t="str">
        <f>IF($K149="","",IFERROR(INDEX('Veri Merkezi'!$D$2:$D$1001,$K149),""))</f>
        <v/>
      </c>
      <c r="D149" t="str">
        <f>IF($K149="","",IFERROR(INDEX('Veri Merkezi'!$F$2:$F$1001,$K149),""))</f>
        <v/>
      </c>
      <c r="E149" s="2" t="str">
        <f>IF($K149="","",IFERROR(INDEX('Veri Merkezi'!$G$2:$G$1001,$K149),""))</f>
        <v/>
      </c>
      <c r="F149" t="str">
        <f>IF($K149="","",IFERROR(INDEX('Veri Merkezi'!$H$2:$H$1001,$K149),""))</f>
        <v/>
      </c>
      <c r="G149" t="str">
        <f>IF($K149="","",IFERROR(INDEX('Veri Merkezi'!$R$2:$R$1001,$K149),""))</f>
        <v/>
      </c>
      <c r="H149" t="str">
        <f>IF($K149="","",IFERROR(INDEX('Veri Merkezi'!$S$2:$S$1001,$K149),""))</f>
        <v/>
      </c>
      <c r="I149" s="2" t="str">
        <f>IF($K149="","",IFERROR(INDEX('Veri Merkezi'!$T$2:$T$1001,$K149),""))</f>
        <v/>
      </c>
      <c r="J149" t="str">
        <f>IF($K149="","",IFERROR(INDEX('Veri Merkezi'!$U$2:$U$1001,$K149),""))</f>
        <v/>
      </c>
      <c r="K149" t="str">
        <f>IF(K148="","",IFERROR(K148+MATCH("Takip",INDEX('Veri Merkezi'!$S$2:$S$1001,K148+1):'Veri Merkezi'!$S$1001,0),""))</f>
        <v/>
      </c>
    </row>
    <row r="150" spans="1:11">
      <c r="A150" t="str">
        <f>IF($K150="","",IFERROR(INDEX('Veri Merkezi'!$A$2:$A$1001,$K150),""))</f>
        <v/>
      </c>
      <c r="B150" t="str">
        <f>IF($K150="","",IFERROR(INDEX('Veri Merkezi'!$E$2:$E$1001,$K150),""))</f>
        <v/>
      </c>
      <c r="C150" t="str">
        <f>IF($K150="","",IFERROR(INDEX('Veri Merkezi'!$D$2:$D$1001,$K150),""))</f>
        <v/>
      </c>
      <c r="D150" t="str">
        <f>IF($K150="","",IFERROR(INDEX('Veri Merkezi'!$F$2:$F$1001,$K150),""))</f>
        <v/>
      </c>
      <c r="E150" s="2" t="str">
        <f>IF($K150="","",IFERROR(INDEX('Veri Merkezi'!$G$2:$G$1001,$K150),""))</f>
        <v/>
      </c>
      <c r="F150" t="str">
        <f>IF($K150="","",IFERROR(INDEX('Veri Merkezi'!$H$2:$H$1001,$K150),""))</f>
        <v/>
      </c>
      <c r="G150" t="str">
        <f>IF($K150="","",IFERROR(INDEX('Veri Merkezi'!$R$2:$R$1001,$K150),""))</f>
        <v/>
      </c>
      <c r="H150" t="str">
        <f>IF($K150="","",IFERROR(INDEX('Veri Merkezi'!$S$2:$S$1001,$K150),""))</f>
        <v/>
      </c>
      <c r="I150" s="2" t="str">
        <f>IF($K150="","",IFERROR(INDEX('Veri Merkezi'!$T$2:$T$1001,$K150),""))</f>
        <v/>
      </c>
      <c r="J150" t="str">
        <f>IF($K150="","",IFERROR(INDEX('Veri Merkezi'!$U$2:$U$1001,$K150),""))</f>
        <v/>
      </c>
      <c r="K150" t="str">
        <f>IF(K149="","",IFERROR(K149+MATCH("Takip",INDEX('Veri Merkezi'!$S$2:$S$1001,K149+1):'Veri Merkezi'!$S$1001,0),""))</f>
        <v/>
      </c>
    </row>
    <row r="151" spans="1:11">
      <c r="A151" t="str">
        <f>IF($K151="","",IFERROR(INDEX('Veri Merkezi'!$A$2:$A$1001,$K151),""))</f>
        <v/>
      </c>
      <c r="B151" t="str">
        <f>IF($K151="","",IFERROR(INDEX('Veri Merkezi'!$E$2:$E$1001,$K151),""))</f>
        <v/>
      </c>
      <c r="C151" t="str">
        <f>IF($K151="","",IFERROR(INDEX('Veri Merkezi'!$D$2:$D$1001,$K151),""))</f>
        <v/>
      </c>
      <c r="D151" t="str">
        <f>IF($K151="","",IFERROR(INDEX('Veri Merkezi'!$F$2:$F$1001,$K151),""))</f>
        <v/>
      </c>
      <c r="E151" s="2" t="str">
        <f>IF($K151="","",IFERROR(INDEX('Veri Merkezi'!$G$2:$G$1001,$K151),""))</f>
        <v/>
      </c>
      <c r="F151" t="str">
        <f>IF($K151="","",IFERROR(INDEX('Veri Merkezi'!$H$2:$H$1001,$K151),""))</f>
        <v/>
      </c>
      <c r="G151" t="str">
        <f>IF($K151="","",IFERROR(INDEX('Veri Merkezi'!$R$2:$R$1001,$K151),""))</f>
        <v/>
      </c>
      <c r="H151" t="str">
        <f>IF($K151="","",IFERROR(INDEX('Veri Merkezi'!$S$2:$S$1001,$K151),""))</f>
        <v/>
      </c>
      <c r="I151" s="2" t="str">
        <f>IF($K151="","",IFERROR(INDEX('Veri Merkezi'!$T$2:$T$1001,$K151),""))</f>
        <v/>
      </c>
      <c r="J151" t="str">
        <f>IF($K151="","",IFERROR(INDEX('Veri Merkezi'!$U$2:$U$1001,$K151),""))</f>
        <v/>
      </c>
      <c r="K151" t="str">
        <f>IF(K150="","",IFERROR(K150+MATCH("Takip",INDEX('Veri Merkezi'!$S$2:$S$1001,K150+1):'Veri Merkezi'!$S$1001,0),""))</f>
        <v/>
      </c>
    </row>
    <row r="152" spans="1:11">
      <c r="A152" t="str">
        <f>IF($K152="","",IFERROR(INDEX('Veri Merkezi'!$A$2:$A$1001,$K152),""))</f>
        <v/>
      </c>
      <c r="B152" t="str">
        <f>IF($K152="","",IFERROR(INDEX('Veri Merkezi'!$E$2:$E$1001,$K152),""))</f>
        <v/>
      </c>
      <c r="C152" t="str">
        <f>IF($K152="","",IFERROR(INDEX('Veri Merkezi'!$D$2:$D$1001,$K152),""))</f>
        <v/>
      </c>
      <c r="D152" t="str">
        <f>IF($K152="","",IFERROR(INDEX('Veri Merkezi'!$F$2:$F$1001,$K152),""))</f>
        <v/>
      </c>
      <c r="E152" s="2" t="str">
        <f>IF($K152="","",IFERROR(INDEX('Veri Merkezi'!$G$2:$G$1001,$K152),""))</f>
        <v/>
      </c>
      <c r="F152" t="str">
        <f>IF($K152="","",IFERROR(INDEX('Veri Merkezi'!$H$2:$H$1001,$K152),""))</f>
        <v/>
      </c>
      <c r="G152" t="str">
        <f>IF($K152="","",IFERROR(INDEX('Veri Merkezi'!$R$2:$R$1001,$K152),""))</f>
        <v/>
      </c>
      <c r="H152" t="str">
        <f>IF($K152="","",IFERROR(INDEX('Veri Merkezi'!$S$2:$S$1001,$K152),""))</f>
        <v/>
      </c>
      <c r="I152" s="2" t="str">
        <f>IF($K152="","",IFERROR(INDEX('Veri Merkezi'!$T$2:$T$1001,$K152),""))</f>
        <v/>
      </c>
      <c r="J152" t="str">
        <f>IF($K152="","",IFERROR(INDEX('Veri Merkezi'!$U$2:$U$1001,$K152),""))</f>
        <v/>
      </c>
      <c r="K152" t="str">
        <f>IF(K151="","",IFERROR(K151+MATCH("Takip",INDEX('Veri Merkezi'!$S$2:$S$1001,K151+1):'Veri Merkezi'!$S$1001,0),""))</f>
        <v/>
      </c>
    </row>
    <row r="153" spans="1:11">
      <c r="A153" t="str">
        <f>IF($K153="","",IFERROR(INDEX('Veri Merkezi'!$A$2:$A$1001,$K153),""))</f>
        <v/>
      </c>
      <c r="B153" t="str">
        <f>IF($K153="","",IFERROR(INDEX('Veri Merkezi'!$E$2:$E$1001,$K153),""))</f>
        <v/>
      </c>
      <c r="C153" t="str">
        <f>IF($K153="","",IFERROR(INDEX('Veri Merkezi'!$D$2:$D$1001,$K153),""))</f>
        <v/>
      </c>
      <c r="D153" t="str">
        <f>IF($K153="","",IFERROR(INDEX('Veri Merkezi'!$F$2:$F$1001,$K153),""))</f>
        <v/>
      </c>
      <c r="E153" s="2" t="str">
        <f>IF($K153="","",IFERROR(INDEX('Veri Merkezi'!$G$2:$G$1001,$K153),""))</f>
        <v/>
      </c>
      <c r="F153" t="str">
        <f>IF($K153="","",IFERROR(INDEX('Veri Merkezi'!$H$2:$H$1001,$K153),""))</f>
        <v/>
      </c>
      <c r="G153" t="str">
        <f>IF($K153="","",IFERROR(INDEX('Veri Merkezi'!$R$2:$R$1001,$K153),""))</f>
        <v/>
      </c>
      <c r="H153" t="str">
        <f>IF($K153="","",IFERROR(INDEX('Veri Merkezi'!$S$2:$S$1001,$K153),""))</f>
        <v/>
      </c>
      <c r="I153" s="2" t="str">
        <f>IF($K153="","",IFERROR(INDEX('Veri Merkezi'!$T$2:$T$1001,$K153),""))</f>
        <v/>
      </c>
      <c r="J153" t="str">
        <f>IF($K153="","",IFERROR(INDEX('Veri Merkezi'!$U$2:$U$1001,$K153),""))</f>
        <v/>
      </c>
      <c r="K153" t="str">
        <f>IF(K152="","",IFERROR(K152+MATCH("Takip",INDEX('Veri Merkezi'!$S$2:$S$1001,K152+1):'Veri Merkezi'!$S$1001,0),""))</f>
        <v/>
      </c>
    </row>
    <row r="154" spans="1:11">
      <c r="A154" t="str">
        <f>IF($K154="","",IFERROR(INDEX('Veri Merkezi'!$A$2:$A$1001,$K154),""))</f>
        <v/>
      </c>
      <c r="B154" t="str">
        <f>IF($K154="","",IFERROR(INDEX('Veri Merkezi'!$E$2:$E$1001,$K154),""))</f>
        <v/>
      </c>
      <c r="C154" t="str">
        <f>IF($K154="","",IFERROR(INDEX('Veri Merkezi'!$D$2:$D$1001,$K154),""))</f>
        <v/>
      </c>
      <c r="D154" t="str">
        <f>IF($K154="","",IFERROR(INDEX('Veri Merkezi'!$F$2:$F$1001,$K154),""))</f>
        <v/>
      </c>
      <c r="E154" s="2" t="str">
        <f>IF($K154="","",IFERROR(INDEX('Veri Merkezi'!$G$2:$G$1001,$K154),""))</f>
        <v/>
      </c>
      <c r="F154" t="str">
        <f>IF($K154="","",IFERROR(INDEX('Veri Merkezi'!$H$2:$H$1001,$K154),""))</f>
        <v/>
      </c>
      <c r="G154" t="str">
        <f>IF($K154="","",IFERROR(INDEX('Veri Merkezi'!$R$2:$R$1001,$K154),""))</f>
        <v/>
      </c>
      <c r="H154" t="str">
        <f>IF($K154="","",IFERROR(INDEX('Veri Merkezi'!$S$2:$S$1001,$K154),""))</f>
        <v/>
      </c>
      <c r="I154" s="2" t="str">
        <f>IF($K154="","",IFERROR(INDEX('Veri Merkezi'!$T$2:$T$1001,$K154),""))</f>
        <v/>
      </c>
      <c r="J154" t="str">
        <f>IF($K154="","",IFERROR(INDEX('Veri Merkezi'!$U$2:$U$1001,$K154),""))</f>
        <v/>
      </c>
      <c r="K154" t="str">
        <f>IF(K153="","",IFERROR(K153+MATCH("Takip",INDEX('Veri Merkezi'!$S$2:$S$1001,K153+1):'Veri Merkezi'!$S$1001,0),""))</f>
        <v/>
      </c>
    </row>
    <row r="155" spans="1:11">
      <c r="A155" t="str">
        <f>IF($K155="","",IFERROR(INDEX('Veri Merkezi'!$A$2:$A$1001,$K155),""))</f>
        <v/>
      </c>
      <c r="B155" t="str">
        <f>IF($K155="","",IFERROR(INDEX('Veri Merkezi'!$E$2:$E$1001,$K155),""))</f>
        <v/>
      </c>
      <c r="C155" t="str">
        <f>IF($K155="","",IFERROR(INDEX('Veri Merkezi'!$D$2:$D$1001,$K155),""))</f>
        <v/>
      </c>
      <c r="D155" t="str">
        <f>IF($K155="","",IFERROR(INDEX('Veri Merkezi'!$F$2:$F$1001,$K155),""))</f>
        <v/>
      </c>
      <c r="E155" s="2" t="str">
        <f>IF($K155="","",IFERROR(INDEX('Veri Merkezi'!$G$2:$G$1001,$K155),""))</f>
        <v/>
      </c>
      <c r="F155" t="str">
        <f>IF($K155="","",IFERROR(INDEX('Veri Merkezi'!$H$2:$H$1001,$K155),""))</f>
        <v/>
      </c>
      <c r="G155" t="str">
        <f>IF($K155="","",IFERROR(INDEX('Veri Merkezi'!$R$2:$R$1001,$K155),""))</f>
        <v/>
      </c>
      <c r="H155" t="str">
        <f>IF($K155="","",IFERROR(INDEX('Veri Merkezi'!$S$2:$S$1001,$K155),""))</f>
        <v/>
      </c>
      <c r="I155" s="2" t="str">
        <f>IF($K155="","",IFERROR(INDEX('Veri Merkezi'!$T$2:$T$1001,$K155),""))</f>
        <v/>
      </c>
      <c r="J155" t="str">
        <f>IF($K155="","",IFERROR(INDEX('Veri Merkezi'!$U$2:$U$1001,$K155),""))</f>
        <v/>
      </c>
      <c r="K155" t="str">
        <f>IF(K154="","",IFERROR(K154+MATCH("Takip",INDEX('Veri Merkezi'!$S$2:$S$1001,K154+1):'Veri Merkezi'!$S$1001,0),""))</f>
        <v/>
      </c>
    </row>
    <row r="156" spans="1:11">
      <c r="A156" t="str">
        <f>IF($K156="","",IFERROR(INDEX('Veri Merkezi'!$A$2:$A$1001,$K156),""))</f>
        <v/>
      </c>
      <c r="B156" t="str">
        <f>IF($K156="","",IFERROR(INDEX('Veri Merkezi'!$E$2:$E$1001,$K156),""))</f>
        <v/>
      </c>
      <c r="C156" t="str">
        <f>IF($K156="","",IFERROR(INDEX('Veri Merkezi'!$D$2:$D$1001,$K156),""))</f>
        <v/>
      </c>
      <c r="D156" t="str">
        <f>IF($K156="","",IFERROR(INDEX('Veri Merkezi'!$F$2:$F$1001,$K156),""))</f>
        <v/>
      </c>
      <c r="E156" s="2" t="str">
        <f>IF($K156="","",IFERROR(INDEX('Veri Merkezi'!$G$2:$G$1001,$K156),""))</f>
        <v/>
      </c>
      <c r="F156" t="str">
        <f>IF($K156="","",IFERROR(INDEX('Veri Merkezi'!$H$2:$H$1001,$K156),""))</f>
        <v/>
      </c>
      <c r="G156" t="str">
        <f>IF($K156="","",IFERROR(INDEX('Veri Merkezi'!$R$2:$R$1001,$K156),""))</f>
        <v/>
      </c>
      <c r="H156" t="str">
        <f>IF($K156="","",IFERROR(INDEX('Veri Merkezi'!$S$2:$S$1001,$K156),""))</f>
        <v/>
      </c>
      <c r="I156" s="2" t="str">
        <f>IF($K156="","",IFERROR(INDEX('Veri Merkezi'!$T$2:$T$1001,$K156),""))</f>
        <v/>
      </c>
      <c r="J156" t="str">
        <f>IF($K156="","",IFERROR(INDEX('Veri Merkezi'!$U$2:$U$1001,$K156),""))</f>
        <v/>
      </c>
      <c r="K156" t="str">
        <f>IF(K155="","",IFERROR(K155+MATCH("Takip",INDEX('Veri Merkezi'!$S$2:$S$1001,K155+1):'Veri Merkezi'!$S$1001,0),""))</f>
        <v/>
      </c>
    </row>
    <row r="157" spans="1:11">
      <c r="A157" t="str">
        <f>IF($K157="","",IFERROR(INDEX('Veri Merkezi'!$A$2:$A$1001,$K157),""))</f>
        <v/>
      </c>
      <c r="B157" t="str">
        <f>IF($K157="","",IFERROR(INDEX('Veri Merkezi'!$E$2:$E$1001,$K157),""))</f>
        <v/>
      </c>
      <c r="C157" t="str">
        <f>IF($K157="","",IFERROR(INDEX('Veri Merkezi'!$D$2:$D$1001,$K157),""))</f>
        <v/>
      </c>
      <c r="D157" t="str">
        <f>IF($K157="","",IFERROR(INDEX('Veri Merkezi'!$F$2:$F$1001,$K157),""))</f>
        <v/>
      </c>
      <c r="E157" s="2" t="str">
        <f>IF($K157="","",IFERROR(INDEX('Veri Merkezi'!$G$2:$G$1001,$K157),""))</f>
        <v/>
      </c>
      <c r="F157" t="str">
        <f>IF($K157="","",IFERROR(INDEX('Veri Merkezi'!$H$2:$H$1001,$K157),""))</f>
        <v/>
      </c>
      <c r="G157" t="str">
        <f>IF($K157="","",IFERROR(INDEX('Veri Merkezi'!$R$2:$R$1001,$K157),""))</f>
        <v/>
      </c>
      <c r="H157" t="str">
        <f>IF($K157="","",IFERROR(INDEX('Veri Merkezi'!$S$2:$S$1001,$K157),""))</f>
        <v/>
      </c>
      <c r="I157" s="2" t="str">
        <f>IF($K157="","",IFERROR(INDEX('Veri Merkezi'!$T$2:$T$1001,$K157),""))</f>
        <v/>
      </c>
      <c r="J157" t="str">
        <f>IF($K157="","",IFERROR(INDEX('Veri Merkezi'!$U$2:$U$1001,$K157),""))</f>
        <v/>
      </c>
      <c r="K157" t="str">
        <f>IF(K156="","",IFERROR(K156+MATCH("Takip",INDEX('Veri Merkezi'!$S$2:$S$1001,K156+1):'Veri Merkezi'!$S$1001,0),""))</f>
        <v/>
      </c>
    </row>
    <row r="158" spans="1:11">
      <c r="A158" t="str">
        <f>IF($K158="","",IFERROR(INDEX('Veri Merkezi'!$A$2:$A$1001,$K158),""))</f>
        <v/>
      </c>
      <c r="B158" t="str">
        <f>IF($K158="","",IFERROR(INDEX('Veri Merkezi'!$E$2:$E$1001,$K158),""))</f>
        <v/>
      </c>
      <c r="C158" t="str">
        <f>IF($K158="","",IFERROR(INDEX('Veri Merkezi'!$D$2:$D$1001,$K158),""))</f>
        <v/>
      </c>
      <c r="D158" t="str">
        <f>IF($K158="","",IFERROR(INDEX('Veri Merkezi'!$F$2:$F$1001,$K158),""))</f>
        <v/>
      </c>
      <c r="E158" s="2" t="str">
        <f>IF($K158="","",IFERROR(INDEX('Veri Merkezi'!$G$2:$G$1001,$K158),""))</f>
        <v/>
      </c>
      <c r="F158" t="str">
        <f>IF($K158="","",IFERROR(INDEX('Veri Merkezi'!$H$2:$H$1001,$K158),""))</f>
        <v/>
      </c>
      <c r="G158" t="str">
        <f>IF($K158="","",IFERROR(INDEX('Veri Merkezi'!$R$2:$R$1001,$K158),""))</f>
        <v/>
      </c>
      <c r="H158" t="str">
        <f>IF($K158="","",IFERROR(INDEX('Veri Merkezi'!$S$2:$S$1001,$K158),""))</f>
        <v/>
      </c>
      <c r="I158" s="2" t="str">
        <f>IF($K158="","",IFERROR(INDEX('Veri Merkezi'!$T$2:$T$1001,$K158),""))</f>
        <v/>
      </c>
      <c r="J158" t="str">
        <f>IF($K158="","",IFERROR(INDEX('Veri Merkezi'!$U$2:$U$1001,$K158),""))</f>
        <v/>
      </c>
      <c r="K158" t="str">
        <f>IF(K157="","",IFERROR(K157+MATCH("Takip",INDEX('Veri Merkezi'!$S$2:$S$1001,K157+1):'Veri Merkezi'!$S$1001,0),""))</f>
        <v/>
      </c>
    </row>
    <row r="159" spans="1:11">
      <c r="A159" t="str">
        <f>IF($K159="","",IFERROR(INDEX('Veri Merkezi'!$A$2:$A$1001,$K159),""))</f>
        <v/>
      </c>
      <c r="B159" t="str">
        <f>IF($K159="","",IFERROR(INDEX('Veri Merkezi'!$E$2:$E$1001,$K159),""))</f>
        <v/>
      </c>
      <c r="C159" t="str">
        <f>IF($K159="","",IFERROR(INDEX('Veri Merkezi'!$D$2:$D$1001,$K159),""))</f>
        <v/>
      </c>
      <c r="D159" t="str">
        <f>IF($K159="","",IFERROR(INDEX('Veri Merkezi'!$F$2:$F$1001,$K159),""))</f>
        <v/>
      </c>
      <c r="E159" s="2" t="str">
        <f>IF($K159="","",IFERROR(INDEX('Veri Merkezi'!$G$2:$G$1001,$K159),""))</f>
        <v/>
      </c>
      <c r="F159" t="str">
        <f>IF($K159="","",IFERROR(INDEX('Veri Merkezi'!$H$2:$H$1001,$K159),""))</f>
        <v/>
      </c>
      <c r="G159" t="str">
        <f>IF($K159="","",IFERROR(INDEX('Veri Merkezi'!$R$2:$R$1001,$K159),""))</f>
        <v/>
      </c>
      <c r="H159" t="str">
        <f>IF($K159="","",IFERROR(INDEX('Veri Merkezi'!$S$2:$S$1001,$K159),""))</f>
        <v/>
      </c>
      <c r="I159" s="2" t="str">
        <f>IF($K159="","",IFERROR(INDEX('Veri Merkezi'!$T$2:$T$1001,$K159),""))</f>
        <v/>
      </c>
      <c r="J159" t="str">
        <f>IF($K159="","",IFERROR(INDEX('Veri Merkezi'!$U$2:$U$1001,$K159),""))</f>
        <v/>
      </c>
      <c r="K159" t="str">
        <f>IF(K158="","",IFERROR(K158+MATCH("Takip",INDEX('Veri Merkezi'!$S$2:$S$1001,K158+1):'Veri Merkezi'!$S$1001,0),""))</f>
        <v/>
      </c>
    </row>
    <row r="160" spans="1:11">
      <c r="A160" t="str">
        <f>IF($K160="","",IFERROR(INDEX('Veri Merkezi'!$A$2:$A$1001,$K160),""))</f>
        <v/>
      </c>
      <c r="B160" t="str">
        <f>IF($K160="","",IFERROR(INDEX('Veri Merkezi'!$E$2:$E$1001,$K160),""))</f>
        <v/>
      </c>
      <c r="C160" t="str">
        <f>IF($K160="","",IFERROR(INDEX('Veri Merkezi'!$D$2:$D$1001,$K160),""))</f>
        <v/>
      </c>
      <c r="D160" t="str">
        <f>IF($K160="","",IFERROR(INDEX('Veri Merkezi'!$F$2:$F$1001,$K160),""))</f>
        <v/>
      </c>
      <c r="E160" s="2" t="str">
        <f>IF($K160="","",IFERROR(INDEX('Veri Merkezi'!$G$2:$G$1001,$K160),""))</f>
        <v/>
      </c>
      <c r="F160" t="str">
        <f>IF($K160="","",IFERROR(INDEX('Veri Merkezi'!$H$2:$H$1001,$K160),""))</f>
        <v/>
      </c>
      <c r="G160" t="str">
        <f>IF($K160="","",IFERROR(INDEX('Veri Merkezi'!$R$2:$R$1001,$K160),""))</f>
        <v/>
      </c>
      <c r="H160" t="str">
        <f>IF($K160="","",IFERROR(INDEX('Veri Merkezi'!$S$2:$S$1001,$K160),""))</f>
        <v/>
      </c>
      <c r="I160" s="2" t="str">
        <f>IF($K160="","",IFERROR(INDEX('Veri Merkezi'!$T$2:$T$1001,$K160),""))</f>
        <v/>
      </c>
      <c r="J160" t="str">
        <f>IF($K160="","",IFERROR(INDEX('Veri Merkezi'!$U$2:$U$1001,$K160),""))</f>
        <v/>
      </c>
      <c r="K160" t="str">
        <f>IF(K159="","",IFERROR(K159+MATCH("Takip",INDEX('Veri Merkezi'!$S$2:$S$1001,K159+1):'Veri Merkezi'!$S$1001,0),""))</f>
        <v/>
      </c>
    </row>
    <row r="161" spans="1:11">
      <c r="A161" t="str">
        <f>IF($K161="","",IFERROR(INDEX('Veri Merkezi'!$A$2:$A$1001,$K161),""))</f>
        <v/>
      </c>
      <c r="B161" t="str">
        <f>IF($K161="","",IFERROR(INDEX('Veri Merkezi'!$E$2:$E$1001,$K161),""))</f>
        <v/>
      </c>
      <c r="C161" t="str">
        <f>IF($K161="","",IFERROR(INDEX('Veri Merkezi'!$D$2:$D$1001,$K161),""))</f>
        <v/>
      </c>
      <c r="D161" t="str">
        <f>IF($K161="","",IFERROR(INDEX('Veri Merkezi'!$F$2:$F$1001,$K161),""))</f>
        <v/>
      </c>
      <c r="E161" s="2" t="str">
        <f>IF($K161="","",IFERROR(INDEX('Veri Merkezi'!$G$2:$G$1001,$K161),""))</f>
        <v/>
      </c>
      <c r="F161" t="str">
        <f>IF($K161="","",IFERROR(INDEX('Veri Merkezi'!$H$2:$H$1001,$K161),""))</f>
        <v/>
      </c>
      <c r="G161" t="str">
        <f>IF($K161="","",IFERROR(INDEX('Veri Merkezi'!$R$2:$R$1001,$K161),""))</f>
        <v/>
      </c>
      <c r="H161" t="str">
        <f>IF($K161="","",IFERROR(INDEX('Veri Merkezi'!$S$2:$S$1001,$K161),""))</f>
        <v/>
      </c>
      <c r="I161" s="2" t="str">
        <f>IF($K161="","",IFERROR(INDEX('Veri Merkezi'!$T$2:$T$1001,$K161),""))</f>
        <v/>
      </c>
      <c r="J161" t="str">
        <f>IF($K161="","",IFERROR(INDEX('Veri Merkezi'!$U$2:$U$1001,$K161),""))</f>
        <v/>
      </c>
      <c r="K161" t="str">
        <f>IF(K160="","",IFERROR(K160+MATCH("Takip",INDEX('Veri Merkezi'!$S$2:$S$1001,K160+1):'Veri Merkezi'!$S$1001,0),""))</f>
        <v/>
      </c>
    </row>
    <row r="162" spans="1:11">
      <c r="A162" t="str">
        <f>IF($K162="","",IFERROR(INDEX('Veri Merkezi'!$A$2:$A$1001,$K162),""))</f>
        <v/>
      </c>
      <c r="B162" t="str">
        <f>IF($K162="","",IFERROR(INDEX('Veri Merkezi'!$E$2:$E$1001,$K162),""))</f>
        <v/>
      </c>
      <c r="C162" t="str">
        <f>IF($K162="","",IFERROR(INDEX('Veri Merkezi'!$D$2:$D$1001,$K162),""))</f>
        <v/>
      </c>
      <c r="D162" t="str">
        <f>IF($K162="","",IFERROR(INDEX('Veri Merkezi'!$F$2:$F$1001,$K162),""))</f>
        <v/>
      </c>
      <c r="E162" s="2" t="str">
        <f>IF($K162="","",IFERROR(INDEX('Veri Merkezi'!$G$2:$G$1001,$K162),""))</f>
        <v/>
      </c>
      <c r="F162" t="str">
        <f>IF($K162="","",IFERROR(INDEX('Veri Merkezi'!$H$2:$H$1001,$K162),""))</f>
        <v/>
      </c>
      <c r="G162" t="str">
        <f>IF($K162="","",IFERROR(INDEX('Veri Merkezi'!$R$2:$R$1001,$K162),""))</f>
        <v/>
      </c>
      <c r="H162" t="str">
        <f>IF($K162="","",IFERROR(INDEX('Veri Merkezi'!$S$2:$S$1001,$K162),""))</f>
        <v/>
      </c>
      <c r="I162" s="2" t="str">
        <f>IF($K162="","",IFERROR(INDEX('Veri Merkezi'!$T$2:$T$1001,$K162),""))</f>
        <v/>
      </c>
      <c r="J162" t="str">
        <f>IF($K162="","",IFERROR(INDEX('Veri Merkezi'!$U$2:$U$1001,$K162),""))</f>
        <v/>
      </c>
      <c r="K162" t="str">
        <f>IF(K161="","",IFERROR(K161+MATCH("Takip",INDEX('Veri Merkezi'!$S$2:$S$1001,K161+1):'Veri Merkezi'!$S$1001,0),""))</f>
        <v/>
      </c>
    </row>
    <row r="163" spans="1:11">
      <c r="A163" t="str">
        <f>IF($K163="","",IFERROR(INDEX('Veri Merkezi'!$A$2:$A$1001,$K163),""))</f>
        <v/>
      </c>
      <c r="B163" t="str">
        <f>IF($K163="","",IFERROR(INDEX('Veri Merkezi'!$E$2:$E$1001,$K163),""))</f>
        <v/>
      </c>
      <c r="C163" t="str">
        <f>IF($K163="","",IFERROR(INDEX('Veri Merkezi'!$D$2:$D$1001,$K163),""))</f>
        <v/>
      </c>
      <c r="D163" t="str">
        <f>IF($K163="","",IFERROR(INDEX('Veri Merkezi'!$F$2:$F$1001,$K163),""))</f>
        <v/>
      </c>
      <c r="E163" s="2" t="str">
        <f>IF($K163="","",IFERROR(INDEX('Veri Merkezi'!$G$2:$G$1001,$K163),""))</f>
        <v/>
      </c>
      <c r="F163" t="str">
        <f>IF($K163="","",IFERROR(INDEX('Veri Merkezi'!$H$2:$H$1001,$K163),""))</f>
        <v/>
      </c>
      <c r="G163" t="str">
        <f>IF($K163="","",IFERROR(INDEX('Veri Merkezi'!$R$2:$R$1001,$K163),""))</f>
        <v/>
      </c>
      <c r="H163" t="str">
        <f>IF($K163="","",IFERROR(INDEX('Veri Merkezi'!$S$2:$S$1001,$K163),""))</f>
        <v/>
      </c>
      <c r="I163" s="2" t="str">
        <f>IF($K163="","",IFERROR(INDEX('Veri Merkezi'!$T$2:$T$1001,$K163),""))</f>
        <v/>
      </c>
      <c r="J163" t="str">
        <f>IF($K163="","",IFERROR(INDEX('Veri Merkezi'!$U$2:$U$1001,$K163),""))</f>
        <v/>
      </c>
      <c r="K163" t="str">
        <f>IF(K162="","",IFERROR(K162+MATCH("Takip",INDEX('Veri Merkezi'!$S$2:$S$1001,K162+1):'Veri Merkezi'!$S$1001,0),""))</f>
        <v/>
      </c>
    </row>
    <row r="164" spans="1:11">
      <c r="A164" t="str">
        <f>IF($K164="","",IFERROR(INDEX('Veri Merkezi'!$A$2:$A$1001,$K164),""))</f>
        <v/>
      </c>
      <c r="B164" t="str">
        <f>IF($K164="","",IFERROR(INDEX('Veri Merkezi'!$E$2:$E$1001,$K164),""))</f>
        <v/>
      </c>
      <c r="C164" t="str">
        <f>IF($K164="","",IFERROR(INDEX('Veri Merkezi'!$D$2:$D$1001,$K164),""))</f>
        <v/>
      </c>
      <c r="D164" t="str">
        <f>IF($K164="","",IFERROR(INDEX('Veri Merkezi'!$F$2:$F$1001,$K164),""))</f>
        <v/>
      </c>
      <c r="E164" s="2" t="str">
        <f>IF($K164="","",IFERROR(INDEX('Veri Merkezi'!$G$2:$G$1001,$K164),""))</f>
        <v/>
      </c>
      <c r="F164" t="str">
        <f>IF($K164="","",IFERROR(INDEX('Veri Merkezi'!$H$2:$H$1001,$K164),""))</f>
        <v/>
      </c>
      <c r="G164" t="str">
        <f>IF($K164="","",IFERROR(INDEX('Veri Merkezi'!$R$2:$R$1001,$K164),""))</f>
        <v/>
      </c>
      <c r="H164" t="str">
        <f>IF($K164="","",IFERROR(INDEX('Veri Merkezi'!$S$2:$S$1001,$K164),""))</f>
        <v/>
      </c>
      <c r="I164" s="2" t="str">
        <f>IF($K164="","",IFERROR(INDEX('Veri Merkezi'!$T$2:$T$1001,$K164),""))</f>
        <v/>
      </c>
      <c r="J164" t="str">
        <f>IF($K164="","",IFERROR(INDEX('Veri Merkezi'!$U$2:$U$1001,$K164),""))</f>
        <v/>
      </c>
      <c r="K164" t="str">
        <f>IF(K163="","",IFERROR(K163+MATCH("Takip",INDEX('Veri Merkezi'!$S$2:$S$1001,K163+1):'Veri Merkezi'!$S$1001,0),""))</f>
        <v/>
      </c>
    </row>
    <row r="165" spans="1:11">
      <c r="A165" t="str">
        <f>IF($K165="","",IFERROR(INDEX('Veri Merkezi'!$A$2:$A$1001,$K165),""))</f>
        <v/>
      </c>
      <c r="B165" t="str">
        <f>IF($K165="","",IFERROR(INDEX('Veri Merkezi'!$E$2:$E$1001,$K165),""))</f>
        <v/>
      </c>
      <c r="C165" t="str">
        <f>IF($K165="","",IFERROR(INDEX('Veri Merkezi'!$D$2:$D$1001,$K165),""))</f>
        <v/>
      </c>
      <c r="D165" t="str">
        <f>IF($K165="","",IFERROR(INDEX('Veri Merkezi'!$F$2:$F$1001,$K165),""))</f>
        <v/>
      </c>
      <c r="E165" s="2" t="str">
        <f>IF($K165="","",IFERROR(INDEX('Veri Merkezi'!$G$2:$G$1001,$K165),""))</f>
        <v/>
      </c>
      <c r="F165" t="str">
        <f>IF($K165="","",IFERROR(INDEX('Veri Merkezi'!$H$2:$H$1001,$K165),""))</f>
        <v/>
      </c>
      <c r="G165" t="str">
        <f>IF($K165="","",IFERROR(INDEX('Veri Merkezi'!$R$2:$R$1001,$K165),""))</f>
        <v/>
      </c>
      <c r="H165" t="str">
        <f>IF($K165="","",IFERROR(INDEX('Veri Merkezi'!$S$2:$S$1001,$K165),""))</f>
        <v/>
      </c>
      <c r="I165" s="2" t="str">
        <f>IF($K165="","",IFERROR(INDEX('Veri Merkezi'!$T$2:$T$1001,$K165),""))</f>
        <v/>
      </c>
      <c r="J165" t="str">
        <f>IF($K165="","",IFERROR(INDEX('Veri Merkezi'!$U$2:$U$1001,$K165),""))</f>
        <v/>
      </c>
      <c r="K165" t="str">
        <f>IF(K164="","",IFERROR(K164+MATCH("Takip",INDEX('Veri Merkezi'!$S$2:$S$1001,K164+1):'Veri Merkezi'!$S$1001,0),""))</f>
        <v/>
      </c>
    </row>
    <row r="166" spans="1:11">
      <c r="A166" t="str">
        <f>IF($K166="","",IFERROR(INDEX('Veri Merkezi'!$A$2:$A$1001,$K166),""))</f>
        <v/>
      </c>
      <c r="B166" t="str">
        <f>IF($K166="","",IFERROR(INDEX('Veri Merkezi'!$E$2:$E$1001,$K166),""))</f>
        <v/>
      </c>
      <c r="C166" t="str">
        <f>IF($K166="","",IFERROR(INDEX('Veri Merkezi'!$D$2:$D$1001,$K166),""))</f>
        <v/>
      </c>
      <c r="D166" t="str">
        <f>IF($K166="","",IFERROR(INDEX('Veri Merkezi'!$F$2:$F$1001,$K166),""))</f>
        <v/>
      </c>
      <c r="E166" s="2" t="str">
        <f>IF($K166="","",IFERROR(INDEX('Veri Merkezi'!$G$2:$G$1001,$K166),""))</f>
        <v/>
      </c>
      <c r="F166" t="str">
        <f>IF($K166="","",IFERROR(INDEX('Veri Merkezi'!$H$2:$H$1001,$K166),""))</f>
        <v/>
      </c>
      <c r="G166" t="str">
        <f>IF($K166="","",IFERROR(INDEX('Veri Merkezi'!$R$2:$R$1001,$K166),""))</f>
        <v/>
      </c>
      <c r="H166" t="str">
        <f>IF($K166="","",IFERROR(INDEX('Veri Merkezi'!$S$2:$S$1001,$K166),""))</f>
        <v/>
      </c>
      <c r="I166" s="2" t="str">
        <f>IF($K166="","",IFERROR(INDEX('Veri Merkezi'!$T$2:$T$1001,$K166),""))</f>
        <v/>
      </c>
      <c r="J166" t="str">
        <f>IF($K166="","",IFERROR(INDEX('Veri Merkezi'!$U$2:$U$1001,$K166),""))</f>
        <v/>
      </c>
      <c r="K166" t="str">
        <f>IF(K165="","",IFERROR(K165+MATCH("Takip",INDEX('Veri Merkezi'!$S$2:$S$1001,K165+1):'Veri Merkezi'!$S$1001,0),""))</f>
        <v/>
      </c>
    </row>
    <row r="167" spans="1:11">
      <c r="A167" t="str">
        <f>IF($K167="","",IFERROR(INDEX('Veri Merkezi'!$A$2:$A$1001,$K167),""))</f>
        <v/>
      </c>
      <c r="B167" t="str">
        <f>IF($K167="","",IFERROR(INDEX('Veri Merkezi'!$E$2:$E$1001,$K167),""))</f>
        <v/>
      </c>
      <c r="C167" t="str">
        <f>IF($K167="","",IFERROR(INDEX('Veri Merkezi'!$D$2:$D$1001,$K167),""))</f>
        <v/>
      </c>
      <c r="D167" t="str">
        <f>IF($K167="","",IFERROR(INDEX('Veri Merkezi'!$F$2:$F$1001,$K167),""))</f>
        <v/>
      </c>
      <c r="E167" s="2" t="str">
        <f>IF($K167="","",IFERROR(INDEX('Veri Merkezi'!$G$2:$G$1001,$K167),""))</f>
        <v/>
      </c>
      <c r="F167" t="str">
        <f>IF($K167="","",IFERROR(INDEX('Veri Merkezi'!$H$2:$H$1001,$K167),""))</f>
        <v/>
      </c>
      <c r="G167" t="str">
        <f>IF($K167="","",IFERROR(INDEX('Veri Merkezi'!$R$2:$R$1001,$K167),""))</f>
        <v/>
      </c>
      <c r="H167" t="str">
        <f>IF($K167="","",IFERROR(INDEX('Veri Merkezi'!$S$2:$S$1001,$K167),""))</f>
        <v/>
      </c>
      <c r="I167" s="2" t="str">
        <f>IF($K167="","",IFERROR(INDEX('Veri Merkezi'!$T$2:$T$1001,$K167),""))</f>
        <v/>
      </c>
      <c r="J167" t="str">
        <f>IF($K167="","",IFERROR(INDEX('Veri Merkezi'!$U$2:$U$1001,$K167),""))</f>
        <v/>
      </c>
      <c r="K167" t="str">
        <f>IF(K166="","",IFERROR(K166+MATCH("Takip",INDEX('Veri Merkezi'!$S$2:$S$1001,K166+1):'Veri Merkezi'!$S$1001,0),""))</f>
        <v/>
      </c>
    </row>
    <row r="168" spans="1:11">
      <c r="A168" t="str">
        <f>IF($K168="","",IFERROR(INDEX('Veri Merkezi'!$A$2:$A$1001,$K168),""))</f>
        <v/>
      </c>
      <c r="B168" t="str">
        <f>IF($K168="","",IFERROR(INDEX('Veri Merkezi'!$E$2:$E$1001,$K168),""))</f>
        <v/>
      </c>
      <c r="C168" t="str">
        <f>IF($K168="","",IFERROR(INDEX('Veri Merkezi'!$D$2:$D$1001,$K168),""))</f>
        <v/>
      </c>
      <c r="D168" t="str">
        <f>IF($K168="","",IFERROR(INDEX('Veri Merkezi'!$F$2:$F$1001,$K168),""))</f>
        <v/>
      </c>
      <c r="E168" s="2" t="str">
        <f>IF($K168="","",IFERROR(INDEX('Veri Merkezi'!$G$2:$G$1001,$K168),""))</f>
        <v/>
      </c>
      <c r="F168" t="str">
        <f>IF($K168="","",IFERROR(INDEX('Veri Merkezi'!$H$2:$H$1001,$K168),""))</f>
        <v/>
      </c>
      <c r="G168" t="str">
        <f>IF($K168="","",IFERROR(INDEX('Veri Merkezi'!$R$2:$R$1001,$K168),""))</f>
        <v/>
      </c>
      <c r="H168" t="str">
        <f>IF($K168="","",IFERROR(INDEX('Veri Merkezi'!$S$2:$S$1001,$K168),""))</f>
        <v/>
      </c>
      <c r="I168" s="2" t="str">
        <f>IF($K168="","",IFERROR(INDEX('Veri Merkezi'!$T$2:$T$1001,$K168),""))</f>
        <v/>
      </c>
      <c r="J168" t="str">
        <f>IF($K168="","",IFERROR(INDEX('Veri Merkezi'!$U$2:$U$1001,$K168),""))</f>
        <v/>
      </c>
      <c r="K168" t="str">
        <f>IF(K167="","",IFERROR(K167+MATCH("Takip",INDEX('Veri Merkezi'!$S$2:$S$1001,K167+1):'Veri Merkezi'!$S$1001,0),""))</f>
        <v/>
      </c>
    </row>
    <row r="169" spans="1:11">
      <c r="A169" t="str">
        <f>IF($K169="","",IFERROR(INDEX('Veri Merkezi'!$A$2:$A$1001,$K169),""))</f>
        <v/>
      </c>
      <c r="B169" t="str">
        <f>IF($K169="","",IFERROR(INDEX('Veri Merkezi'!$E$2:$E$1001,$K169),""))</f>
        <v/>
      </c>
      <c r="C169" t="str">
        <f>IF($K169="","",IFERROR(INDEX('Veri Merkezi'!$D$2:$D$1001,$K169),""))</f>
        <v/>
      </c>
      <c r="D169" t="str">
        <f>IF($K169="","",IFERROR(INDEX('Veri Merkezi'!$F$2:$F$1001,$K169),""))</f>
        <v/>
      </c>
      <c r="E169" s="2" t="str">
        <f>IF($K169="","",IFERROR(INDEX('Veri Merkezi'!$G$2:$G$1001,$K169),""))</f>
        <v/>
      </c>
      <c r="F169" t="str">
        <f>IF($K169="","",IFERROR(INDEX('Veri Merkezi'!$H$2:$H$1001,$K169),""))</f>
        <v/>
      </c>
      <c r="G169" t="str">
        <f>IF($K169="","",IFERROR(INDEX('Veri Merkezi'!$R$2:$R$1001,$K169),""))</f>
        <v/>
      </c>
      <c r="H169" t="str">
        <f>IF($K169="","",IFERROR(INDEX('Veri Merkezi'!$S$2:$S$1001,$K169),""))</f>
        <v/>
      </c>
      <c r="I169" s="2" t="str">
        <f>IF($K169="","",IFERROR(INDEX('Veri Merkezi'!$T$2:$T$1001,$K169),""))</f>
        <v/>
      </c>
      <c r="J169" t="str">
        <f>IF($K169="","",IFERROR(INDEX('Veri Merkezi'!$U$2:$U$1001,$K169),""))</f>
        <v/>
      </c>
      <c r="K169" t="str">
        <f>IF(K168="","",IFERROR(K168+MATCH("Takip",INDEX('Veri Merkezi'!$S$2:$S$1001,K168+1):'Veri Merkezi'!$S$1001,0),""))</f>
        <v/>
      </c>
    </row>
    <row r="170" spans="1:11">
      <c r="A170" t="str">
        <f>IF($K170="","",IFERROR(INDEX('Veri Merkezi'!$A$2:$A$1001,$K170),""))</f>
        <v/>
      </c>
      <c r="B170" t="str">
        <f>IF($K170="","",IFERROR(INDEX('Veri Merkezi'!$E$2:$E$1001,$K170),""))</f>
        <v/>
      </c>
      <c r="C170" t="str">
        <f>IF($K170="","",IFERROR(INDEX('Veri Merkezi'!$D$2:$D$1001,$K170),""))</f>
        <v/>
      </c>
      <c r="D170" t="str">
        <f>IF($K170="","",IFERROR(INDEX('Veri Merkezi'!$F$2:$F$1001,$K170),""))</f>
        <v/>
      </c>
      <c r="E170" s="2" t="str">
        <f>IF($K170="","",IFERROR(INDEX('Veri Merkezi'!$G$2:$G$1001,$K170),""))</f>
        <v/>
      </c>
      <c r="F170" t="str">
        <f>IF($K170="","",IFERROR(INDEX('Veri Merkezi'!$H$2:$H$1001,$K170),""))</f>
        <v/>
      </c>
      <c r="G170" t="str">
        <f>IF($K170="","",IFERROR(INDEX('Veri Merkezi'!$R$2:$R$1001,$K170),""))</f>
        <v/>
      </c>
      <c r="H170" t="str">
        <f>IF($K170="","",IFERROR(INDEX('Veri Merkezi'!$S$2:$S$1001,$K170),""))</f>
        <v/>
      </c>
      <c r="I170" s="2" t="str">
        <f>IF($K170="","",IFERROR(INDEX('Veri Merkezi'!$T$2:$T$1001,$K170),""))</f>
        <v/>
      </c>
      <c r="J170" t="str">
        <f>IF($K170="","",IFERROR(INDEX('Veri Merkezi'!$U$2:$U$1001,$K170),""))</f>
        <v/>
      </c>
      <c r="K170" t="str">
        <f>IF(K169="","",IFERROR(K169+MATCH("Takip",INDEX('Veri Merkezi'!$S$2:$S$1001,K169+1):'Veri Merkezi'!$S$1001,0),""))</f>
        <v/>
      </c>
    </row>
    <row r="171" spans="1:11">
      <c r="A171" t="str">
        <f>IF($K171="","",IFERROR(INDEX('Veri Merkezi'!$A$2:$A$1001,$K171),""))</f>
        <v/>
      </c>
      <c r="B171" t="str">
        <f>IF($K171="","",IFERROR(INDEX('Veri Merkezi'!$E$2:$E$1001,$K171),""))</f>
        <v/>
      </c>
      <c r="C171" t="str">
        <f>IF($K171="","",IFERROR(INDEX('Veri Merkezi'!$D$2:$D$1001,$K171),""))</f>
        <v/>
      </c>
      <c r="D171" t="str">
        <f>IF($K171="","",IFERROR(INDEX('Veri Merkezi'!$F$2:$F$1001,$K171),""))</f>
        <v/>
      </c>
      <c r="E171" s="2" t="str">
        <f>IF($K171="","",IFERROR(INDEX('Veri Merkezi'!$G$2:$G$1001,$K171),""))</f>
        <v/>
      </c>
      <c r="F171" t="str">
        <f>IF($K171="","",IFERROR(INDEX('Veri Merkezi'!$H$2:$H$1001,$K171),""))</f>
        <v/>
      </c>
      <c r="G171" t="str">
        <f>IF($K171="","",IFERROR(INDEX('Veri Merkezi'!$R$2:$R$1001,$K171),""))</f>
        <v/>
      </c>
      <c r="H171" t="str">
        <f>IF($K171="","",IFERROR(INDEX('Veri Merkezi'!$S$2:$S$1001,$K171),""))</f>
        <v/>
      </c>
      <c r="I171" s="2" t="str">
        <f>IF($K171="","",IFERROR(INDEX('Veri Merkezi'!$T$2:$T$1001,$K171),""))</f>
        <v/>
      </c>
      <c r="J171" t="str">
        <f>IF($K171="","",IFERROR(INDEX('Veri Merkezi'!$U$2:$U$1001,$K171),""))</f>
        <v/>
      </c>
      <c r="K171" t="str">
        <f>IF(K170="","",IFERROR(K170+MATCH("Takip",INDEX('Veri Merkezi'!$S$2:$S$1001,K170+1):'Veri Merkezi'!$S$1001,0),""))</f>
        <v/>
      </c>
    </row>
    <row r="172" spans="1:11">
      <c r="A172" t="str">
        <f>IF($K172="","",IFERROR(INDEX('Veri Merkezi'!$A$2:$A$1001,$K172),""))</f>
        <v/>
      </c>
      <c r="B172" t="str">
        <f>IF($K172="","",IFERROR(INDEX('Veri Merkezi'!$E$2:$E$1001,$K172),""))</f>
        <v/>
      </c>
      <c r="C172" t="str">
        <f>IF($K172="","",IFERROR(INDEX('Veri Merkezi'!$D$2:$D$1001,$K172),""))</f>
        <v/>
      </c>
      <c r="D172" t="str">
        <f>IF($K172="","",IFERROR(INDEX('Veri Merkezi'!$F$2:$F$1001,$K172),""))</f>
        <v/>
      </c>
      <c r="E172" s="2" t="str">
        <f>IF($K172="","",IFERROR(INDEX('Veri Merkezi'!$G$2:$G$1001,$K172),""))</f>
        <v/>
      </c>
      <c r="F172" t="str">
        <f>IF($K172="","",IFERROR(INDEX('Veri Merkezi'!$H$2:$H$1001,$K172),""))</f>
        <v/>
      </c>
      <c r="G172" t="str">
        <f>IF($K172="","",IFERROR(INDEX('Veri Merkezi'!$R$2:$R$1001,$K172),""))</f>
        <v/>
      </c>
      <c r="H172" t="str">
        <f>IF($K172="","",IFERROR(INDEX('Veri Merkezi'!$S$2:$S$1001,$K172),""))</f>
        <v/>
      </c>
      <c r="I172" s="2" t="str">
        <f>IF($K172="","",IFERROR(INDEX('Veri Merkezi'!$T$2:$T$1001,$K172),""))</f>
        <v/>
      </c>
      <c r="J172" t="str">
        <f>IF($K172="","",IFERROR(INDEX('Veri Merkezi'!$U$2:$U$1001,$K172),""))</f>
        <v/>
      </c>
      <c r="K172" t="str">
        <f>IF(K171="","",IFERROR(K171+MATCH("Takip",INDEX('Veri Merkezi'!$S$2:$S$1001,K171+1):'Veri Merkezi'!$S$1001,0),""))</f>
        <v/>
      </c>
    </row>
    <row r="173" spans="1:11">
      <c r="A173" t="str">
        <f>IF($K173="","",IFERROR(INDEX('Veri Merkezi'!$A$2:$A$1001,$K173),""))</f>
        <v/>
      </c>
      <c r="B173" t="str">
        <f>IF($K173="","",IFERROR(INDEX('Veri Merkezi'!$E$2:$E$1001,$K173),""))</f>
        <v/>
      </c>
      <c r="C173" t="str">
        <f>IF($K173="","",IFERROR(INDEX('Veri Merkezi'!$D$2:$D$1001,$K173),""))</f>
        <v/>
      </c>
      <c r="D173" t="str">
        <f>IF($K173="","",IFERROR(INDEX('Veri Merkezi'!$F$2:$F$1001,$K173),""))</f>
        <v/>
      </c>
      <c r="E173" s="2" t="str">
        <f>IF($K173="","",IFERROR(INDEX('Veri Merkezi'!$G$2:$G$1001,$K173),""))</f>
        <v/>
      </c>
      <c r="F173" t="str">
        <f>IF($K173="","",IFERROR(INDEX('Veri Merkezi'!$H$2:$H$1001,$K173),""))</f>
        <v/>
      </c>
      <c r="G173" t="str">
        <f>IF($K173="","",IFERROR(INDEX('Veri Merkezi'!$R$2:$R$1001,$K173),""))</f>
        <v/>
      </c>
      <c r="H173" t="str">
        <f>IF($K173="","",IFERROR(INDEX('Veri Merkezi'!$S$2:$S$1001,$K173),""))</f>
        <v/>
      </c>
      <c r="I173" s="2" t="str">
        <f>IF($K173="","",IFERROR(INDEX('Veri Merkezi'!$T$2:$T$1001,$K173),""))</f>
        <v/>
      </c>
      <c r="J173" t="str">
        <f>IF($K173="","",IFERROR(INDEX('Veri Merkezi'!$U$2:$U$1001,$K173),""))</f>
        <v/>
      </c>
      <c r="K173" t="str">
        <f>IF(K172="","",IFERROR(K172+MATCH("Takip",INDEX('Veri Merkezi'!$S$2:$S$1001,K172+1):'Veri Merkezi'!$S$1001,0),""))</f>
        <v/>
      </c>
    </row>
    <row r="174" spans="1:11">
      <c r="A174" t="str">
        <f>IF($K174="","",IFERROR(INDEX('Veri Merkezi'!$A$2:$A$1001,$K174),""))</f>
        <v/>
      </c>
      <c r="B174" t="str">
        <f>IF($K174="","",IFERROR(INDEX('Veri Merkezi'!$E$2:$E$1001,$K174),""))</f>
        <v/>
      </c>
      <c r="C174" t="str">
        <f>IF($K174="","",IFERROR(INDEX('Veri Merkezi'!$D$2:$D$1001,$K174),""))</f>
        <v/>
      </c>
      <c r="D174" t="str">
        <f>IF($K174="","",IFERROR(INDEX('Veri Merkezi'!$F$2:$F$1001,$K174),""))</f>
        <v/>
      </c>
      <c r="E174" s="2" t="str">
        <f>IF($K174="","",IFERROR(INDEX('Veri Merkezi'!$G$2:$G$1001,$K174),""))</f>
        <v/>
      </c>
      <c r="F174" t="str">
        <f>IF($K174="","",IFERROR(INDEX('Veri Merkezi'!$H$2:$H$1001,$K174),""))</f>
        <v/>
      </c>
      <c r="G174" t="str">
        <f>IF($K174="","",IFERROR(INDEX('Veri Merkezi'!$R$2:$R$1001,$K174),""))</f>
        <v/>
      </c>
      <c r="H174" t="str">
        <f>IF($K174="","",IFERROR(INDEX('Veri Merkezi'!$S$2:$S$1001,$K174),""))</f>
        <v/>
      </c>
      <c r="I174" s="2" t="str">
        <f>IF($K174="","",IFERROR(INDEX('Veri Merkezi'!$T$2:$T$1001,$K174),""))</f>
        <v/>
      </c>
      <c r="J174" t="str">
        <f>IF($K174="","",IFERROR(INDEX('Veri Merkezi'!$U$2:$U$1001,$K174),""))</f>
        <v/>
      </c>
      <c r="K174" t="str">
        <f>IF(K173="","",IFERROR(K173+MATCH("Takip",INDEX('Veri Merkezi'!$S$2:$S$1001,K173+1):'Veri Merkezi'!$S$1001,0),""))</f>
        <v/>
      </c>
    </row>
    <row r="175" spans="1:11">
      <c r="A175" t="str">
        <f>IF($K175="","",IFERROR(INDEX('Veri Merkezi'!$A$2:$A$1001,$K175),""))</f>
        <v/>
      </c>
      <c r="B175" t="str">
        <f>IF($K175="","",IFERROR(INDEX('Veri Merkezi'!$E$2:$E$1001,$K175),""))</f>
        <v/>
      </c>
      <c r="C175" t="str">
        <f>IF($K175="","",IFERROR(INDEX('Veri Merkezi'!$D$2:$D$1001,$K175),""))</f>
        <v/>
      </c>
      <c r="D175" t="str">
        <f>IF($K175="","",IFERROR(INDEX('Veri Merkezi'!$F$2:$F$1001,$K175),""))</f>
        <v/>
      </c>
      <c r="E175" s="2" t="str">
        <f>IF($K175="","",IFERROR(INDEX('Veri Merkezi'!$G$2:$G$1001,$K175),""))</f>
        <v/>
      </c>
      <c r="F175" t="str">
        <f>IF($K175="","",IFERROR(INDEX('Veri Merkezi'!$H$2:$H$1001,$K175),""))</f>
        <v/>
      </c>
      <c r="G175" t="str">
        <f>IF($K175="","",IFERROR(INDEX('Veri Merkezi'!$R$2:$R$1001,$K175),""))</f>
        <v/>
      </c>
      <c r="H175" t="str">
        <f>IF($K175="","",IFERROR(INDEX('Veri Merkezi'!$S$2:$S$1001,$K175),""))</f>
        <v/>
      </c>
      <c r="I175" s="2" t="str">
        <f>IF($K175="","",IFERROR(INDEX('Veri Merkezi'!$T$2:$T$1001,$K175),""))</f>
        <v/>
      </c>
      <c r="J175" t="str">
        <f>IF($K175="","",IFERROR(INDEX('Veri Merkezi'!$U$2:$U$1001,$K175),""))</f>
        <v/>
      </c>
      <c r="K175" t="str">
        <f>IF(K174="","",IFERROR(K174+MATCH("Takip",INDEX('Veri Merkezi'!$S$2:$S$1001,K174+1):'Veri Merkezi'!$S$1001,0),""))</f>
        <v/>
      </c>
    </row>
    <row r="176" spans="1:11">
      <c r="A176" t="str">
        <f>IF($K176="","",IFERROR(INDEX('Veri Merkezi'!$A$2:$A$1001,$K176),""))</f>
        <v/>
      </c>
      <c r="B176" t="str">
        <f>IF($K176="","",IFERROR(INDEX('Veri Merkezi'!$E$2:$E$1001,$K176),""))</f>
        <v/>
      </c>
      <c r="C176" t="str">
        <f>IF($K176="","",IFERROR(INDEX('Veri Merkezi'!$D$2:$D$1001,$K176),""))</f>
        <v/>
      </c>
      <c r="D176" t="str">
        <f>IF($K176="","",IFERROR(INDEX('Veri Merkezi'!$F$2:$F$1001,$K176),""))</f>
        <v/>
      </c>
      <c r="E176" s="2" t="str">
        <f>IF($K176="","",IFERROR(INDEX('Veri Merkezi'!$G$2:$G$1001,$K176),""))</f>
        <v/>
      </c>
      <c r="F176" t="str">
        <f>IF($K176="","",IFERROR(INDEX('Veri Merkezi'!$H$2:$H$1001,$K176),""))</f>
        <v/>
      </c>
      <c r="G176" t="str">
        <f>IF($K176="","",IFERROR(INDEX('Veri Merkezi'!$R$2:$R$1001,$K176),""))</f>
        <v/>
      </c>
      <c r="H176" t="str">
        <f>IF($K176="","",IFERROR(INDEX('Veri Merkezi'!$S$2:$S$1001,$K176),""))</f>
        <v/>
      </c>
      <c r="I176" s="2" t="str">
        <f>IF($K176="","",IFERROR(INDEX('Veri Merkezi'!$T$2:$T$1001,$K176),""))</f>
        <v/>
      </c>
      <c r="J176" t="str">
        <f>IF($K176="","",IFERROR(INDEX('Veri Merkezi'!$U$2:$U$1001,$K176),""))</f>
        <v/>
      </c>
      <c r="K176" t="str">
        <f>IF(K175="","",IFERROR(K175+MATCH("Takip",INDEX('Veri Merkezi'!$S$2:$S$1001,K175+1):'Veri Merkezi'!$S$1001,0),""))</f>
        <v/>
      </c>
    </row>
    <row r="177" spans="1:11">
      <c r="A177" t="str">
        <f>IF($K177="","",IFERROR(INDEX('Veri Merkezi'!$A$2:$A$1001,$K177),""))</f>
        <v/>
      </c>
      <c r="B177" t="str">
        <f>IF($K177="","",IFERROR(INDEX('Veri Merkezi'!$E$2:$E$1001,$K177),""))</f>
        <v/>
      </c>
      <c r="C177" t="str">
        <f>IF($K177="","",IFERROR(INDEX('Veri Merkezi'!$D$2:$D$1001,$K177),""))</f>
        <v/>
      </c>
      <c r="D177" t="str">
        <f>IF($K177="","",IFERROR(INDEX('Veri Merkezi'!$F$2:$F$1001,$K177),""))</f>
        <v/>
      </c>
      <c r="E177" s="2" t="str">
        <f>IF($K177="","",IFERROR(INDEX('Veri Merkezi'!$G$2:$G$1001,$K177),""))</f>
        <v/>
      </c>
      <c r="F177" t="str">
        <f>IF($K177="","",IFERROR(INDEX('Veri Merkezi'!$H$2:$H$1001,$K177),""))</f>
        <v/>
      </c>
      <c r="G177" t="str">
        <f>IF($K177="","",IFERROR(INDEX('Veri Merkezi'!$R$2:$R$1001,$K177),""))</f>
        <v/>
      </c>
      <c r="H177" t="str">
        <f>IF($K177="","",IFERROR(INDEX('Veri Merkezi'!$S$2:$S$1001,$K177),""))</f>
        <v/>
      </c>
      <c r="I177" s="2" t="str">
        <f>IF($K177="","",IFERROR(INDEX('Veri Merkezi'!$T$2:$T$1001,$K177),""))</f>
        <v/>
      </c>
      <c r="J177" t="str">
        <f>IF($K177="","",IFERROR(INDEX('Veri Merkezi'!$U$2:$U$1001,$K177),""))</f>
        <v/>
      </c>
      <c r="K177" t="str">
        <f>IF(K176="","",IFERROR(K176+MATCH("Takip",INDEX('Veri Merkezi'!$S$2:$S$1001,K176+1):'Veri Merkezi'!$S$1001,0),""))</f>
        <v/>
      </c>
    </row>
    <row r="178" spans="1:11">
      <c r="A178" t="str">
        <f>IF($K178="","",IFERROR(INDEX('Veri Merkezi'!$A$2:$A$1001,$K178),""))</f>
        <v/>
      </c>
      <c r="B178" t="str">
        <f>IF($K178="","",IFERROR(INDEX('Veri Merkezi'!$E$2:$E$1001,$K178),""))</f>
        <v/>
      </c>
      <c r="C178" t="str">
        <f>IF($K178="","",IFERROR(INDEX('Veri Merkezi'!$D$2:$D$1001,$K178),""))</f>
        <v/>
      </c>
      <c r="D178" t="str">
        <f>IF($K178="","",IFERROR(INDEX('Veri Merkezi'!$F$2:$F$1001,$K178),""))</f>
        <v/>
      </c>
      <c r="E178" s="2" t="str">
        <f>IF($K178="","",IFERROR(INDEX('Veri Merkezi'!$G$2:$G$1001,$K178),""))</f>
        <v/>
      </c>
      <c r="F178" t="str">
        <f>IF($K178="","",IFERROR(INDEX('Veri Merkezi'!$H$2:$H$1001,$K178),""))</f>
        <v/>
      </c>
      <c r="G178" t="str">
        <f>IF($K178="","",IFERROR(INDEX('Veri Merkezi'!$R$2:$R$1001,$K178),""))</f>
        <v/>
      </c>
      <c r="H178" t="str">
        <f>IF($K178="","",IFERROR(INDEX('Veri Merkezi'!$S$2:$S$1001,$K178),""))</f>
        <v/>
      </c>
      <c r="I178" s="2" t="str">
        <f>IF($K178="","",IFERROR(INDEX('Veri Merkezi'!$T$2:$T$1001,$K178),""))</f>
        <v/>
      </c>
      <c r="J178" t="str">
        <f>IF($K178="","",IFERROR(INDEX('Veri Merkezi'!$U$2:$U$1001,$K178),""))</f>
        <v/>
      </c>
      <c r="K178" t="str">
        <f>IF(K177="","",IFERROR(K177+MATCH("Takip",INDEX('Veri Merkezi'!$S$2:$S$1001,K177+1):'Veri Merkezi'!$S$1001,0),""))</f>
        <v/>
      </c>
    </row>
    <row r="179" spans="1:11">
      <c r="A179" t="str">
        <f>IF($K179="","",IFERROR(INDEX('Veri Merkezi'!$A$2:$A$1001,$K179),""))</f>
        <v/>
      </c>
      <c r="B179" t="str">
        <f>IF($K179="","",IFERROR(INDEX('Veri Merkezi'!$E$2:$E$1001,$K179),""))</f>
        <v/>
      </c>
      <c r="C179" t="str">
        <f>IF($K179="","",IFERROR(INDEX('Veri Merkezi'!$D$2:$D$1001,$K179),""))</f>
        <v/>
      </c>
      <c r="D179" t="str">
        <f>IF($K179="","",IFERROR(INDEX('Veri Merkezi'!$F$2:$F$1001,$K179),""))</f>
        <v/>
      </c>
      <c r="E179" s="2" t="str">
        <f>IF($K179="","",IFERROR(INDEX('Veri Merkezi'!$G$2:$G$1001,$K179),""))</f>
        <v/>
      </c>
      <c r="F179" t="str">
        <f>IF($K179="","",IFERROR(INDEX('Veri Merkezi'!$H$2:$H$1001,$K179),""))</f>
        <v/>
      </c>
      <c r="G179" t="str">
        <f>IF($K179="","",IFERROR(INDEX('Veri Merkezi'!$R$2:$R$1001,$K179),""))</f>
        <v/>
      </c>
      <c r="H179" t="str">
        <f>IF($K179="","",IFERROR(INDEX('Veri Merkezi'!$S$2:$S$1001,$K179),""))</f>
        <v/>
      </c>
      <c r="I179" s="2" t="str">
        <f>IF($K179="","",IFERROR(INDEX('Veri Merkezi'!$T$2:$T$1001,$K179),""))</f>
        <v/>
      </c>
      <c r="J179" t="str">
        <f>IF($K179="","",IFERROR(INDEX('Veri Merkezi'!$U$2:$U$1001,$K179),""))</f>
        <v/>
      </c>
      <c r="K179" t="str">
        <f>IF(K178="","",IFERROR(K178+MATCH("Takip",INDEX('Veri Merkezi'!$S$2:$S$1001,K178+1):'Veri Merkezi'!$S$1001,0),""))</f>
        <v/>
      </c>
    </row>
    <row r="180" spans="1:11">
      <c r="A180" t="str">
        <f>IF($K180="","",IFERROR(INDEX('Veri Merkezi'!$A$2:$A$1001,$K180),""))</f>
        <v/>
      </c>
      <c r="B180" t="str">
        <f>IF($K180="","",IFERROR(INDEX('Veri Merkezi'!$E$2:$E$1001,$K180),""))</f>
        <v/>
      </c>
      <c r="C180" t="str">
        <f>IF($K180="","",IFERROR(INDEX('Veri Merkezi'!$D$2:$D$1001,$K180),""))</f>
        <v/>
      </c>
      <c r="D180" t="str">
        <f>IF($K180="","",IFERROR(INDEX('Veri Merkezi'!$F$2:$F$1001,$K180),""))</f>
        <v/>
      </c>
      <c r="E180" s="2" t="str">
        <f>IF($K180="","",IFERROR(INDEX('Veri Merkezi'!$G$2:$G$1001,$K180),""))</f>
        <v/>
      </c>
      <c r="F180" t="str">
        <f>IF($K180="","",IFERROR(INDEX('Veri Merkezi'!$H$2:$H$1001,$K180),""))</f>
        <v/>
      </c>
      <c r="G180" t="str">
        <f>IF($K180="","",IFERROR(INDEX('Veri Merkezi'!$R$2:$R$1001,$K180),""))</f>
        <v/>
      </c>
      <c r="H180" t="str">
        <f>IF($K180="","",IFERROR(INDEX('Veri Merkezi'!$S$2:$S$1001,$K180),""))</f>
        <v/>
      </c>
      <c r="I180" s="2" t="str">
        <f>IF($K180="","",IFERROR(INDEX('Veri Merkezi'!$T$2:$T$1001,$K180),""))</f>
        <v/>
      </c>
      <c r="J180" t="str">
        <f>IF($K180="","",IFERROR(INDEX('Veri Merkezi'!$U$2:$U$1001,$K180),""))</f>
        <v/>
      </c>
      <c r="K180" t="str">
        <f>IF(K179="","",IFERROR(K179+MATCH("Takip",INDEX('Veri Merkezi'!$S$2:$S$1001,K179+1):'Veri Merkezi'!$S$1001,0),""))</f>
        <v/>
      </c>
    </row>
    <row r="181" spans="1:11">
      <c r="A181" t="str">
        <f>IF($K181="","",IFERROR(INDEX('Veri Merkezi'!$A$2:$A$1001,$K181),""))</f>
        <v/>
      </c>
      <c r="B181" t="str">
        <f>IF($K181="","",IFERROR(INDEX('Veri Merkezi'!$E$2:$E$1001,$K181),""))</f>
        <v/>
      </c>
      <c r="C181" t="str">
        <f>IF($K181="","",IFERROR(INDEX('Veri Merkezi'!$D$2:$D$1001,$K181),""))</f>
        <v/>
      </c>
      <c r="D181" t="str">
        <f>IF($K181="","",IFERROR(INDEX('Veri Merkezi'!$F$2:$F$1001,$K181),""))</f>
        <v/>
      </c>
      <c r="E181" s="2" t="str">
        <f>IF($K181="","",IFERROR(INDEX('Veri Merkezi'!$G$2:$G$1001,$K181),""))</f>
        <v/>
      </c>
      <c r="F181" t="str">
        <f>IF($K181="","",IFERROR(INDEX('Veri Merkezi'!$H$2:$H$1001,$K181),""))</f>
        <v/>
      </c>
      <c r="G181" t="str">
        <f>IF($K181="","",IFERROR(INDEX('Veri Merkezi'!$R$2:$R$1001,$K181),""))</f>
        <v/>
      </c>
      <c r="H181" t="str">
        <f>IF($K181="","",IFERROR(INDEX('Veri Merkezi'!$S$2:$S$1001,$K181),""))</f>
        <v/>
      </c>
      <c r="I181" s="2" t="str">
        <f>IF($K181="","",IFERROR(INDEX('Veri Merkezi'!$T$2:$T$1001,$K181),""))</f>
        <v/>
      </c>
      <c r="J181" t="str">
        <f>IF($K181="","",IFERROR(INDEX('Veri Merkezi'!$U$2:$U$1001,$K181),""))</f>
        <v/>
      </c>
      <c r="K181" t="str">
        <f>IF(K180="","",IFERROR(K180+MATCH("Takip",INDEX('Veri Merkezi'!$S$2:$S$1001,K180+1):'Veri Merkezi'!$S$1001,0),""))</f>
        <v/>
      </c>
    </row>
    <row r="182" spans="1:11">
      <c r="A182" t="str">
        <f>IF($K182="","",IFERROR(INDEX('Veri Merkezi'!$A$2:$A$1001,$K182),""))</f>
        <v/>
      </c>
      <c r="B182" t="str">
        <f>IF($K182="","",IFERROR(INDEX('Veri Merkezi'!$E$2:$E$1001,$K182),""))</f>
        <v/>
      </c>
      <c r="C182" t="str">
        <f>IF($K182="","",IFERROR(INDEX('Veri Merkezi'!$D$2:$D$1001,$K182),""))</f>
        <v/>
      </c>
      <c r="D182" t="str">
        <f>IF($K182="","",IFERROR(INDEX('Veri Merkezi'!$F$2:$F$1001,$K182),""))</f>
        <v/>
      </c>
      <c r="E182" s="2" t="str">
        <f>IF($K182="","",IFERROR(INDEX('Veri Merkezi'!$G$2:$G$1001,$K182),""))</f>
        <v/>
      </c>
      <c r="F182" t="str">
        <f>IF($K182="","",IFERROR(INDEX('Veri Merkezi'!$H$2:$H$1001,$K182),""))</f>
        <v/>
      </c>
      <c r="G182" t="str">
        <f>IF($K182="","",IFERROR(INDEX('Veri Merkezi'!$R$2:$R$1001,$K182),""))</f>
        <v/>
      </c>
      <c r="H182" t="str">
        <f>IF($K182="","",IFERROR(INDEX('Veri Merkezi'!$S$2:$S$1001,$K182),""))</f>
        <v/>
      </c>
      <c r="I182" s="2" t="str">
        <f>IF($K182="","",IFERROR(INDEX('Veri Merkezi'!$T$2:$T$1001,$K182),""))</f>
        <v/>
      </c>
      <c r="J182" t="str">
        <f>IF($K182="","",IFERROR(INDEX('Veri Merkezi'!$U$2:$U$1001,$K182),""))</f>
        <v/>
      </c>
      <c r="K182" t="str">
        <f>IF(K181="","",IFERROR(K181+MATCH("Takip",INDEX('Veri Merkezi'!$S$2:$S$1001,K181+1):'Veri Merkezi'!$S$1001,0),""))</f>
        <v/>
      </c>
    </row>
    <row r="183" spans="1:11">
      <c r="A183" t="str">
        <f>IF($K183="","",IFERROR(INDEX('Veri Merkezi'!$A$2:$A$1001,$K183),""))</f>
        <v/>
      </c>
      <c r="B183" t="str">
        <f>IF($K183="","",IFERROR(INDEX('Veri Merkezi'!$E$2:$E$1001,$K183),""))</f>
        <v/>
      </c>
      <c r="C183" t="str">
        <f>IF($K183="","",IFERROR(INDEX('Veri Merkezi'!$D$2:$D$1001,$K183),""))</f>
        <v/>
      </c>
      <c r="D183" t="str">
        <f>IF($K183="","",IFERROR(INDEX('Veri Merkezi'!$F$2:$F$1001,$K183),""))</f>
        <v/>
      </c>
      <c r="E183" s="2" t="str">
        <f>IF($K183="","",IFERROR(INDEX('Veri Merkezi'!$G$2:$G$1001,$K183),""))</f>
        <v/>
      </c>
      <c r="F183" t="str">
        <f>IF($K183="","",IFERROR(INDEX('Veri Merkezi'!$H$2:$H$1001,$K183),""))</f>
        <v/>
      </c>
      <c r="G183" t="str">
        <f>IF($K183="","",IFERROR(INDEX('Veri Merkezi'!$R$2:$R$1001,$K183),""))</f>
        <v/>
      </c>
      <c r="H183" t="str">
        <f>IF($K183="","",IFERROR(INDEX('Veri Merkezi'!$S$2:$S$1001,$K183),""))</f>
        <v/>
      </c>
      <c r="I183" s="2" t="str">
        <f>IF($K183="","",IFERROR(INDEX('Veri Merkezi'!$T$2:$T$1001,$K183),""))</f>
        <v/>
      </c>
      <c r="J183" t="str">
        <f>IF($K183="","",IFERROR(INDEX('Veri Merkezi'!$U$2:$U$1001,$K183),""))</f>
        <v/>
      </c>
      <c r="K183" t="str">
        <f>IF(K182="","",IFERROR(K182+MATCH("Takip",INDEX('Veri Merkezi'!$S$2:$S$1001,K182+1):'Veri Merkezi'!$S$1001,0),""))</f>
        <v/>
      </c>
    </row>
    <row r="184" spans="1:11">
      <c r="A184" t="str">
        <f>IF($K184="","",IFERROR(INDEX('Veri Merkezi'!$A$2:$A$1001,$K184),""))</f>
        <v/>
      </c>
      <c r="B184" t="str">
        <f>IF($K184="","",IFERROR(INDEX('Veri Merkezi'!$E$2:$E$1001,$K184),""))</f>
        <v/>
      </c>
      <c r="C184" t="str">
        <f>IF($K184="","",IFERROR(INDEX('Veri Merkezi'!$D$2:$D$1001,$K184),""))</f>
        <v/>
      </c>
      <c r="D184" t="str">
        <f>IF($K184="","",IFERROR(INDEX('Veri Merkezi'!$F$2:$F$1001,$K184),""))</f>
        <v/>
      </c>
      <c r="E184" s="2" t="str">
        <f>IF($K184="","",IFERROR(INDEX('Veri Merkezi'!$G$2:$G$1001,$K184),""))</f>
        <v/>
      </c>
      <c r="F184" t="str">
        <f>IF($K184="","",IFERROR(INDEX('Veri Merkezi'!$H$2:$H$1001,$K184),""))</f>
        <v/>
      </c>
      <c r="G184" t="str">
        <f>IF($K184="","",IFERROR(INDEX('Veri Merkezi'!$R$2:$R$1001,$K184),""))</f>
        <v/>
      </c>
      <c r="H184" t="str">
        <f>IF($K184="","",IFERROR(INDEX('Veri Merkezi'!$S$2:$S$1001,$K184),""))</f>
        <v/>
      </c>
      <c r="I184" s="2" t="str">
        <f>IF($K184="","",IFERROR(INDEX('Veri Merkezi'!$T$2:$T$1001,$K184),""))</f>
        <v/>
      </c>
      <c r="J184" t="str">
        <f>IF($K184="","",IFERROR(INDEX('Veri Merkezi'!$U$2:$U$1001,$K184),""))</f>
        <v/>
      </c>
      <c r="K184" t="str">
        <f>IF(K183="","",IFERROR(K183+MATCH("Takip",INDEX('Veri Merkezi'!$S$2:$S$1001,K183+1):'Veri Merkezi'!$S$1001,0),""))</f>
        <v/>
      </c>
    </row>
    <row r="185" spans="1:11">
      <c r="A185" t="str">
        <f>IF($K185="","",IFERROR(INDEX('Veri Merkezi'!$A$2:$A$1001,$K185),""))</f>
        <v/>
      </c>
      <c r="B185" t="str">
        <f>IF($K185="","",IFERROR(INDEX('Veri Merkezi'!$E$2:$E$1001,$K185),""))</f>
        <v/>
      </c>
      <c r="C185" t="str">
        <f>IF($K185="","",IFERROR(INDEX('Veri Merkezi'!$D$2:$D$1001,$K185),""))</f>
        <v/>
      </c>
      <c r="D185" t="str">
        <f>IF($K185="","",IFERROR(INDEX('Veri Merkezi'!$F$2:$F$1001,$K185),""))</f>
        <v/>
      </c>
      <c r="E185" s="2" t="str">
        <f>IF($K185="","",IFERROR(INDEX('Veri Merkezi'!$G$2:$G$1001,$K185),""))</f>
        <v/>
      </c>
      <c r="F185" t="str">
        <f>IF($K185="","",IFERROR(INDEX('Veri Merkezi'!$H$2:$H$1001,$K185),""))</f>
        <v/>
      </c>
      <c r="G185" t="str">
        <f>IF($K185="","",IFERROR(INDEX('Veri Merkezi'!$R$2:$R$1001,$K185),""))</f>
        <v/>
      </c>
      <c r="H185" t="str">
        <f>IF($K185="","",IFERROR(INDEX('Veri Merkezi'!$S$2:$S$1001,$K185),""))</f>
        <v/>
      </c>
      <c r="I185" s="2" t="str">
        <f>IF($K185="","",IFERROR(INDEX('Veri Merkezi'!$T$2:$T$1001,$K185),""))</f>
        <v/>
      </c>
      <c r="J185" t="str">
        <f>IF($K185="","",IFERROR(INDEX('Veri Merkezi'!$U$2:$U$1001,$K185),""))</f>
        <v/>
      </c>
      <c r="K185" t="str">
        <f>IF(K184="","",IFERROR(K184+MATCH("Takip",INDEX('Veri Merkezi'!$S$2:$S$1001,K184+1):'Veri Merkezi'!$S$1001,0),""))</f>
        <v/>
      </c>
    </row>
    <row r="186" spans="1:11">
      <c r="A186" t="str">
        <f>IF($K186="","",IFERROR(INDEX('Veri Merkezi'!$A$2:$A$1001,$K186),""))</f>
        <v/>
      </c>
      <c r="B186" t="str">
        <f>IF($K186="","",IFERROR(INDEX('Veri Merkezi'!$E$2:$E$1001,$K186),""))</f>
        <v/>
      </c>
      <c r="C186" t="str">
        <f>IF($K186="","",IFERROR(INDEX('Veri Merkezi'!$D$2:$D$1001,$K186),""))</f>
        <v/>
      </c>
      <c r="D186" t="str">
        <f>IF($K186="","",IFERROR(INDEX('Veri Merkezi'!$F$2:$F$1001,$K186),""))</f>
        <v/>
      </c>
      <c r="E186" s="2" t="str">
        <f>IF($K186="","",IFERROR(INDEX('Veri Merkezi'!$G$2:$G$1001,$K186),""))</f>
        <v/>
      </c>
      <c r="F186" t="str">
        <f>IF($K186="","",IFERROR(INDEX('Veri Merkezi'!$H$2:$H$1001,$K186),""))</f>
        <v/>
      </c>
      <c r="G186" t="str">
        <f>IF($K186="","",IFERROR(INDEX('Veri Merkezi'!$R$2:$R$1001,$K186),""))</f>
        <v/>
      </c>
      <c r="H186" t="str">
        <f>IF($K186="","",IFERROR(INDEX('Veri Merkezi'!$S$2:$S$1001,$K186),""))</f>
        <v/>
      </c>
      <c r="I186" s="2" t="str">
        <f>IF($K186="","",IFERROR(INDEX('Veri Merkezi'!$T$2:$T$1001,$K186),""))</f>
        <v/>
      </c>
      <c r="J186" t="str">
        <f>IF($K186="","",IFERROR(INDEX('Veri Merkezi'!$U$2:$U$1001,$K186),""))</f>
        <v/>
      </c>
      <c r="K186" t="str">
        <f>IF(K185="","",IFERROR(K185+MATCH("Takip",INDEX('Veri Merkezi'!$S$2:$S$1001,K185+1):'Veri Merkezi'!$S$1001,0),""))</f>
        <v/>
      </c>
    </row>
    <row r="187" spans="1:11">
      <c r="A187" t="str">
        <f>IF($K187="","",IFERROR(INDEX('Veri Merkezi'!$A$2:$A$1001,$K187),""))</f>
        <v/>
      </c>
      <c r="B187" t="str">
        <f>IF($K187="","",IFERROR(INDEX('Veri Merkezi'!$E$2:$E$1001,$K187),""))</f>
        <v/>
      </c>
      <c r="C187" t="str">
        <f>IF($K187="","",IFERROR(INDEX('Veri Merkezi'!$D$2:$D$1001,$K187),""))</f>
        <v/>
      </c>
      <c r="D187" t="str">
        <f>IF($K187="","",IFERROR(INDEX('Veri Merkezi'!$F$2:$F$1001,$K187),""))</f>
        <v/>
      </c>
      <c r="E187" s="2" t="str">
        <f>IF($K187="","",IFERROR(INDEX('Veri Merkezi'!$G$2:$G$1001,$K187),""))</f>
        <v/>
      </c>
      <c r="F187" t="str">
        <f>IF($K187="","",IFERROR(INDEX('Veri Merkezi'!$H$2:$H$1001,$K187),""))</f>
        <v/>
      </c>
      <c r="G187" t="str">
        <f>IF($K187="","",IFERROR(INDEX('Veri Merkezi'!$R$2:$R$1001,$K187),""))</f>
        <v/>
      </c>
      <c r="H187" t="str">
        <f>IF($K187="","",IFERROR(INDEX('Veri Merkezi'!$S$2:$S$1001,$K187),""))</f>
        <v/>
      </c>
      <c r="I187" s="2" t="str">
        <f>IF($K187="","",IFERROR(INDEX('Veri Merkezi'!$T$2:$T$1001,$K187),""))</f>
        <v/>
      </c>
      <c r="J187" t="str">
        <f>IF($K187="","",IFERROR(INDEX('Veri Merkezi'!$U$2:$U$1001,$K187),""))</f>
        <v/>
      </c>
      <c r="K187" t="str">
        <f>IF(K186="","",IFERROR(K186+MATCH("Takip",INDEX('Veri Merkezi'!$S$2:$S$1001,K186+1):'Veri Merkezi'!$S$1001,0),""))</f>
        <v/>
      </c>
    </row>
    <row r="188" spans="1:11">
      <c r="A188" t="str">
        <f>IF($K188="","",IFERROR(INDEX('Veri Merkezi'!$A$2:$A$1001,$K188),""))</f>
        <v/>
      </c>
      <c r="B188" t="str">
        <f>IF($K188="","",IFERROR(INDEX('Veri Merkezi'!$E$2:$E$1001,$K188),""))</f>
        <v/>
      </c>
      <c r="C188" t="str">
        <f>IF($K188="","",IFERROR(INDEX('Veri Merkezi'!$D$2:$D$1001,$K188),""))</f>
        <v/>
      </c>
      <c r="D188" t="str">
        <f>IF($K188="","",IFERROR(INDEX('Veri Merkezi'!$F$2:$F$1001,$K188),""))</f>
        <v/>
      </c>
      <c r="E188" s="2" t="str">
        <f>IF($K188="","",IFERROR(INDEX('Veri Merkezi'!$G$2:$G$1001,$K188),""))</f>
        <v/>
      </c>
      <c r="F188" t="str">
        <f>IF($K188="","",IFERROR(INDEX('Veri Merkezi'!$H$2:$H$1001,$K188),""))</f>
        <v/>
      </c>
      <c r="G188" t="str">
        <f>IF($K188="","",IFERROR(INDEX('Veri Merkezi'!$R$2:$R$1001,$K188),""))</f>
        <v/>
      </c>
      <c r="H188" t="str">
        <f>IF($K188="","",IFERROR(INDEX('Veri Merkezi'!$S$2:$S$1001,$K188),""))</f>
        <v/>
      </c>
      <c r="I188" s="2" t="str">
        <f>IF($K188="","",IFERROR(INDEX('Veri Merkezi'!$T$2:$T$1001,$K188),""))</f>
        <v/>
      </c>
      <c r="J188" t="str">
        <f>IF($K188="","",IFERROR(INDEX('Veri Merkezi'!$U$2:$U$1001,$K188),""))</f>
        <v/>
      </c>
      <c r="K188" t="str">
        <f>IF(K187="","",IFERROR(K187+MATCH("Takip",INDEX('Veri Merkezi'!$S$2:$S$1001,K187+1):'Veri Merkezi'!$S$1001,0),""))</f>
        <v/>
      </c>
    </row>
    <row r="189" spans="1:11">
      <c r="A189" t="str">
        <f>IF($K189="","",IFERROR(INDEX('Veri Merkezi'!$A$2:$A$1001,$K189),""))</f>
        <v/>
      </c>
      <c r="B189" t="str">
        <f>IF($K189="","",IFERROR(INDEX('Veri Merkezi'!$E$2:$E$1001,$K189),""))</f>
        <v/>
      </c>
      <c r="C189" t="str">
        <f>IF($K189="","",IFERROR(INDEX('Veri Merkezi'!$D$2:$D$1001,$K189),""))</f>
        <v/>
      </c>
      <c r="D189" t="str">
        <f>IF($K189="","",IFERROR(INDEX('Veri Merkezi'!$F$2:$F$1001,$K189),""))</f>
        <v/>
      </c>
      <c r="E189" s="2" t="str">
        <f>IF($K189="","",IFERROR(INDEX('Veri Merkezi'!$G$2:$G$1001,$K189),""))</f>
        <v/>
      </c>
      <c r="F189" t="str">
        <f>IF($K189="","",IFERROR(INDEX('Veri Merkezi'!$H$2:$H$1001,$K189),""))</f>
        <v/>
      </c>
      <c r="G189" t="str">
        <f>IF($K189="","",IFERROR(INDEX('Veri Merkezi'!$R$2:$R$1001,$K189),""))</f>
        <v/>
      </c>
      <c r="H189" t="str">
        <f>IF($K189="","",IFERROR(INDEX('Veri Merkezi'!$S$2:$S$1001,$K189),""))</f>
        <v/>
      </c>
      <c r="I189" s="2" t="str">
        <f>IF($K189="","",IFERROR(INDEX('Veri Merkezi'!$T$2:$T$1001,$K189),""))</f>
        <v/>
      </c>
      <c r="J189" t="str">
        <f>IF($K189="","",IFERROR(INDEX('Veri Merkezi'!$U$2:$U$1001,$K189),""))</f>
        <v/>
      </c>
      <c r="K189" t="str">
        <f>IF(K188="","",IFERROR(K188+MATCH("Takip",INDEX('Veri Merkezi'!$S$2:$S$1001,K188+1):'Veri Merkezi'!$S$1001,0),""))</f>
        <v/>
      </c>
    </row>
    <row r="190" spans="1:11">
      <c r="A190" t="str">
        <f>IF($K190="","",IFERROR(INDEX('Veri Merkezi'!$A$2:$A$1001,$K190),""))</f>
        <v/>
      </c>
      <c r="B190" t="str">
        <f>IF($K190="","",IFERROR(INDEX('Veri Merkezi'!$E$2:$E$1001,$K190),""))</f>
        <v/>
      </c>
      <c r="C190" t="str">
        <f>IF($K190="","",IFERROR(INDEX('Veri Merkezi'!$D$2:$D$1001,$K190),""))</f>
        <v/>
      </c>
      <c r="D190" t="str">
        <f>IF($K190="","",IFERROR(INDEX('Veri Merkezi'!$F$2:$F$1001,$K190),""))</f>
        <v/>
      </c>
      <c r="E190" s="2" t="str">
        <f>IF($K190="","",IFERROR(INDEX('Veri Merkezi'!$G$2:$G$1001,$K190),""))</f>
        <v/>
      </c>
      <c r="F190" t="str">
        <f>IF($K190="","",IFERROR(INDEX('Veri Merkezi'!$H$2:$H$1001,$K190),""))</f>
        <v/>
      </c>
      <c r="G190" t="str">
        <f>IF($K190="","",IFERROR(INDEX('Veri Merkezi'!$R$2:$R$1001,$K190),""))</f>
        <v/>
      </c>
      <c r="H190" t="str">
        <f>IF($K190="","",IFERROR(INDEX('Veri Merkezi'!$S$2:$S$1001,$K190),""))</f>
        <v/>
      </c>
      <c r="I190" s="2" t="str">
        <f>IF($K190="","",IFERROR(INDEX('Veri Merkezi'!$T$2:$T$1001,$K190),""))</f>
        <v/>
      </c>
      <c r="J190" t="str">
        <f>IF($K190="","",IFERROR(INDEX('Veri Merkezi'!$U$2:$U$1001,$K190),""))</f>
        <v/>
      </c>
      <c r="K190" t="str">
        <f>IF(K189="","",IFERROR(K189+MATCH("Takip",INDEX('Veri Merkezi'!$S$2:$S$1001,K189+1):'Veri Merkezi'!$S$1001,0),""))</f>
        <v/>
      </c>
    </row>
    <row r="191" spans="1:11">
      <c r="A191" t="str">
        <f>IF($K191="","",IFERROR(INDEX('Veri Merkezi'!$A$2:$A$1001,$K191),""))</f>
        <v/>
      </c>
      <c r="B191" t="str">
        <f>IF($K191="","",IFERROR(INDEX('Veri Merkezi'!$E$2:$E$1001,$K191),""))</f>
        <v/>
      </c>
      <c r="C191" t="str">
        <f>IF($K191="","",IFERROR(INDEX('Veri Merkezi'!$D$2:$D$1001,$K191),""))</f>
        <v/>
      </c>
      <c r="D191" t="str">
        <f>IF($K191="","",IFERROR(INDEX('Veri Merkezi'!$F$2:$F$1001,$K191),""))</f>
        <v/>
      </c>
      <c r="E191" s="2" t="str">
        <f>IF($K191="","",IFERROR(INDEX('Veri Merkezi'!$G$2:$G$1001,$K191),""))</f>
        <v/>
      </c>
      <c r="F191" t="str">
        <f>IF($K191="","",IFERROR(INDEX('Veri Merkezi'!$H$2:$H$1001,$K191),""))</f>
        <v/>
      </c>
      <c r="G191" t="str">
        <f>IF($K191="","",IFERROR(INDEX('Veri Merkezi'!$R$2:$R$1001,$K191),""))</f>
        <v/>
      </c>
      <c r="H191" t="str">
        <f>IF($K191="","",IFERROR(INDEX('Veri Merkezi'!$S$2:$S$1001,$K191),""))</f>
        <v/>
      </c>
      <c r="I191" s="2" t="str">
        <f>IF($K191="","",IFERROR(INDEX('Veri Merkezi'!$T$2:$T$1001,$K191),""))</f>
        <v/>
      </c>
      <c r="J191" t="str">
        <f>IF($K191="","",IFERROR(INDEX('Veri Merkezi'!$U$2:$U$1001,$K191),""))</f>
        <v/>
      </c>
      <c r="K191" t="str">
        <f>IF(K190="","",IFERROR(K190+MATCH("Takip",INDEX('Veri Merkezi'!$S$2:$S$1001,K190+1):'Veri Merkezi'!$S$1001,0),""))</f>
        <v/>
      </c>
    </row>
    <row r="192" spans="1:11">
      <c r="A192" t="str">
        <f>IF($K192="","",IFERROR(INDEX('Veri Merkezi'!$A$2:$A$1001,$K192),""))</f>
        <v/>
      </c>
      <c r="B192" t="str">
        <f>IF($K192="","",IFERROR(INDEX('Veri Merkezi'!$E$2:$E$1001,$K192),""))</f>
        <v/>
      </c>
      <c r="C192" t="str">
        <f>IF($K192="","",IFERROR(INDEX('Veri Merkezi'!$D$2:$D$1001,$K192),""))</f>
        <v/>
      </c>
      <c r="D192" t="str">
        <f>IF($K192="","",IFERROR(INDEX('Veri Merkezi'!$F$2:$F$1001,$K192),""))</f>
        <v/>
      </c>
      <c r="E192" s="2" t="str">
        <f>IF($K192="","",IFERROR(INDEX('Veri Merkezi'!$G$2:$G$1001,$K192),""))</f>
        <v/>
      </c>
      <c r="F192" t="str">
        <f>IF($K192="","",IFERROR(INDEX('Veri Merkezi'!$H$2:$H$1001,$K192),""))</f>
        <v/>
      </c>
      <c r="G192" t="str">
        <f>IF($K192="","",IFERROR(INDEX('Veri Merkezi'!$R$2:$R$1001,$K192),""))</f>
        <v/>
      </c>
      <c r="H192" t="str">
        <f>IF($K192="","",IFERROR(INDEX('Veri Merkezi'!$S$2:$S$1001,$K192),""))</f>
        <v/>
      </c>
      <c r="I192" s="2" t="str">
        <f>IF($K192="","",IFERROR(INDEX('Veri Merkezi'!$T$2:$T$1001,$K192),""))</f>
        <v/>
      </c>
      <c r="J192" t="str">
        <f>IF($K192="","",IFERROR(INDEX('Veri Merkezi'!$U$2:$U$1001,$K192),""))</f>
        <v/>
      </c>
      <c r="K192" t="str">
        <f>IF(K191="","",IFERROR(K191+MATCH("Takip",INDEX('Veri Merkezi'!$S$2:$S$1001,K191+1):'Veri Merkezi'!$S$1001,0),""))</f>
        <v/>
      </c>
    </row>
    <row r="193" spans="1:11">
      <c r="A193" t="str">
        <f>IF($K193="","",IFERROR(INDEX('Veri Merkezi'!$A$2:$A$1001,$K193),""))</f>
        <v/>
      </c>
      <c r="B193" t="str">
        <f>IF($K193="","",IFERROR(INDEX('Veri Merkezi'!$E$2:$E$1001,$K193),""))</f>
        <v/>
      </c>
      <c r="C193" t="str">
        <f>IF($K193="","",IFERROR(INDEX('Veri Merkezi'!$D$2:$D$1001,$K193),""))</f>
        <v/>
      </c>
      <c r="D193" t="str">
        <f>IF($K193="","",IFERROR(INDEX('Veri Merkezi'!$F$2:$F$1001,$K193),""))</f>
        <v/>
      </c>
      <c r="E193" s="2" t="str">
        <f>IF($K193="","",IFERROR(INDEX('Veri Merkezi'!$G$2:$G$1001,$K193),""))</f>
        <v/>
      </c>
      <c r="F193" t="str">
        <f>IF($K193="","",IFERROR(INDEX('Veri Merkezi'!$H$2:$H$1001,$K193),""))</f>
        <v/>
      </c>
      <c r="G193" t="str">
        <f>IF($K193="","",IFERROR(INDEX('Veri Merkezi'!$R$2:$R$1001,$K193),""))</f>
        <v/>
      </c>
      <c r="H193" t="str">
        <f>IF($K193="","",IFERROR(INDEX('Veri Merkezi'!$S$2:$S$1001,$K193),""))</f>
        <v/>
      </c>
      <c r="I193" s="2" t="str">
        <f>IF($K193="","",IFERROR(INDEX('Veri Merkezi'!$T$2:$T$1001,$K193),""))</f>
        <v/>
      </c>
      <c r="J193" t="str">
        <f>IF($K193="","",IFERROR(INDEX('Veri Merkezi'!$U$2:$U$1001,$K193),""))</f>
        <v/>
      </c>
      <c r="K193" t="str">
        <f>IF(K192="","",IFERROR(K192+MATCH("Takip",INDEX('Veri Merkezi'!$S$2:$S$1001,K192+1):'Veri Merkezi'!$S$1001,0),""))</f>
        <v/>
      </c>
    </row>
    <row r="194" spans="1:11">
      <c r="A194" t="str">
        <f>IF($K194="","",IFERROR(INDEX('Veri Merkezi'!$A$2:$A$1001,$K194),""))</f>
        <v/>
      </c>
      <c r="B194" t="str">
        <f>IF($K194="","",IFERROR(INDEX('Veri Merkezi'!$E$2:$E$1001,$K194),""))</f>
        <v/>
      </c>
      <c r="C194" t="str">
        <f>IF($K194="","",IFERROR(INDEX('Veri Merkezi'!$D$2:$D$1001,$K194),""))</f>
        <v/>
      </c>
      <c r="D194" t="str">
        <f>IF($K194="","",IFERROR(INDEX('Veri Merkezi'!$F$2:$F$1001,$K194),""))</f>
        <v/>
      </c>
      <c r="E194" s="2" t="str">
        <f>IF($K194="","",IFERROR(INDEX('Veri Merkezi'!$G$2:$G$1001,$K194),""))</f>
        <v/>
      </c>
      <c r="F194" t="str">
        <f>IF($K194="","",IFERROR(INDEX('Veri Merkezi'!$H$2:$H$1001,$K194),""))</f>
        <v/>
      </c>
      <c r="G194" t="str">
        <f>IF($K194="","",IFERROR(INDEX('Veri Merkezi'!$R$2:$R$1001,$K194),""))</f>
        <v/>
      </c>
      <c r="H194" t="str">
        <f>IF($K194="","",IFERROR(INDEX('Veri Merkezi'!$S$2:$S$1001,$K194),""))</f>
        <v/>
      </c>
      <c r="I194" s="2" t="str">
        <f>IF($K194="","",IFERROR(INDEX('Veri Merkezi'!$T$2:$T$1001,$K194),""))</f>
        <v/>
      </c>
      <c r="J194" t="str">
        <f>IF($K194="","",IFERROR(INDEX('Veri Merkezi'!$U$2:$U$1001,$K194),""))</f>
        <v/>
      </c>
      <c r="K194" t="str">
        <f>IF(K193="","",IFERROR(K193+MATCH("Takip",INDEX('Veri Merkezi'!$S$2:$S$1001,K193+1):'Veri Merkezi'!$S$1001,0),""))</f>
        <v/>
      </c>
    </row>
    <row r="195" spans="1:11">
      <c r="A195" t="str">
        <f>IF($K195="","",IFERROR(INDEX('Veri Merkezi'!$A$2:$A$1001,$K195),""))</f>
        <v/>
      </c>
      <c r="B195" t="str">
        <f>IF($K195="","",IFERROR(INDEX('Veri Merkezi'!$E$2:$E$1001,$K195),""))</f>
        <v/>
      </c>
      <c r="C195" t="str">
        <f>IF($K195="","",IFERROR(INDEX('Veri Merkezi'!$D$2:$D$1001,$K195),""))</f>
        <v/>
      </c>
      <c r="D195" t="str">
        <f>IF($K195="","",IFERROR(INDEX('Veri Merkezi'!$F$2:$F$1001,$K195),""))</f>
        <v/>
      </c>
      <c r="E195" s="2" t="str">
        <f>IF($K195="","",IFERROR(INDEX('Veri Merkezi'!$G$2:$G$1001,$K195),""))</f>
        <v/>
      </c>
      <c r="F195" t="str">
        <f>IF($K195="","",IFERROR(INDEX('Veri Merkezi'!$H$2:$H$1001,$K195),""))</f>
        <v/>
      </c>
      <c r="G195" t="str">
        <f>IF($K195="","",IFERROR(INDEX('Veri Merkezi'!$R$2:$R$1001,$K195),""))</f>
        <v/>
      </c>
      <c r="H195" t="str">
        <f>IF($K195="","",IFERROR(INDEX('Veri Merkezi'!$S$2:$S$1001,$K195),""))</f>
        <v/>
      </c>
      <c r="I195" s="2" t="str">
        <f>IF($K195="","",IFERROR(INDEX('Veri Merkezi'!$T$2:$T$1001,$K195),""))</f>
        <v/>
      </c>
      <c r="J195" t="str">
        <f>IF($K195="","",IFERROR(INDEX('Veri Merkezi'!$U$2:$U$1001,$K195),""))</f>
        <v/>
      </c>
      <c r="K195" t="str">
        <f>IF(K194="","",IFERROR(K194+MATCH("Takip",INDEX('Veri Merkezi'!$S$2:$S$1001,K194+1):'Veri Merkezi'!$S$1001,0),""))</f>
        <v/>
      </c>
    </row>
    <row r="196" spans="1:11">
      <c r="A196" t="str">
        <f>IF($K196="","",IFERROR(INDEX('Veri Merkezi'!$A$2:$A$1001,$K196),""))</f>
        <v/>
      </c>
      <c r="B196" t="str">
        <f>IF($K196="","",IFERROR(INDEX('Veri Merkezi'!$E$2:$E$1001,$K196),""))</f>
        <v/>
      </c>
      <c r="C196" t="str">
        <f>IF($K196="","",IFERROR(INDEX('Veri Merkezi'!$D$2:$D$1001,$K196),""))</f>
        <v/>
      </c>
      <c r="D196" t="str">
        <f>IF($K196="","",IFERROR(INDEX('Veri Merkezi'!$F$2:$F$1001,$K196),""))</f>
        <v/>
      </c>
      <c r="E196" s="2" t="str">
        <f>IF($K196="","",IFERROR(INDEX('Veri Merkezi'!$G$2:$G$1001,$K196),""))</f>
        <v/>
      </c>
      <c r="F196" t="str">
        <f>IF($K196="","",IFERROR(INDEX('Veri Merkezi'!$H$2:$H$1001,$K196),""))</f>
        <v/>
      </c>
      <c r="G196" t="str">
        <f>IF($K196="","",IFERROR(INDEX('Veri Merkezi'!$R$2:$R$1001,$K196),""))</f>
        <v/>
      </c>
      <c r="H196" t="str">
        <f>IF($K196="","",IFERROR(INDEX('Veri Merkezi'!$S$2:$S$1001,$K196),""))</f>
        <v/>
      </c>
      <c r="I196" s="2" t="str">
        <f>IF($K196="","",IFERROR(INDEX('Veri Merkezi'!$T$2:$T$1001,$K196),""))</f>
        <v/>
      </c>
      <c r="J196" t="str">
        <f>IF($K196="","",IFERROR(INDEX('Veri Merkezi'!$U$2:$U$1001,$K196),""))</f>
        <v/>
      </c>
      <c r="K196" t="str">
        <f>IF(K195="","",IFERROR(K195+MATCH("Takip",INDEX('Veri Merkezi'!$S$2:$S$1001,K195+1):'Veri Merkezi'!$S$1001,0),""))</f>
        <v/>
      </c>
    </row>
    <row r="197" spans="1:11">
      <c r="A197" t="str">
        <f>IF($K197="","",IFERROR(INDEX('Veri Merkezi'!$A$2:$A$1001,$K197),""))</f>
        <v/>
      </c>
      <c r="B197" t="str">
        <f>IF($K197="","",IFERROR(INDEX('Veri Merkezi'!$E$2:$E$1001,$K197),""))</f>
        <v/>
      </c>
      <c r="C197" t="str">
        <f>IF($K197="","",IFERROR(INDEX('Veri Merkezi'!$D$2:$D$1001,$K197),""))</f>
        <v/>
      </c>
      <c r="D197" t="str">
        <f>IF($K197="","",IFERROR(INDEX('Veri Merkezi'!$F$2:$F$1001,$K197),""))</f>
        <v/>
      </c>
      <c r="E197" s="2" t="str">
        <f>IF($K197="","",IFERROR(INDEX('Veri Merkezi'!$G$2:$G$1001,$K197),""))</f>
        <v/>
      </c>
      <c r="F197" t="str">
        <f>IF($K197="","",IFERROR(INDEX('Veri Merkezi'!$H$2:$H$1001,$K197),""))</f>
        <v/>
      </c>
      <c r="G197" t="str">
        <f>IF($K197="","",IFERROR(INDEX('Veri Merkezi'!$R$2:$R$1001,$K197),""))</f>
        <v/>
      </c>
      <c r="H197" t="str">
        <f>IF($K197="","",IFERROR(INDEX('Veri Merkezi'!$S$2:$S$1001,$K197),""))</f>
        <v/>
      </c>
      <c r="I197" s="2" t="str">
        <f>IF($K197="","",IFERROR(INDEX('Veri Merkezi'!$T$2:$T$1001,$K197),""))</f>
        <v/>
      </c>
      <c r="J197" t="str">
        <f>IF($K197="","",IFERROR(INDEX('Veri Merkezi'!$U$2:$U$1001,$K197),""))</f>
        <v/>
      </c>
      <c r="K197" t="str">
        <f>IF(K196="","",IFERROR(K196+MATCH("Takip",INDEX('Veri Merkezi'!$S$2:$S$1001,K196+1):'Veri Merkezi'!$S$1001,0),""))</f>
        <v/>
      </c>
    </row>
    <row r="198" spans="1:11">
      <c r="A198" t="str">
        <f>IF($K198="","",IFERROR(INDEX('Veri Merkezi'!$A$2:$A$1001,$K198),""))</f>
        <v/>
      </c>
      <c r="B198" t="str">
        <f>IF($K198="","",IFERROR(INDEX('Veri Merkezi'!$E$2:$E$1001,$K198),""))</f>
        <v/>
      </c>
      <c r="C198" t="str">
        <f>IF($K198="","",IFERROR(INDEX('Veri Merkezi'!$D$2:$D$1001,$K198),""))</f>
        <v/>
      </c>
      <c r="D198" t="str">
        <f>IF($K198="","",IFERROR(INDEX('Veri Merkezi'!$F$2:$F$1001,$K198),""))</f>
        <v/>
      </c>
      <c r="E198" s="2" t="str">
        <f>IF($K198="","",IFERROR(INDEX('Veri Merkezi'!$G$2:$G$1001,$K198),""))</f>
        <v/>
      </c>
      <c r="F198" t="str">
        <f>IF($K198="","",IFERROR(INDEX('Veri Merkezi'!$H$2:$H$1001,$K198),""))</f>
        <v/>
      </c>
      <c r="G198" t="str">
        <f>IF($K198="","",IFERROR(INDEX('Veri Merkezi'!$R$2:$R$1001,$K198),""))</f>
        <v/>
      </c>
      <c r="H198" t="str">
        <f>IF($K198="","",IFERROR(INDEX('Veri Merkezi'!$S$2:$S$1001,$K198),""))</f>
        <v/>
      </c>
      <c r="I198" s="2" t="str">
        <f>IF($K198="","",IFERROR(INDEX('Veri Merkezi'!$T$2:$T$1001,$K198),""))</f>
        <v/>
      </c>
      <c r="J198" t="str">
        <f>IF($K198="","",IFERROR(INDEX('Veri Merkezi'!$U$2:$U$1001,$K198),""))</f>
        <v/>
      </c>
      <c r="K198" t="str">
        <f>IF(K197="","",IFERROR(K197+MATCH("Takip",INDEX('Veri Merkezi'!$S$2:$S$1001,K197+1):'Veri Merkezi'!$S$1001,0),""))</f>
        <v/>
      </c>
    </row>
    <row r="199" spans="1:11">
      <c r="A199" t="str">
        <f>IF($K199="","",IFERROR(INDEX('Veri Merkezi'!$A$2:$A$1001,$K199),""))</f>
        <v/>
      </c>
      <c r="B199" t="str">
        <f>IF($K199="","",IFERROR(INDEX('Veri Merkezi'!$E$2:$E$1001,$K199),""))</f>
        <v/>
      </c>
      <c r="C199" t="str">
        <f>IF($K199="","",IFERROR(INDEX('Veri Merkezi'!$D$2:$D$1001,$K199),""))</f>
        <v/>
      </c>
      <c r="D199" t="str">
        <f>IF($K199="","",IFERROR(INDEX('Veri Merkezi'!$F$2:$F$1001,$K199),""))</f>
        <v/>
      </c>
      <c r="E199" s="2" t="str">
        <f>IF($K199="","",IFERROR(INDEX('Veri Merkezi'!$G$2:$G$1001,$K199),""))</f>
        <v/>
      </c>
      <c r="F199" t="str">
        <f>IF($K199="","",IFERROR(INDEX('Veri Merkezi'!$H$2:$H$1001,$K199),""))</f>
        <v/>
      </c>
      <c r="G199" t="str">
        <f>IF($K199="","",IFERROR(INDEX('Veri Merkezi'!$R$2:$R$1001,$K199),""))</f>
        <v/>
      </c>
      <c r="H199" t="str">
        <f>IF($K199="","",IFERROR(INDEX('Veri Merkezi'!$S$2:$S$1001,$K199),""))</f>
        <v/>
      </c>
      <c r="I199" s="2" t="str">
        <f>IF($K199="","",IFERROR(INDEX('Veri Merkezi'!$T$2:$T$1001,$K199),""))</f>
        <v/>
      </c>
      <c r="J199" t="str">
        <f>IF($K199="","",IFERROR(INDEX('Veri Merkezi'!$U$2:$U$1001,$K199),""))</f>
        <v/>
      </c>
      <c r="K199" t="str">
        <f>IF(K198="","",IFERROR(K198+MATCH("Takip",INDEX('Veri Merkezi'!$S$2:$S$1001,K198+1):'Veri Merkezi'!$S$1001,0),""))</f>
        <v/>
      </c>
    </row>
    <row r="200" spans="1:11">
      <c r="A200" t="str">
        <f>IF($K200="","",IFERROR(INDEX('Veri Merkezi'!$A$2:$A$1001,$K200),""))</f>
        <v/>
      </c>
      <c r="B200" t="str">
        <f>IF($K200="","",IFERROR(INDEX('Veri Merkezi'!$E$2:$E$1001,$K200),""))</f>
        <v/>
      </c>
      <c r="C200" t="str">
        <f>IF($K200="","",IFERROR(INDEX('Veri Merkezi'!$D$2:$D$1001,$K200),""))</f>
        <v/>
      </c>
      <c r="D200" t="str">
        <f>IF($K200="","",IFERROR(INDEX('Veri Merkezi'!$F$2:$F$1001,$K200),""))</f>
        <v/>
      </c>
      <c r="E200" s="2" t="str">
        <f>IF($K200="","",IFERROR(INDEX('Veri Merkezi'!$G$2:$G$1001,$K200),""))</f>
        <v/>
      </c>
      <c r="F200" t="str">
        <f>IF($K200="","",IFERROR(INDEX('Veri Merkezi'!$H$2:$H$1001,$K200),""))</f>
        <v/>
      </c>
      <c r="G200" t="str">
        <f>IF($K200="","",IFERROR(INDEX('Veri Merkezi'!$R$2:$R$1001,$K200),""))</f>
        <v/>
      </c>
      <c r="H200" t="str">
        <f>IF($K200="","",IFERROR(INDEX('Veri Merkezi'!$S$2:$S$1001,$K200),""))</f>
        <v/>
      </c>
      <c r="I200" s="2" t="str">
        <f>IF($K200="","",IFERROR(INDEX('Veri Merkezi'!$T$2:$T$1001,$K200),""))</f>
        <v/>
      </c>
      <c r="J200" t="str">
        <f>IF($K200="","",IFERROR(INDEX('Veri Merkezi'!$U$2:$U$1001,$K200),""))</f>
        <v/>
      </c>
      <c r="K200" t="str">
        <f>IF(K199="","",IFERROR(K199+MATCH("Takip",INDEX('Veri Merkezi'!$S$2:$S$1001,K199+1):'Veri Merkezi'!$S$1001,0),""))</f>
        <v/>
      </c>
    </row>
    <row r="201" spans="1:11">
      <c r="A201" t="str">
        <f>IF($K201="","",IFERROR(INDEX('Veri Merkezi'!$A$2:$A$1001,$K201),""))</f>
        <v/>
      </c>
      <c r="B201" t="str">
        <f>IF($K201="","",IFERROR(INDEX('Veri Merkezi'!$E$2:$E$1001,$K201),""))</f>
        <v/>
      </c>
      <c r="C201" t="str">
        <f>IF($K201="","",IFERROR(INDEX('Veri Merkezi'!$D$2:$D$1001,$K201),""))</f>
        <v/>
      </c>
      <c r="D201" t="str">
        <f>IF($K201="","",IFERROR(INDEX('Veri Merkezi'!$F$2:$F$1001,$K201),""))</f>
        <v/>
      </c>
      <c r="E201" s="2" t="str">
        <f>IF($K201="","",IFERROR(INDEX('Veri Merkezi'!$G$2:$G$1001,$K201),""))</f>
        <v/>
      </c>
      <c r="F201" t="str">
        <f>IF($K201="","",IFERROR(INDEX('Veri Merkezi'!$H$2:$H$1001,$K201),""))</f>
        <v/>
      </c>
      <c r="G201" t="str">
        <f>IF($K201="","",IFERROR(INDEX('Veri Merkezi'!$R$2:$R$1001,$K201),""))</f>
        <v/>
      </c>
      <c r="H201" t="str">
        <f>IF($K201="","",IFERROR(INDEX('Veri Merkezi'!$S$2:$S$1001,$K201),""))</f>
        <v/>
      </c>
      <c r="I201" s="2" t="str">
        <f>IF($K201="","",IFERROR(INDEX('Veri Merkezi'!$T$2:$T$1001,$K201),""))</f>
        <v/>
      </c>
      <c r="J201" t="str">
        <f>IF($K201="","",IFERROR(INDEX('Veri Merkezi'!$U$2:$U$1001,$K201),""))</f>
        <v/>
      </c>
      <c r="K201" t="str">
        <f>IF(K200="","",IFERROR(K200+MATCH("Takip",INDEX('Veri Merkezi'!$S$2:$S$1001,K200+1):'Veri Merkezi'!$S$1001,0),""))</f>
        <v/>
      </c>
    </row>
    <row r="202" spans="1:11">
      <c r="A202" t="str">
        <f>IF($K202="","",IFERROR(INDEX('Veri Merkezi'!$A$2:$A$1001,$K202),""))</f>
        <v/>
      </c>
      <c r="B202" t="str">
        <f>IF($K202="","",IFERROR(INDEX('Veri Merkezi'!$E$2:$E$1001,$K202),""))</f>
        <v/>
      </c>
      <c r="C202" t="str">
        <f>IF($K202="","",IFERROR(INDEX('Veri Merkezi'!$D$2:$D$1001,$K202),""))</f>
        <v/>
      </c>
      <c r="D202" t="str">
        <f>IF($K202="","",IFERROR(INDEX('Veri Merkezi'!$F$2:$F$1001,$K202),""))</f>
        <v/>
      </c>
      <c r="E202" s="2" t="str">
        <f>IF($K202="","",IFERROR(INDEX('Veri Merkezi'!$G$2:$G$1001,$K202),""))</f>
        <v/>
      </c>
      <c r="F202" t="str">
        <f>IF($K202="","",IFERROR(INDEX('Veri Merkezi'!$H$2:$H$1001,$K202),""))</f>
        <v/>
      </c>
      <c r="G202" t="str">
        <f>IF($K202="","",IFERROR(INDEX('Veri Merkezi'!$R$2:$R$1001,$K202),""))</f>
        <v/>
      </c>
      <c r="H202" t="str">
        <f>IF($K202="","",IFERROR(INDEX('Veri Merkezi'!$S$2:$S$1001,$K202),""))</f>
        <v/>
      </c>
      <c r="I202" s="2" t="str">
        <f>IF($K202="","",IFERROR(INDEX('Veri Merkezi'!$T$2:$T$1001,$K202),""))</f>
        <v/>
      </c>
      <c r="J202" t="str">
        <f>IF($K202="","",IFERROR(INDEX('Veri Merkezi'!$U$2:$U$1001,$K202),""))</f>
        <v/>
      </c>
      <c r="K202" t="str">
        <f>IF(K201="","",IFERROR(K201+MATCH("Takip",INDEX('Veri Merkezi'!$S$2:$S$1001,K201+1):'Veri Merkezi'!$S$1001,0),""))</f>
        <v/>
      </c>
    </row>
    <row r="203" spans="1:11">
      <c r="A203" t="str">
        <f>IF($K203="","",IFERROR(INDEX('Veri Merkezi'!$A$2:$A$1001,$K203),""))</f>
        <v/>
      </c>
      <c r="B203" t="str">
        <f>IF($K203="","",IFERROR(INDEX('Veri Merkezi'!$E$2:$E$1001,$K203),""))</f>
        <v/>
      </c>
      <c r="C203" t="str">
        <f>IF($K203="","",IFERROR(INDEX('Veri Merkezi'!$D$2:$D$1001,$K203),""))</f>
        <v/>
      </c>
      <c r="D203" t="str">
        <f>IF($K203="","",IFERROR(INDEX('Veri Merkezi'!$F$2:$F$1001,$K203),""))</f>
        <v/>
      </c>
      <c r="E203" s="2" t="str">
        <f>IF($K203="","",IFERROR(INDEX('Veri Merkezi'!$G$2:$G$1001,$K203),""))</f>
        <v/>
      </c>
      <c r="F203" t="str">
        <f>IF($K203="","",IFERROR(INDEX('Veri Merkezi'!$H$2:$H$1001,$K203),""))</f>
        <v/>
      </c>
      <c r="G203" t="str">
        <f>IF($K203="","",IFERROR(INDEX('Veri Merkezi'!$R$2:$R$1001,$K203),""))</f>
        <v/>
      </c>
      <c r="H203" t="str">
        <f>IF($K203="","",IFERROR(INDEX('Veri Merkezi'!$S$2:$S$1001,$K203),""))</f>
        <v/>
      </c>
      <c r="I203" s="2" t="str">
        <f>IF($K203="","",IFERROR(INDEX('Veri Merkezi'!$T$2:$T$1001,$K203),""))</f>
        <v/>
      </c>
      <c r="J203" t="str">
        <f>IF($K203="","",IFERROR(INDEX('Veri Merkezi'!$U$2:$U$1001,$K203),""))</f>
        <v/>
      </c>
      <c r="K203" t="str">
        <f>IF(K202="","",IFERROR(K202+MATCH("Takip",INDEX('Veri Merkezi'!$S$2:$S$1001,K202+1):'Veri Merkezi'!$S$1001,0),""))</f>
        <v/>
      </c>
    </row>
    <row r="204" spans="1:11">
      <c r="A204" t="str">
        <f>IF($K204="","",IFERROR(INDEX('Veri Merkezi'!$A$2:$A$1001,$K204),""))</f>
        <v/>
      </c>
      <c r="B204" t="str">
        <f>IF($K204="","",IFERROR(INDEX('Veri Merkezi'!$E$2:$E$1001,$K204),""))</f>
        <v/>
      </c>
      <c r="C204" t="str">
        <f>IF($K204="","",IFERROR(INDEX('Veri Merkezi'!$D$2:$D$1001,$K204),""))</f>
        <v/>
      </c>
      <c r="D204" t="str">
        <f>IF($K204="","",IFERROR(INDEX('Veri Merkezi'!$F$2:$F$1001,$K204),""))</f>
        <v/>
      </c>
      <c r="E204" s="2" t="str">
        <f>IF($K204="","",IFERROR(INDEX('Veri Merkezi'!$G$2:$G$1001,$K204),""))</f>
        <v/>
      </c>
      <c r="F204" t="str">
        <f>IF($K204="","",IFERROR(INDEX('Veri Merkezi'!$H$2:$H$1001,$K204),""))</f>
        <v/>
      </c>
      <c r="G204" t="str">
        <f>IF($K204="","",IFERROR(INDEX('Veri Merkezi'!$R$2:$R$1001,$K204),""))</f>
        <v/>
      </c>
      <c r="H204" t="str">
        <f>IF($K204="","",IFERROR(INDEX('Veri Merkezi'!$S$2:$S$1001,$K204),""))</f>
        <v/>
      </c>
      <c r="I204" s="2" t="str">
        <f>IF($K204="","",IFERROR(INDEX('Veri Merkezi'!$T$2:$T$1001,$K204),""))</f>
        <v/>
      </c>
      <c r="J204" t="str">
        <f>IF($K204="","",IFERROR(INDEX('Veri Merkezi'!$U$2:$U$1001,$K204),""))</f>
        <v/>
      </c>
      <c r="K204" t="str">
        <f>IF(K203="","",IFERROR(K203+MATCH("Takip",INDEX('Veri Merkezi'!$S$2:$S$1001,K203+1):'Veri Merkezi'!$S$1001,0),""))</f>
        <v/>
      </c>
    </row>
    <row r="205" spans="1:11">
      <c r="A205" t="str">
        <f>IF($K205="","",IFERROR(INDEX('Veri Merkezi'!$A$2:$A$1001,$K205),""))</f>
        <v/>
      </c>
      <c r="B205" t="str">
        <f>IF($K205="","",IFERROR(INDEX('Veri Merkezi'!$E$2:$E$1001,$K205),""))</f>
        <v/>
      </c>
      <c r="C205" t="str">
        <f>IF($K205="","",IFERROR(INDEX('Veri Merkezi'!$D$2:$D$1001,$K205),""))</f>
        <v/>
      </c>
      <c r="D205" t="str">
        <f>IF($K205="","",IFERROR(INDEX('Veri Merkezi'!$F$2:$F$1001,$K205),""))</f>
        <v/>
      </c>
      <c r="E205" s="2" t="str">
        <f>IF($K205="","",IFERROR(INDEX('Veri Merkezi'!$G$2:$G$1001,$K205),""))</f>
        <v/>
      </c>
      <c r="F205" t="str">
        <f>IF($K205="","",IFERROR(INDEX('Veri Merkezi'!$H$2:$H$1001,$K205),""))</f>
        <v/>
      </c>
      <c r="G205" t="str">
        <f>IF($K205="","",IFERROR(INDEX('Veri Merkezi'!$R$2:$R$1001,$K205),""))</f>
        <v/>
      </c>
      <c r="H205" t="str">
        <f>IF($K205="","",IFERROR(INDEX('Veri Merkezi'!$S$2:$S$1001,$K205),""))</f>
        <v/>
      </c>
      <c r="I205" s="2" t="str">
        <f>IF($K205="","",IFERROR(INDEX('Veri Merkezi'!$T$2:$T$1001,$K205),""))</f>
        <v/>
      </c>
      <c r="J205" t="str">
        <f>IF($K205="","",IFERROR(INDEX('Veri Merkezi'!$U$2:$U$1001,$K205),""))</f>
        <v/>
      </c>
      <c r="K205" t="str">
        <f>IF(K204="","",IFERROR(K204+MATCH("Takip",INDEX('Veri Merkezi'!$S$2:$S$1001,K204+1):'Veri Merkezi'!$S$1001,0),""))</f>
        <v/>
      </c>
    </row>
    <row r="206" spans="1:11">
      <c r="A206" t="str">
        <f>IF($K206="","",IFERROR(INDEX('Veri Merkezi'!$A$2:$A$1001,$K206),""))</f>
        <v/>
      </c>
      <c r="B206" t="str">
        <f>IF($K206="","",IFERROR(INDEX('Veri Merkezi'!$E$2:$E$1001,$K206),""))</f>
        <v/>
      </c>
      <c r="C206" t="str">
        <f>IF($K206="","",IFERROR(INDEX('Veri Merkezi'!$D$2:$D$1001,$K206),""))</f>
        <v/>
      </c>
      <c r="D206" t="str">
        <f>IF($K206="","",IFERROR(INDEX('Veri Merkezi'!$F$2:$F$1001,$K206),""))</f>
        <v/>
      </c>
      <c r="E206" s="2" t="str">
        <f>IF($K206="","",IFERROR(INDEX('Veri Merkezi'!$G$2:$G$1001,$K206),""))</f>
        <v/>
      </c>
      <c r="F206" t="str">
        <f>IF($K206="","",IFERROR(INDEX('Veri Merkezi'!$H$2:$H$1001,$K206),""))</f>
        <v/>
      </c>
      <c r="G206" t="str">
        <f>IF($K206="","",IFERROR(INDEX('Veri Merkezi'!$R$2:$R$1001,$K206),""))</f>
        <v/>
      </c>
      <c r="H206" t="str">
        <f>IF($K206="","",IFERROR(INDEX('Veri Merkezi'!$S$2:$S$1001,$K206),""))</f>
        <v/>
      </c>
      <c r="I206" s="2" t="str">
        <f>IF($K206="","",IFERROR(INDEX('Veri Merkezi'!$T$2:$T$1001,$K206),""))</f>
        <v/>
      </c>
      <c r="J206" t="str">
        <f>IF($K206="","",IFERROR(INDEX('Veri Merkezi'!$U$2:$U$1001,$K206),""))</f>
        <v/>
      </c>
      <c r="K206" t="str">
        <f>IF(K205="","",IFERROR(K205+MATCH("Takip",INDEX('Veri Merkezi'!$S$2:$S$1001,K205+1):'Veri Merkezi'!$S$1001,0),""))</f>
        <v/>
      </c>
    </row>
    <row r="207" spans="1:11">
      <c r="A207" t="str">
        <f>IF($K207="","",IFERROR(INDEX('Veri Merkezi'!$A$2:$A$1001,$K207),""))</f>
        <v/>
      </c>
      <c r="B207" t="str">
        <f>IF($K207="","",IFERROR(INDEX('Veri Merkezi'!$E$2:$E$1001,$K207),""))</f>
        <v/>
      </c>
      <c r="C207" t="str">
        <f>IF($K207="","",IFERROR(INDEX('Veri Merkezi'!$D$2:$D$1001,$K207),""))</f>
        <v/>
      </c>
      <c r="D207" t="str">
        <f>IF($K207="","",IFERROR(INDEX('Veri Merkezi'!$F$2:$F$1001,$K207),""))</f>
        <v/>
      </c>
      <c r="E207" s="2" t="str">
        <f>IF($K207="","",IFERROR(INDEX('Veri Merkezi'!$G$2:$G$1001,$K207),""))</f>
        <v/>
      </c>
      <c r="F207" t="str">
        <f>IF($K207="","",IFERROR(INDEX('Veri Merkezi'!$H$2:$H$1001,$K207),""))</f>
        <v/>
      </c>
      <c r="G207" t="str">
        <f>IF($K207="","",IFERROR(INDEX('Veri Merkezi'!$R$2:$R$1001,$K207),""))</f>
        <v/>
      </c>
      <c r="H207" t="str">
        <f>IF($K207="","",IFERROR(INDEX('Veri Merkezi'!$S$2:$S$1001,$K207),""))</f>
        <v/>
      </c>
      <c r="I207" s="2" t="str">
        <f>IF($K207="","",IFERROR(INDEX('Veri Merkezi'!$T$2:$T$1001,$K207),""))</f>
        <v/>
      </c>
      <c r="J207" t="str">
        <f>IF($K207="","",IFERROR(INDEX('Veri Merkezi'!$U$2:$U$1001,$K207),""))</f>
        <v/>
      </c>
      <c r="K207" t="str">
        <f>IF(K206="","",IFERROR(K206+MATCH("Takip",INDEX('Veri Merkezi'!$S$2:$S$1001,K206+1):'Veri Merkezi'!$S$1001,0),""))</f>
        <v/>
      </c>
    </row>
    <row r="208" spans="1:11">
      <c r="A208" t="str">
        <f>IF($K208="","",IFERROR(INDEX('Veri Merkezi'!$A$2:$A$1001,$K208),""))</f>
        <v/>
      </c>
      <c r="B208" t="str">
        <f>IF($K208="","",IFERROR(INDEX('Veri Merkezi'!$E$2:$E$1001,$K208),""))</f>
        <v/>
      </c>
      <c r="C208" t="str">
        <f>IF($K208="","",IFERROR(INDEX('Veri Merkezi'!$D$2:$D$1001,$K208),""))</f>
        <v/>
      </c>
      <c r="D208" t="str">
        <f>IF($K208="","",IFERROR(INDEX('Veri Merkezi'!$F$2:$F$1001,$K208),""))</f>
        <v/>
      </c>
      <c r="E208" s="2" t="str">
        <f>IF($K208="","",IFERROR(INDEX('Veri Merkezi'!$G$2:$G$1001,$K208),""))</f>
        <v/>
      </c>
      <c r="F208" t="str">
        <f>IF($K208="","",IFERROR(INDEX('Veri Merkezi'!$H$2:$H$1001,$K208),""))</f>
        <v/>
      </c>
      <c r="G208" t="str">
        <f>IF($K208="","",IFERROR(INDEX('Veri Merkezi'!$R$2:$R$1001,$K208),""))</f>
        <v/>
      </c>
      <c r="H208" t="str">
        <f>IF($K208="","",IFERROR(INDEX('Veri Merkezi'!$S$2:$S$1001,$K208),""))</f>
        <v/>
      </c>
      <c r="I208" s="2" t="str">
        <f>IF($K208="","",IFERROR(INDEX('Veri Merkezi'!$T$2:$T$1001,$K208),""))</f>
        <v/>
      </c>
      <c r="J208" t="str">
        <f>IF($K208="","",IFERROR(INDEX('Veri Merkezi'!$U$2:$U$1001,$K208),""))</f>
        <v/>
      </c>
      <c r="K208" t="str">
        <f>IF(K207="","",IFERROR(K207+MATCH("Takip",INDEX('Veri Merkezi'!$S$2:$S$1001,K207+1):'Veri Merkezi'!$S$1001,0),""))</f>
        <v/>
      </c>
    </row>
    <row r="209" spans="1:11">
      <c r="A209" t="str">
        <f>IF($K209="","",IFERROR(INDEX('Veri Merkezi'!$A$2:$A$1001,$K209),""))</f>
        <v/>
      </c>
      <c r="B209" t="str">
        <f>IF($K209="","",IFERROR(INDEX('Veri Merkezi'!$E$2:$E$1001,$K209),""))</f>
        <v/>
      </c>
      <c r="C209" t="str">
        <f>IF($K209="","",IFERROR(INDEX('Veri Merkezi'!$D$2:$D$1001,$K209),""))</f>
        <v/>
      </c>
      <c r="D209" t="str">
        <f>IF($K209="","",IFERROR(INDEX('Veri Merkezi'!$F$2:$F$1001,$K209),""))</f>
        <v/>
      </c>
      <c r="E209" s="2" t="str">
        <f>IF($K209="","",IFERROR(INDEX('Veri Merkezi'!$G$2:$G$1001,$K209),""))</f>
        <v/>
      </c>
      <c r="F209" t="str">
        <f>IF($K209="","",IFERROR(INDEX('Veri Merkezi'!$H$2:$H$1001,$K209),""))</f>
        <v/>
      </c>
      <c r="G209" t="str">
        <f>IF($K209="","",IFERROR(INDEX('Veri Merkezi'!$R$2:$R$1001,$K209),""))</f>
        <v/>
      </c>
      <c r="H209" t="str">
        <f>IF($K209="","",IFERROR(INDEX('Veri Merkezi'!$S$2:$S$1001,$K209),""))</f>
        <v/>
      </c>
      <c r="I209" s="2" t="str">
        <f>IF($K209="","",IFERROR(INDEX('Veri Merkezi'!$T$2:$T$1001,$K209),""))</f>
        <v/>
      </c>
      <c r="J209" t="str">
        <f>IF($K209="","",IFERROR(INDEX('Veri Merkezi'!$U$2:$U$1001,$K209),""))</f>
        <v/>
      </c>
      <c r="K209" t="str">
        <f>IF(K208="","",IFERROR(K208+MATCH("Takip",INDEX('Veri Merkezi'!$S$2:$S$1001,K208+1):'Veri Merkezi'!$S$1001,0),""))</f>
        <v/>
      </c>
    </row>
    <row r="210" spans="1:11">
      <c r="A210" t="str">
        <f>IF($K210="","",IFERROR(INDEX('Veri Merkezi'!$A$2:$A$1001,$K210),""))</f>
        <v/>
      </c>
      <c r="B210" t="str">
        <f>IF($K210="","",IFERROR(INDEX('Veri Merkezi'!$E$2:$E$1001,$K210),""))</f>
        <v/>
      </c>
      <c r="C210" t="str">
        <f>IF($K210="","",IFERROR(INDEX('Veri Merkezi'!$D$2:$D$1001,$K210),""))</f>
        <v/>
      </c>
      <c r="D210" t="str">
        <f>IF($K210="","",IFERROR(INDEX('Veri Merkezi'!$F$2:$F$1001,$K210),""))</f>
        <v/>
      </c>
      <c r="E210" s="2" t="str">
        <f>IF($K210="","",IFERROR(INDEX('Veri Merkezi'!$G$2:$G$1001,$K210),""))</f>
        <v/>
      </c>
      <c r="F210" t="str">
        <f>IF($K210="","",IFERROR(INDEX('Veri Merkezi'!$H$2:$H$1001,$K210),""))</f>
        <v/>
      </c>
      <c r="G210" t="str">
        <f>IF($K210="","",IFERROR(INDEX('Veri Merkezi'!$R$2:$R$1001,$K210),""))</f>
        <v/>
      </c>
      <c r="H210" t="str">
        <f>IF($K210="","",IFERROR(INDEX('Veri Merkezi'!$S$2:$S$1001,$K210),""))</f>
        <v/>
      </c>
      <c r="I210" s="2" t="str">
        <f>IF($K210="","",IFERROR(INDEX('Veri Merkezi'!$T$2:$T$1001,$K210),""))</f>
        <v/>
      </c>
      <c r="J210" t="str">
        <f>IF($K210="","",IFERROR(INDEX('Veri Merkezi'!$U$2:$U$1001,$K210),""))</f>
        <v/>
      </c>
      <c r="K210" t="str">
        <f>IF(K209="","",IFERROR(K209+MATCH("Takip",INDEX('Veri Merkezi'!$S$2:$S$1001,K209+1):'Veri Merkezi'!$S$1001,0),""))</f>
        <v/>
      </c>
    </row>
    <row r="211" spans="1:11">
      <c r="A211" t="str">
        <f>IF($K211="","",IFERROR(INDEX('Veri Merkezi'!$A$2:$A$1001,$K211),""))</f>
        <v/>
      </c>
      <c r="B211" t="str">
        <f>IF($K211="","",IFERROR(INDEX('Veri Merkezi'!$E$2:$E$1001,$K211),""))</f>
        <v/>
      </c>
      <c r="C211" t="str">
        <f>IF($K211="","",IFERROR(INDEX('Veri Merkezi'!$D$2:$D$1001,$K211),""))</f>
        <v/>
      </c>
      <c r="D211" t="str">
        <f>IF($K211="","",IFERROR(INDEX('Veri Merkezi'!$F$2:$F$1001,$K211),""))</f>
        <v/>
      </c>
      <c r="E211" s="2" t="str">
        <f>IF($K211="","",IFERROR(INDEX('Veri Merkezi'!$G$2:$G$1001,$K211),""))</f>
        <v/>
      </c>
      <c r="F211" t="str">
        <f>IF($K211="","",IFERROR(INDEX('Veri Merkezi'!$H$2:$H$1001,$K211),""))</f>
        <v/>
      </c>
      <c r="G211" t="str">
        <f>IF($K211="","",IFERROR(INDEX('Veri Merkezi'!$R$2:$R$1001,$K211),""))</f>
        <v/>
      </c>
      <c r="H211" t="str">
        <f>IF($K211="","",IFERROR(INDEX('Veri Merkezi'!$S$2:$S$1001,$K211),""))</f>
        <v/>
      </c>
      <c r="I211" s="2" t="str">
        <f>IF($K211="","",IFERROR(INDEX('Veri Merkezi'!$T$2:$T$1001,$K211),""))</f>
        <v/>
      </c>
      <c r="J211" t="str">
        <f>IF($K211="","",IFERROR(INDEX('Veri Merkezi'!$U$2:$U$1001,$K211),""))</f>
        <v/>
      </c>
      <c r="K211" t="str">
        <f>IF(K210="","",IFERROR(K210+MATCH("Takip",INDEX('Veri Merkezi'!$S$2:$S$1001,K210+1):'Veri Merkezi'!$S$1001,0),""))</f>
        <v/>
      </c>
    </row>
    <row r="212" spans="1:11">
      <c r="A212" t="str">
        <f>IF($K212="","",IFERROR(INDEX('Veri Merkezi'!$A$2:$A$1001,$K212),""))</f>
        <v/>
      </c>
      <c r="B212" t="str">
        <f>IF($K212="","",IFERROR(INDEX('Veri Merkezi'!$E$2:$E$1001,$K212),""))</f>
        <v/>
      </c>
      <c r="C212" t="str">
        <f>IF($K212="","",IFERROR(INDEX('Veri Merkezi'!$D$2:$D$1001,$K212),""))</f>
        <v/>
      </c>
      <c r="D212" t="str">
        <f>IF($K212="","",IFERROR(INDEX('Veri Merkezi'!$F$2:$F$1001,$K212),""))</f>
        <v/>
      </c>
      <c r="E212" s="2" t="str">
        <f>IF($K212="","",IFERROR(INDEX('Veri Merkezi'!$G$2:$G$1001,$K212),""))</f>
        <v/>
      </c>
      <c r="F212" t="str">
        <f>IF($K212="","",IFERROR(INDEX('Veri Merkezi'!$H$2:$H$1001,$K212),""))</f>
        <v/>
      </c>
      <c r="G212" t="str">
        <f>IF($K212="","",IFERROR(INDEX('Veri Merkezi'!$R$2:$R$1001,$K212),""))</f>
        <v/>
      </c>
      <c r="H212" t="str">
        <f>IF($K212="","",IFERROR(INDEX('Veri Merkezi'!$S$2:$S$1001,$K212),""))</f>
        <v/>
      </c>
      <c r="I212" s="2" t="str">
        <f>IF($K212="","",IFERROR(INDEX('Veri Merkezi'!$T$2:$T$1001,$K212),""))</f>
        <v/>
      </c>
      <c r="J212" t="str">
        <f>IF($K212="","",IFERROR(INDEX('Veri Merkezi'!$U$2:$U$1001,$K212),""))</f>
        <v/>
      </c>
      <c r="K212" t="str">
        <f>IF(K211="","",IFERROR(K211+MATCH("Takip",INDEX('Veri Merkezi'!$S$2:$S$1001,K211+1):'Veri Merkezi'!$S$1001,0),""))</f>
        <v/>
      </c>
    </row>
    <row r="213" spans="1:11">
      <c r="A213" t="str">
        <f>IF($K213="","",IFERROR(INDEX('Veri Merkezi'!$A$2:$A$1001,$K213),""))</f>
        <v/>
      </c>
      <c r="B213" t="str">
        <f>IF($K213="","",IFERROR(INDEX('Veri Merkezi'!$E$2:$E$1001,$K213),""))</f>
        <v/>
      </c>
      <c r="C213" t="str">
        <f>IF($K213="","",IFERROR(INDEX('Veri Merkezi'!$D$2:$D$1001,$K213),""))</f>
        <v/>
      </c>
      <c r="D213" t="str">
        <f>IF($K213="","",IFERROR(INDEX('Veri Merkezi'!$F$2:$F$1001,$K213),""))</f>
        <v/>
      </c>
      <c r="E213" s="2" t="str">
        <f>IF($K213="","",IFERROR(INDEX('Veri Merkezi'!$G$2:$G$1001,$K213),""))</f>
        <v/>
      </c>
      <c r="F213" t="str">
        <f>IF($K213="","",IFERROR(INDEX('Veri Merkezi'!$H$2:$H$1001,$K213),""))</f>
        <v/>
      </c>
      <c r="G213" t="str">
        <f>IF($K213="","",IFERROR(INDEX('Veri Merkezi'!$R$2:$R$1001,$K213),""))</f>
        <v/>
      </c>
      <c r="H213" t="str">
        <f>IF($K213="","",IFERROR(INDEX('Veri Merkezi'!$S$2:$S$1001,$K213),""))</f>
        <v/>
      </c>
      <c r="I213" s="2" t="str">
        <f>IF($K213="","",IFERROR(INDEX('Veri Merkezi'!$T$2:$T$1001,$K213),""))</f>
        <v/>
      </c>
      <c r="J213" t="str">
        <f>IF($K213="","",IFERROR(INDEX('Veri Merkezi'!$U$2:$U$1001,$K213),""))</f>
        <v/>
      </c>
      <c r="K213" t="str">
        <f>IF(K212="","",IFERROR(K212+MATCH("Takip",INDEX('Veri Merkezi'!$S$2:$S$1001,K212+1):'Veri Merkezi'!$S$1001,0),""))</f>
        <v/>
      </c>
    </row>
    <row r="214" spans="1:11">
      <c r="A214" t="str">
        <f>IF($K214="","",IFERROR(INDEX('Veri Merkezi'!$A$2:$A$1001,$K214),""))</f>
        <v/>
      </c>
      <c r="B214" t="str">
        <f>IF($K214="","",IFERROR(INDEX('Veri Merkezi'!$E$2:$E$1001,$K214),""))</f>
        <v/>
      </c>
      <c r="C214" t="str">
        <f>IF($K214="","",IFERROR(INDEX('Veri Merkezi'!$D$2:$D$1001,$K214),""))</f>
        <v/>
      </c>
      <c r="D214" t="str">
        <f>IF($K214="","",IFERROR(INDEX('Veri Merkezi'!$F$2:$F$1001,$K214),""))</f>
        <v/>
      </c>
      <c r="E214" s="2" t="str">
        <f>IF($K214="","",IFERROR(INDEX('Veri Merkezi'!$G$2:$G$1001,$K214),""))</f>
        <v/>
      </c>
      <c r="F214" t="str">
        <f>IF($K214="","",IFERROR(INDEX('Veri Merkezi'!$H$2:$H$1001,$K214),""))</f>
        <v/>
      </c>
      <c r="G214" t="str">
        <f>IF($K214="","",IFERROR(INDEX('Veri Merkezi'!$R$2:$R$1001,$K214),""))</f>
        <v/>
      </c>
      <c r="H214" t="str">
        <f>IF($K214="","",IFERROR(INDEX('Veri Merkezi'!$S$2:$S$1001,$K214),""))</f>
        <v/>
      </c>
      <c r="I214" s="2" t="str">
        <f>IF($K214="","",IFERROR(INDEX('Veri Merkezi'!$T$2:$T$1001,$K214),""))</f>
        <v/>
      </c>
      <c r="J214" t="str">
        <f>IF($K214="","",IFERROR(INDEX('Veri Merkezi'!$U$2:$U$1001,$K214),""))</f>
        <v/>
      </c>
      <c r="K214" t="str">
        <f>IF(K213="","",IFERROR(K213+MATCH("Takip",INDEX('Veri Merkezi'!$S$2:$S$1001,K213+1):'Veri Merkezi'!$S$1001,0),""))</f>
        <v/>
      </c>
    </row>
    <row r="215" spans="1:11">
      <c r="A215" t="str">
        <f>IF($K215="","",IFERROR(INDEX('Veri Merkezi'!$A$2:$A$1001,$K215),""))</f>
        <v/>
      </c>
      <c r="B215" t="str">
        <f>IF($K215="","",IFERROR(INDEX('Veri Merkezi'!$E$2:$E$1001,$K215),""))</f>
        <v/>
      </c>
      <c r="C215" t="str">
        <f>IF($K215="","",IFERROR(INDEX('Veri Merkezi'!$D$2:$D$1001,$K215),""))</f>
        <v/>
      </c>
      <c r="D215" t="str">
        <f>IF($K215="","",IFERROR(INDEX('Veri Merkezi'!$F$2:$F$1001,$K215),""))</f>
        <v/>
      </c>
      <c r="E215" s="2" t="str">
        <f>IF($K215="","",IFERROR(INDEX('Veri Merkezi'!$G$2:$G$1001,$K215),""))</f>
        <v/>
      </c>
      <c r="F215" t="str">
        <f>IF($K215="","",IFERROR(INDEX('Veri Merkezi'!$H$2:$H$1001,$K215),""))</f>
        <v/>
      </c>
      <c r="G215" t="str">
        <f>IF($K215="","",IFERROR(INDEX('Veri Merkezi'!$R$2:$R$1001,$K215),""))</f>
        <v/>
      </c>
      <c r="H215" t="str">
        <f>IF($K215="","",IFERROR(INDEX('Veri Merkezi'!$S$2:$S$1001,$K215),""))</f>
        <v/>
      </c>
      <c r="I215" s="2" t="str">
        <f>IF($K215="","",IFERROR(INDEX('Veri Merkezi'!$T$2:$T$1001,$K215),""))</f>
        <v/>
      </c>
      <c r="J215" t="str">
        <f>IF($K215="","",IFERROR(INDEX('Veri Merkezi'!$U$2:$U$1001,$K215),""))</f>
        <v/>
      </c>
      <c r="K215" t="str">
        <f>IF(K214="","",IFERROR(K214+MATCH("Takip",INDEX('Veri Merkezi'!$S$2:$S$1001,K214+1):'Veri Merkezi'!$S$1001,0),""))</f>
        <v/>
      </c>
    </row>
    <row r="216" spans="1:11">
      <c r="A216" t="str">
        <f>IF($K216="","",IFERROR(INDEX('Veri Merkezi'!$A$2:$A$1001,$K216),""))</f>
        <v/>
      </c>
      <c r="B216" t="str">
        <f>IF($K216="","",IFERROR(INDEX('Veri Merkezi'!$E$2:$E$1001,$K216),""))</f>
        <v/>
      </c>
      <c r="C216" t="str">
        <f>IF($K216="","",IFERROR(INDEX('Veri Merkezi'!$D$2:$D$1001,$K216),""))</f>
        <v/>
      </c>
      <c r="D216" t="str">
        <f>IF($K216="","",IFERROR(INDEX('Veri Merkezi'!$F$2:$F$1001,$K216),""))</f>
        <v/>
      </c>
      <c r="E216" s="2" t="str">
        <f>IF($K216="","",IFERROR(INDEX('Veri Merkezi'!$G$2:$G$1001,$K216),""))</f>
        <v/>
      </c>
      <c r="F216" t="str">
        <f>IF($K216="","",IFERROR(INDEX('Veri Merkezi'!$H$2:$H$1001,$K216),""))</f>
        <v/>
      </c>
      <c r="G216" t="str">
        <f>IF($K216="","",IFERROR(INDEX('Veri Merkezi'!$R$2:$R$1001,$K216),""))</f>
        <v/>
      </c>
      <c r="H216" t="str">
        <f>IF($K216="","",IFERROR(INDEX('Veri Merkezi'!$S$2:$S$1001,$K216),""))</f>
        <v/>
      </c>
      <c r="I216" s="2" t="str">
        <f>IF($K216="","",IFERROR(INDEX('Veri Merkezi'!$T$2:$T$1001,$K216),""))</f>
        <v/>
      </c>
      <c r="J216" t="str">
        <f>IF($K216="","",IFERROR(INDEX('Veri Merkezi'!$U$2:$U$1001,$K216),""))</f>
        <v/>
      </c>
      <c r="K216" t="str">
        <f>IF(K215="","",IFERROR(K215+MATCH("Takip",INDEX('Veri Merkezi'!$S$2:$S$1001,K215+1):'Veri Merkezi'!$S$1001,0),""))</f>
        <v/>
      </c>
    </row>
    <row r="217" spans="1:11">
      <c r="A217" t="str">
        <f>IF($K217="","",IFERROR(INDEX('Veri Merkezi'!$A$2:$A$1001,$K217),""))</f>
        <v/>
      </c>
      <c r="B217" t="str">
        <f>IF($K217="","",IFERROR(INDEX('Veri Merkezi'!$E$2:$E$1001,$K217),""))</f>
        <v/>
      </c>
      <c r="C217" t="str">
        <f>IF($K217="","",IFERROR(INDEX('Veri Merkezi'!$D$2:$D$1001,$K217),""))</f>
        <v/>
      </c>
      <c r="D217" t="str">
        <f>IF($K217="","",IFERROR(INDEX('Veri Merkezi'!$F$2:$F$1001,$K217),""))</f>
        <v/>
      </c>
      <c r="E217" s="2" t="str">
        <f>IF($K217="","",IFERROR(INDEX('Veri Merkezi'!$G$2:$G$1001,$K217),""))</f>
        <v/>
      </c>
      <c r="F217" t="str">
        <f>IF($K217="","",IFERROR(INDEX('Veri Merkezi'!$H$2:$H$1001,$K217),""))</f>
        <v/>
      </c>
      <c r="G217" t="str">
        <f>IF($K217="","",IFERROR(INDEX('Veri Merkezi'!$R$2:$R$1001,$K217),""))</f>
        <v/>
      </c>
      <c r="H217" t="str">
        <f>IF($K217="","",IFERROR(INDEX('Veri Merkezi'!$S$2:$S$1001,$K217),""))</f>
        <v/>
      </c>
      <c r="I217" s="2" t="str">
        <f>IF($K217="","",IFERROR(INDEX('Veri Merkezi'!$T$2:$T$1001,$K217),""))</f>
        <v/>
      </c>
      <c r="J217" t="str">
        <f>IF($K217="","",IFERROR(INDEX('Veri Merkezi'!$U$2:$U$1001,$K217),""))</f>
        <v/>
      </c>
      <c r="K217" t="str">
        <f>IF(K216="","",IFERROR(K216+MATCH("Takip",INDEX('Veri Merkezi'!$S$2:$S$1001,K216+1):'Veri Merkezi'!$S$1001,0),""))</f>
        <v/>
      </c>
    </row>
    <row r="218" spans="1:11">
      <c r="A218" t="str">
        <f>IF($K218="","",IFERROR(INDEX('Veri Merkezi'!$A$2:$A$1001,$K218),""))</f>
        <v/>
      </c>
      <c r="B218" t="str">
        <f>IF($K218="","",IFERROR(INDEX('Veri Merkezi'!$E$2:$E$1001,$K218),""))</f>
        <v/>
      </c>
      <c r="C218" t="str">
        <f>IF($K218="","",IFERROR(INDEX('Veri Merkezi'!$D$2:$D$1001,$K218),""))</f>
        <v/>
      </c>
      <c r="D218" t="str">
        <f>IF($K218="","",IFERROR(INDEX('Veri Merkezi'!$F$2:$F$1001,$K218),""))</f>
        <v/>
      </c>
      <c r="E218" s="2" t="str">
        <f>IF($K218="","",IFERROR(INDEX('Veri Merkezi'!$G$2:$G$1001,$K218),""))</f>
        <v/>
      </c>
      <c r="F218" t="str">
        <f>IF($K218="","",IFERROR(INDEX('Veri Merkezi'!$H$2:$H$1001,$K218),""))</f>
        <v/>
      </c>
      <c r="G218" t="str">
        <f>IF($K218="","",IFERROR(INDEX('Veri Merkezi'!$R$2:$R$1001,$K218),""))</f>
        <v/>
      </c>
      <c r="H218" t="str">
        <f>IF($K218="","",IFERROR(INDEX('Veri Merkezi'!$S$2:$S$1001,$K218),""))</f>
        <v/>
      </c>
      <c r="I218" s="2" t="str">
        <f>IF($K218="","",IFERROR(INDEX('Veri Merkezi'!$T$2:$T$1001,$K218),""))</f>
        <v/>
      </c>
      <c r="J218" t="str">
        <f>IF($K218="","",IFERROR(INDEX('Veri Merkezi'!$U$2:$U$1001,$K218),""))</f>
        <v/>
      </c>
      <c r="K218" t="str">
        <f>IF(K217="","",IFERROR(K217+MATCH("Takip",INDEX('Veri Merkezi'!$S$2:$S$1001,K217+1):'Veri Merkezi'!$S$1001,0),""))</f>
        <v/>
      </c>
    </row>
    <row r="219" spans="1:11">
      <c r="A219" t="str">
        <f>IF($K219="","",IFERROR(INDEX('Veri Merkezi'!$A$2:$A$1001,$K219),""))</f>
        <v/>
      </c>
      <c r="B219" t="str">
        <f>IF($K219="","",IFERROR(INDEX('Veri Merkezi'!$E$2:$E$1001,$K219),""))</f>
        <v/>
      </c>
      <c r="C219" t="str">
        <f>IF($K219="","",IFERROR(INDEX('Veri Merkezi'!$D$2:$D$1001,$K219),""))</f>
        <v/>
      </c>
      <c r="D219" t="str">
        <f>IF($K219="","",IFERROR(INDEX('Veri Merkezi'!$F$2:$F$1001,$K219),""))</f>
        <v/>
      </c>
      <c r="E219" s="2" t="str">
        <f>IF($K219="","",IFERROR(INDEX('Veri Merkezi'!$G$2:$G$1001,$K219),""))</f>
        <v/>
      </c>
      <c r="F219" t="str">
        <f>IF($K219="","",IFERROR(INDEX('Veri Merkezi'!$H$2:$H$1001,$K219),""))</f>
        <v/>
      </c>
      <c r="G219" t="str">
        <f>IF($K219="","",IFERROR(INDEX('Veri Merkezi'!$R$2:$R$1001,$K219),""))</f>
        <v/>
      </c>
      <c r="H219" t="str">
        <f>IF($K219="","",IFERROR(INDEX('Veri Merkezi'!$S$2:$S$1001,$K219),""))</f>
        <v/>
      </c>
      <c r="I219" s="2" t="str">
        <f>IF($K219="","",IFERROR(INDEX('Veri Merkezi'!$T$2:$T$1001,$K219),""))</f>
        <v/>
      </c>
      <c r="J219" t="str">
        <f>IF($K219="","",IFERROR(INDEX('Veri Merkezi'!$U$2:$U$1001,$K219),""))</f>
        <v/>
      </c>
      <c r="K219" t="str">
        <f>IF(K218="","",IFERROR(K218+MATCH("Takip",INDEX('Veri Merkezi'!$S$2:$S$1001,K218+1):'Veri Merkezi'!$S$1001,0),""))</f>
        <v/>
      </c>
    </row>
    <row r="220" spans="1:11">
      <c r="A220" t="str">
        <f>IF($K220="","",IFERROR(INDEX('Veri Merkezi'!$A$2:$A$1001,$K220),""))</f>
        <v/>
      </c>
      <c r="B220" t="str">
        <f>IF($K220="","",IFERROR(INDEX('Veri Merkezi'!$E$2:$E$1001,$K220),""))</f>
        <v/>
      </c>
      <c r="C220" t="str">
        <f>IF($K220="","",IFERROR(INDEX('Veri Merkezi'!$D$2:$D$1001,$K220),""))</f>
        <v/>
      </c>
      <c r="D220" t="str">
        <f>IF($K220="","",IFERROR(INDEX('Veri Merkezi'!$F$2:$F$1001,$K220),""))</f>
        <v/>
      </c>
      <c r="E220" s="2" t="str">
        <f>IF($K220="","",IFERROR(INDEX('Veri Merkezi'!$G$2:$G$1001,$K220),""))</f>
        <v/>
      </c>
      <c r="F220" t="str">
        <f>IF($K220="","",IFERROR(INDEX('Veri Merkezi'!$H$2:$H$1001,$K220),""))</f>
        <v/>
      </c>
      <c r="G220" t="str">
        <f>IF($K220="","",IFERROR(INDEX('Veri Merkezi'!$R$2:$R$1001,$K220),""))</f>
        <v/>
      </c>
      <c r="H220" t="str">
        <f>IF($K220="","",IFERROR(INDEX('Veri Merkezi'!$S$2:$S$1001,$K220),""))</f>
        <v/>
      </c>
      <c r="I220" s="2" t="str">
        <f>IF($K220="","",IFERROR(INDEX('Veri Merkezi'!$T$2:$T$1001,$K220),""))</f>
        <v/>
      </c>
      <c r="J220" t="str">
        <f>IF($K220="","",IFERROR(INDEX('Veri Merkezi'!$U$2:$U$1001,$K220),""))</f>
        <v/>
      </c>
      <c r="K220" t="str">
        <f>IF(K219="","",IFERROR(K219+MATCH("Takip",INDEX('Veri Merkezi'!$S$2:$S$1001,K219+1):'Veri Merkezi'!$S$1001,0),""))</f>
        <v/>
      </c>
    </row>
    <row r="221" spans="1:11">
      <c r="A221" t="str">
        <f>IF($K221="","",IFERROR(INDEX('Veri Merkezi'!$A$2:$A$1001,$K221),""))</f>
        <v/>
      </c>
      <c r="B221" t="str">
        <f>IF($K221="","",IFERROR(INDEX('Veri Merkezi'!$E$2:$E$1001,$K221),""))</f>
        <v/>
      </c>
      <c r="C221" t="str">
        <f>IF($K221="","",IFERROR(INDEX('Veri Merkezi'!$D$2:$D$1001,$K221),""))</f>
        <v/>
      </c>
      <c r="D221" t="str">
        <f>IF($K221="","",IFERROR(INDEX('Veri Merkezi'!$F$2:$F$1001,$K221),""))</f>
        <v/>
      </c>
      <c r="E221" s="2" t="str">
        <f>IF($K221="","",IFERROR(INDEX('Veri Merkezi'!$G$2:$G$1001,$K221),""))</f>
        <v/>
      </c>
      <c r="F221" t="str">
        <f>IF($K221="","",IFERROR(INDEX('Veri Merkezi'!$H$2:$H$1001,$K221),""))</f>
        <v/>
      </c>
      <c r="G221" t="str">
        <f>IF($K221="","",IFERROR(INDEX('Veri Merkezi'!$R$2:$R$1001,$K221),""))</f>
        <v/>
      </c>
      <c r="H221" t="str">
        <f>IF($K221="","",IFERROR(INDEX('Veri Merkezi'!$S$2:$S$1001,$K221),""))</f>
        <v/>
      </c>
      <c r="I221" s="2" t="str">
        <f>IF($K221="","",IFERROR(INDEX('Veri Merkezi'!$T$2:$T$1001,$K221),""))</f>
        <v/>
      </c>
      <c r="J221" t="str">
        <f>IF($K221="","",IFERROR(INDEX('Veri Merkezi'!$U$2:$U$1001,$K221),""))</f>
        <v/>
      </c>
      <c r="K221" t="str">
        <f>IF(K220="","",IFERROR(K220+MATCH("Takip",INDEX('Veri Merkezi'!$S$2:$S$1001,K220+1):'Veri Merkezi'!$S$1001,0),""))</f>
        <v/>
      </c>
    </row>
    <row r="222" spans="1:11">
      <c r="A222" t="str">
        <f>IF($K222="","",IFERROR(INDEX('Veri Merkezi'!$A$2:$A$1001,$K222),""))</f>
        <v/>
      </c>
      <c r="B222" t="str">
        <f>IF($K222="","",IFERROR(INDEX('Veri Merkezi'!$E$2:$E$1001,$K222),""))</f>
        <v/>
      </c>
      <c r="C222" t="str">
        <f>IF($K222="","",IFERROR(INDEX('Veri Merkezi'!$D$2:$D$1001,$K222),""))</f>
        <v/>
      </c>
      <c r="D222" t="str">
        <f>IF($K222="","",IFERROR(INDEX('Veri Merkezi'!$F$2:$F$1001,$K222),""))</f>
        <v/>
      </c>
      <c r="E222" s="2" t="str">
        <f>IF($K222="","",IFERROR(INDEX('Veri Merkezi'!$G$2:$G$1001,$K222),""))</f>
        <v/>
      </c>
      <c r="F222" t="str">
        <f>IF($K222="","",IFERROR(INDEX('Veri Merkezi'!$H$2:$H$1001,$K222),""))</f>
        <v/>
      </c>
      <c r="G222" t="str">
        <f>IF($K222="","",IFERROR(INDEX('Veri Merkezi'!$R$2:$R$1001,$K222),""))</f>
        <v/>
      </c>
      <c r="H222" t="str">
        <f>IF($K222="","",IFERROR(INDEX('Veri Merkezi'!$S$2:$S$1001,$K222),""))</f>
        <v/>
      </c>
      <c r="I222" s="2" t="str">
        <f>IF($K222="","",IFERROR(INDEX('Veri Merkezi'!$T$2:$T$1001,$K222),""))</f>
        <v/>
      </c>
      <c r="J222" t="str">
        <f>IF($K222="","",IFERROR(INDEX('Veri Merkezi'!$U$2:$U$1001,$K222),""))</f>
        <v/>
      </c>
      <c r="K222" t="str">
        <f>IF(K221="","",IFERROR(K221+MATCH("Takip",INDEX('Veri Merkezi'!$S$2:$S$1001,K221+1):'Veri Merkezi'!$S$1001,0),""))</f>
        <v/>
      </c>
    </row>
    <row r="223" spans="1:11">
      <c r="A223" t="str">
        <f>IF($K223="","",IFERROR(INDEX('Veri Merkezi'!$A$2:$A$1001,$K223),""))</f>
        <v/>
      </c>
      <c r="B223" t="str">
        <f>IF($K223="","",IFERROR(INDEX('Veri Merkezi'!$E$2:$E$1001,$K223),""))</f>
        <v/>
      </c>
      <c r="C223" t="str">
        <f>IF($K223="","",IFERROR(INDEX('Veri Merkezi'!$D$2:$D$1001,$K223),""))</f>
        <v/>
      </c>
      <c r="D223" t="str">
        <f>IF($K223="","",IFERROR(INDEX('Veri Merkezi'!$F$2:$F$1001,$K223),""))</f>
        <v/>
      </c>
      <c r="E223" s="2" t="str">
        <f>IF($K223="","",IFERROR(INDEX('Veri Merkezi'!$G$2:$G$1001,$K223),""))</f>
        <v/>
      </c>
      <c r="F223" t="str">
        <f>IF($K223="","",IFERROR(INDEX('Veri Merkezi'!$H$2:$H$1001,$K223),""))</f>
        <v/>
      </c>
      <c r="G223" t="str">
        <f>IF($K223="","",IFERROR(INDEX('Veri Merkezi'!$R$2:$R$1001,$K223),""))</f>
        <v/>
      </c>
      <c r="H223" t="str">
        <f>IF($K223="","",IFERROR(INDEX('Veri Merkezi'!$S$2:$S$1001,$K223),""))</f>
        <v/>
      </c>
      <c r="I223" s="2" t="str">
        <f>IF($K223="","",IFERROR(INDEX('Veri Merkezi'!$T$2:$T$1001,$K223),""))</f>
        <v/>
      </c>
      <c r="J223" t="str">
        <f>IF($K223="","",IFERROR(INDEX('Veri Merkezi'!$U$2:$U$1001,$K223),""))</f>
        <v/>
      </c>
      <c r="K223" t="str">
        <f>IF(K222="","",IFERROR(K222+MATCH("Takip",INDEX('Veri Merkezi'!$S$2:$S$1001,K222+1):'Veri Merkezi'!$S$1001,0),""))</f>
        <v/>
      </c>
    </row>
    <row r="224" spans="1:11">
      <c r="A224" t="str">
        <f>IF($K224="","",IFERROR(INDEX('Veri Merkezi'!$A$2:$A$1001,$K224),""))</f>
        <v/>
      </c>
      <c r="B224" t="str">
        <f>IF($K224="","",IFERROR(INDEX('Veri Merkezi'!$E$2:$E$1001,$K224),""))</f>
        <v/>
      </c>
      <c r="C224" t="str">
        <f>IF($K224="","",IFERROR(INDEX('Veri Merkezi'!$D$2:$D$1001,$K224),""))</f>
        <v/>
      </c>
      <c r="D224" t="str">
        <f>IF($K224="","",IFERROR(INDEX('Veri Merkezi'!$F$2:$F$1001,$K224),""))</f>
        <v/>
      </c>
      <c r="E224" s="2" t="str">
        <f>IF($K224="","",IFERROR(INDEX('Veri Merkezi'!$G$2:$G$1001,$K224),""))</f>
        <v/>
      </c>
      <c r="F224" t="str">
        <f>IF($K224="","",IFERROR(INDEX('Veri Merkezi'!$H$2:$H$1001,$K224),""))</f>
        <v/>
      </c>
      <c r="G224" t="str">
        <f>IF($K224="","",IFERROR(INDEX('Veri Merkezi'!$R$2:$R$1001,$K224),""))</f>
        <v/>
      </c>
      <c r="H224" t="str">
        <f>IF($K224="","",IFERROR(INDEX('Veri Merkezi'!$S$2:$S$1001,$K224),""))</f>
        <v/>
      </c>
      <c r="I224" s="2" t="str">
        <f>IF($K224="","",IFERROR(INDEX('Veri Merkezi'!$T$2:$T$1001,$K224),""))</f>
        <v/>
      </c>
      <c r="J224" t="str">
        <f>IF($K224="","",IFERROR(INDEX('Veri Merkezi'!$U$2:$U$1001,$K224),""))</f>
        <v/>
      </c>
      <c r="K224" t="str">
        <f>IF(K223="","",IFERROR(K223+MATCH("Takip",INDEX('Veri Merkezi'!$S$2:$S$1001,K223+1):'Veri Merkezi'!$S$1001,0),""))</f>
        <v/>
      </c>
    </row>
    <row r="225" spans="1:11">
      <c r="A225" t="str">
        <f>IF($K225="","",IFERROR(INDEX('Veri Merkezi'!$A$2:$A$1001,$K225),""))</f>
        <v/>
      </c>
      <c r="B225" t="str">
        <f>IF($K225="","",IFERROR(INDEX('Veri Merkezi'!$E$2:$E$1001,$K225),""))</f>
        <v/>
      </c>
      <c r="C225" t="str">
        <f>IF($K225="","",IFERROR(INDEX('Veri Merkezi'!$D$2:$D$1001,$K225),""))</f>
        <v/>
      </c>
      <c r="D225" t="str">
        <f>IF($K225="","",IFERROR(INDEX('Veri Merkezi'!$F$2:$F$1001,$K225),""))</f>
        <v/>
      </c>
      <c r="E225" s="2" t="str">
        <f>IF($K225="","",IFERROR(INDEX('Veri Merkezi'!$G$2:$G$1001,$K225),""))</f>
        <v/>
      </c>
      <c r="F225" t="str">
        <f>IF($K225="","",IFERROR(INDEX('Veri Merkezi'!$H$2:$H$1001,$K225),""))</f>
        <v/>
      </c>
      <c r="G225" t="str">
        <f>IF($K225="","",IFERROR(INDEX('Veri Merkezi'!$R$2:$R$1001,$K225),""))</f>
        <v/>
      </c>
      <c r="H225" t="str">
        <f>IF($K225="","",IFERROR(INDEX('Veri Merkezi'!$S$2:$S$1001,$K225),""))</f>
        <v/>
      </c>
      <c r="I225" s="2" t="str">
        <f>IF($K225="","",IFERROR(INDEX('Veri Merkezi'!$T$2:$T$1001,$K225),""))</f>
        <v/>
      </c>
      <c r="J225" t="str">
        <f>IF($K225="","",IFERROR(INDEX('Veri Merkezi'!$U$2:$U$1001,$K225),""))</f>
        <v/>
      </c>
      <c r="K225" t="str">
        <f>IF(K224="","",IFERROR(K224+MATCH("Takip",INDEX('Veri Merkezi'!$S$2:$S$1001,K224+1):'Veri Merkezi'!$S$1001,0),""))</f>
        <v/>
      </c>
    </row>
    <row r="226" spans="1:11">
      <c r="A226" t="str">
        <f>IF($K226="","",IFERROR(INDEX('Veri Merkezi'!$A$2:$A$1001,$K226),""))</f>
        <v/>
      </c>
      <c r="B226" t="str">
        <f>IF($K226="","",IFERROR(INDEX('Veri Merkezi'!$E$2:$E$1001,$K226),""))</f>
        <v/>
      </c>
      <c r="C226" t="str">
        <f>IF($K226="","",IFERROR(INDEX('Veri Merkezi'!$D$2:$D$1001,$K226),""))</f>
        <v/>
      </c>
      <c r="D226" t="str">
        <f>IF($K226="","",IFERROR(INDEX('Veri Merkezi'!$F$2:$F$1001,$K226),""))</f>
        <v/>
      </c>
      <c r="E226" s="2" t="str">
        <f>IF($K226="","",IFERROR(INDEX('Veri Merkezi'!$G$2:$G$1001,$K226),""))</f>
        <v/>
      </c>
      <c r="F226" t="str">
        <f>IF($K226="","",IFERROR(INDEX('Veri Merkezi'!$H$2:$H$1001,$K226),""))</f>
        <v/>
      </c>
      <c r="G226" t="str">
        <f>IF($K226="","",IFERROR(INDEX('Veri Merkezi'!$R$2:$R$1001,$K226),""))</f>
        <v/>
      </c>
      <c r="H226" t="str">
        <f>IF($K226="","",IFERROR(INDEX('Veri Merkezi'!$S$2:$S$1001,$K226),""))</f>
        <v/>
      </c>
      <c r="I226" s="2" t="str">
        <f>IF($K226="","",IFERROR(INDEX('Veri Merkezi'!$T$2:$T$1001,$K226),""))</f>
        <v/>
      </c>
      <c r="J226" t="str">
        <f>IF($K226="","",IFERROR(INDEX('Veri Merkezi'!$U$2:$U$1001,$K226),""))</f>
        <v/>
      </c>
      <c r="K226" t="str">
        <f>IF(K225="","",IFERROR(K225+MATCH("Takip",INDEX('Veri Merkezi'!$S$2:$S$1001,K225+1):'Veri Merkezi'!$S$1001,0),""))</f>
        <v/>
      </c>
    </row>
    <row r="227" spans="1:11">
      <c r="A227" t="str">
        <f>IF($K227="","",IFERROR(INDEX('Veri Merkezi'!$A$2:$A$1001,$K227),""))</f>
        <v/>
      </c>
      <c r="B227" t="str">
        <f>IF($K227="","",IFERROR(INDEX('Veri Merkezi'!$E$2:$E$1001,$K227),""))</f>
        <v/>
      </c>
      <c r="C227" t="str">
        <f>IF($K227="","",IFERROR(INDEX('Veri Merkezi'!$D$2:$D$1001,$K227),""))</f>
        <v/>
      </c>
      <c r="D227" t="str">
        <f>IF($K227="","",IFERROR(INDEX('Veri Merkezi'!$F$2:$F$1001,$K227),""))</f>
        <v/>
      </c>
      <c r="E227" s="2" t="str">
        <f>IF($K227="","",IFERROR(INDEX('Veri Merkezi'!$G$2:$G$1001,$K227),""))</f>
        <v/>
      </c>
      <c r="F227" t="str">
        <f>IF($K227="","",IFERROR(INDEX('Veri Merkezi'!$H$2:$H$1001,$K227),""))</f>
        <v/>
      </c>
      <c r="G227" t="str">
        <f>IF($K227="","",IFERROR(INDEX('Veri Merkezi'!$R$2:$R$1001,$K227),""))</f>
        <v/>
      </c>
      <c r="H227" t="str">
        <f>IF($K227="","",IFERROR(INDEX('Veri Merkezi'!$S$2:$S$1001,$K227),""))</f>
        <v/>
      </c>
      <c r="I227" s="2" t="str">
        <f>IF($K227="","",IFERROR(INDEX('Veri Merkezi'!$T$2:$T$1001,$K227),""))</f>
        <v/>
      </c>
      <c r="J227" t="str">
        <f>IF($K227="","",IFERROR(INDEX('Veri Merkezi'!$U$2:$U$1001,$K227),""))</f>
        <v/>
      </c>
      <c r="K227" t="str">
        <f>IF(K226="","",IFERROR(K226+MATCH("Takip",INDEX('Veri Merkezi'!$S$2:$S$1001,K226+1):'Veri Merkezi'!$S$1001,0),""))</f>
        <v/>
      </c>
    </row>
    <row r="228" spans="1:11">
      <c r="A228" t="str">
        <f>IF($K228="","",IFERROR(INDEX('Veri Merkezi'!$A$2:$A$1001,$K228),""))</f>
        <v/>
      </c>
      <c r="B228" t="str">
        <f>IF($K228="","",IFERROR(INDEX('Veri Merkezi'!$E$2:$E$1001,$K228),""))</f>
        <v/>
      </c>
      <c r="C228" t="str">
        <f>IF($K228="","",IFERROR(INDEX('Veri Merkezi'!$D$2:$D$1001,$K228),""))</f>
        <v/>
      </c>
      <c r="D228" t="str">
        <f>IF($K228="","",IFERROR(INDEX('Veri Merkezi'!$F$2:$F$1001,$K228),""))</f>
        <v/>
      </c>
      <c r="E228" s="2" t="str">
        <f>IF($K228="","",IFERROR(INDEX('Veri Merkezi'!$G$2:$G$1001,$K228),""))</f>
        <v/>
      </c>
      <c r="F228" t="str">
        <f>IF($K228="","",IFERROR(INDEX('Veri Merkezi'!$H$2:$H$1001,$K228),""))</f>
        <v/>
      </c>
      <c r="G228" t="str">
        <f>IF($K228="","",IFERROR(INDEX('Veri Merkezi'!$R$2:$R$1001,$K228),""))</f>
        <v/>
      </c>
      <c r="H228" t="str">
        <f>IF($K228="","",IFERROR(INDEX('Veri Merkezi'!$S$2:$S$1001,$K228),""))</f>
        <v/>
      </c>
      <c r="I228" s="2" t="str">
        <f>IF($K228="","",IFERROR(INDEX('Veri Merkezi'!$T$2:$T$1001,$K228),""))</f>
        <v/>
      </c>
      <c r="J228" t="str">
        <f>IF($K228="","",IFERROR(INDEX('Veri Merkezi'!$U$2:$U$1001,$K228),""))</f>
        <v/>
      </c>
      <c r="K228" t="str">
        <f>IF(K227="","",IFERROR(K227+MATCH("Takip",INDEX('Veri Merkezi'!$S$2:$S$1001,K227+1):'Veri Merkezi'!$S$1001,0),""))</f>
        <v/>
      </c>
    </row>
    <row r="229" spans="1:11">
      <c r="A229" t="str">
        <f>IF($K229="","",IFERROR(INDEX('Veri Merkezi'!$A$2:$A$1001,$K229),""))</f>
        <v/>
      </c>
      <c r="B229" t="str">
        <f>IF($K229="","",IFERROR(INDEX('Veri Merkezi'!$E$2:$E$1001,$K229),""))</f>
        <v/>
      </c>
      <c r="C229" t="str">
        <f>IF($K229="","",IFERROR(INDEX('Veri Merkezi'!$D$2:$D$1001,$K229),""))</f>
        <v/>
      </c>
      <c r="D229" t="str">
        <f>IF($K229="","",IFERROR(INDEX('Veri Merkezi'!$F$2:$F$1001,$K229),""))</f>
        <v/>
      </c>
      <c r="E229" s="2" t="str">
        <f>IF($K229="","",IFERROR(INDEX('Veri Merkezi'!$G$2:$G$1001,$K229),""))</f>
        <v/>
      </c>
      <c r="F229" t="str">
        <f>IF($K229="","",IFERROR(INDEX('Veri Merkezi'!$H$2:$H$1001,$K229),""))</f>
        <v/>
      </c>
      <c r="G229" t="str">
        <f>IF($K229="","",IFERROR(INDEX('Veri Merkezi'!$R$2:$R$1001,$K229),""))</f>
        <v/>
      </c>
      <c r="H229" t="str">
        <f>IF($K229="","",IFERROR(INDEX('Veri Merkezi'!$S$2:$S$1001,$K229),""))</f>
        <v/>
      </c>
      <c r="I229" s="2" t="str">
        <f>IF($K229="","",IFERROR(INDEX('Veri Merkezi'!$T$2:$T$1001,$K229),""))</f>
        <v/>
      </c>
      <c r="J229" t="str">
        <f>IF($K229="","",IFERROR(INDEX('Veri Merkezi'!$U$2:$U$1001,$K229),""))</f>
        <v/>
      </c>
      <c r="K229" t="str">
        <f>IF(K228="","",IFERROR(K228+MATCH("Takip",INDEX('Veri Merkezi'!$S$2:$S$1001,K228+1):'Veri Merkezi'!$S$1001,0),""))</f>
        <v/>
      </c>
    </row>
    <row r="230" spans="1:11">
      <c r="A230" t="str">
        <f>IF($K230="","",IFERROR(INDEX('Veri Merkezi'!$A$2:$A$1001,$K230),""))</f>
        <v/>
      </c>
      <c r="B230" t="str">
        <f>IF($K230="","",IFERROR(INDEX('Veri Merkezi'!$E$2:$E$1001,$K230),""))</f>
        <v/>
      </c>
      <c r="C230" t="str">
        <f>IF($K230="","",IFERROR(INDEX('Veri Merkezi'!$D$2:$D$1001,$K230),""))</f>
        <v/>
      </c>
      <c r="D230" t="str">
        <f>IF($K230="","",IFERROR(INDEX('Veri Merkezi'!$F$2:$F$1001,$K230),""))</f>
        <v/>
      </c>
      <c r="E230" s="2" t="str">
        <f>IF($K230="","",IFERROR(INDEX('Veri Merkezi'!$G$2:$G$1001,$K230),""))</f>
        <v/>
      </c>
      <c r="F230" t="str">
        <f>IF($K230="","",IFERROR(INDEX('Veri Merkezi'!$H$2:$H$1001,$K230),""))</f>
        <v/>
      </c>
      <c r="G230" t="str">
        <f>IF($K230="","",IFERROR(INDEX('Veri Merkezi'!$R$2:$R$1001,$K230),""))</f>
        <v/>
      </c>
      <c r="H230" t="str">
        <f>IF($K230="","",IFERROR(INDEX('Veri Merkezi'!$S$2:$S$1001,$K230),""))</f>
        <v/>
      </c>
      <c r="I230" s="2" t="str">
        <f>IF($K230="","",IFERROR(INDEX('Veri Merkezi'!$T$2:$T$1001,$K230),""))</f>
        <v/>
      </c>
      <c r="J230" t="str">
        <f>IF($K230="","",IFERROR(INDEX('Veri Merkezi'!$U$2:$U$1001,$K230),""))</f>
        <v/>
      </c>
      <c r="K230" t="str">
        <f>IF(K229="","",IFERROR(K229+MATCH("Takip",INDEX('Veri Merkezi'!$S$2:$S$1001,K229+1):'Veri Merkezi'!$S$1001,0),""))</f>
        <v/>
      </c>
    </row>
    <row r="231" spans="1:11">
      <c r="A231" t="str">
        <f>IF($K231="","",IFERROR(INDEX('Veri Merkezi'!$A$2:$A$1001,$K231),""))</f>
        <v/>
      </c>
      <c r="B231" t="str">
        <f>IF($K231="","",IFERROR(INDEX('Veri Merkezi'!$E$2:$E$1001,$K231),""))</f>
        <v/>
      </c>
      <c r="C231" t="str">
        <f>IF($K231="","",IFERROR(INDEX('Veri Merkezi'!$D$2:$D$1001,$K231),""))</f>
        <v/>
      </c>
      <c r="D231" t="str">
        <f>IF($K231="","",IFERROR(INDEX('Veri Merkezi'!$F$2:$F$1001,$K231),""))</f>
        <v/>
      </c>
      <c r="E231" s="2" t="str">
        <f>IF($K231="","",IFERROR(INDEX('Veri Merkezi'!$G$2:$G$1001,$K231),""))</f>
        <v/>
      </c>
      <c r="F231" t="str">
        <f>IF($K231="","",IFERROR(INDEX('Veri Merkezi'!$H$2:$H$1001,$K231),""))</f>
        <v/>
      </c>
      <c r="G231" t="str">
        <f>IF($K231="","",IFERROR(INDEX('Veri Merkezi'!$R$2:$R$1001,$K231),""))</f>
        <v/>
      </c>
      <c r="H231" t="str">
        <f>IF($K231="","",IFERROR(INDEX('Veri Merkezi'!$S$2:$S$1001,$K231),""))</f>
        <v/>
      </c>
      <c r="I231" s="2" t="str">
        <f>IF($K231="","",IFERROR(INDEX('Veri Merkezi'!$T$2:$T$1001,$K231),""))</f>
        <v/>
      </c>
      <c r="J231" t="str">
        <f>IF($K231="","",IFERROR(INDEX('Veri Merkezi'!$U$2:$U$1001,$K231),""))</f>
        <v/>
      </c>
      <c r="K231" t="str">
        <f>IF(K230="","",IFERROR(K230+MATCH("Takip",INDEX('Veri Merkezi'!$S$2:$S$1001,K230+1):'Veri Merkezi'!$S$1001,0),""))</f>
        <v/>
      </c>
    </row>
    <row r="232" spans="1:11">
      <c r="A232" t="str">
        <f>IF($K232="","",IFERROR(INDEX('Veri Merkezi'!$A$2:$A$1001,$K232),""))</f>
        <v/>
      </c>
      <c r="B232" t="str">
        <f>IF($K232="","",IFERROR(INDEX('Veri Merkezi'!$E$2:$E$1001,$K232),""))</f>
        <v/>
      </c>
      <c r="C232" t="str">
        <f>IF($K232="","",IFERROR(INDEX('Veri Merkezi'!$D$2:$D$1001,$K232),""))</f>
        <v/>
      </c>
      <c r="D232" t="str">
        <f>IF($K232="","",IFERROR(INDEX('Veri Merkezi'!$F$2:$F$1001,$K232),""))</f>
        <v/>
      </c>
      <c r="E232" s="2" t="str">
        <f>IF($K232="","",IFERROR(INDEX('Veri Merkezi'!$G$2:$G$1001,$K232),""))</f>
        <v/>
      </c>
      <c r="F232" t="str">
        <f>IF($K232="","",IFERROR(INDEX('Veri Merkezi'!$H$2:$H$1001,$K232),""))</f>
        <v/>
      </c>
      <c r="G232" t="str">
        <f>IF($K232="","",IFERROR(INDEX('Veri Merkezi'!$R$2:$R$1001,$K232),""))</f>
        <v/>
      </c>
      <c r="H232" t="str">
        <f>IF($K232="","",IFERROR(INDEX('Veri Merkezi'!$S$2:$S$1001,$K232),""))</f>
        <v/>
      </c>
      <c r="I232" s="2" t="str">
        <f>IF($K232="","",IFERROR(INDEX('Veri Merkezi'!$T$2:$T$1001,$K232),""))</f>
        <v/>
      </c>
      <c r="J232" t="str">
        <f>IF($K232="","",IFERROR(INDEX('Veri Merkezi'!$U$2:$U$1001,$K232),""))</f>
        <v/>
      </c>
      <c r="K232" t="str">
        <f>IF(K231="","",IFERROR(K231+MATCH("Takip",INDEX('Veri Merkezi'!$S$2:$S$1001,K231+1):'Veri Merkezi'!$S$1001,0),""))</f>
        <v/>
      </c>
    </row>
    <row r="233" spans="1:11">
      <c r="A233" t="str">
        <f>IF($K233="","",IFERROR(INDEX('Veri Merkezi'!$A$2:$A$1001,$K233),""))</f>
        <v/>
      </c>
      <c r="B233" t="str">
        <f>IF($K233="","",IFERROR(INDEX('Veri Merkezi'!$E$2:$E$1001,$K233),""))</f>
        <v/>
      </c>
      <c r="C233" t="str">
        <f>IF($K233="","",IFERROR(INDEX('Veri Merkezi'!$D$2:$D$1001,$K233),""))</f>
        <v/>
      </c>
      <c r="D233" t="str">
        <f>IF($K233="","",IFERROR(INDEX('Veri Merkezi'!$F$2:$F$1001,$K233),""))</f>
        <v/>
      </c>
      <c r="E233" s="2" t="str">
        <f>IF($K233="","",IFERROR(INDEX('Veri Merkezi'!$G$2:$G$1001,$K233),""))</f>
        <v/>
      </c>
      <c r="F233" t="str">
        <f>IF($K233="","",IFERROR(INDEX('Veri Merkezi'!$H$2:$H$1001,$K233),""))</f>
        <v/>
      </c>
      <c r="G233" t="str">
        <f>IF($K233="","",IFERROR(INDEX('Veri Merkezi'!$R$2:$R$1001,$K233),""))</f>
        <v/>
      </c>
      <c r="H233" t="str">
        <f>IF($K233="","",IFERROR(INDEX('Veri Merkezi'!$S$2:$S$1001,$K233),""))</f>
        <v/>
      </c>
      <c r="I233" s="2" t="str">
        <f>IF($K233="","",IFERROR(INDEX('Veri Merkezi'!$T$2:$T$1001,$K233),""))</f>
        <v/>
      </c>
      <c r="J233" t="str">
        <f>IF($K233="","",IFERROR(INDEX('Veri Merkezi'!$U$2:$U$1001,$K233),""))</f>
        <v/>
      </c>
      <c r="K233" t="str">
        <f>IF(K232="","",IFERROR(K232+MATCH("Takip",INDEX('Veri Merkezi'!$S$2:$S$1001,K232+1):'Veri Merkezi'!$S$1001,0),""))</f>
        <v/>
      </c>
    </row>
    <row r="234" spans="1:11">
      <c r="A234" t="str">
        <f>IF($K234="","",IFERROR(INDEX('Veri Merkezi'!$A$2:$A$1001,$K234),""))</f>
        <v/>
      </c>
      <c r="B234" t="str">
        <f>IF($K234="","",IFERROR(INDEX('Veri Merkezi'!$E$2:$E$1001,$K234),""))</f>
        <v/>
      </c>
      <c r="C234" t="str">
        <f>IF($K234="","",IFERROR(INDEX('Veri Merkezi'!$D$2:$D$1001,$K234),""))</f>
        <v/>
      </c>
      <c r="D234" t="str">
        <f>IF($K234="","",IFERROR(INDEX('Veri Merkezi'!$F$2:$F$1001,$K234),""))</f>
        <v/>
      </c>
      <c r="E234" s="2" t="str">
        <f>IF($K234="","",IFERROR(INDEX('Veri Merkezi'!$G$2:$G$1001,$K234),""))</f>
        <v/>
      </c>
      <c r="F234" t="str">
        <f>IF($K234="","",IFERROR(INDEX('Veri Merkezi'!$H$2:$H$1001,$K234),""))</f>
        <v/>
      </c>
      <c r="G234" t="str">
        <f>IF($K234="","",IFERROR(INDEX('Veri Merkezi'!$R$2:$R$1001,$K234),""))</f>
        <v/>
      </c>
      <c r="H234" t="str">
        <f>IF($K234="","",IFERROR(INDEX('Veri Merkezi'!$S$2:$S$1001,$K234),""))</f>
        <v/>
      </c>
      <c r="I234" s="2" t="str">
        <f>IF($K234="","",IFERROR(INDEX('Veri Merkezi'!$T$2:$T$1001,$K234),""))</f>
        <v/>
      </c>
      <c r="J234" t="str">
        <f>IF($K234="","",IFERROR(INDEX('Veri Merkezi'!$U$2:$U$1001,$K234),""))</f>
        <v/>
      </c>
      <c r="K234" t="str">
        <f>IF(K233="","",IFERROR(K233+MATCH("Takip",INDEX('Veri Merkezi'!$S$2:$S$1001,K233+1):'Veri Merkezi'!$S$1001,0),""))</f>
        <v/>
      </c>
    </row>
    <row r="235" spans="1:11">
      <c r="A235" t="str">
        <f>IF($K235="","",IFERROR(INDEX('Veri Merkezi'!$A$2:$A$1001,$K235),""))</f>
        <v/>
      </c>
      <c r="B235" t="str">
        <f>IF($K235="","",IFERROR(INDEX('Veri Merkezi'!$E$2:$E$1001,$K235),""))</f>
        <v/>
      </c>
      <c r="C235" t="str">
        <f>IF($K235="","",IFERROR(INDEX('Veri Merkezi'!$D$2:$D$1001,$K235),""))</f>
        <v/>
      </c>
      <c r="D235" t="str">
        <f>IF($K235="","",IFERROR(INDEX('Veri Merkezi'!$F$2:$F$1001,$K235),""))</f>
        <v/>
      </c>
      <c r="E235" s="2" t="str">
        <f>IF($K235="","",IFERROR(INDEX('Veri Merkezi'!$G$2:$G$1001,$K235),""))</f>
        <v/>
      </c>
      <c r="F235" t="str">
        <f>IF($K235="","",IFERROR(INDEX('Veri Merkezi'!$H$2:$H$1001,$K235),""))</f>
        <v/>
      </c>
      <c r="G235" t="str">
        <f>IF($K235="","",IFERROR(INDEX('Veri Merkezi'!$R$2:$R$1001,$K235),""))</f>
        <v/>
      </c>
      <c r="H235" t="str">
        <f>IF($K235="","",IFERROR(INDEX('Veri Merkezi'!$S$2:$S$1001,$K235),""))</f>
        <v/>
      </c>
      <c r="I235" s="2" t="str">
        <f>IF($K235="","",IFERROR(INDEX('Veri Merkezi'!$T$2:$T$1001,$K235),""))</f>
        <v/>
      </c>
      <c r="J235" t="str">
        <f>IF($K235="","",IFERROR(INDEX('Veri Merkezi'!$U$2:$U$1001,$K235),""))</f>
        <v/>
      </c>
      <c r="K235" t="str">
        <f>IF(K234="","",IFERROR(K234+MATCH("Takip",INDEX('Veri Merkezi'!$S$2:$S$1001,K234+1):'Veri Merkezi'!$S$1001,0),""))</f>
        <v/>
      </c>
    </row>
    <row r="236" spans="1:11">
      <c r="A236" t="str">
        <f>IF($K236="","",IFERROR(INDEX('Veri Merkezi'!$A$2:$A$1001,$K236),""))</f>
        <v/>
      </c>
      <c r="B236" t="str">
        <f>IF($K236="","",IFERROR(INDEX('Veri Merkezi'!$E$2:$E$1001,$K236),""))</f>
        <v/>
      </c>
      <c r="C236" t="str">
        <f>IF($K236="","",IFERROR(INDEX('Veri Merkezi'!$D$2:$D$1001,$K236),""))</f>
        <v/>
      </c>
      <c r="D236" t="str">
        <f>IF($K236="","",IFERROR(INDEX('Veri Merkezi'!$F$2:$F$1001,$K236),""))</f>
        <v/>
      </c>
      <c r="E236" s="2" t="str">
        <f>IF($K236="","",IFERROR(INDEX('Veri Merkezi'!$G$2:$G$1001,$K236),""))</f>
        <v/>
      </c>
      <c r="F236" t="str">
        <f>IF($K236="","",IFERROR(INDEX('Veri Merkezi'!$H$2:$H$1001,$K236),""))</f>
        <v/>
      </c>
      <c r="G236" t="str">
        <f>IF($K236="","",IFERROR(INDEX('Veri Merkezi'!$R$2:$R$1001,$K236),""))</f>
        <v/>
      </c>
      <c r="H236" t="str">
        <f>IF($K236="","",IFERROR(INDEX('Veri Merkezi'!$S$2:$S$1001,$K236),""))</f>
        <v/>
      </c>
      <c r="I236" s="2" t="str">
        <f>IF($K236="","",IFERROR(INDEX('Veri Merkezi'!$T$2:$T$1001,$K236),""))</f>
        <v/>
      </c>
      <c r="J236" t="str">
        <f>IF($K236="","",IFERROR(INDEX('Veri Merkezi'!$U$2:$U$1001,$K236),""))</f>
        <v/>
      </c>
      <c r="K236" t="str">
        <f>IF(K235="","",IFERROR(K235+MATCH("Takip",INDEX('Veri Merkezi'!$S$2:$S$1001,K235+1):'Veri Merkezi'!$S$1001,0),""))</f>
        <v/>
      </c>
    </row>
    <row r="237" spans="1:11">
      <c r="A237" t="str">
        <f>IF($K237="","",IFERROR(INDEX('Veri Merkezi'!$A$2:$A$1001,$K237),""))</f>
        <v/>
      </c>
      <c r="B237" t="str">
        <f>IF($K237="","",IFERROR(INDEX('Veri Merkezi'!$E$2:$E$1001,$K237),""))</f>
        <v/>
      </c>
      <c r="C237" t="str">
        <f>IF($K237="","",IFERROR(INDEX('Veri Merkezi'!$D$2:$D$1001,$K237),""))</f>
        <v/>
      </c>
      <c r="D237" t="str">
        <f>IF($K237="","",IFERROR(INDEX('Veri Merkezi'!$F$2:$F$1001,$K237),""))</f>
        <v/>
      </c>
      <c r="E237" s="2" t="str">
        <f>IF($K237="","",IFERROR(INDEX('Veri Merkezi'!$G$2:$G$1001,$K237),""))</f>
        <v/>
      </c>
      <c r="F237" t="str">
        <f>IF($K237="","",IFERROR(INDEX('Veri Merkezi'!$H$2:$H$1001,$K237),""))</f>
        <v/>
      </c>
      <c r="G237" t="str">
        <f>IF($K237="","",IFERROR(INDEX('Veri Merkezi'!$R$2:$R$1001,$K237),""))</f>
        <v/>
      </c>
      <c r="H237" t="str">
        <f>IF($K237="","",IFERROR(INDEX('Veri Merkezi'!$S$2:$S$1001,$K237),""))</f>
        <v/>
      </c>
      <c r="I237" s="2" t="str">
        <f>IF($K237="","",IFERROR(INDEX('Veri Merkezi'!$T$2:$T$1001,$K237),""))</f>
        <v/>
      </c>
      <c r="J237" t="str">
        <f>IF($K237="","",IFERROR(INDEX('Veri Merkezi'!$U$2:$U$1001,$K237),""))</f>
        <v/>
      </c>
      <c r="K237" t="str">
        <f>IF(K236="","",IFERROR(K236+MATCH("Takip",INDEX('Veri Merkezi'!$S$2:$S$1001,K236+1):'Veri Merkezi'!$S$1001,0),""))</f>
        <v/>
      </c>
    </row>
    <row r="238" spans="1:11">
      <c r="A238" t="str">
        <f>IF($K238="","",IFERROR(INDEX('Veri Merkezi'!$A$2:$A$1001,$K238),""))</f>
        <v/>
      </c>
      <c r="B238" t="str">
        <f>IF($K238="","",IFERROR(INDEX('Veri Merkezi'!$E$2:$E$1001,$K238),""))</f>
        <v/>
      </c>
      <c r="C238" t="str">
        <f>IF($K238="","",IFERROR(INDEX('Veri Merkezi'!$D$2:$D$1001,$K238),""))</f>
        <v/>
      </c>
      <c r="D238" t="str">
        <f>IF($K238="","",IFERROR(INDEX('Veri Merkezi'!$F$2:$F$1001,$K238),""))</f>
        <v/>
      </c>
      <c r="E238" s="2" t="str">
        <f>IF($K238="","",IFERROR(INDEX('Veri Merkezi'!$G$2:$G$1001,$K238),""))</f>
        <v/>
      </c>
      <c r="F238" t="str">
        <f>IF($K238="","",IFERROR(INDEX('Veri Merkezi'!$H$2:$H$1001,$K238),""))</f>
        <v/>
      </c>
      <c r="G238" t="str">
        <f>IF($K238="","",IFERROR(INDEX('Veri Merkezi'!$R$2:$R$1001,$K238),""))</f>
        <v/>
      </c>
      <c r="H238" t="str">
        <f>IF($K238="","",IFERROR(INDEX('Veri Merkezi'!$S$2:$S$1001,$K238),""))</f>
        <v/>
      </c>
      <c r="I238" s="2" t="str">
        <f>IF($K238="","",IFERROR(INDEX('Veri Merkezi'!$T$2:$T$1001,$K238),""))</f>
        <v/>
      </c>
      <c r="J238" t="str">
        <f>IF($K238="","",IFERROR(INDEX('Veri Merkezi'!$U$2:$U$1001,$K238),""))</f>
        <v/>
      </c>
      <c r="K238" t="str">
        <f>IF(K237="","",IFERROR(K237+MATCH("Takip",INDEX('Veri Merkezi'!$S$2:$S$1001,K237+1):'Veri Merkezi'!$S$1001,0),""))</f>
        <v/>
      </c>
    </row>
    <row r="239" spans="1:11">
      <c r="A239" t="str">
        <f>IF($K239="","",IFERROR(INDEX('Veri Merkezi'!$A$2:$A$1001,$K239),""))</f>
        <v/>
      </c>
      <c r="B239" t="str">
        <f>IF($K239="","",IFERROR(INDEX('Veri Merkezi'!$E$2:$E$1001,$K239),""))</f>
        <v/>
      </c>
      <c r="C239" t="str">
        <f>IF($K239="","",IFERROR(INDEX('Veri Merkezi'!$D$2:$D$1001,$K239),""))</f>
        <v/>
      </c>
      <c r="D239" t="str">
        <f>IF($K239="","",IFERROR(INDEX('Veri Merkezi'!$F$2:$F$1001,$K239),""))</f>
        <v/>
      </c>
      <c r="E239" s="2" t="str">
        <f>IF($K239="","",IFERROR(INDEX('Veri Merkezi'!$G$2:$G$1001,$K239),""))</f>
        <v/>
      </c>
      <c r="F239" t="str">
        <f>IF($K239="","",IFERROR(INDEX('Veri Merkezi'!$H$2:$H$1001,$K239),""))</f>
        <v/>
      </c>
      <c r="G239" t="str">
        <f>IF($K239="","",IFERROR(INDEX('Veri Merkezi'!$R$2:$R$1001,$K239),""))</f>
        <v/>
      </c>
      <c r="H239" t="str">
        <f>IF($K239="","",IFERROR(INDEX('Veri Merkezi'!$S$2:$S$1001,$K239),""))</f>
        <v/>
      </c>
      <c r="I239" s="2" t="str">
        <f>IF($K239="","",IFERROR(INDEX('Veri Merkezi'!$T$2:$T$1001,$K239),""))</f>
        <v/>
      </c>
      <c r="J239" t="str">
        <f>IF($K239="","",IFERROR(INDEX('Veri Merkezi'!$U$2:$U$1001,$K239),""))</f>
        <v/>
      </c>
      <c r="K239" t="str">
        <f>IF(K238="","",IFERROR(K238+MATCH("Takip",INDEX('Veri Merkezi'!$S$2:$S$1001,K238+1):'Veri Merkezi'!$S$1001,0),""))</f>
        <v/>
      </c>
    </row>
    <row r="240" spans="1:11">
      <c r="A240" t="str">
        <f>IF($K240="","",IFERROR(INDEX('Veri Merkezi'!$A$2:$A$1001,$K240),""))</f>
        <v/>
      </c>
      <c r="B240" t="str">
        <f>IF($K240="","",IFERROR(INDEX('Veri Merkezi'!$E$2:$E$1001,$K240),""))</f>
        <v/>
      </c>
      <c r="C240" t="str">
        <f>IF($K240="","",IFERROR(INDEX('Veri Merkezi'!$D$2:$D$1001,$K240),""))</f>
        <v/>
      </c>
      <c r="D240" t="str">
        <f>IF($K240="","",IFERROR(INDEX('Veri Merkezi'!$F$2:$F$1001,$K240),""))</f>
        <v/>
      </c>
      <c r="E240" s="2" t="str">
        <f>IF($K240="","",IFERROR(INDEX('Veri Merkezi'!$G$2:$G$1001,$K240),""))</f>
        <v/>
      </c>
      <c r="F240" t="str">
        <f>IF($K240="","",IFERROR(INDEX('Veri Merkezi'!$H$2:$H$1001,$K240),""))</f>
        <v/>
      </c>
      <c r="G240" t="str">
        <f>IF($K240="","",IFERROR(INDEX('Veri Merkezi'!$R$2:$R$1001,$K240),""))</f>
        <v/>
      </c>
      <c r="H240" t="str">
        <f>IF($K240="","",IFERROR(INDEX('Veri Merkezi'!$S$2:$S$1001,$K240),""))</f>
        <v/>
      </c>
      <c r="I240" s="2" t="str">
        <f>IF($K240="","",IFERROR(INDEX('Veri Merkezi'!$T$2:$T$1001,$K240),""))</f>
        <v/>
      </c>
      <c r="J240" t="str">
        <f>IF($K240="","",IFERROR(INDEX('Veri Merkezi'!$U$2:$U$1001,$K240),""))</f>
        <v/>
      </c>
      <c r="K240" t="str">
        <f>IF(K239="","",IFERROR(K239+MATCH("Takip",INDEX('Veri Merkezi'!$S$2:$S$1001,K239+1):'Veri Merkezi'!$S$1001,0),""))</f>
        <v/>
      </c>
    </row>
    <row r="241" spans="1:11">
      <c r="A241" t="str">
        <f>IF($K241="","",IFERROR(INDEX('Veri Merkezi'!$A$2:$A$1001,$K241),""))</f>
        <v/>
      </c>
      <c r="B241" t="str">
        <f>IF($K241="","",IFERROR(INDEX('Veri Merkezi'!$E$2:$E$1001,$K241),""))</f>
        <v/>
      </c>
      <c r="C241" t="str">
        <f>IF($K241="","",IFERROR(INDEX('Veri Merkezi'!$D$2:$D$1001,$K241),""))</f>
        <v/>
      </c>
      <c r="D241" t="str">
        <f>IF($K241="","",IFERROR(INDEX('Veri Merkezi'!$F$2:$F$1001,$K241),""))</f>
        <v/>
      </c>
      <c r="E241" s="2" t="str">
        <f>IF($K241="","",IFERROR(INDEX('Veri Merkezi'!$G$2:$G$1001,$K241),""))</f>
        <v/>
      </c>
      <c r="F241" t="str">
        <f>IF($K241="","",IFERROR(INDEX('Veri Merkezi'!$H$2:$H$1001,$K241),""))</f>
        <v/>
      </c>
      <c r="G241" t="str">
        <f>IF($K241="","",IFERROR(INDEX('Veri Merkezi'!$R$2:$R$1001,$K241),""))</f>
        <v/>
      </c>
      <c r="H241" t="str">
        <f>IF($K241="","",IFERROR(INDEX('Veri Merkezi'!$S$2:$S$1001,$K241),""))</f>
        <v/>
      </c>
      <c r="I241" s="2" t="str">
        <f>IF($K241="","",IFERROR(INDEX('Veri Merkezi'!$T$2:$T$1001,$K241),""))</f>
        <v/>
      </c>
      <c r="J241" t="str">
        <f>IF($K241="","",IFERROR(INDEX('Veri Merkezi'!$U$2:$U$1001,$K241),""))</f>
        <v/>
      </c>
      <c r="K241" t="str">
        <f>IF(K240="","",IFERROR(K240+MATCH("Takip",INDEX('Veri Merkezi'!$S$2:$S$1001,K240+1):'Veri Merkezi'!$S$1001,0),""))</f>
        <v/>
      </c>
    </row>
    <row r="242" spans="1:11">
      <c r="A242" t="str">
        <f>IF($K242="","",IFERROR(INDEX('Veri Merkezi'!$A$2:$A$1001,$K242),""))</f>
        <v/>
      </c>
      <c r="B242" t="str">
        <f>IF($K242="","",IFERROR(INDEX('Veri Merkezi'!$E$2:$E$1001,$K242),""))</f>
        <v/>
      </c>
      <c r="C242" t="str">
        <f>IF($K242="","",IFERROR(INDEX('Veri Merkezi'!$D$2:$D$1001,$K242),""))</f>
        <v/>
      </c>
      <c r="D242" t="str">
        <f>IF($K242="","",IFERROR(INDEX('Veri Merkezi'!$F$2:$F$1001,$K242),""))</f>
        <v/>
      </c>
      <c r="E242" s="2" t="str">
        <f>IF($K242="","",IFERROR(INDEX('Veri Merkezi'!$G$2:$G$1001,$K242),""))</f>
        <v/>
      </c>
      <c r="F242" t="str">
        <f>IF($K242="","",IFERROR(INDEX('Veri Merkezi'!$H$2:$H$1001,$K242),""))</f>
        <v/>
      </c>
      <c r="G242" t="str">
        <f>IF($K242="","",IFERROR(INDEX('Veri Merkezi'!$R$2:$R$1001,$K242),""))</f>
        <v/>
      </c>
      <c r="H242" t="str">
        <f>IF($K242="","",IFERROR(INDEX('Veri Merkezi'!$S$2:$S$1001,$K242),""))</f>
        <v/>
      </c>
      <c r="I242" s="2" t="str">
        <f>IF($K242="","",IFERROR(INDEX('Veri Merkezi'!$T$2:$T$1001,$K242),""))</f>
        <v/>
      </c>
      <c r="J242" t="str">
        <f>IF($K242="","",IFERROR(INDEX('Veri Merkezi'!$U$2:$U$1001,$K242),""))</f>
        <v/>
      </c>
      <c r="K242" t="str">
        <f>IF(K241="","",IFERROR(K241+MATCH("Takip",INDEX('Veri Merkezi'!$S$2:$S$1001,K241+1):'Veri Merkezi'!$S$1001,0),""))</f>
        <v/>
      </c>
    </row>
    <row r="243" spans="1:11">
      <c r="A243" t="str">
        <f>IF($K243="","",IFERROR(INDEX('Veri Merkezi'!$A$2:$A$1001,$K243),""))</f>
        <v/>
      </c>
      <c r="B243" t="str">
        <f>IF($K243="","",IFERROR(INDEX('Veri Merkezi'!$E$2:$E$1001,$K243),""))</f>
        <v/>
      </c>
      <c r="C243" t="str">
        <f>IF($K243="","",IFERROR(INDEX('Veri Merkezi'!$D$2:$D$1001,$K243),""))</f>
        <v/>
      </c>
      <c r="D243" t="str">
        <f>IF($K243="","",IFERROR(INDEX('Veri Merkezi'!$F$2:$F$1001,$K243),""))</f>
        <v/>
      </c>
      <c r="E243" s="2" t="str">
        <f>IF($K243="","",IFERROR(INDEX('Veri Merkezi'!$G$2:$G$1001,$K243),""))</f>
        <v/>
      </c>
      <c r="F243" t="str">
        <f>IF($K243="","",IFERROR(INDEX('Veri Merkezi'!$H$2:$H$1001,$K243),""))</f>
        <v/>
      </c>
      <c r="G243" t="str">
        <f>IF($K243="","",IFERROR(INDEX('Veri Merkezi'!$R$2:$R$1001,$K243),""))</f>
        <v/>
      </c>
      <c r="H243" t="str">
        <f>IF($K243="","",IFERROR(INDEX('Veri Merkezi'!$S$2:$S$1001,$K243),""))</f>
        <v/>
      </c>
      <c r="I243" s="2" t="str">
        <f>IF($K243="","",IFERROR(INDEX('Veri Merkezi'!$T$2:$T$1001,$K243),""))</f>
        <v/>
      </c>
      <c r="J243" t="str">
        <f>IF($K243="","",IFERROR(INDEX('Veri Merkezi'!$U$2:$U$1001,$K243),""))</f>
        <v/>
      </c>
      <c r="K243" t="str">
        <f>IF(K242="","",IFERROR(K242+MATCH("Takip",INDEX('Veri Merkezi'!$S$2:$S$1001,K242+1):'Veri Merkezi'!$S$1001,0),""))</f>
        <v/>
      </c>
    </row>
    <row r="244" spans="1:11">
      <c r="A244" t="str">
        <f>IF($K244="","",IFERROR(INDEX('Veri Merkezi'!$A$2:$A$1001,$K244),""))</f>
        <v/>
      </c>
      <c r="B244" t="str">
        <f>IF($K244="","",IFERROR(INDEX('Veri Merkezi'!$E$2:$E$1001,$K244),""))</f>
        <v/>
      </c>
      <c r="C244" t="str">
        <f>IF($K244="","",IFERROR(INDEX('Veri Merkezi'!$D$2:$D$1001,$K244),""))</f>
        <v/>
      </c>
      <c r="D244" t="str">
        <f>IF($K244="","",IFERROR(INDEX('Veri Merkezi'!$F$2:$F$1001,$K244),""))</f>
        <v/>
      </c>
      <c r="E244" s="2" t="str">
        <f>IF($K244="","",IFERROR(INDEX('Veri Merkezi'!$G$2:$G$1001,$K244),""))</f>
        <v/>
      </c>
      <c r="F244" t="str">
        <f>IF($K244="","",IFERROR(INDEX('Veri Merkezi'!$H$2:$H$1001,$K244),""))</f>
        <v/>
      </c>
      <c r="G244" t="str">
        <f>IF($K244="","",IFERROR(INDEX('Veri Merkezi'!$R$2:$R$1001,$K244),""))</f>
        <v/>
      </c>
      <c r="H244" t="str">
        <f>IF($K244="","",IFERROR(INDEX('Veri Merkezi'!$S$2:$S$1001,$K244),""))</f>
        <v/>
      </c>
      <c r="I244" s="2" t="str">
        <f>IF($K244="","",IFERROR(INDEX('Veri Merkezi'!$T$2:$T$1001,$K244),""))</f>
        <v/>
      </c>
      <c r="J244" t="str">
        <f>IF($K244="","",IFERROR(INDEX('Veri Merkezi'!$U$2:$U$1001,$K244),""))</f>
        <v/>
      </c>
      <c r="K244" t="str">
        <f>IF(K243="","",IFERROR(K243+MATCH("Takip",INDEX('Veri Merkezi'!$S$2:$S$1001,K243+1):'Veri Merkezi'!$S$1001,0),""))</f>
        <v/>
      </c>
    </row>
    <row r="245" spans="1:11">
      <c r="A245" t="str">
        <f>IF($K245="","",IFERROR(INDEX('Veri Merkezi'!$A$2:$A$1001,$K245),""))</f>
        <v/>
      </c>
      <c r="B245" t="str">
        <f>IF($K245="","",IFERROR(INDEX('Veri Merkezi'!$E$2:$E$1001,$K245),""))</f>
        <v/>
      </c>
      <c r="C245" t="str">
        <f>IF($K245="","",IFERROR(INDEX('Veri Merkezi'!$D$2:$D$1001,$K245),""))</f>
        <v/>
      </c>
      <c r="D245" t="str">
        <f>IF($K245="","",IFERROR(INDEX('Veri Merkezi'!$F$2:$F$1001,$K245),""))</f>
        <v/>
      </c>
      <c r="E245" s="2" t="str">
        <f>IF($K245="","",IFERROR(INDEX('Veri Merkezi'!$G$2:$G$1001,$K245),""))</f>
        <v/>
      </c>
      <c r="F245" t="str">
        <f>IF($K245="","",IFERROR(INDEX('Veri Merkezi'!$H$2:$H$1001,$K245),""))</f>
        <v/>
      </c>
      <c r="G245" t="str">
        <f>IF($K245="","",IFERROR(INDEX('Veri Merkezi'!$R$2:$R$1001,$K245),""))</f>
        <v/>
      </c>
      <c r="H245" t="str">
        <f>IF($K245="","",IFERROR(INDEX('Veri Merkezi'!$S$2:$S$1001,$K245),""))</f>
        <v/>
      </c>
      <c r="I245" s="2" t="str">
        <f>IF($K245="","",IFERROR(INDEX('Veri Merkezi'!$T$2:$T$1001,$K245),""))</f>
        <v/>
      </c>
      <c r="J245" t="str">
        <f>IF($K245="","",IFERROR(INDEX('Veri Merkezi'!$U$2:$U$1001,$K245),""))</f>
        <v/>
      </c>
      <c r="K245" t="str">
        <f>IF(K244="","",IFERROR(K244+MATCH("Takip",INDEX('Veri Merkezi'!$S$2:$S$1001,K244+1):'Veri Merkezi'!$S$1001,0),""))</f>
        <v/>
      </c>
    </row>
    <row r="246" spans="1:11">
      <c r="A246" t="str">
        <f>IF($K246="","",IFERROR(INDEX('Veri Merkezi'!$A$2:$A$1001,$K246),""))</f>
        <v/>
      </c>
      <c r="B246" t="str">
        <f>IF($K246="","",IFERROR(INDEX('Veri Merkezi'!$E$2:$E$1001,$K246),""))</f>
        <v/>
      </c>
      <c r="C246" t="str">
        <f>IF($K246="","",IFERROR(INDEX('Veri Merkezi'!$D$2:$D$1001,$K246),""))</f>
        <v/>
      </c>
      <c r="D246" t="str">
        <f>IF($K246="","",IFERROR(INDEX('Veri Merkezi'!$F$2:$F$1001,$K246),""))</f>
        <v/>
      </c>
      <c r="E246" s="2" t="str">
        <f>IF($K246="","",IFERROR(INDEX('Veri Merkezi'!$G$2:$G$1001,$K246),""))</f>
        <v/>
      </c>
      <c r="F246" t="str">
        <f>IF($K246="","",IFERROR(INDEX('Veri Merkezi'!$H$2:$H$1001,$K246),""))</f>
        <v/>
      </c>
      <c r="G246" t="str">
        <f>IF($K246="","",IFERROR(INDEX('Veri Merkezi'!$R$2:$R$1001,$K246),""))</f>
        <v/>
      </c>
      <c r="H246" t="str">
        <f>IF($K246="","",IFERROR(INDEX('Veri Merkezi'!$S$2:$S$1001,$K246),""))</f>
        <v/>
      </c>
      <c r="I246" s="2" t="str">
        <f>IF($K246="","",IFERROR(INDEX('Veri Merkezi'!$T$2:$T$1001,$K246),""))</f>
        <v/>
      </c>
      <c r="J246" t="str">
        <f>IF($K246="","",IFERROR(INDEX('Veri Merkezi'!$U$2:$U$1001,$K246),""))</f>
        <v/>
      </c>
      <c r="K246" t="str">
        <f>IF(K245="","",IFERROR(K245+MATCH("Takip",INDEX('Veri Merkezi'!$S$2:$S$1001,K245+1):'Veri Merkezi'!$S$1001,0),""))</f>
        <v/>
      </c>
    </row>
    <row r="247" spans="1:11">
      <c r="A247" t="str">
        <f>IF($K247="","",IFERROR(INDEX('Veri Merkezi'!$A$2:$A$1001,$K247),""))</f>
        <v/>
      </c>
      <c r="B247" t="str">
        <f>IF($K247="","",IFERROR(INDEX('Veri Merkezi'!$E$2:$E$1001,$K247),""))</f>
        <v/>
      </c>
      <c r="C247" t="str">
        <f>IF($K247="","",IFERROR(INDEX('Veri Merkezi'!$D$2:$D$1001,$K247),""))</f>
        <v/>
      </c>
      <c r="D247" t="str">
        <f>IF($K247="","",IFERROR(INDEX('Veri Merkezi'!$F$2:$F$1001,$K247),""))</f>
        <v/>
      </c>
      <c r="E247" s="2" t="str">
        <f>IF($K247="","",IFERROR(INDEX('Veri Merkezi'!$G$2:$G$1001,$K247),""))</f>
        <v/>
      </c>
      <c r="F247" t="str">
        <f>IF($K247="","",IFERROR(INDEX('Veri Merkezi'!$H$2:$H$1001,$K247),""))</f>
        <v/>
      </c>
      <c r="G247" t="str">
        <f>IF($K247="","",IFERROR(INDEX('Veri Merkezi'!$R$2:$R$1001,$K247),""))</f>
        <v/>
      </c>
      <c r="H247" t="str">
        <f>IF($K247="","",IFERROR(INDEX('Veri Merkezi'!$S$2:$S$1001,$K247),""))</f>
        <v/>
      </c>
      <c r="I247" s="2" t="str">
        <f>IF($K247="","",IFERROR(INDEX('Veri Merkezi'!$T$2:$T$1001,$K247),""))</f>
        <v/>
      </c>
      <c r="J247" t="str">
        <f>IF($K247="","",IFERROR(INDEX('Veri Merkezi'!$U$2:$U$1001,$K247),""))</f>
        <v/>
      </c>
      <c r="K247" t="str">
        <f>IF(K246="","",IFERROR(K246+MATCH("Takip",INDEX('Veri Merkezi'!$S$2:$S$1001,K246+1):'Veri Merkezi'!$S$1001,0),""))</f>
        <v/>
      </c>
    </row>
    <row r="248" spans="1:11">
      <c r="A248" t="str">
        <f>IF($K248="","",IFERROR(INDEX('Veri Merkezi'!$A$2:$A$1001,$K248),""))</f>
        <v/>
      </c>
      <c r="B248" t="str">
        <f>IF($K248="","",IFERROR(INDEX('Veri Merkezi'!$E$2:$E$1001,$K248),""))</f>
        <v/>
      </c>
      <c r="C248" t="str">
        <f>IF($K248="","",IFERROR(INDEX('Veri Merkezi'!$D$2:$D$1001,$K248),""))</f>
        <v/>
      </c>
      <c r="D248" t="str">
        <f>IF($K248="","",IFERROR(INDEX('Veri Merkezi'!$F$2:$F$1001,$K248),""))</f>
        <v/>
      </c>
      <c r="E248" s="2" t="str">
        <f>IF($K248="","",IFERROR(INDEX('Veri Merkezi'!$G$2:$G$1001,$K248),""))</f>
        <v/>
      </c>
      <c r="F248" t="str">
        <f>IF($K248="","",IFERROR(INDEX('Veri Merkezi'!$H$2:$H$1001,$K248),""))</f>
        <v/>
      </c>
      <c r="G248" t="str">
        <f>IF($K248="","",IFERROR(INDEX('Veri Merkezi'!$R$2:$R$1001,$K248),""))</f>
        <v/>
      </c>
      <c r="H248" t="str">
        <f>IF($K248="","",IFERROR(INDEX('Veri Merkezi'!$S$2:$S$1001,$K248),""))</f>
        <v/>
      </c>
      <c r="I248" s="2" t="str">
        <f>IF($K248="","",IFERROR(INDEX('Veri Merkezi'!$T$2:$T$1001,$K248),""))</f>
        <v/>
      </c>
      <c r="J248" t="str">
        <f>IF($K248="","",IFERROR(INDEX('Veri Merkezi'!$U$2:$U$1001,$K248),""))</f>
        <v/>
      </c>
      <c r="K248" t="str">
        <f>IF(K247="","",IFERROR(K247+MATCH("Takip",INDEX('Veri Merkezi'!$S$2:$S$1001,K247+1):'Veri Merkezi'!$S$1001,0),""))</f>
        <v/>
      </c>
    </row>
    <row r="249" spans="1:11">
      <c r="A249" t="str">
        <f>IF($K249="","",IFERROR(INDEX('Veri Merkezi'!$A$2:$A$1001,$K249),""))</f>
        <v/>
      </c>
      <c r="B249" t="str">
        <f>IF($K249="","",IFERROR(INDEX('Veri Merkezi'!$E$2:$E$1001,$K249),""))</f>
        <v/>
      </c>
      <c r="C249" t="str">
        <f>IF($K249="","",IFERROR(INDEX('Veri Merkezi'!$D$2:$D$1001,$K249),""))</f>
        <v/>
      </c>
      <c r="D249" t="str">
        <f>IF($K249="","",IFERROR(INDEX('Veri Merkezi'!$F$2:$F$1001,$K249),""))</f>
        <v/>
      </c>
      <c r="E249" s="2" t="str">
        <f>IF($K249="","",IFERROR(INDEX('Veri Merkezi'!$G$2:$G$1001,$K249),""))</f>
        <v/>
      </c>
      <c r="F249" t="str">
        <f>IF($K249="","",IFERROR(INDEX('Veri Merkezi'!$H$2:$H$1001,$K249),""))</f>
        <v/>
      </c>
      <c r="G249" t="str">
        <f>IF($K249="","",IFERROR(INDEX('Veri Merkezi'!$R$2:$R$1001,$K249),""))</f>
        <v/>
      </c>
      <c r="H249" t="str">
        <f>IF($K249="","",IFERROR(INDEX('Veri Merkezi'!$S$2:$S$1001,$K249),""))</f>
        <v/>
      </c>
      <c r="I249" s="2" t="str">
        <f>IF($K249="","",IFERROR(INDEX('Veri Merkezi'!$T$2:$T$1001,$K249),""))</f>
        <v/>
      </c>
      <c r="J249" t="str">
        <f>IF($K249="","",IFERROR(INDEX('Veri Merkezi'!$U$2:$U$1001,$K249),""))</f>
        <v/>
      </c>
      <c r="K249" t="str">
        <f>IF(K248="","",IFERROR(K248+MATCH("Takip",INDEX('Veri Merkezi'!$S$2:$S$1001,K248+1):'Veri Merkezi'!$S$1001,0),""))</f>
        <v/>
      </c>
    </row>
    <row r="250" spans="1:11">
      <c r="A250" t="str">
        <f>IF($K250="","",IFERROR(INDEX('Veri Merkezi'!$A$2:$A$1001,$K250),""))</f>
        <v/>
      </c>
      <c r="B250" t="str">
        <f>IF($K250="","",IFERROR(INDEX('Veri Merkezi'!$E$2:$E$1001,$K250),""))</f>
        <v/>
      </c>
      <c r="C250" t="str">
        <f>IF($K250="","",IFERROR(INDEX('Veri Merkezi'!$D$2:$D$1001,$K250),""))</f>
        <v/>
      </c>
      <c r="D250" t="str">
        <f>IF($K250="","",IFERROR(INDEX('Veri Merkezi'!$F$2:$F$1001,$K250),""))</f>
        <v/>
      </c>
      <c r="E250" s="2" t="str">
        <f>IF($K250="","",IFERROR(INDEX('Veri Merkezi'!$G$2:$G$1001,$K250),""))</f>
        <v/>
      </c>
      <c r="F250" t="str">
        <f>IF($K250="","",IFERROR(INDEX('Veri Merkezi'!$H$2:$H$1001,$K250),""))</f>
        <v/>
      </c>
      <c r="G250" t="str">
        <f>IF($K250="","",IFERROR(INDEX('Veri Merkezi'!$R$2:$R$1001,$K250),""))</f>
        <v/>
      </c>
      <c r="H250" t="str">
        <f>IF($K250="","",IFERROR(INDEX('Veri Merkezi'!$S$2:$S$1001,$K250),""))</f>
        <v/>
      </c>
      <c r="I250" s="2" t="str">
        <f>IF($K250="","",IFERROR(INDEX('Veri Merkezi'!$T$2:$T$1001,$K250),""))</f>
        <v/>
      </c>
      <c r="J250" t="str">
        <f>IF($K250="","",IFERROR(INDEX('Veri Merkezi'!$U$2:$U$1001,$K250),""))</f>
        <v/>
      </c>
      <c r="K250" t="str">
        <f>IF(K249="","",IFERROR(K249+MATCH("Takip",INDEX('Veri Merkezi'!$S$2:$S$1001,K249+1):'Veri Merkezi'!$S$1001,0),""))</f>
        <v/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0"/>
  <sheetViews>
    <sheetView workbookViewId="0">
      <selection sqref="A1:J1"/>
    </sheetView>
  </sheetViews>
  <sheetFormatPr baseColWidth="10" defaultColWidth="8.83203125" defaultRowHeight="14"/>
  <cols>
    <col min="1" max="1" width="24" customWidth="1"/>
    <col min="2" max="2" width="16" customWidth="1"/>
    <col min="3" max="3" width="8" customWidth="1"/>
    <col min="4" max="4" width="20" customWidth="1"/>
    <col min="5" max="5" width="16" customWidth="1"/>
    <col min="6" max="6" width="11" customWidth="1"/>
    <col min="7" max="7" width="12" customWidth="1"/>
    <col min="8" max="9" width="14" customWidth="1"/>
    <col min="10" max="10" width="24" customWidth="1"/>
    <col min="11" max="11" width="13" hidden="1" customWidth="1"/>
  </cols>
  <sheetData>
    <row r="1" spans="1:11" ht="21" customHeight="1">
      <c r="A1" s="94" t="s">
        <v>185</v>
      </c>
      <c r="B1" s="68"/>
      <c r="C1" s="68"/>
      <c r="D1" s="68"/>
      <c r="E1" s="68"/>
      <c r="F1" s="68"/>
      <c r="G1" s="68"/>
      <c r="H1" s="68"/>
      <c r="I1" s="68"/>
      <c r="J1" s="68"/>
    </row>
    <row r="3" spans="1:11" ht="16" customHeight="1">
      <c r="A3" s="30" t="s">
        <v>1</v>
      </c>
      <c r="B3" s="30" t="s">
        <v>5</v>
      </c>
      <c r="C3" s="30" t="s">
        <v>4</v>
      </c>
      <c r="D3" s="30" t="s">
        <v>7</v>
      </c>
      <c r="E3" s="30" t="s">
        <v>175</v>
      </c>
      <c r="F3" s="30" t="s">
        <v>9</v>
      </c>
      <c r="G3" s="30" t="s">
        <v>19</v>
      </c>
      <c r="H3" s="30" t="s">
        <v>20</v>
      </c>
      <c r="I3" s="30" t="s">
        <v>21</v>
      </c>
      <c r="J3" s="30" t="s">
        <v>182</v>
      </c>
    </row>
    <row r="4" spans="1:11">
      <c r="A4" t="str">
        <f>IF($K4="","",IFERROR(INDEX('Veri Merkezi'!$A$2:$A$1001,$K4),""))</f>
        <v>ZE IVALDO</v>
      </c>
      <c r="B4" t="str">
        <f>IF($K4="","",IFERROR(INDEX('Veri Merkezi'!$E$2:$E$1001,$K4),""))</f>
        <v>Stoper</v>
      </c>
      <c r="C4">
        <f ca="1">IF($K4="","",IFERROR(INDEX('Veri Merkezi'!$D$2:$D$1001,$K4),""))</f>
        <v>29</v>
      </c>
      <c r="D4" t="str">
        <f>IF($K4="","",IFERROR(INDEX('Veri Merkezi'!$F$2:$F$1001,$K4),""))</f>
        <v>REMO</v>
      </c>
      <c r="E4" s="2">
        <f>IF($K4="","",IFERROR(INDEX('Veri Merkezi'!$G$2:$G$1001,$K4),""))</f>
        <v>46387</v>
      </c>
      <c r="F4" t="str">
        <f>IF($K4="","",IFERROR(INDEX('Veri Merkezi'!$H$2:$H$1001,$K4),""))</f>
        <v>Sarı</v>
      </c>
      <c r="G4" t="str">
        <f>IF($K4="","",IFERROR(INDEX('Veri Merkezi'!$R$2:$R$1001,$K4),""))</f>
        <v/>
      </c>
      <c r="H4" t="str">
        <f>IF($K4="","",IFERROR(INDEX('Veri Merkezi'!$S$2:$S$1001,$K4),""))</f>
        <v>Tekrar İzle</v>
      </c>
      <c r="I4" s="2" t="str">
        <f>IF($K4="","",IFERROR(INDEX('Veri Merkezi'!$T$2:$T$1001,$K4),""))</f>
        <v/>
      </c>
      <c r="J4" t="str">
        <f>IF($K4="","",IFERROR(INDEX('Veri Merkezi'!$U$2:$U$1001,$K4),""))</f>
        <v>Stoperler</v>
      </c>
      <c r="K4">
        <f>IFERROR(MATCH("Tekrar İzle",'Veri Merkezi'!$S$2:$S$1001,0),"")</f>
        <v>104</v>
      </c>
    </row>
    <row r="5" spans="1:11">
      <c r="A5" t="str">
        <f>IF($K5="","",IFERROR(INDEX('Veri Merkezi'!$A$2:$A$1001,$K5),""))</f>
        <v>NOAH CADİO</v>
      </c>
      <c r="B5" t="str">
        <f>IF($K5="","",IFERROR(INDEX('Veri Merkezi'!$E$2:$E$1001,$K5),""))</f>
        <v>8 Numara</v>
      </c>
      <c r="C5">
        <f ca="1">IF($K5="","",IFERROR(INDEX('Veri Merkezi'!$D$2:$D$1001,$K5),""))</f>
        <v>27</v>
      </c>
      <c r="D5" t="str">
        <f>IF($K5="","",IFERROR(INDEX('Veri Merkezi'!$F$2:$F$1001,$K5),""))</f>
        <v>LORIENT</v>
      </c>
      <c r="E5" s="2">
        <f>IF($K5="","",IFERROR(INDEX('Veri Merkezi'!$G$2:$G$1001,$K5),""))</f>
        <v>47299</v>
      </c>
      <c r="F5" t="str">
        <f>IF($K5="","",IFERROR(INDEX('Veri Merkezi'!$H$2:$H$1001,$K5),""))</f>
        <v>Sarı</v>
      </c>
      <c r="G5" t="str">
        <f>IF($K5="","",IFERROR(INDEX('Veri Merkezi'!$R$2:$R$1001,$K5),""))</f>
        <v/>
      </c>
      <c r="H5" t="str">
        <f>IF($K5="","",IFERROR(INDEX('Veri Merkezi'!$S$2:$S$1001,$K5),""))</f>
        <v>Tekrar İzle</v>
      </c>
      <c r="I5" s="2" t="str">
        <f>IF($K5="","",IFERROR(INDEX('Veri Merkezi'!$T$2:$T$1001,$K5),""))</f>
        <v/>
      </c>
      <c r="J5" t="str">
        <f>IF($K5="","",IFERROR(INDEX('Veri Merkezi'!$U$2:$U$1001,$K5),""))</f>
        <v>8 Numaralar</v>
      </c>
      <c r="K5">
        <f>IF(K4="","",IFERROR(K4+MATCH("Tekrar İzle",INDEX('Veri Merkezi'!$S$2:$S$1001,K4+1):'Veri Merkezi'!$S$1001,0),""))</f>
        <v>513</v>
      </c>
    </row>
    <row r="6" spans="1:11">
      <c r="A6" t="str">
        <f>IF($K6="","",IFERROR(INDEX('Veri Merkezi'!$A$2:$A$1001,$K6),""))</f>
        <v>MELK COSTA DE OLIVEIRA</v>
      </c>
      <c r="B6" t="str">
        <f>IF($K6="","",IFERROR(INDEX('Veri Merkezi'!$E$2:$E$1001,$K6),""))</f>
        <v>10 Numara</v>
      </c>
      <c r="C6">
        <f ca="1">IF($K6="","",IFERROR(INDEX('Veri Merkezi'!$D$2:$D$1001,$K6),""))</f>
        <v>20</v>
      </c>
      <c r="D6" t="str">
        <f>IF($K6="","",IFERROR(INDEX('Veri Merkezi'!$F$2:$F$1001,$K6),""))</f>
        <v>CEARA</v>
      </c>
      <c r="E6" s="2">
        <f>IF($K6="","",IFERROR(INDEX('Veri Merkezi'!$G$2:$G$1001,$K6),""))</f>
        <v>47118</v>
      </c>
      <c r="F6" t="str">
        <f>IF($K6="","",IFERROR(INDEX('Veri Merkezi'!$H$2:$H$1001,$K6),""))</f>
        <v>Kırmızı</v>
      </c>
      <c r="G6" t="str">
        <f>IF($K6="","",IFERROR(INDEX('Veri Merkezi'!$R$2:$R$1001,$K6),""))</f>
        <v/>
      </c>
      <c r="H6" t="str">
        <f>IF($K6="","",IFERROR(INDEX('Veri Merkezi'!$S$2:$S$1001,$K6),""))</f>
        <v>Tekrar İzle</v>
      </c>
      <c r="I6" s="2" t="str">
        <f>IF($K6="","",IFERROR(INDEX('Veri Merkezi'!$T$2:$T$1001,$K6),""))</f>
        <v/>
      </c>
      <c r="J6" t="str">
        <f>IF($K6="","",IFERROR(INDEX('Veri Merkezi'!$U$2:$U$1001,$K6),""))</f>
        <v>10 Numaralar</v>
      </c>
      <c r="K6">
        <f>IF(K5="","",IFERROR(K5+MATCH("Tekrar İzle",INDEX('Veri Merkezi'!$S$2:$S$1001,K5+1):'Veri Merkezi'!$S$1001,0),""))</f>
        <v>602</v>
      </c>
    </row>
    <row r="7" spans="1:11">
      <c r="A7" t="str">
        <f>IF($K7="","",IFERROR(INDEX('Veri Merkezi'!$A$2:$A$1001,$K7),""))</f>
        <v>GONCALO SOUSA</v>
      </c>
      <c r="B7" t="str">
        <f>IF($K7="","",IFERROR(INDEX('Veri Merkezi'!$E$2:$E$1001,$K7),""))</f>
        <v>Kanat</v>
      </c>
      <c r="C7">
        <f ca="1">IF($K7="","",IFERROR(INDEX('Veri Merkezi'!$D$2:$D$1001,$K7),""))</f>
        <v>20</v>
      </c>
      <c r="D7" t="str">
        <f>IF($K7="","",IFERROR(INDEX('Veri Merkezi'!$F$2:$F$1001,$K7),""))</f>
        <v>KOCAELİSPOR/PORTO</v>
      </c>
      <c r="E7" s="2">
        <f>IF($K7="","",IFERROR(INDEX('Veri Merkezi'!$G$2:$G$1001,$K7),""))</f>
        <v>46568</v>
      </c>
      <c r="F7" t="str">
        <f>IF($K7="","",IFERROR(INDEX('Veri Merkezi'!$H$2:$H$1001,$K7),""))</f>
        <v>Sarı</v>
      </c>
      <c r="G7" t="str">
        <f>IF($K7="","",IFERROR(INDEX('Veri Merkezi'!$R$2:$R$1001,$K7),""))</f>
        <v/>
      </c>
      <c r="H7" t="str">
        <f>IF($K7="","",IFERROR(INDEX('Veri Merkezi'!$S$2:$S$1001,$K7),""))</f>
        <v>Tekrar İzle</v>
      </c>
      <c r="I7" s="2" t="str">
        <f>IF($K7="","",IFERROR(INDEX('Veri Merkezi'!$T$2:$T$1001,$K7),""))</f>
        <v/>
      </c>
      <c r="J7" t="str">
        <f>IF($K7="","",IFERROR(INDEX('Veri Merkezi'!$U$2:$U$1001,$K7),""))</f>
        <v>Kanatlar</v>
      </c>
      <c r="K7">
        <f>IF(K6="","",IFERROR(K6+MATCH("Tekrar İzle",INDEX('Veri Merkezi'!$S$2:$S$1001,K6+1):'Veri Merkezi'!$S$1001,0),""))</f>
        <v>704</v>
      </c>
    </row>
    <row r="8" spans="1:11">
      <c r="A8" t="str">
        <f>IF($K8="","",IFERROR(INDEX('Veri Merkezi'!$A$2:$A$1001,$K8),""))</f>
        <v>MIKAEL FELIPE VIANA</v>
      </c>
      <c r="B8" t="str">
        <f>IF($K8="","",IFERROR(INDEX('Veri Merkezi'!$E$2:$E$1001,$K8),""))</f>
        <v>Kanat</v>
      </c>
      <c r="C8">
        <f ca="1">IF($K8="","",IFERROR(INDEX('Veri Merkezi'!$D$2:$D$1001,$K8),""))</f>
        <v>27</v>
      </c>
      <c r="D8" t="str">
        <f>IF($K8="","",IFERROR(INDEX('Veri Merkezi'!$F$2:$F$1001,$K8),""))</f>
        <v>CLUBE DE REGATAS</v>
      </c>
      <c r="E8" s="2">
        <f>IF($K8="","",IFERROR(INDEX('Veri Merkezi'!$G$2:$G$1001,$K8),""))</f>
        <v>46721</v>
      </c>
      <c r="F8" t="str">
        <f>IF($K8="","",IFERROR(INDEX('Veri Merkezi'!$H$2:$H$1001,$K8),""))</f>
        <v>Sarı</v>
      </c>
      <c r="G8" t="str">
        <f>IF($K8="","",IFERROR(INDEX('Veri Merkezi'!$R$2:$R$1001,$K8),""))</f>
        <v/>
      </c>
      <c r="H8" t="str">
        <f>IF($K8="","",IFERROR(INDEX('Veri Merkezi'!$S$2:$S$1001,$K8),""))</f>
        <v>Tekrar İzle</v>
      </c>
      <c r="I8" s="2" t="str">
        <f>IF($K8="","",IFERROR(INDEX('Veri Merkezi'!$T$2:$T$1001,$K8),""))</f>
        <v/>
      </c>
      <c r="J8" t="str">
        <f>IF($K8="","",IFERROR(INDEX('Veri Merkezi'!$U$2:$U$1001,$K8),""))</f>
        <v>Kanatlar</v>
      </c>
      <c r="K8">
        <f>IF(K7="","",IFERROR(K7+MATCH("Tekrar İzle",INDEX('Veri Merkezi'!$S$2:$S$1001,K7+1):'Veri Merkezi'!$S$1001,0),""))</f>
        <v>714</v>
      </c>
    </row>
    <row r="9" spans="1:11">
      <c r="A9" t="str">
        <f>IF($K9="","",IFERROR(INDEX('Veri Merkezi'!$A$2:$A$1001,$K9),""))</f>
        <v>JOVANE CABRAL</v>
      </c>
      <c r="B9" t="str">
        <f>IF($K9="","",IFERROR(INDEX('Veri Merkezi'!$E$2:$E$1001,$K9),""))</f>
        <v>Kanat</v>
      </c>
      <c r="C9">
        <f ca="1">IF($K9="","",IFERROR(INDEX('Veri Merkezi'!$D$2:$D$1001,$K9),""))</f>
        <v>28</v>
      </c>
      <c r="D9" t="str">
        <f>IF($K9="","",IFERROR(INDEX('Veri Merkezi'!$F$2:$F$1001,$K9),""))</f>
        <v>GREMIO</v>
      </c>
      <c r="E9" s="2">
        <f>IF($K9="","",IFERROR(INDEX('Veri Merkezi'!$G$2:$G$1001,$K9),""))</f>
        <v>46752</v>
      </c>
      <c r="F9" t="str">
        <f>IF($K9="","",IFERROR(INDEX('Veri Merkezi'!$H$2:$H$1001,$K9),""))</f>
        <v>Sarı</v>
      </c>
      <c r="G9" t="str">
        <f>IF($K9="","",IFERROR(INDEX('Veri Merkezi'!$R$2:$R$1001,$K9),""))</f>
        <v/>
      </c>
      <c r="H9" t="str">
        <f>IF($K9="","",IFERROR(INDEX('Veri Merkezi'!$S$2:$S$1001,$K9),""))</f>
        <v>Tekrar İzle</v>
      </c>
      <c r="I9" s="2" t="str">
        <f>IF($K9="","",IFERROR(INDEX('Veri Merkezi'!$T$2:$T$1001,$K9),""))</f>
        <v/>
      </c>
      <c r="J9" t="str">
        <f>IF($K9="","",IFERROR(INDEX('Veri Merkezi'!$U$2:$U$1001,$K9),""))</f>
        <v>Kanatlar</v>
      </c>
      <c r="K9">
        <f>IF(K8="","",IFERROR(K8+MATCH("Tekrar İzle",INDEX('Veri Merkezi'!$S$2:$S$1001,K8+1):'Veri Merkezi'!$S$1001,0),""))</f>
        <v>715</v>
      </c>
    </row>
    <row r="10" spans="1:11">
      <c r="A10" t="str">
        <f>IF($K10="","",IFERROR(INDEX('Veri Merkezi'!$A$2:$A$1001,$K10),""))</f>
        <v>OSWIN APPOLLİS</v>
      </c>
      <c r="B10" t="str">
        <f>IF($K10="","",IFERROR(INDEX('Veri Merkezi'!$E$2:$E$1001,$K10),""))</f>
        <v>Kanat</v>
      </c>
      <c r="C10">
        <f ca="1">IF($K10="","",IFERROR(INDEX('Veri Merkezi'!$D$2:$D$1001,$K10),""))</f>
        <v>25</v>
      </c>
      <c r="D10" t="str">
        <f>IF($K10="","",IFERROR(INDEX('Veri Merkezi'!$F$2:$F$1001,$K10),""))</f>
        <v>PİRATES</v>
      </c>
      <c r="E10" s="2">
        <f>IF($K10="","",IFERROR(INDEX('Veri Merkezi'!$G$2:$G$1001,$K10),""))</f>
        <v>46568</v>
      </c>
      <c r="F10" t="str">
        <f>IF($K10="","",IFERROR(INDEX('Veri Merkezi'!$H$2:$H$1001,$K10),""))</f>
        <v>Sarı</v>
      </c>
      <c r="G10" t="str">
        <f>IF($K10="","",IFERROR(INDEX('Veri Merkezi'!$R$2:$R$1001,$K10),""))</f>
        <v/>
      </c>
      <c r="H10" t="str">
        <f>IF($K10="","",IFERROR(INDEX('Veri Merkezi'!$S$2:$S$1001,$K10),""))</f>
        <v>Tekrar İzle</v>
      </c>
      <c r="I10" s="2" t="str">
        <f>IF($K10="","",IFERROR(INDEX('Veri Merkezi'!$T$2:$T$1001,$K10),""))</f>
        <v/>
      </c>
      <c r="J10" t="str">
        <f>IF($K10="","",IFERROR(INDEX('Veri Merkezi'!$U$2:$U$1001,$K10),""))</f>
        <v>Kanatlar</v>
      </c>
      <c r="K10">
        <f>IF(K9="","",IFERROR(K9+MATCH("Tekrar İzle",INDEX('Veri Merkezi'!$S$2:$S$1001,K9+1):'Veri Merkezi'!$S$1001,0),""))</f>
        <v>716</v>
      </c>
    </row>
    <row r="11" spans="1:11">
      <c r="A11" t="str">
        <f>IF($K11="","",IFERROR(INDEX('Veri Merkezi'!$A$2:$A$1001,$K11),""))</f>
        <v>MOHAMMAD MOHEBİ</v>
      </c>
      <c r="B11" t="str">
        <f>IF($K11="","",IFERROR(INDEX('Veri Merkezi'!$E$2:$E$1001,$K11),""))</f>
        <v>Kanat</v>
      </c>
      <c r="C11">
        <f ca="1">IF($K11="","",IFERROR(INDEX('Veri Merkezi'!$D$2:$D$1001,$K11),""))</f>
        <v>27</v>
      </c>
      <c r="D11" t="str">
        <f>IF($K11="","",IFERROR(INDEX('Veri Merkezi'!$F$2:$F$1001,$K11),""))</f>
        <v>HNK RIJEKA</v>
      </c>
      <c r="E11" s="2">
        <f>IF($K11="","",IFERROR(INDEX('Veri Merkezi'!$G$2:$G$1001,$K11),""))</f>
        <v>46934</v>
      </c>
      <c r="F11" t="str">
        <f>IF($K11="","",IFERROR(INDEX('Veri Merkezi'!$H$2:$H$1001,$K11),""))</f>
        <v>Sarı</v>
      </c>
      <c r="G11" t="str">
        <f>IF($K11="","",IFERROR(INDEX('Veri Merkezi'!$R$2:$R$1001,$K11),""))</f>
        <v/>
      </c>
      <c r="H11" t="str">
        <f>IF($K11="","",IFERROR(INDEX('Veri Merkezi'!$S$2:$S$1001,$K11),""))</f>
        <v>Tekrar İzle</v>
      </c>
      <c r="I11" s="2" t="str">
        <f>IF($K11="","",IFERROR(INDEX('Veri Merkezi'!$T$2:$T$1001,$K11),""))</f>
        <v/>
      </c>
      <c r="J11" t="str">
        <f>IF($K11="","",IFERROR(INDEX('Veri Merkezi'!$U$2:$U$1001,$K11),""))</f>
        <v>Kanatlar</v>
      </c>
      <c r="K11">
        <f>IF(K10="","",IFERROR(K10+MATCH("Tekrar İzle",INDEX('Veri Merkezi'!$S$2:$S$1001,K10+1):'Veri Merkezi'!$S$1001,0),""))</f>
        <v>721</v>
      </c>
    </row>
    <row r="12" spans="1:11">
      <c r="A12" t="str">
        <f>IF($K12="","",IFERROR(INDEX('Veri Merkezi'!$A$2:$A$1001,$K12),""))</f>
        <v>BISMARK EDJEODJI</v>
      </c>
      <c r="B12" t="str">
        <f>IF($K12="","",IFERROR(INDEX('Veri Merkezi'!$E$2:$E$1001,$K12),""))</f>
        <v>Forvet</v>
      </c>
      <c r="C12">
        <f ca="1">IF($K12="","",IFERROR(INDEX('Veri Merkezi'!$D$2:$D$1001,$K12),""))</f>
        <v>19</v>
      </c>
      <c r="D12" t="str">
        <f>IF($K12="","",IFERROR(INDEX('Veri Merkezi'!$F$2:$F$1001,$K12),""))</f>
        <v>VEJLE</v>
      </c>
      <c r="E12" s="2">
        <f>IF($K12="","",IFERROR(INDEX('Veri Merkezi'!$G$2:$G$1001,$K12),""))</f>
        <v>47664</v>
      </c>
      <c r="F12" t="str">
        <f>IF($K12="","",IFERROR(INDEX('Veri Merkezi'!$H$2:$H$1001,$K12),""))</f>
        <v>Sarı</v>
      </c>
      <c r="G12" t="str">
        <f>IF($K12="","",IFERROR(INDEX('Veri Merkezi'!$R$2:$R$1001,$K12),""))</f>
        <v/>
      </c>
      <c r="H12" t="str">
        <f>IF($K12="","",IFERROR(INDEX('Veri Merkezi'!$S$2:$S$1001,$K12),""))</f>
        <v>Tekrar İzle</v>
      </c>
      <c r="I12" s="2" t="str">
        <f>IF($K12="","",IFERROR(INDEX('Veri Merkezi'!$T$2:$T$1001,$K12),""))</f>
        <v/>
      </c>
      <c r="J12" t="str">
        <f>IF($K12="","",IFERROR(INDEX('Veri Merkezi'!$U$2:$U$1001,$K12),""))</f>
        <v>Forvetler</v>
      </c>
      <c r="K12">
        <f>IF(K11="","",IFERROR(K11+MATCH("Tekrar İzle",INDEX('Veri Merkezi'!$S$2:$S$1001,K11+1):'Veri Merkezi'!$S$1001,0),""))</f>
        <v>803</v>
      </c>
    </row>
    <row r="13" spans="1:11">
      <c r="A13" t="str">
        <f>IF($K13="","",IFERROR(INDEX('Veri Merkezi'!$A$2:$A$1001,$K13),""))</f>
        <v>MOCTAR DIOP</v>
      </c>
      <c r="B13" t="str">
        <f>IF($K13="","",IFERROR(INDEX('Veri Merkezi'!$E$2:$E$1001,$K13),""))</f>
        <v>Forvet</v>
      </c>
      <c r="C13">
        <f ca="1">IF($K13="","",IFERROR(INDEX('Veri Merkezi'!$D$2:$D$1001,$K13),""))</f>
        <v>21</v>
      </c>
      <c r="D13" t="str">
        <f>IF($K13="","",IFERROR(INDEX('Veri Merkezi'!$F$2:$F$1001,$K13),""))</f>
        <v xml:space="preserve">GENT II </v>
      </c>
      <c r="E13" s="2">
        <f>IF($K13="","",IFERROR(INDEX('Veri Merkezi'!$G$2:$G$1001,$K13),""))</f>
        <v>47299</v>
      </c>
      <c r="F13" t="str">
        <f>IF($K13="","",IFERROR(INDEX('Veri Merkezi'!$H$2:$H$1001,$K13),""))</f>
        <v>Kırmızı</v>
      </c>
      <c r="G13" t="str">
        <f>IF($K13="","",IFERROR(INDEX('Veri Merkezi'!$R$2:$R$1001,$K13),""))</f>
        <v/>
      </c>
      <c r="H13" t="str">
        <f>IF($K13="","",IFERROR(INDEX('Veri Merkezi'!$S$2:$S$1001,$K13),""))</f>
        <v>Tekrar İzle</v>
      </c>
      <c r="I13" s="2" t="str">
        <f>IF($K13="","",IFERROR(INDEX('Veri Merkezi'!$T$2:$T$1001,$K13),""))</f>
        <v/>
      </c>
      <c r="J13" t="str">
        <f>IF($K13="","",IFERROR(INDEX('Veri Merkezi'!$U$2:$U$1001,$K13),""))</f>
        <v>Forvetler</v>
      </c>
      <c r="K13">
        <f>IF(K12="","",IFERROR(K12+MATCH("Tekrar İzle",INDEX('Veri Merkezi'!$S$2:$S$1001,K12+1):'Veri Merkezi'!$S$1001,0),""))</f>
        <v>807</v>
      </c>
    </row>
    <row r="14" spans="1:11">
      <c r="A14" t="str">
        <f>IF($K14="","",IFERROR(INDEX('Veri Merkezi'!$A$2:$A$1001,$K14),""))</f>
        <v>IKER BRAVO</v>
      </c>
      <c r="B14" t="str">
        <f>IF($K14="","",IFERROR(INDEX('Veri Merkezi'!$E$2:$E$1001,$K14),""))</f>
        <v>Forvet</v>
      </c>
      <c r="C14">
        <f ca="1">IF($K14="","",IFERROR(INDEX('Veri Merkezi'!$D$2:$D$1001,$K14),""))</f>
        <v>21</v>
      </c>
      <c r="D14" t="str">
        <f>IF($K14="","",IFERROR(INDEX('Veri Merkezi'!$F$2:$F$1001,$K14),""))</f>
        <v>WATFORD</v>
      </c>
      <c r="E14" s="2">
        <f>IF($K14="","",IFERROR(INDEX('Veri Merkezi'!$G$2:$G$1001,$K14),""))</f>
        <v>46568</v>
      </c>
      <c r="F14" t="str">
        <f>IF($K14="","",IFERROR(INDEX('Veri Merkezi'!$H$2:$H$1001,$K14),""))</f>
        <v>Sarı</v>
      </c>
      <c r="G14" t="str">
        <f>IF($K14="","",IFERROR(INDEX('Veri Merkezi'!$R$2:$R$1001,$K14),""))</f>
        <v/>
      </c>
      <c r="H14" t="str">
        <f>IF($K14="","",IFERROR(INDEX('Veri Merkezi'!$S$2:$S$1001,$K14),""))</f>
        <v>Tekrar İzle</v>
      </c>
      <c r="I14" s="2" t="str">
        <f>IF($K14="","",IFERROR(INDEX('Veri Merkezi'!$T$2:$T$1001,$K14),""))</f>
        <v/>
      </c>
      <c r="J14" t="str">
        <f>IF($K14="","",IFERROR(INDEX('Veri Merkezi'!$U$2:$U$1001,$K14),""))</f>
        <v>Forvetler</v>
      </c>
      <c r="K14">
        <f>IF(K13="","",IFERROR(K13+MATCH("Tekrar İzle",INDEX('Veri Merkezi'!$S$2:$S$1001,K13+1):'Veri Merkezi'!$S$1001,0),""))</f>
        <v>809</v>
      </c>
    </row>
    <row r="15" spans="1:11">
      <c r="A15" t="str">
        <f>IF($K15="","",IFERROR(INDEX('Veri Merkezi'!$A$2:$A$1001,$K15),""))</f>
        <v>BRAYAN ALEXANDER GIL</v>
      </c>
      <c r="B15" t="str">
        <f>IF($K15="","",IFERROR(INDEX('Veri Merkezi'!$E$2:$E$1001,$K15),""))</f>
        <v>Forvet</v>
      </c>
      <c r="C15">
        <f ca="1">IF($K15="","",IFERROR(INDEX('Veri Merkezi'!$D$2:$D$1001,$K15),""))</f>
        <v>25</v>
      </c>
      <c r="D15" t="str">
        <f>IF($K15="","",IFERROR(INDEX('Veri Merkezi'!$F$2:$F$1001,$K15),""))</f>
        <v>BALTIKA</v>
      </c>
      <c r="E15" s="2">
        <f>IF($K15="","",IFERROR(INDEX('Veri Merkezi'!$G$2:$G$1001,$K15),""))</f>
        <v>47269</v>
      </c>
      <c r="F15" t="str">
        <f>IF($K15="","",IFERROR(INDEX('Veri Merkezi'!$H$2:$H$1001,$K15),""))</f>
        <v>Sarı</v>
      </c>
      <c r="G15" t="str">
        <f>IF($K15="","",IFERROR(INDEX('Veri Merkezi'!$R$2:$R$1001,$K15),""))</f>
        <v/>
      </c>
      <c r="H15" t="str">
        <f>IF($K15="","",IFERROR(INDEX('Veri Merkezi'!$S$2:$S$1001,$K15),""))</f>
        <v>Tekrar İzle</v>
      </c>
      <c r="I15" s="2" t="str">
        <f>IF($K15="","",IFERROR(INDEX('Veri Merkezi'!$T$2:$T$1001,$K15),""))</f>
        <v/>
      </c>
      <c r="J15" t="str">
        <f>IF($K15="","",IFERROR(INDEX('Veri Merkezi'!$U$2:$U$1001,$K15),""))</f>
        <v>Forvetler</v>
      </c>
      <c r="K15">
        <f>IF(K14="","",IFERROR(K14+MATCH("Tekrar İzle",INDEX('Veri Merkezi'!$S$2:$S$1001,K14+1):'Veri Merkezi'!$S$1001,0),""))</f>
        <v>812</v>
      </c>
    </row>
    <row r="16" spans="1:11">
      <c r="A16" t="str">
        <f>IF($K16="","",IFERROR(INDEX('Veri Merkezi'!$A$2:$A$1001,$K16),""))</f>
        <v>SAMUEL ADENIRAN</v>
      </c>
      <c r="B16" t="str">
        <f>IF($K16="","",IFERROR(INDEX('Veri Merkezi'!$E$2:$E$1001,$K16),""))</f>
        <v>Forvet</v>
      </c>
      <c r="C16">
        <f ca="1">IF($K16="","",IFERROR(INDEX('Veri Merkezi'!$D$2:$D$1001,$K16),""))</f>
        <v>28</v>
      </c>
      <c r="D16" t="str">
        <f>IF($K16="","",IFERROR(INDEX('Veri Merkezi'!$F$2:$F$1001,$K16),""))</f>
        <v>LASK</v>
      </c>
      <c r="E16" s="2">
        <f>IF($K16="","",IFERROR(INDEX('Veri Merkezi'!$G$2:$G$1001,$K16),""))</f>
        <v>46894</v>
      </c>
      <c r="F16" t="str">
        <f>IF($K16="","",IFERROR(INDEX('Veri Merkezi'!$H$2:$H$1001,$K16),""))</f>
        <v>Sarı</v>
      </c>
      <c r="G16" t="str">
        <f>IF($K16="","",IFERROR(INDEX('Veri Merkezi'!$R$2:$R$1001,$K16),""))</f>
        <v/>
      </c>
      <c r="H16" t="str">
        <f>IF($K16="","",IFERROR(INDEX('Veri Merkezi'!$S$2:$S$1001,$K16),""))</f>
        <v>Tekrar İzle</v>
      </c>
      <c r="I16" s="2" t="str">
        <f>IF($K16="","",IFERROR(INDEX('Veri Merkezi'!$T$2:$T$1001,$K16),""))</f>
        <v/>
      </c>
      <c r="J16" t="str">
        <f>IF($K16="","",IFERROR(INDEX('Veri Merkezi'!$U$2:$U$1001,$K16),""))</f>
        <v>Forvetler</v>
      </c>
      <c r="K16">
        <f>IF(K15="","",IFERROR(K15+MATCH("Tekrar İzle",INDEX('Veri Merkezi'!$S$2:$S$1001,K15+1):'Veri Merkezi'!$S$1001,0),""))</f>
        <v>816</v>
      </c>
    </row>
    <row r="17" spans="1:11">
      <c r="A17" t="str">
        <f>IF($K17="","",IFERROR(INDEX('Veri Merkezi'!$A$2:$A$1001,$K17),""))</f>
        <v>ROMAN YAREMCHUK</v>
      </c>
      <c r="B17" t="str">
        <f>IF($K17="","",IFERROR(INDEX('Veri Merkezi'!$E$2:$E$1001,$K17),""))</f>
        <v>Forvet</v>
      </c>
      <c r="C17">
        <f ca="1">IF($K17="","",IFERROR(INDEX('Veri Merkezi'!$D$2:$D$1001,$K17),""))</f>
        <v>30</v>
      </c>
      <c r="D17" t="str">
        <f>IF($K17="","",IFERROR(INDEX('Veri Merkezi'!$F$2:$F$1001,$K17),""))</f>
        <v>OLYMPIAKOS</v>
      </c>
      <c r="E17" s="2">
        <f>IF($K17="","",IFERROR(INDEX('Veri Merkezi'!$G$2:$G$1001,$K17),""))</f>
        <v>46934</v>
      </c>
      <c r="F17" t="str">
        <f>IF($K17="","",IFERROR(INDEX('Veri Merkezi'!$H$2:$H$1001,$K17),""))</f>
        <v>Sarı</v>
      </c>
      <c r="G17" t="str">
        <f>IF($K17="","",IFERROR(INDEX('Veri Merkezi'!$R$2:$R$1001,$K17),""))</f>
        <v/>
      </c>
      <c r="H17" t="str">
        <f>IF($K17="","",IFERROR(INDEX('Veri Merkezi'!$S$2:$S$1001,$K17),""))</f>
        <v>Tekrar İzle</v>
      </c>
      <c r="I17" s="2" t="str">
        <f>IF($K17="","",IFERROR(INDEX('Veri Merkezi'!$T$2:$T$1001,$K17),""))</f>
        <v/>
      </c>
      <c r="J17" t="str">
        <f>IF($K17="","",IFERROR(INDEX('Veri Merkezi'!$U$2:$U$1001,$K17),""))</f>
        <v>Forvetler</v>
      </c>
      <c r="K17">
        <f>IF(K16="","",IFERROR(K16+MATCH("Tekrar İzle",INDEX('Veri Merkezi'!$S$2:$S$1001,K16+1):'Veri Merkezi'!$S$1001,0),""))</f>
        <v>819</v>
      </c>
    </row>
    <row r="18" spans="1:11">
      <c r="A18" t="str">
        <f>IF($K18="","",IFERROR(INDEX('Veri Merkezi'!$A$2:$A$1001,$K18),""))</f>
        <v/>
      </c>
      <c r="B18" t="str">
        <f>IF($K18="","",IFERROR(INDEX('Veri Merkezi'!$E$2:$E$1001,$K18),""))</f>
        <v/>
      </c>
      <c r="C18" t="str">
        <f>IF($K18="","",IFERROR(INDEX('Veri Merkezi'!$D$2:$D$1001,$K18),""))</f>
        <v/>
      </c>
      <c r="D18" t="str">
        <f>IF($K18="","",IFERROR(INDEX('Veri Merkezi'!$F$2:$F$1001,$K18),""))</f>
        <v/>
      </c>
      <c r="E18" s="2" t="str">
        <f>IF($K18="","",IFERROR(INDEX('Veri Merkezi'!$G$2:$G$1001,$K18),""))</f>
        <v/>
      </c>
      <c r="F18" t="str">
        <f>IF($K18="","",IFERROR(INDEX('Veri Merkezi'!$H$2:$H$1001,$K18),""))</f>
        <v/>
      </c>
      <c r="G18" t="str">
        <f>IF($K18="","",IFERROR(INDEX('Veri Merkezi'!$R$2:$R$1001,$K18),""))</f>
        <v/>
      </c>
      <c r="H18" t="str">
        <f>IF($K18="","",IFERROR(INDEX('Veri Merkezi'!$S$2:$S$1001,$K18),""))</f>
        <v/>
      </c>
      <c r="I18" s="2" t="str">
        <f>IF($K18="","",IFERROR(INDEX('Veri Merkezi'!$T$2:$T$1001,$K18),""))</f>
        <v/>
      </c>
      <c r="J18" t="str">
        <f>IF($K18="","",IFERROR(INDEX('Veri Merkezi'!$U$2:$U$1001,$K18),""))</f>
        <v/>
      </c>
      <c r="K18" t="str">
        <f>IF(K17="","",IFERROR(K17+MATCH("Tekrar İzle",INDEX('Veri Merkezi'!$S$2:$S$1001,K17+1):'Veri Merkezi'!$S$1001,0),""))</f>
        <v/>
      </c>
    </row>
    <row r="19" spans="1:11">
      <c r="A19" t="str">
        <f>IF($K19="","",IFERROR(INDEX('Veri Merkezi'!$A$2:$A$1001,$K19),""))</f>
        <v/>
      </c>
      <c r="B19" t="str">
        <f>IF($K19="","",IFERROR(INDEX('Veri Merkezi'!$E$2:$E$1001,$K19),""))</f>
        <v/>
      </c>
      <c r="C19" t="str">
        <f>IF($K19="","",IFERROR(INDEX('Veri Merkezi'!$D$2:$D$1001,$K19),""))</f>
        <v/>
      </c>
      <c r="D19" t="str">
        <f>IF($K19="","",IFERROR(INDEX('Veri Merkezi'!$F$2:$F$1001,$K19),""))</f>
        <v/>
      </c>
      <c r="E19" s="2" t="str">
        <f>IF($K19="","",IFERROR(INDEX('Veri Merkezi'!$G$2:$G$1001,$K19),""))</f>
        <v/>
      </c>
      <c r="F19" t="str">
        <f>IF($K19="","",IFERROR(INDEX('Veri Merkezi'!$H$2:$H$1001,$K19),""))</f>
        <v/>
      </c>
      <c r="G19" t="str">
        <f>IF($K19="","",IFERROR(INDEX('Veri Merkezi'!$R$2:$R$1001,$K19),""))</f>
        <v/>
      </c>
      <c r="H19" t="str">
        <f>IF($K19="","",IFERROR(INDEX('Veri Merkezi'!$S$2:$S$1001,$K19),""))</f>
        <v/>
      </c>
      <c r="I19" s="2" t="str">
        <f>IF($K19="","",IFERROR(INDEX('Veri Merkezi'!$T$2:$T$1001,$K19),""))</f>
        <v/>
      </c>
      <c r="J19" t="str">
        <f>IF($K19="","",IFERROR(INDEX('Veri Merkezi'!$U$2:$U$1001,$K19),""))</f>
        <v/>
      </c>
      <c r="K19" t="str">
        <f>IF(K18="","",IFERROR(K18+MATCH("Tekrar İzle",INDEX('Veri Merkezi'!$S$2:$S$1001,K18+1):'Veri Merkezi'!$S$1001,0),""))</f>
        <v/>
      </c>
    </row>
    <row r="20" spans="1:11">
      <c r="A20" t="str">
        <f>IF($K20="","",IFERROR(INDEX('Veri Merkezi'!$A$2:$A$1001,$K20),""))</f>
        <v/>
      </c>
      <c r="B20" t="str">
        <f>IF($K20="","",IFERROR(INDEX('Veri Merkezi'!$E$2:$E$1001,$K20),""))</f>
        <v/>
      </c>
      <c r="C20" t="str">
        <f>IF($K20="","",IFERROR(INDEX('Veri Merkezi'!$D$2:$D$1001,$K20),""))</f>
        <v/>
      </c>
      <c r="D20" t="str">
        <f>IF($K20="","",IFERROR(INDEX('Veri Merkezi'!$F$2:$F$1001,$K20),""))</f>
        <v/>
      </c>
      <c r="E20" s="2" t="str">
        <f>IF($K20="","",IFERROR(INDEX('Veri Merkezi'!$G$2:$G$1001,$K20),""))</f>
        <v/>
      </c>
      <c r="F20" t="str">
        <f>IF($K20="","",IFERROR(INDEX('Veri Merkezi'!$H$2:$H$1001,$K20),""))</f>
        <v/>
      </c>
      <c r="G20" t="str">
        <f>IF($K20="","",IFERROR(INDEX('Veri Merkezi'!$R$2:$R$1001,$K20),""))</f>
        <v/>
      </c>
      <c r="H20" t="str">
        <f>IF($K20="","",IFERROR(INDEX('Veri Merkezi'!$S$2:$S$1001,$K20),""))</f>
        <v/>
      </c>
      <c r="I20" s="2" t="str">
        <f>IF($K20="","",IFERROR(INDEX('Veri Merkezi'!$T$2:$T$1001,$K20),""))</f>
        <v/>
      </c>
      <c r="J20" t="str">
        <f>IF($K20="","",IFERROR(INDEX('Veri Merkezi'!$U$2:$U$1001,$K20),""))</f>
        <v/>
      </c>
      <c r="K20" t="str">
        <f>IF(K19="","",IFERROR(K19+MATCH("Tekrar İzle",INDEX('Veri Merkezi'!$S$2:$S$1001,K19+1):'Veri Merkezi'!$S$1001,0),""))</f>
        <v/>
      </c>
    </row>
    <row r="21" spans="1:11">
      <c r="A21" t="str">
        <f>IF($K21="","",IFERROR(INDEX('Veri Merkezi'!$A$2:$A$1001,$K21),""))</f>
        <v/>
      </c>
      <c r="B21" t="str">
        <f>IF($K21="","",IFERROR(INDEX('Veri Merkezi'!$E$2:$E$1001,$K21),""))</f>
        <v/>
      </c>
      <c r="C21" t="str">
        <f>IF($K21="","",IFERROR(INDEX('Veri Merkezi'!$D$2:$D$1001,$K21),""))</f>
        <v/>
      </c>
      <c r="D21" t="str">
        <f>IF($K21="","",IFERROR(INDEX('Veri Merkezi'!$F$2:$F$1001,$K21),""))</f>
        <v/>
      </c>
      <c r="E21" s="2" t="str">
        <f>IF($K21="","",IFERROR(INDEX('Veri Merkezi'!$G$2:$G$1001,$K21),""))</f>
        <v/>
      </c>
      <c r="F21" t="str">
        <f>IF($K21="","",IFERROR(INDEX('Veri Merkezi'!$H$2:$H$1001,$K21),""))</f>
        <v/>
      </c>
      <c r="G21" t="str">
        <f>IF($K21="","",IFERROR(INDEX('Veri Merkezi'!$R$2:$R$1001,$K21),""))</f>
        <v/>
      </c>
      <c r="H21" t="str">
        <f>IF($K21="","",IFERROR(INDEX('Veri Merkezi'!$S$2:$S$1001,$K21),""))</f>
        <v/>
      </c>
      <c r="I21" s="2" t="str">
        <f>IF($K21="","",IFERROR(INDEX('Veri Merkezi'!$T$2:$T$1001,$K21),""))</f>
        <v/>
      </c>
      <c r="J21" t="str">
        <f>IF($K21="","",IFERROR(INDEX('Veri Merkezi'!$U$2:$U$1001,$K21),""))</f>
        <v/>
      </c>
      <c r="K21" t="str">
        <f>IF(K20="","",IFERROR(K20+MATCH("Tekrar İzle",INDEX('Veri Merkezi'!$S$2:$S$1001,K20+1):'Veri Merkezi'!$S$1001,0),""))</f>
        <v/>
      </c>
    </row>
    <row r="22" spans="1:11">
      <c r="A22" t="str">
        <f>IF($K22="","",IFERROR(INDEX('Veri Merkezi'!$A$2:$A$1001,$K22),""))</f>
        <v/>
      </c>
      <c r="B22" t="str">
        <f>IF($K22="","",IFERROR(INDEX('Veri Merkezi'!$E$2:$E$1001,$K22),""))</f>
        <v/>
      </c>
      <c r="C22" t="str">
        <f>IF($K22="","",IFERROR(INDEX('Veri Merkezi'!$D$2:$D$1001,$K22),""))</f>
        <v/>
      </c>
      <c r="D22" t="str">
        <f>IF($K22="","",IFERROR(INDEX('Veri Merkezi'!$F$2:$F$1001,$K22),""))</f>
        <v/>
      </c>
      <c r="E22" s="2" t="str">
        <f>IF($K22="","",IFERROR(INDEX('Veri Merkezi'!$G$2:$G$1001,$K22),""))</f>
        <v/>
      </c>
      <c r="F22" t="str">
        <f>IF($K22="","",IFERROR(INDEX('Veri Merkezi'!$H$2:$H$1001,$K22),""))</f>
        <v/>
      </c>
      <c r="G22" t="str">
        <f>IF($K22="","",IFERROR(INDEX('Veri Merkezi'!$R$2:$R$1001,$K22),""))</f>
        <v/>
      </c>
      <c r="H22" t="str">
        <f>IF($K22="","",IFERROR(INDEX('Veri Merkezi'!$S$2:$S$1001,$K22),""))</f>
        <v/>
      </c>
      <c r="I22" s="2" t="str">
        <f>IF($K22="","",IFERROR(INDEX('Veri Merkezi'!$T$2:$T$1001,$K22),""))</f>
        <v/>
      </c>
      <c r="J22" t="str">
        <f>IF($K22="","",IFERROR(INDEX('Veri Merkezi'!$U$2:$U$1001,$K22),""))</f>
        <v/>
      </c>
      <c r="K22" t="str">
        <f>IF(K21="","",IFERROR(K21+MATCH("Tekrar İzle",INDEX('Veri Merkezi'!$S$2:$S$1001,K21+1):'Veri Merkezi'!$S$1001,0),""))</f>
        <v/>
      </c>
    </row>
    <row r="23" spans="1:11">
      <c r="A23" t="str">
        <f>IF($K23="","",IFERROR(INDEX('Veri Merkezi'!$A$2:$A$1001,$K23),""))</f>
        <v/>
      </c>
      <c r="B23" t="str">
        <f>IF($K23="","",IFERROR(INDEX('Veri Merkezi'!$E$2:$E$1001,$K23),""))</f>
        <v/>
      </c>
      <c r="C23" t="str">
        <f>IF($K23="","",IFERROR(INDEX('Veri Merkezi'!$D$2:$D$1001,$K23),""))</f>
        <v/>
      </c>
      <c r="D23" t="str">
        <f>IF($K23="","",IFERROR(INDEX('Veri Merkezi'!$F$2:$F$1001,$K23),""))</f>
        <v/>
      </c>
      <c r="E23" s="2" t="str">
        <f>IF($K23="","",IFERROR(INDEX('Veri Merkezi'!$G$2:$G$1001,$K23),""))</f>
        <v/>
      </c>
      <c r="F23" t="str">
        <f>IF($K23="","",IFERROR(INDEX('Veri Merkezi'!$H$2:$H$1001,$K23),""))</f>
        <v/>
      </c>
      <c r="G23" t="str">
        <f>IF($K23="","",IFERROR(INDEX('Veri Merkezi'!$R$2:$R$1001,$K23),""))</f>
        <v/>
      </c>
      <c r="H23" t="str">
        <f>IF($K23="","",IFERROR(INDEX('Veri Merkezi'!$S$2:$S$1001,$K23),""))</f>
        <v/>
      </c>
      <c r="I23" s="2" t="str">
        <f>IF($K23="","",IFERROR(INDEX('Veri Merkezi'!$T$2:$T$1001,$K23),""))</f>
        <v/>
      </c>
      <c r="J23" t="str">
        <f>IF($K23="","",IFERROR(INDEX('Veri Merkezi'!$U$2:$U$1001,$K23),""))</f>
        <v/>
      </c>
      <c r="K23" t="str">
        <f>IF(K22="","",IFERROR(K22+MATCH("Tekrar İzle",INDEX('Veri Merkezi'!$S$2:$S$1001,K22+1):'Veri Merkezi'!$S$1001,0),""))</f>
        <v/>
      </c>
    </row>
    <row r="24" spans="1:11">
      <c r="A24" t="str">
        <f>IF($K24="","",IFERROR(INDEX('Veri Merkezi'!$A$2:$A$1001,$K24),""))</f>
        <v/>
      </c>
      <c r="B24" t="str">
        <f>IF($K24="","",IFERROR(INDEX('Veri Merkezi'!$E$2:$E$1001,$K24),""))</f>
        <v/>
      </c>
      <c r="C24" t="str">
        <f>IF($K24="","",IFERROR(INDEX('Veri Merkezi'!$D$2:$D$1001,$K24),""))</f>
        <v/>
      </c>
      <c r="D24" t="str">
        <f>IF($K24="","",IFERROR(INDEX('Veri Merkezi'!$F$2:$F$1001,$K24),""))</f>
        <v/>
      </c>
      <c r="E24" s="2" t="str">
        <f>IF($K24="","",IFERROR(INDEX('Veri Merkezi'!$G$2:$G$1001,$K24),""))</f>
        <v/>
      </c>
      <c r="F24" t="str">
        <f>IF($K24="","",IFERROR(INDEX('Veri Merkezi'!$H$2:$H$1001,$K24),""))</f>
        <v/>
      </c>
      <c r="G24" t="str">
        <f>IF($K24="","",IFERROR(INDEX('Veri Merkezi'!$R$2:$R$1001,$K24),""))</f>
        <v/>
      </c>
      <c r="H24" t="str">
        <f>IF($K24="","",IFERROR(INDEX('Veri Merkezi'!$S$2:$S$1001,$K24),""))</f>
        <v/>
      </c>
      <c r="I24" s="2" t="str">
        <f>IF($K24="","",IFERROR(INDEX('Veri Merkezi'!$T$2:$T$1001,$K24),""))</f>
        <v/>
      </c>
      <c r="J24" t="str">
        <f>IF($K24="","",IFERROR(INDEX('Veri Merkezi'!$U$2:$U$1001,$K24),""))</f>
        <v/>
      </c>
      <c r="K24" t="str">
        <f>IF(K23="","",IFERROR(K23+MATCH("Tekrar İzle",INDEX('Veri Merkezi'!$S$2:$S$1001,K23+1):'Veri Merkezi'!$S$1001,0),""))</f>
        <v/>
      </c>
    </row>
    <row r="25" spans="1:11">
      <c r="A25" t="str">
        <f>IF($K25="","",IFERROR(INDEX('Veri Merkezi'!$A$2:$A$1001,$K25),""))</f>
        <v/>
      </c>
      <c r="B25" t="str">
        <f>IF($K25="","",IFERROR(INDEX('Veri Merkezi'!$E$2:$E$1001,$K25),""))</f>
        <v/>
      </c>
      <c r="C25" t="str">
        <f>IF($K25="","",IFERROR(INDEX('Veri Merkezi'!$D$2:$D$1001,$K25),""))</f>
        <v/>
      </c>
      <c r="D25" t="str">
        <f>IF($K25="","",IFERROR(INDEX('Veri Merkezi'!$F$2:$F$1001,$K25),""))</f>
        <v/>
      </c>
      <c r="E25" s="2" t="str">
        <f>IF($K25="","",IFERROR(INDEX('Veri Merkezi'!$G$2:$G$1001,$K25),""))</f>
        <v/>
      </c>
      <c r="F25" t="str">
        <f>IF($K25="","",IFERROR(INDEX('Veri Merkezi'!$H$2:$H$1001,$K25),""))</f>
        <v/>
      </c>
      <c r="G25" t="str">
        <f>IF($K25="","",IFERROR(INDEX('Veri Merkezi'!$R$2:$R$1001,$K25),""))</f>
        <v/>
      </c>
      <c r="H25" t="str">
        <f>IF($K25="","",IFERROR(INDEX('Veri Merkezi'!$S$2:$S$1001,$K25),""))</f>
        <v/>
      </c>
      <c r="I25" s="2" t="str">
        <f>IF($K25="","",IFERROR(INDEX('Veri Merkezi'!$T$2:$T$1001,$K25),""))</f>
        <v/>
      </c>
      <c r="J25" t="str">
        <f>IF($K25="","",IFERROR(INDEX('Veri Merkezi'!$U$2:$U$1001,$K25),""))</f>
        <v/>
      </c>
      <c r="K25" t="str">
        <f>IF(K24="","",IFERROR(K24+MATCH("Tekrar İzle",INDEX('Veri Merkezi'!$S$2:$S$1001,K24+1):'Veri Merkezi'!$S$1001,0),""))</f>
        <v/>
      </c>
    </row>
    <row r="26" spans="1:11">
      <c r="A26" t="str">
        <f>IF($K26="","",IFERROR(INDEX('Veri Merkezi'!$A$2:$A$1001,$K26),""))</f>
        <v/>
      </c>
      <c r="B26" t="str">
        <f>IF($K26="","",IFERROR(INDEX('Veri Merkezi'!$E$2:$E$1001,$K26),""))</f>
        <v/>
      </c>
      <c r="C26" t="str">
        <f>IF($K26="","",IFERROR(INDEX('Veri Merkezi'!$D$2:$D$1001,$K26),""))</f>
        <v/>
      </c>
      <c r="D26" t="str">
        <f>IF($K26="","",IFERROR(INDEX('Veri Merkezi'!$F$2:$F$1001,$K26),""))</f>
        <v/>
      </c>
      <c r="E26" s="2" t="str">
        <f>IF($K26="","",IFERROR(INDEX('Veri Merkezi'!$G$2:$G$1001,$K26),""))</f>
        <v/>
      </c>
      <c r="F26" t="str">
        <f>IF($K26="","",IFERROR(INDEX('Veri Merkezi'!$H$2:$H$1001,$K26),""))</f>
        <v/>
      </c>
      <c r="G26" t="str">
        <f>IF($K26="","",IFERROR(INDEX('Veri Merkezi'!$R$2:$R$1001,$K26),""))</f>
        <v/>
      </c>
      <c r="H26" t="str">
        <f>IF($K26="","",IFERROR(INDEX('Veri Merkezi'!$S$2:$S$1001,$K26),""))</f>
        <v/>
      </c>
      <c r="I26" s="2" t="str">
        <f>IF($K26="","",IFERROR(INDEX('Veri Merkezi'!$T$2:$T$1001,$K26),""))</f>
        <v/>
      </c>
      <c r="J26" t="str">
        <f>IF($K26="","",IFERROR(INDEX('Veri Merkezi'!$U$2:$U$1001,$K26),""))</f>
        <v/>
      </c>
      <c r="K26" t="str">
        <f>IF(K25="","",IFERROR(K25+MATCH("Tekrar İzle",INDEX('Veri Merkezi'!$S$2:$S$1001,K25+1):'Veri Merkezi'!$S$1001,0),""))</f>
        <v/>
      </c>
    </row>
    <row r="27" spans="1:11">
      <c r="A27" t="str">
        <f>IF($K27="","",IFERROR(INDEX('Veri Merkezi'!$A$2:$A$1001,$K27),""))</f>
        <v/>
      </c>
      <c r="B27" t="str">
        <f>IF($K27="","",IFERROR(INDEX('Veri Merkezi'!$E$2:$E$1001,$K27),""))</f>
        <v/>
      </c>
      <c r="C27" t="str">
        <f>IF($K27="","",IFERROR(INDEX('Veri Merkezi'!$D$2:$D$1001,$K27),""))</f>
        <v/>
      </c>
      <c r="D27" t="str">
        <f>IF($K27="","",IFERROR(INDEX('Veri Merkezi'!$F$2:$F$1001,$K27),""))</f>
        <v/>
      </c>
      <c r="E27" s="2" t="str">
        <f>IF($K27="","",IFERROR(INDEX('Veri Merkezi'!$G$2:$G$1001,$K27),""))</f>
        <v/>
      </c>
      <c r="F27" t="str">
        <f>IF($K27="","",IFERROR(INDEX('Veri Merkezi'!$H$2:$H$1001,$K27),""))</f>
        <v/>
      </c>
      <c r="G27" t="str">
        <f>IF($K27="","",IFERROR(INDEX('Veri Merkezi'!$R$2:$R$1001,$K27),""))</f>
        <v/>
      </c>
      <c r="H27" t="str">
        <f>IF($K27="","",IFERROR(INDEX('Veri Merkezi'!$S$2:$S$1001,$K27),""))</f>
        <v/>
      </c>
      <c r="I27" s="2" t="str">
        <f>IF($K27="","",IFERROR(INDEX('Veri Merkezi'!$T$2:$T$1001,$K27),""))</f>
        <v/>
      </c>
      <c r="J27" t="str">
        <f>IF($K27="","",IFERROR(INDEX('Veri Merkezi'!$U$2:$U$1001,$K27),""))</f>
        <v/>
      </c>
      <c r="K27" t="str">
        <f>IF(K26="","",IFERROR(K26+MATCH("Tekrar İzle",INDEX('Veri Merkezi'!$S$2:$S$1001,K26+1):'Veri Merkezi'!$S$1001,0),""))</f>
        <v/>
      </c>
    </row>
    <row r="28" spans="1:11">
      <c r="A28" t="str">
        <f>IF($K28="","",IFERROR(INDEX('Veri Merkezi'!$A$2:$A$1001,$K28),""))</f>
        <v/>
      </c>
      <c r="B28" t="str">
        <f>IF($K28="","",IFERROR(INDEX('Veri Merkezi'!$E$2:$E$1001,$K28),""))</f>
        <v/>
      </c>
      <c r="C28" t="str">
        <f>IF($K28="","",IFERROR(INDEX('Veri Merkezi'!$D$2:$D$1001,$K28),""))</f>
        <v/>
      </c>
      <c r="D28" t="str">
        <f>IF($K28="","",IFERROR(INDEX('Veri Merkezi'!$F$2:$F$1001,$K28),""))</f>
        <v/>
      </c>
      <c r="E28" s="2" t="str">
        <f>IF($K28="","",IFERROR(INDEX('Veri Merkezi'!$G$2:$G$1001,$K28),""))</f>
        <v/>
      </c>
      <c r="F28" t="str">
        <f>IF($K28="","",IFERROR(INDEX('Veri Merkezi'!$H$2:$H$1001,$K28),""))</f>
        <v/>
      </c>
      <c r="G28" t="str">
        <f>IF($K28="","",IFERROR(INDEX('Veri Merkezi'!$R$2:$R$1001,$K28),""))</f>
        <v/>
      </c>
      <c r="H28" t="str">
        <f>IF($K28="","",IFERROR(INDEX('Veri Merkezi'!$S$2:$S$1001,$K28),""))</f>
        <v/>
      </c>
      <c r="I28" s="2" t="str">
        <f>IF($K28="","",IFERROR(INDEX('Veri Merkezi'!$T$2:$T$1001,$K28),""))</f>
        <v/>
      </c>
      <c r="J28" t="str">
        <f>IF($K28="","",IFERROR(INDEX('Veri Merkezi'!$U$2:$U$1001,$K28),""))</f>
        <v/>
      </c>
      <c r="K28" t="str">
        <f>IF(K27="","",IFERROR(K27+MATCH("Tekrar İzle",INDEX('Veri Merkezi'!$S$2:$S$1001,K27+1):'Veri Merkezi'!$S$1001,0),""))</f>
        <v/>
      </c>
    </row>
    <row r="29" spans="1:11">
      <c r="A29" t="str">
        <f>IF($K29="","",IFERROR(INDEX('Veri Merkezi'!$A$2:$A$1001,$K29),""))</f>
        <v/>
      </c>
      <c r="B29" t="str">
        <f>IF($K29="","",IFERROR(INDEX('Veri Merkezi'!$E$2:$E$1001,$K29),""))</f>
        <v/>
      </c>
      <c r="C29" t="str">
        <f>IF($K29="","",IFERROR(INDEX('Veri Merkezi'!$D$2:$D$1001,$K29),""))</f>
        <v/>
      </c>
      <c r="D29" t="str">
        <f>IF($K29="","",IFERROR(INDEX('Veri Merkezi'!$F$2:$F$1001,$K29),""))</f>
        <v/>
      </c>
      <c r="E29" s="2" t="str">
        <f>IF($K29="","",IFERROR(INDEX('Veri Merkezi'!$G$2:$G$1001,$K29),""))</f>
        <v/>
      </c>
      <c r="F29" t="str">
        <f>IF($K29="","",IFERROR(INDEX('Veri Merkezi'!$H$2:$H$1001,$K29),""))</f>
        <v/>
      </c>
      <c r="G29" t="str">
        <f>IF($K29="","",IFERROR(INDEX('Veri Merkezi'!$R$2:$R$1001,$K29),""))</f>
        <v/>
      </c>
      <c r="H29" t="str">
        <f>IF($K29="","",IFERROR(INDEX('Veri Merkezi'!$S$2:$S$1001,$K29),""))</f>
        <v/>
      </c>
      <c r="I29" s="2" t="str">
        <f>IF($K29="","",IFERROR(INDEX('Veri Merkezi'!$T$2:$T$1001,$K29),""))</f>
        <v/>
      </c>
      <c r="J29" t="str">
        <f>IF($K29="","",IFERROR(INDEX('Veri Merkezi'!$U$2:$U$1001,$K29),""))</f>
        <v/>
      </c>
      <c r="K29" t="str">
        <f>IF(K28="","",IFERROR(K28+MATCH("Tekrar İzle",INDEX('Veri Merkezi'!$S$2:$S$1001,K28+1):'Veri Merkezi'!$S$1001,0),""))</f>
        <v/>
      </c>
    </row>
    <row r="30" spans="1:11">
      <c r="A30" t="str">
        <f>IF($K30="","",IFERROR(INDEX('Veri Merkezi'!$A$2:$A$1001,$K30),""))</f>
        <v/>
      </c>
      <c r="B30" t="str">
        <f>IF($K30="","",IFERROR(INDEX('Veri Merkezi'!$E$2:$E$1001,$K30),""))</f>
        <v/>
      </c>
      <c r="C30" t="str">
        <f>IF($K30="","",IFERROR(INDEX('Veri Merkezi'!$D$2:$D$1001,$K30),""))</f>
        <v/>
      </c>
      <c r="D30" t="str">
        <f>IF($K30="","",IFERROR(INDEX('Veri Merkezi'!$F$2:$F$1001,$K30),""))</f>
        <v/>
      </c>
      <c r="E30" s="2" t="str">
        <f>IF($K30="","",IFERROR(INDEX('Veri Merkezi'!$G$2:$G$1001,$K30),""))</f>
        <v/>
      </c>
      <c r="F30" t="str">
        <f>IF($K30="","",IFERROR(INDEX('Veri Merkezi'!$H$2:$H$1001,$K30),""))</f>
        <v/>
      </c>
      <c r="G30" t="str">
        <f>IF($K30="","",IFERROR(INDEX('Veri Merkezi'!$R$2:$R$1001,$K30),""))</f>
        <v/>
      </c>
      <c r="H30" t="str">
        <f>IF($K30="","",IFERROR(INDEX('Veri Merkezi'!$S$2:$S$1001,$K30),""))</f>
        <v/>
      </c>
      <c r="I30" s="2" t="str">
        <f>IF($K30="","",IFERROR(INDEX('Veri Merkezi'!$T$2:$T$1001,$K30),""))</f>
        <v/>
      </c>
      <c r="J30" t="str">
        <f>IF($K30="","",IFERROR(INDEX('Veri Merkezi'!$U$2:$U$1001,$K30),""))</f>
        <v/>
      </c>
      <c r="K30" t="str">
        <f>IF(K29="","",IFERROR(K29+MATCH("Tekrar İzle",INDEX('Veri Merkezi'!$S$2:$S$1001,K29+1):'Veri Merkezi'!$S$1001,0),""))</f>
        <v/>
      </c>
    </row>
    <row r="31" spans="1:11">
      <c r="A31" t="str">
        <f>IF($K31="","",IFERROR(INDEX('Veri Merkezi'!$A$2:$A$1001,$K31),""))</f>
        <v/>
      </c>
      <c r="B31" t="str">
        <f>IF($K31="","",IFERROR(INDEX('Veri Merkezi'!$E$2:$E$1001,$K31),""))</f>
        <v/>
      </c>
      <c r="C31" t="str">
        <f>IF($K31="","",IFERROR(INDEX('Veri Merkezi'!$D$2:$D$1001,$K31),""))</f>
        <v/>
      </c>
      <c r="D31" t="str">
        <f>IF($K31="","",IFERROR(INDEX('Veri Merkezi'!$F$2:$F$1001,$K31),""))</f>
        <v/>
      </c>
      <c r="E31" s="2" t="str">
        <f>IF($K31="","",IFERROR(INDEX('Veri Merkezi'!$G$2:$G$1001,$K31),""))</f>
        <v/>
      </c>
      <c r="F31" t="str">
        <f>IF($K31="","",IFERROR(INDEX('Veri Merkezi'!$H$2:$H$1001,$K31),""))</f>
        <v/>
      </c>
      <c r="G31" t="str">
        <f>IF($K31="","",IFERROR(INDEX('Veri Merkezi'!$R$2:$R$1001,$K31),""))</f>
        <v/>
      </c>
      <c r="H31" t="str">
        <f>IF($K31="","",IFERROR(INDEX('Veri Merkezi'!$S$2:$S$1001,$K31),""))</f>
        <v/>
      </c>
      <c r="I31" s="2" t="str">
        <f>IF($K31="","",IFERROR(INDEX('Veri Merkezi'!$T$2:$T$1001,$K31),""))</f>
        <v/>
      </c>
      <c r="J31" t="str">
        <f>IF($K31="","",IFERROR(INDEX('Veri Merkezi'!$U$2:$U$1001,$K31),""))</f>
        <v/>
      </c>
      <c r="K31" t="str">
        <f>IF(K30="","",IFERROR(K30+MATCH("Tekrar İzle",INDEX('Veri Merkezi'!$S$2:$S$1001,K30+1):'Veri Merkezi'!$S$1001,0),""))</f>
        <v/>
      </c>
    </row>
    <row r="32" spans="1:11">
      <c r="A32" t="str">
        <f>IF($K32="","",IFERROR(INDEX('Veri Merkezi'!$A$2:$A$1001,$K32),""))</f>
        <v/>
      </c>
      <c r="B32" t="str">
        <f>IF($K32="","",IFERROR(INDEX('Veri Merkezi'!$E$2:$E$1001,$K32),""))</f>
        <v/>
      </c>
      <c r="C32" t="str">
        <f>IF($K32="","",IFERROR(INDEX('Veri Merkezi'!$D$2:$D$1001,$K32),""))</f>
        <v/>
      </c>
      <c r="D32" t="str">
        <f>IF($K32="","",IFERROR(INDEX('Veri Merkezi'!$F$2:$F$1001,$K32),""))</f>
        <v/>
      </c>
      <c r="E32" s="2" t="str">
        <f>IF($K32="","",IFERROR(INDEX('Veri Merkezi'!$G$2:$G$1001,$K32),""))</f>
        <v/>
      </c>
      <c r="F32" t="str">
        <f>IF($K32="","",IFERROR(INDEX('Veri Merkezi'!$H$2:$H$1001,$K32),""))</f>
        <v/>
      </c>
      <c r="G32" t="str">
        <f>IF($K32="","",IFERROR(INDEX('Veri Merkezi'!$R$2:$R$1001,$K32),""))</f>
        <v/>
      </c>
      <c r="H32" t="str">
        <f>IF($K32="","",IFERROR(INDEX('Veri Merkezi'!$S$2:$S$1001,$K32),""))</f>
        <v/>
      </c>
      <c r="I32" s="2" t="str">
        <f>IF($K32="","",IFERROR(INDEX('Veri Merkezi'!$T$2:$T$1001,$K32),""))</f>
        <v/>
      </c>
      <c r="J32" t="str">
        <f>IF($K32="","",IFERROR(INDEX('Veri Merkezi'!$U$2:$U$1001,$K32),""))</f>
        <v/>
      </c>
      <c r="K32" t="str">
        <f>IF(K31="","",IFERROR(K31+MATCH("Tekrar İzle",INDEX('Veri Merkezi'!$S$2:$S$1001,K31+1):'Veri Merkezi'!$S$1001,0),""))</f>
        <v/>
      </c>
    </row>
    <row r="33" spans="1:11">
      <c r="A33" t="str">
        <f>IF($K33="","",IFERROR(INDEX('Veri Merkezi'!$A$2:$A$1001,$K33),""))</f>
        <v/>
      </c>
      <c r="B33" t="str">
        <f>IF($K33="","",IFERROR(INDEX('Veri Merkezi'!$E$2:$E$1001,$K33),""))</f>
        <v/>
      </c>
      <c r="C33" t="str">
        <f>IF($K33="","",IFERROR(INDEX('Veri Merkezi'!$D$2:$D$1001,$K33),""))</f>
        <v/>
      </c>
      <c r="D33" t="str">
        <f>IF($K33="","",IFERROR(INDEX('Veri Merkezi'!$F$2:$F$1001,$K33),""))</f>
        <v/>
      </c>
      <c r="E33" s="2" t="str">
        <f>IF($K33="","",IFERROR(INDEX('Veri Merkezi'!$G$2:$G$1001,$K33),""))</f>
        <v/>
      </c>
      <c r="F33" t="str">
        <f>IF($K33="","",IFERROR(INDEX('Veri Merkezi'!$H$2:$H$1001,$K33),""))</f>
        <v/>
      </c>
      <c r="G33" t="str">
        <f>IF($K33="","",IFERROR(INDEX('Veri Merkezi'!$R$2:$R$1001,$K33),""))</f>
        <v/>
      </c>
      <c r="H33" t="str">
        <f>IF($K33="","",IFERROR(INDEX('Veri Merkezi'!$S$2:$S$1001,$K33),""))</f>
        <v/>
      </c>
      <c r="I33" s="2" t="str">
        <f>IF($K33="","",IFERROR(INDEX('Veri Merkezi'!$T$2:$T$1001,$K33),""))</f>
        <v/>
      </c>
      <c r="J33" t="str">
        <f>IF($K33="","",IFERROR(INDEX('Veri Merkezi'!$U$2:$U$1001,$K33),""))</f>
        <v/>
      </c>
      <c r="K33" t="str">
        <f>IF(K32="","",IFERROR(K32+MATCH("Tekrar İzle",INDEX('Veri Merkezi'!$S$2:$S$1001,K32+1):'Veri Merkezi'!$S$1001,0),""))</f>
        <v/>
      </c>
    </row>
    <row r="34" spans="1:11">
      <c r="A34" t="str">
        <f>IF($K34="","",IFERROR(INDEX('Veri Merkezi'!$A$2:$A$1001,$K34),""))</f>
        <v/>
      </c>
      <c r="B34" t="str">
        <f>IF($K34="","",IFERROR(INDEX('Veri Merkezi'!$E$2:$E$1001,$K34),""))</f>
        <v/>
      </c>
      <c r="C34" t="str">
        <f>IF($K34="","",IFERROR(INDEX('Veri Merkezi'!$D$2:$D$1001,$K34),""))</f>
        <v/>
      </c>
      <c r="D34" t="str">
        <f>IF($K34="","",IFERROR(INDEX('Veri Merkezi'!$F$2:$F$1001,$K34),""))</f>
        <v/>
      </c>
      <c r="E34" s="2" t="str">
        <f>IF($K34="","",IFERROR(INDEX('Veri Merkezi'!$G$2:$G$1001,$K34),""))</f>
        <v/>
      </c>
      <c r="F34" t="str">
        <f>IF($K34="","",IFERROR(INDEX('Veri Merkezi'!$H$2:$H$1001,$K34),""))</f>
        <v/>
      </c>
      <c r="G34" t="str">
        <f>IF($K34="","",IFERROR(INDEX('Veri Merkezi'!$R$2:$R$1001,$K34),""))</f>
        <v/>
      </c>
      <c r="H34" t="str">
        <f>IF($K34="","",IFERROR(INDEX('Veri Merkezi'!$S$2:$S$1001,$K34),""))</f>
        <v/>
      </c>
      <c r="I34" s="2" t="str">
        <f>IF($K34="","",IFERROR(INDEX('Veri Merkezi'!$T$2:$T$1001,$K34),""))</f>
        <v/>
      </c>
      <c r="J34" t="str">
        <f>IF($K34="","",IFERROR(INDEX('Veri Merkezi'!$U$2:$U$1001,$K34),""))</f>
        <v/>
      </c>
      <c r="K34" t="str">
        <f>IF(K33="","",IFERROR(K33+MATCH("Tekrar İzle",INDEX('Veri Merkezi'!$S$2:$S$1001,K33+1):'Veri Merkezi'!$S$1001,0),""))</f>
        <v/>
      </c>
    </row>
    <row r="35" spans="1:11">
      <c r="A35" t="str">
        <f>IF($K35="","",IFERROR(INDEX('Veri Merkezi'!$A$2:$A$1001,$K35),""))</f>
        <v/>
      </c>
      <c r="B35" t="str">
        <f>IF($K35="","",IFERROR(INDEX('Veri Merkezi'!$E$2:$E$1001,$K35),""))</f>
        <v/>
      </c>
      <c r="C35" t="str">
        <f>IF($K35="","",IFERROR(INDEX('Veri Merkezi'!$D$2:$D$1001,$K35),""))</f>
        <v/>
      </c>
      <c r="D35" t="str">
        <f>IF($K35="","",IFERROR(INDEX('Veri Merkezi'!$F$2:$F$1001,$K35),""))</f>
        <v/>
      </c>
      <c r="E35" s="2" t="str">
        <f>IF($K35="","",IFERROR(INDEX('Veri Merkezi'!$G$2:$G$1001,$K35),""))</f>
        <v/>
      </c>
      <c r="F35" t="str">
        <f>IF($K35="","",IFERROR(INDEX('Veri Merkezi'!$H$2:$H$1001,$K35),""))</f>
        <v/>
      </c>
      <c r="G35" t="str">
        <f>IF($K35="","",IFERROR(INDEX('Veri Merkezi'!$R$2:$R$1001,$K35),""))</f>
        <v/>
      </c>
      <c r="H35" t="str">
        <f>IF($K35="","",IFERROR(INDEX('Veri Merkezi'!$S$2:$S$1001,$K35),""))</f>
        <v/>
      </c>
      <c r="I35" s="2" t="str">
        <f>IF($K35="","",IFERROR(INDEX('Veri Merkezi'!$T$2:$T$1001,$K35),""))</f>
        <v/>
      </c>
      <c r="J35" t="str">
        <f>IF($K35="","",IFERROR(INDEX('Veri Merkezi'!$U$2:$U$1001,$K35),""))</f>
        <v/>
      </c>
      <c r="K35" t="str">
        <f>IF(K34="","",IFERROR(K34+MATCH("Tekrar İzle",INDEX('Veri Merkezi'!$S$2:$S$1001,K34+1):'Veri Merkezi'!$S$1001,0),""))</f>
        <v/>
      </c>
    </row>
    <row r="36" spans="1:11">
      <c r="A36" t="str">
        <f>IF($K36="","",IFERROR(INDEX('Veri Merkezi'!$A$2:$A$1001,$K36),""))</f>
        <v/>
      </c>
      <c r="B36" t="str">
        <f>IF($K36="","",IFERROR(INDEX('Veri Merkezi'!$E$2:$E$1001,$K36),""))</f>
        <v/>
      </c>
      <c r="C36" t="str">
        <f>IF($K36="","",IFERROR(INDEX('Veri Merkezi'!$D$2:$D$1001,$K36),""))</f>
        <v/>
      </c>
      <c r="D36" t="str">
        <f>IF($K36="","",IFERROR(INDEX('Veri Merkezi'!$F$2:$F$1001,$K36),""))</f>
        <v/>
      </c>
      <c r="E36" s="2" t="str">
        <f>IF($K36="","",IFERROR(INDEX('Veri Merkezi'!$G$2:$G$1001,$K36),""))</f>
        <v/>
      </c>
      <c r="F36" t="str">
        <f>IF($K36="","",IFERROR(INDEX('Veri Merkezi'!$H$2:$H$1001,$K36),""))</f>
        <v/>
      </c>
      <c r="G36" t="str">
        <f>IF($K36="","",IFERROR(INDEX('Veri Merkezi'!$R$2:$R$1001,$K36),""))</f>
        <v/>
      </c>
      <c r="H36" t="str">
        <f>IF($K36="","",IFERROR(INDEX('Veri Merkezi'!$S$2:$S$1001,$K36),""))</f>
        <v/>
      </c>
      <c r="I36" s="2" t="str">
        <f>IF($K36="","",IFERROR(INDEX('Veri Merkezi'!$T$2:$T$1001,$K36),""))</f>
        <v/>
      </c>
      <c r="J36" t="str">
        <f>IF($K36="","",IFERROR(INDEX('Veri Merkezi'!$U$2:$U$1001,$K36),""))</f>
        <v/>
      </c>
      <c r="K36" t="str">
        <f>IF(K35="","",IFERROR(K35+MATCH("Tekrar İzle",INDEX('Veri Merkezi'!$S$2:$S$1001,K35+1):'Veri Merkezi'!$S$1001,0),""))</f>
        <v/>
      </c>
    </row>
    <row r="37" spans="1:11">
      <c r="A37" t="str">
        <f>IF($K37="","",IFERROR(INDEX('Veri Merkezi'!$A$2:$A$1001,$K37),""))</f>
        <v/>
      </c>
      <c r="B37" t="str">
        <f>IF($K37="","",IFERROR(INDEX('Veri Merkezi'!$E$2:$E$1001,$K37),""))</f>
        <v/>
      </c>
      <c r="C37" t="str">
        <f>IF($K37="","",IFERROR(INDEX('Veri Merkezi'!$D$2:$D$1001,$K37),""))</f>
        <v/>
      </c>
      <c r="D37" t="str">
        <f>IF($K37="","",IFERROR(INDEX('Veri Merkezi'!$F$2:$F$1001,$K37),""))</f>
        <v/>
      </c>
      <c r="E37" s="2" t="str">
        <f>IF($K37="","",IFERROR(INDEX('Veri Merkezi'!$G$2:$G$1001,$K37),""))</f>
        <v/>
      </c>
      <c r="F37" t="str">
        <f>IF($K37="","",IFERROR(INDEX('Veri Merkezi'!$H$2:$H$1001,$K37),""))</f>
        <v/>
      </c>
      <c r="G37" t="str">
        <f>IF($K37="","",IFERROR(INDEX('Veri Merkezi'!$R$2:$R$1001,$K37),""))</f>
        <v/>
      </c>
      <c r="H37" t="str">
        <f>IF($K37="","",IFERROR(INDEX('Veri Merkezi'!$S$2:$S$1001,$K37),""))</f>
        <v/>
      </c>
      <c r="I37" s="2" t="str">
        <f>IF($K37="","",IFERROR(INDEX('Veri Merkezi'!$T$2:$T$1001,$K37),""))</f>
        <v/>
      </c>
      <c r="J37" t="str">
        <f>IF($K37="","",IFERROR(INDEX('Veri Merkezi'!$U$2:$U$1001,$K37),""))</f>
        <v/>
      </c>
      <c r="K37" t="str">
        <f>IF(K36="","",IFERROR(K36+MATCH("Tekrar İzle",INDEX('Veri Merkezi'!$S$2:$S$1001,K36+1):'Veri Merkezi'!$S$1001,0),""))</f>
        <v/>
      </c>
    </row>
    <row r="38" spans="1:11">
      <c r="A38" t="str">
        <f>IF($K38="","",IFERROR(INDEX('Veri Merkezi'!$A$2:$A$1001,$K38),""))</f>
        <v/>
      </c>
      <c r="B38" t="str">
        <f>IF($K38="","",IFERROR(INDEX('Veri Merkezi'!$E$2:$E$1001,$K38),""))</f>
        <v/>
      </c>
      <c r="C38" t="str">
        <f>IF($K38="","",IFERROR(INDEX('Veri Merkezi'!$D$2:$D$1001,$K38),""))</f>
        <v/>
      </c>
      <c r="D38" t="str">
        <f>IF($K38="","",IFERROR(INDEX('Veri Merkezi'!$F$2:$F$1001,$K38),""))</f>
        <v/>
      </c>
      <c r="E38" s="2" t="str">
        <f>IF($K38="","",IFERROR(INDEX('Veri Merkezi'!$G$2:$G$1001,$K38),""))</f>
        <v/>
      </c>
      <c r="F38" t="str">
        <f>IF($K38="","",IFERROR(INDEX('Veri Merkezi'!$H$2:$H$1001,$K38),""))</f>
        <v/>
      </c>
      <c r="G38" t="str">
        <f>IF($K38="","",IFERROR(INDEX('Veri Merkezi'!$R$2:$R$1001,$K38),""))</f>
        <v/>
      </c>
      <c r="H38" t="str">
        <f>IF($K38="","",IFERROR(INDEX('Veri Merkezi'!$S$2:$S$1001,$K38),""))</f>
        <v/>
      </c>
      <c r="I38" s="2" t="str">
        <f>IF($K38="","",IFERROR(INDEX('Veri Merkezi'!$T$2:$T$1001,$K38),""))</f>
        <v/>
      </c>
      <c r="J38" t="str">
        <f>IF($K38="","",IFERROR(INDEX('Veri Merkezi'!$U$2:$U$1001,$K38),""))</f>
        <v/>
      </c>
      <c r="K38" t="str">
        <f>IF(K37="","",IFERROR(K37+MATCH("Tekrar İzle",INDEX('Veri Merkezi'!$S$2:$S$1001,K37+1):'Veri Merkezi'!$S$1001,0),""))</f>
        <v/>
      </c>
    </row>
    <row r="39" spans="1:11">
      <c r="A39" t="str">
        <f>IF($K39="","",IFERROR(INDEX('Veri Merkezi'!$A$2:$A$1001,$K39),""))</f>
        <v/>
      </c>
      <c r="B39" t="str">
        <f>IF($K39="","",IFERROR(INDEX('Veri Merkezi'!$E$2:$E$1001,$K39),""))</f>
        <v/>
      </c>
      <c r="C39" t="str">
        <f>IF($K39="","",IFERROR(INDEX('Veri Merkezi'!$D$2:$D$1001,$K39),""))</f>
        <v/>
      </c>
      <c r="D39" t="str">
        <f>IF($K39="","",IFERROR(INDEX('Veri Merkezi'!$F$2:$F$1001,$K39),""))</f>
        <v/>
      </c>
      <c r="E39" s="2" t="str">
        <f>IF($K39="","",IFERROR(INDEX('Veri Merkezi'!$G$2:$G$1001,$K39),""))</f>
        <v/>
      </c>
      <c r="F39" t="str">
        <f>IF($K39="","",IFERROR(INDEX('Veri Merkezi'!$H$2:$H$1001,$K39),""))</f>
        <v/>
      </c>
      <c r="G39" t="str">
        <f>IF($K39="","",IFERROR(INDEX('Veri Merkezi'!$R$2:$R$1001,$K39),""))</f>
        <v/>
      </c>
      <c r="H39" t="str">
        <f>IF($K39="","",IFERROR(INDEX('Veri Merkezi'!$S$2:$S$1001,$K39),""))</f>
        <v/>
      </c>
      <c r="I39" s="2" t="str">
        <f>IF($K39="","",IFERROR(INDEX('Veri Merkezi'!$T$2:$T$1001,$K39),""))</f>
        <v/>
      </c>
      <c r="J39" t="str">
        <f>IF($K39="","",IFERROR(INDEX('Veri Merkezi'!$U$2:$U$1001,$K39),""))</f>
        <v/>
      </c>
      <c r="K39" t="str">
        <f>IF(K38="","",IFERROR(K38+MATCH("Tekrar İzle",INDEX('Veri Merkezi'!$S$2:$S$1001,K38+1):'Veri Merkezi'!$S$1001,0),""))</f>
        <v/>
      </c>
    </row>
    <row r="40" spans="1:11">
      <c r="A40" t="str">
        <f>IF($K40="","",IFERROR(INDEX('Veri Merkezi'!$A$2:$A$1001,$K40),""))</f>
        <v/>
      </c>
      <c r="B40" t="str">
        <f>IF($K40="","",IFERROR(INDEX('Veri Merkezi'!$E$2:$E$1001,$K40),""))</f>
        <v/>
      </c>
      <c r="C40" t="str">
        <f>IF($K40="","",IFERROR(INDEX('Veri Merkezi'!$D$2:$D$1001,$K40),""))</f>
        <v/>
      </c>
      <c r="D40" t="str">
        <f>IF($K40="","",IFERROR(INDEX('Veri Merkezi'!$F$2:$F$1001,$K40),""))</f>
        <v/>
      </c>
      <c r="E40" s="2" t="str">
        <f>IF($K40="","",IFERROR(INDEX('Veri Merkezi'!$G$2:$G$1001,$K40),""))</f>
        <v/>
      </c>
      <c r="F40" t="str">
        <f>IF($K40="","",IFERROR(INDEX('Veri Merkezi'!$H$2:$H$1001,$K40),""))</f>
        <v/>
      </c>
      <c r="G40" t="str">
        <f>IF($K40="","",IFERROR(INDEX('Veri Merkezi'!$R$2:$R$1001,$K40),""))</f>
        <v/>
      </c>
      <c r="H40" t="str">
        <f>IF($K40="","",IFERROR(INDEX('Veri Merkezi'!$S$2:$S$1001,$K40),""))</f>
        <v/>
      </c>
      <c r="I40" s="2" t="str">
        <f>IF($K40="","",IFERROR(INDEX('Veri Merkezi'!$T$2:$T$1001,$K40),""))</f>
        <v/>
      </c>
      <c r="J40" t="str">
        <f>IF($K40="","",IFERROR(INDEX('Veri Merkezi'!$U$2:$U$1001,$K40),""))</f>
        <v/>
      </c>
      <c r="K40" t="str">
        <f>IF(K39="","",IFERROR(K39+MATCH("Tekrar İzle",INDEX('Veri Merkezi'!$S$2:$S$1001,K39+1):'Veri Merkezi'!$S$1001,0),""))</f>
        <v/>
      </c>
    </row>
    <row r="41" spans="1:11">
      <c r="A41" t="str">
        <f>IF($K41="","",IFERROR(INDEX('Veri Merkezi'!$A$2:$A$1001,$K41),""))</f>
        <v/>
      </c>
      <c r="B41" t="str">
        <f>IF($K41="","",IFERROR(INDEX('Veri Merkezi'!$E$2:$E$1001,$K41),""))</f>
        <v/>
      </c>
      <c r="C41" t="str">
        <f>IF($K41="","",IFERROR(INDEX('Veri Merkezi'!$D$2:$D$1001,$K41),""))</f>
        <v/>
      </c>
      <c r="D41" t="str">
        <f>IF($K41="","",IFERROR(INDEX('Veri Merkezi'!$F$2:$F$1001,$K41),""))</f>
        <v/>
      </c>
      <c r="E41" s="2" t="str">
        <f>IF($K41="","",IFERROR(INDEX('Veri Merkezi'!$G$2:$G$1001,$K41),""))</f>
        <v/>
      </c>
      <c r="F41" t="str">
        <f>IF($K41="","",IFERROR(INDEX('Veri Merkezi'!$H$2:$H$1001,$K41),""))</f>
        <v/>
      </c>
      <c r="G41" t="str">
        <f>IF($K41="","",IFERROR(INDEX('Veri Merkezi'!$R$2:$R$1001,$K41),""))</f>
        <v/>
      </c>
      <c r="H41" t="str">
        <f>IF($K41="","",IFERROR(INDEX('Veri Merkezi'!$S$2:$S$1001,$K41),""))</f>
        <v/>
      </c>
      <c r="I41" s="2" t="str">
        <f>IF($K41="","",IFERROR(INDEX('Veri Merkezi'!$T$2:$T$1001,$K41),""))</f>
        <v/>
      </c>
      <c r="J41" t="str">
        <f>IF($K41="","",IFERROR(INDEX('Veri Merkezi'!$U$2:$U$1001,$K41),""))</f>
        <v/>
      </c>
      <c r="K41" t="str">
        <f>IF(K40="","",IFERROR(K40+MATCH("Tekrar İzle",INDEX('Veri Merkezi'!$S$2:$S$1001,K40+1):'Veri Merkezi'!$S$1001,0),""))</f>
        <v/>
      </c>
    </row>
    <row r="42" spans="1:11">
      <c r="A42" t="str">
        <f>IF($K42="","",IFERROR(INDEX('Veri Merkezi'!$A$2:$A$1001,$K42),""))</f>
        <v/>
      </c>
      <c r="B42" t="str">
        <f>IF($K42="","",IFERROR(INDEX('Veri Merkezi'!$E$2:$E$1001,$K42),""))</f>
        <v/>
      </c>
      <c r="C42" t="str">
        <f>IF($K42="","",IFERROR(INDEX('Veri Merkezi'!$D$2:$D$1001,$K42),""))</f>
        <v/>
      </c>
      <c r="D42" t="str">
        <f>IF($K42="","",IFERROR(INDEX('Veri Merkezi'!$F$2:$F$1001,$K42),""))</f>
        <v/>
      </c>
      <c r="E42" s="2" t="str">
        <f>IF($K42="","",IFERROR(INDEX('Veri Merkezi'!$G$2:$G$1001,$K42),""))</f>
        <v/>
      </c>
      <c r="F42" t="str">
        <f>IF($K42="","",IFERROR(INDEX('Veri Merkezi'!$H$2:$H$1001,$K42),""))</f>
        <v/>
      </c>
      <c r="G42" t="str">
        <f>IF($K42="","",IFERROR(INDEX('Veri Merkezi'!$R$2:$R$1001,$K42),""))</f>
        <v/>
      </c>
      <c r="H42" t="str">
        <f>IF($K42="","",IFERROR(INDEX('Veri Merkezi'!$S$2:$S$1001,$K42),""))</f>
        <v/>
      </c>
      <c r="I42" s="2" t="str">
        <f>IF($K42="","",IFERROR(INDEX('Veri Merkezi'!$T$2:$T$1001,$K42),""))</f>
        <v/>
      </c>
      <c r="J42" t="str">
        <f>IF($K42="","",IFERROR(INDEX('Veri Merkezi'!$U$2:$U$1001,$K42),""))</f>
        <v/>
      </c>
      <c r="K42" t="str">
        <f>IF(K41="","",IFERROR(K41+MATCH("Tekrar İzle",INDEX('Veri Merkezi'!$S$2:$S$1001,K41+1):'Veri Merkezi'!$S$1001,0),""))</f>
        <v/>
      </c>
    </row>
    <row r="43" spans="1:11">
      <c r="A43" t="str">
        <f>IF($K43="","",IFERROR(INDEX('Veri Merkezi'!$A$2:$A$1001,$K43),""))</f>
        <v/>
      </c>
      <c r="B43" t="str">
        <f>IF($K43="","",IFERROR(INDEX('Veri Merkezi'!$E$2:$E$1001,$K43),""))</f>
        <v/>
      </c>
      <c r="C43" t="str">
        <f>IF($K43="","",IFERROR(INDEX('Veri Merkezi'!$D$2:$D$1001,$K43),""))</f>
        <v/>
      </c>
      <c r="D43" t="str">
        <f>IF($K43="","",IFERROR(INDEX('Veri Merkezi'!$F$2:$F$1001,$K43),""))</f>
        <v/>
      </c>
      <c r="E43" s="2" t="str">
        <f>IF($K43="","",IFERROR(INDEX('Veri Merkezi'!$G$2:$G$1001,$K43),""))</f>
        <v/>
      </c>
      <c r="F43" t="str">
        <f>IF($K43="","",IFERROR(INDEX('Veri Merkezi'!$H$2:$H$1001,$K43),""))</f>
        <v/>
      </c>
      <c r="G43" t="str">
        <f>IF($K43="","",IFERROR(INDEX('Veri Merkezi'!$R$2:$R$1001,$K43),""))</f>
        <v/>
      </c>
      <c r="H43" t="str">
        <f>IF($K43="","",IFERROR(INDEX('Veri Merkezi'!$S$2:$S$1001,$K43),""))</f>
        <v/>
      </c>
      <c r="I43" s="2" t="str">
        <f>IF($K43="","",IFERROR(INDEX('Veri Merkezi'!$T$2:$T$1001,$K43),""))</f>
        <v/>
      </c>
      <c r="J43" t="str">
        <f>IF($K43="","",IFERROR(INDEX('Veri Merkezi'!$U$2:$U$1001,$K43),""))</f>
        <v/>
      </c>
      <c r="K43" t="str">
        <f>IF(K42="","",IFERROR(K42+MATCH("Tekrar İzle",INDEX('Veri Merkezi'!$S$2:$S$1001,K42+1):'Veri Merkezi'!$S$1001,0),""))</f>
        <v/>
      </c>
    </row>
    <row r="44" spans="1:11">
      <c r="A44" t="str">
        <f>IF($K44="","",IFERROR(INDEX('Veri Merkezi'!$A$2:$A$1001,$K44),""))</f>
        <v/>
      </c>
      <c r="B44" t="str">
        <f>IF($K44="","",IFERROR(INDEX('Veri Merkezi'!$E$2:$E$1001,$K44),""))</f>
        <v/>
      </c>
      <c r="C44" t="str">
        <f>IF($K44="","",IFERROR(INDEX('Veri Merkezi'!$D$2:$D$1001,$K44),""))</f>
        <v/>
      </c>
      <c r="D44" t="str">
        <f>IF($K44="","",IFERROR(INDEX('Veri Merkezi'!$F$2:$F$1001,$K44),""))</f>
        <v/>
      </c>
      <c r="E44" s="2" t="str">
        <f>IF($K44="","",IFERROR(INDEX('Veri Merkezi'!$G$2:$G$1001,$K44),""))</f>
        <v/>
      </c>
      <c r="F44" t="str">
        <f>IF($K44="","",IFERROR(INDEX('Veri Merkezi'!$H$2:$H$1001,$K44),""))</f>
        <v/>
      </c>
      <c r="G44" t="str">
        <f>IF($K44="","",IFERROR(INDEX('Veri Merkezi'!$R$2:$R$1001,$K44),""))</f>
        <v/>
      </c>
      <c r="H44" t="str">
        <f>IF($K44="","",IFERROR(INDEX('Veri Merkezi'!$S$2:$S$1001,$K44),""))</f>
        <v/>
      </c>
      <c r="I44" s="2" t="str">
        <f>IF($K44="","",IFERROR(INDEX('Veri Merkezi'!$T$2:$T$1001,$K44),""))</f>
        <v/>
      </c>
      <c r="J44" t="str">
        <f>IF($K44="","",IFERROR(INDEX('Veri Merkezi'!$U$2:$U$1001,$K44),""))</f>
        <v/>
      </c>
      <c r="K44" t="str">
        <f>IF(K43="","",IFERROR(K43+MATCH("Tekrar İzle",INDEX('Veri Merkezi'!$S$2:$S$1001,K43+1):'Veri Merkezi'!$S$1001,0),""))</f>
        <v/>
      </c>
    </row>
    <row r="45" spans="1:11">
      <c r="A45" t="str">
        <f>IF($K45="","",IFERROR(INDEX('Veri Merkezi'!$A$2:$A$1001,$K45),""))</f>
        <v/>
      </c>
      <c r="B45" t="str">
        <f>IF($K45="","",IFERROR(INDEX('Veri Merkezi'!$E$2:$E$1001,$K45),""))</f>
        <v/>
      </c>
      <c r="C45" t="str">
        <f>IF($K45="","",IFERROR(INDEX('Veri Merkezi'!$D$2:$D$1001,$K45),""))</f>
        <v/>
      </c>
      <c r="D45" t="str">
        <f>IF($K45="","",IFERROR(INDEX('Veri Merkezi'!$F$2:$F$1001,$K45),""))</f>
        <v/>
      </c>
      <c r="E45" s="2" t="str">
        <f>IF($K45="","",IFERROR(INDEX('Veri Merkezi'!$G$2:$G$1001,$K45),""))</f>
        <v/>
      </c>
      <c r="F45" t="str">
        <f>IF($K45="","",IFERROR(INDEX('Veri Merkezi'!$H$2:$H$1001,$K45),""))</f>
        <v/>
      </c>
      <c r="G45" t="str">
        <f>IF($K45="","",IFERROR(INDEX('Veri Merkezi'!$R$2:$R$1001,$K45),""))</f>
        <v/>
      </c>
      <c r="H45" t="str">
        <f>IF($K45="","",IFERROR(INDEX('Veri Merkezi'!$S$2:$S$1001,$K45),""))</f>
        <v/>
      </c>
      <c r="I45" s="2" t="str">
        <f>IF($K45="","",IFERROR(INDEX('Veri Merkezi'!$T$2:$T$1001,$K45),""))</f>
        <v/>
      </c>
      <c r="J45" t="str">
        <f>IF($K45="","",IFERROR(INDEX('Veri Merkezi'!$U$2:$U$1001,$K45),""))</f>
        <v/>
      </c>
      <c r="K45" t="str">
        <f>IF(K44="","",IFERROR(K44+MATCH("Tekrar İzle",INDEX('Veri Merkezi'!$S$2:$S$1001,K44+1):'Veri Merkezi'!$S$1001,0),""))</f>
        <v/>
      </c>
    </row>
    <row r="46" spans="1:11">
      <c r="A46" t="str">
        <f>IF($K46="","",IFERROR(INDEX('Veri Merkezi'!$A$2:$A$1001,$K46),""))</f>
        <v/>
      </c>
      <c r="B46" t="str">
        <f>IF($K46="","",IFERROR(INDEX('Veri Merkezi'!$E$2:$E$1001,$K46),""))</f>
        <v/>
      </c>
      <c r="C46" t="str">
        <f>IF($K46="","",IFERROR(INDEX('Veri Merkezi'!$D$2:$D$1001,$K46),""))</f>
        <v/>
      </c>
      <c r="D46" t="str">
        <f>IF($K46="","",IFERROR(INDEX('Veri Merkezi'!$F$2:$F$1001,$K46),""))</f>
        <v/>
      </c>
      <c r="E46" s="2" t="str">
        <f>IF($K46="","",IFERROR(INDEX('Veri Merkezi'!$G$2:$G$1001,$K46),""))</f>
        <v/>
      </c>
      <c r="F46" t="str">
        <f>IF($K46="","",IFERROR(INDEX('Veri Merkezi'!$H$2:$H$1001,$K46),""))</f>
        <v/>
      </c>
      <c r="G46" t="str">
        <f>IF($K46="","",IFERROR(INDEX('Veri Merkezi'!$R$2:$R$1001,$K46),""))</f>
        <v/>
      </c>
      <c r="H46" t="str">
        <f>IF($K46="","",IFERROR(INDEX('Veri Merkezi'!$S$2:$S$1001,$K46),""))</f>
        <v/>
      </c>
      <c r="I46" s="2" t="str">
        <f>IF($K46="","",IFERROR(INDEX('Veri Merkezi'!$T$2:$T$1001,$K46),""))</f>
        <v/>
      </c>
      <c r="J46" t="str">
        <f>IF($K46="","",IFERROR(INDEX('Veri Merkezi'!$U$2:$U$1001,$K46),""))</f>
        <v/>
      </c>
      <c r="K46" t="str">
        <f>IF(K45="","",IFERROR(K45+MATCH("Tekrar İzle",INDEX('Veri Merkezi'!$S$2:$S$1001,K45+1):'Veri Merkezi'!$S$1001,0),""))</f>
        <v/>
      </c>
    </row>
    <row r="47" spans="1:11">
      <c r="A47" t="str">
        <f>IF($K47="","",IFERROR(INDEX('Veri Merkezi'!$A$2:$A$1001,$K47),""))</f>
        <v/>
      </c>
      <c r="B47" t="str">
        <f>IF($K47="","",IFERROR(INDEX('Veri Merkezi'!$E$2:$E$1001,$K47),""))</f>
        <v/>
      </c>
      <c r="C47" t="str">
        <f>IF($K47="","",IFERROR(INDEX('Veri Merkezi'!$D$2:$D$1001,$K47),""))</f>
        <v/>
      </c>
      <c r="D47" t="str">
        <f>IF($K47="","",IFERROR(INDEX('Veri Merkezi'!$F$2:$F$1001,$K47),""))</f>
        <v/>
      </c>
      <c r="E47" s="2" t="str">
        <f>IF($K47="","",IFERROR(INDEX('Veri Merkezi'!$G$2:$G$1001,$K47),""))</f>
        <v/>
      </c>
      <c r="F47" t="str">
        <f>IF($K47="","",IFERROR(INDEX('Veri Merkezi'!$H$2:$H$1001,$K47),""))</f>
        <v/>
      </c>
      <c r="G47" t="str">
        <f>IF($K47="","",IFERROR(INDEX('Veri Merkezi'!$R$2:$R$1001,$K47),""))</f>
        <v/>
      </c>
      <c r="H47" t="str">
        <f>IF($K47="","",IFERROR(INDEX('Veri Merkezi'!$S$2:$S$1001,$K47),""))</f>
        <v/>
      </c>
      <c r="I47" s="2" t="str">
        <f>IF($K47="","",IFERROR(INDEX('Veri Merkezi'!$T$2:$T$1001,$K47),""))</f>
        <v/>
      </c>
      <c r="J47" t="str">
        <f>IF($K47="","",IFERROR(INDEX('Veri Merkezi'!$U$2:$U$1001,$K47),""))</f>
        <v/>
      </c>
      <c r="K47" t="str">
        <f>IF(K46="","",IFERROR(K46+MATCH("Tekrar İzle",INDEX('Veri Merkezi'!$S$2:$S$1001,K46+1):'Veri Merkezi'!$S$1001,0),""))</f>
        <v/>
      </c>
    </row>
    <row r="48" spans="1:11">
      <c r="A48" t="str">
        <f>IF($K48="","",IFERROR(INDEX('Veri Merkezi'!$A$2:$A$1001,$K48),""))</f>
        <v/>
      </c>
      <c r="B48" t="str">
        <f>IF($K48="","",IFERROR(INDEX('Veri Merkezi'!$E$2:$E$1001,$K48),""))</f>
        <v/>
      </c>
      <c r="C48" t="str">
        <f>IF($K48="","",IFERROR(INDEX('Veri Merkezi'!$D$2:$D$1001,$K48),""))</f>
        <v/>
      </c>
      <c r="D48" t="str">
        <f>IF($K48="","",IFERROR(INDEX('Veri Merkezi'!$F$2:$F$1001,$K48),""))</f>
        <v/>
      </c>
      <c r="E48" s="2" t="str">
        <f>IF($K48="","",IFERROR(INDEX('Veri Merkezi'!$G$2:$G$1001,$K48),""))</f>
        <v/>
      </c>
      <c r="F48" t="str">
        <f>IF($K48="","",IFERROR(INDEX('Veri Merkezi'!$H$2:$H$1001,$K48),""))</f>
        <v/>
      </c>
      <c r="G48" t="str">
        <f>IF($K48="","",IFERROR(INDEX('Veri Merkezi'!$R$2:$R$1001,$K48),""))</f>
        <v/>
      </c>
      <c r="H48" t="str">
        <f>IF($K48="","",IFERROR(INDEX('Veri Merkezi'!$S$2:$S$1001,$K48),""))</f>
        <v/>
      </c>
      <c r="I48" s="2" t="str">
        <f>IF($K48="","",IFERROR(INDEX('Veri Merkezi'!$T$2:$T$1001,$K48),""))</f>
        <v/>
      </c>
      <c r="J48" t="str">
        <f>IF($K48="","",IFERROR(INDEX('Veri Merkezi'!$U$2:$U$1001,$K48),""))</f>
        <v/>
      </c>
      <c r="K48" t="str">
        <f>IF(K47="","",IFERROR(K47+MATCH("Tekrar İzle",INDEX('Veri Merkezi'!$S$2:$S$1001,K47+1):'Veri Merkezi'!$S$1001,0),""))</f>
        <v/>
      </c>
    </row>
    <row r="49" spans="1:11">
      <c r="A49" t="str">
        <f>IF($K49="","",IFERROR(INDEX('Veri Merkezi'!$A$2:$A$1001,$K49),""))</f>
        <v/>
      </c>
      <c r="B49" t="str">
        <f>IF($K49="","",IFERROR(INDEX('Veri Merkezi'!$E$2:$E$1001,$K49),""))</f>
        <v/>
      </c>
      <c r="C49" t="str">
        <f>IF($K49="","",IFERROR(INDEX('Veri Merkezi'!$D$2:$D$1001,$K49),""))</f>
        <v/>
      </c>
      <c r="D49" t="str">
        <f>IF($K49="","",IFERROR(INDEX('Veri Merkezi'!$F$2:$F$1001,$K49),""))</f>
        <v/>
      </c>
      <c r="E49" s="2" t="str">
        <f>IF($K49="","",IFERROR(INDEX('Veri Merkezi'!$G$2:$G$1001,$K49),""))</f>
        <v/>
      </c>
      <c r="F49" t="str">
        <f>IF($K49="","",IFERROR(INDEX('Veri Merkezi'!$H$2:$H$1001,$K49),""))</f>
        <v/>
      </c>
      <c r="G49" t="str">
        <f>IF($K49="","",IFERROR(INDEX('Veri Merkezi'!$R$2:$R$1001,$K49),""))</f>
        <v/>
      </c>
      <c r="H49" t="str">
        <f>IF($K49="","",IFERROR(INDEX('Veri Merkezi'!$S$2:$S$1001,$K49),""))</f>
        <v/>
      </c>
      <c r="I49" s="2" t="str">
        <f>IF($K49="","",IFERROR(INDEX('Veri Merkezi'!$T$2:$T$1001,$K49),""))</f>
        <v/>
      </c>
      <c r="J49" t="str">
        <f>IF($K49="","",IFERROR(INDEX('Veri Merkezi'!$U$2:$U$1001,$K49),""))</f>
        <v/>
      </c>
      <c r="K49" t="str">
        <f>IF(K48="","",IFERROR(K48+MATCH("Tekrar İzle",INDEX('Veri Merkezi'!$S$2:$S$1001,K48+1):'Veri Merkezi'!$S$1001,0),""))</f>
        <v/>
      </c>
    </row>
    <row r="50" spans="1:11">
      <c r="A50" t="str">
        <f>IF($K50="","",IFERROR(INDEX('Veri Merkezi'!$A$2:$A$1001,$K50),""))</f>
        <v/>
      </c>
      <c r="B50" t="str">
        <f>IF($K50="","",IFERROR(INDEX('Veri Merkezi'!$E$2:$E$1001,$K50),""))</f>
        <v/>
      </c>
      <c r="C50" t="str">
        <f>IF($K50="","",IFERROR(INDEX('Veri Merkezi'!$D$2:$D$1001,$K50),""))</f>
        <v/>
      </c>
      <c r="D50" t="str">
        <f>IF($K50="","",IFERROR(INDEX('Veri Merkezi'!$F$2:$F$1001,$K50),""))</f>
        <v/>
      </c>
      <c r="E50" s="2" t="str">
        <f>IF($K50="","",IFERROR(INDEX('Veri Merkezi'!$G$2:$G$1001,$K50),""))</f>
        <v/>
      </c>
      <c r="F50" t="str">
        <f>IF($K50="","",IFERROR(INDEX('Veri Merkezi'!$H$2:$H$1001,$K50),""))</f>
        <v/>
      </c>
      <c r="G50" t="str">
        <f>IF($K50="","",IFERROR(INDEX('Veri Merkezi'!$R$2:$R$1001,$K50),""))</f>
        <v/>
      </c>
      <c r="H50" t="str">
        <f>IF($K50="","",IFERROR(INDEX('Veri Merkezi'!$S$2:$S$1001,$K50),""))</f>
        <v/>
      </c>
      <c r="I50" s="2" t="str">
        <f>IF($K50="","",IFERROR(INDEX('Veri Merkezi'!$T$2:$T$1001,$K50),""))</f>
        <v/>
      </c>
      <c r="J50" t="str">
        <f>IF($K50="","",IFERROR(INDEX('Veri Merkezi'!$U$2:$U$1001,$K50),""))</f>
        <v/>
      </c>
      <c r="K50" t="str">
        <f>IF(K49="","",IFERROR(K49+MATCH("Tekrar İzle",INDEX('Veri Merkezi'!$S$2:$S$1001,K49+1):'Veri Merkezi'!$S$1001,0),""))</f>
        <v/>
      </c>
    </row>
    <row r="51" spans="1:11">
      <c r="A51" t="str">
        <f>IF($K51="","",IFERROR(INDEX('Veri Merkezi'!$A$2:$A$1001,$K51),""))</f>
        <v/>
      </c>
      <c r="B51" t="str">
        <f>IF($K51="","",IFERROR(INDEX('Veri Merkezi'!$E$2:$E$1001,$K51),""))</f>
        <v/>
      </c>
      <c r="C51" t="str">
        <f>IF($K51="","",IFERROR(INDEX('Veri Merkezi'!$D$2:$D$1001,$K51),""))</f>
        <v/>
      </c>
      <c r="D51" t="str">
        <f>IF($K51="","",IFERROR(INDEX('Veri Merkezi'!$F$2:$F$1001,$K51),""))</f>
        <v/>
      </c>
      <c r="E51" s="2" t="str">
        <f>IF($K51="","",IFERROR(INDEX('Veri Merkezi'!$G$2:$G$1001,$K51),""))</f>
        <v/>
      </c>
      <c r="F51" t="str">
        <f>IF($K51="","",IFERROR(INDEX('Veri Merkezi'!$H$2:$H$1001,$K51),""))</f>
        <v/>
      </c>
      <c r="G51" t="str">
        <f>IF($K51="","",IFERROR(INDEX('Veri Merkezi'!$R$2:$R$1001,$K51),""))</f>
        <v/>
      </c>
      <c r="H51" t="str">
        <f>IF($K51="","",IFERROR(INDEX('Veri Merkezi'!$S$2:$S$1001,$K51),""))</f>
        <v/>
      </c>
      <c r="I51" s="2" t="str">
        <f>IF($K51="","",IFERROR(INDEX('Veri Merkezi'!$T$2:$T$1001,$K51),""))</f>
        <v/>
      </c>
      <c r="J51" t="str">
        <f>IF($K51="","",IFERROR(INDEX('Veri Merkezi'!$U$2:$U$1001,$K51),""))</f>
        <v/>
      </c>
      <c r="K51" t="str">
        <f>IF(K50="","",IFERROR(K50+MATCH("Tekrar İzle",INDEX('Veri Merkezi'!$S$2:$S$1001,K50+1):'Veri Merkezi'!$S$1001,0),""))</f>
        <v/>
      </c>
    </row>
    <row r="52" spans="1:11">
      <c r="A52" t="str">
        <f>IF($K52="","",IFERROR(INDEX('Veri Merkezi'!$A$2:$A$1001,$K52),""))</f>
        <v/>
      </c>
      <c r="B52" t="str">
        <f>IF($K52="","",IFERROR(INDEX('Veri Merkezi'!$E$2:$E$1001,$K52),""))</f>
        <v/>
      </c>
      <c r="C52" t="str">
        <f>IF($K52="","",IFERROR(INDEX('Veri Merkezi'!$D$2:$D$1001,$K52),""))</f>
        <v/>
      </c>
      <c r="D52" t="str">
        <f>IF($K52="","",IFERROR(INDEX('Veri Merkezi'!$F$2:$F$1001,$K52),""))</f>
        <v/>
      </c>
      <c r="E52" s="2" t="str">
        <f>IF($K52="","",IFERROR(INDEX('Veri Merkezi'!$G$2:$G$1001,$K52),""))</f>
        <v/>
      </c>
      <c r="F52" t="str">
        <f>IF($K52="","",IFERROR(INDEX('Veri Merkezi'!$H$2:$H$1001,$K52),""))</f>
        <v/>
      </c>
      <c r="G52" t="str">
        <f>IF($K52="","",IFERROR(INDEX('Veri Merkezi'!$R$2:$R$1001,$K52),""))</f>
        <v/>
      </c>
      <c r="H52" t="str">
        <f>IF($K52="","",IFERROR(INDEX('Veri Merkezi'!$S$2:$S$1001,$K52),""))</f>
        <v/>
      </c>
      <c r="I52" s="2" t="str">
        <f>IF($K52="","",IFERROR(INDEX('Veri Merkezi'!$T$2:$T$1001,$K52),""))</f>
        <v/>
      </c>
      <c r="J52" t="str">
        <f>IF($K52="","",IFERROR(INDEX('Veri Merkezi'!$U$2:$U$1001,$K52),""))</f>
        <v/>
      </c>
      <c r="K52" t="str">
        <f>IF(K51="","",IFERROR(K51+MATCH("Tekrar İzle",INDEX('Veri Merkezi'!$S$2:$S$1001,K51+1):'Veri Merkezi'!$S$1001,0),""))</f>
        <v/>
      </c>
    </row>
    <row r="53" spans="1:11">
      <c r="A53" t="str">
        <f>IF($K53="","",IFERROR(INDEX('Veri Merkezi'!$A$2:$A$1001,$K53),""))</f>
        <v/>
      </c>
      <c r="B53" t="str">
        <f>IF($K53="","",IFERROR(INDEX('Veri Merkezi'!$E$2:$E$1001,$K53),""))</f>
        <v/>
      </c>
      <c r="C53" t="str">
        <f>IF($K53="","",IFERROR(INDEX('Veri Merkezi'!$D$2:$D$1001,$K53),""))</f>
        <v/>
      </c>
      <c r="D53" t="str">
        <f>IF($K53="","",IFERROR(INDEX('Veri Merkezi'!$F$2:$F$1001,$K53),""))</f>
        <v/>
      </c>
      <c r="E53" s="2" t="str">
        <f>IF($K53="","",IFERROR(INDEX('Veri Merkezi'!$G$2:$G$1001,$K53),""))</f>
        <v/>
      </c>
      <c r="F53" t="str">
        <f>IF($K53="","",IFERROR(INDEX('Veri Merkezi'!$H$2:$H$1001,$K53),""))</f>
        <v/>
      </c>
      <c r="G53" t="str">
        <f>IF($K53="","",IFERROR(INDEX('Veri Merkezi'!$R$2:$R$1001,$K53),""))</f>
        <v/>
      </c>
      <c r="H53" t="str">
        <f>IF($K53="","",IFERROR(INDEX('Veri Merkezi'!$S$2:$S$1001,$K53),""))</f>
        <v/>
      </c>
      <c r="I53" s="2" t="str">
        <f>IF($K53="","",IFERROR(INDEX('Veri Merkezi'!$T$2:$T$1001,$K53),""))</f>
        <v/>
      </c>
      <c r="J53" t="str">
        <f>IF($K53="","",IFERROR(INDEX('Veri Merkezi'!$U$2:$U$1001,$K53),""))</f>
        <v/>
      </c>
      <c r="K53" t="str">
        <f>IF(K52="","",IFERROR(K52+MATCH("Tekrar İzle",INDEX('Veri Merkezi'!$S$2:$S$1001,K52+1):'Veri Merkezi'!$S$1001,0),""))</f>
        <v/>
      </c>
    </row>
    <row r="54" spans="1:11">
      <c r="A54" t="str">
        <f>IF($K54="","",IFERROR(INDEX('Veri Merkezi'!$A$2:$A$1001,$K54),""))</f>
        <v/>
      </c>
      <c r="B54" t="str">
        <f>IF($K54="","",IFERROR(INDEX('Veri Merkezi'!$E$2:$E$1001,$K54),""))</f>
        <v/>
      </c>
      <c r="C54" t="str">
        <f>IF($K54="","",IFERROR(INDEX('Veri Merkezi'!$D$2:$D$1001,$K54),""))</f>
        <v/>
      </c>
      <c r="D54" t="str">
        <f>IF($K54="","",IFERROR(INDEX('Veri Merkezi'!$F$2:$F$1001,$K54),""))</f>
        <v/>
      </c>
      <c r="E54" s="2" t="str">
        <f>IF($K54="","",IFERROR(INDEX('Veri Merkezi'!$G$2:$G$1001,$K54),""))</f>
        <v/>
      </c>
      <c r="F54" t="str">
        <f>IF($K54="","",IFERROR(INDEX('Veri Merkezi'!$H$2:$H$1001,$K54),""))</f>
        <v/>
      </c>
      <c r="G54" t="str">
        <f>IF($K54="","",IFERROR(INDEX('Veri Merkezi'!$R$2:$R$1001,$K54),""))</f>
        <v/>
      </c>
      <c r="H54" t="str">
        <f>IF($K54="","",IFERROR(INDEX('Veri Merkezi'!$S$2:$S$1001,$K54),""))</f>
        <v/>
      </c>
      <c r="I54" s="2" t="str">
        <f>IF($K54="","",IFERROR(INDEX('Veri Merkezi'!$T$2:$T$1001,$K54),""))</f>
        <v/>
      </c>
      <c r="J54" t="str">
        <f>IF($K54="","",IFERROR(INDEX('Veri Merkezi'!$U$2:$U$1001,$K54),""))</f>
        <v/>
      </c>
      <c r="K54" t="str">
        <f>IF(K53="","",IFERROR(K53+MATCH("Tekrar İzle",INDEX('Veri Merkezi'!$S$2:$S$1001,K53+1):'Veri Merkezi'!$S$1001,0),""))</f>
        <v/>
      </c>
    </row>
    <row r="55" spans="1:11">
      <c r="A55" t="str">
        <f>IF($K55="","",IFERROR(INDEX('Veri Merkezi'!$A$2:$A$1001,$K55),""))</f>
        <v/>
      </c>
      <c r="B55" t="str">
        <f>IF($K55="","",IFERROR(INDEX('Veri Merkezi'!$E$2:$E$1001,$K55),""))</f>
        <v/>
      </c>
      <c r="C55" t="str">
        <f>IF($K55="","",IFERROR(INDEX('Veri Merkezi'!$D$2:$D$1001,$K55),""))</f>
        <v/>
      </c>
      <c r="D55" t="str">
        <f>IF($K55="","",IFERROR(INDEX('Veri Merkezi'!$F$2:$F$1001,$K55),""))</f>
        <v/>
      </c>
      <c r="E55" s="2" t="str">
        <f>IF($K55="","",IFERROR(INDEX('Veri Merkezi'!$G$2:$G$1001,$K55),""))</f>
        <v/>
      </c>
      <c r="F55" t="str">
        <f>IF($K55="","",IFERROR(INDEX('Veri Merkezi'!$H$2:$H$1001,$K55),""))</f>
        <v/>
      </c>
      <c r="G55" t="str">
        <f>IF($K55="","",IFERROR(INDEX('Veri Merkezi'!$R$2:$R$1001,$K55),""))</f>
        <v/>
      </c>
      <c r="H55" t="str">
        <f>IF($K55="","",IFERROR(INDEX('Veri Merkezi'!$S$2:$S$1001,$K55),""))</f>
        <v/>
      </c>
      <c r="I55" s="2" t="str">
        <f>IF($K55="","",IFERROR(INDEX('Veri Merkezi'!$T$2:$T$1001,$K55),""))</f>
        <v/>
      </c>
      <c r="J55" t="str">
        <f>IF($K55="","",IFERROR(INDEX('Veri Merkezi'!$U$2:$U$1001,$K55),""))</f>
        <v/>
      </c>
      <c r="K55" t="str">
        <f>IF(K54="","",IFERROR(K54+MATCH("Tekrar İzle",INDEX('Veri Merkezi'!$S$2:$S$1001,K54+1):'Veri Merkezi'!$S$1001,0),""))</f>
        <v/>
      </c>
    </row>
    <row r="56" spans="1:11">
      <c r="A56" t="str">
        <f>IF($K56="","",IFERROR(INDEX('Veri Merkezi'!$A$2:$A$1001,$K56),""))</f>
        <v/>
      </c>
      <c r="B56" t="str">
        <f>IF($K56="","",IFERROR(INDEX('Veri Merkezi'!$E$2:$E$1001,$K56),""))</f>
        <v/>
      </c>
      <c r="C56" t="str">
        <f>IF($K56="","",IFERROR(INDEX('Veri Merkezi'!$D$2:$D$1001,$K56),""))</f>
        <v/>
      </c>
      <c r="D56" t="str">
        <f>IF($K56="","",IFERROR(INDEX('Veri Merkezi'!$F$2:$F$1001,$K56),""))</f>
        <v/>
      </c>
      <c r="E56" s="2" t="str">
        <f>IF($K56="","",IFERROR(INDEX('Veri Merkezi'!$G$2:$G$1001,$K56),""))</f>
        <v/>
      </c>
      <c r="F56" t="str">
        <f>IF($K56="","",IFERROR(INDEX('Veri Merkezi'!$H$2:$H$1001,$K56),""))</f>
        <v/>
      </c>
      <c r="G56" t="str">
        <f>IF($K56="","",IFERROR(INDEX('Veri Merkezi'!$R$2:$R$1001,$K56),""))</f>
        <v/>
      </c>
      <c r="H56" t="str">
        <f>IF($K56="","",IFERROR(INDEX('Veri Merkezi'!$S$2:$S$1001,$K56),""))</f>
        <v/>
      </c>
      <c r="I56" s="2" t="str">
        <f>IF($K56="","",IFERROR(INDEX('Veri Merkezi'!$T$2:$T$1001,$K56),""))</f>
        <v/>
      </c>
      <c r="J56" t="str">
        <f>IF($K56="","",IFERROR(INDEX('Veri Merkezi'!$U$2:$U$1001,$K56),""))</f>
        <v/>
      </c>
      <c r="K56" t="str">
        <f>IF(K55="","",IFERROR(K55+MATCH("Tekrar İzle",INDEX('Veri Merkezi'!$S$2:$S$1001,K55+1):'Veri Merkezi'!$S$1001,0),""))</f>
        <v/>
      </c>
    </row>
    <row r="57" spans="1:11">
      <c r="A57" t="str">
        <f>IF($K57="","",IFERROR(INDEX('Veri Merkezi'!$A$2:$A$1001,$K57),""))</f>
        <v/>
      </c>
      <c r="B57" t="str">
        <f>IF($K57="","",IFERROR(INDEX('Veri Merkezi'!$E$2:$E$1001,$K57),""))</f>
        <v/>
      </c>
      <c r="C57" t="str">
        <f>IF($K57="","",IFERROR(INDEX('Veri Merkezi'!$D$2:$D$1001,$K57),""))</f>
        <v/>
      </c>
      <c r="D57" t="str">
        <f>IF($K57="","",IFERROR(INDEX('Veri Merkezi'!$F$2:$F$1001,$K57),""))</f>
        <v/>
      </c>
      <c r="E57" s="2" t="str">
        <f>IF($K57="","",IFERROR(INDEX('Veri Merkezi'!$G$2:$G$1001,$K57),""))</f>
        <v/>
      </c>
      <c r="F57" t="str">
        <f>IF($K57="","",IFERROR(INDEX('Veri Merkezi'!$H$2:$H$1001,$K57),""))</f>
        <v/>
      </c>
      <c r="G57" t="str">
        <f>IF($K57="","",IFERROR(INDEX('Veri Merkezi'!$R$2:$R$1001,$K57),""))</f>
        <v/>
      </c>
      <c r="H57" t="str">
        <f>IF($K57="","",IFERROR(INDEX('Veri Merkezi'!$S$2:$S$1001,$K57),""))</f>
        <v/>
      </c>
      <c r="I57" s="2" t="str">
        <f>IF($K57="","",IFERROR(INDEX('Veri Merkezi'!$T$2:$T$1001,$K57),""))</f>
        <v/>
      </c>
      <c r="J57" t="str">
        <f>IF($K57="","",IFERROR(INDEX('Veri Merkezi'!$U$2:$U$1001,$K57),""))</f>
        <v/>
      </c>
      <c r="K57" t="str">
        <f>IF(K56="","",IFERROR(K56+MATCH("Tekrar İzle",INDEX('Veri Merkezi'!$S$2:$S$1001,K56+1):'Veri Merkezi'!$S$1001,0),""))</f>
        <v/>
      </c>
    </row>
    <row r="58" spans="1:11">
      <c r="A58" t="str">
        <f>IF($K58="","",IFERROR(INDEX('Veri Merkezi'!$A$2:$A$1001,$K58),""))</f>
        <v/>
      </c>
      <c r="B58" t="str">
        <f>IF($K58="","",IFERROR(INDEX('Veri Merkezi'!$E$2:$E$1001,$K58),""))</f>
        <v/>
      </c>
      <c r="C58" t="str">
        <f>IF($K58="","",IFERROR(INDEX('Veri Merkezi'!$D$2:$D$1001,$K58),""))</f>
        <v/>
      </c>
      <c r="D58" t="str">
        <f>IF($K58="","",IFERROR(INDEX('Veri Merkezi'!$F$2:$F$1001,$K58),""))</f>
        <v/>
      </c>
      <c r="E58" s="2" t="str">
        <f>IF($K58="","",IFERROR(INDEX('Veri Merkezi'!$G$2:$G$1001,$K58),""))</f>
        <v/>
      </c>
      <c r="F58" t="str">
        <f>IF($K58="","",IFERROR(INDEX('Veri Merkezi'!$H$2:$H$1001,$K58),""))</f>
        <v/>
      </c>
      <c r="G58" t="str">
        <f>IF($K58="","",IFERROR(INDEX('Veri Merkezi'!$R$2:$R$1001,$K58),""))</f>
        <v/>
      </c>
      <c r="H58" t="str">
        <f>IF($K58="","",IFERROR(INDEX('Veri Merkezi'!$S$2:$S$1001,$K58),""))</f>
        <v/>
      </c>
      <c r="I58" s="2" t="str">
        <f>IF($K58="","",IFERROR(INDEX('Veri Merkezi'!$T$2:$T$1001,$K58),""))</f>
        <v/>
      </c>
      <c r="J58" t="str">
        <f>IF($K58="","",IFERROR(INDEX('Veri Merkezi'!$U$2:$U$1001,$K58),""))</f>
        <v/>
      </c>
      <c r="K58" t="str">
        <f>IF(K57="","",IFERROR(K57+MATCH("Tekrar İzle",INDEX('Veri Merkezi'!$S$2:$S$1001,K57+1):'Veri Merkezi'!$S$1001,0),""))</f>
        <v/>
      </c>
    </row>
    <row r="59" spans="1:11">
      <c r="A59" t="str">
        <f>IF($K59="","",IFERROR(INDEX('Veri Merkezi'!$A$2:$A$1001,$K59),""))</f>
        <v/>
      </c>
      <c r="B59" t="str">
        <f>IF($K59="","",IFERROR(INDEX('Veri Merkezi'!$E$2:$E$1001,$K59),""))</f>
        <v/>
      </c>
      <c r="C59" t="str">
        <f>IF($K59="","",IFERROR(INDEX('Veri Merkezi'!$D$2:$D$1001,$K59),""))</f>
        <v/>
      </c>
      <c r="D59" t="str">
        <f>IF($K59="","",IFERROR(INDEX('Veri Merkezi'!$F$2:$F$1001,$K59),""))</f>
        <v/>
      </c>
      <c r="E59" s="2" t="str">
        <f>IF($K59="","",IFERROR(INDEX('Veri Merkezi'!$G$2:$G$1001,$K59),""))</f>
        <v/>
      </c>
      <c r="F59" t="str">
        <f>IF($K59="","",IFERROR(INDEX('Veri Merkezi'!$H$2:$H$1001,$K59),""))</f>
        <v/>
      </c>
      <c r="G59" t="str">
        <f>IF($K59="","",IFERROR(INDEX('Veri Merkezi'!$R$2:$R$1001,$K59),""))</f>
        <v/>
      </c>
      <c r="H59" t="str">
        <f>IF($K59="","",IFERROR(INDEX('Veri Merkezi'!$S$2:$S$1001,$K59),""))</f>
        <v/>
      </c>
      <c r="I59" s="2" t="str">
        <f>IF($K59="","",IFERROR(INDEX('Veri Merkezi'!$T$2:$T$1001,$K59),""))</f>
        <v/>
      </c>
      <c r="J59" t="str">
        <f>IF($K59="","",IFERROR(INDEX('Veri Merkezi'!$U$2:$U$1001,$K59),""))</f>
        <v/>
      </c>
      <c r="K59" t="str">
        <f>IF(K58="","",IFERROR(K58+MATCH("Tekrar İzle",INDEX('Veri Merkezi'!$S$2:$S$1001,K58+1):'Veri Merkezi'!$S$1001,0),""))</f>
        <v/>
      </c>
    </row>
    <row r="60" spans="1:11">
      <c r="A60" t="str">
        <f>IF($K60="","",IFERROR(INDEX('Veri Merkezi'!$A$2:$A$1001,$K60),""))</f>
        <v/>
      </c>
      <c r="B60" t="str">
        <f>IF($K60="","",IFERROR(INDEX('Veri Merkezi'!$E$2:$E$1001,$K60),""))</f>
        <v/>
      </c>
      <c r="C60" t="str">
        <f>IF($K60="","",IFERROR(INDEX('Veri Merkezi'!$D$2:$D$1001,$K60),""))</f>
        <v/>
      </c>
      <c r="D60" t="str">
        <f>IF($K60="","",IFERROR(INDEX('Veri Merkezi'!$F$2:$F$1001,$K60),""))</f>
        <v/>
      </c>
      <c r="E60" s="2" t="str">
        <f>IF($K60="","",IFERROR(INDEX('Veri Merkezi'!$G$2:$G$1001,$K60),""))</f>
        <v/>
      </c>
      <c r="F60" t="str">
        <f>IF($K60="","",IFERROR(INDEX('Veri Merkezi'!$H$2:$H$1001,$K60),""))</f>
        <v/>
      </c>
      <c r="G60" t="str">
        <f>IF($K60="","",IFERROR(INDEX('Veri Merkezi'!$R$2:$R$1001,$K60),""))</f>
        <v/>
      </c>
      <c r="H60" t="str">
        <f>IF($K60="","",IFERROR(INDEX('Veri Merkezi'!$S$2:$S$1001,$K60),""))</f>
        <v/>
      </c>
      <c r="I60" s="2" t="str">
        <f>IF($K60="","",IFERROR(INDEX('Veri Merkezi'!$T$2:$T$1001,$K60),""))</f>
        <v/>
      </c>
      <c r="J60" t="str">
        <f>IF($K60="","",IFERROR(INDEX('Veri Merkezi'!$U$2:$U$1001,$K60),""))</f>
        <v/>
      </c>
      <c r="K60" t="str">
        <f>IF(K59="","",IFERROR(K59+MATCH("Tekrar İzle",INDEX('Veri Merkezi'!$S$2:$S$1001,K59+1):'Veri Merkezi'!$S$1001,0),""))</f>
        <v/>
      </c>
    </row>
    <row r="61" spans="1:11">
      <c r="A61" t="str">
        <f>IF($K61="","",IFERROR(INDEX('Veri Merkezi'!$A$2:$A$1001,$K61),""))</f>
        <v/>
      </c>
      <c r="B61" t="str">
        <f>IF($K61="","",IFERROR(INDEX('Veri Merkezi'!$E$2:$E$1001,$K61),""))</f>
        <v/>
      </c>
      <c r="C61" t="str">
        <f>IF($K61="","",IFERROR(INDEX('Veri Merkezi'!$D$2:$D$1001,$K61),""))</f>
        <v/>
      </c>
      <c r="D61" t="str">
        <f>IF($K61="","",IFERROR(INDEX('Veri Merkezi'!$F$2:$F$1001,$K61),""))</f>
        <v/>
      </c>
      <c r="E61" s="2" t="str">
        <f>IF($K61="","",IFERROR(INDEX('Veri Merkezi'!$G$2:$G$1001,$K61),""))</f>
        <v/>
      </c>
      <c r="F61" t="str">
        <f>IF($K61="","",IFERROR(INDEX('Veri Merkezi'!$H$2:$H$1001,$K61),""))</f>
        <v/>
      </c>
      <c r="G61" t="str">
        <f>IF($K61="","",IFERROR(INDEX('Veri Merkezi'!$R$2:$R$1001,$K61),""))</f>
        <v/>
      </c>
      <c r="H61" t="str">
        <f>IF($K61="","",IFERROR(INDEX('Veri Merkezi'!$S$2:$S$1001,$K61),""))</f>
        <v/>
      </c>
      <c r="I61" s="2" t="str">
        <f>IF($K61="","",IFERROR(INDEX('Veri Merkezi'!$T$2:$T$1001,$K61),""))</f>
        <v/>
      </c>
      <c r="J61" t="str">
        <f>IF($K61="","",IFERROR(INDEX('Veri Merkezi'!$U$2:$U$1001,$K61),""))</f>
        <v/>
      </c>
      <c r="K61" t="str">
        <f>IF(K60="","",IFERROR(K60+MATCH("Tekrar İzle",INDEX('Veri Merkezi'!$S$2:$S$1001,K60+1):'Veri Merkezi'!$S$1001,0),""))</f>
        <v/>
      </c>
    </row>
    <row r="62" spans="1:11">
      <c r="A62" t="str">
        <f>IF($K62="","",IFERROR(INDEX('Veri Merkezi'!$A$2:$A$1001,$K62),""))</f>
        <v/>
      </c>
      <c r="B62" t="str">
        <f>IF($K62="","",IFERROR(INDEX('Veri Merkezi'!$E$2:$E$1001,$K62),""))</f>
        <v/>
      </c>
      <c r="C62" t="str">
        <f>IF($K62="","",IFERROR(INDEX('Veri Merkezi'!$D$2:$D$1001,$K62),""))</f>
        <v/>
      </c>
      <c r="D62" t="str">
        <f>IF($K62="","",IFERROR(INDEX('Veri Merkezi'!$F$2:$F$1001,$K62),""))</f>
        <v/>
      </c>
      <c r="E62" s="2" t="str">
        <f>IF($K62="","",IFERROR(INDEX('Veri Merkezi'!$G$2:$G$1001,$K62),""))</f>
        <v/>
      </c>
      <c r="F62" t="str">
        <f>IF($K62="","",IFERROR(INDEX('Veri Merkezi'!$H$2:$H$1001,$K62),""))</f>
        <v/>
      </c>
      <c r="G62" t="str">
        <f>IF($K62="","",IFERROR(INDEX('Veri Merkezi'!$R$2:$R$1001,$K62),""))</f>
        <v/>
      </c>
      <c r="H62" t="str">
        <f>IF($K62="","",IFERROR(INDEX('Veri Merkezi'!$S$2:$S$1001,$K62),""))</f>
        <v/>
      </c>
      <c r="I62" s="2" t="str">
        <f>IF($K62="","",IFERROR(INDEX('Veri Merkezi'!$T$2:$T$1001,$K62),""))</f>
        <v/>
      </c>
      <c r="J62" t="str">
        <f>IF($K62="","",IFERROR(INDEX('Veri Merkezi'!$U$2:$U$1001,$K62),""))</f>
        <v/>
      </c>
      <c r="K62" t="str">
        <f>IF(K61="","",IFERROR(K61+MATCH("Tekrar İzle",INDEX('Veri Merkezi'!$S$2:$S$1001,K61+1):'Veri Merkezi'!$S$1001,0),""))</f>
        <v/>
      </c>
    </row>
    <row r="63" spans="1:11">
      <c r="A63" t="str">
        <f>IF($K63="","",IFERROR(INDEX('Veri Merkezi'!$A$2:$A$1001,$K63),""))</f>
        <v/>
      </c>
      <c r="B63" t="str">
        <f>IF($K63="","",IFERROR(INDEX('Veri Merkezi'!$E$2:$E$1001,$K63),""))</f>
        <v/>
      </c>
      <c r="C63" t="str">
        <f>IF($K63="","",IFERROR(INDEX('Veri Merkezi'!$D$2:$D$1001,$K63),""))</f>
        <v/>
      </c>
      <c r="D63" t="str">
        <f>IF($K63="","",IFERROR(INDEX('Veri Merkezi'!$F$2:$F$1001,$K63),""))</f>
        <v/>
      </c>
      <c r="E63" s="2" t="str">
        <f>IF($K63="","",IFERROR(INDEX('Veri Merkezi'!$G$2:$G$1001,$K63),""))</f>
        <v/>
      </c>
      <c r="F63" t="str">
        <f>IF($K63="","",IFERROR(INDEX('Veri Merkezi'!$H$2:$H$1001,$K63),""))</f>
        <v/>
      </c>
      <c r="G63" t="str">
        <f>IF($K63="","",IFERROR(INDEX('Veri Merkezi'!$R$2:$R$1001,$K63),""))</f>
        <v/>
      </c>
      <c r="H63" t="str">
        <f>IF($K63="","",IFERROR(INDEX('Veri Merkezi'!$S$2:$S$1001,$K63),""))</f>
        <v/>
      </c>
      <c r="I63" s="2" t="str">
        <f>IF($K63="","",IFERROR(INDEX('Veri Merkezi'!$T$2:$T$1001,$K63),""))</f>
        <v/>
      </c>
      <c r="J63" t="str">
        <f>IF($K63="","",IFERROR(INDEX('Veri Merkezi'!$U$2:$U$1001,$K63),""))</f>
        <v/>
      </c>
      <c r="K63" t="str">
        <f>IF(K62="","",IFERROR(K62+MATCH("Tekrar İzle",INDEX('Veri Merkezi'!$S$2:$S$1001,K62+1):'Veri Merkezi'!$S$1001,0),""))</f>
        <v/>
      </c>
    </row>
    <row r="64" spans="1:11">
      <c r="A64" t="str">
        <f>IF($K64="","",IFERROR(INDEX('Veri Merkezi'!$A$2:$A$1001,$K64),""))</f>
        <v/>
      </c>
      <c r="B64" t="str">
        <f>IF($K64="","",IFERROR(INDEX('Veri Merkezi'!$E$2:$E$1001,$K64),""))</f>
        <v/>
      </c>
      <c r="C64" t="str">
        <f>IF($K64="","",IFERROR(INDEX('Veri Merkezi'!$D$2:$D$1001,$K64),""))</f>
        <v/>
      </c>
      <c r="D64" t="str">
        <f>IF($K64="","",IFERROR(INDEX('Veri Merkezi'!$F$2:$F$1001,$K64),""))</f>
        <v/>
      </c>
      <c r="E64" s="2" t="str">
        <f>IF($K64="","",IFERROR(INDEX('Veri Merkezi'!$G$2:$G$1001,$K64),""))</f>
        <v/>
      </c>
      <c r="F64" t="str">
        <f>IF($K64="","",IFERROR(INDEX('Veri Merkezi'!$H$2:$H$1001,$K64),""))</f>
        <v/>
      </c>
      <c r="G64" t="str">
        <f>IF($K64="","",IFERROR(INDEX('Veri Merkezi'!$R$2:$R$1001,$K64),""))</f>
        <v/>
      </c>
      <c r="H64" t="str">
        <f>IF($K64="","",IFERROR(INDEX('Veri Merkezi'!$S$2:$S$1001,$K64),""))</f>
        <v/>
      </c>
      <c r="I64" s="2" t="str">
        <f>IF($K64="","",IFERROR(INDEX('Veri Merkezi'!$T$2:$T$1001,$K64),""))</f>
        <v/>
      </c>
      <c r="J64" t="str">
        <f>IF($K64="","",IFERROR(INDEX('Veri Merkezi'!$U$2:$U$1001,$K64),""))</f>
        <v/>
      </c>
      <c r="K64" t="str">
        <f>IF(K63="","",IFERROR(K63+MATCH("Tekrar İzle",INDEX('Veri Merkezi'!$S$2:$S$1001,K63+1):'Veri Merkezi'!$S$1001,0),""))</f>
        <v/>
      </c>
    </row>
    <row r="65" spans="1:11">
      <c r="A65" t="str">
        <f>IF($K65="","",IFERROR(INDEX('Veri Merkezi'!$A$2:$A$1001,$K65),""))</f>
        <v/>
      </c>
      <c r="B65" t="str">
        <f>IF($K65="","",IFERROR(INDEX('Veri Merkezi'!$E$2:$E$1001,$K65),""))</f>
        <v/>
      </c>
      <c r="C65" t="str">
        <f>IF($K65="","",IFERROR(INDEX('Veri Merkezi'!$D$2:$D$1001,$K65),""))</f>
        <v/>
      </c>
      <c r="D65" t="str">
        <f>IF($K65="","",IFERROR(INDEX('Veri Merkezi'!$F$2:$F$1001,$K65),""))</f>
        <v/>
      </c>
      <c r="E65" s="2" t="str">
        <f>IF($K65="","",IFERROR(INDEX('Veri Merkezi'!$G$2:$G$1001,$K65),""))</f>
        <v/>
      </c>
      <c r="F65" t="str">
        <f>IF($K65="","",IFERROR(INDEX('Veri Merkezi'!$H$2:$H$1001,$K65),""))</f>
        <v/>
      </c>
      <c r="G65" t="str">
        <f>IF($K65="","",IFERROR(INDEX('Veri Merkezi'!$R$2:$R$1001,$K65),""))</f>
        <v/>
      </c>
      <c r="H65" t="str">
        <f>IF($K65="","",IFERROR(INDEX('Veri Merkezi'!$S$2:$S$1001,$K65),""))</f>
        <v/>
      </c>
      <c r="I65" s="2" t="str">
        <f>IF($K65="","",IFERROR(INDEX('Veri Merkezi'!$T$2:$T$1001,$K65),""))</f>
        <v/>
      </c>
      <c r="J65" t="str">
        <f>IF($K65="","",IFERROR(INDEX('Veri Merkezi'!$U$2:$U$1001,$K65),""))</f>
        <v/>
      </c>
      <c r="K65" t="str">
        <f>IF(K64="","",IFERROR(K64+MATCH("Tekrar İzle",INDEX('Veri Merkezi'!$S$2:$S$1001,K64+1):'Veri Merkezi'!$S$1001,0),""))</f>
        <v/>
      </c>
    </row>
    <row r="66" spans="1:11">
      <c r="A66" t="str">
        <f>IF($K66="","",IFERROR(INDEX('Veri Merkezi'!$A$2:$A$1001,$K66),""))</f>
        <v/>
      </c>
      <c r="B66" t="str">
        <f>IF($K66="","",IFERROR(INDEX('Veri Merkezi'!$E$2:$E$1001,$K66),""))</f>
        <v/>
      </c>
      <c r="C66" t="str">
        <f>IF($K66="","",IFERROR(INDEX('Veri Merkezi'!$D$2:$D$1001,$K66),""))</f>
        <v/>
      </c>
      <c r="D66" t="str">
        <f>IF($K66="","",IFERROR(INDEX('Veri Merkezi'!$F$2:$F$1001,$K66),""))</f>
        <v/>
      </c>
      <c r="E66" s="2" t="str">
        <f>IF($K66="","",IFERROR(INDEX('Veri Merkezi'!$G$2:$G$1001,$K66),""))</f>
        <v/>
      </c>
      <c r="F66" t="str">
        <f>IF($K66="","",IFERROR(INDEX('Veri Merkezi'!$H$2:$H$1001,$K66),""))</f>
        <v/>
      </c>
      <c r="G66" t="str">
        <f>IF($K66="","",IFERROR(INDEX('Veri Merkezi'!$R$2:$R$1001,$K66),""))</f>
        <v/>
      </c>
      <c r="H66" t="str">
        <f>IF($K66="","",IFERROR(INDEX('Veri Merkezi'!$S$2:$S$1001,$K66),""))</f>
        <v/>
      </c>
      <c r="I66" s="2" t="str">
        <f>IF($K66="","",IFERROR(INDEX('Veri Merkezi'!$T$2:$T$1001,$K66),""))</f>
        <v/>
      </c>
      <c r="J66" t="str">
        <f>IF($K66="","",IFERROR(INDEX('Veri Merkezi'!$U$2:$U$1001,$K66),""))</f>
        <v/>
      </c>
      <c r="K66" t="str">
        <f>IF(K65="","",IFERROR(K65+MATCH("Tekrar İzle",INDEX('Veri Merkezi'!$S$2:$S$1001,K65+1):'Veri Merkezi'!$S$1001,0),""))</f>
        <v/>
      </c>
    </row>
    <row r="67" spans="1:11">
      <c r="A67" t="str">
        <f>IF($K67="","",IFERROR(INDEX('Veri Merkezi'!$A$2:$A$1001,$K67),""))</f>
        <v/>
      </c>
      <c r="B67" t="str">
        <f>IF($K67="","",IFERROR(INDEX('Veri Merkezi'!$E$2:$E$1001,$K67),""))</f>
        <v/>
      </c>
      <c r="C67" t="str">
        <f>IF($K67="","",IFERROR(INDEX('Veri Merkezi'!$D$2:$D$1001,$K67),""))</f>
        <v/>
      </c>
      <c r="D67" t="str">
        <f>IF($K67="","",IFERROR(INDEX('Veri Merkezi'!$F$2:$F$1001,$K67),""))</f>
        <v/>
      </c>
      <c r="E67" s="2" t="str">
        <f>IF($K67="","",IFERROR(INDEX('Veri Merkezi'!$G$2:$G$1001,$K67),""))</f>
        <v/>
      </c>
      <c r="F67" t="str">
        <f>IF($K67="","",IFERROR(INDEX('Veri Merkezi'!$H$2:$H$1001,$K67),""))</f>
        <v/>
      </c>
      <c r="G67" t="str">
        <f>IF($K67="","",IFERROR(INDEX('Veri Merkezi'!$R$2:$R$1001,$K67),""))</f>
        <v/>
      </c>
      <c r="H67" t="str">
        <f>IF($K67="","",IFERROR(INDEX('Veri Merkezi'!$S$2:$S$1001,$K67),""))</f>
        <v/>
      </c>
      <c r="I67" s="2" t="str">
        <f>IF($K67="","",IFERROR(INDEX('Veri Merkezi'!$T$2:$T$1001,$K67),""))</f>
        <v/>
      </c>
      <c r="J67" t="str">
        <f>IF($K67="","",IFERROR(INDEX('Veri Merkezi'!$U$2:$U$1001,$K67),""))</f>
        <v/>
      </c>
      <c r="K67" t="str">
        <f>IF(K66="","",IFERROR(K66+MATCH("Tekrar İzle",INDEX('Veri Merkezi'!$S$2:$S$1001,K66+1):'Veri Merkezi'!$S$1001,0),""))</f>
        <v/>
      </c>
    </row>
    <row r="68" spans="1:11">
      <c r="A68" t="str">
        <f>IF($K68="","",IFERROR(INDEX('Veri Merkezi'!$A$2:$A$1001,$K68),""))</f>
        <v/>
      </c>
      <c r="B68" t="str">
        <f>IF($K68="","",IFERROR(INDEX('Veri Merkezi'!$E$2:$E$1001,$K68),""))</f>
        <v/>
      </c>
      <c r="C68" t="str">
        <f>IF($K68="","",IFERROR(INDEX('Veri Merkezi'!$D$2:$D$1001,$K68),""))</f>
        <v/>
      </c>
      <c r="D68" t="str">
        <f>IF($K68="","",IFERROR(INDEX('Veri Merkezi'!$F$2:$F$1001,$K68),""))</f>
        <v/>
      </c>
      <c r="E68" s="2" t="str">
        <f>IF($K68="","",IFERROR(INDEX('Veri Merkezi'!$G$2:$G$1001,$K68),""))</f>
        <v/>
      </c>
      <c r="F68" t="str">
        <f>IF($K68="","",IFERROR(INDEX('Veri Merkezi'!$H$2:$H$1001,$K68),""))</f>
        <v/>
      </c>
      <c r="G68" t="str">
        <f>IF($K68="","",IFERROR(INDEX('Veri Merkezi'!$R$2:$R$1001,$K68),""))</f>
        <v/>
      </c>
      <c r="H68" t="str">
        <f>IF($K68="","",IFERROR(INDEX('Veri Merkezi'!$S$2:$S$1001,$K68),""))</f>
        <v/>
      </c>
      <c r="I68" s="2" t="str">
        <f>IF($K68="","",IFERROR(INDEX('Veri Merkezi'!$T$2:$T$1001,$K68),""))</f>
        <v/>
      </c>
      <c r="J68" t="str">
        <f>IF($K68="","",IFERROR(INDEX('Veri Merkezi'!$U$2:$U$1001,$K68),""))</f>
        <v/>
      </c>
      <c r="K68" t="str">
        <f>IF(K67="","",IFERROR(K67+MATCH("Tekrar İzle",INDEX('Veri Merkezi'!$S$2:$S$1001,K67+1):'Veri Merkezi'!$S$1001,0),""))</f>
        <v/>
      </c>
    </row>
    <row r="69" spans="1:11">
      <c r="A69" t="str">
        <f>IF($K69="","",IFERROR(INDEX('Veri Merkezi'!$A$2:$A$1001,$K69),""))</f>
        <v/>
      </c>
      <c r="B69" t="str">
        <f>IF($K69="","",IFERROR(INDEX('Veri Merkezi'!$E$2:$E$1001,$K69),""))</f>
        <v/>
      </c>
      <c r="C69" t="str">
        <f>IF($K69="","",IFERROR(INDEX('Veri Merkezi'!$D$2:$D$1001,$K69),""))</f>
        <v/>
      </c>
      <c r="D69" t="str">
        <f>IF($K69="","",IFERROR(INDEX('Veri Merkezi'!$F$2:$F$1001,$K69),""))</f>
        <v/>
      </c>
      <c r="E69" s="2" t="str">
        <f>IF($K69="","",IFERROR(INDEX('Veri Merkezi'!$G$2:$G$1001,$K69),""))</f>
        <v/>
      </c>
      <c r="F69" t="str">
        <f>IF($K69="","",IFERROR(INDEX('Veri Merkezi'!$H$2:$H$1001,$K69),""))</f>
        <v/>
      </c>
      <c r="G69" t="str">
        <f>IF($K69="","",IFERROR(INDEX('Veri Merkezi'!$R$2:$R$1001,$K69),""))</f>
        <v/>
      </c>
      <c r="H69" t="str">
        <f>IF($K69="","",IFERROR(INDEX('Veri Merkezi'!$S$2:$S$1001,$K69),""))</f>
        <v/>
      </c>
      <c r="I69" s="2" t="str">
        <f>IF($K69="","",IFERROR(INDEX('Veri Merkezi'!$T$2:$T$1001,$K69),""))</f>
        <v/>
      </c>
      <c r="J69" t="str">
        <f>IF($K69="","",IFERROR(INDEX('Veri Merkezi'!$U$2:$U$1001,$K69),""))</f>
        <v/>
      </c>
      <c r="K69" t="str">
        <f>IF(K68="","",IFERROR(K68+MATCH("Tekrar İzle",INDEX('Veri Merkezi'!$S$2:$S$1001,K68+1):'Veri Merkezi'!$S$1001,0),""))</f>
        <v/>
      </c>
    </row>
    <row r="70" spans="1:11">
      <c r="A70" t="str">
        <f>IF($K70="","",IFERROR(INDEX('Veri Merkezi'!$A$2:$A$1001,$K70),""))</f>
        <v/>
      </c>
      <c r="B70" t="str">
        <f>IF($K70="","",IFERROR(INDEX('Veri Merkezi'!$E$2:$E$1001,$K70),""))</f>
        <v/>
      </c>
      <c r="C70" t="str">
        <f>IF($K70="","",IFERROR(INDEX('Veri Merkezi'!$D$2:$D$1001,$K70),""))</f>
        <v/>
      </c>
      <c r="D70" t="str">
        <f>IF($K70="","",IFERROR(INDEX('Veri Merkezi'!$F$2:$F$1001,$K70),""))</f>
        <v/>
      </c>
      <c r="E70" s="2" t="str">
        <f>IF($K70="","",IFERROR(INDEX('Veri Merkezi'!$G$2:$G$1001,$K70),""))</f>
        <v/>
      </c>
      <c r="F70" t="str">
        <f>IF($K70="","",IFERROR(INDEX('Veri Merkezi'!$H$2:$H$1001,$K70),""))</f>
        <v/>
      </c>
      <c r="G70" t="str">
        <f>IF($K70="","",IFERROR(INDEX('Veri Merkezi'!$R$2:$R$1001,$K70),""))</f>
        <v/>
      </c>
      <c r="H70" t="str">
        <f>IF($K70="","",IFERROR(INDEX('Veri Merkezi'!$S$2:$S$1001,$K70),""))</f>
        <v/>
      </c>
      <c r="I70" s="2" t="str">
        <f>IF($K70="","",IFERROR(INDEX('Veri Merkezi'!$T$2:$T$1001,$K70),""))</f>
        <v/>
      </c>
      <c r="J70" t="str">
        <f>IF($K70="","",IFERROR(INDEX('Veri Merkezi'!$U$2:$U$1001,$K70),""))</f>
        <v/>
      </c>
      <c r="K70" t="str">
        <f>IF(K69="","",IFERROR(K69+MATCH("Tekrar İzle",INDEX('Veri Merkezi'!$S$2:$S$1001,K69+1):'Veri Merkezi'!$S$1001,0),""))</f>
        <v/>
      </c>
    </row>
    <row r="71" spans="1:11">
      <c r="A71" t="str">
        <f>IF($K71="","",IFERROR(INDEX('Veri Merkezi'!$A$2:$A$1001,$K71),""))</f>
        <v/>
      </c>
      <c r="B71" t="str">
        <f>IF($K71="","",IFERROR(INDEX('Veri Merkezi'!$E$2:$E$1001,$K71),""))</f>
        <v/>
      </c>
      <c r="C71" t="str">
        <f>IF($K71="","",IFERROR(INDEX('Veri Merkezi'!$D$2:$D$1001,$K71),""))</f>
        <v/>
      </c>
      <c r="D71" t="str">
        <f>IF($K71="","",IFERROR(INDEX('Veri Merkezi'!$F$2:$F$1001,$K71),""))</f>
        <v/>
      </c>
      <c r="E71" s="2" t="str">
        <f>IF($K71="","",IFERROR(INDEX('Veri Merkezi'!$G$2:$G$1001,$K71),""))</f>
        <v/>
      </c>
      <c r="F71" t="str">
        <f>IF($K71="","",IFERROR(INDEX('Veri Merkezi'!$H$2:$H$1001,$K71),""))</f>
        <v/>
      </c>
      <c r="G71" t="str">
        <f>IF($K71="","",IFERROR(INDEX('Veri Merkezi'!$R$2:$R$1001,$K71),""))</f>
        <v/>
      </c>
      <c r="H71" t="str">
        <f>IF($K71="","",IFERROR(INDEX('Veri Merkezi'!$S$2:$S$1001,$K71),""))</f>
        <v/>
      </c>
      <c r="I71" s="2" t="str">
        <f>IF($K71="","",IFERROR(INDEX('Veri Merkezi'!$T$2:$T$1001,$K71),""))</f>
        <v/>
      </c>
      <c r="J71" t="str">
        <f>IF($K71="","",IFERROR(INDEX('Veri Merkezi'!$U$2:$U$1001,$K71),""))</f>
        <v/>
      </c>
      <c r="K71" t="str">
        <f>IF(K70="","",IFERROR(K70+MATCH("Tekrar İzle",INDEX('Veri Merkezi'!$S$2:$S$1001,K70+1):'Veri Merkezi'!$S$1001,0),""))</f>
        <v/>
      </c>
    </row>
    <row r="72" spans="1:11">
      <c r="A72" t="str">
        <f>IF($K72="","",IFERROR(INDEX('Veri Merkezi'!$A$2:$A$1001,$K72),""))</f>
        <v/>
      </c>
      <c r="B72" t="str">
        <f>IF($K72="","",IFERROR(INDEX('Veri Merkezi'!$E$2:$E$1001,$K72),""))</f>
        <v/>
      </c>
      <c r="C72" t="str">
        <f>IF($K72="","",IFERROR(INDEX('Veri Merkezi'!$D$2:$D$1001,$K72),""))</f>
        <v/>
      </c>
      <c r="D72" t="str">
        <f>IF($K72="","",IFERROR(INDEX('Veri Merkezi'!$F$2:$F$1001,$K72),""))</f>
        <v/>
      </c>
      <c r="E72" s="2" t="str">
        <f>IF($K72="","",IFERROR(INDEX('Veri Merkezi'!$G$2:$G$1001,$K72),""))</f>
        <v/>
      </c>
      <c r="F72" t="str">
        <f>IF($K72="","",IFERROR(INDEX('Veri Merkezi'!$H$2:$H$1001,$K72),""))</f>
        <v/>
      </c>
      <c r="G72" t="str">
        <f>IF($K72="","",IFERROR(INDEX('Veri Merkezi'!$R$2:$R$1001,$K72),""))</f>
        <v/>
      </c>
      <c r="H72" t="str">
        <f>IF($K72="","",IFERROR(INDEX('Veri Merkezi'!$S$2:$S$1001,$K72),""))</f>
        <v/>
      </c>
      <c r="I72" s="2" t="str">
        <f>IF($K72="","",IFERROR(INDEX('Veri Merkezi'!$T$2:$T$1001,$K72),""))</f>
        <v/>
      </c>
      <c r="J72" t="str">
        <f>IF($K72="","",IFERROR(INDEX('Veri Merkezi'!$U$2:$U$1001,$K72),""))</f>
        <v/>
      </c>
      <c r="K72" t="str">
        <f>IF(K71="","",IFERROR(K71+MATCH("Tekrar İzle",INDEX('Veri Merkezi'!$S$2:$S$1001,K71+1):'Veri Merkezi'!$S$1001,0),""))</f>
        <v/>
      </c>
    </row>
    <row r="73" spans="1:11">
      <c r="A73" t="str">
        <f>IF($K73="","",IFERROR(INDEX('Veri Merkezi'!$A$2:$A$1001,$K73),""))</f>
        <v/>
      </c>
      <c r="B73" t="str">
        <f>IF($K73="","",IFERROR(INDEX('Veri Merkezi'!$E$2:$E$1001,$K73),""))</f>
        <v/>
      </c>
      <c r="C73" t="str">
        <f>IF($K73="","",IFERROR(INDEX('Veri Merkezi'!$D$2:$D$1001,$K73),""))</f>
        <v/>
      </c>
      <c r="D73" t="str">
        <f>IF($K73="","",IFERROR(INDEX('Veri Merkezi'!$F$2:$F$1001,$K73),""))</f>
        <v/>
      </c>
      <c r="E73" s="2" t="str">
        <f>IF($K73="","",IFERROR(INDEX('Veri Merkezi'!$G$2:$G$1001,$K73),""))</f>
        <v/>
      </c>
      <c r="F73" t="str">
        <f>IF($K73="","",IFERROR(INDEX('Veri Merkezi'!$H$2:$H$1001,$K73),""))</f>
        <v/>
      </c>
      <c r="G73" t="str">
        <f>IF($K73="","",IFERROR(INDEX('Veri Merkezi'!$R$2:$R$1001,$K73),""))</f>
        <v/>
      </c>
      <c r="H73" t="str">
        <f>IF($K73="","",IFERROR(INDEX('Veri Merkezi'!$S$2:$S$1001,$K73),""))</f>
        <v/>
      </c>
      <c r="I73" s="2" t="str">
        <f>IF($K73="","",IFERROR(INDEX('Veri Merkezi'!$T$2:$T$1001,$K73),""))</f>
        <v/>
      </c>
      <c r="J73" t="str">
        <f>IF($K73="","",IFERROR(INDEX('Veri Merkezi'!$U$2:$U$1001,$K73),""))</f>
        <v/>
      </c>
      <c r="K73" t="str">
        <f>IF(K72="","",IFERROR(K72+MATCH("Tekrar İzle",INDEX('Veri Merkezi'!$S$2:$S$1001,K72+1):'Veri Merkezi'!$S$1001,0),""))</f>
        <v/>
      </c>
    </row>
    <row r="74" spans="1:11">
      <c r="A74" t="str">
        <f>IF($K74="","",IFERROR(INDEX('Veri Merkezi'!$A$2:$A$1001,$K74),""))</f>
        <v/>
      </c>
      <c r="B74" t="str">
        <f>IF($K74="","",IFERROR(INDEX('Veri Merkezi'!$E$2:$E$1001,$K74),""))</f>
        <v/>
      </c>
      <c r="C74" t="str">
        <f>IF($K74="","",IFERROR(INDEX('Veri Merkezi'!$D$2:$D$1001,$K74),""))</f>
        <v/>
      </c>
      <c r="D74" t="str">
        <f>IF($K74="","",IFERROR(INDEX('Veri Merkezi'!$F$2:$F$1001,$K74),""))</f>
        <v/>
      </c>
      <c r="E74" s="2" t="str">
        <f>IF($K74="","",IFERROR(INDEX('Veri Merkezi'!$G$2:$G$1001,$K74),""))</f>
        <v/>
      </c>
      <c r="F74" t="str">
        <f>IF($K74="","",IFERROR(INDEX('Veri Merkezi'!$H$2:$H$1001,$K74),""))</f>
        <v/>
      </c>
      <c r="G74" t="str">
        <f>IF($K74="","",IFERROR(INDEX('Veri Merkezi'!$R$2:$R$1001,$K74),""))</f>
        <v/>
      </c>
      <c r="H74" t="str">
        <f>IF($K74="","",IFERROR(INDEX('Veri Merkezi'!$S$2:$S$1001,$K74),""))</f>
        <v/>
      </c>
      <c r="I74" s="2" t="str">
        <f>IF($K74="","",IFERROR(INDEX('Veri Merkezi'!$T$2:$T$1001,$K74),""))</f>
        <v/>
      </c>
      <c r="J74" t="str">
        <f>IF($K74="","",IFERROR(INDEX('Veri Merkezi'!$U$2:$U$1001,$K74),""))</f>
        <v/>
      </c>
      <c r="K74" t="str">
        <f>IF(K73="","",IFERROR(K73+MATCH("Tekrar İzle",INDEX('Veri Merkezi'!$S$2:$S$1001,K73+1):'Veri Merkezi'!$S$1001,0),""))</f>
        <v/>
      </c>
    </row>
    <row r="75" spans="1:11">
      <c r="A75" t="str">
        <f>IF($K75="","",IFERROR(INDEX('Veri Merkezi'!$A$2:$A$1001,$K75),""))</f>
        <v/>
      </c>
      <c r="B75" t="str">
        <f>IF($K75="","",IFERROR(INDEX('Veri Merkezi'!$E$2:$E$1001,$K75),""))</f>
        <v/>
      </c>
      <c r="C75" t="str">
        <f>IF($K75="","",IFERROR(INDEX('Veri Merkezi'!$D$2:$D$1001,$K75),""))</f>
        <v/>
      </c>
      <c r="D75" t="str">
        <f>IF($K75="","",IFERROR(INDEX('Veri Merkezi'!$F$2:$F$1001,$K75),""))</f>
        <v/>
      </c>
      <c r="E75" s="2" t="str">
        <f>IF($K75="","",IFERROR(INDEX('Veri Merkezi'!$G$2:$G$1001,$K75),""))</f>
        <v/>
      </c>
      <c r="F75" t="str">
        <f>IF($K75="","",IFERROR(INDEX('Veri Merkezi'!$H$2:$H$1001,$K75),""))</f>
        <v/>
      </c>
      <c r="G75" t="str">
        <f>IF($K75="","",IFERROR(INDEX('Veri Merkezi'!$R$2:$R$1001,$K75),""))</f>
        <v/>
      </c>
      <c r="H75" t="str">
        <f>IF($K75="","",IFERROR(INDEX('Veri Merkezi'!$S$2:$S$1001,$K75),""))</f>
        <v/>
      </c>
      <c r="I75" s="2" t="str">
        <f>IF($K75="","",IFERROR(INDEX('Veri Merkezi'!$T$2:$T$1001,$K75),""))</f>
        <v/>
      </c>
      <c r="J75" t="str">
        <f>IF($K75="","",IFERROR(INDEX('Veri Merkezi'!$U$2:$U$1001,$K75),""))</f>
        <v/>
      </c>
      <c r="K75" t="str">
        <f>IF(K74="","",IFERROR(K74+MATCH("Tekrar İzle",INDEX('Veri Merkezi'!$S$2:$S$1001,K74+1):'Veri Merkezi'!$S$1001,0),""))</f>
        <v/>
      </c>
    </row>
    <row r="76" spans="1:11">
      <c r="A76" t="str">
        <f>IF($K76="","",IFERROR(INDEX('Veri Merkezi'!$A$2:$A$1001,$K76),""))</f>
        <v/>
      </c>
      <c r="B76" t="str">
        <f>IF($K76="","",IFERROR(INDEX('Veri Merkezi'!$E$2:$E$1001,$K76),""))</f>
        <v/>
      </c>
      <c r="C76" t="str">
        <f>IF($K76="","",IFERROR(INDEX('Veri Merkezi'!$D$2:$D$1001,$K76),""))</f>
        <v/>
      </c>
      <c r="D76" t="str">
        <f>IF($K76="","",IFERROR(INDEX('Veri Merkezi'!$F$2:$F$1001,$K76),""))</f>
        <v/>
      </c>
      <c r="E76" s="2" t="str">
        <f>IF($K76="","",IFERROR(INDEX('Veri Merkezi'!$G$2:$G$1001,$K76),""))</f>
        <v/>
      </c>
      <c r="F76" t="str">
        <f>IF($K76="","",IFERROR(INDEX('Veri Merkezi'!$H$2:$H$1001,$K76),""))</f>
        <v/>
      </c>
      <c r="G76" t="str">
        <f>IF($K76="","",IFERROR(INDEX('Veri Merkezi'!$R$2:$R$1001,$K76),""))</f>
        <v/>
      </c>
      <c r="H76" t="str">
        <f>IF($K76="","",IFERROR(INDEX('Veri Merkezi'!$S$2:$S$1001,$K76),""))</f>
        <v/>
      </c>
      <c r="I76" s="2" t="str">
        <f>IF($K76="","",IFERROR(INDEX('Veri Merkezi'!$T$2:$T$1001,$K76),""))</f>
        <v/>
      </c>
      <c r="J76" t="str">
        <f>IF($K76="","",IFERROR(INDEX('Veri Merkezi'!$U$2:$U$1001,$K76),""))</f>
        <v/>
      </c>
      <c r="K76" t="str">
        <f>IF(K75="","",IFERROR(K75+MATCH("Tekrar İzle",INDEX('Veri Merkezi'!$S$2:$S$1001,K75+1):'Veri Merkezi'!$S$1001,0),""))</f>
        <v/>
      </c>
    </row>
    <row r="77" spans="1:11">
      <c r="A77" t="str">
        <f>IF($K77="","",IFERROR(INDEX('Veri Merkezi'!$A$2:$A$1001,$K77),""))</f>
        <v/>
      </c>
      <c r="B77" t="str">
        <f>IF($K77="","",IFERROR(INDEX('Veri Merkezi'!$E$2:$E$1001,$K77),""))</f>
        <v/>
      </c>
      <c r="C77" t="str">
        <f>IF($K77="","",IFERROR(INDEX('Veri Merkezi'!$D$2:$D$1001,$K77),""))</f>
        <v/>
      </c>
      <c r="D77" t="str">
        <f>IF($K77="","",IFERROR(INDEX('Veri Merkezi'!$F$2:$F$1001,$K77),""))</f>
        <v/>
      </c>
      <c r="E77" s="2" t="str">
        <f>IF($K77="","",IFERROR(INDEX('Veri Merkezi'!$G$2:$G$1001,$K77),""))</f>
        <v/>
      </c>
      <c r="F77" t="str">
        <f>IF($K77="","",IFERROR(INDEX('Veri Merkezi'!$H$2:$H$1001,$K77),""))</f>
        <v/>
      </c>
      <c r="G77" t="str">
        <f>IF($K77="","",IFERROR(INDEX('Veri Merkezi'!$R$2:$R$1001,$K77),""))</f>
        <v/>
      </c>
      <c r="H77" t="str">
        <f>IF($K77="","",IFERROR(INDEX('Veri Merkezi'!$S$2:$S$1001,$K77),""))</f>
        <v/>
      </c>
      <c r="I77" s="2" t="str">
        <f>IF($K77="","",IFERROR(INDEX('Veri Merkezi'!$T$2:$T$1001,$K77),""))</f>
        <v/>
      </c>
      <c r="J77" t="str">
        <f>IF($K77="","",IFERROR(INDEX('Veri Merkezi'!$U$2:$U$1001,$K77),""))</f>
        <v/>
      </c>
      <c r="K77" t="str">
        <f>IF(K76="","",IFERROR(K76+MATCH("Tekrar İzle",INDEX('Veri Merkezi'!$S$2:$S$1001,K76+1):'Veri Merkezi'!$S$1001,0),""))</f>
        <v/>
      </c>
    </row>
    <row r="78" spans="1:11">
      <c r="A78" t="str">
        <f>IF($K78="","",IFERROR(INDEX('Veri Merkezi'!$A$2:$A$1001,$K78),""))</f>
        <v/>
      </c>
      <c r="B78" t="str">
        <f>IF($K78="","",IFERROR(INDEX('Veri Merkezi'!$E$2:$E$1001,$K78),""))</f>
        <v/>
      </c>
      <c r="C78" t="str">
        <f>IF($K78="","",IFERROR(INDEX('Veri Merkezi'!$D$2:$D$1001,$K78),""))</f>
        <v/>
      </c>
      <c r="D78" t="str">
        <f>IF($K78="","",IFERROR(INDEX('Veri Merkezi'!$F$2:$F$1001,$K78),""))</f>
        <v/>
      </c>
      <c r="E78" s="2" t="str">
        <f>IF($K78="","",IFERROR(INDEX('Veri Merkezi'!$G$2:$G$1001,$K78),""))</f>
        <v/>
      </c>
      <c r="F78" t="str">
        <f>IF($K78="","",IFERROR(INDEX('Veri Merkezi'!$H$2:$H$1001,$K78),""))</f>
        <v/>
      </c>
      <c r="G78" t="str">
        <f>IF($K78="","",IFERROR(INDEX('Veri Merkezi'!$R$2:$R$1001,$K78),""))</f>
        <v/>
      </c>
      <c r="H78" t="str">
        <f>IF($K78="","",IFERROR(INDEX('Veri Merkezi'!$S$2:$S$1001,$K78),""))</f>
        <v/>
      </c>
      <c r="I78" s="2" t="str">
        <f>IF($K78="","",IFERROR(INDEX('Veri Merkezi'!$T$2:$T$1001,$K78),""))</f>
        <v/>
      </c>
      <c r="J78" t="str">
        <f>IF($K78="","",IFERROR(INDEX('Veri Merkezi'!$U$2:$U$1001,$K78),""))</f>
        <v/>
      </c>
      <c r="K78" t="str">
        <f>IF(K77="","",IFERROR(K77+MATCH("Tekrar İzle",INDEX('Veri Merkezi'!$S$2:$S$1001,K77+1):'Veri Merkezi'!$S$1001,0),""))</f>
        <v/>
      </c>
    </row>
    <row r="79" spans="1:11">
      <c r="A79" t="str">
        <f>IF($K79="","",IFERROR(INDEX('Veri Merkezi'!$A$2:$A$1001,$K79),""))</f>
        <v/>
      </c>
      <c r="B79" t="str">
        <f>IF($K79="","",IFERROR(INDEX('Veri Merkezi'!$E$2:$E$1001,$K79),""))</f>
        <v/>
      </c>
      <c r="C79" t="str">
        <f>IF($K79="","",IFERROR(INDEX('Veri Merkezi'!$D$2:$D$1001,$K79),""))</f>
        <v/>
      </c>
      <c r="D79" t="str">
        <f>IF($K79="","",IFERROR(INDEX('Veri Merkezi'!$F$2:$F$1001,$K79),""))</f>
        <v/>
      </c>
      <c r="E79" s="2" t="str">
        <f>IF($K79="","",IFERROR(INDEX('Veri Merkezi'!$G$2:$G$1001,$K79),""))</f>
        <v/>
      </c>
      <c r="F79" t="str">
        <f>IF($K79="","",IFERROR(INDEX('Veri Merkezi'!$H$2:$H$1001,$K79),""))</f>
        <v/>
      </c>
      <c r="G79" t="str">
        <f>IF($K79="","",IFERROR(INDEX('Veri Merkezi'!$R$2:$R$1001,$K79),""))</f>
        <v/>
      </c>
      <c r="H79" t="str">
        <f>IF($K79="","",IFERROR(INDEX('Veri Merkezi'!$S$2:$S$1001,$K79),""))</f>
        <v/>
      </c>
      <c r="I79" s="2" t="str">
        <f>IF($K79="","",IFERROR(INDEX('Veri Merkezi'!$T$2:$T$1001,$K79),""))</f>
        <v/>
      </c>
      <c r="J79" t="str">
        <f>IF($K79="","",IFERROR(INDEX('Veri Merkezi'!$U$2:$U$1001,$K79),""))</f>
        <v/>
      </c>
      <c r="K79" t="str">
        <f>IF(K78="","",IFERROR(K78+MATCH("Tekrar İzle",INDEX('Veri Merkezi'!$S$2:$S$1001,K78+1):'Veri Merkezi'!$S$1001,0),""))</f>
        <v/>
      </c>
    </row>
    <row r="80" spans="1:11">
      <c r="A80" t="str">
        <f>IF($K80="","",IFERROR(INDEX('Veri Merkezi'!$A$2:$A$1001,$K80),""))</f>
        <v/>
      </c>
      <c r="B80" t="str">
        <f>IF($K80="","",IFERROR(INDEX('Veri Merkezi'!$E$2:$E$1001,$K80),""))</f>
        <v/>
      </c>
      <c r="C80" t="str">
        <f>IF($K80="","",IFERROR(INDEX('Veri Merkezi'!$D$2:$D$1001,$K80),""))</f>
        <v/>
      </c>
      <c r="D80" t="str">
        <f>IF($K80="","",IFERROR(INDEX('Veri Merkezi'!$F$2:$F$1001,$K80),""))</f>
        <v/>
      </c>
      <c r="E80" s="2" t="str">
        <f>IF($K80="","",IFERROR(INDEX('Veri Merkezi'!$G$2:$G$1001,$K80),""))</f>
        <v/>
      </c>
      <c r="F80" t="str">
        <f>IF($K80="","",IFERROR(INDEX('Veri Merkezi'!$H$2:$H$1001,$K80),""))</f>
        <v/>
      </c>
      <c r="G80" t="str">
        <f>IF($K80="","",IFERROR(INDEX('Veri Merkezi'!$R$2:$R$1001,$K80),""))</f>
        <v/>
      </c>
      <c r="H80" t="str">
        <f>IF($K80="","",IFERROR(INDEX('Veri Merkezi'!$S$2:$S$1001,$K80),""))</f>
        <v/>
      </c>
      <c r="I80" s="2" t="str">
        <f>IF($K80="","",IFERROR(INDEX('Veri Merkezi'!$T$2:$T$1001,$K80),""))</f>
        <v/>
      </c>
      <c r="J80" t="str">
        <f>IF($K80="","",IFERROR(INDEX('Veri Merkezi'!$U$2:$U$1001,$K80),""))</f>
        <v/>
      </c>
      <c r="K80" t="str">
        <f>IF(K79="","",IFERROR(K79+MATCH("Tekrar İzle",INDEX('Veri Merkezi'!$S$2:$S$1001,K79+1):'Veri Merkezi'!$S$1001,0),""))</f>
        <v/>
      </c>
    </row>
    <row r="81" spans="1:11">
      <c r="A81" t="str">
        <f>IF($K81="","",IFERROR(INDEX('Veri Merkezi'!$A$2:$A$1001,$K81),""))</f>
        <v/>
      </c>
      <c r="B81" t="str">
        <f>IF($K81="","",IFERROR(INDEX('Veri Merkezi'!$E$2:$E$1001,$K81),""))</f>
        <v/>
      </c>
      <c r="C81" t="str">
        <f>IF($K81="","",IFERROR(INDEX('Veri Merkezi'!$D$2:$D$1001,$K81),""))</f>
        <v/>
      </c>
      <c r="D81" t="str">
        <f>IF($K81="","",IFERROR(INDEX('Veri Merkezi'!$F$2:$F$1001,$K81),""))</f>
        <v/>
      </c>
      <c r="E81" s="2" t="str">
        <f>IF($K81="","",IFERROR(INDEX('Veri Merkezi'!$G$2:$G$1001,$K81),""))</f>
        <v/>
      </c>
      <c r="F81" t="str">
        <f>IF($K81="","",IFERROR(INDEX('Veri Merkezi'!$H$2:$H$1001,$K81),""))</f>
        <v/>
      </c>
      <c r="G81" t="str">
        <f>IF($K81="","",IFERROR(INDEX('Veri Merkezi'!$R$2:$R$1001,$K81),""))</f>
        <v/>
      </c>
      <c r="H81" t="str">
        <f>IF($K81="","",IFERROR(INDEX('Veri Merkezi'!$S$2:$S$1001,$K81),""))</f>
        <v/>
      </c>
      <c r="I81" s="2" t="str">
        <f>IF($K81="","",IFERROR(INDEX('Veri Merkezi'!$T$2:$T$1001,$K81),""))</f>
        <v/>
      </c>
      <c r="J81" t="str">
        <f>IF($K81="","",IFERROR(INDEX('Veri Merkezi'!$U$2:$U$1001,$K81),""))</f>
        <v/>
      </c>
      <c r="K81" t="str">
        <f>IF(K80="","",IFERROR(K80+MATCH("Tekrar İzle",INDEX('Veri Merkezi'!$S$2:$S$1001,K80+1):'Veri Merkezi'!$S$1001,0),""))</f>
        <v/>
      </c>
    </row>
    <row r="82" spans="1:11">
      <c r="A82" t="str">
        <f>IF($K82="","",IFERROR(INDEX('Veri Merkezi'!$A$2:$A$1001,$K82),""))</f>
        <v/>
      </c>
      <c r="B82" t="str">
        <f>IF($K82="","",IFERROR(INDEX('Veri Merkezi'!$E$2:$E$1001,$K82),""))</f>
        <v/>
      </c>
      <c r="C82" t="str">
        <f>IF($K82="","",IFERROR(INDEX('Veri Merkezi'!$D$2:$D$1001,$K82),""))</f>
        <v/>
      </c>
      <c r="D82" t="str">
        <f>IF($K82="","",IFERROR(INDEX('Veri Merkezi'!$F$2:$F$1001,$K82),""))</f>
        <v/>
      </c>
      <c r="E82" s="2" t="str">
        <f>IF($K82="","",IFERROR(INDEX('Veri Merkezi'!$G$2:$G$1001,$K82),""))</f>
        <v/>
      </c>
      <c r="F82" t="str">
        <f>IF($K82="","",IFERROR(INDEX('Veri Merkezi'!$H$2:$H$1001,$K82),""))</f>
        <v/>
      </c>
      <c r="G82" t="str">
        <f>IF($K82="","",IFERROR(INDEX('Veri Merkezi'!$R$2:$R$1001,$K82),""))</f>
        <v/>
      </c>
      <c r="H82" t="str">
        <f>IF($K82="","",IFERROR(INDEX('Veri Merkezi'!$S$2:$S$1001,$K82),""))</f>
        <v/>
      </c>
      <c r="I82" s="2" t="str">
        <f>IF($K82="","",IFERROR(INDEX('Veri Merkezi'!$T$2:$T$1001,$K82),""))</f>
        <v/>
      </c>
      <c r="J82" t="str">
        <f>IF($K82="","",IFERROR(INDEX('Veri Merkezi'!$U$2:$U$1001,$K82),""))</f>
        <v/>
      </c>
      <c r="K82" t="str">
        <f>IF(K81="","",IFERROR(K81+MATCH("Tekrar İzle",INDEX('Veri Merkezi'!$S$2:$S$1001,K81+1):'Veri Merkezi'!$S$1001,0),""))</f>
        <v/>
      </c>
    </row>
    <row r="83" spans="1:11">
      <c r="A83" t="str">
        <f>IF($K83="","",IFERROR(INDEX('Veri Merkezi'!$A$2:$A$1001,$K83),""))</f>
        <v/>
      </c>
      <c r="B83" t="str">
        <f>IF($K83="","",IFERROR(INDEX('Veri Merkezi'!$E$2:$E$1001,$K83),""))</f>
        <v/>
      </c>
      <c r="C83" t="str">
        <f>IF($K83="","",IFERROR(INDEX('Veri Merkezi'!$D$2:$D$1001,$K83),""))</f>
        <v/>
      </c>
      <c r="D83" t="str">
        <f>IF($K83="","",IFERROR(INDEX('Veri Merkezi'!$F$2:$F$1001,$K83),""))</f>
        <v/>
      </c>
      <c r="E83" s="2" t="str">
        <f>IF($K83="","",IFERROR(INDEX('Veri Merkezi'!$G$2:$G$1001,$K83),""))</f>
        <v/>
      </c>
      <c r="F83" t="str">
        <f>IF($K83="","",IFERROR(INDEX('Veri Merkezi'!$H$2:$H$1001,$K83),""))</f>
        <v/>
      </c>
      <c r="G83" t="str">
        <f>IF($K83="","",IFERROR(INDEX('Veri Merkezi'!$R$2:$R$1001,$K83),""))</f>
        <v/>
      </c>
      <c r="H83" t="str">
        <f>IF($K83="","",IFERROR(INDEX('Veri Merkezi'!$S$2:$S$1001,$K83),""))</f>
        <v/>
      </c>
      <c r="I83" s="2" t="str">
        <f>IF($K83="","",IFERROR(INDEX('Veri Merkezi'!$T$2:$T$1001,$K83),""))</f>
        <v/>
      </c>
      <c r="J83" t="str">
        <f>IF($K83="","",IFERROR(INDEX('Veri Merkezi'!$U$2:$U$1001,$K83),""))</f>
        <v/>
      </c>
      <c r="K83" t="str">
        <f>IF(K82="","",IFERROR(K82+MATCH("Tekrar İzle",INDEX('Veri Merkezi'!$S$2:$S$1001,K82+1):'Veri Merkezi'!$S$1001,0),""))</f>
        <v/>
      </c>
    </row>
    <row r="84" spans="1:11">
      <c r="A84" t="str">
        <f>IF($K84="","",IFERROR(INDEX('Veri Merkezi'!$A$2:$A$1001,$K84),""))</f>
        <v/>
      </c>
      <c r="B84" t="str">
        <f>IF($K84="","",IFERROR(INDEX('Veri Merkezi'!$E$2:$E$1001,$K84),""))</f>
        <v/>
      </c>
      <c r="C84" t="str">
        <f>IF($K84="","",IFERROR(INDEX('Veri Merkezi'!$D$2:$D$1001,$K84),""))</f>
        <v/>
      </c>
      <c r="D84" t="str">
        <f>IF($K84="","",IFERROR(INDEX('Veri Merkezi'!$F$2:$F$1001,$K84),""))</f>
        <v/>
      </c>
      <c r="E84" s="2" t="str">
        <f>IF($K84="","",IFERROR(INDEX('Veri Merkezi'!$G$2:$G$1001,$K84),""))</f>
        <v/>
      </c>
      <c r="F84" t="str">
        <f>IF($K84="","",IFERROR(INDEX('Veri Merkezi'!$H$2:$H$1001,$K84),""))</f>
        <v/>
      </c>
      <c r="G84" t="str">
        <f>IF($K84="","",IFERROR(INDEX('Veri Merkezi'!$R$2:$R$1001,$K84),""))</f>
        <v/>
      </c>
      <c r="H84" t="str">
        <f>IF($K84="","",IFERROR(INDEX('Veri Merkezi'!$S$2:$S$1001,$K84),""))</f>
        <v/>
      </c>
      <c r="I84" s="2" t="str">
        <f>IF($K84="","",IFERROR(INDEX('Veri Merkezi'!$T$2:$T$1001,$K84),""))</f>
        <v/>
      </c>
      <c r="J84" t="str">
        <f>IF($K84="","",IFERROR(INDEX('Veri Merkezi'!$U$2:$U$1001,$K84),""))</f>
        <v/>
      </c>
      <c r="K84" t="str">
        <f>IF(K83="","",IFERROR(K83+MATCH("Tekrar İzle",INDEX('Veri Merkezi'!$S$2:$S$1001,K83+1):'Veri Merkezi'!$S$1001,0),""))</f>
        <v/>
      </c>
    </row>
    <row r="85" spans="1:11">
      <c r="A85" t="str">
        <f>IF($K85="","",IFERROR(INDEX('Veri Merkezi'!$A$2:$A$1001,$K85),""))</f>
        <v/>
      </c>
      <c r="B85" t="str">
        <f>IF($K85="","",IFERROR(INDEX('Veri Merkezi'!$E$2:$E$1001,$K85),""))</f>
        <v/>
      </c>
      <c r="C85" t="str">
        <f>IF($K85="","",IFERROR(INDEX('Veri Merkezi'!$D$2:$D$1001,$K85),""))</f>
        <v/>
      </c>
      <c r="D85" t="str">
        <f>IF($K85="","",IFERROR(INDEX('Veri Merkezi'!$F$2:$F$1001,$K85),""))</f>
        <v/>
      </c>
      <c r="E85" s="2" t="str">
        <f>IF($K85="","",IFERROR(INDEX('Veri Merkezi'!$G$2:$G$1001,$K85),""))</f>
        <v/>
      </c>
      <c r="F85" t="str">
        <f>IF($K85="","",IFERROR(INDEX('Veri Merkezi'!$H$2:$H$1001,$K85),""))</f>
        <v/>
      </c>
      <c r="G85" t="str">
        <f>IF($K85="","",IFERROR(INDEX('Veri Merkezi'!$R$2:$R$1001,$K85),""))</f>
        <v/>
      </c>
      <c r="H85" t="str">
        <f>IF($K85="","",IFERROR(INDEX('Veri Merkezi'!$S$2:$S$1001,$K85),""))</f>
        <v/>
      </c>
      <c r="I85" s="2" t="str">
        <f>IF($K85="","",IFERROR(INDEX('Veri Merkezi'!$T$2:$T$1001,$K85),""))</f>
        <v/>
      </c>
      <c r="J85" t="str">
        <f>IF($K85="","",IFERROR(INDEX('Veri Merkezi'!$U$2:$U$1001,$K85),""))</f>
        <v/>
      </c>
      <c r="K85" t="str">
        <f>IF(K84="","",IFERROR(K84+MATCH("Tekrar İzle",INDEX('Veri Merkezi'!$S$2:$S$1001,K84+1):'Veri Merkezi'!$S$1001,0),""))</f>
        <v/>
      </c>
    </row>
    <row r="86" spans="1:11">
      <c r="A86" t="str">
        <f>IF($K86="","",IFERROR(INDEX('Veri Merkezi'!$A$2:$A$1001,$K86),""))</f>
        <v/>
      </c>
      <c r="B86" t="str">
        <f>IF($K86="","",IFERROR(INDEX('Veri Merkezi'!$E$2:$E$1001,$K86),""))</f>
        <v/>
      </c>
      <c r="C86" t="str">
        <f>IF($K86="","",IFERROR(INDEX('Veri Merkezi'!$D$2:$D$1001,$K86),""))</f>
        <v/>
      </c>
      <c r="D86" t="str">
        <f>IF($K86="","",IFERROR(INDEX('Veri Merkezi'!$F$2:$F$1001,$K86),""))</f>
        <v/>
      </c>
      <c r="E86" s="2" t="str">
        <f>IF($K86="","",IFERROR(INDEX('Veri Merkezi'!$G$2:$G$1001,$K86),""))</f>
        <v/>
      </c>
      <c r="F86" t="str">
        <f>IF($K86="","",IFERROR(INDEX('Veri Merkezi'!$H$2:$H$1001,$K86),""))</f>
        <v/>
      </c>
      <c r="G86" t="str">
        <f>IF($K86="","",IFERROR(INDEX('Veri Merkezi'!$R$2:$R$1001,$K86),""))</f>
        <v/>
      </c>
      <c r="H86" t="str">
        <f>IF($K86="","",IFERROR(INDEX('Veri Merkezi'!$S$2:$S$1001,$K86),""))</f>
        <v/>
      </c>
      <c r="I86" s="2" t="str">
        <f>IF($K86="","",IFERROR(INDEX('Veri Merkezi'!$T$2:$T$1001,$K86),""))</f>
        <v/>
      </c>
      <c r="J86" t="str">
        <f>IF($K86="","",IFERROR(INDEX('Veri Merkezi'!$U$2:$U$1001,$K86),""))</f>
        <v/>
      </c>
      <c r="K86" t="str">
        <f>IF(K85="","",IFERROR(K85+MATCH("Tekrar İzle",INDEX('Veri Merkezi'!$S$2:$S$1001,K85+1):'Veri Merkezi'!$S$1001,0),""))</f>
        <v/>
      </c>
    </row>
    <row r="87" spans="1:11">
      <c r="A87" t="str">
        <f>IF($K87="","",IFERROR(INDEX('Veri Merkezi'!$A$2:$A$1001,$K87),""))</f>
        <v/>
      </c>
      <c r="B87" t="str">
        <f>IF($K87="","",IFERROR(INDEX('Veri Merkezi'!$E$2:$E$1001,$K87),""))</f>
        <v/>
      </c>
      <c r="C87" t="str">
        <f>IF($K87="","",IFERROR(INDEX('Veri Merkezi'!$D$2:$D$1001,$K87),""))</f>
        <v/>
      </c>
      <c r="D87" t="str">
        <f>IF($K87="","",IFERROR(INDEX('Veri Merkezi'!$F$2:$F$1001,$K87),""))</f>
        <v/>
      </c>
      <c r="E87" s="2" t="str">
        <f>IF($K87="","",IFERROR(INDEX('Veri Merkezi'!$G$2:$G$1001,$K87),""))</f>
        <v/>
      </c>
      <c r="F87" t="str">
        <f>IF($K87="","",IFERROR(INDEX('Veri Merkezi'!$H$2:$H$1001,$K87),""))</f>
        <v/>
      </c>
      <c r="G87" t="str">
        <f>IF($K87="","",IFERROR(INDEX('Veri Merkezi'!$R$2:$R$1001,$K87),""))</f>
        <v/>
      </c>
      <c r="H87" t="str">
        <f>IF($K87="","",IFERROR(INDEX('Veri Merkezi'!$S$2:$S$1001,$K87),""))</f>
        <v/>
      </c>
      <c r="I87" s="2" t="str">
        <f>IF($K87="","",IFERROR(INDEX('Veri Merkezi'!$T$2:$T$1001,$K87),""))</f>
        <v/>
      </c>
      <c r="J87" t="str">
        <f>IF($K87="","",IFERROR(INDEX('Veri Merkezi'!$U$2:$U$1001,$K87),""))</f>
        <v/>
      </c>
      <c r="K87" t="str">
        <f>IF(K86="","",IFERROR(K86+MATCH("Tekrar İzle",INDEX('Veri Merkezi'!$S$2:$S$1001,K86+1):'Veri Merkezi'!$S$1001,0),""))</f>
        <v/>
      </c>
    </row>
    <row r="88" spans="1:11">
      <c r="A88" t="str">
        <f>IF($K88="","",IFERROR(INDEX('Veri Merkezi'!$A$2:$A$1001,$K88),""))</f>
        <v/>
      </c>
      <c r="B88" t="str">
        <f>IF($K88="","",IFERROR(INDEX('Veri Merkezi'!$E$2:$E$1001,$K88),""))</f>
        <v/>
      </c>
      <c r="C88" t="str">
        <f>IF($K88="","",IFERROR(INDEX('Veri Merkezi'!$D$2:$D$1001,$K88),""))</f>
        <v/>
      </c>
      <c r="D88" t="str">
        <f>IF($K88="","",IFERROR(INDEX('Veri Merkezi'!$F$2:$F$1001,$K88),""))</f>
        <v/>
      </c>
      <c r="E88" s="2" t="str">
        <f>IF($K88="","",IFERROR(INDEX('Veri Merkezi'!$G$2:$G$1001,$K88),""))</f>
        <v/>
      </c>
      <c r="F88" t="str">
        <f>IF($K88="","",IFERROR(INDEX('Veri Merkezi'!$H$2:$H$1001,$K88),""))</f>
        <v/>
      </c>
      <c r="G88" t="str">
        <f>IF($K88="","",IFERROR(INDEX('Veri Merkezi'!$R$2:$R$1001,$K88),""))</f>
        <v/>
      </c>
      <c r="H88" t="str">
        <f>IF($K88="","",IFERROR(INDEX('Veri Merkezi'!$S$2:$S$1001,$K88),""))</f>
        <v/>
      </c>
      <c r="I88" s="2" t="str">
        <f>IF($K88="","",IFERROR(INDEX('Veri Merkezi'!$T$2:$T$1001,$K88),""))</f>
        <v/>
      </c>
      <c r="J88" t="str">
        <f>IF($K88="","",IFERROR(INDEX('Veri Merkezi'!$U$2:$U$1001,$K88),""))</f>
        <v/>
      </c>
      <c r="K88" t="str">
        <f>IF(K87="","",IFERROR(K87+MATCH("Tekrar İzle",INDEX('Veri Merkezi'!$S$2:$S$1001,K87+1):'Veri Merkezi'!$S$1001,0),""))</f>
        <v/>
      </c>
    </row>
    <row r="89" spans="1:11">
      <c r="A89" t="str">
        <f>IF($K89="","",IFERROR(INDEX('Veri Merkezi'!$A$2:$A$1001,$K89),""))</f>
        <v/>
      </c>
      <c r="B89" t="str">
        <f>IF($K89="","",IFERROR(INDEX('Veri Merkezi'!$E$2:$E$1001,$K89),""))</f>
        <v/>
      </c>
      <c r="C89" t="str">
        <f>IF($K89="","",IFERROR(INDEX('Veri Merkezi'!$D$2:$D$1001,$K89),""))</f>
        <v/>
      </c>
      <c r="D89" t="str">
        <f>IF($K89="","",IFERROR(INDEX('Veri Merkezi'!$F$2:$F$1001,$K89),""))</f>
        <v/>
      </c>
      <c r="E89" s="2" t="str">
        <f>IF($K89="","",IFERROR(INDEX('Veri Merkezi'!$G$2:$G$1001,$K89),""))</f>
        <v/>
      </c>
      <c r="F89" t="str">
        <f>IF($K89="","",IFERROR(INDEX('Veri Merkezi'!$H$2:$H$1001,$K89),""))</f>
        <v/>
      </c>
      <c r="G89" t="str">
        <f>IF($K89="","",IFERROR(INDEX('Veri Merkezi'!$R$2:$R$1001,$K89),""))</f>
        <v/>
      </c>
      <c r="H89" t="str">
        <f>IF($K89="","",IFERROR(INDEX('Veri Merkezi'!$S$2:$S$1001,$K89),""))</f>
        <v/>
      </c>
      <c r="I89" s="2" t="str">
        <f>IF($K89="","",IFERROR(INDEX('Veri Merkezi'!$T$2:$T$1001,$K89),""))</f>
        <v/>
      </c>
      <c r="J89" t="str">
        <f>IF($K89="","",IFERROR(INDEX('Veri Merkezi'!$U$2:$U$1001,$K89),""))</f>
        <v/>
      </c>
      <c r="K89" t="str">
        <f>IF(K88="","",IFERROR(K88+MATCH("Tekrar İzle",INDEX('Veri Merkezi'!$S$2:$S$1001,K88+1):'Veri Merkezi'!$S$1001,0),""))</f>
        <v/>
      </c>
    </row>
    <row r="90" spans="1:11">
      <c r="A90" t="str">
        <f>IF($K90="","",IFERROR(INDEX('Veri Merkezi'!$A$2:$A$1001,$K90),""))</f>
        <v/>
      </c>
      <c r="B90" t="str">
        <f>IF($K90="","",IFERROR(INDEX('Veri Merkezi'!$E$2:$E$1001,$K90),""))</f>
        <v/>
      </c>
      <c r="C90" t="str">
        <f>IF($K90="","",IFERROR(INDEX('Veri Merkezi'!$D$2:$D$1001,$K90),""))</f>
        <v/>
      </c>
      <c r="D90" t="str">
        <f>IF($K90="","",IFERROR(INDEX('Veri Merkezi'!$F$2:$F$1001,$K90),""))</f>
        <v/>
      </c>
      <c r="E90" s="2" t="str">
        <f>IF($K90="","",IFERROR(INDEX('Veri Merkezi'!$G$2:$G$1001,$K90),""))</f>
        <v/>
      </c>
      <c r="F90" t="str">
        <f>IF($K90="","",IFERROR(INDEX('Veri Merkezi'!$H$2:$H$1001,$K90),""))</f>
        <v/>
      </c>
      <c r="G90" t="str">
        <f>IF($K90="","",IFERROR(INDEX('Veri Merkezi'!$R$2:$R$1001,$K90),""))</f>
        <v/>
      </c>
      <c r="H90" t="str">
        <f>IF($K90="","",IFERROR(INDEX('Veri Merkezi'!$S$2:$S$1001,$K90),""))</f>
        <v/>
      </c>
      <c r="I90" s="2" t="str">
        <f>IF($K90="","",IFERROR(INDEX('Veri Merkezi'!$T$2:$T$1001,$K90),""))</f>
        <v/>
      </c>
      <c r="J90" t="str">
        <f>IF($K90="","",IFERROR(INDEX('Veri Merkezi'!$U$2:$U$1001,$K90),""))</f>
        <v/>
      </c>
      <c r="K90" t="str">
        <f>IF(K89="","",IFERROR(K89+MATCH("Tekrar İzle",INDEX('Veri Merkezi'!$S$2:$S$1001,K89+1):'Veri Merkezi'!$S$1001,0),""))</f>
        <v/>
      </c>
    </row>
    <row r="91" spans="1:11">
      <c r="A91" t="str">
        <f>IF($K91="","",IFERROR(INDEX('Veri Merkezi'!$A$2:$A$1001,$K91),""))</f>
        <v/>
      </c>
      <c r="B91" t="str">
        <f>IF($K91="","",IFERROR(INDEX('Veri Merkezi'!$E$2:$E$1001,$K91),""))</f>
        <v/>
      </c>
      <c r="C91" t="str">
        <f>IF($K91="","",IFERROR(INDEX('Veri Merkezi'!$D$2:$D$1001,$K91),""))</f>
        <v/>
      </c>
      <c r="D91" t="str">
        <f>IF($K91="","",IFERROR(INDEX('Veri Merkezi'!$F$2:$F$1001,$K91),""))</f>
        <v/>
      </c>
      <c r="E91" s="2" t="str">
        <f>IF($K91="","",IFERROR(INDEX('Veri Merkezi'!$G$2:$G$1001,$K91),""))</f>
        <v/>
      </c>
      <c r="F91" t="str">
        <f>IF($K91="","",IFERROR(INDEX('Veri Merkezi'!$H$2:$H$1001,$K91),""))</f>
        <v/>
      </c>
      <c r="G91" t="str">
        <f>IF($K91="","",IFERROR(INDEX('Veri Merkezi'!$R$2:$R$1001,$K91),""))</f>
        <v/>
      </c>
      <c r="H91" t="str">
        <f>IF($K91="","",IFERROR(INDEX('Veri Merkezi'!$S$2:$S$1001,$K91),""))</f>
        <v/>
      </c>
      <c r="I91" s="2" t="str">
        <f>IF($K91="","",IFERROR(INDEX('Veri Merkezi'!$T$2:$T$1001,$K91),""))</f>
        <v/>
      </c>
      <c r="J91" t="str">
        <f>IF($K91="","",IFERROR(INDEX('Veri Merkezi'!$U$2:$U$1001,$K91),""))</f>
        <v/>
      </c>
      <c r="K91" t="str">
        <f>IF(K90="","",IFERROR(K90+MATCH("Tekrar İzle",INDEX('Veri Merkezi'!$S$2:$S$1001,K90+1):'Veri Merkezi'!$S$1001,0),""))</f>
        <v/>
      </c>
    </row>
    <row r="92" spans="1:11">
      <c r="A92" t="str">
        <f>IF($K92="","",IFERROR(INDEX('Veri Merkezi'!$A$2:$A$1001,$K92),""))</f>
        <v/>
      </c>
      <c r="B92" t="str">
        <f>IF($K92="","",IFERROR(INDEX('Veri Merkezi'!$E$2:$E$1001,$K92),""))</f>
        <v/>
      </c>
      <c r="C92" t="str">
        <f>IF($K92="","",IFERROR(INDEX('Veri Merkezi'!$D$2:$D$1001,$K92),""))</f>
        <v/>
      </c>
      <c r="D92" t="str">
        <f>IF($K92="","",IFERROR(INDEX('Veri Merkezi'!$F$2:$F$1001,$K92),""))</f>
        <v/>
      </c>
      <c r="E92" s="2" t="str">
        <f>IF($K92="","",IFERROR(INDEX('Veri Merkezi'!$G$2:$G$1001,$K92),""))</f>
        <v/>
      </c>
      <c r="F92" t="str">
        <f>IF($K92="","",IFERROR(INDEX('Veri Merkezi'!$H$2:$H$1001,$K92),""))</f>
        <v/>
      </c>
      <c r="G92" t="str">
        <f>IF($K92="","",IFERROR(INDEX('Veri Merkezi'!$R$2:$R$1001,$K92),""))</f>
        <v/>
      </c>
      <c r="H92" t="str">
        <f>IF($K92="","",IFERROR(INDEX('Veri Merkezi'!$S$2:$S$1001,$K92),""))</f>
        <v/>
      </c>
      <c r="I92" s="2" t="str">
        <f>IF($K92="","",IFERROR(INDEX('Veri Merkezi'!$T$2:$T$1001,$K92),""))</f>
        <v/>
      </c>
      <c r="J92" t="str">
        <f>IF($K92="","",IFERROR(INDEX('Veri Merkezi'!$U$2:$U$1001,$K92),""))</f>
        <v/>
      </c>
      <c r="K92" t="str">
        <f>IF(K91="","",IFERROR(K91+MATCH("Tekrar İzle",INDEX('Veri Merkezi'!$S$2:$S$1001,K91+1):'Veri Merkezi'!$S$1001,0),""))</f>
        <v/>
      </c>
    </row>
    <row r="93" spans="1:11">
      <c r="A93" t="str">
        <f>IF($K93="","",IFERROR(INDEX('Veri Merkezi'!$A$2:$A$1001,$K93),""))</f>
        <v/>
      </c>
      <c r="B93" t="str">
        <f>IF($K93="","",IFERROR(INDEX('Veri Merkezi'!$E$2:$E$1001,$K93),""))</f>
        <v/>
      </c>
      <c r="C93" t="str">
        <f>IF($K93="","",IFERROR(INDEX('Veri Merkezi'!$D$2:$D$1001,$K93),""))</f>
        <v/>
      </c>
      <c r="D93" t="str">
        <f>IF($K93="","",IFERROR(INDEX('Veri Merkezi'!$F$2:$F$1001,$K93),""))</f>
        <v/>
      </c>
      <c r="E93" s="2" t="str">
        <f>IF($K93="","",IFERROR(INDEX('Veri Merkezi'!$G$2:$G$1001,$K93),""))</f>
        <v/>
      </c>
      <c r="F93" t="str">
        <f>IF($K93="","",IFERROR(INDEX('Veri Merkezi'!$H$2:$H$1001,$K93),""))</f>
        <v/>
      </c>
      <c r="G93" t="str">
        <f>IF($K93="","",IFERROR(INDEX('Veri Merkezi'!$R$2:$R$1001,$K93),""))</f>
        <v/>
      </c>
      <c r="H93" t="str">
        <f>IF($K93="","",IFERROR(INDEX('Veri Merkezi'!$S$2:$S$1001,$K93),""))</f>
        <v/>
      </c>
      <c r="I93" s="2" t="str">
        <f>IF($K93="","",IFERROR(INDEX('Veri Merkezi'!$T$2:$T$1001,$K93),""))</f>
        <v/>
      </c>
      <c r="J93" t="str">
        <f>IF($K93="","",IFERROR(INDEX('Veri Merkezi'!$U$2:$U$1001,$K93),""))</f>
        <v/>
      </c>
      <c r="K93" t="str">
        <f>IF(K92="","",IFERROR(K92+MATCH("Tekrar İzle",INDEX('Veri Merkezi'!$S$2:$S$1001,K92+1):'Veri Merkezi'!$S$1001,0),""))</f>
        <v/>
      </c>
    </row>
    <row r="94" spans="1:11">
      <c r="A94" t="str">
        <f>IF($K94="","",IFERROR(INDEX('Veri Merkezi'!$A$2:$A$1001,$K94),""))</f>
        <v/>
      </c>
      <c r="B94" t="str">
        <f>IF($K94="","",IFERROR(INDEX('Veri Merkezi'!$E$2:$E$1001,$K94),""))</f>
        <v/>
      </c>
      <c r="C94" t="str">
        <f>IF($K94="","",IFERROR(INDEX('Veri Merkezi'!$D$2:$D$1001,$K94),""))</f>
        <v/>
      </c>
      <c r="D94" t="str">
        <f>IF($K94="","",IFERROR(INDEX('Veri Merkezi'!$F$2:$F$1001,$K94),""))</f>
        <v/>
      </c>
      <c r="E94" s="2" t="str">
        <f>IF($K94="","",IFERROR(INDEX('Veri Merkezi'!$G$2:$G$1001,$K94),""))</f>
        <v/>
      </c>
      <c r="F94" t="str">
        <f>IF($K94="","",IFERROR(INDEX('Veri Merkezi'!$H$2:$H$1001,$K94),""))</f>
        <v/>
      </c>
      <c r="G94" t="str">
        <f>IF($K94="","",IFERROR(INDEX('Veri Merkezi'!$R$2:$R$1001,$K94),""))</f>
        <v/>
      </c>
      <c r="H94" t="str">
        <f>IF($K94="","",IFERROR(INDEX('Veri Merkezi'!$S$2:$S$1001,$K94),""))</f>
        <v/>
      </c>
      <c r="I94" s="2" t="str">
        <f>IF($K94="","",IFERROR(INDEX('Veri Merkezi'!$T$2:$T$1001,$K94),""))</f>
        <v/>
      </c>
      <c r="J94" t="str">
        <f>IF($K94="","",IFERROR(INDEX('Veri Merkezi'!$U$2:$U$1001,$K94),""))</f>
        <v/>
      </c>
      <c r="K94" t="str">
        <f>IF(K93="","",IFERROR(K93+MATCH("Tekrar İzle",INDEX('Veri Merkezi'!$S$2:$S$1001,K93+1):'Veri Merkezi'!$S$1001,0),""))</f>
        <v/>
      </c>
    </row>
    <row r="95" spans="1:11">
      <c r="A95" t="str">
        <f>IF($K95="","",IFERROR(INDEX('Veri Merkezi'!$A$2:$A$1001,$K95),""))</f>
        <v/>
      </c>
      <c r="B95" t="str">
        <f>IF($K95="","",IFERROR(INDEX('Veri Merkezi'!$E$2:$E$1001,$K95),""))</f>
        <v/>
      </c>
      <c r="C95" t="str">
        <f>IF($K95="","",IFERROR(INDEX('Veri Merkezi'!$D$2:$D$1001,$K95),""))</f>
        <v/>
      </c>
      <c r="D95" t="str">
        <f>IF($K95="","",IFERROR(INDEX('Veri Merkezi'!$F$2:$F$1001,$K95),""))</f>
        <v/>
      </c>
      <c r="E95" s="2" t="str">
        <f>IF($K95="","",IFERROR(INDEX('Veri Merkezi'!$G$2:$G$1001,$K95),""))</f>
        <v/>
      </c>
      <c r="F95" t="str">
        <f>IF($K95="","",IFERROR(INDEX('Veri Merkezi'!$H$2:$H$1001,$K95),""))</f>
        <v/>
      </c>
      <c r="G95" t="str">
        <f>IF($K95="","",IFERROR(INDEX('Veri Merkezi'!$R$2:$R$1001,$K95),""))</f>
        <v/>
      </c>
      <c r="H95" t="str">
        <f>IF($K95="","",IFERROR(INDEX('Veri Merkezi'!$S$2:$S$1001,$K95),""))</f>
        <v/>
      </c>
      <c r="I95" s="2" t="str">
        <f>IF($K95="","",IFERROR(INDEX('Veri Merkezi'!$T$2:$T$1001,$K95),""))</f>
        <v/>
      </c>
      <c r="J95" t="str">
        <f>IF($K95="","",IFERROR(INDEX('Veri Merkezi'!$U$2:$U$1001,$K95),""))</f>
        <v/>
      </c>
      <c r="K95" t="str">
        <f>IF(K94="","",IFERROR(K94+MATCH("Tekrar İzle",INDEX('Veri Merkezi'!$S$2:$S$1001,K94+1):'Veri Merkezi'!$S$1001,0),""))</f>
        <v/>
      </c>
    </row>
    <row r="96" spans="1:11">
      <c r="A96" t="str">
        <f>IF($K96="","",IFERROR(INDEX('Veri Merkezi'!$A$2:$A$1001,$K96),""))</f>
        <v/>
      </c>
      <c r="B96" t="str">
        <f>IF($K96="","",IFERROR(INDEX('Veri Merkezi'!$E$2:$E$1001,$K96),""))</f>
        <v/>
      </c>
      <c r="C96" t="str">
        <f>IF($K96="","",IFERROR(INDEX('Veri Merkezi'!$D$2:$D$1001,$K96),""))</f>
        <v/>
      </c>
      <c r="D96" t="str">
        <f>IF($K96="","",IFERROR(INDEX('Veri Merkezi'!$F$2:$F$1001,$K96),""))</f>
        <v/>
      </c>
      <c r="E96" s="2" t="str">
        <f>IF($K96="","",IFERROR(INDEX('Veri Merkezi'!$G$2:$G$1001,$K96),""))</f>
        <v/>
      </c>
      <c r="F96" t="str">
        <f>IF($K96="","",IFERROR(INDEX('Veri Merkezi'!$H$2:$H$1001,$K96),""))</f>
        <v/>
      </c>
      <c r="G96" t="str">
        <f>IF($K96="","",IFERROR(INDEX('Veri Merkezi'!$R$2:$R$1001,$K96),""))</f>
        <v/>
      </c>
      <c r="H96" t="str">
        <f>IF($K96="","",IFERROR(INDEX('Veri Merkezi'!$S$2:$S$1001,$K96),""))</f>
        <v/>
      </c>
      <c r="I96" s="2" t="str">
        <f>IF($K96="","",IFERROR(INDEX('Veri Merkezi'!$T$2:$T$1001,$K96),""))</f>
        <v/>
      </c>
      <c r="J96" t="str">
        <f>IF($K96="","",IFERROR(INDEX('Veri Merkezi'!$U$2:$U$1001,$K96),""))</f>
        <v/>
      </c>
      <c r="K96" t="str">
        <f>IF(K95="","",IFERROR(K95+MATCH("Tekrar İzle",INDEX('Veri Merkezi'!$S$2:$S$1001,K95+1):'Veri Merkezi'!$S$1001,0),""))</f>
        <v/>
      </c>
    </row>
    <row r="97" spans="1:11">
      <c r="A97" t="str">
        <f>IF($K97="","",IFERROR(INDEX('Veri Merkezi'!$A$2:$A$1001,$K97),""))</f>
        <v/>
      </c>
      <c r="B97" t="str">
        <f>IF($K97="","",IFERROR(INDEX('Veri Merkezi'!$E$2:$E$1001,$K97),""))</f>
        <v/>
      </c>
      <c r="C97" t="str">
        <f>IF($K97="","",IFERROR(INDEX('Veri Merkezi'!$D$2:$D$1001,$K97),""))</f>
        <v/>
      </c>
      <c r="D97" t="str">
        <f>IF($K97="","",IFERROR(INDEX('Veri Merkezi'!$F$2:$F$1001,$K97),""))</f>
        <v/>
      </c>
      <c r="E97" s="2" t="str">
        <f>IF($K97="","",IFERROR(INDEX('Veri Merkezi'!$G$2:$G$1001,$K97),""))</f>
        <v/>
      </c>
      <c r="F97" t="str">
        <f>IF($K97="","",IFERROR(INDEX('Veri Merkezi'!$H$2:$H$1001,$K97),""))</f>
        <v/>
      </c>
      <c r="G97" t="str">
        <f>IF($K97="","",IFERROR(INDEX('Veri Merkezi'!$R$2:$R$1001,$K97),""))</f>
        <v/>
      </c>
      <c r="H97" t="str">
        <f>IF($K97="","",IFERROR(INDEX('Veri Merkezi'!$S$2:$S$1001,$K97),""))</f>
        <v/>
      </c>
      <c r="I97" s="2" t="str">
        <f>IF($K97="","",IFERROR(INDEX('Veri Merkezi'!$T$2:$T$1001,$K97),""))</f>
        <v/>
      </c>
      <c r="J97" t="str">
        <f>IF($K97="","",IFERROR(INDEX('Veri Merkezi'!$U$2:$U$1001,$K97),""))</f>
        <v/>
      </c>
      <c r="K97" t="str">
        <f>IF(K96="","",IFERROR(K96+MATCH("Tekrar İzle",INDEX('Veri Merkezi'!$S$2:$S$1001,K96+1):'Veri Merkezi'!$S$1001,0),""))</f>
        <v/>
      </c>
    </row>
    <row r="98" spans="1:11">
      <c r="A98" t="str">
        <f>IF($K98="","",IFERROR(INDEX('Veri Merkezi'!$A$2:$A$1001,$K98),""))</f>
        <v/>
      </c>
      <c r="B98" t="str">
        <f>IF($K98="","",IFERROR(INDEX('Veri Merkezi'!$E$2:$E$1001,$K98),""))</f>
        <v/>
      </c>
      <c r="C98" t="str">
        <f>IF($K98="","",IFERROR(INDEX('Veri Merkezi'!$D$2:$D$1001,$K98),""))</f>
        <v/>
      </c>
      <c r="D98" t="str">
        <f>IF($K98="","",IFERROR(INDEX('Veri Merkezi'!$F$2:$F$1001,$K98),""))</f>
        <v/>
      </c>
      <c r="E98" s="2" t="str">
        <f>IF($K98="","",IFERROR(INDEX('Veri Merkezi'!$G$2:$G$1001,$K98),""))</f>
        <v/>
      </c>
      <c r="F98" t="str">
        <f>IF($K98="","",IFERROR(INDEX('Veri Merkezi'!$H$2:$H$1001,$K98),""))</f>
        <v/>
      </c>
      <c r="G98" t="str">
        <f>IF($K98="","",IFERROR(INDEX('Veri Merkezi'!$R$2:$R$1001,$K98),""))</f>
        <v/>
      </c>
      <c r="H98" t="str">
        <f>IF($K98="","",IFERROR(INDEX('Veri Merkezi'!$S$2:$S$1001,$K98),""))</f>
        <v/>
      </c>
      <c r="I98" s="2" t="str">
        <f>IF($K98="","",IFERROR(INDEX('Veri Merkezi'!$T$2:$T$1001,$K98),""))</f>
        <v/>
      </c>
      <c r="J98" t="str">
        <f>IF($K98="","",IFERROR(INDEX('Veri Merkezi'!$U$2:$U$1001,$K98),""))</f>
        <v/>
      </c>
      <c r="K98" t="str">
        <f>IF(K97="","",IFERROR(K97+MATCH("Tekrar İzle",INDEX('Veri Merkezi'!$S$2:$S$1001,K97+1):'Veri Merkezi'!$S$1001,0),""))</f>
        <v/>
      </c>
    </row>
    <row r="99" spans="1:11">
      <c r="A99" t="str">
        <f>IF($K99="","",IFERROR(INDEX('Veri Merkezi'!$A$2:$A$1001,$K99),""))</f>
        <v/>
      </c>
      <c r="B99" t="str">
        <f>IF($K99="","",IFERROR(INDEX('Veri Merkezi'!$E$2:$E$1001,$K99),""))</f>
        <v/>
      </c>
      <c r="C99" t="str">
        <f>IF($K99="","",IFERROR(INDEX('Veri Merkezi'!$D$2:$D$1001,$K99),""))</f>
        <v/>
      </c>
      <c r="D99" t="str">
        <f>IF($K99="","",IFERROR(INDEX('Veri Merkezi'!$F$2:$F$1001,$K99),""))</f>
        <v/>
      </c>
      <c r="E99" s="2" t="str">
        <f>IF($K99="","",IFERROR(INDEX('Veri Merkezi'!$G$2:$G$1001,$K99),""))</f>
        <v/>
      </c>
      <c r="F99" t="str">
        <f>IF($K99="","",IFERROR(INDEX('Veri Merkezi'!$H$2:$H$1001,$K99),""))</f>
        <v/>
      </c>
      <c r="G99" t="str">
        <f>IF($K99="","",IFERROR(INDEX('Veri Merkezi'!$R$2:$R$1001,$K99),""))</f>
        <v/>
      </c>
      <c r="H99" t="str">
        <f>IF($K99="","",IFERROR(INDEX('Veri Merkezi'!$S$2:$S$1001,$K99),""))</f>
        <v/>
      </c>
      <c r="I99" s="2" t="str">
        <f>IF($K99="","",IFERROR(INDEX('Veri Merkezi'!$T$2:$T$1001,$K99),""))</f>
        <v/>
      </c>
      <c r="J99" t="str">
        <f>IF($K99="","",IFERROR(INDEX('Veri Merkezi'!$U$2:$U$1001,$K99),""))</f>
        <v/>
      </c>
      <c r="K99" t="str">
        <f>IF(K98="","",IFERROR(K98+MATCH("Tekrar İzle",INDEX('Veri Merkezi'!$S$2:$S$1001,K98+1):'Veri Merkezi'!$S$1001,0),""))</f>
        <v/>
      </c>
    </row>
    <row r="100" spans="1:11">
      <c r="A100" t="str">
        <f>IF($K100="","",IFERROR(INDEX('Veri Merkezi'!$A$2:$A$1001,$K100),""))</f>
        <v/>
      </c>
      <c r="B100" t="str">
        <f>IF($K100="","",IFERROR(INDEX('Veri Merkezi'!$E$2:$E$1001,$K100),""))</f>
        <v/>
      </c>
      <c r="C100" t="str">
        <f>IF($K100="","",IFERROR(INDEX('Veri Merkezi'!$D$2:$D$1001,$K100),""))</f>
        <v/>
      </c>
      <c r="D100" t="str">
        <f>IF($K100="","",IFERROR(INDEX('Veri Merkezi'!$F$2:$F$1001,$K100),""))</f>
        <v/>
      </c>
      <c r="E100" s="2" t="str">
        <f>IF($K100="","",IFERROR(INDEX('Veri Merkezi'!$G$2:$G$1001,$K100),""))</f>
        <v/>
      </c>
      <c r="F100" t="str">
        <f>IF($K100="","",IFERROR(INDEX('Veri Merkezi'!$H$2:$H$1001,$K100),""))</f>
        <v/>
      </c>
      <c r="G100" t="str">
        <f>IF($K100="","",IFERROR(INDEX('Veri Merkezi'!$R$2:$R$1001,$K100),""))</f>
        <v/>
      </c>
      <c r="H100" t="str">
        <f>IF($K100="","",IFERROR(INDEX('Veri Merkezi'!$S$2:$S$1001,$K100),""))</f>
        <v/>
      </c>
      <c r="I100" s="2" t="str">
        <f>IF($K100="","",IFERROR(INDEX('Veri Merkezi'!$T$2:$T$1001,$K100),""))</f>
        <v/>
      </c>
      <c r="J100" t="str">
        <f>IF($K100="","",IFERROR(INDEX('Veri Merkezi'!$U$2:$U$1001,$K100),""))</f>
        <v/>
      </c>
      <c r="K100" t="str">
        <f>IF(K99="","",IFERROR(K99+MATCH("Tekrar İzle",INDEX('Veri Merkezi'!$S$2:$S$1001,K99+1):'Veri Merkezi'!$S$1001,0),""))</f>
        <v/>
      </c>
    </row>
    <row r="101" spans="1:11">
      <c r="A101" t="str">
        <f>IF($K101="","",IFERROR(INDEX('Veri Merkezi'!$A$2:$A$1001,$K101),""))</f>
        <v/>
      </c>
      <c r="B101" t="str">
        <f>IF($K101="","",IFERROR(INDEX('Veri Merkezi'!$E$2:$E$1001,$K101),""))</f>
        <v/>
      </c>
      <c r="C101" t="str">
        <f>IF($K101="","",IFERROR(INDEX('Veri Merkezi'!$D$2:$D$1001,$K101),""))</f>
        <v/>
      </c>
      <c r="D101" t="str">
        <f>IF($K101="","",IFERROR(INDEX('Veri Merkezi'!$F$2:$F$1001,$K101),""))</f>
        <v/>
      </c>
      <c r="E101" s="2" t="str">
        <f>IF($K101="","",IFERROR(INDEX('Veri Merkezi'!$G$2:$G$1001,$K101),""))</f>
        <v/>
      </c>
      <c r="F101" t="str">
        <f>IF($K101="","",IFERROR(INDEX('Veri Merkezi'!$H$2:$H$1001,$K101),""))</f>
        <v/>
      </c>
      <c r="G101" t="str">
        <f>IF($K101="","",IFERROR(INDEX('Veri Merkezi'!$R$2:$R$1001,$K101),""))</f>
        <v/>
      </c>
      <c r="H101" t="str">
        <f>IF($K101="","",IFERROR(INDEX('Veri Merkezi'!$S$2:$S$1001,$K101),""))</f>
        <v/>
      </c>
      <c r="I101" s="2" t="str">
        <f>IF($K101="","",IFERROR(INDEX('Veri Merkezi'!$T$2:$T$1001,$K101),""))</f>
        <v/>
      </c>
      <c r="J101" t="str">
        <f>IF($K101="","",IFERROR(INDEX('Veri Merkezi'!$U$2:$U$1001,$K101),""))</f>
        <v/>
      </c>
      <c r="K101" t="str">
        <f>IF(K100="","",IFERROR(K100+MATCH("Tekrar İzle",INDEX('Veri Merkezi'!$S$2:$S$1001,K100+1):'Veri Merkezi'!$S$1001,0),""))</f>
        <v/>
      </c>
    </row>
    <row r="102" spans="1:11">
      <c r="A102" t="str">
        <f>IF($K102="","",IFERROR(INDEX('Veri Merkezi'!$A$2:$A$1001,$K102),""))</f>
        <v/>
      </c>
      <c r="B102" t="str">
        <f>IF($K102="","",IFERROR(INDEX('Veri Merkezi'!$E$2:$E$1001,$K102),""))</f>
        <v/>
      </c>
      <c r="C102" t="str">
        <f>IF($K102="","",IFERROR(INDEX('Veri Merkezi'!$D$2:$D$1001,$K102),""))</f>
        <v/>
      </c>
      <c r="D102" t="str">
        <f>IF($K102="","",IFERROR(INDEX('Veri Merkezi'!$F$2:$F$1001,$K102),""))</f>
        <v/>
      </c>
      <c r="E102" s="2" t="str">
        <f>IF($K102="","",IFERROR(INDEX('Veri Merkezi'!$G$2:$G$1001,$K102),""))</f>
        <v/>
      </c>
      <c r="F102" t="str">
        <f>IF($K102="","",IFERROR(INDEX('Veri Merkezi'!$H$2:$H$1001,$K102),""))</f>
        <v/>
      </c>
      <c r="G102" t="str">
        <f>IF($K102="","",IFERROR(INDEX('Veri Merkezi'!$R$2:$R$1001,$K102),""))</f>
        <v/>
      </c>
      <c r="H102" t="str">
        <f>IF($K102="","",IFERROR(INDEX('Veri Merkezi'!$S$2:$S$1001,$K102),""))</f>
        <v/>
      </c>
      <c r="I102" s="2" t="str">
        <f>IF($K102="","",IFERROR(INDEX('Veri Merkezi'!$T$2:$T$1001,$K102),""))</f>
        <v/>
      </c>
      <c r="J102" t="str">
        <f>IF($K102="","",IFERROR(INDEX('Veri Merkezi'!$U$2:$U$1001,$K102),""))</f>
        <v/>
      </c>
      <c r="K102" t="str">
        <f>IF(K101="","",IFERROR(K101+MATCH("Tekrar İzle",INDEX('Veri Merkezi'!$S$2:$S$1001,K101+1):'Veri Merkezi'!$S$1001,0),""))</f>
        <v/>
      </c>
    </row>
    <row r="103" spans="1:11">
      <c r="A103" t="str">
        <f>IF($K103="","",IFERROR(INDEX('Veri Merkezi'!$A$2:$A$1001,$K103),""))</f>
        <v/>
      </c>
      <c r="B103" t="str">
        <f>IF($K103="","",IFERROR(INDEX('Veri Merkezi'!$E$2:$E$1001,$K103),""))</f>
        <v/>
      </c>
      <c r="C103" t="str">
        <f>IF($K103="","",IFERROR(INDEX('Veri Merkezi'!$D$2:$D$1001,$K103),""))</f>
        <v/>
      </c>
      <c r="D103" t="str">
        <f>IF($K103="","",IFERROR(INDEX('Veri Merkezi'!$F$2:$F$1001,$K103),""))</f>
        <v/>
      </c>
      <c r="E103" s="2" t="str">
        <f>IF($K103="","",IFERROR(INDEX('Veri Merkezi'!$G$2:$G$1001,$K103),""))</f>
        <v/>
      </c>
      <c r="F103" t="str">
        <f>IF($K103="","",IFERROR(INDEX('Veri Merkezi'!$H$2:$H$1001,$K103),""))</f>
        <v/>
      </c>
      <c r="G103" t="str">
        <f>IF($K103="","",IFERROR(INDEX('Veri Merkezi'!$R$2:$R$1001,$K103),""))</f>
        <v/>
      </c>
      <c r="H103" t="str">
        <f>IF($K103="","",IFERROR(INDEX('Veri Merkezi'!$S$2:$S$1001,$K103),""))</f>
        <v/>
      </c>
      <c r="I103" s="2" t="str">
        <f>IF($K103="","",IFERROR(INDEX('Veri Merkezi'!$T$2:$T$1001,$K103),""))</f>
        <v/>
      </c>
      <c r="J103" t="str">
        <f>IF($K103="","",IFERROR(INDEX('Veri Merkezi'!$U$2:$U$1001,$K103),""))</f>
        <v/>
      </c>
      <c r="K103" t="str">
        <f>IF(K102="","",IFERROR(K102+MATCH("Tekrar İzle",INDEX('Veri Merkezi'!$S$2:$S$1001,K102+1):'Veri Merkezi'!$S$1001,0),""))</f>
        <v/>
      </c>
    </row>
    <row r="104" spans="1:11">
      <c r="A104" t="str">
        <f>IF($K104="","",IFERROR(INDEX('Veri Merkezi'!$A$2:$A$1001,$K104),""))</f>
        <v/>
      </c>
      <c r="B104" t="str">
        <f>IF($K104="","",IFERROR(INDEX('Veri Merkezi'!$E$2:$E$1001,$K104),""))</f>
        <v/>
      </c>
      <c r="C104" t="str">
        <f>IF($K104="","",IFERROR(INDEX('Veri Merkezi'!$D$2:$D$1001,$K104),""))</f>
        <v/>
      </c>
      <c r="D104" t="str">
        <f>IF($K104="","",IFERROR(INDEX('Veri Merkezi'!$F$2:$F$1001,$K104),""))</f>
        <v/>
      </c>
      <c r="E104" s="2" t="str">
        <f>IF($K104="","",IFERROR(INDEX('Veri Merkezi'!$G$2:$G$1001,$K104),""))</f>
        <v/>
      </c>
      <c r="F104" t="str">
        <f>IF($K104="","",IFERROR(INDEX('Veri Merkezi'!$H$2:$H$1001,$K104),""))</f>
        <v/>
      </c>
      <c r="G104" t="str">
        <f>IF($K104="","",IFERROR(INDEX('Veri Merkezi'!$R$2:$R$1001,$K104),""))</f>
        <v/>
      </c>
      <c r="H104" t="str">
        <f>IF($K104="","",IFERROR(INDEX('Veri Merkezi'!$S$2:$S$1001,$K104),""))</f>
        <v/>
      </c>
      <c r="I104" s="2" t="str">
        <f>IF($K104="","",IFERROR(INDEX('Veri Merkezi'!$T$2:$T$1001,$K104),""))</f>
        <v/>
      </c>
      <c r="J104" t="str">
        <f>IF($K104="","",IFERROR(INDEX('Veri Merkezi'!$U$2:$U$1001,$K104),""))</f>
        <v/>
      </c>
      <c r="K104" t="str">
        <f>IF(K103="","",IFERROR(K103+MATCH("Tekrar İzle",INDEX('Veri Merkezi'!$S$2:$S$1001,K103+1):'Veri Merkezi'!$S$1001,0),""))</f>
        <v/>
      </c>
    </row>
    <row r="105" spans="1:11">
      <c r="A105" t="str">
        <f>IF($K105="","",IFERROR(INDEX('Veri Merkezi'!$A$2:$A$1001,$K105),""))</f>
        <v/>
      </c>
      <c r="B105" t="str">
        <f>IF($K105="","",IFERROR(INDEX('Veri Merkezi'!$E$2:$E$1001,$K105),""))</f>
        <v/>
      </c>
      <c r="C105" t="str">
        <f>IF($K105="","",IFERROR(INDEX('Veri Merkezi'!$D$2:$D$1001,$K105),""))</f>
        <v/>
      </c>
      <c r="D105" t="str">
        <f>IF($K105="","",IFERROR(INDEX('Veri Merkezi'!$F$2:$F$1001,$K105),""))</f>
        <v/>
      </c>
      <c r="E105" s="2" t="str">
        <f>IF($K105="","",IFERROR(INDEX('Veri Merkezi'!$G$2:$G$1001,$K105),""))</f>
        <v/>
      </c>
      <c r="F105" t="str">
        <f>IF($K105="","",IFERROR(INDEX('Veri Merkezi'!$H$2:$H$1001,$K105),""))</f>
        <v/>
      </c>
      <c r="G105" t="str">
        <f>IF($K105="","",IFERROR(INDEX('Veri Merkezi'!$R$2:$R$1001,$K105),""))</f>
        <v/>
      </c>
      <c r="H105" t="str">
        <f>IF($K105="","",IFERROR(INDEX('Veri Merkezi'!$S$2:$S$1001,$K105),""))</f>
        <v/>
      </c>
      <c r="I105" s="2" t="str">
        <f>IF($K105="","",IFERROR(INDEX('Veri Merkezi'!$T$2:$T$1001,$K105),""))</f>
        <v/>
      </c>
      <c r="J105" t="str">
        <f>IF($K105="","",IFERROR(INDEX('Veri Merkezi'!$U$2:$U$1001,$K105),""))</f>
        <v/>
      </c>
      <c r="K105" t="str">
        <f>IF(K104="","",IFERROR(K104+MATCH("Tekrar İzle",INDEX('Veri Merkezi'!$S$2:$S$1001,K104+1):'Veri Merkezi'!$S$1001,0),""))</f>
        <v/>
      </c>
    </row>
    <row r="106" spans="1:11">
      <c r="A106" t="str">
        <f>IF($K106="","",IFERROR(INDEX('Veri Merkezi'!$A$2:$A$1001,$K106),""))</f>
        <v/>
      </c>
      <c r="B106" t="str">
        <f>IF($K106="","",IFERROR(INDEX('Veri Merkezi'!$E$2:$E$1001,$K106),""))</f>
        <v/>
      </c>
      <c r="C106" t="str">
        <f>IF($K106="","",IFERROR(INDEX('Veri Merkezi'!$D$2:$D$1001,$K106),""))</f>
        <v/>
      </c>
      <c r="D106" t="str">
        <f>IF($K106="","",IFERROR(INDEX('Veri Merkezi'!$F$2:$F$1001,$K106),""))</f>
        <v/>
      </c>
      <c r="E106" s="2" t="str">
        <f>IF($K106="","",IFERROR(INDEX('Veri Merkezi'!$G$2:$G$1001,$K106),""))</f>
        <v/>
      </c>
      <c r="F106" t="str">
        <f>IF($K106="","",IFERROR(INDEX('Veri Merkezi'!$H$2:$H$1001,$K106),""))</f>
        <v/>
      </c>
      <c r="G106" t="str">
        <f>IF($K106="","",IFERROR(INDEX('Veri Merkezi'!$R$2:$R$1001,$K106),""))</f>
        <v/>
      </c>
      <c r="H106" t="str">
        <f>IF($K106="","",IFERROR(INDEX('Veri Merkezi'!$S$2:$S$1001,$K106),""))</f>
        <v/>
      </c>
      <c r="I106" s="2" t="str">
        <f>IF($K106="","",IFERROR(INDEX('Veri Merkezi'!$T$2:$T$1001,$K106),""))</f>
        <v/>
      </c>
      <c r="J106" t="str">
        <f>IF($K106="","",IFERROR(INDEX('Veri Merkezi'!$U$2:$U$1001,$K106),""))</f>
        <v/>
      </c>
      <c r="K106" t="str">
        <f>IF(K105="","",IFERROR(K105+MATCH("Tekrar İzle",INDEX('Veri Merkezi'!$S$2:$S$1001,K105+1):'Veri Merkezi'!$S$1001,0),""))</f>
        <v/>
      </c>
    </row>
    <row r="107" spans="1:11">
      <c r="A107" t="str">
        <f>IF($K107="","",IFERROR(INDEX('Veri Merkezi'!$A$2:$A$1001,$K107),""))</f>
        <v/>
      </c>
      <c r="B107" t="str">
        <f>IF($K107="","",IFERROR(INDEX('Veri Merkezi'!$E$2:$E$1001,$K107),""))</f>
        <v/>
      </c>
      <c r="C107" t="str">
        <f>IF($K107="","",IFERROR(INDEX('Veri Merkezi'!$D$2:$D$1001,$K107),""))</f>
        <v/>
      </c>
      <c r="D107" t="str">
        <f>IF($K107="","",IFERROR(INDEX('Veri Merkezi'!$F$2:$F$1001,$K107),""))</f>
        <v/>
      </c>
      <c r="E107" s="2" t="str">
        <f>IF($K107="","",IFERROR(INDEX('Veri Merkezi'!$G$2:$G$1001,$K107),""))</f>
        <v/>
      </c>
      <c r="F107" t="str">
        <f>IF($K107="","",IFERROR(INDEX('Veri Merkezi'!$H$2:$H$1001,$K107),""))</f>
        <v/>
      </c>
      <c r="G107" t="str">
        <f>IF($K107="","",IFERROR(INDEX('Veri Merkezi'!$R$2:$R$1001,$K107),""))</f>
        <v/>
      </c>
      <c r="H107" t="str">
        <f>IF($K107="","",IFERROR(INDEX('Veri Merkezi'!$S$2:$S$1001,$K107),""))</f>
        <v/>
      </c>
      <c r="I107" s="2" t="str">
        <f>IF($K107="","",IFERROR(INDEX('Veri Merkezi'!$T$2:$T$1001,$K107),""))</f>
        <v/>
      </c>
      <c r="J107" t="str">
        <f>IF($K107="","",IFERROR(INDEX('Veri Merkezi'!$U$2:$U$1001,$K107),""))</f>
        <v/>
      </c>
      <c r="K107" t="str">
        <f>IF(K106="","",IFERROR(K106+MATCH("Tekrar İzle",INDEX('Veri Merkezi'!$S$2:$S$1001,K106+1):'Veri Merkezi'!$S$1001,0),""))</f>
        <v/>
      </c>
    </row>
    <row r="108" spans="1:11">
      <c r="A108" t="str">
        <f>IF($K108="","",IFERROR(INDEX('Veri Merkezi'!$A$2:$A$1001,$K108),""))</f>
        <v/>
      </c>
      <c r="B108" t="str">
        <f>IF($K108="","",IFERROR(INDEX('Veri Merkezi'!$E$2:$E$1001,$K108),""))</f>
        <v/>
      </c>
      <c r="C108" t="str">
        <f>IF($K108="","",IFERROR(INDEX('Veri Merkezi'!$D$2:$D$1001,$K108),""))</f>
        <v/>
      </c>
      <c r="D108" t="str">
        <f>IF($K108="","",IFERROR(INDEX('Veri Merkezi'!$F$2:$F$1001,$K108),""))</f>
        <v/>
      </c>
      <c r="E108" s="2" t="str">
        <f>IF($K108="","",IFERROR(INDEX('Veri Merkezi'!$G$2:$G$1001,$K108),""))</f>
        <v/>
      </c>
      <c r="F108" t="str">
        <f>IF($K108="","",IFERROR(INDEX('Veri Merkezi'!$H$2:$H$1001,$K108),""))</f>
        <v/>
      </c>
      <c r="G108" t="str">
        <f>IF($K108="","",IFERROR(INDEX('Veri Merkezi'!$R$2:$R$1001,$K108),""))</f>
        <v/>
      </c>
      <c r="H108" t="str">
        <f>IF($K108="","",IFERROR(INDEX('Veri Merkezi'!$S$2:$S$1001,$K108),""))</f>
        <v/>
      </c>
      <c r="I108" s="2" t="str">
        <f>IF($K108="","",IFERROR(INDEX('Veri Merkezi'!$T$2:$T$1001,$K108),""))</f>
        <v/>
      </c>
      <c r="J108" t="str">
        <f>IF($K108="","",IFERROR(INDEX('Veri Merkezi'!$U$2:$U$1001,$K108),""))</f>
        <v/>
      </c>
      <c r="K108" t="str">
        <f>IF(K107="","",IFERROR(K107+MATCH("Tekrar İzle",INDEX('Veri Merkezi'!$S$2:$S$1001,K107+1):'Veri Merkezi'!$S$1001,0),""))</f>
        <v/>
      </c>
    </row>
    <row r="109" spans="1:11">
      <c r="A109" t="str">
        <f>IF($K109="","",IFERROR(INDEX('Veri Merkezi'!$A$2:$A$1001,$K109),""))</f>
        <v/>
      </c>
      <c r="B109" t="str">
        <f>IF($K109="","",IFERROR(INDEX('Veri Merkezi'!$E$2:$E$1001,$K109),""))</f>
        <v/>
      </c>
      <c r="C109" t="str">
        <f>IF($K109="","",IFERROR(INDEX('Veri Merkezi'!$D$2:$D$1001,$K109),""))</f>
        <v/>
      </c>
      <c r="D109" t="str">
        <f>IF($K109="","",IFERROR(INDEX('Veri Merkezi'!$F$2:$F$1001,$K109),""))</f>
        <v/>
      </c>
      <c r="E109" s="2" t="str">
        <f>IF($K109="","",IFERROR(INDEX('Veri Merkezi'!$G$2:$G$1001,$K109),""))</f>
        <v/>
      </c>
      <c r="F109" t="str">
        <f>IF($K109="","",IFERROR(INDEX('Veri Merkezi'!$H$2:$H$1001,$K109),""))</f>
        <v/>
      </c>
      <c r="G109" t="str">
        <f>IF($K109="","",IFERROR(INDEX('Veri Merkezi'!$R$2:$R$1001,$K109),""))</f>
        <v/>
      </c>
      <c r="H109" t="str">
        <f>IF($K109="","",IFERROR(INDEX('Veri Merkezi'!$S$2:$S$1001,$K109),""))</f>
        <v/>
      </c>
      <c r="I109" s="2" t="str">
        <f>IF($K109="","",IFERROR(INDEX('Veri Merkezi'!$T$2:$T$1001,$K109),""))</f>
        <v/>
      </c>
      <c r="J109" t="str">
        <f>IF($K109="","",IFERROR(INDEX('Veri Merkezi'!$U$2:$U$1001,$K109),""))</f>
        <v/>
      </c>
      <c r="K109" t="str">
        <f>IF(K108="","",IFERROR(K108+MATCH("Tekrar İzle",INDEX('Veri Merkezi'!$S$2:$S$1001,K108+1):'Veri Merkezi'!$S$1001,0),""))</f>
        <v/>
      </c>
    </row>
    <row r="110" spans="1:11">
      <c r="A110" t="str">
        <f>IF($K110="","",IFERROR(INDEX('Veri Merkezi'!$A$2:$A$1001,$K110),""))</f>
        <v/>
      </c>
      <c r="B110" t="str">
        <f>IF($K110="","",IFERROR(INDEX('Veri Merkezi'!$E$2:$E$1001,$K110),""))</f>
        <v/>
      </c>
      <c r="C110" t="str">
        <f>IF($K110="","",IFERROR(INDEX('Veri Merkezi'!$D$2:$D$1001,$K110),""))</f>
        <v/>
      </c>
      <c r="D110" t="str">
        <f>IF($K110="","",IFERROR(INDEX('Veri Merkezi'!$F$2:$F$1001,$K110),""))</f>
        <v/>
      </c>
      <c r="E110" s="2" t="str">
        <f>IF($K110="","",IFERROR(INDEX('Veri Merkezi'!$G$2:$G$1001,$K110),""))</f>
        <v/>
      </c>
      <c r="F110" t="str">
        <f>IF($K110="","",IFERROR(INDEX('Veri Merkezi'!$H$2:$H$1001,$K110),""))</f>
        <v/>
      </c>
      <c r="G110" t="str">
        <f>IF($K110="","",IFERROR(INDEX('Veri Merkezi'!$R$2:$R$1001,$K110),""))</f>
        <v/>
      </c>
      <c r="H110" t="str">
        <f>IF($K110="","",IFERROR(INDEX('Veri Merkezi'!$S$2:$S$1001,$K110),""))</f>
        <v/>
      </c>
      <c r="I110" s="2" t="str">
        <f>IF($K110="","",IFERROR(INDEX('Veri Merkezi'!$T$2:$T$1001,$K110),""))</f>
        <v/>
      </c>
      <c r="J110" t="str">
        <f>IF($K110="","",IFERROR(INDEX('Veri Merkezi'!$U$2:$U$1001,$K110),""))</f>
        <v/>
      </c>
      <c r="K110" t="str">
        <f>IF(K109="","",IFERROR(K109+MATCH("Tekrar İzle",INDEX('Veri Merkezi'!$S$2:$S$1001,K109+1):'Veri Merkezi'!$S$1001,0),""))</f>
        <v/>
      </c>
    </row>
    <row r="111" spans="1:11">
      <c r="A111" t="str">
        <f>IF($K111="","",IFERROR(INDEX('Veri Merkezi'!$A$2:$A$1001,$K111),""))</f>
        <v/>
      </c>
      <c r="B111" t="str">
        <f>IF($K111="","",IFERROR(INDEX('Veri Merkezi'!$E$2:$E$1001,$K111),""))</f>
        <v/>
      </c>
      <c r="C111" t="str">
        <f>IF($K111="","",IFERROR(INDEX('Veri Merkezi'!$D$2:$D$1001,$K111),""))</f>
        <v/>
      </c>
      <c r="D111" t="str">
        <f>IF($K111="","",IFERROR(INDEX('Veri Merkezi'!$F$2:$F$1001,$K111),""))</f>
        <v/>
      </c>
      <c r="E111" s="2" t="str">
        <f>IF($K111="","",IFERROR(INDEX('Veri Merkezi'!$G$2:$G$1001,$K111),""))</f>
        <v/>
      </c>
      <c r="F111" t="str">
        <f>IF($K111="","",IFERROR(INDEX('Veri Merkezi'!$H$2:$H$1001,$K111),""))</f>
        <v/>
      </c>
      <c r="G111" t="str">
        <f>IF($K111="","",IFERROR(INDEX('Veri Merkezi'!$R$2:$R$1001,$K111),""))</f>
        <v/>
      </c>
      <c r="H111" t="str">
        <f>IF($K111="","",IFERROR(INDEX('Veri Merkezi'!$S$2:$S$1001,$K111),""))</f>
        <v/>
      </c>
      <c r="I111" s="2" t="str">
        <f>IF($K111="","",IFERROR(INDEX('Veri Merkezi'!$T$2:$T$1001,$K111),""))</f>
        <v/>
      </c>
      <c r="J111" t="str">
        <f>IF($K111="","",IFERROR(INDEX('Veri Merkezi'!$U$2:$U$1001,$K111),""))</f>
        <v/>
      </c>
      <c r="K111" t="str">
        <f>IF(K110="","",IFERROR(K110+MATCH("Tekrar İzle",INDEX('Veri Merkezi'!$S$2:$S$1001,K110+1):'Veri Merkezi'!$S$1001,0),""))</f>
        <v/>
      </c>
    </row>
    <row r="112" spans="1:11">
      <c r="A112" t="str">
        <f>IF($K112="","",IFERROR(INDEX('Veri Merkezi'!$A$2:$A$1001,$K112),""))</f>
        <v/>
      </c>
      <c r="B112" t="str">
        <f>IF($K112="","",IFERROR(INDEX('Veri Merkezi'!$E$2:$E$1001,$K112),""))</f>
        <v/>
      </c>
      <c r="C112" t="str">
        <f>IF($K112="","",IFERROR(INDEX('Veri Merkezi'!$D$2:$D$1001,$K112),""))</f>
        <v/>
      </c>
      <c r="D112" t="str">
        <f>IF($K112="","",IFERROR(INDEX('Veri Merkezi'!$F$2:$F$1001,$K112),""))</f>
        <v/>
      </c>
      <c r="E112" s="2" t="str">
        <f>IF($K112="","",IFERROR(INDEX('Veri Merkezi'!$G$2:$G$1001,$K112),""))</f>
        <v/>
      </c>
      <c r="F112" t="str">
        <f>IF($K112="","",IFERROR(INDEX('Veri Merkezi'!$H$2:$H$1001,$K112),""))</f>
        <v/>
      </c>
      <c r="G112" t="str">
        <f>IF($K112="","",IFERROR(INDEX('Veri Merkezi'!$R$2:$R$1001,$K112),""))</f>
        <v/>
      </c>
      <c r="H112" t="str">
        <f>IF($K112="","",IFERROR(INDEX('Veri Merkezi'!$S$2:$S$1001,$K112),""))</f>
        <v/>
      </c>
      <c r="I112" s="2" t="str">
        <f>IF($K112="","",IFERROR(INDEX('Veri Merkezi'!$T$2:$T$1001,$K112),""))</f>
        <v/>
      </c>
      <c r="J112" t="str">
        <f>IF($K112="","",IFERROR(INDEX('Veri Merkezi'!$U$2:$U$1001,$K112),""))</f>
        <v/>
      </c>
      <c r="K112" t="str">
        <f>IF(K111="","",IFERROR(K111+MATCH("Tekrar İzle",INDEX('Veri Merkezi'!$S$2:$S$1001,K111+1):'Veri Merkezi'!$S$1001,0),""))</f>
        <v/>
      </c>
    </row>
    <row r="113" spans="1:11">
      <c r="A113" t="str">
        <f>IF($K113="","",IFERROR(INDEX('Veri Merkezi'!$A$2:$A$1001,$K113),""))</f>
        <v/>
      </c>
      <c r="B113" t="str">
        <f>IF($K113="","",IFERROR(INDEX('Veri Merkezi'!$E$2:$E$1001,$K113),""))</f>
        <v/>
      </c>
      <c r="C113" t="str">
        <f>IF($K113="","",IFERROR(INDEX('Veri Merkezi'!$D$2:$D$1001,$K113),""))</f>
        <v/>
      </c>
      <c r="D113" t="str">
        <f>IF($K113="","",IFERROR(INDEX('Veri Merkezi'!$F$2:$F$1001,$K113),""))</f>
        <v/>
      </c>
      <c r="E113" s="2" t="str">
        <f>IF($K113="","",IFERROR(INDEX('Veri Merkezi'!$G$2:$G$1001,$K113),""))</f>
        <v/>
      </c>
      <c r="F113" t="str">
        <f>IF($K113="","",IFERROR(INDEX('Veri Merkezi'!$H$2:$H$1001,$K113),""))</f>
        <v/>
      </c>
      <c r="G113" t="str">
        <f>IF($K113="","",IFERROR(INDEX('Veri Merkezi'!$R$2:$R$1001,$K113),""))</f>
        <v/>
      </c>
      <c r="H113" t="str">
        <f>IF($K113="","",IFERROR(INDEX('Veri Merkezi'!$S$2:$S$1001,$K113),""))</f>
        <v/>
      </c>
      <c r="I113" s="2" t="str">
        <f>IF($K113="","",IFERROR(INDEX('Veri Merkezi'!$T$2:$T$1001,$K113),""))</f>
        <v/>
      </c>
      <c r="J113" t="str">
        <f>IF($K113="","",IFERROR(INDEX('Veri Merkezi'!$U$2:$U$1001,$K113),""))</f>
        <v/>
      </c>
      <c r="K113" t="str">
        <f>IF(K112="","",IFERROR(K112+MATCH("Tekrar İzle",INDEX('Veri Merkezi'!$S$2:$S$1001,K112+1):'Veri Merkezi'!$S$1001,0),""))</f>
        <v/>
      </c>
    </row>
    <row r="114" spans="1:11">
      <c r="A114" t="str">
        <f>IF($K114="","",IFERROR(INDEX('Veri Merkezi'!$A$2:$A$1001,$K114),""))</f>
        <v/>
      </c>
      <c r="B114" t="str">
        <f>IF($K114="","",IFERROR(INDEX('Veri Merkezi'!$E$2:$E$1001,$K114),""))</f>
        <v/>
      </c>
      <c r="C114" t="str">
        <f>IF($K114="","",IFERROR(INDEX('Veri Merkezi'!$D$2:$D$1001,$K114),""))</f>
        <v/>
      </c>
      <c r="D114" t="str">
        <f>IF($K114="","",IFERROR(INDEX('Veri Merkezi'!$F$2:$F$1001,$K114),""))</f>
        <v/>
      </c>
      <c r="E114" s="2" t="str">
        <f>IF($K114="","",IFERROR(INDEX('Veri Merkezi'!$G$2:$G$1001,$K114),""))</f>
        <v/>
      </c>
      <c r="F114" t="str">
        <f>IF($K114="","",IFERROR(INDEX('Veri Merkezi'!$H$2:$H$1001,$K114),""))</f>
        <v/>
      </c>
      <c r="G114" t="str">
        <f>IF($K114="","",IFERROR(INDEX('Veri Merkezi'!$R$2:$R$1001,$K114),""))</f>
        <v/>
      </c>
      <c r="H114" t="str">
        <f>IF($K114="","",IFERROR(INDEX('Veri Merkezi'!$S$2:$S$1001,$K114),""))</f>
        <v/>
      </c>
      <c r="I114" s="2" t="str">
        <f>IF($K114="","",IFERROR(INDEX('Veri Merkezi'!$T$2:$T$1001,$K114),""))</f>
        <v/>
      </c>
      <c r="J114" t="str">
        <f>IF($K114="","",IFERROR(INDEX('Veri Merkezi'!$U$2:$U$1001,$K114),""))</f>
        <v/>
      </c>
      <c r="K114" t="str">
        <f>IF(K113="","",IFERROR(K113+MATCH("Tekrar İzle",INDEX('Veri Merkezi'!$S$2:$S$1001,K113+1):'Veri Merkezi'!$S$1001,0),""))</f>
        <v/>
      </c>
    </row>
    <row r="115" spans="1:11">
      <c r="A115" t="str">
        <f>IF($K115="","",IFERROR(INDEX('Veri Merkezi'!$A$2:$A$1001,$K115),""))</f>
        <v/>
      </c>
      <c r="B115" t="str">
        <f>IF($K115="","",IFERROR(INDEX('Veri Merkezi'!$E$2:$E$1001,$K115),""))</f>
        <v/>
      </c>
      <c r="C115" t="str">
        <f>IF($K115="","",IFERROR(INDEX('Veri Merkezi'!$D$2:$D$1001,$K115),""))</f>
        <v/>
      </c>
      <c r="D115" t="str">
        <f>IF($K115="","",IFERROR(INDEX('Veri Merkezi'!$F$2:$F$1001,$K115),""))</f>
        <v/>
      </c>
      <c r="E115" s="2" t="str">
        <f>IF($K115="","",IFERROR(INDEX('Veri Merkezi'!$G$2:$G$1001,$K115),""))</f>
        <v/>
      </c>
      <c r="F115" t="str">
        <f>IF($K115="","",IFERROR(INDEX('Veri Merkezi'!$H$2:$H$1001,$K115),""))</f>
        <v/>
      </c>
      <c r="G115" t="str">
        <f>IF($K115="","",IFERROR(INDEX('Veri Merkezi'!$R$2:$R$1001,$K115),""))</f>
        <v/>
      </c>
      <c r="H115" t="str">
        <f>IF($K115="","",IFERROR(INDEX('Veri Merkezi'!$S$2:$S$1001,$K115),""))</f>
        <v/>
      </c>
      <c r="I115" s="2" t="str">
        <f>IF($K115="","",IFERROR(INDEX('Veri Merkezi'!$T$2:$T$1001,$K115),""))</f>
        <v/>
      </c>
      <c r="J115" t="str">
        <f>IF($K115="","",IFERROR(INDEX('Veri Merkezi'!$U$2:$U$1001,$K115),""))</f>
        <v/>
      </c>
      <c r="K115" t="str">
        <f>IF(K114="","",IFERROR(K114+MATCH("Tekrar İzle",INDEX('Veri Merkezi'!$S$2:$S$1001,K114+1):'Veri Merkezi'!$S$1001,0),""))</f>
        <v/>
      </c>
    </row>
    <row r="116" spans="1:11">
      <c r="A116" t="str">
        <f>IF($K116="","",IFERROR(INDEX('Veri Merkezi'!$A$2:$A$1001,$K116),""))</f>
        <v/>
      </c>
      <c r="B116" t="str">
        <f>IF($K116="","",IFERROR(INDEX('Veri Merkezi'!$E$2:$E$1001,$K116),""))</f>
        <v/>
      </c>
      <c r="C116" t="str">
        <f>IF($K116="","",IFERROR(INDEX('Veri Merkezi'!$D$2:$D$1001,$K116),""))</f>
        <v/>
      </c>
      <c r="D116" t="str">
        <f>IF($K116="","",IFERROR(INDEX('Veri Merkezi'!$F$2:$F$1001,$K116),""))</f>
        <v/>
      </c>
      <c r="E116" s="2" t="str">
        <f>IF($K116="","",IFERROR(INDEX('Veri Merkezi'!$G$2:$G$1001,$K116),""))</f>
        <v/>
      </c>
      <c r="F116" t="str">
        <f>IF($K116="","",IFERROR(INDEX('Veri Merkezi'!$H$2:$H$1001,$K116),""))</f>
        <v/>
      </c>
      <c r="G116" t="str">
        <f>IF($K116="","",IFERROR(INDEX('Veri Merkezi'!$R$2:$R$1001,$K116),""))</f>
        <v/>
      </c>
      <c r="H116" t="str">
        <f>IF($K116="","",IFERROR(INDEX('Veri Merkezi'!$S$2:$S$1001,$K116),""))</f>
        <v/>
      </c>
      <c r="I116" s="2" t="str">
        <f>IF($K116="","",IFERROR(INDEX('Veri Merkezi'!$T$2:$T$1001,$K116),""))</f>
        <v/>
      </c>
      <c r="J116" t="str">
        <f>IF($K116="","",IFERROR(INDEX('Veri Merkezi'!$U$2:$U$1001,$K116),""))</f>
        <v/>
      </c>
      <c r="K116" t="str">
        <f>IF(K115="","",IFERROR(K115+MATCH("Tekrar İzle",INDEX('Veri Merkezi'!$S$2:$S$1001,K115+1):'Veri Merkezi'!$S$1001,0),""))</f>
        <v/>
      </c>
    </row>
    <row r="117" spans="1:11">
      <c r="A117" t="str">
        <f>IF($K117="","",IFERROR(INDEX('Veri Merkezi'!$A$2:$A$1001,$K117),""))</f>
        <v/>
      </c>
      <c r="B117" t="str">
        <f>IF($K117="","",IFERROR(INDEX('Veri Merkezi'!$E$2:$E$1001,$K117),""))</f>
        <v/>
      </c>
      <c r="C117" t="str">
        <f>IF($K117="","",IFERROR(INDEX('Veri Merkezi'!$D$2:$D$1001,$K117),""))</f>
        <v/>
      </c>
      <c r="D117" t="str">
        <f>IF($K117="","",IFERROR(INDEX('Veri Merkezi'!$F$2:$F$1001,$K117),""))</f>
        <v/>
      </c>
      <c r="E117" s="2" t="str">
        <f>IF($K117="","",IFERROR(INDEX('Veri Merkezi'!$G$2:$G$1001,$K117),""))</f>
        <v/>
      </c>
      <c r="F117" t="str">
        <f>IF($K117="","",IFERROR(INDEX('Veri Merkezi'!$H$2:$H$1001,$K117),""))</f>
        <v/>
      </c>
      <c r="G117" t="str">
        <f>IF($K117="","",IFERROR(INDEX('Veri Merkezi'!$R$2:$R$1001,$K117),""))</f>
        <v/>
      </c>
      <c r="H117" t="str">
        <f>IF($K117="","",IFERROR(INDEX('Veri Merkezi'!$S$2:$S$1001,$K117),""))</f>
        <v/>
      </c>
      <c r="I117" s="2" t="str">
        <f>IF($K117="","",IFERROR(INDEX('Veri Merkezi'!$T$2:$T$1001,$K117),""))</f>
        <v/>
      </c>
      <c r="J117" t="str">
        <f>IF($K117="","",IFERROR(INDEX('Veri Merkezi'!$U$2:$U$1001,$K117),""))</f>
        <v/>
      </c>
      <c r="K117" t="str">
        <f>IF(K116="","",IFERROR(K116+MATCH("Tekrar İzle",INDEX('Veri Merkezi'!$S$2:$S$1001,K116+1):'Veri Merkezi'!$S$1001,0),""))</f>
        <v/>
      </c>
    </row>
    <row r="118" spans="1:11">
      <c r="A118" t="str">
        <f>IF($K118="","",IFERROR(INDEX('Veri Merkezi'!$A$2:$A$1001,$K118),""))</f>
        <v/>
      </c>
      <c r="B118" t="str">
        <f>IF($K118="","",IFERROR(INDEX('Veri Merkezi'!$E$2:$E$1001,$K118),""))</f>
        <v/>
      </c>
      <c r="C118" t="str">
        <f>IF($K118="","",IFERROR(INDEX('Veri Merkezi'!$D$2:$D$1001,$K118),""))</f>
        <v/>
      </c>
      <c r="D118" t="str">
        <f>IF($K118="","",IFERROR(INDEX('Veri Merkezi'!$F$2:$F$1001,$K118),""))</f>
        <v/>
      </c>
      <c r="E118" s="2" t="str">
        <f>IF($K118="","",IFERROR(INDEX('Veri Merkezi'!$G$2:$G$1001,$K118),""))</f>
        <v/>
      </c>
      <c r="F118" t="str">
        <f>IF($K118="","",IFERROR(INDEX('Veri Merkezi'!$H$2:$H$1001,$K118),""))</f>
        <v/>
      </c>
      <c r="G118" t="str">
        <f>IF($K118="","",IFERROR(INDEX('Veri Merkezi'!$R$2:$R$1001,$K118),""))</f>
        <v/>
      </c>
      <c r="H118" t="str">
        <f>IF($K118="","",IFERROR(INDEX('Veri Merkezi'!$S$2:$S$1001,$K118),""))</f>
        <v/>
      </c>
      <c r="I118" s="2" t="str">
        <f>IF($K118="","",IFERROR(INDEX('Veri Merkezi'!$T$2:$T$1001,$K118),""))</f>
        <v/>
      </c>
      <c r="J118" t="str">
        <f>IF($K118="","",IFERROR(INDEX('Veri Merkezi'!$U$2:$U$1001,$K118),""))</f>
        <v/>
      </c>
      <c r="K118" t="str">
        <f>IF(K117="","",IFERROR(K117+MATCH("Tekrar İzle",INDEX('Veri Merkezi'!$S$2:$S$1001,K117+1):'Veri Merkezi'!$S$1001,0),""))</f>
        <v/>
      </c>
    </row>
    <row r="119" spans="1:11">
      <c r="A119" t="str">
        <f>IF($K119="","",IFERROR(INDEX('Veri Merkezi'!$A$2:$A$1001,$K119),""))</f>
        <v/>
      </c>
      <c r="B119" t="str">
        <f>IF($K119="","",IFERROR(INDEX('Veri Merkezi'!$E$2:$E$1001,$K119),""))</f>
        <v/>
      </c>
      <c r="C119" t="str">
        <f>IF($K119="","",IFERROR(INDEX('Veri Merkezi'!$D$2:$D$1001,$K119),""))</f>
        <v/>
      </c>
      <c r="D119" t="str">
        <f>IF($K119="","",IFERROR(INDEX('Veri Merkezi'!$F$2:$F$1001,$K119),""))</f>
        <v/>
      </c>
      <c r="E119" s="2" t="str">
        <f>IF($K119="","",IFERROR(INDEX('Veri Merkezi'!$G$2:$G$1001,$K119),""))</f>
        <v/>
      </c>
      <c r="F119" t="str">
        <f>IF($K119="","",IFERROR(INDEX('Veri Merkezi'!$H$2:$H$1001,$K119),""))</f>
        <v/>
      </c>
      <c r="G119" t="str">
        <f>IF($K119="","",IFERROR(INDEX('Veri Merkezi'!$R$2:$R$1001,$K119),""))</f>
        <v/>
      </c>
      <c r="H119" t="str">
        <f>IF($K119="","",IFERROR(INDEX('Veri Merkezi'!$S$2:$S$1001,$K119),""))</f>
        <v/>
      </c>
      <c r="I119" s="2" t="str">
        <f>IF($K119="","",IFERROR(INDEX('Veri Merkezi'!$T$2:$T$1001,$K119),""))</f>
        <v/>
      </c>
      <c r="J119" t="str">
        <f>IF($K119="","",IFERROR(INDEX('Veri Merkezi'!$U$2:$U$1001,$K119),""))</f>
        <v/>
      </c>
      <c r="K119" t="str">
        <f>IF(K118="","",IFERROR(K118+MATCH("Tekrar İzle",INDEX('Veri Merkezi'!$S$2:$S$1001,K118+1):'Veri Merkezi'!$S$1001,0),""))</f>
        <v/>
      </c>
    </row>
    <row r="120" spans="1:11">
      <c r="A120" t="str">
        <f>IF($K120="","",IFERROR(INDEX('Veri Merkezi'!$A$2:$A$1001,$K120),""))</f>
        <v/>
      </c>
      <c r="B120" t="str">
        <f>IF($K120="","",IFERROR(INDEX('Veri Merkezi'!$E$2:$E$1001,$K120),""))</f>
        <v/>
      </c>
      <c r="C120" t="str">
        <f>IF($K120="","",IFERROR(INDEX('Veri Merkezi'!$D$2:$D$1001,$K120),""))</f>
        <v/>
      </c>
      <c r="D120" t="str">
        <f>IF($K120="","",IFERROR(INDEX('Veri Merkezi'!$F$2:$F$1001,$K120),""))</f>
        <v/>
      </c>
      <c r="E120" s="2" t="str">
        <f>IF($K120="","",IFERROR(INDEX('Veri Merkezi'!$G$2:$G$1001,$K120),""))</f>
        <v/>
      </c>
      <c r="F120" t="str">
        <f>IF($K120="","",IFERROR(INDEX('Veri Merkezi'!$H$2:$H$1001,$K120),""))</f>
        <v/>
      </c>
      <c r="G120" t="str">
        <f>IF($K120="","",IFERROR(INDEX('Veri Merkezi'!$R$2:$R$1001,$K120),""))</f>
        <v/>
      </c>
      <c r="H120" t="str">
        <f>IF($K120="","",IFERROR(INDEX('Veri Merkezi'!$S$2:$S$1001,$K120),""))</f>
        <v/>
      </c>
      <c r="I120" s="2" t="str">
        <f>IF($K120="","",IFERROR(INDEX('Veri Merkezi'!$T$2:$T$1001,$K120),""))</f>
        <v/>
      </c>
      <c r="J120" t="str">
        <f>IF($K120="","",IFERROR(INDEX('Veri Merkezi'!$U$2:$U$1001,$K120),""))</f>
        <v/>
      </c>
      <c r="K120" t="str">
        <f>IF(K119="","",IFERROR(K119+MATCH("Tekrar İzle",INDEX('Veri Merkezi'!$S$2:$S$1001,K119+1):'Veri Merkezi'!$S$1001,0),""))</f>
        <v/>
      </c>
    </row>
    <row r="121" spans="1:11">
      <c r="A121" t="str">
        <f>IF($K121="","",IFERROR(INDEX('Veri Merkezi'!$A$2:$A$1001,$K121),""))</f>
        <v/>
      </c>
      <c r="B121" t="str">
        <f>IF($K121="","",IFERROR(INDEX('Veri Merkezi'!$E$2:$E$1001,$K121),""))</f>
        <v/>
      </c>
      <c r="C121" t="str">
        <f>IF($K121="","",IFERROR(INDEX('Veri Merkezi'!$D$2:$D$1001,$K121),""))</f>
        <v/>
      </c>
      <c r="D121" t="str">
        <f>IF($K121="","",IFERROR(INDEX('Veri Merkezi'!$F$2:$F$1001,$K121),""))</f>
        <v/>
      </c>
      <c r="E121" s="2" t="str">
        <f>IF($K121="","",IFERROR(INDEX('Veri Merkezi'!$G$2:$G$1001,$K121),""))</f>
        <v/>
      </c>
      <c r="F121" t="str">
        <f>IF($K121="","",IFERROR(INDEX('Veri Merkezi'!$H$2:$H$1001,$K121),""))</f>
        <v/>
      </c>
      <c r="G121" t="str">
        <f>IF($K121="","",IFERROR(INDEX('Veri Merkezi'!$R$2:$R$1001,$K121),""))</f>
        <v/>
      </c>
      <c r="H121" t="str">
        <f>IF($K121="","",IFERROR(INDEX('Veri Merkezi'!$S$2:$S$1001,$K121),""))</f>
        <v/>
      </c>
      <c r="I121" s="2" t="str">
        <f>IF($K121="","",IFERROR(INDEX('Veri Merkezi'!$T$2:$T$1001,$K121),""))</f>
        <v/>
      </c>
      <c r="J121" t="str">
        <f>IF($K121="","",IFERROR(INDEX('Veri Merkezi'!$U$2:$U$1001,$K121),""))</f>
        <v/>
      </c>
      <c r="K121" t="str">
        <f>IF(K120="","",IFERROR(K120+MATCH("Tekrar İzle",INDEX('Veri Merkezi'!$S$2:$S$1001,K120+1):'Veri Merkezi'!$S$1001,0),""))</f>
        <v/>
      </c>
    </row>
    <row r="122" spans="1:11">
      <c r="A122" t="str">
        <f>IF($K122="","",IFERROR(INDEX('Veri Merkezi'!$A$2:$A$1001,$K122),""))</f>
        <v/>
      </c>
      <c r="B122" t="str">
        <f>IF($K122="","",IFERROR(INDEX('Veri Merkezi'!$E$2:$E$1001,$K122),""))</f>
        <v/>
      </c>
      <c r="C122" t="str">
        <f>IF($K122="","",IFERROR(INDEX('Veri Merkezi'!$D$2:$D$1001,$K122),""))</f>
        <v/>
      </c>
      <c r="D122" t="str">
        <f>IF($K122="","",IFERROR(INDEX('Veri Merkezi'!$F$2:$F$1001,$K122),""))</f>
        <v/>
      </c>
      <c r="E122" s="2" t="str">
        <f>IF($K122="","",IFERROR(INDEX('Veri Merkezi'!$G$2:$G$1001,$K122),""))</f>
        <v/>
      </c>
      <c r="F122" t="str">
        <f>IF($K122="","",IFERROR(INDEX('Veri Merkezi'!$H$2:$H$1001,$K122),""))</f>
        <v/>
      </c>
      <c r="G122" t="str">
        <f>IF($K122="","",IFERROR(INDEX('Veri Merkezi'!$R$2:$R$1001,$K122),""))</f>
        <v/>
      </c>
      <c r="H122" t="str">
        <f>IF($K122="","",IFERROR(INDEX('Veri Merkezi'!$S$2:$S$1001,$K122),""))</f>
        <v/>
      </c>
      <c r="I122" s="2" t="str">
        <f>IF($K122="","",IFERROR(INDEX('Veri Merkezi'!$T$2:$T$1001,$K122),""))</f>
        <v/>
      </c>
      <c r="J122" t="str">
        <f>IF($K122="","",IFERROR(INDEX('Veri Merkezi'!$U$2:$U$1001,$K122),""))</f>
        <v/>
      </c>
      <c r="K122" t="str">
        <f>IF(K121="","",IFERROR(K121+MATCH("Tekrar İzle",INDEX('Veri Merkezi'!$S$2:$S$1001,K121+1):'Veri Merkezi'!$S$1001,0),""))</f>
        <v/>
      </c>
    </row>
    <row r="123" spans="1:11">
      <c r="A123" t="str">
        <f>IF($K123="","",IFERROR(INDEX('Veri Merkezi'!$A$2:$A$1001,$K123),""))</f>
        <v/>
      </c>
      <c r="B123" t="str">
        <f>IF($K123="","",IFERROR(INDEX('Veri Merkezi'!$E$2:$E$1001,$K123),""))</f>
        <v/>
      </c>
      <c r="C123" t="str">
        <f>IF($K123="","",IFERROR(INDEX('Veri Merkezi'!$D$2:$D$1001,$K123),""))</f>
        <v/>
      </c>
      <c r="D123" t="str">
        <f>IF($K123="","",IFERROR(INDEX('Veri Merkezi'!$F$2:$F$1001,$K123),""))</f>
        <v/>
      </c>
      <c r="E123" s="2" t="str">
        <f>IF($K123="","",IFERROR(INDEX('Veri Merkezi'!$G$2:$G$1001,$K123),""))</f>
        <v/>
      </c>
      <c r="F123" t="str">
        <f>IF($K123="","",IFERROR(INDEX('Veri Merkezi'!$H$2:$H$1001,$K123),""))</f>
        <v/>
      </c>
      <c r="G123" t="str">
        <f>IF($K123="","",IFERROR(INDEX('Veri Merkezi'!$R$2:$R$1001,$K123),""))</f>
        <v/>
      </c>
      <c r="H123" t="str">
        <f>IF($K123="","",IFERROR(INDEX('Veri Merkezi'!$S$2:$S$1001,$K123),""))</f>
        <v/>
      </c>
      <c r="I123" s="2" t="str">
        <f>IF($K123="","",IFERROR(INDEX('Veri Merkezi'!$T$2:$T$1001,$K123),""))</f>
        <v/>
      </c>
      <c r="J123" t="str">
        <f>IF($K123="","",IFERROR(INDEX('Veri Merkezi'!$U$2:$U$1001,$K123),""))</f>
        <v/>
      </c>
      <c r="K123" t="str">
        <f>IF(K122="","",IFERROR(K122+MATCH("Tekrar İzle",INDEX('Veri Merkezi'!$S$2:$S$1001,K122+1):'Veri Merkezi'!$S$1001,0),""))</f>
        <v/>
      </c>
    </row>
    <row r="124" spans="1:11">
      <c r="A124" t="str">
        <f>IF($K124="","",IFERROR(INDEX('Veri Merkezi'!$A$2:$A$1001,$K124),""))</f>
        <v/>
      </c>
      <c r="B124" t="str">
        <f>IF($K124="","",IFERROR(INDEX('Veri Merkezi'!$E$2:$E$1001,$K124),""))</f>
        <v/>
      </c>
      <c r="C124" t="str">
        <f>IF($K124="","",IFERROR(INDEX('Veri Merkezi'!$D$2:$D$1001,$K124),""))</f>
        <v/>
      </c>
      <c r="D124" t="str">
        <f>IF($K124="","",IFERROR(INDEX('Veri Merkezi'!$F$2:$F$1001,$K124),""))</f>
        <v/>
      </c>
      <c r="E124" s="2" t="str">
        <f>IF($K124="","",IFERROR(INDEX('Veri Merkezi'!$G$2:$G$1001,$K124),""))</f>
        <v/>
      </c>
      <c r="F124" t="str">
        <f>IF($K124="","",IFERROR(INDEX('Veri Merkezi'!$H$2:$H$1001,$K124),""))</f>
        <v/>
      </c>
      <c r="G124" t="str">
        <f>IF($K124="","",IFERROR(INDEX('Veri Merkezi'!$R$2:$R$1001,$K124),""))</f>
        <v/>
      </c>
      <c r="H124" t="str">
        <f>IF($K124="","",IFERROR(INDEX('Veri Merkezi'!$S$2:$S$1001,$K124),""))</f>
        <v/>
      </c>
      <c r="I124" s="2" t="str">
        <f>IF($K124="","",IFERROR(INDEX('Veri Merkezi'!$T$2:$T$1001,$K124),""))</f>
        <v/>
      </c>
      <c r="J124" t="str">
        <f>IF($K124="","",IFERROR(INDEX('Veri Merkezi'!$U$2:$U$1001,$K124),""))</f>
        <v/>
      </c>
      <c r="K124" t="str">
        <f>IF(K123="","",IFERROR(K123+MATCH("Tekrar İzle",INDEX('Veri Merkezi'!$S$2:$S$1001,K123+1):'Veri Merkezi'!$S$1001,0),""))</f>
        <v/>
      </c>
    </row>
    <row r="125" spans="1:11">
      <c r="A125" t="str">
        <f>IF($K125="","",IFERROR(INDEX('Veri Merkezi'!$A$2:$A$1001,$K125),""))</f>
        <v/>
      </c>
      <c r="B125" t="str">
        <f>IF($K125="","",IFERROR(INDEX('Veri Merkezi'!$E$2:$E$1001,$K125),""))</f>
        <v/>
      </c>
      <c r="C125" t="str">
        <f>IF($K125="","",IFERROR(INDEX('Veri Merkezi'!$D$2:$D$1001,$K125),""))</f>
        <v/>
      </c>
      <c r="D125" t="str">
        <f>IF($K125="","",IFERROR(INDEX('Veri Merkezi'!$F$2:$F$1001,$K125),""))</f>
        <v/>
      </c>
      <c r="E125" s="2" t="str">
        <f>IF($K125="","",IFERROR(INDEX('Veri Merkezi'!$G$2:$G$1001,$K125),""))</f>
        <v/>
      </c>
      <c r="F125" t="str">
        <f>IF($K125="","",IFERROR(INDEX('Veri Merkezi'!$H$2:$H$1001,$K125),""))</f>
        <v/>
      </c>
      <c r="G125" t="str">
        <f>IF($K125="","",IFERROR(INDEX('Veri Merkezi'!$R$2:$R$1001,$K125),""))</f>
        <v/>
      </c>
      <c r="H125" t="str">
        <f>IF($K125="","",IFERROR(INDEX('Veri Merkezi'!$S$2:$S$1001,$K125),""))</f>
        <v/>
      </c>
      <c r="I125" s="2" t="str">
        <f>IF($K125="","",IFERROR(INDEX('Veri Merkezi'!$T$2:$T$1001,$K125),""))</f>
        <v/>
      </c>
      <c r="J125" t="str">
        <f>IF($K125="","",IFERROR(INDEX('Veri Merkezi'!$U$2:$U$1001,$K125),""))</f>
        <v/>
      </c>
      <c r="K125" t="str">
        <f>IF(K124="","",IFERROR(K124+MATCH("Tekrar İzle",INDEX('Veri Merkezi'!$S$2:$S$1001,K124+1):'Veri Merkezi'!$S$1001,0),""))</f>
        <v/>
      </c>
    </row>
    <row r="126" spans="1:11">
      <c r="A126" t="str">
        <f>IF($K126="","",IFERROR(INDEX('Veri Merkezi'!$A$2:$A$1001,$K126),""))</f>
        <v/>
      </c>
      <c r="B126" t="str">
        <f>IF($K126="","",IFERROR(INDEX('Veri Merkezi'!$E$2:$E$1001,$K126),""))</f>
        <v/>
      </c>
      <c r="C126" t="str">
        <f>IF($K126="","",IFERROR(INDEX('Veri Merkezi'!$D$2:$D$1001,$K126),""))</f>
        <v/>
      </c>
      <c r="D126" t="str">
        <f>IF($K126="","",IFERROR(INDEX('Veri Merkezi'!$F$2:$F$1001,$K126),""))</f>
        <v/>
      </c>
      <c r="E126" s="2" t="str">
        <f>IF($K126="","",IFERROR(INDEX('Veri Merkezi'!$G$2:$G$1001,$K126),""))</f>
        <v/>
      </c>
      <c r="F126" t="str">
        <f>IF($K126="","",IFERROR(INDEX('Veri Merkezi'!$H$2:$H$1001,$K126),""))</f>
        <v/>
      </c>
      <c r="G126" t="str">
        <f>IF($K126="","",IFERROR(INDEX('Veri Merkezi'!$R$2:$R$1001,$K126),""))</f>
        <v/>
      </c>
      <c r="H126" t="str">
        <f>IF($K126="","",IFERROR(INDEX('Veri Merkezi'!$S$2:$S$1001,$K126),""))</f>
        <v/>
      </c>
      <c r="I126" s="2" t="str">
        <f>IF($K126="","",IFERROR(INDEX('Veri Merkezi'!$T$2:$T$1001,$K126),""))</f>
        <v/>
      </c>
      <c r="J126" t="str">
        <f>IF($K126="","",IFERROR(INDEX('Veri Merkezi'!$U$2:$U$1001,$K126),""))</f>
        <v/>
      </c>
      <c r="K126" t="str">
        <f>IF(K125="","",IFERROR(K125+MATCH("Tekrar İzle",INDEX('Veri Merkezi'!$S$2:$S$1001,K125+1):'Veri Merkezi'!$S$1001,0),""))</f>
        <v/>
      </c>
    </row>
    <row r="127" spans="1:11">
      <c r="A127" t="str">
        <f>IF($K127="","",IFERROR(INDEX('Veri Merkezi'!$A$2:$A$1001,$K127),""))</f>
        <v/>
      </c>
      <c r="B127" t="str">
        <f>IF($K127="","",IFERROR(INDEX('Veri Merkezi'!$E$2:$E$1001,$K127),""))</f>
        <v/>
      </c>
      <c r="C127" t="str">
        <f>IF($K127="","",IFERROR(INDEX('Veri Merkezi'!$D$2:$D$1001,$K127),""))</f>
        <v/>
      </c>
      <c r="D127" t="str">
        <f>IF($K127="","",IFERROR(INDEX('Veri Merkezi'!$F$2:$F$1001,$K127),""))</f>
        <v/>
      </c>
      <c r="E127" s="2" t="str">
        <f>IF($K127="","",IFERROR(INDEX('Veri Merkezi'!$G$2:$G$1001,$K127),""))</f>
        <v/>
      </c>
      <c r="F127" t="str">
        <f>IF($K127="","",IFERROR(INDEX('Veri Merkezi'!$H$2:$H$1001,$K127),""))</f>
        <v/>
      </c>
      <c r="G127" t="str">
        <f>IF($K127="","",IFERROR(INDEX('Veri Merkezi'!$R$2:$R$1001,$K127),""))</f>
        <v/>
      </c>
      <c r="H127" t="str">
        <f>IF($K127="","",IFERROR(INDEX('Veri Merkezi'!$S$2:$S$1001,$K127),""))</f>
        <v/>
      </c>
      <c r="I127" s="2" t="str">
        <f>IF($K127="","",IFERROR(INDEX('Veri Merkezi'!$T$2:$T$1001,$K127),""))</f>
        <v/>
      </c>
      <c r="J127" t="str">
        <f>IF($K127="","",IFERROR(INDEX('Veri Merkezi'!$U$2:$U$1001,$K127),""))</f>
        <v/>
      </c>
      <c r="K127" t="str">
        <f>IF(K126="","",IFERROR(K126+MATCH("Tekrar İzle",INDEX('Veri Merkezi'!$S$2:$S$1001,K126+1):'Veri Merkezi'!$S$1001,0),""))</f>
        <v/>
      </c>
    </row>
    <row r="128" spans="1:11">
      <c r="A128" t="str">
        <f>IF($K128="","",IFERROR(INDEX('Veri Merkezi'!$A$2:$A$1001,$K128),""))</f>
        <v/>
      </c>
      <c r="B128" t="str">
        <f>IF($K128="","",IFERROR(INDEX('Veri Merkezi'!$E$2:$E$1001,$K128),""))</f>
        <v/>
      </c>
      <c r="C128" t="str">
        <f>IF($K128="","",IFERROR(INDEX('Veri Merkezi'!$D$2:$D$1001,$K128),""))</f>
        <v/>
      </c>
      <c r="D128" t="str">
        <f>IF($K128="","",IFERROR(INDEX('Veri Merkezi'!$F$2:$F$1001,$K128),""))</f>
        <v/>
      </c>
      <c r="E128" s="2" t="str">
        <f>IF($K128="","",IFERROR(INDEX('Veri Merkezi'!$G$2:$G$1001,$K128),""))</f>
        <v/>
      </c>
      <c r="F128" t="str">
        <f>IF($K128="","",IFERROR(INDEX('Veri Merkezi'!$H$2:$H$1001,$K128),""))</f>
        <v/>
      </c>
      <c r="G128" t="str">
        <f>IF($K128="","",IFERROR(INDEX('Veri Merkezi'!$R$2:$R$1001,$K128),""))</f>
        <v/>
      </c>
      <c r="H128" t="str">
        <f>IF($K128="","",IFERROR(INDEX('Veri Merkezi'!$S$2:$S$1001,$K128),""))</f>
        <v/>
      </c>
      <c r="I128" s="2" t="str">
        <f>IF($K128="","",IFERROR(INDEX('Veri Merkezi'!$T$2:$T$1001,$K128),""))</f>
        <v/>
      </c>
      <c r="J128" t="str">
        <f>IF($K128="","",IFERROR(INDEX('Veri Merkezi'!$U$2:$U$1001,$K128),""))</f>
        <v/>
      </c>
      <c r="K128" t="str">
        <f>IF(K127="","",IFERROR(K127+MATCH("Tekrar İzle",INDEX('Veri Merkezi'!$S$2:$S$1001,K127+1):'Veri Merkezi'!$S$1001,0),""))</f>
        <v/>
      </c>
    </row>
    <row r="129" spans="1:11">
      <c r="A129" t="str">
        <f>IF($K129="","",IFERROR(INDEX('Veri Merkezi'!$A$2:$A$1001,$K129),""))</f>
        <v/>
      </c>
      <c r="B129" t="str">
        <f>IF($K129="","",IFERROR(INDEX('Veri Merkezi'!$E$2:$E$1001,$K129),""))</f>
        <v/>
      </c>
      <c r="C129" t="str">
        <f>IF($K129="","",IFERROR(INDEX('Veri Merkezi'!$D$2:$D$1001,$K129),""))</f>
        <v/>
      </c>
      <c r="D129" t="str">
        <f>IF($K129="","",IFERROR(INDEX('Veri Merkezi'!$F$2:$F$1001,$K129),""))</f>
        <v/>
      </c>
      <c r="E129" s="2" t="str">
        <f>IF($K129="","",IFERROR(INDEX('Veri Merkezi'!$G$2:$G$1001,$K129),""))</f>
        <v/>
      </c>
      <c r="F129" t="str">
        <f>IF($K129="","",IFERROR(INDEX('Veri Merkezi'!$H$2:$H$1001,$K129),""))</f>
        <v/>
      </c>
      <c r="G129" t="str">
        <f>IF($K129="","",IFERROR(INDEX('Veri Merkezi'!$R$2:$R$1001,$K129),""))</f>
        <v/>
      </c>
      <c r="H129" t="str">
        <f>IF($K129="","",IFERROR(INDEX('Veri Merkezi'!$S$2:$S$1001,$K129),""))</f>
        <v/>
      </c>
      <c r="I129" s="2" t="str">
        <f>IF($K129="","",IFERROR(INDEX('Veri Merkezi'!$T$2:$T$1001,$K129),""))</f>
        <v/>
      </c>
      <c r="J129" t="str">
        <f>IF($K129="","",IFERROR(INDEX('Veri Merkezi'!$U$2:$U$1001,$K129),""))</f>
        <v/>
      </c>
      <c r="K129" t="str">
        <f>IF(K128="","",IFERROR(K128+MATCH("Tekrar İzle",INDEX('Veri Merkezi'!$S$2:$S$1001,K128+1):'Veri Merkezi'!$S$1001,0),""))</f>
        <v/>
      </c>
    </row>
    <row r="130" spans="1:11">
      <c r="A130" t="str">
        <f>IF($K130="","",IFERROR(INDEX('Veri Merkezi'!$A$2:$A$1001,$K130),""))</f>
        <v/>
      </c>
      <c r="B130" t="str">
        <f>IF($K130="","",IFERROR(INDEX('Veri Merkezi'!$E$2:$E$1001,$K130),""))</f>
        <v/>
      </c>
      <c r="C130" t="str">
        <f>IF($K130="","",IFERROR(INDEX('Veri Merkezi'!$D$2:$D$1001,$K130),""))</f>
        <v/>
      </c>
      <c r="D130" t="str">
        <f>IF($K130="","",IFERROR(INDEX('Veri Merkezi'!$F$2:$F$1001,$K130),""))</f>
        <v/>
      </c>
      <c r="E130" s="2" t="str">
        <f>IF($K130="","",IFERROR(INDEX('Veri Merkezi'!$G$2:$G$1001,$K130),""))</f>
        <v/>
      </c>
      <c r="F130" t="str">
        <f>IF($K130="","",IFERROR(INDEX('Veri Merkezi'!$H$2:$H$1001,$K130),""))</f>
        <v/>
      </c>
      <c r="G130" t="str">
        <f>IF($K130="","",IFERROR(INDEX('Veri Merkezi'!$R$2:$R$1001,$K130),""))</f>
        <v/>
      </c>
      <c r="H130" t="str">
        <f>IF($K130="","",IFERROR(INDEX('Veri Merkezi'!$S$2:$S$1001,$K130),""))</f>
        <v/>
      </c>
      <c r="I130" s="2" t="str">
        <f>IF($K130="","",IFERROR(INDEX('Veri Merkezi'!$T$2:$T$1001,$K130),""))</f>
        <v/>
      </c>
      <c r="J130" t="str">
        <f>IF($K130="","",IFERROR(INDEX('Veri Merkezi'!$U$2:$U$1001,$K130),""))</f>
        <v/>
      </c>
      <c r="K130" t="str">
        <f>IF(K129="","",IFERROR(K129+MATCH("Tekrar İzle",INDEX('Veri Merkezi'!$S$2:$S$1001,K129+1):'Veri Merkezi'!$S$1001,0),""))</f>
        <v/>
      </c>
    </row>
    <row r="131" spans="1:11">
      <c r="A131" t="str">
        <f>IF($K131="","",IFERROR(INDEX('Veri Merkezi'!$A$2:$A$1001,$K131),""))</f>
        <v/>
      </c>
      <c r="B131" t="str">
        <f>IF($K131="","",IFERROR(INDEX('Veri Merkezi'!$E$2:$E$1001,$K131),""))</f>
        <v/>
      </c>
      <c r="C131" t="str">
        <f>IF($K131="","",IFERROR(INDEX('Veri Merkezi'!$D$2:$D$1001,$K131),""))</f>
        <v/>
      </c>
      <c r="D131" t="str">
        <f>IF($K131="","",IFERROR(INDEX('Veri Merkezi'!$F$2:$F$1001,$K131),""))</f>
        <v/>
      </c>
      <c r="E131" s="2" t="str">
        <f>IF($K131="","",IFERROR(INDEX('Veri Merkezi'!$G$2:$G$1001,$K131),""))</f>
        <v/>
      </c>
      <c r="F131" t="str">
        <f>IF($K131="","",IFERROR(INDEX('Veri Merkezi'!$H$2:$H$1001,$K131),""))</f>
        <v/>
      </c>
      <c r="G131" t="str">
        <f>IF($K131="","",IFERROR(INDEX('Veri Merkezi'!$R$2:$R$1001,$K131),""))</f>
        <v/>
      </c>
      <c r="H131" t="str">
        <f>IF($K131="","",IFERROR(INDEX('Veri Merkezi'!$S$2:$S$1001,$K131),""))</f>
        <v/>
      </c>
      <c r="I131" s="2" t="str">
        <f>IF($K131="","",IFERROR(INDEX('Veri Merkezi'!$T$2:$T$1001,$K131),""))</f>
        <v/>
      </c>
      <c r="J131" t="str">
        <f>IF($K131="","",IFERROR(INDEX('Veri Merkezi'!$U$2:$U$1001,$K131),""))</f>
        <v/>
      </c>
      <c r="K131" t="str">
        <f>IF(K130="","",IFERROR(K130+MATCH("Tekrar İzle",INDEX('Veri Merkezi'!$S$2:$S$1001,K130+1):'Veri Merkezi'!$S$1001,0),""))</f>
        <v/>
      </c>
    </row>
    <row r="132" spans="1:11">
      <c r="A132" t="str">
        <f>IF($K132="","",IFERROR(INDEX('Veri Merkezi'!$A$2:$A$1001,$K132),""))</f>
        <v/>
      </c>
      <c r="B132" t="str">
        <f>IF($K132="","",IFERROR(INDEX('Veri Merkezi'!$E$2:$E$1001,$K132),""))</f>
        <v/>
      </c>
      <c r="C132" t="str">
        <f>IF($K132="","",IFERROR(INDEX('Veri Merkezi'!$D$2:$D$1001,$K132),""))</f>
        <v/>
      </c>
      <c r="D132" t="str">
        <f>IF($K132="","",IFERROR(INDEX('Veri Merkezi'!$F$2:$F$1001,$K132),""))</f>
        <v/>
      </c>
      <c r="E132" s="2" t="str">
        <f>IF($K132="","",IFERROR(INDEX('Veri Merkezi'!$G$2:$G$1001,$K132),""))</f>
        <v/>
      </c>
      <c r="F132" t="str">
        <f>IF($K132="","",IFERROR(INDEX('Veri Merkezi'!$H$2:$H$1001,$K132),""))</f>
        <v/>
      </c>
      <c r="G132" t="str">
        <f>IF($K132="","",IFERROR(INDEX('Veri Merkezi'!$R$2:$R$1001,$K132),""))</f>
        <v/>
      </c>
      <c r="H132" t="str">
        <f>IF($K132="","",IFERROR(INDEX('Veri Merkezi'!$S$2:$S$1001,$K132),""))</f>
        <v/>
      </c>
      <c r="I132" s="2" t="str">
        <f>IF($K132="","",IFERROR(INDEX('Veri Merkezi'!$T$2:$T$1001,$K132),""))</f>
        <v/>
      </c>
      <c r="J132" t="str">
        <f>IF($K132="","",IFERROR(INDEX('Veri Merkezi'!$U$2:$U$1001,$K132),""))</f>
        <v/>
      </c>
      <c r="K132" t="str">
        <f>IF(K131="","",IFERROR(K131+MATCH("Tekrar İzle",INDEX('Veri Merkezi'!$S$2:$S$1001,K131+1):'Veri Merkezi'!$S$1001,0),""))</f>
        <v/>
      </c>
    </row>
    <row r="133" spans="1:11">
      <c r="A133" t="str">
        <f>IF($K133="","",IFERROR(INDEX('Veri Merkezi'!$A$2:$A$1001,$K133),""))</f>
        <v/>
      </c>
      <c r="B133" t="str">
        <f>IF($K133="","",IFERROR(INDEX('Veri Merkezi'!$E$2:$E$1001,$K133),""))</f>
        <v/>
      </c>
      <c r="C133" t="str">
        <f>IF($K133="","",IFERROR(INDEX('Veri Merkezi'!$D$2:$D$1001,$K133),""))</f>
        <v/>
      </c>
      <c r="D133" t="str">
        <f>IF($K133="","",IFERROR(INDEX('Veri Merkezi'!$F$2:$F$1001,$K133),""))</f>
        <v/>
      </c>
      <c r="E133" s="2" t="str">
        <f>IF($K133="","",IFERROR(INDEX('Veri Merkezi'!$G$2:$G$1001,$K133),""))</f>
        <v/>
      </c>
      <c r="F133" t="str">
        <f>IF($K133="","",IFERROR(INDEX('Veri Merkezi'!$H$2:$H$1001,$K133),""))</f>
        <v/>
      </c>
      <c r="G133" t="str">
        <f>IF($K133="","",IFERROR(INDEX('Veri Merkezi'!$R$2:$R$1001,$K133),""))</f>
        <v/>
      </c>
      <c r="H133" t="str">
        <f>IF($K133="","",IFERROR(INDEX('Veri Merkezi'!$S$2:$S$1001,$K133),""))</f>
        <v/>
      </c>
      <c r="I133" s="2" t="str">
        <f>IF($K133="","",IFERROR(INDEX('Veri Merkezi'!$T$2:$T$1001,$K133),""))</f>
        <v/>
      </c>
      <c r="J133" t="str">
        <f>IF($K133="","",IFERROR(INDEX('Veri Merkezi'!$U$2:$U$1001,$K133),""))</f>
        <v/>
      </c>
      <c r="K133" t="str">
        <f>IF(K132="","",IFERROR(K132+MATCH("Tekrar İzle",INDEX('Veri Merkezi'!$S$2:$S$1001,K132+1):'Veri Merkezi'!$S$1001,0),""))</f>
        <v/>
      </c>
    </row>
    <row r="134" spans="1:11">
      <c r="A134" t="str">
        <f>IF($K134="","",IFERROR(INDEX('Veri Merkezi'!$A$2:$A$1001,$K134),""))</f>
        <v/>
      </c>
      <c r="B134" t="str">
        <f>IF($K134="","",IFERROR(INDEX('Veri Merkezi'!$E$2:$E$1001,$K134),""))</f>
        <v/>
      </c>
      <c r="C134" t="str">
        <f>IF($K134="","",IFERROR(INDEX('Veri Merkezi'!$D$2:$D$1001,$K134),""))</f>
        <v/>
      </c>
      <c r="D134" t="str">
        <f>IF($K134="","",IFERROR(INDEX('Veri Merkezi'!$F$2:$F$1001,$K134),""))</f>
        <v/>
      </c>
      <c r="E134" s="2" t="str">
        <f>IF($K134="","",IFERROR(INDEX('Veri Merkezi'!$G$2:$G$1001,$K134),""))</f>
        <v/>
      </c>
      <c r="F134" t="str">
        <f>IF($K134="","",IFERROR(INDEX('Veri Merkezi'!$H$2:$H$1001,$K134),""))</f>
        <v/>
      </c>
      <c r="G134" t="str">
        <f>IF($K134="","",IFERROR(INDEX('Veri Merkezi'!$R$2:$R$1001,$K134),""))</f>
        <v/>
      </c>
      <c r="H134" t="str">
        <f>IF($K134="","",IFERROR(INDEX('Veri Merkezi'!$S$2:$S$1001,$K134),""))</f>
        <v/>
      </c>
      <c r="I134" s="2" t="str">
        <f>IF($K134="","",IFERROR(INDEX('Veri Merkezi'!$T$2:$T$1001,$K134),""))</f>
        <v/>
      </c>
      <c r="J134" t="str">
        <f>IF($K134="","",IFERROR(INDEX('Veri Merkezi'!$U$2:$U$1001,$K134),""))</f>
        <v/>
      </c>
      <c r="K134" t="str">
        <f>IF(K133="","",IFERROR(K133+MATCH("Tekrar İzle",INDEX('Veri Merkezi'!$S$2:$S$1001,K133+1):'Veri Merkezi'!$S$1001,0),""))</f>
        <v/>
      </c>
    </row>
    <row r="135" spans="1:11">
      <c r="A135" t="str">
        <f>IF($K135="","",IFERROR(INDEX('Veri Merkezi'!$A$2:$A$1001,$K135),""))</f>
        <v/>
      </c>
      <c r="B135" t="str">
        <f>IF($K135="","",IFERROR(INDEX('Veri Merkezi'!$E$2:$E$1001,$K135),""))</f>
        <v/>
      </c>
      <c r="C135" t="str">
        <f>IF($K135="","",IFERROR(INDEX('Veri Merkezi'!$D$2:$D$1001,$K135),""))</f>
        <v/>
      </c>
      <c r="D135" t="str">
        <f>IF($K135="","",IFERROR(INDEX('Veri Merkezi'!$F$2:$F$1001,$K135),""))</f>
        <v/>
      </c>
      <c r="E135" s="2" t="str">
        <f>IF($K135="","",IFERROR(INDEX('Veri Merkezi'!$G$2:$G$1001,$K135),""))</f>
        <v/>
      </c>
      <c r="F135" t="str">
        <f>IF($K135="","",IFERROR(INDEX('Veri Merkezi'!$H$2:$H$1001,$K135),""))</f>
        <v/>
      </c>
      <c r="G135" t="str">
        <f>IF($K135="","",IFERROR(INDEX('Veri Merkezi'!$R$2:$R$1001,$K135),""))</f>
        <v/>
      </c>
      <c r="H135" t="str">
        <f>IF($K135="","",IFERROR(INDEX('Veri Merkezi'!$S$2:$S$1001,$K135),""))</f>
        <v/>
      </c>
      <c r="I135" s="2" t="str">
        <f>IF($K135="","",IFERROR(INDEX('Veri Merkezi'!$T$2:$T$1001,$K135),""))</f>
        <v/>
      </c>
      <c r="J135" t="str">
        <f>IF($K135="","",IFERROR(INDEX('Veri Merkezi'!$U$2:$U$1001,$K135),""))</f>
        <v/>
      </c>
      <c r="K135" t="str">
        <f>IF(K134="","",IFERROR(K134+MATCH("Tekrar İzle",INDEX('Veri Merkezi'!$S$2:$S$1001,K134+1):'Veri Merkezi'!$S$1001,0),""))</f>
        <v/>
      </c>
    </row>
    <row r="136" spans="1:11">
      <c r="A136" t="str">
        <f>IF($K136="","",IFERROR(INDEX('Veri Merkezi'!$A$2:$A$1001,$K136),""))</f>
        <v/>
      </c>
      <c r="B136" t="str">
        <f>IF($K136="","",IFERROR(INDEX('Veri Merkezi'!$E$2:$E$1001,$K136),""))</f>
        <v/>
      </c>
      <c r="C136" t="str">
        <f>IF($K136="","",IFERROR(INDEX('Veri Merkezi'!$D$2:$D$1001,$K136),""))</f>
        <v/>
      </c>
      <c r="D136" t="str">
        <f>IF($K136="","",IFERROR(INDEX('Veri Merkezi'!$F$2:$F$1001,$K136),""))</f>
        <v/>
      </c>
      <c r="E136" s="2" t="str">
        <f>IF($K136="","",IFERROR(INDEX('Veri Merkezi'!$G$2:$G$1001,$K136),""))</f>
        <v/>
      </c>
      <c r="F136" t="str">
        <f>IF($K136="","",IFERROR(INDEX('Veri Merkezi'!$H$2:$H$1001,$K136),""))</f>
        <v/>
      </c>
      <c r="G136" t="str">
        <f>IF($K136="","",IFERROR(INDEX('Veri Merkezi'!$R$2:$R$1001,$K136),""))</f>
        <v/>
      </c>
      <c r="H136" t="str">
        <f>IF($K136="","",IFERROR(INDEX('Veri Merkezi'!$S$2:$S$1001,$K136),""))</f>
        <v/>
      </c>
      <c r="I136" s="2" t="str">
        <f>IF($K136="","",IFERROR(INDEX('Veri Merkezi'!$T$2:$T$1001,$K136),""))</f>
        <v/>
      </c>
      <c r="J136" t="str">
        <f>IF($K136="","",IFERROR(INDEX('Veri Merkezi'!$U$2:$U$1001,$K136),""))</f>
        <v/>
      </c>
      <c r="K136" t="str">
        <f>IF(K135="","",IFERROR(K135+MATCH("Tekrar İzle",INDEX('Veri Merkezi'!$S$2:$S$1001,K135+1):'Veri Merkezi'!$S$1001,0),""))</f>
        <v/>
      </c>
    </row>
    <row r="137" spans="1:11">
      <c r="A137" t="str">
        <f>IF($K137="","",IFERROR(INDEX('Veri Merkezi'!$A$2:$A$1001,$K137),""))</f>
        <v/>
      </c>
      <c r="B137" t="str">
        <f>IF($K137="","",IFERROR(INDEX('Veri Merkezi'!$E$2:$E$1001,$K137),""))</f>
        <v/>
      </c>
      <c r="C137" t="str">
        <f>IF($K137="","",IFERROR(INDEX('Veri Merkezi'!$D$2:$D$1001,$K137),""))</f>
        <v/>
      </c>
      <c r="D137" t="str">
        <f>IF($K137="","",IFERROR(INDEX('Veri Merkezi'!$F$2:$F$1001,$K137),""))</f>
        <v/>
      </c>
      <c r="E137" s="2" t="str">
        <f>IF($K137="","",IFERROR(INDEX('Veri Merkezi'!$G$2:$G$1001,$K137),""))</f>
        <v/>
      </c>
      <c r="F137" t="str">
        <f>IF($K137="","",IFERROR(INDEX('Veri Merkezi'!$H$2:$H$1001,$K137),""))</f>
        <v/>
      </c>
      <c r="G137" t="str">
        <f>IF($K137="","",IFERROR(INDEX('Veri Merkezi'!$R$2:$R$1001,$K137),""))</f>
        <v/>
      </c>
      <c r="H137" t="str">
        <f>IF($K137="","",IFERROR(INDEX('Veri Merkezi'!$S$2:$S$1001,$K137),""))</f>
        <v/>
      </c>
      <c r="I137" s="2" t="str">
        <f>IF($K137="","",IFERROR(INDEX('Veri Merkezi'!$T$2:$T$1001,$K137),""))</f>
        <v/>
      </c>
      <c r="J137" t="str">
        <f>IF($K137="","",IFERROR(INDEX('Veri Merkezi'!$U$2:$U$1001,$K137),""))</f>
        <v/>
      </c>
      <c r="K137" t="str">
        <f>IF(K136="","",IFERROR(K136+MATCH("Tekrar İzle",INDEX('Veri Merkezi'!$S$2:$S$1001,K136+1):'Veri Merkezi'!$S$1001,0),""))</f>
        <v/>
      </c>
    </row>
    <row r="138" spans="1:11">
      <c r="A138" t="str">
        <f>IF($K138="","",IFERROR(INDEX('Veri Merkezi'!$A$2:$A$1001,$K138),""))</f>
        <v/>
      </c>
      <c r="B138" t="str">
        <f>IF($K138="","",IFERROR(INDEX('Veri Merkezi'!$E$2:$E$1001,$K138),""))</f>
        <v/>
      </c>
      <c r="C138" t="str">
        <f>IF($K138="","",IFERROR(INDEX('Veri Merkezi'!$D$2:$D$1001,$K138),""))</f>
        <v/>
      </c>
      <c r="D138" t="str">
        <f>IF($K138="","",IFERROR(INDEX('Veri Merkezi'!$F$2:$F$1001,$K138),""))</f>
        <v/>
      </c>
      <c r="E138" s="2" t="str">
        <f>IF($K138="","",IFERROR(INDEX('Veri Merkezi'!$G$2:$G$1001,$K138),""))</f>
        <v/>
      </c>
      <c r="F138" t="str">
        <f>IF($K138="","",IFERROR(INDEX('Veri Merkezi'!$H$2:$H$1001,$K138),""))</f>
        <v/>
      </c>
      <c r="G138" t="str">
        <f>IF($K138="","",IFERROR(INDEX('Veri Merkezi'!$R$2:$R$1001,$K138),""))</f>
        <v/>
      </c>
      <c r="H138" t="str">
        <f>IF($K138="","",IFERROR(INDEX('Veri Merkezi'!$S$2:$S$1001,$K138),""))</f>
        <v/>
      </c>
      <c r="I138" s="2" t="str">
        <f>IF($K138="","",IFERROR(INDEX('Veri Merkezi'!$T$2:$T$1001,$K138),""))</f>
        <v/>
      </c>
      <c r="J138" t="str">
        <f>IF($K138="","",IFERROR(INDEX('Veri Merkezi'!$U$2:$U$1001,$K138),""))</f>
        <v/>
      </c>
      <c r="K138" t="str">
        <f>IF(K137="","",IFERROR(K137+MATCH("Tekrar İzle",INDEX('Veri Merkezi'!$S$2:$S$1001,K137+1):'Veri Merkezi'!$S$1001,0),""))</f>
        <v/>
      </c>
    </row>
    <row r="139" spans="1:11">
      <c r="A139" t="str">
        <f>IF($K139="","",IFERROR(INDEX('Veri Merkezi'!$A$2:$A$1001,$K139),""))</f>
        <v/>
      </c>
      <c r="B139" t="str">
        <f>IF($K139="","",IFERROR(INDEX('Veri Merkezi'!$E$2:$E$1001,$K139),""))</f>
        <v/>
      </c>
      <c r="C139" t="str">
        <f>IF($K139="","",IFERROR(INDEX('Veri Merkezi'!$D$2:$D$1001,$K139),""))</f>
        <v/>
      </c>
      <c r="D139" t="str">
        <f>IF($K139="","",IFERROR(INDEX('Veri Merkezi'!$F$2:$F$1001,$K139),""))</f>
        <v/>
      </c>
      <c r="E139" s="2" t="str">
        <f>IF($K139="","",IFERROR(INDEX('Veri Merkezi'!$G$2:$G$1001,$K139),""))</f>
        <v/>
      </c>
      <c r="F139" t="str">
        <f>IF($K139="","",IFERROR(INDEX('Veri Merkezi'!$H$2:$H$1001,$K139),""))</f>
        <v/>
      </c>
      <c r="G139" t="str">
        <f>IF($K139="","",IFERROR(INDEX('Veri Merkezi'!$R$2:$R$1001,$K139),""))</f>
        <v/>
      </c>
      <c r="H139" t="str">
        <f>IF($K139="","",IFERROR(INDEX('Veri Merkezi'!$S$2:$S$1001,$K139),""))</f>
        <v/>
      </c>
      <c r="I139" s="2" t="str">
        <f>IF($K139="","",IFERROR(INDEX('Veri Merkezi'!$T$2:$T$1001,$K139),""))</f>
        <v/>
      </c>
      <c r="J139" t="str">
        <f>IF($K139="","",IFERROR(INDEX('Veri Merkezi'!$U$2:$U$1001,$K139),""))</f>
        <v/>
      </c>
      <c r="K139" t="str">
        <f>IF(K138="","",IFERROR(K138+MATCH("Tekrar İzle",INDEX('Veri Merkezi'!$S$2:$S$1001,K138+1):'Veri Merkezi'!$S$1001,0),""))</f>
        <v/>
      </c>
    </row>
    <row r="140" spans="1:11">
      <c r="A140" t="str">
        <f>IF($K140="","",IFERROR(INDEX('Veri Merkezi'!$A$2:$A$1001,$K140),""))</f>
        <v/>
      </c>
      <c r="B140" t="str">
        <f>IF($K140="","",IFERROR(INDEX('Veri Merkezi'!$E$2:$E$1001,$K140),""))</f>
        <v/>
      </c>
      <c r="C140" t="str">
        <f>IF($K140="","",IFERROR(INDEX('Veri Merkezi'!$D$2:$D$1001,$K140),""))</f>
        <v/>
      </c>
      <c r="D140" t="str">
        <f>IF($K140="","",IFERROR(INDEX('Veri Merkezi'!$F$2:$F$1001,$K140),""))</f>
        <v/>
      </c>
      <c r="E140" s="2" t="str">
        <f>IF($K140="","",IFERROR(INDEX('Veri Merkezi'!$G$2:$G$1001,$K140),""))</f>
        <v/>
      </c>
      <c r="F140" t="str">
        <f>IF($K140="","",IFERROR(INDEX('Veri Merkezi'!$H$2:$H$1001,$K140),""))</f>
        <v/>
      </c>
      <c r="G140" t="str">
        <f>IF($K140="","",IFERROR(INDEX('Veri Merkezi'!$R$2:$R$1001,$K140),""))</f>
        <v/>
      </c>
      <c r="H140" t="str">
        <f>IF($K140="","",IFERROR(INDEX('Veri Merkezi'!$S$2:$S$1001,$K140),""))</f>
        <v/>
      </c>
      <c r="I140" s="2" t="str">
        <f>IF($K140="","",IFERROR(INDEX('Veri Merkezi'!$T$2:$T$1001,$K140),""))</f>
        <v/>
      </c>
      <c r="J140" t="str">
        <f>IF($K140="","",IFERROR(INDEX('Veri Merkezi'!$U$2:$U$1001,$K140),""))</f>
        <v/>
      </c>
      <c r="K140" t="str">
        <f>IF(K139="","",IFERROR(K139+MATCH("Tekrar İzle",INDEX('Veri Merkezi'!$S$2:$S$1001,K139+1):'Veri Merkezi'!$S$1001,0),""))</f>
        <v/>
      </c>
    </row>
    <row r="141" spans="1:11">
      <c r="A141" t="str">
        <f>IF($K141="","",IFERROR(INDEX('Veri Merkezi'!$A$2:$A$1001,$K141),""))</f>
        <v/>
      </c>
      <c r="B141" t="str">
        <f>IF($K141="","",IFERROR(INDEX('Veri Merkezi'!$E$2:$E$1001,$K141),""))</f>
        <v/>
      </c>
      <c r="C141" t="str">
        <f>IF($K141="","",IFERROR(INDEX('Veri Merkezi'!$D$2:$D$1001,$K141),""))</f>
        <v/>
      </c>
      <c r="D141" t="str">
        <f>IF($K141="","",IFERROR(INDEX('Veri Merkezi'!$F$2:$F$1001,$K141),""))</f>
        <v/>
      </c>
      <c r="E141" s="2" t="str">
        <f>IF($K141="","",IFERROR(INDEX('Veri Merkezi'!$G$2:$G$1001,$K141),""))</f>
        <v/>
      </c>
      <c r="F141" t="str">
        <f>IF($K141="","",IFERROR(INDEX('Veri Merkezi'!$H$2:$H$1001,$K141),""))</f>
        <v/>
      </c>
      <c r="G141" t="str">
        <f>IF($K141="","",IFERROR(INDEX('Veri Merkezi'!$R$2:$R$1001,$K141),""))</f>
        <v/>
      </c>
      <c r="H141" t="str">
        <f>IF($K141="","",IFERROR(INDEX('Veri Merkezi'!$S$2:$S$1001,$K141),""))</f>
        <v/>
      </c>
      <c r="I141" s="2" t="str">
        <f>IF($K141="","",IFERROR(INDEX('Veri Merkezi'!$T$2:$T$1001,$K141),""))</f>
        <v/>
      </c>
      <c r="J141" t="str">
        <f>IF($K141="","",IFERROR(INDEX('Veri Merkezi'!$U$2:$U$1001,$K141),""))</f>
        <v/>
      </c>
      <c r="K141" t="str">
        <f>IF(K140="","",IFERROR(K140+MATCH("Tekrar İzle",INDEX('Veri Merkezi'!$S$2:$S$1001,K140+1):'Veri Merkezi'!$S$1001,0),""))</f>
        <v/>
      </c>
    </row>
    <row r="142" spans="1:11">
      <c r="A142" t="str">
        <f>IF($K142="","",IFERROR(INDEX('Veri Merkezi'!$A$2:$A$1001,$K142),""))</f>
        <v/>
      </c>
      <c r="B142" t="str">
        <f>IF($K142="","",IFERROR(INDEX('Veri Merkezi'!$E$2:$E$1001,$K142),""))</f>
        <v/>
      </c>
      <c r="C142" t="str">
        <f>IF($K142="","",IFERROR(INDEX('Veri Merkezi'!$D$2:$D$1001,$K142),""))</f>
        <v/>
      </c>
      <c r="D142" t="str">
        <f>IF($K142="","",IFERROR(INDEX('Veri Merkezi'!$F$2:$F$1001,$K142),""))</f>
        <v/>
      </c>
      <c r="E142" s="2" t="str">
        <f>IF($K142="","",IFERROR(INDEX('Veri Merkezi'!$G$2:$G$1001,$K142),""))</f>
        <v/>
      </c>
      <c r="F142" t="str">
        <f>IF($K142="","",IFERROR(INDEX('Veri Merkezi'!$H$2:$H$1001,$K142),""))</f>
        <v/>
      </c>
      <c r="G142" t="str">
        <f>IF($K142="","",IFERROR(INDEX('Veri Merkezi'!$R$2:$R$1001,$K142),""))</f>
        <v/>
      </c>
      <c r="H142" t="str">
        <f>IF($K142="","",IFERROR(INDEX('Veri Merkezi'!$S$2:$S$1001,$K142),""))</f>
        <v/>
      </c>
      <c r="I142" s="2" t="str">
        <f>IF($K142="","",IFERROR(INDEX('Veri Merkezi'!$T$2:$T$1001,$K142),""))</f>
        <v/>
      </c>
      <c r="J142" t="str">
        <f>IF($K142="","",IFERROR(INDEX('Veri Merkezi'!$U$2:$U$1001,$K142),""))</f>
        <v/>
      </c>
      <c r="K142" t="str">
        <f>IF(K141="","",IFERROR(K141+MATCH("Tekrar İzle",INDEX('Veri Merkezi'!$S$2:$S$1001,K141+1):'Veri Merkezi'!$S$1001,0),""))</f>
        <v/>
      </c>
    </row>
    <row r="143" spans="1:11">
      <c r="A143" t="str">
        <f>IF($K143="","",IFERROR(INDEX('Veri Merkezi'!$A$2:$A$1001,$K143),""))</f>
        <v/>
      </c>
      <c r="B143" t="str">
        <f>IF($K143="","",IFERROR(INDEX('Veri Merkezi'!$E$2:$E$1001,$K143),""))</f>
        <v/>
      </c>
      <c r="C143" t="str">
        <f>IF($K143="","",IFERROR(INDEX('Veri Merkezi'!$D$2:$D$1001,$K143),""))</f>
        <v/>
      </c>
      <c r="D143" t="str">
        <f>IF($K143="","",IFERROR(INDEX('Veri Merkezi'!$F$2:$F$1001,$K143),""))</f>
        <v/>
      </c>
      <c r="E143" s="2" t="str">
        <f>IF($K143="","",IFERROR(INDEX('Veri Merkezi'!$G$2:$G$1001,$K143),""))</f>
        <v/>
      </c>
      <c r="F143" t="str">
        <f>IF($K143="","",IFERROR(INDEX('Veri Merkezi'!$H$2:$H$1001,$K143),""))</f>
        <v/>
      </c>
      <c r="G143" t="str">
        <f>IF($K143="","",IFERROR(INDEX('Veri Merkezi'!$R$2:$R$1001,$K143),""))</f>
        <v/>
      </c>
      <c r="H143" t="str">
        <f>IF($K143="","",IFERROR(INDEX('Veri Merkezi'!$S$2:$S$1001,$K143),""))</f>
        <v/>
      </c>
      <c r="I143" s="2" t="str">
        <f>IF($K143="","",IFERROR(INDEX('Veri Merkezi'!$T$2:$T$1001,$K143),""))</f>
        <v/>
      </c>
      <c r="J143" t="str">
        <f>IF($K143="","",IFERROR(INDEX('Veri Merkezi'!$U$2:$U$1001,$K143),""))</f>
        <v/>
      </c>
      <c r="K143" t="str">
        <f>IF(K142="","",IFERROR(K142+MATCH("Tekrar İzle",INDEX('Veri Merkezi'!$S$2:$S$1001,K142+1):'Veri Merkezi'!$S$1001,0),""))</f>
        <v/>
      </c>
    </row>
    <row r="144" spans="1:11">
      <c r="A144" t="str">
        <f>IF($K144="","",IFERROR(INDEX('Veri Merkezi'!$A$2:$A$1001,$K144),""))</f>
        <v/>
      </c>
      <c r="B144" t="str">
        <f>IF($K144="","",IFERROR(INDEX('Veri Merkezi'!$E$2:$E$1001,$K144),""))</f>
        <v/>
      </c>
      <c r="C144" t="str">
        <f>IF($K144="","",IFERROR(INDEX('Veri Merkezi'!$D$2:$D$1001,$K144),""))</f>
        <v/>
      </c>
      <c r="D144" t="str">
        <f>IF($K144="","",IFERROR(INDEX('Veri Merkezi'!$F$2:$F$1001,$K144),""))</f>
        <v/>
      </c>
      <c r="E144" s="2" t="str">
        <f>IF($K144="","",IFERROR(INDEX('Veri Merkezi'!$G$2:$G$1001,$K144),""))</f>
        <v/>
      </c>
      <c r="F144" t="str">
        <f>IF($K144="","",IFERROR(INDEX('Veri Merkezi'!$H$2:$H$1001,$K144),""))</f>
        <v/>
      </c>
      <c r="G144" t="str">
        <f>IF($K144="","",IFERROR(INDEX('Veri Merkezi'!$R$2:$R$1001,$K144),""))</f>
        <v/>
      </c>
      <c r="H144" t="str">
        <f>IF($K144="","",IFERROR(INDEX('Veri Merkezi'!$S$2:$S$1001,$K144),""))</f>
        <v/>
      </c>
      <c r="I144" s="2" t="str">
        <f>IF($K144="","",IFERROR(INDEX('Veri Merkezi'!$T$2:$T$1001,$K144),""))</f>
        <v/>
      </c>
      <c r="J144" t="str">
        <f>IF($K144="","",IFERROR(INDEX('Veri Merkezi'!$U$2:$U$1001,$K144),""))</f>
        <v/>
      </c>
      <c r="K144" t="str">
        <f>IF(K143="","",IFERROR(K143+MATCH("Tekrar İzle",INDEX('Veri Merkezi'!$S$2:$S$1001,K143+1):'Veri Merkezi'!$S$1001,0),""))</f>
        <v/>
      </c>
    </row>
    <row r="145" spans="1:11">
      <c r="A145" t="str">
        <f>IF($K145="","",IFERROR(INDEX('Veri Merkezi'!$A$2:$A$1001,$K145),""))</f>
        <v/>
      </c>
      <c r="B145" t="str">
        <f>IF($K145="","",IFERROR(INDEX('Veri Merkezi'!$E$2:$E$1001,$K145),""))</f>
        <v/>
      </c>
      <c r="C145" t="str">
        <f>IF($K145="","",IFERROR(INDEX('Veri Merkezi'!$D$2:$D$1001,$K145),""))</f>
        <v/>
      </c>
      <c r="D145" t="str">
        <f>IF($K145="","",IFERROR(INDEX('Veri Merkezi'!$F$2:$F$1001,$K145),""))</f>
        <v/>
      </c>
      <c r="E145" s="2" t="str">
        <f>IF($K145="","",IFERROR(INDEX('Veri Merkezi'!$G$2:$G$1001,$K145),""))</f>
        <v/>
      </c>
      <c r="F145" t="str">
        <f>IF($K145="","",IFERROR(INDEX('Veri Merkezi'!$H$2:$H$1001,$K145),""))</f>
        <v/>
      </c>
      <c r="G145" t="str">
        <f>IF($K145="","",IFERROR(INDEX('Veri Merkezi'!$R$2:$R$1001,$K145),""))</f>
        <v/>
      </c>
      <c r="H145" t="str">
        <f>IF($K145="","",IFERROR(INDEX('Veri Merkezi'!$S$2:$S$1001,$K145),""))</f>
        <v/>
      </c>
      <c r="I145" s="2" t="str">
        <f>IF($K145="","",IFERROR(INDEX('Veri Merkezi'!$T$2:$T$1001,$K145),""))</f>
        <v/>
      </c>
      <c r="J145" t="str">
        <f>IF($K145="","",IFERROR(INDEX('Veri Merkezi'!$U$2:$U$1001,$K145),""))</f>
        <v/>
      </c>
      <c r="K145" t="str">
        <f>IF(K144="","",IFERROR(K144+MATCH("Tekrar İzle",INDEX('Veri Merkezi'!$S$2:$S$1001,K144+1):'Veri Merkezi'!$S$1001,0),""))</f>
        <v/>
      </c>
    </row>
    <row r="146" spans="1:11">
      <c r="A146" t="str">
        <f>IF($K146="","",IFERROR(INDEX('Veri Merkezi'!$A$2:$A$1001,$K146),""))</f>
        <v/>
      </c>
      <c r="B146" t="str">
        <f>IF($K146="","",IFERROR(INDEX('Veri Merkezi'!$E$2:$E$1001,$K146),""))</f>
        <v/>
      </c>
      <c r="C146" t="str">
        <f>IF($K146="","",IFERROR(INDEX('Veri Merkezi'!$D$2:$D$1001,$K146),""))</f>
        <v/>
      </c>
      <c r="D146" t="str">
        <f>IF($K146="","",IFERROR(INDEX('Veri Merkezi'!$F$2:$F$1001,$K146),""))</f>
        <v/>
      </c>
      <c r="E146" s="2" t="str">
        <f>IF($K146="","",IFERROR(INDEX('Veri Merkezi'!$G$2:$G$1001,$K146),""))</f>
        <v/>
      </c>
      <c r="F146" t="str">
        <f>IF($K146="","",IFERROR(INDEX('Veri Merkezi'!$H$2:$H$1001,$K146),""))</f>
        <v/>
      </c>
      <c r="G146" t="str">
        <f>IF($K146="","",IFERROR(INDEX('Veri Merkezi'!$R$2:$R$1001,$K146),""))</f>
        <v/>
      </c>
      <c r="H146" t="str">
        <f>IF($K146="","",IFERROR(INDEX('Veri Merkezi'!$S$2:$S$1001,$K146),""))</f>
        <v/>
      </c>
      <c r="I146" s="2" t="str">
        <f>IF($K146="","",IFERROR(INDEX('Veri Merkezi'!$T$2:$T$1001,$K146),""))</f>
        <v/>
      </c>
      <c r="J146" t="str">
        <f>IF($K146="","",IFERROR(INDEX('Veri Merkezi'!$U$2:$U$1001,$K146),""))</f>
        <v/>
      </c>
      <c r="K146" t="str">
        <f>IF(K145="","",IFERROR(K145+MATCH("Tekrar İzle",INDEX('Veri Merkezi'!$S$2:$S$1001,K145+1):'Veri Merkezi'!$S$1001,0),""))</f>
        <v/>
      </c>
    </row>
    <row r="147" spans="1:11">
      <c r="A147" t="str">
        <f>IF($K147="","",IFERROR(INDEX('Veri Merkezi'!$A$2:$A$1001,$K147),""))</f>
        <v/>
      </c>
      <c r="B147" t="str">
        <f>IF($K147="","",IFERROR(INDEX('Veri Merkezi'!$E$2:$E$1001,$K147),""))</f>
        <v/>
      </c>
      <c r="C147" t="str">
        <f>IF($K147="","",IFERROR(INDEX('Veri Merkezi'!$D$2:$D$1001,$K147),""))</f>
        <v/>
      </c>
      <c r="D147" t="str">
        <f>IF($K147="","",IFERROR(INDEX('Veri Merkezi'!$F$2:$F$1001,$K147),""))</f>
        <v/>
      </c>
      <c r="E147" s="2" t="str">
        <f>IF($K147="","",IFERROR(INDEX('Veri Merkezi'!$G$2:$G$1001,$K147),""))</f>
        <v/>
      </c>
      <c r="F147" t="str">
        <f>IF($K147="","",IFERROR(INDEX('Veri Merkezi'!$H$2:$H$1001,$K147),""))</f>
        <v/>
      </c>
      <c r="G147" t="str">
        <f>IF($K147="","",IFERROR(INDEX('Veri Merkezi'!$R$2:$R$1001,$K147),""))</f>
        <v/>
      </c>
      <c r="H147" t="str">
        <f>IF($K147="","",IFERROR(INDEX('Veri Merkezi'!$S$2:$S$1001,$K147),""))</f>
        <v/>
      </c>
      <c r="I147" s="2" t="str">
        <f>IF($K147="","",IFERROR(INDEX('Veri Merkezi'!$T$2:$T$1001,$K147),""))</f>
        <v/>
      </c>
      <c r="J147" t="str">
        <f>IF($K147="","",IFERROR(INDEX('Veri Merkezi'!$U$2:$U$1001,$K147),""))</f>
        <v/>
      </c>
      <c r="K147" t="str">
        <f>IF(K146="","",IFERROR(K146+MATCH("Tekrar İzle",INDEX('Veri Merkezi'!$S$2:$S$1001,K146+1):'Veri Merkezi'!$S$1001,0),""))</f>
        <v/>
      </c>
    </row>
    <row r="148" spans="1:11">
      <c r="A148" t="str">
        <f>IF($K148="","",IFERROR(INDEX('Veri Merkezi'!$A$2:$A$1001,$K148),""))</f>
        <v/>
      </c>
      <c r="B148" t="str">
        <f>IF($K148="","",IFERROR(INDEX('Veri Merkezi'!$E$2:$E$1001,$K148),""))</f>
        <v/>
      </c>
      <c r="C148" t="str">
        <f>IF($K148="","",IFERROR(INDEX('Veri Merkezi'!$D$2:$D$1001,$K148),""))</f>
        <v/>
      </c>
      <c r="D148" t="str">
        <f>IF($K148="","",IFERROR(INDEX('Veri Merkezi'!$F$2:$F$1001,$K148),""))</f>
        <v/>
      </c>
      <c r="E148" s="2" t="str">
        <f>IF($K148="","",IFERROR(INDEX('Veri Merkezi'!$G$2:$G$1001,$K148),""))</f>
        <v/>
      </c>
      <c r="F148" t="str">
        <f>IF($K148="","",IFERROR(INDEX('Veri Merkezi'!$H$2:$H$1001,$K148),""))</f>
        <v/>
      </c>
      <c r="G148" t="str">
        <f>IF($K148="","",IFERROR(INDEX('Veri Merkezi'!$R$2:$R$1001,$K148),""))</f>
        <v/>
      </c>
      <c r="H148" t="str">
        <f>IF($K148="","",IFERROR(INDEX('Veri Merkezi'!$S$2:$S$1001,$K148),""))</f>
        <v/>
      </c>
      <c r="I148" s="2" t="str">
        <f>IF($K148="","",IFERROR(INDEX('Veri Merkezi'!$T$2:$T$1001,$K148),""))</f>
        <v/>
      </c>
      <c r="J148" t="str">
        <f>IF($K148="","",IFERROR(INDEX('Veri Merkezi'!$U$2:$U$1001,$K148),""))</f>
        <v/>
      </c>
      <c r="K148" t="str">
        <f>IF(K147="","",IFERROR(K147+MATCH("Tekrar İzle",INDEX('Veri Merkezi'!$S$2:$S$1001,K147+1):'Veri Merkezi'!$S$1001,0),""))</f>
        <v/>
      </c>
    </row>
    <row r="149" spans="1:11">
      <c r="A149" t="str">
        <f>IF($K149="","",IFERROR(INDEX('Veri Merkezi'!$A$2:$A$1001,$K149),""))</f>
        <v/>
      </c>
      <c r="B149" t="str">
        <f>IF($K149="","",IFERROR(INDEX('Veri Merkezi'!$E$2:$E$1001,$K149),""))</f>
        <v/>
      </c>
      <c r="C149" t="str">
        <f>IF($K149="","",IFERROR(INDEX('Veri Merkezi'!$D$2:$D$1001,$K149),""))</f>
        <v/>
      </c>
      <c r="D149" t="str">
        <f>IF($K149="","",IFERROR(INDEX('Veri Merkezi'!$F$2:$F$1001,$K149),""))</f>
        <v/>
      </c>
      <c r="E149" s="2" t="str">
        <f>IF($K149="","",IFERROR(INDEX('Veri Merkezi'!$G$2:$G$1001,$K149),""))</f>
        <v/>
      </c>
      <c r="F149" t="str">
        <f>IF($K149="","",IFERROR(INDEX('Veri Merkezi'!$H$2:$H$1001,$K149),""))</f>
        <v/>
      </c>
      <c r="G149" t="str">
        <f>IF($K149="","",IFERROR(INDEX('Veri Merkezi'!$R$2:$R$1001,$K149),""))</f>
        <v/>
      </c>
      <c r="H149" t="str">
        <f>IF($K149="","",IFERROR(INDEX('Veri Merkezi'!$S$2:$S$1001,$K149),""))</f>
        <v/>
      </c>
      <c r="I149" s="2" t="str">
        <f>IF($K149="","",IFERROR(INDEX('Veri Merkezi'!$T$2:$T$1001,$K149),""))</f>
        <v/>
      </c>
      <c r="J149" t="str">
        <f>IF($K149="","",IFERROR(INDEX('Veri Merkezi'!$U$2:$U$1001,$K149),""))</f>
        <v/>
      </c>
      <c r="K149" t="str">
        <f>IF(K148="","",IFERROR(K148+MATCH("Tekrar İzle",INDEX('Veri Merkezi'!$S$2:$S$1001,K148+1):'Veri Merkezi'!$S$1001,0),""))</f>
        <v/>
      </c>
    </row>
    <row r="150" spans="1:11">
      <c r="A150" t="str">
        <f>IF($K150="","",IFERROR(INDEX('Veri Merkezi'!$A$2:$A$1001,$K150),""))</f>
        <v/>
      </c>
      <c r="B150" t="str">
        <f>IF($K150="","",IFERROR(INDEX('Veri Merkezi'!$E$2:$E$1001,$K150),""))</f>
        <v/>
      </c>
      <c r="C150" t="str">
        <f>IF($K150="","",IFERROR(INDEX('Veri Merkezi'!$D$2:$D$1001,$K150),""))</f>
        <v/>
      </c>
      <c r="D150" t="str">
        <f>IF($K150="","",IFERROR(INDEX('Veri Merkezi'!$F$2:$F$1001,$K150),""))</f>
        <v/>
      </c>
      <c r="E150" s="2" t="str">
        <f>IF($K150="","",IFERROR(INDEX('Veri Merkezi'!$G$2:$G$1001,$K150),""))</f>
        <v/>
      </c>
      <c r="F150" t="str">
        <f>IF($K150="","",IFERROR(INDEX('Veri Merkezi'!$H$2:$H$1001,$K150),""))</f>
        <v/>
      </c>
      <c r="G150" t="str">
        <f>IF($K150="","",IFERROR(INDEX('Veri Merkezi'!$R$2:$R$1001,$K150),""))</f>
        <v/>
      </c>
      <c r="H150" t="str">
        <f>IF($K150="","",IFERROR(INDEX('Veri Merkezi'!$S$2:$S$1001,$K150),""))</f>
        <v/>
      </c>
      <c r="I150" s="2" t="str">
        <f>IF($K150="","",IFERROR(INDEX('Veri Merkezi'!$T$2:$T$1001,$K150),""))</f>
        <v/>
      </c>
      <c r="J150" t="str">
        <f>IF($K150="","",IFERROR(INDEX('Veri Merkezi'!$U$2:$U$1001,$K150),""))</f>
        <v/>
      </c>
      <c r="K150" t="str">
        <f>IF(K149="","",IFERROR(K149+MATCH("Tekrar İzle",INDEX('Veri Merkezi'!$S$2:$S$1001,K149+1):'Veri Merkezi'!$S$1001,0),""))</f>
        <v/>
      </c>
    </row>
    <row r="151" spans="1:11">
      <c r="A151" t="str">
        <f>IF($K151="","",IFERROR(INDEX('Veri Merkezi'!$A$2:$A$1001,$K151),""))</f>
        <v/>
      </c>
      <c r="B151" t="str">
        <f>IF($K151="","",IFERROR(INDEX('Veri Merkezi'!$E$2:$E$1001,$K151),""))</f>
        <v/>
      </c>
      <c r="C151" t="str">
        <f>IF($K151="","",IFERROR(INDEX('Veri Merkezi'!$D$2:$D$1001,$K151),""))</f>
        <v/>
      </c>
      <c r="D151" t="str">
        <f>IF($K151="","",IFERROR(INDEX('Veri Merkezi'!$F$2:$F$1001,$K151),""))</f>
        <v/>
      </c>
      <c r="E151" s="2" t="str">
        <f>IF($K151="","",IFERROR(INDEX('Veri Merkezi'!$G$2:$G$1001,$K151),""))</f>
        <v/>
      </c>
      <c r="F151" t="str">
        <f>IF($K151="","",IFERROR(INDEX('Veri Merkezi'!$H$2:$H$1001,$K151),""))</f>
        <v/>
      </c>
      <c r="G151" t="str">
        <f>IF($K151="","",IFERROR(INDEX('Veri Merkezi'!$R$2:$R$1001,$K151),""))</f>
        <v/>
      </c>
      <c r="H151" t="str">
        <f>IF($K151="","",IFERROR(INDEX('Veri Merkezi'!$S$2:$S$1001,$K151),""))</f>
        <v/>
      </c>
      <c r="I151" s="2" t="str">
        <f>IF($K151="","",IFERROR(INDEX('Veri Merkezi'!$T$2:$T$1001,$K151),""))</f>
        <v/>
      </c>
      <c r="J151" t="str">
        <f>IF($K151="","",IFERROR(INDEX('Veri Merkezi'!$U$2:$U$1001,$K151),""))</f>
        <v/>
      </c>
      <c r="K151" t="str">
        <f>IF(K150="","",IFERROR(K150+MATCH("Tekrar İzle",INDEX('Veri Merkezi'!$S$2:$S$1001,K150+1):'Veri Merkezi'!$S$1001,0),""))</f>
        <v/>
      </c>
    </row>
    <row r="152" spans="1:11">
      <c r="A152" t="str">
        <f>IF($K152="","",IFERROR(INDEX('Veri Merkezi'!$A$2:$A$1001,$K152),""))</f>
        <v/>
      </c>
      <c r="B152" t="str">
        <f>IF($K152="","",IFERROR(INDEX('Veri Merkezi'!$E$2:$E$1001,$K152),""))</f>
        <v/>
      </c>
      <c r="C152" t="str">
        <f>IF($K152="","",IFERROR(INDEX('Veri Merkezi'!$D$2:$D$1001,$K152),""))</f>
        <v/>
      </c>
      <c r="D152" t="str">
        <f>IF($K152="","",IFERROR(INDEX('Veri Merkezi'!$F$2:$F$1001,$K152),""))</f>
        <v/>
      </c>
      <c r="E152" s="2" t="str">
        <f>IF($K152="","",IFERROR(INDEX('Veri Merkezi'!$G$2:$G$1001,$K152),""))</f>
        <v/>
      </c>
      <c r="F152" t="str">
        <f>IF($K152="","",IFERROR(INDEX('Veri Merkezi'!$H$2:$H$1001,$K152),""))</f>
        <v/>
      </c>
      <c r="G152" t="str">
        <f>IF($K152="","",IFERROR(INDEX('Veri Merkezi'!$R$2:$R$1001,$K152),""))</f>
        <v/>
      </c>
      <c r="H152" t="str">
        <f>IF($K152="","",IFERROR(INDEX('Veri Merkezi'!$S$2:$S$1001,$K152),""))</f>
        <v/>
      </c>
      <c r="I152" s="2" t="str">
        <f>IF($K152="","",IFERROR(INDEX('Veri Merkezi'!$T$2:$T$1001,$K152),""))</f>
        <v/>
      </c>
      <c r="J152" t="str">
        <f>IF($K152="","",IFERROR(INDEX('Veri Merkezi'!$U$2:$U$1001,$K152),""))</f>
        <v/>
      </c>
      <c r="K152" t="str">
        <f>IF(K151="","",IFERROR(K151+MATCH("Tekrar İzle",INDEX('Veri Merkezi'!$S$2:$S$1001,K151+1):'Veri Merkezi'!$S$1001,0),""))</f>
        <v/>
      </c>
    </row>
    <row r="153" spans="1:11">
      <c r="A153" t="str">
        <f>IF($K153="","",IFERROR(INDEX('Veri Merkezi'!$A$2:$A$1001,$K153),""))</f>
        <v/>
      </c>
      <c r="B153" t="str">
        <f>IF($K153="","",IFERROR(INDEX('Veri Merkezi'!$E$2:$E$1001,$K153),""))</f>
        <v/>
      </c>
      <c r="C153" t="str">
        <f>IF($K153="","",IFERROR(INDEX('Veri Merkezi'!$D$2:$D$1001,$K153),""))</f>
        <v/>
      </c>
      <c r="D153" t="str">
        <f>IF($K153="","",IFERROR(INDEX('Veri Merkezi'!$F$2:$F$1001,$K153),""))</f>
        <v/>
      </c>
      <c r="E153" s="2" t="str">
        <f>IF($K153="","",IFERROR(INDEX('Veri Merkezi'!$G$2:$G$1001,$K153),""))</f>
        <v/>
      </c>
      <c r="F153" t="str">
        <f>IF($K153="","",IFERROR(INDEX('Veri Merkezi'!$H$2:$H$1001,$K153),""))</f>
        <v/>
      </c>
      <c r="G153" t="str">
        <f>IF($K153="","",IFERROR(INDEX('Veri Merkezi'!$R$2:$R$1001,$K153),""))</f>
        <v/>
      </c>
      <c r="H153" t="str">
        <f>IF($K153="","",IFERROR(INDEX('Veri Merkezi'!$S$2:$S$1001,$K153),""))</f>
        <v/>
      </c>
      <c r="I153" s="2" t="str">
        <f>IF($K153="","",IFERROR(INDEX('Veri Merkezi'!$T$2:$T$1001,$K153),""))</f>
        <v/>
      </c>
      <c r="J153" t="str">
        <f>IF($K153="","",IFERROR(INDEX('Veri Merkezi'!$U$2:$U$1001,$K153),""))</f>
        <v/>
      </c>
      <c r="K153" t="str">
        <f>IF(K152="","",IFERROR(K152+MATCH("Tekrar İzle",INDEX('Veri Merkezi'!$S$2:$S$1001,K152+1):'Veri Merkezi'!$S$1001,0),""))</f>
        <v/>
      </c>
    </row>
    <row r="154" spans="1:11">
      <c r="A154" t="str">
        <f>IF($K154="","",IFERROR(INDEX('Veri Merkezi'!$A$2:$A$1001,$K154),""))</f>
        <v/>
      </c>
      <c r="B154" t="str">
        <f>IF($K154="","",IFERROR(INDEX('Veri Merkezi'!$E$2:$E$1001,$K154),""))</f>
        <v/>
      </c>
      <c r="C154" t="str">
        <f>IF($K154="","",IFERROR(INDEX('Veri Merkezi'!$D$2:$D$1001,$K154),""))</f>
        <v/>
      </c>
      <c r="D154" t="str">
        <f>IF($K154="","",IFERROR(INDEX('Veri Merkezi'!$F$2:$F$1001,$K154),""))</f>
        <v/>
      </c>
      <c r="E154" s="2" t="str">
        <f>IF($K154="","",IFERROR(INDEX('Veri Merkezi'!$G$2:$G$1001,$K154),""))</f>
        <v/>
      </c>
      <c r="F154" t="str">
        <f>IF($K154="","",IFERROR(INDEX('Veri Merkezi'!$H$2:$H$1001,$K154),""))</f>
        <v/>
      </c>
      <c r="G154" t="str">
        <f>IF($K154="","",IFERROR(INDEX('Veri Merkezi'!$R$2:$R$1001,$K154),""))</f>
        <v/>
      </c>
      <c r="H154" t="str">
        <f>IF($K154="","",IFERROR(INDEX('Veri Merkezi'!$S$2:$S$1001,$K154),""))</f>
        <v/>
      </c>
      <c r="I154" s="2" t="str">
        <f>IF($K154="","",IFERROR(INDEX('Veri Merkezi'!$T$2:$T$1001,$K154),""))</f>
        <v/>
      </c>
      <c r="J154" t="str">
        <f>IF($K154="","",IFERROR(INDEX('Veri Merkezi'!$U$2:$U$1001,$K154),""))</f>
        <v/>
      </c>
      <c r="K154" t="str">
        <f>IF(K153="","",IFERROR(K153+MATCH("Tekrar İzle",INDEX('Veri Merkezi'!$S$2:$S$1001,K153+1):'Veri Merkezi'!$S$1001,0),""))</f>
        <v/>
      </c>
    </row>
    <row r="155" spans="1:11">
      <c r="A155" t="str">
        <f>IF($K155="","",IFERROR(INDEX('Veri Merkezi'!$A$2:$A$1001,$K155),""))</f>
        <v/>
      </c>
      <c r="B155" t="str">
        <f>IF($K155="","",IFERROR(INDEX('Veri Merkezi'!$E$2:$E$1001,$K155),""))</f>
        <v/>
      </c>
      <c r="C155" t="str">
        <f>IF($K155="","",IFERROR(INDEX('Veri Merkezi'!$D$2:$D$1001,$K155),""))</f>
        <v/>
      </c>
      <c r="D155" t="str">
        <f>IF($K155="","",IFERROR(INDEX('Veri Merkezi'!$F$2:$F$1001,$K155),""))</f>
        <v/>
      </c>
      <c r="E155" s="2" t="str">
        <f>IF($K155="","",IFERROR(INDEX('Veri Merkezi'!$G$2:$G$1001,$K155),""))</f>
        <v/>
      </c>
      <c r="F155" t="str">
        <f>IF($K155="","",IFERROR(INDEX('Veri Merkezi'!$H$2:$H$1001,$K155),""))</f>
        <v/>
      </c>
      <c r="G155" t="str">
        <f>IF($K155="","",IFERROR(INDEX('Veri Merkezi'!$R$2:$R$1001,$K155),""))</f>
        <v/>
      </c>
      <c r="H155" t="str">
        <f>IF($K155="","",IFERROR(INDEX('Veri Merkezi'!$S$2:$S$1001,$K155),""))</f>
        <v/>
      </c>
      <c r="I155" s="2" t="str">
        <f>IF($K155="","",IFERROR(INDEX('Veri Merkezi'!$T$2:$T$1001,$K155),""))</f>
        <v/>
      </c>
      <c r="J155" t="str">
        <f>IF($K155="","",IFERROR(INDEX('Veri Merkezi'!$U$2:$U$1001,$K155),""))</f>
        <v/>
      </c>
      <c r="K155" t="str">
        <f>IF(K154="","",IFERROR(K154+MATCH("Tekrar İzle",INDEX('Veri Merkezi'!$S$2:$S$1001,K154+1):'Veri Merkezi'!$S$1001,0),""))</f>
        <v/>
      </c>
    </row>
    <row r="156" spans="1:11">
      <c r="A156" t="str">
        <f>IF($K156="","",IFERROR(INDEX('Veri Merkezi'!$A$2:$A$1001,$K156),""))</f>
        <v/>
      </c>
      <c r="B156" t="str">
        <f>IF($K156="","",IFERROR(INDEX('Veri Merkezi'!$E$2:$E$1001,$K156),""))</f>
        <v/>
      </c>
      <c r="C156" t="str">
        <f>IF($K156="","",IFERROR(INDEX('Veri Merkezi'!$D$2:$D$1001,$K156),""))</f>
        <v/>
      </c>
      <c r="D156" t="str">
        <f>IF($K156="","",IFERROR(INDEX('Veri Merkezi'!$F$2:$F$1001,$K156),""))</f>
        <v/>
      </c>
      <c r="E156" s="2" t="str">
        <f>IF($K156="","",IFERROR(INDEX('Veri Merkezi'!$G$2:$G$1001,$K156),""))</f>
        <v/>
      </c>
      <c r="F156" t="str">
        <f>IF($K156="","",IFERROR(INDEX('Veri Merkezi'!$H$2:$H$1001,$K156),""))</f>
        <v/>
      </c>
      <c r="G156" t="str">
        <f>IF($K156="","",IFERROR(INDEX('Veri Merkezi'!$R$2:$R$1001,$K156),""))</f>
        <v/>
      </c>
      <c r="H156" t="str">
        <f>IF($K156="","",IFERROR(INDEX('Veri Merkezi'!$S$2:$S$1001,$K156),""))</f>
        <v/>
      </c>
      <c r="I156" s="2" t="str">
        <f>IF($K156="","",IFERROR(INDEX('Veri Merkezi'!$T$2:$T$1001,$K156),""))</f>
        <v/>
      </c>
      <c r="J156" t="str">
        <f>IF($K156="","",IFERROR(INDEX('Veri Merkezi'!$U$2:$U$1001,$K156),""))</f>
        <v/>
      </c>
      <c r="K156" t="str">
        <f>IF(K155="","",IFERROR(K155+MATCH("Tekrar İzle",INDEX('Veri Merkezi'!$S$2:$S$1001,K155+1):'Veri Merkezi'!$S$1001,0),""))</f>
        <v/>
      </c>
    </row>
    <row r="157" spans="1:11">
      <c r="A157" t="str">
        <f>IF($K157="","",IFERROR(INDEX('Veri Merkezi'!$A$2:$A$1001,$K157),""))</f>
        <v/>
      </c>
      <c r="B157" t="str">
        <f>IF($K157="","",IFERROR(INDEX('Veri Merkezi'!$E$2:$E$1001,$K157),""))</f>
        <v/>
      </c>
      <c r="C157" t="str">
        <f>IF($K157="","",IFERROR(INDEX('Veri Merkezi'!$D$2:$D$1001,$K157),""))</f>
        <v/>
      </c>
      <c r="D157" t="str">
        <f>IF($K157="","",IFERROR(INDEX('Veri Merkezi'!$F$2:$F$1001,$K157),""))</f>
        <v/>
      </c>
      <c r="E157" s="2" t="str">
        <f>IF($K157="","",IFERROR(INDEX('Veri Merkezi'!$G$2:$G$1001,$K157),""))</f>
        <v/>
      </c>
      <c r="F157" t="str">
        <f>IF($K157="","",IFERROR(INDEX('Veri Merkezi'!$H$2:$H$1001,$K157),""))</f>
        <v/>
      </c>
      <c r="G157" t="str">
        <f>IF($K157="","",IFERROR(INDEX('Veri Merkezi'!$R$2:$R$1001,$K157),""))</f>
        <v/>
      </c>
      <c r="H157" t="str">
        <f>IF($K157="","",IFERROR(INDEX('Veri Merkezi'!$S$2:$S$1001,$K157),""))</f>
        <v/>
      </c>
      <c r="I157" s="2" t="str">
        <f>IF($K157="","",IFERROR(INDEX('Veri Merkezi'!$T$2:$T$1001,$K157),""))</f>
        <v/>
      </c>
      <c r="J157" t="str">
        <f>IF($K157="","",IFERROR(INDEX('Veri Merkezi'!$U$2:$U$1001,$K157),""))</f>
        <v/>
      </c>
      <c r="K157" t="str">
        <f>IF(K156="","",IFERROR(K156+MATCH("Tekrar İzle",INDEX('Veri Merkezi'!$S$2:$S$1001,K156+1):'Veri Merkezi'!$S$1001,0),""))</f>
        <v/>
      </c>
    </row>
    <row r="158" spans="1:11">
      <c r="A158" t="str">
        <f>IF($K158="","",IFERROR(INDEX('Veri Merkezi'!$A$2:$A$1001,$K158),""))</f>
        <v/>
      </c>
      <c r="B158" t="str">
        <f>IF($K158="","",IFERROR(INDEX('Veri Merkezi'!$E$2:$E$1001,$K158),""))</f>
        <v/>
      </c>
      <c r="C158" t="str">
        <f>IF($K158="","",IFERROR(INDEX('Veri Merkezi'!$D$2:$D$1001,$K158),""))</f>
        <v/>
      </c>
      <c r="D158" t="str">
        <f>IF($K158="","",IFERROR(INDEX('Veri Merkezi'!$F$2:$F$1001,$K158),""))</f>
        <v/>
      </c>
      <c r="E158" s="2" t="str">
        <f>IF($K158="","",IFERROR(INDEX('Veri Merkezi'!$G$2:$G$1001,$K158),""))</f>
        <v/>
      </c>
      <c r="F158" t="str">
        <f>IF($K158="","",IFERROR(INDEX('Veri Merkezi'!$H$2:$H$1001,$K158),""))</f>
        <v/>
      </c>
      <c r="G158" t="str">
        <f>IF($K158="","",IFERROR(INDEX('Veri Merkezi'!$R$2:$R$1001,$K158),""))</f>
        <v/>
      </c>
      <c r="H158" t="str">
        <f>IF($K158="","",IFERROR(INDEX('Veri Merkezi'!$S$2:$S$1001,$K158),""))</f>
        <v/>
      </c>
      <c r="I158" s="2" t="str">
        <f>IF($K158="","",IFERROR(INDEX('Veri Merkezi'!$T$2:$T$1001,$K158),""))</f>
        <v/>
      </c>
      <c r="J158" t="str">
        <f>IF($K158="","",IFERROR(INDEX('Veri Merkezi'!$U$2:$U$1001,$K158),""))</f>
        <v/>
      </c>
      <c r="K158" t="str">
        <f>IF(K157="","",IFERROR(K157+MATCH("Tekrar İzle",INDEX('Veri Merkezi'!$S$2:$S$1001,K157+1):'Veri Merkezi'!$S$1001,0),""))</f>
        <v/>
      </c>
    </row>
    <row r="159" spans="1:11">
      <c r="A159" t="str">
        <f>IF($K159="","",IFERROR(INDEX('Veri Merkezi'!$A$2:$A$1001,$K159),""))</f>
        <v/>
      </c>
      <c r="B159" t="str">
        <f>IF($K159="","",IFERROR(INDEX('Veri Merkezi'!$E$2:$E$1001,$K159),""))</f>
        <v/>
      </c>
      <c r="C159" t="str">
        <f>IF($K159="","",IFERROR(INDEX('Veri Merkezi'!$D$2:$D$1001,$K159),""))</f>
        <v/>
      </c>
      <c r="D159" t="str">
        <f>IF($K159="","",IFERROR(INDEX('Veri Merkezi'!$F$2:$F$1001,$K159),""))</f>
        <v/>
      </c>
      <c r="E159" s="2" t="str">
        <f>IF($K159="","",IFERROR(INDEX('Veri Merkezi'!$G$2:$G$1001,$K159),""))</f>
        <v/>
      </c>
      <c r="F159" t="str">
        <f>IF($K159="","",IFERROR(INDEX('Veri Merkezi'!$H$2:$H$1001,$K159),""))</f>
        <v/>
      </c>
      <c r="G159" t="str">
        <f>IF($K159="","",IFERROR(INDEX('Veri Merkezi'!$R$2:$R$1001,$K159),""))</f>
        <v/>
      </c>
      <c r="H159" t="str">
        <f>IF($K159="","",IFERROR(INDEX('Veri Merkezi'!$S$2:$S$1001,$K159),""))</f>
        <v/>
      </c>
      <c r="I159" s="2" t="str">
        <f>IF($K159="","",IFERROR(INDEX('Veri Merkezi'!$T$2:$T$1001,$K159),""))</f>
        <v/>
      </c>
      <c r="J159" t="str">
        <f>IF($K159="","",IFERROR(INDEX('Veri Merkezi'!$U$2:$U$1001,$K159),""))</f>
        <v/>
      </c>
      <c r="K159" t="str">
        <f>IF(K158="","",IFERROR(K158+MATCH("Tekrar İzle",INDEX('Veri Merkezi'!$S$2:$S$1001,K158+1):'Veri Merkezi'!$S$1001,0),""))</f>
        <v/>
      </c>
    </row>
    <row r="160" spans="1:11">
      <c r="A160" t="str">
        <f>IF($K160="","",IFERROR(INDEX('Veri Merkezi'!$A$2:$A$1001,$K160),""))</f>
        <v/>
      </c>
      <c r="B160" t="str">
        <f>IF($K160="","",IFERROR(INDEX('Veri Merkezi'!$E$2:$E$1001,$K160),""))</f>
        <v/>
      </c>
      <c r="C160" t="str">
        <f>IF($K160="","",IFERROR(INDEX('Veri Merkezi'!$D$2:$D$1001,$K160),""))</f>
        <v/>
      </c>
      <c r="D160" t="str">
        <f>IF($K160="","",IFERROR(INDEX('Veri Merkezi'!$F$2:$F$1001,$K160),""))</f>
        <v/>
      </c>
      <c r="E160" s="2" t="str">
        <f>IF($K160="","",IFERROR(INDEX('Veri Merkezi'!$G$2:$G$1001,$K160),""))</f>
        <v/>
      </c>
      <c r="F160" t="str">
        <f>IF($K160="","",IFERROR(INDEX('Veri Merkezi'!$H$2:$H$1001,$K160),""))</f>
        <v/>
      </c>
      <c r="G160" t="str">
        <f>IF($K160="","",IFERROR(INDEX('Veri Merkezi'!$R$2:$R$1001,$K160),""))</f>
        <v/>
      </c>
      <c r="H160" t="str">
        <f>IF($K160="","",IFERROR(INDEX('Veri Merkezi'!$S$2:$S$1001,$K160),""))</f>
        <v/>
      </c>
      <c r="I160" s="2" t="str">
        <f>IF($K160="","",IFERROR(INDEX('Veri Merkezi'!$T$2:$T$1001,$K160),""))</f>
        <v/>
      </c>
      <c r="J160" t="str">
        <f>IF($K160="","",IFERROR(INDEX('Veri Merkezi'!$U$2:$U$1001,$K160),""))</f>
        <v/>
      </c>
      <c r="K160" t="str">
        <f>IF(K159="","",IFERROR(K159+MATCH("Tekrar İzle",INDEX('Veri Merkezi'!$S$2:$S$1001,K159+1):'Veri Merkezi'!$S$1001,0),""))</f>
        <v/>
      </c>
    </row>
    <row r="161" spans="1:11">
      <c r="A161" t="str">
        <f>IF($K161="","",IFERROR(INDEX('Veri Merkezi'!$A$2:$A$1001,$K161),""))</f>
        <v/>
      </c>
      <c r="B161" t="str">
        <f>IF($K161="","",IFERROR(INDEX('Veri Merkezi'!$E$2:$E$1001,$K161),""))</f>
        <v/>
      </c>
      <c r="C161" t="str">
        <f>IF($K161="","",IFERROR(INDEX('Veri Merkezi'!$D$2:$D$1001,$K161),""))</f>
        <v/>
      </c>
      <c r="D161" t="str">
        <f>IF($K161="","",IFERROR(INDEX('Veri Merkezi'!$F$2:$F$1001,$K161),""))</f>
        <v/>
      </c>
      <c r="E161" s="2" t="str">
        <f>IF($K161="","",IFERROR(INDEX('Veri Merkezi'!$G$2:$G$1001,$K161),""))</f>
        <v/>
      </c>
      <c r="F161" t="str">
        <f>IF($K161="","",IFERROR(INDEX('Veri Merkezi'!$H$2:$H$1001,$K161),""))</f>
        <v/>
      </c>
      <c r="G161" t="str">
        <f>IF($K161="","",IFERROR(INDEX('Veri Merkezi'!$R$2:$R$1001,$K161),""))</f>
        <v/>
      </c>
      <c r="H161" t="str">
        <f>IF($K161="","",IFERROR(INDEX('Veri Merkezi'!$S$2:$S$1001,$K161),""))</f>
        <v/>
      </c>
      <c r="I161" s="2" t="str">
        <f>IF($K161="","",IFERROR(INDEX('Veri Merkezi'!$T$2:$T$1001,$K161),""))</f>
        <v/>
      </c>
      <c r="J161" t="str">
        <f>IF($K161="","",IFERROR(INDEX('Veri Merkezi'!$U$2:$U$1001,$K161),""))</f>
        <v/>
      </c>
      <c r="K161" t="str">
        <f>IF(K160="","",IFERROR(K160+MATCH("Tekrar İzle",INDEX('Veri Merkezi'!$S$2:$S$1001,K160+1):'Veri Merkezi'!$S$1001,0),""))</f>
        <v/>
      </c>
    </row>
    <row r="162" spans="1:11">
      <c r="A162" t="str">
        <f>IF($K162="","",IFERROR(INDEX('Veri Merkezi'!$A$2:$A$1001,$K162),""))</f>
        <v/>
      </c>
      <c r="B162" t="str">
        <f>IF($K162="","",IFERROR(INDEX('Veri Merkezi'!$E$2:$E$1001,$K162),""))</f>
        <v/>
      </c>
      <c r="C162" t="str">
        <f>IF($K162="","",IFERROR(INDEX('Veri Merkezi'!$D$2:$D$1001,$K162),""))</f>
        <v/>
      </c>
      <c r="D162" t="str">
        <f>IF($K162="","",IFERROR(INDEX('Veri Merkezi'!$F$2:$F$1001,$K162),""))</f>
        <v/>
      </c>
      <c r="E162" s="2" t="str">
        <f>IF($K162="","",IFERROR(INDEX('Veri Merkezi'!$G$2:$G$1001,$K162),""))</f>
        <v/>
      </c>
      <c r="F162" t="str">
        <f>IF($K162="","",IFERROR(INDEX('Veri Merkezi'!$H$2:$H$1001,$K162),""))</f>
        <v/>
      </c>
      <c r="G162" t="str">
        <f>IF($K162="","",IFERROR(INDEX('Veri Merkezi'!$R$2:$R$1001,$K162),""))</f>
        <v/>
      </c>
      <c r="H162" t="str">
        <f>IF($K162="","",IFERROR(INDEX('Veri Merkezi'!$S$2:$S$1001,$K162),""))</f>
        <v/>
      </c>
      <c r="I162" s="2" t="str">
        <f>IF($K162="","",IFERROR(INDEX('Veri Merkezi'!$T$2:$T$1001,$K162),""))</f>
        <v/>
      </c>
      <c r="J162" t="str">
        <f>IF($K162="","",IFERROR(INDEX('Veri Merkezi'!$U$2:$U$1001,$K162),""))</f>
        <v/>
      </c>
      <c r="K162" t="str">
        <f>IF(K161="","",IFERROR(K161+MATCH("Tekrar İzle",INDEX('Veri Merkezi'!$S$2:$S$1001,K161+1):'Veri Merkezi'!$S$1001,0),""))</f>
        <v/>
      </c>
    </row>
    <row r="163" spans="1:11">
      <c r="A163" t="str">
        <f>IF($K163="","",IFERROR(INDEX('Veri Merkezi'!$A$2:$A$1001,$K163),""))</f>
        <v/>
      </c>
      <c r="B163" t="str">
        <f>IF($K163="","",IFERROR(INDEX('Veri Merkezi'!$E$2:$E$1001,$K163),""))</f>
        <v/>
      </c>
      <c r="C163" t="str">
        <f>IF($K163="","",IFERROR(INDEX('Veri Merkezi'!$D$2:$D$1001,$K163),""))</f>
        <v/>
      </c>
      <c r="D163" t="str">
        <f>IF($K163="","",IFERROR(INDEX('Veri Merkezi'!$F$2:$F$1001,$K163),""))</f>
        <v/>
      </c>
      <c r="E163" s="2" t="str">
        <f>IF($K163="","",IFERROR(INDEX('Veri Merkezi'!$G$2:$G$1001,$K163),""))</f>
        <v/>
      </c>
      <c r="F163" t="str">
        <f>IF($K163="","",IFERROR(INDEX('Veri Merkezi'!$H$2:$H$1001,$K163),""))</f>
        <v/>
      </c>
      <c r="G163" t="str">
        <f>IF($K163="","",IFERROR(INDEX('Veri Merkezi'!$R$2:$R$1001,$K163),""))</f>
        <v/>
      </c>
      <c r="H163" t="str">
        <f>IF($K163="","",IFERROR(INDEX('Veri Merkezi'!$S$2:$S$1001,$K163),""))</f>
        <v/>
      </c>
      <c r="I163" s="2" t="str">
        <f>IF($K163="","",IFERROR(INDEX('Veri Merkezi'!$T$2:$T$1001,$K163),""))</f>
        <v/>
      </c>
      <c r="J163" t="str">
        <f>IF($K163="","",IFERROR(INDEX('Veri Merkezi'!$U$2:$U$1001,$K163),""))</f>
        <v/>
      </c>
      <c r="K163" t="str">
        <f>IF(K162="","",IFERROR(K162+MATCH("Tekrar İzle",INDEX('Veri Merkezi'!$S$2:$S$1001,K162+1):'Veri Merkezi'!$S$1001,0),""))</f>
        <v/>
      </c>
    </row>
    <row r="164" spans="1:11">
      <c r="A164" t="str">
        <f>IF($K164="","",IFERROR(INDEX('Veri Merkezi'!$A$2:$A$1001,$K164),""))</f>
        <v/>
      </c>
      <c r="B164" t="str">
        <f>IF($K164="","",IFERROR(INDEX('Veri Merkezi'!$E$2:$E$1001,$K164),""))</f>
        <v/>
      </c>
      <c r="C164" t="str">
        <f>IF($K164="","",IFERROR(INDEX('Veri Merkezi'!$D$2:$D$1001,$K164),""))</f>
        <v/>
      </c>
      <c r="D164" t="str">
        <f>IF($K164="","",IFERROR(INDEX('Veri Merkezi'!$F$2:$F$1001,$K164),""))</f>
        <v/>
      </c>
      <c r="E164" s="2" t="str">
        <f>IF($K164="","",IFERROR(INDEX('Veri Merkezi'!$G$2:$G$1001,$K164),""))</f>
        <v/>
      </c>
      <c r="F164" t="str">
        <f>IF($K164="","",IFERROR(INDEX('Veri Merkezi'!$H$2:$H$1001,$K164),""))</f>
        <v/>
      </c>
      <c r="G164" t="str">
        <f>IF($K164="","",IFERROR(INDEX('Veri Merkezi'!$R$2:$R$1001,$K164),""))</f>
        <v/>
      </c>
      <c r="H164" t="str">
        <f>IF($K164="","",IFERROR(INDEX('Veri Merkezi'!$S$2:$S$1001,$K164),""))</f>
        <v/>
      </c>
      <c r="I164" s="2" t="str">
        <f>IF($K164="","",IFERROR(INDEX('Veri Merkezi'!$T$2:$T$1001,$K164),""))</f>
        <v/>
      </c>
      <c r="J164" t="str">
        <f>IF($K164="","",IFERROR(INDEX('Veri Merkezi'!$U$2:$U$1001,$K164),""))</f>
        <v/>
      </c>
      <c r="K164" t="str">
        <f>IF(K163="","",IFERROR(K163+MATCH("Tekrar İzle",INDEX('Veri Merkezi'!$S$2:$S$1001,K163+1):'Veri Merkezi'!$S$1001,0),""))</f>
        <v/>
      </c>
    </row>
    <row r="165" spans="1:11">
      <c r="A165" t="str">
        <f>IF($K165="","",IFERROR(INDEX('Veri Merkezi'!$A$2:$A$1001,$K165),""))</f>
        <v/>
      </c>
      <c r="B165" t="str">
        <f>IF($K165="","",IFERROR(INDEX('Veri Merkezi'!$E$2:$E$1001,$K165),""))</f>
        <v/>
      </c>
      <c r="C165" t="str">
        <f>IF($K165="","",IFERROR(INDEX('Veri Merkezi'!$D$2:$D$1001,$K165),""))</f>
        <v/>
      </c>
      <c r="D165" t="str">
        <f>IF($K165="","",IFERROR(INDEX('Veri Merkezi'!$F$2:$F$1001,$K165),""))</f>
        <v/>
      </c>
      <c r="E165" s="2" t="str">
        <f>IF($K165="","",IFERROR(INDEX('Veri Merkezi'!$G$2:$G$1001,$K165),""))</f>
        <v/>
      </c>
      <c r="F165" t="str">
        <f>IF($K165="","",IFERROR(INDEX('Veri Merkezi'!$H$2:$H$1001,$K165),""))</f>
        <v/>
      </c>
      <c r="G165" t="str">
        <f>IF($K165="","",IFERROR(INDEX('Veri Merkezi'!$R$2:$R$1001,$K165),""))</f>
        <v/>
      </c>
      <c r="H165" t="str">
        <f>IF($K165="","",IFERROR(INDEX('Veri Merkezi'!$S$2:$S$1001,$K165),""))</f>
        <v/>
      </c>
      <c r="I165" s="2" t="str">
        <f>IF($K165="","",IFERROR(INDEX('Veri Merkezi'!$T$2:$T$1001,$K165),""))</f>
        <v/>
      </c>
      <c r="J165" t="str">
        <f>IF($K165="","",IFERROR(INDEX('Veri Merkezi'!$U$2:$U$1001,$K165),""))</f>
        <v/>
      </c>
      <c r="K165" t="str">
        <f>IF(K164="","",IFERROR(K164+MATCH("Tekrar İzle",INDEX('Veri Merkezi'!$S$2:$S$1001,K164+1):'Veri Merkezi'!$S$1001,0),""))</f>
        <v/>
      </c>
    </row>
    <row r="166" spans="1:11">
      <c r="A166" t="str">
        <f>IF($K166="","",IFERROR(INDEX('Veri Merkezi'!$A$2:$A$1001,$K166),""))</f>
        <v/>
      </c>
      <c r="B166" t="str">
        <f>IF($K166="","",IFERROR(INDEX('Veri Merkezi'!$E$2:$E$1001,$K166),""))</f>
        <v/>
      </c>
      <c r="C166" t="str">
        <f>IF($K166="","",IFERROR(INDEX('Veri Merkezi'!$D$2:$D$1001,$K166),""))</f>
        <v/>
      </c>
      <c r="D166" t="str">
        <f>IF($K166="","",IFERROR(INDEX('Veri Merkezi'!$F$2:$F$1001,$K166),""))</f>
        <v/>
      </c>
      <c r="E166" s="2" t="str">
        <f>IF($K166="","",IFERROR(INDEX('Veri Merkezi'!$G$2:$G$1001,$K166),""))</f>
        <v/>
      </c>
      <c r="F166" t="str">
        <f>IF($K166="","",IFERROR(INDEX('Veri Merkezi'!$H$2:$H$1001,$K166),""))</f>
        <v/>
      </c>
      <c r="G166" t="str">
        <f>IF($K166="","",IFERROR(INDEX('Veri Merkezi'!$R$2:$R$1001,$K166),""))</f>
        <v/>
      </c>
      <c r="H166" t="str">
        <f>IF($K166="","",IFERROR(INDEX('Veri Merkezi'!$S$2:$S$1001,$K166),""))</f>
        <v/>
      </c>
      <c r="I166" s="2" t="str">
        <f>IF($K166="","",IFERROR(INDEX('Veri Merkezi'!$T$2:$T$1001,$K166),""))</f>
        <v/>
      </c>
      <c r="J166" t="str">
        <f>IF($K166="","",IFERROR(INDEX('Veri Merkezi'!$U$2:$U$1001,$K166),""))</f>
        <v/>
      </c>
      <c r="K166" t="str">
        <f>IF(K165="","",IFERROR(K165+MATCH("Tekrar İzle",INDEX('Veri Merkezi'!$S$2:$S$1001,K165+1):'Veri Merkezi'!$S$1001,0),""))</f>
        <v/>
      </c>
    </row>
    <row r="167" spans="1:11">
      <c r="A167" t="str">
        <f>IF($K167="","",IFERROR(INDEX('Veri Merkezi'!$A$2:$A$1001,$K167),""))</f>
        <v/>
      </c>
      <c r="B167" t="str">
        <f>IF($K167="","",IFERROR(INDEX('Veri Merkezi'!$E$2:$E$1001,$K167),""))</f>
        <v/>
      </c>
      <c r="C167" t="str">
        <f>IF($K167="","",IFERROR(INDEX('Veri Merkezi'!$D$2:$D$1001,$K167),""))</f>
        <v/>
      </c>
      <c r="D167" t="str">
        <f>IF($K167="","",IFERROR(INDEX('Veri Merkezi'!$F$2:$F$1001,$K167),""))</f>
        <v/>
      </c>
      <c r="E167" s="2" t="str">
        <f>IF($K167="","",IFERROR(INDEX('Veri Merkezi'!$G$2:$G$1001,$K167),""))</f>
        <v/>
      </c>
      <c r="F167" t="str">
        <f>IF($K167="","",IFERROR(INDEX('Veri Merkezi'!$H$2:$H$1001,$K167),""))</f>
        <v/>
      </c>
      <c r="G167" t="str">
        <f>IF($K167="","",IFERROR(INDEX('Veri Merkezi'!$R$2:$R$1001,$K167),""))</f>
        <v/>
      </c>
      <c r="H167" t="str">
        <f>IF($K167="","",IFERROR(INDEX('Veri Merkezi'!$S$2:$S$1001,$K167),""))</f>
        <v/>
      </c>
      <c r="I167" s="2" t="str">
        <f>IF($K167="","",IFERROR(INDEX('Veri Merkezi'!$T$2:$T$1001,$K167),""))</f>
        <v/>
      </c>
      <c r="J167" t="str">
        <f>IF($K167="","",IFERROR(INDEX('Veri Merkezi'!$U$2:$U$1001,$K167),""))</f>
        <v/>
      </c>
      <c r="K167" t="str">
        <f>IF(K166="","",IFERROR(K166+MATCH("Tekrar İzle",INDEX('Veri Merkezi'!$S$2:$S$1001,K166+1):'Veri Merkezi'!$S$1001,0),""))</f>
        <v/>
      </c>
    </row>
    <row r="168" spans="1:11">
      <c r="A168" t="str">
        <f>IF($K168="","",IFERROR(INDEX('Veri Merkezi'!$A$2:$A$1001,$K168),""))</f>
        <v/>
      </c>
      <c r="B168" t="str">
        <f>IF($K168="","",IFERROR(INDEX('Veri Merkezi'!$E$2:$E$1001,$K168),""))</f>
        <v/>
      </c>
      <c r="C168" t="str">
        <f>IF($K168="","",IFERROR(INDEX('Veri Merkezi'!$D$2:$D$1001,$K168),""))</f>
        <v/>
      </c>
      <c r="D168" t="str">
        <f>IF($K168="","",IFERROR(INDEX('Veri Merkezi'!$F$2:$F$1001,$K168),""))</f>
        <v/>
      </c>
      <c r="E168" s="2" t="str">
        <f>IF($K168="","",IFERROR(INDEX('Veri Merkezi'!$G$2:$G$1001,$K168),""))</f>
        <v/>
      </c>
      <c r="F168" t="str">
        <f>IF($K168="","",IFERROR(INDEX('Veri Merkezi'!$H$2:$H$1001,$K168),""))</f>
        <v/>
      </c>
      <c r="G168" t="str">
        <f>IF($K168="","",IFERROR(INDEX('Veri Merkezi'!$R$2:$R$1001,$K168),""))</f>
        <v/>
      </c>
      <c r="H168" t="str">
        <f>IF($K168="","",IFERROR(INDEX('Veri Merkezi'!$S$2:$S$1001,$K168),""))</f>
        <v/>
      </c>
      <c r="I168" s="2" t="str">
        <f>IF($K168="","",IFERROR(INDEX('Veri Merkezi'!$T$2:$T$1001,$K168),""))</f>
        <v/>
      </c>
      <c r="J168" t="str">
        <f>IF($K168="","",IFERROR(INDEX('Veri Merkezi'!$U$2:$U$1001,$K168),""))</f>
        <v/>
      </c>
      <c r="K168" t="str">
        <f>IF(K167="","",IFERROR(K167+MATCH("Tekrar İzle",INDEX('Veri Merkezi'!$S$2:$S$1001,K167+1):'Veri Merkezi'!$S$1001,0),""))</f>
        <v/>
      </c>
    </row>
    <row r="169" spans="1:11">
      <c r="A169" t="str">
        <f>IF($K169="","",IFERROR(INDEX('Veri Merkezi'!$A$2:$A$1001,$K169),""))</f>
        <v/>
      </c>
      <c r="B169" t="str">
        <f>IF($K169="","",IFERROR(INDEX('Veri Merkezi'!$E$2:$E$1001,$K169),""))</f>
        <v/>
      </c>
      <c r="C169" t="str">
        <f>IF($K169="","",IFERROR(INDEX('Veri Merkezi'!$D$2:$D$1001,$K169),""))</f>
        <v/>
      </c>
      <c r="D169" t="str">
        <f>IF($K169="","",IFERROR(INDEX('Veri Merkezi'!$F$2:$F$1001,$K169),""))</f>
        <v/>
      </c>
      <c r="E169" s="2" t="str">
        <f>IF($K169="","",IFERROR(INDEX('Veri Merkezi'!$G$2:$G$1001,$K169),""))</f>
        <v/>
      </c>
      <c r="F169" t="str">
        <f>IF($K169="","",IFERROR(INDEX('Veri Merkezi'!$H$2:$H$1001,$K169),""))</f>
        <v/>
      </c>
      <c r="G169" t="str">
        <f>IF($K169="","",IFERROR(INDEX('Veri Merkezi'!$R$2:$R$1001,$K169),""))</f>
        <v/>
      </c>
      <c r="H169" t="str">
        <f>IF($K169="","",IFERROR(INDEX('Veri Merkezi'!$S$2:$S$1001,$K169),""))</f>
        <v/>
      </c>
      <c r="I169" s="2" t="str">
        <f>IF($K169="","",IFERROR(INDEX('Veri Merkezi'!$T$2:$T$1001,$K169),""))</f>
        <v/>
      </c>
      <c r="J169" t="str">
        <f>IF($K169="","",IFERROR(INDEX('Veri Merkezi'!$U$2:$U$1001,$K169),""))</f>
        <v/>
      </c>
      <c r="K169" t="str">
        <f>IF(K168="","",IFERROR(K168+MATCH("Tekrar İzle",INDEX('Veri Merkezi'!$S$2:$S$1001,K168+1):'Veri Merkezi'!$S$1001,0),""))</f>
        <v/>
      </c>
    </row>
    <row r="170" spans="1:11">
      <c r="A170" t="str">
        <f>IF($K170="","",IFERROR(INDEX('Veri Merkezi'!$A$2:$A$1001,$K170),""))</f>
        <v/>
      </c>
      <c r="B170" t="str">
        <f>IF($K170="","",IFERROR(INDEX('Veri Merkezi'!$E$2:$E$1001,$K170),""))</f>
        <v/>
      </c>
      <c r="C170" t="str">
        <f>IF($K170="","",IFERROR(INDEX('Veri Merkezi'!$D$2:$D$1001,$K170),""))</f>
        <v/>
      </c>
      <c r="D170" t="str">
        <f>IF($K170="","",IFERROR(INDEX('Veri Merkezi'!$F$2:$F$1001,$K170),""))</f>
        <v/>
      </c>
      <c r="E170" s="2" t="str">
        <f>IF($K170="","",IFERROR(INDEX('Veri Merkezi'!$G$2:$G$1001,$K170),""))</f>
        <v/>
      </c>
      <c r="F170" t="str">
        <f>IF($K170="","",IFERROR(INDEX('Veri Merkezi'!$H$2:$H$1001,$K170),""))</f>
        <v/>
      </c>
      <c r="G170" t="str">
        <f>IF($K170="","",IFERROR(INDEX('Veri Merkezi'!$R$2:$R$1001,$K170),""))</f>
        <v/>
      </c>
      <c r="H170" t="str">
        <f>IF($K170="","",IFERROR(INDEX('Veri Merkezi'!$S$2:$S$1001,$K170),""))</f>
        <v/>
      </c>
      <c r="I170" s="2" t="str">
        <f>IF($K170="","",IFERROR(INDEX('Veri Merkezi'!$T$2:$T$1001,$K170),""))</f>
        <v/>
      </c>
      <c r="J170" t="str">
        <f>IF($K170="","",IFERROR(INDEX('Veri Merkezi'!$U$2:$U$1001,$K170),""))</f>
        <v/>
      </c>
      <c r="K170" t="str">
        <f>IF(K169="","",IFERROR(K169+MATCH("Tekrar İzle",INDEX('Veri Merkezi'!$S$2:$S$1001,K169+1):'Veri Merkezi'!$S$1001,0),""))</f>
        <v/>
      </c>
    </row>
    <row r="171" spans="1:11">
      <c r="A171" t="str">
        <f>IF($K171="","",IFERROR(INDEX('Veri Merkezi'!$A$2:$A$1001,$K171),""))</f>
        <v/>
      </c>
      <c r="B171" t="str">
        <f>IF($K171="","",IFERROR(INDEX('Veri Merkezi'!$E$2:$E$1001,$K171),""))</f>
        <v/>
      </c>
      <c r="C171" t="str">
        <f>IF($K171="","",IFERROR(INDEX('Veri Merkezi'!$D$2:$D$1001,$K171),""))</f>
        <v/>
      </c>
      <c r="D171" t="str">
        <f>IF($K171="","",IFERROR(INDEX('Veri Merkezi'!$F$2:$F$1001,$K171),""))</f>
        <v/>
      </c>
      <c r="E171" s="2" t="str">
        <f>IF($K171="","",IFERROR(INDEX('Veri Merkezi'!$G$2:$G$1001,$K171),""))</f>
        <v/>
      </c>
      <c r="F171" t="str">
        <f>IF($K171="","",IFERROR(INDEX('Veri Merkezi'!$H$2:$H$1001,$K171),""))</f>
        <v/>
      </c>
      <c r="G171" t="str">
        <f>IF($K171="","",IFERROR(INDEX('Veri Merkezi'!$R$2:$R$1001,$K171),""))</f>
        <v/>
      </c>
      <c r="H171" t="str">
        <f>IF($K171="","",IFERROR(INDEX('Veri Merkezi'!$S$2:$S$1001,$K171),""))</f>
        <v/>
      </c>
      <c r="I171" s="2" t="str">
        <f>IF($K171="","",IFERROR(INDEX('Veri Merkezi'!$T$2:$T$1001,$K171),""))</f>
        <v/>
      </c>
      <c r="J171" t="str">
        <f>IF($K171="","",IFERROR(INDEX('Veri Merkezi'!$U$2:$U$1001,$K171),""))</f>
        <v/>
      </c>
      <c r="K171" t="str">
        <f>IF(K170="","",IFERROR(K170+MATCH("Tekrar İzle",INDEX('Veri Merkezi'!$S$2:$S$1001,K170+1):'Veri Merkezi'!$S$1001,0),""))</f>
        <v/>
      </c>
    </row>
    <row r="172" spans="1:11">
      <c r="A172" t="str">
        <f>IF($K172="","",IFERROR(INDEX('Veri Merkezi'!$A$2:$A$1001,$K172),""))</f>
        <v/>
      </c>
      <c r="B172" t="str">
        <f>IF($K172="","",IFERROR(INDEX('Veri Merkezi'!$E$2:$E$1001,$K172),""))</f>
        <v/>
      </c>
      <c r="C172" t="str">
        <f>IF($K172="","",IFERROR(INDEX('Veri Merkezi'!$D$2:$D$1001,$K172),""))</f>
        <v/>
      </c>
      <c r="D172" t="str">
        <f>IF($K172="","",IFERROR(INDEX('Veri Merkezi'!$F$2:$F$1001,$K172),""))</f>
        <v/>
      </c>
      <c r="E172" s="2" t="str">
        <f>IF($K172="","",IFERROR(INDEX('Veri Merkezi'!$G$2:$G$1001,$K172),""))</f>
        <v/>
      </c>
      <c r="F172" t="str">
        <f>IF($K172="","",IFERROR(INDEX('Veri Merkezi'!$H$2:$H$1001,$K172),""))</f>
        <v/>
      </c>
      <c r="G172" t="str">
        <f>IF($K172="","",IFERROR(INDEX('Veri Merkezi'!$R$2:$R$1001,$K172),""))</f>
        <v/>
      </c>
      <c r="H172" t="str">
        <f>IF($K172="","",IFERROR(INDEX('Veri Merkezi'!$S$2:$S$1001,$K172),""))</f>
        <v/>
      </c>
      <c r="I172" s="2" t="str">
        <f>IF($K172="","",IFERROR(INDEX('Veri Merkezi'!$T$2:$T$1001,$K172),""))</f>
        <v/>
      </c>
      <c r="J172" t="str">
        <f>IF($K172="","",IFERROR(INDEX('Veri Merkezi'!$U$2:$U$1001,$K172),""))</f>
        <v/>
      </c>
      <c r="K172" t="str">
        <f>IF(K171="","",IFERROR(K171+MATCH("Tekrar İzle",INDEX('Veri Merkezi'!$S$2:$S$1001,K171+1):'Veri Merkezi'!$S$1001,0),""))</f>
        <v/>
      </c>
    </row>
    <row r="173" spans="1:11">
      <c r="A173" t="str">
        <f>IF($K173="","",IFERROR(INDEX('Veri Merkezi'!$A$2:$A$1001,$K173),""))</f>
        <v/>
      </c>
      <c r="B173" t="str">
        <f>IF($K173="","",IFERROR(INDEX('Veri Merkezi'!$E$2:$E$1001,$K173),""))</f>
        <v/>
      </c>
      <c r="C173" t="str">
        <f>IF($K173="","",IFERROR(INDEX('Veri Merkezi'!$D$2:$D$1001,$K173),""))</f>
        <v/>
      </c>
      <c r="D173" t="str">
        <f>IF($K173="","",IFERROR(INDEX('Veri Merkezi'!$F$2:$F$1001,$K173),""))</f>
        <v/>
      </c>
      <c r="E173" s="2" t="str">
        <f>IF($K173="","",IFERROR(INDEX('Veri Merkezi'!$G$2:$G$1001,$K173),""))</f>
        <v/>
      </c>
      <c r="F173" t="str">
        <f>IF($K173="","",IFERROR(INDEX('Veri Merkezi'!$H$2:$H$1001,$K173),""))</f>
        <v/>
      </c>
      <c r="G173" t="str">
        <f>IF($K173="","",IFERROR(INDEX('Veri Merkezi'!$R$2:$R$1001,$K173),""))</f>
        <v/>
      </c>
      <c r="H173" t="str">
        <f>IF($K173="","",IFERROR(INDEX('Veri Merkezi'!$S$2:$S$1001,$K173),""))</f>
        <v/>
      </c>
      <c r="I173" s="2" t="str">
        <f>IF($K173="","",IFERROR(INDEX('Veri Merkezi'!$T$2:$T$1001,$K173),""))</f>
        <v/>
      </c>
      <c r="J173" t="str">
        <f>IF($K173="","",IFERROR(INDEX('Veri Merkezi'!$U$2:$U$1001,$K173),""))</f>
        <v/>
      </c>
      <c r="K173" t="str">
        <f>IF(K172="","",IFERROR(K172+MATCH("Tekrar İzle",INDEX('Veri Merkezi'!$S$2:$S$1001,K172+1):'Veri Merkezi'!$S$1001,0),""))</f>
        <v/>
      </c>
    </row>
    <row r="174" spans="1:11">
      <c r="A174" t="str">
        <f>IF($K174="","",IFERROR(INDEX('Veri Merkezi'!$A$2:$A$1001,$K174),""))</f>
        <v/>
      </c>
      <c r="B174" t="str">
        <f>IF($K174="","",IFERROR(INDEX('Veri Merkezi'!$E$2:$E$1001,$K174),""))</f>
        <v/>
      </c>
      <c r="C174" t="str">
        <f>IF($K174="","",IFERROR(INDEX('Veri Merkezi'!$D$2:$D$1001,$K174),""))</f>
        <v/>
      </c>
      <c r="D174" t="str">
        <f>IF($K174="","",IFERROR(INDEX('Veri Merkezi'!$F$2:$F$1001,$K174),""))</f>
        <v/>
      </c>
      <c r="E174" s="2" t="str">
        <f>IF($K174="","",IFERROR(INDEX('Veri Merkezi'!$G$2:$G$1001,$K174),""))</f>
        <v/>
      </c>
      <c r="F174" t="str">
        <f>IF($K174="","",IFERROR(INDEX('Veri Merkezi'!$H$2:$H$1001,$K174),""))</f>
        <v/>
      </c>
      <c r="G174" t="str">
        <f>IF($K174="","",IFERROR(INDEX('Veri Merkezi'!$R$2:$R$1001,$K174),""))</f>
        <v/>
      </c>
      <c r="H174" t="str">
        <f>IF($K174="","",IFERROR(INDEX('Veri Merkezi'!$S$2:$S$1001,$K174),""))</f>
        <v/>
      </c>
      <c r="I174" s="2" t="str">
        <f>IF($K174="","",IFERROR(INDEX('Veri Merkezi'!$T$2:$T$1001,$K174),""))</f>
        <v/>
      </c>
      <c r="J174" t="str">
        <f>IF($K174="","",IFERROR(INDEX('Veri Merkezi'!$U$2:$U$1001,$K174),""))</f>
        <v/>
      </c>
      <c r="K174" t="str">
        <f>IF(K173="","",IFERROR(K173+MATCH("Tekrar İzle",INDEX('Veri Merkezi'!$S$2:$S$1001,K173+1):'Veri Merkezi'!$S$1001,0),""))</f>
        <v/>
      </c>
    </row>
    <row r="175" spans="1:11">
      <c r="A175" t="str">
        <f>IF($K175="","",IFERROR(INDEX('Veri Merkezi'!$A$2:$A$1001,$K175),""))</f>
        <v/>
      </c>
      <c r="B175" t="str">
        <f>IF($K175="","",IFERROR(INDEX('Veri Merkezi'!$E$2:$E$1001,$K175),""))</f>
        <v/>
      </c>
      <c r="C175" t="str">
        <f>IF($K175="","",IFERROR(INDEX('Veri Merkezi'!$D$2:$D$1001,$K175),""))</f>
        <v/>
      </c>
      <c r="D175" t="str">
        <f>IF($K175="","",IFERROR(INDEX('Veri Merkezi'!$F$2:$F$1001,$K175),""))</f>
        <v/>
      </c>
      <c r="E175" s="2" t="str">
        <f>IF($K175="","",IFERROR(INDEX('Veri Merkezi'!$G$2:$G$1001,$K175),""))</f>
        <v/>
      </c>
      <c r="F175" t="str">
        <f>IF($K175="","",IFERROR(INDEX('Veri Merkezi'!$H$2:$H$1001,$K175),""))</f>
        <v/>
      </c>
      <c r="G175" t="str">
        <f>IF($K175="","",IFERROR(INDEX('Veri Merkezi'!$R$2:$R$1001,$K175),""))</f>
        <v/>
      </c>
      <c r="H175" t="str">
        <f>IF($K175="","",IFERROR(INDEX('Veri Merkezi'!$S$2:$S$1001,$K175),""))</f>
        <v/>
      </c>
      <c r="I175" s="2" t="str">
        <f>IF($K175="","",IFERROR(INDEX('Veri Merkezi'!$T$2:$T$1001,$K175),""))</f>
        <v/>
      </c>
      <c r="J175" t="str">
        <f>IF($K175="","",IFERROR(INDEX('Veri Merkezi'!$U$2:$U$1001,$K175),""))</f>
        <v/>
      </c>
      <c r="K175" t="str">
        <f>IF(K174="","",IFERROR(K174+MATCH("Tekrar İzle",INDEX('Veri Merkezi'!$S$2:$S$1001,K174+1):'Veri Merkezi'!$S$1001,0),""))</f>
        <v/>
      </c>
    </row>
    <row r="176" spans="1:11">
      <c r="A176" t="str">
        <f>IF($K176="","",IFERROR(INDEX('Veri Merkezi'!$A$2:$A$1001,$K176),""))</f>
        <v/>
      </c>
      <c r="B176" t="str">
        <f>IF($K176="","",IFERROR(INDEX('Veri Merkezi'!$E$2:$E$1001,$K176),""))</f>
        <v/>
      </c>
      <c r="C176" t="str">
        <f>IF($K176="","",IFERROR(INDEX('Veri Merkezi'!$D$2:$D$1001,$K176),""))</f>
        <v/>
      </c>
      <c r="D176" t="str">
        <f>IF($K176="","",IFERROR(INDEX('Veri Merkezi'!$F$2:$F$1001,$K176),""))</f>
        <v/>
      </c>
      <c r="E176" s="2" t="str">
        <f>IF($K176="","",IFERROR(INDEX('Veri Merkezi'!$G$2:$G$1001,$K176),""))</f>
        <v/>
      </c>
      <c r="F176" t="str">
        <f>IF($K176="","",IFERROR(INDEX('Veri Merkezi'!$H$2:$H$1001,$K176),""))</f>
        <v/>
      </c>
      <c r="G176" t="str">
        <f>IF($K176="","",IFERROR(INDEX('Veri Merkezi'!$R$2:$R$1001,$K176),""))</f>
        <v/>
      </c>
      <c r="H176" t="str">
        <f>IF($K176="","",IFERROR(INDEX('Veri Merkezi'!$S$2:$S$1001,$K176),""))</f>
        <v/>
      </c>
      <c r="I176" s="2" t="str">
        <f>IF($K176="","",IFERROR(INDEX('Veri Merkezi'!$T$2:$T$1001,$K176),""))</f>
        <v/>
      </c>
      <c r="J176" t="str">
        <f>IF($K176="","",IFERROR(INDEX('Veri Merkezi'!$U$2:$U$1001,$K176),""))</f>
        <v/>
      </c>
      <c r="K176" t="str">
        <f>IF(K175="","",IFERROR(K175+MATCH("Tekrar İzle",INDEX('Veri Merkezi'!$S$2:$S$1001,K175+1):'Veri Merkezi'!$S$1001,0),""))</f>
        <v/>
      </c>
    </row>
    <row r="177" spans="1:11">
      <c r="A177" t="str">
        <f>IF($K177="","",IFERROR(INDEX('Veri Merkezi'!$A$2:$A$1001,$K177),""))</f>
        <v/>
      </c>
      <c r="B177" t="str">
        <f>IF($K177="","",IFERROR(INDEX('Veri Merkezi'!$E$2:$E$1001,$K177),""))</f>
        <v/>
      </c>
      <c r="C177" t="str">
        <f>IF($K177="","",IFERROR(INDEX('Veri Merkezi'!$D$2:$D$1001,$K177),""))</f>
        <v/>
      </c>
      <c r="D177" t="str">
        <f>IF($K177="","",IFERROR(INDEX('Veri Merkezi'!$F$2:$F$1001,$K177),""))</f>
        <v/>
      </c>
      <c r="E177" s="2" t="str">
        <f>IF($K177="","",IFERROR(INDEX('Veri Merkezi'!$G$2:$G$1001,$K177),""))</f>
        <v/>
      </c>
      <c r="F177" t="str">
        <f>IF($K177="","",IFERROR(INDEX('Veri Merkezi'!$H$2:$H$1001,$K177),""))</f>
        <v/>
      </c>
      <c r="G177" t="str">
        <f>IF($K177="","",IFERROR(INDEX('Veri Merkezi'!$R$2:$R$1001,$K177),""))</f>
        <v/>
      </c>
      <c r="H177" t="str">
        <f>IF($K177="","",IFERROR(INDEX('Veri Merkezi'!$S$2:$S$1001,$K177),""))</f>
        <v/>
      </c>
      <c r="I177" s="2" t="str">
        <f>IF($K177="","",IFERROR(INDEX('Veri Merkezi'!$T$2:$T$1001,$K177),""))</f>
        <v/>
      </c>
      <c r="J177" t="str">
        <f>IF($K177="","",IFERROR(INDEX('Veri Merkezi'!$U$2:$U$1001,$K177),""))</f>
        <v/>
      </c>
      <c r="K177" t="str">
        <f>IF(K176="","",IFERROR(K176+MATCH("Tekrar İzle",INDEX('Veri Merkezi'!$S$2:$S$1001,K176+1):'Veri Merkezi'!$S$1001,0),""))</f>
        <v/>
      </c>
    </row>
    <row r="178" spans="1:11">
      <c r="A178" t="str">
        <f>IF($K178="","",IFERROR(INDEX('Veri Merkezi'!$A$2:$A$1001,$K178),""))</f>
        <v/>
      </c>
      <c r="B178" t="str">
        <f>IF($K178="","",IFERROR(INDEX('Veri Merkezi'!$E$2:$E$1001,$K178),""))</f>
        <v/>
      </c>
      <c r="C178" t="str">
        <f>IF($K178="","",IFERROR(INDEX('Veri Merkezi'!$D$2:$D$1001,$K178),""))</f>
        <v/>
      </c>
      <c r="D178" t="str">
        <f>IF($K178="","",IFERROR(INDEX('Veri Merkezi'!$F$2:$F$1001,$K178),""))</f>
        <v/>
      </c>
      <c r="E178" s="2" t="str">
        <f>IF($K178="","",IFERROR(INDEX('Veri Merkezi'!$G$2:$G$1001,$K178),""))</f>
        <v/>
      </c>
      <c r="F178" t="str">
        <f>IF($K178="","",IFERROR(INDEX('Veri Merkezi'!$H$2:$H$1001,$K178),""))</f>
        <v/>
      </c>
      <c r="G178" t="str">
        <f>IF($K178="","",IFERROR(INDEX('Veri Merkezi'!$R$2:$R$1001,$K178),""))</f>
        <v/>
      </c>
      <c r="H178" t="str">
        <f>IF($K178="","",IFERROR(INDEX('Veri Merkezi'!$S$2:$S$1001,$K178),""))</f>
        <v/>
      </c>
      <c r="I178" s="2" t="str">
        <f>IF($K178="","",IFERROR(INDEX('Veri Merkezi'!$T$2:$T$1001,$K178),""))</f>
        <v/>
      </c>
      <c r="J178" t="str">
        <f>IF($K178="","",IFERROR(INDEX('Veri Merkezi'!$U$2:$U$1001,$K178),""))</f>
        <v/>
      </c>
      <c r="K178" t="str">
        <f>IF(K177="","",IFERROR(K177+MATCH("Tekrar İzle",INDEX('Veri Merkezi'!$S$2:$S$1001,K177+1):'Veri Merkezi'!$S$1001,0),""))</f>
        <v/>
      </c>
    </row>
    <row r="179" spans="1:11">
      <c r="A179" t="str">
        <f>IF($K179="","",IFERROR(INDEX('Veri Merkezi'!$A$2:$A$1001,$K179),""))</f>
        <v/>
      </c>
      <c r="B179" t="str">
        <f>IF($K179="","",IFERROR(INDEX('Veri Merkezi'!$E$2:$E$1001,$K179),""))</f>
        <v/>
      </c>
      <c r="C179" t="str">
        <f>IF($K179="","",IFERROR(INDEX('Veri Merkezi'!$D$2:$D$1001,$K179),""))</f>
        <v/>
      </c>
      <c r="D179" t="str">
        <f>IF($K179="","",IFERROR(INDEX('Veri Merkezi'!$F$2:$F$1001,$K179),""))</f>
        <v/>
      </c>
      <c r="E179" s="2" t="str">
        <f>IF($K179="","",IFERROR(INDEX('Veri Merkezi'!$G$2:$G$1001,$K179),""))</f>
        <v/>
      </c>
      <c r="F179" t="str">
        <f>IF($K179="","",IFERROR(INDEX('Veri Merkezi'!$H$2:$H$1001,$K179),""))</f>
        <v/>
      </c>
      <c r="G179" t="str">
        <f>IF($K179="","",IFERROR(INDEX('Veri Merkezi'!$R$2:$R$1001,$K179),""))</f>
        <v/>
      </c>
      <c r="H179" t="str">
        <f>IF($K179="","",IFERROR(INDEX('Veri Merkezi'!$S$2:$S$1001,$K179),""))</f>
        <v/>
      </c>
      <c r="I179" s="2" t="str">
        <f>IF($K179="","",IFERROR(INDEX('Veri Merkezi'!$T$2:$T$1001,$K179),""))</f>
        <v/>
      </c>
      <c r="J179" t="str">
        <f>IF($K179="","",IFERROR(INDEX('Veri Merkezi'!$U$2:$U$1001,$K179),""))</f>
        <v/>
      </c>
      <c r="K179" t="str">
        <f>IF(K178="","",IFERROR(K178+MATCH("Tekrar İzle",INDEX('Veri Merkezi'!$S$2:$S$1001,K178+1):'Veri Merkezi'!$S$1001,0),""))</f>
        <v/>
      </c>
    </row>
    <row r="180" spans="1:11">
      <c r="A180" t="str">
        <f>IF($K180="","",IFERROR(INDEX('Veri Merkezi'!$A$2:$A$1001,$K180),""))</f>
        <v/>
      </c>
      <c r="B180" t="str">
        <f>IF($K180="","",IFERROR(INDEX('Veri Merkezi'!$E$2:$E$1001,$K180),""))</f>
        <v/>
      </c>
      <c r="C180" t="str">
        <f>IF($K180="","",IFERROR(INDEX('Veri Merkezi'!$D$2:$D$1001,$K180),""))</f>
        <v/>
      </c>
      <c r="D180" t="str">
        <f>IF($K180="","",IFERROR(INDEX('Veri Merkezi'!$F$2:$F$1001,$K180),""))</f>
        <v/>
      </c>
      <c r="E180" s="2" t="str">
        <f>IF($K180="","",IFERROR(INDEX('Veri Merkezi'!$G$2:$G$1001,$K180),""))</f>
        <v/>
      </c>
      <c r="F180" t="str">
        <f>IF($K180="","",IFERROR(INDEX('Veri Merkezi'!$H$2:$H$1001,$K180),""))</f>
        <v/>
      </c>
      <c r="G180" t="str">
        <f>IF($K180="","",IFERROR(INDEX('Veri Merkezi'!$R$2:$R$1001,$K180),""))</f>
        <v/>
      </c>
      <c r="H180" t="str">
        <f>IF($K180="","",IFERROR(INDEX('Veri Merkezi'!$S$2:$S$1001,$K180),""))</f>
        <v/>
      </c>
      <c r="I180" s="2" t="str">
        <f>IF($K180="","",IFERROR(INDEX('Veri Merkezi'!$T$2:$T$1001,$K180),""))</f>
        <v/>
      </c>
      <c r="J180" t="str">
        <f>IF($K180="","",IFERROR(INDEX('Veri Merkezi'!$U$2:$U$1001,$K180),""))</f>
        <v/>
      </c>
      <c r="K180" t="str">
        <f>IF(K179="","",IFERROR(K179+MATCH("Tekrar İzle",INDEX('Veri Merkezi'!$S$2:$S$1001,K179+1):'Veri Merkezi'!$S$1001,0),""))</f>
        <v/>
      </c>
    </row>
    <row r="181" spans="1:11">
      <c r="A181" t="str">
        <f>IF($K181="","",IFERROR(INDEX('Veri Merkezi'!$A$2:$A$1001,$K181),""))</f>
        <v/>
      </c>
      <c r="B181" t="str">
        <f>IF($K181="","",IFERROR(INDEX('Veri Merkezi'!$E$2:$E$1001,$K181),""))</f>
        <v/>
      </c>
      <c r="C181" t="str">
        <f>IF($K181="","",IFERROR(INDEX('Veri Merkezi'!$D$2:$D$1001,$K181),""))</f>
        <v/>
      </c>
      <c r="D181" t="str">
        <f>IF($K181="","",IFERROR(INDEX('Veri Merkezi'!$F$2:$F$1001,$K181),""))</f>
        <v/>
      </c>
      <c r="E181" s="2" t="str">
        <f>IF($K181="","",IFERROR(INDEX('Veri Merkezi'!$G$2:$G$1001,$K181),""))</f>
        <v/>
      </c>
      <c r="F181" t="str">
        <f>IF($K181="","",IFERROR(INDEX('Veri Merkezi'!$H$2:$H$1001,$K181),""))</f>
        <v/>
      </c>
      <c r="G181" t="str">
        <f>IF($K181="","",IFERROR(INDEX('Veri Merkezi'!$R$2:$R$1001,$K181),""))</f>
        <v/>
      </c>
      <c r="H181" t="str">
        <f>IF($K181="","",IFERROR(INDEX('Veri Merkezi'!$S$2:$S$1001,$K181),""))</f>
        <v/>
      </c>
      <c r="I181" s="2" t="str">
        <f>IF($K181="","",IFERROR(INDEX('Veri Merkezi'!$T$2:$T$1001,$K181),""))</f>
        <v/>
      </c>
      <c r="J181" t="str">
        <f>IF($K181="","",IFERROR(INDEX('Veri Merkezi'!$U$2:$U$1001,$K181),""))</f>
        <v/>
      </c>
      <c r="K181" t="str">
        <f>IF(K180="","",IFERROR(K180+MATCH("Tekrar İzle",INDEX('Veri Merkezi'!$S$2:$S$1001,K180+1):'Veri Merkezi'!$S$1001,0),""))</f>
        <v/>
      </c>
    </row>
    <row r="182" spans="1:11">
      <c r="A182" t="str">
        <f>IF($K182="","",IFERROR(INDEX('Veri Merkezi'!$A$2:$A$1001,$K182),""))</f>
        <v/>
      </c>
      <c r="B182" t="str">
        <f>IF($K182="","",IFERROR(INDEX('Veri Merkezi'!$E$2:$E$1001,$K182),""))</f>
        <v/>
      </c>
      <c r="C182" t="str">
        <f>IF($K182="","",IFERROR(INDEX('Veri Merkezi'!$D$2:$D$1001,$K182),""))</f>
        <v/>
      </c>
      <c r="D182" t="str">
        <f>IF($K182="","",IFERROR(INDEX('Veri Merkezi'!$F$2:$F$1001,$K182),""))</f>
        <v/>
      </c>
      <c r="E182" s="2" t="str">
        <f>IF($K182="","",IFERROR(INDEX('Veri Merkezi'!$G$2:$G$1001,$K182),""))</f>
        <v/>
      </c>
      <c r="F182" t="str">
        <f>IF($K182="","",IFERROR(INDEX('Veri Merkezi'!$H$2:$H$1001,$K182),""))</f>
        <v/>
      </c>
      <c r="G182" t="str">
        <f>IF($K182="","",IFERROR(INDEX('Veri Merkezi'!$R$2:$R$1001,$K182),""))</f>
        <v/>
      </c>
      <c r="H182" t="str">
        <f>IF($K182="","",IFERROR(INDEX('Veri Merkezi'!$S$2:$S$1001,$K182),""))</f>
        <v/>
      </c>
      <c r="I182" s="2" t="str">
        <f>IF($K182="","",IFERROR(INDEX('Veri Merkezi'!$T$2:$T$1001,$K182),""))</f>
        <v/>
      </c>
      <c r="J182" t="str">
        <f>IF($K182="","",IFERROR(INDEX('Veri Merkezi'!$U$2:$U$1001,$K182),""))</f>
        <v/>
      </c>
      <c r="K182" t="str">
        <f>IF(K181="","",IFERROR(K181+MATCH("Tekrar İzle",INDEX('Veri Merkezi'!$S$2:$S$1001,K181+1):'Veri Merkezi'!$S$1001,0),""))</f>
        <v/>
      </c>
    </row>
    <row r="183" spans="1:11">
      <c r="A183" t="str">
        <f>IF($K183="","",IFERROR(INDEX('Veri Merkezi'!$A$2:$A$1001,$K183),""))</f>
        <v/>
      </c>
      <c r="B183" t="str">
        <f>IF($K183="","",IFERROR(INDEX('Veri Merkezi'!$E$2:$E$1001,$K183),""))</f>
        <v/>
      </c>
      <c r="C183" t="str">
        <f>IF($K183="","",IFERROR(INDEX('Veri Merkezi'!$D$2:$D$1001,$K183),""))</f>
        <v/>
      </c>
      <c r="D183" t="str">
        <f>IF($K183="","",IFERROR(INDEX('Veri Merkezi'!$F$2:$F$1001,$K183),""))</f>
        <v/>
      </c>
      <c r="E183" s="2" t="str">
        <f>IF($K183="","",IFERROR(INDEX('Veri Merkezi'!$G$2:$G$1001,$K183),""))</f>
        <v/>
      </c>
      <c r="F183" t="str">
        <f>IF($K183="","",IFERROR(INDEX('Veri Merkezi'!$H$2:$H$1001,$K183),""))</f>
        <v/>
      </c>
      <c r="G183" t="str">
        <f>IF($K183="","",IFERROR(INDEX('Veri Merkezi'!$R$2:$R$1001,$K183),""))</f>
        <v/>
      </c>
      <c r="H183" t="str">
        <f>IF($K183="","",IFERROR(INDEX('Veri Merkezi'!$S$2:$S$1001,$K183),""))</f>
        <v/>
      </c>
      <c r="I183" s="2" t="str">
        <f>IF($K183="","",IFERROR(INDEX('Veri Merkezi'!$T$2:$T$1001,$K183),""))</f>
        <v/>
      </c>
      <c r="J183" t="str">
        <f>IF($K183="","",IFERROR(INDEX('Veri Merkezi'!$U$2:$U$1001,$K183),""))</f>
        <v/>
      </c>
      <c r="K183" t="str">
        <f>IF(K182="","",IFERROR(K182+MATCH("Tekrar İzle",INDEX('Veri Merkezi'!$S$2:$S$1001,K182+1):'Veri Merkezi'!$S$1001,0),""))</f>
        <v/>
      </c>
    </row>
    <row r="184" spans="1:11">
      <c r="A184" t="str">
        <f>IF($K184="","",IFERROR(INDEX('Veri Merkezi'!$A$2:$A$1001,$K184),""))</f>
        <v/>
      </c>
      <c r="B184" t="str">
        <f>IF($K184="","",IFERROR(INDEX('Veri Merkezi'!$E$2:$E$1001,$K184),""))</f>
        <v/>
      </c>
      <c r="C184" t="str">
        <f>IF($K184="","",IFERROR(INDEX('Veri Merkezi'!$D$2:$D$1001,$K184),""))</f>
        <v/>
      </c>
      <c r="D184" t="str">
        <f>IF($K184="","",IFERROR(INDEX('Veri Merkezi'!$F$2:$F$1001,$K184),""))</f>
        <v/>
      </c>
      <c r="E184" s="2" t="str">
        <f>IF($K184="","",IFERROR(INDEX('Veri Merkezi'!$G$2:$G$1001,$K184),""))</f>
        <v/>
      </c>
      <c r="F184" t="str">
        <f>IF($K184="","",IFERROR(INDEX('Veri Merkezi'!$H$2:$H$1001,$K184),""))</f>
        <v/>
      </c>
      <c r="G184" t="str">
        <f>IF($K184="","",IFERROR(INDEX('Veri Merkezi'!$R$2:$R$1001,$K184),""))</f>
        <v/>
      </c>
      <c r="H184" t="str">
        <f>IF($K184="","",IFERROR(INDEX('Veri Merkezi'!$S$2:$S$1001,$K184),""))</f>
        <v/>
      </c>
      <c r="I184" s="2" t="str">
        <f>IF($K184="","",IFERROR(INDEX('Veri Merkezi'!$T$2:$T$1001,$K184),""))</f>
        <v/>
      </c>
      <c r="J184" t="str">
        <f>IF($K184="","",IFERROR(INDEX('Veri Merkezi'!$U$2:$U$1001,$K184),""))</f>
        <v/>
      </c>
      <c r="K184" t="str">
        <f>IF(K183="","",IFERROR(K183+MATCH("Tekrar İzle",INDEX('Veri Merkezi'!$S$2:$S$1001,K183+1):'Veri Merkezi'!$S$1001,0),""))</f>
        <v/>
      </c>
    </row>
    <row r="185" spans="1:11">
      <c r="A185" t="str">
        <f>IF($K185="","",IFERROR(INDEX('Veri Merkezi'!$A$2:$A$1001,$K185),""))</f>
        <v/>
      </c>
      <c r="B185" t="str">
        <f>IF($K185="","",IFERROR(INDEX('Veri Merkezi'!$E$2:$E$1001,$K185),""))</f>
        <v/>
      </c>
      <c r="C185" t="str">
        <f>IF($K185="","",IFERROR(INDEX('Veri Merkezi'!$D$2:$D$1001,$K185),""))</f>
        <v/>
      </c>
      <c r="D185" t="str">
        <f>IF($K185="","",IFERROR(INDEX('Veri Merkezi'!$F$2:$F$1001,$K185),""))</f>
        <v/>
      </c>
      <c r="E185" s="2" t="str">
        <f>IF($K185="","",IFERROR(INDEX('Veri Merkezi'!$G$2:$G$1001,$K185),""))</f>
        <v/>
      </c>
      <c r="F185" t="str">
        <f>IF($K185="","",IFERROR(INDEX('Veri Merkezi'!$H$2:$H$1001,$K185),""))</f>
        <v/>
      </c>
      <c r="G185" t="str">
        <f>IF($K185="","",IFERROR(INDEX('Veri Merkezi'!$R$2:$R$1001,$K185),""))</f>
        <v/>
      </c>
      <c r="H185" t="str">
        <f>IF($K185="","",IFERROR(INDEX('Veri Merkezi'!$S$2:$S$1001,$K185),""))</f>
        <v/>
      </c>
      <c r="I185" s="2" t="str">
        <f>IF($K185="","",IFERROR(INDEX('Veri Merkezi'!$T$2:$T$1001,$K185),""))</f>
        <v/>
      </c>
      <c r="J185" t="str">
        <f>IF($K185="","",IFERROR(INDEX('Veri Merkezi'!$U$2:$U$1001,$K185),""))</f>
        <v/>
      </c>
      <c r="K185" t="str">
        <f>IF(K184="","",IFERROR(K184+MATCH("Tekrar İzle",INDEX('Veri Merkezi'!$S$2:$S$1001,K184+1):'Veri Merkezi'!$S$1001,0),""))</f>
        <v/>
      </c>
    </row>
    <row r="186" spans="1:11">
      <c r="A186" t="str">
        <f>IF($K186="","",IFERROR(INDEX('Veri Merkezi'!$A$2:$A$1001,$K186),""))</f>
        <v/>
      </c>
      <c r="B186" t="str">
        <f>IF($K186="","",IFERROR(INDEX('Veri Merkezi'!$E$2:$E$1001,$K186),""))</f>
        <v/>
      </c>
      <c r="C186" t="str">
        <f>IF($K186="","",IFERROR(INDEX('Veri Merkezi'!$D$2:$D$1001,$K186),""))</f>
        <v/>
      </c>
      <c r="D186" t="str">
        <f>IF($K186="","",IFERROR(INDEX('Veri Merkezi'!$F$2:$F$1001,$K186),""))</f>
        <v/>
      </c>
      <c r="E186" s="2" t="str">
        <f>IF($K186="","",IFERROR(INDEX('Veri Merkezi'!$G$2:$G$1001,$K186),""))</f>
        <v/>
      </c>
      <c r="F186" t="str">
        <f>IF($K186="","",IFERROR(INDEX('Veri Merkezi'!$H$2:$H$1001,$K186),""))</f>
        <v/>
      </c>
      <c r="G186" t="str">
        <f>IF($K186="","",IFERROR(INDEX('Veri Merkezi'!$R$2:$R$1001,$K186),""))</f>
        <v/>
      </c>
      <c r="H186" t="str">
        <f>IF($K186="","",IFERROR(INDEX('Veri Merkezi'!$S$2:$S$1001,$K186),""))</f>
        <v/>
      </c>
      <c r="I186" s="2" t="str">
        <f>IF($K186="","",IFERROR(INDEX('Veri Merkezi'!$T$2:$T$1001,$K186),""))</f>
        <v/>
      </c>
      <c r="J186" t="str">
        <f>IF($K186="","",IFERROR(INDEX('Veri Merkezi'!$U$2:$U$1001,$K186),""))</f>
        <v/>
      </c>
      <c r="K186" t="str">
        <f>IF(K185="","",IFERROR(K185+MATCH("Tekrar İzle",INDEX('Veri Merkezi'!$S$2:$S$1001,K185+1):'Veri Merkezi'!$S$1001,0),""))</f>
        <v/>
      </c>
    </row>
    <row r="187" spans="1:11">
      <c r="A187" t="str">
        <f>IF($K187="","",IFERROR(INDEX('Veri Merkezi'!$A$2:$A$1001,$K187),""))</f>
        <v/>
      </c>
      <c r="B187" t="str">
        <f>IF($K187="","",IFERROR(INDEX('Veri Merkezi'!$E$2:$E$1001,$K187),""))</f>
        <v/>
      </c>
      <c r="C187" t="str">
        <f>IF($K187="","",IFERROR(INDEX('Veri Merkezi'!$D$2:$D$1001,$K187),""))</f>
        <v/>
      </c>
      <c r="D187" t="str">
        <f>IF($K187="","",IFERROR(INDEX('Veri Merkezi'!$F$2:$F$1001,$K187),""))</f>
        <v/>
      </c>
      <c r="E187" s="2" t="str">
        <f>IF($K187="","",IFERROR(INDEX('Veri Merkezi'!$G$2:$G$1001,$K187),""))</f>
        <v/>
      </c>
      <c r="F187" t="str">
        <f>IF($K187="","",IFERROR(INDEX('Veri Merkezi'!$H$2:$H$1001,$K187),""))</f>
        <v/>
      </c>
      <c r="G187" t="str">
        <f>IF($K187="","",IFERROR(INDEX('Veri Merkezi'!$R$2:$R$1001,$K187),""))</f>
        <v/>
      </c>
      <c r="H187" t="str">
        <f>IF($K187="","",IFERROR(INDEX('Veri Merkezi'!$S$2:$S$1001,$K187),""))</f>
        <v/>
      </c>
      <c r="I187" s="2" t="str">
        <f>IF($K187="","",IFERROR(INDEX('Veri Merkezi'!$T$2:$T$1001,$K187),""))</f>
        <v/>
      </c>
      <c r="J187" t="str">
        <f>IF($K187="","",IFERROR(INDEX('Veri Merkezi'!$U$2:$U$1001,$K187),""))</f>
        <v/>
      </c>
      <c r="K187" t="str">
        <f>IF(K186="","",IFERROR(K186+MATCH("Tekrar İzle",INDEX('Veri Merkezi'!$S$2:$S$1001,K186+1):'Veri Merkezi'!$S$1001,0),""))</f>
        <v/>
      </c>
    </row>
    <row r="188" spans="1:11">
      <c r="A188" t="str">
        <f>IF($K188="","",IFERROR(INDEX('Veri Merkezi'!$A$2:$A$1001,$K188),""))</f>
        <v/>
      </c>
      <c r="B188" t="str">
        <f>IF($K188="","",IFERROR(INDEX('Veri Merkezi'!$E$2:$E$1001,$K188),""))</f>
        <v/>
      </c>
      <c r="C188" t="str">
        <f>IF($K188="","",IFERROR(INDEX('Veri Merkezi'!$D$2:$D$1001,$K188),""))</f>
        <v/>
      </c>
      <c r="D188" t="str">
        <f>IF($K188="","",IFERROR(INDEX('Veri Merkezi'!$F$2:$F$1001,$K188),""))</f>
        <v/>
      </c>
      <c r="E188" s="2" t="str">
        <f>IF($K188="","",IFERROR(INDEX('Veri Merkezi'!$G$2:$G$1001,$K188),""))</f>
        <v/>
      </c>
      <c r="F188" t="str">
        <f>IF($K188="","",IFERROR(INDEX('Veri Merkezi'!$H$2:$H$1001,$K188),""))</f>
        <v/>
      </c>
      <c r="G188" t="str">
        <f>IF($K188="","",IFERROR(INDEX('Veri Merkezi'!$R$2:$R$1001,$K188),""))</f>
        <v/>
      </c>
      <c r="H188" t="str">
        <f>IF($K188="","",IFERROR(INDEX('Veri Merkezi'!$S$2:$S$1001,$K188),""))</f>
        <v/>
      </c>
      <c r="I188" s="2" t="str">
        <f>IF($K188="","",IFERROR(INDEX('Veri Merkezi'!$T$2:$T$1001,$K188),""))</f>
        <v/>
      </c>
      <c r="J188" t="str">
        <f>IF($K188="","",IFERROR(INDEX('Veri Merkezi'!$U$2:$U$1001,$K188),""))</f>
        <v/>
      </c>
      <c r="K188" t="str">
        <f>IF(K187="","",IFERROR(K187+MATCH("Tekrar İzle",INDEX('Veri Merkezi'!$S$2:$S$1001,K187+1):'Veri Merkezi'!$S$1001,0),""))</f>
        <v/>
      </c>
    </row>
    <row r="189" spans="1:11">
      <c r="A189" t="str">
        <f>IF($K189="","",IFERROR(INDEX('Veri Merkezi'!$A$2:$A$1001,$K189),""))</f>
        <v/>
      </c>
      <c r="B189" t="str">
        <f>IF($K189="","",IFERROR(INDEX('Veri Merkezi'!$E$2:$E$1001,$K189),""))</f>
        <v/>
      </c>
      <c r="C189" t="str">
        <f>IF($K189="","",IFERROR(INDEX('Veri Merkezi'!$D$2:$D$1001,$K189),""))</f>
        <v/>
      </c>
      <c r="D189" t="str">
        <f>IF($K189="","",IFERROR(INDEX('Veri Merkezi'!$F$2:$F$1001,$K189),""))</f>
        <v/>
      </c>
      <c r="E189" s="2" t="str">
        <f>IF($K189="","",IFERROR(INDEX('Veri Merkezi'!$G$2:$G$1001,$K189),""))</f>
        <v/>
      </c>
      <c r="F189" t="str">
        <f>IF($K189="","",IFERROR(INDEX('Veri Merkezi'!$H$2:$H$1001,$K189),""))</f>
        <v/>
      </c>
      <c r="G189" t="str">
        <f>IF($K189="","",IFERROR(INDEX('Veri Merkezi'!$R$2:$R$1001,$K189),""))</f>
        <v/>
      </c>
      <c r="H189" t="str">
        <f>IF($K189="","",IFERROR(INDEX('Veri Merkezi'!$S$2:$S$1001,$K189),""))</f>
        <v/>
      </c>
      <c r="I189" s="2" t="str">
        <f>IF($K189="","",IFERROR(INDEX('Veri Merkezi'!$T$2:$T$1001,$K189),""))</f>
        <v/>
      </c>
      <c r="J189" t="str">
        <f>IF($K189="","",IFERROR(INDEX('Veri Merkezi'!$U$2:$U$1001,$K189),""))</f>
        <v/>
      </c>
      <c r="K189" t="str">
        <f>IF(K188="","",IFERROR(K188+MATCH("Tekrar İzle",INDEX('Veri Merkezi'!$S$2:$S$1001,K188+1):'Veri Merkezi'!$S$1001,0),""))</f>
        <v/>
      </c>
    </row>
    <row r="190" spans="1:11">
      <c r="A190" t="str">
        <f>IF($K190="","",IFERROR(INDEX('Veri Merkezi'!$A$2:$A$1001,$K190),""))</f>
        <v/>
      </c>
      <c r="B190" t="str">
        <f>IF($K190="","",IFERROR(INDEX('Veri Merkezi'!$E$2:$E$1001,$K190),""))</f>
        <v/>
      </c>
      <c r="C190" t="str">
        <f>IF($K190="","",IFERROR(INDEX('Veri Merkezi'!$D$2:$D$1001,$K190),""))</f>
        <v/>
      </c>
      <c r="D190" t="str">
        <f>IF($K190="","",IFERROR(INDEX('Veri Merkezi'!$F$2:$F$1001,$K190),""))</f>
        <v/>
      </c>
      <c r="E190" s="2" t="str">
        <f>IF($K190="","",IFERROR(INDEX('Veri Merkezi'!$G$2:$G$1001,$K190),""))</f>
        <v/>
      </c>
      <c r="F190" t="str">
        <f>IF($K190="","",IFERROR(INDEX('Veri Merkezi'!$H$2:$H$1001,$K190),""))</f>
        <v/>
      </c>
      <c r="G190" t="str">
        <f>IF($K190="","",IFERROR(INDEX('Veri Merkezi'!$R$2:$R$1001,$K190),""))</f>
        <v/>
      </c>
      <c r="H190" t="str">
        <f>IF($K190="","",IFERROR(INDEX('Veri Merkezi'!$S$2:$S$1001,$K190),""))</f>
        <v/>
      </c>
      <c r="I190" s="2" t="str">
        <f>IF($K190="","",IFERROR(INDEX('Veri Merkezi'!$T$2:$T$1001,$K190),""))</f>
        <v/>
      </c>
      <c r="J190" t="str">
        <f>IF($K190="","",IFERROR(INDEX('Veri Merkezi'!$U$2:$U$1001,$K190),""))</f>
        <v/>
      </c>
      <c r="K190" t="str">
        <f>IF(K189="","",IFERROR(K189+MATCH("Tekrar İzle",INDEX('Veri Merkezi'!$S$2:$S$1001,K189+1):'Veri Merkezi'!$S$1001,0),""))</f>
        <v/>
      </c>
    </row>
    <row r="191" spans="1:11">
      <c r="A191" t="str">
        <f>IF($K191="","",IFERROR(INDEX('Veri Merkezi'!$A$2:$A$1001,$K191),""))</f>
        <v/>
      </c>
      <c r="B191" t="str">
        <f>IF($K191="","",IFERROR(INDEX('Veri Merkezi'!$E$2:$E$1001,$K191),""))</f>
        <v/>
      </c>
      <c r="C191" t="str">
        <f>IF($K191="","",IFERROR(INDEX('Veri Merkezi'!$D$2:$D$1001,$K191),""))</f>
        <v/>
      </c>
      <c r="D191" t="str">
        <f>IF($K191="","",IFERROR(INDEX('Veri Merkezi'!$F$2:$F$1001,$K191),""))</f>
        <v/>
      </c>
      <c r="E191" s="2" t="str">
        <f>IF($K191="","",IFERROR(INDEX('Veri Merkezi'!$G$2:$G$1001,$K191),""))</f>
        <v/>
      </c>
      <c r="F191" t="str">
        <f>IF($K191="","",IFERROR(INDEX('Veri Merkezi'!$H$2:$H$1001,$K191),""))</f>
        <v/>
      </c>
      <c r="G191" t="str">
        <f>IF($K191="","",IFERROR(INDEX('Veri Merkezi'!$R$2:$R$1001,$K191),""))</f>
        <v/>
      </c>
      <c r="H191" t="str">
        <f>IF($K191="","",IFERROR(INDEX('Veri Merkezi'!$S$2:$S$1001,$K191),""))</f>
        <v/>
      </c>
      <c r="I191" s="2" t="str">
        <f>IF($K191="","",IFERROR(INDEX('Veri Merkezi'!$T$2:$T$1001,$K191),""))</f>
        <v/>
      </c>
      <c r="J191" t="str">
        <f>IF($K191="","",IFERROR(INDEX('Veri Merkezi'!$U$2:$U$1001,$K191),""))</f>
        <v/>
      </c>
      <c r="K191" t="str">
        <f>IF(K190="","",IFERROR(K190+MATCH("Tekrar İzle",INDEX('Veri Merkezi'!$S$2:$S$1001,K190+1):'Veri Merkezi'!$S$1001,0),""))</f>
        <v/>
      </c>
    </row>
    <row r="192" spans="1:11">
      <c r="A192" t="str">
        <f>IF($K192="","",IFERROR(INDEX('Veri Merkezi'!$A$2:$A$1001,$K192),""))</f>
        <v/>
      </c>
      <c r="B192" t="str">
        <f>IF($K192="","",IFERROR(INDEX('Veri Merkezi'!$E$2:$E$1001,$K192),""))</f>
        <v/>
      </c>
      <c r="C192" t="str">
        <f>IF($K192="","",IFERROR(INDEX('Veri Merkezi'!$D$2:$D$1001,$K192),""))</f>
        <v/>
      </c>
      <c r="D192" t="str">
        <f>IF($K192="","",IFERROR(INDEX('Veri Merkezi'!$F$2:$F$1001,$K192),""))</f>
        <v/>
      </c>
      <c r="E192" s="2" t="str">
        <f>IF($K192="","",IFERROR(INDEX('Veri Merkezi'!$G$2:$G$1001,$K192),""))</f>
        <v/>
      </c>
      <c r="F192" t="str">
        <f>IF($K192="","",IFERROR(INDEX('Veri Merkezi'!$H$2:$H$1001,$K192),""))</f>
        <v/>
      </c>
      <c r="G192" t="str">
        <f>IF($K192="","",IFERROR(INDEX('Veri Merkezi'!$R$2:$R$1001,$K192),""))</f>
        <v/>
      </c>
      <c r="H192" t="str">
        <f>IF($K192="","",IFERROR(INDEX('Veri Merkezi'!$S$2:$S$1001,$K192),""))</f>
        <v/>
      </c>
      <c r="I192" s="2" t="str">
        <f>IF($K192="","",IFERROR(INDEX('Veri Merkezi'!$T$2:$T$1001,$K192),""))</f>
        <v/>
      </c>
      <c r="J192" t="str">
        <f>IF($K192="","",IFERROR(INDEX('Veri Merkezi'!$U$2:$U$1001,$K192),""))</f>
        <v/>
      </c>
      <c r="K192" t="str">
        <f>IF(K191="","",IFERROR(K191+MATCH("Tekrar İzle",INDEX('Veri Merkezi'!$S$2:$S$1001,K191+1):'Veri Merkezi'!$S$1001,0),""))</f>
        <v/>
      </c>
    </row>
    <row r="193" spans="1:11">
      <c r="A193" t="str">
        <f>IF($K193="","",IFERROR(INDEX('Veri Merkezi'!$A$2:$A$1001,$K193),""))</f>
        <v/>
      </c>
      <c r="B193" t="str">
        <f>IF($K193="","",IFERROR(INDEX('Veri Merkezi'!$E$2:$E$1001,$K193),""))</f>
        <v/>
      </c>
      <c r="C193" t="str">
        <f>IF($K193="","",IFERROR(INDEX('Veri Merkezi'!$D$2:$D$1001,$K193),""))</f>
        <v/>
      </c>
      <c r="D193" t="str">
        <f>IF($K193="","",IFERROR(INDEX('Veri Merkezi'!$F$2:$F$1001,$K193),""))</f>
        <v/>
      </c>
      <c r="E193" s="2" t="str">
        <f>IF($K193="","",IFERROR(INDEX('Veri Merkezi'!$G$2:$G$1001,$K193),""))</f>
        <v/>
      </c>
      <c r="F193" t="str">
        <f>IF($K193="","",IFERROR(INDEX('Veri Merkezi'!$H$2:$H$1001,$K193),""))</f>
        <v/>
      </c>
      <c r="G193" t="str">
        <f>IF($K193="","",IFERROR(INDEX('Veri Merkezi'!$R$2:$R$1001,$K193),""))</f>
        <v/>
      </c>
      <c r="H193" t="str">
        <f>IF($K193="","",IFERROR(INDEX('Veri Merkezi'!$S$2:$S$1001,$K193),""))</f>
        <v/>
      </c>
      <c r="I193" s="2" t="str">
        <f>IF($K193="","",IFERROR(INDEX('Veri Merkezi'!$T$2:$T$1001,$K193),""))</f>
        <v/>
      </c>
      <c r="J193" t="str">
        <f>IF($K193="","",IFERROR(INDEX('Veri Merkezi'!$U$2:$U$1001,$K193),""))</f>
        <v/>
      </c>
      <c r="K193" t="str">
        <f>IF(K192="","",IFERROR(K192+MATCH("Tekrar İzle",INDEX('Veri Merkezi'!$S$2:$S$1001,K192+1):'Veri Merkezi'!$S$1001,0),""))</f>
        <v/>
      </c>
    </row>
    <row r="194" spans="1:11">
      <c r="A194" t="str">
        <f>IF($K194="","",IFERROR(INDEX('Veri Merkezi'!$A$2:$A$1001,$K194),""))</f>
        <v/>
      </c>
      <c r="B194" t="str">
        <f>IF($K194="","",IFERROR(INDEX('Veri Merkezi'!$E$2:$E$1001,$K194),""))</f>
        <v/>
      </c>
      <c r="C194" t="str">
        <f>IF($K194="","",IFERROR(INDEX('Veri Merkezi'!$D$2:$D$1001,$K194),""))</f>
        <v/>
      </c>
      <c r="D194" t="str">
        <f>IF($K194="","",IFERROR(INDEX('Veri Merkezi'!$F$2:$F$1001,$K194),""))</f>
        <v/>
      </c>
      <c r="E194" s="2" t="str">
        <f>IF($K194="","",IFERROR(INDEX('Veri Merkezi'!$G$2:$G$1001,$K194),""))</f>
        <v/>
      </c>
      <c r="F194" t="str">
        <f>IF($K194="","",IFERROR(INDEX('Veri Merkezi'!$H$2:$H$1001,$K194),""))</f>
        <v/>
      </c>
      <c r="G194" t="str">
        <f>IF($K194="","",IFERROR(INDEX('Veri Merkezi'!$R$2:$R$1001,$K194),""))</f>
        <v/>
      </c>
      <c r="H194" t="str">
        <f>IF($K194="","",IFERROR(INDEX('Veri Merkezi'!$S$2:$S$1001,$K194),""))</f>
        <v/>
      </c>
      <c r="I194" s="2" t="str">
        <f>IF($K194="","",IFERROR(INDEX('Veri Merkezi'!$T$2:$T$1001,$K194),""))</f>
        <v/>
      </c>
      <c r="J194" t="str">
        <f>IF($K194="","",IFERROR(INDEX('Veri Merkezi'!$U$2:$U$1001,$K194),""))</f>
        <v/>
      </c>
      <c r="K194" t="str">
        <f>IF(K193="","",IFERROR(K193+MATCH("Tekrar İzle",INDEX('Veri Merkezi'!$S$2:$S$1001,K193+1):'Veri Merkezi'!$S$1001,0),""))</f>
        <v/>
      </c>
    </row>
    <row r="195" spans="1:11">
      <c r="A195" t="str">
        <f>IF($K195="","",IFERROR(INDEX('Veri Merkezi'!$A$2:$A$1001,$K195),""))</f>
        <v/>
      </c>
      <c r="B195" t="str">
        <f>IF($K195="","",IFERROR(INDEX('Veri Merkezi'!$E$2:$E$1001,$K195),""))</f>
        <v/>
      </c>
      <c r="C195" t="str">
        <f>IF($K195="","",IFERROR(INDEX('Veri Merkezi'!$D$2:$D$1001,$K195),""))</f>
        <v/>
      </c>
      <c r="D195" t="str">
        <f>IF($K195="","",IFERROR(INDEX('Veri Merkezi'!$F$2:$F$1001,$K195),""))</f>
        <v/>
      </c>
      <c r="E195" s="2" t="str">
        <f>IF($K195="","",IFERROR(INDEX('Veri Merkezi'!$G$2:$G$1001,$K195),""))</f>
        <v/>
      </c>
      <c r="F195" t="str">
        <f>IF($K195="","",IFERROR(INDEX('Veri Merkezi'!$H$2:$H$1001,$K195),""))</f>
        <v/>
      </c>
      <c r="G195" t="str">
        <f>IF($K195="","",IFERROR(INDEX('Veri Merkezi'!$R$2:$R$1001,$K195),""))</f>
        <v/>
      </c>
      <c r="H195" t="str">
        <f>IF($K195="","",IFERROR(INDEX('Veri Merkezi'!$S$2:$S$1001,$K195),""))</f>
        <v/>
      </c>
      <c r="I195" s="2" t="str">
        <f>IF($K195="","",IFERROR(INDEX('Veri Merkezi'!$T$2:$T$1001,$K195),""))</f>
        <v/>
      </c>
      <c r="J195" t="str">
        <f>IF($K195="","",IFERROR(INDEX('Veri Merkezi'!$U$2:$U$1001,$K195),""))</f>
        <v/>
      </c>
      <c r="K195" t="str">
        <f>IF(K194="","",IFERROR(K194+MATCH("Tekrar İzle",INDEX('Veri Merkezi'!$S$2:$S$1001,K194+1):'Veri Merkezi'!$S$1001,0),""))</f>
        <v/>
      </c>
    </row>
    <row r="196" spans="1:11">
      <c r="A196" t="str">
        <f>IF($K196="","",IFERROR(INDEX('Veri Merkezi'!$A$2:$A$1001,$K196),""))</f>
        <v/>
      </c>
      <c r="B196" t="str">
        <f>IF($K196="","",IFERROR(INDEX('Veri Merkezi'!$E$2:$E$1001,$K196),""))</f>
        <v/>
      </c>
      <c r="C196" t="str">
        <f>IF($K196="","",IFERROR(INDEX('Veri Merkezi'!$D$2:$D$1001,$K196),""))</f>
        <v/>
      </c>
      <c r="D196" t="str">
        <f>IF($K196="","",IFERROR(INDEX('Veri Merkezi'!$F$2:$F$1001,$K196),""))</f>
        <v/>
      </c>
      <c r="E196" s="2" t="str">
        <f>IF($K196="","",IFERROR(INDEX('Veri Merkezi'!$G$2:$G$1001,$K196),""))</f>
        <v/>
      </c>
      <c r="F196" t="str">
        <f>IF($K196="","",IFERROR(INDEX('Veri Merkezi'!$H$2:$H$1001,$K196),""))</f>
        <v/>
      </c>
      <c r="G196" t="str">
        <f>IF($K196="","",IFERROR(INDEX('Veri Merkezi'!$R$2:$R$1001,$K196),""))</f>
        <v/>
      </c>
      <c r="H196" t="str">
        <f>IF($K196="","",IFERROR(INDEX('Veri Merkezi'!$S$2:$S$1001,$K196),""))</f>
        <v/>
      </c>
      <c r="I196" s="2" t="str">
        <f>IF($K196="","",IFERROR(INDEX('Veri Merkezi'!$T$2:$T$1001,$K196),""))</f>
        <v/>
      </c>
      <c r="J196" t="str">
        <f>IF($K196="","",IFERROR(INDEX('Veri Merkezi'!$U$2:$U$1001,$K196),""))</f>
        <v/>
      </c>
      <c r="K196" t="str">
        <f>IF(K195="","",IFERROR(K195+MATCH("Tekrar İzle",INDEX('Veri Merkezi'!$S$2:$S$1001,K195+1):'Veri Merkezi'!$S$1001,0),""))</f>
        <v/>
      </c>
    </row>
    <row r="197" spans="1:11">
      <c r="A197" t="str">
        <f>IF($K197="","",IFERROR(INDEX('Veri Merkezi'!$A$2:$A$1001,$K197),""))</f>
        <v/>
      </c>
      <c r="B197" t="str">
        <f>IF($K197="","",IFERROR(INDEX('Veri Merkezi'!$E$2:$E$1001,$K197),""))</f>
        <v/>
      </c>
      <c r="C197" t="str">
        <f>IF($K197="","",IFERROR(INDEX('Veri Merkezi'!$D$2:$D$1001,$K197),""))</f>
        <v/>
      </c>
      <c r="D197" t="str">
        <f>IF($K197="","",IFERROR(INDEX('Veri Merkezi'!$F$2:$F$1001,$K197),""))</f>
        <v/>
      </c>
      <c r="E197" s="2" t="str">
        <f>IF($K197="","",IFERROR(INDEX('Veri Merkezi'!$G$2:$G$1001,$K197),""))</f>
        <v/>
      </c>
      <c r="F197" t="str">
        <f>IF($K197="","",IFERROR(INDEX('Veri Merkezi'!$H$2:$H$1001,$K197),""))</f>
        <v/>
      </c>
      <c r="G197" t="str">
        <f>IF($K197="","",IFERROR(INDEX('Veri Merkezi'!$R$2:$R$1001,$K197),""))</f>
        <v/>
      </c>
      <c r="H197" t="str">
        <f>IF($K197="","",IFERROR(INDEX('Veri Merkezi'!$S$2:$S$1001,$K197),""))</f>
        <v/>
      </c>
      <c r="I197" s="2" t="str">
        <f>IF($K197="","",IFERROR(INDEX('Veri Merkezi'!$T$2:$T$1001,$K197),""))</f>
        <v/>
      </c>
      <c r="J197" t="str">
        <f>IF($K197="","",IFERROR(INDEX('Veri Merkezi'!$U$2:$U$1001,$K197),""))</f>
        <v/>
      </c>
      <c r="K197" t="str">
        <f>IF(K196="","",IFERROR(K196+MATCH("Tekrar İzle",INDEX('Veri Merkezi'!$S$2:$S$1001,K196+1):'Veri Merkezi'!$S$1001,0),""))</f>
        <v/>
      </c>
    </row>
    <row r="198" spans="1:11">
      <c r="A198" t="str">
        <f>IF($K198="","",IFERROR(INDEX('Veri Merkezi'!$A$2:$A$1001,$K198),""))</f>
        <v/>
      </c>
      <c r="B198" t="str">
        <f>IF($K198="","",IFERROR(INDEX('Veri Merkezi'!$E$2:$E$1001,$K198),""))</f>
        <v/>
      </c>
      <c r="C198" t="str">
        <f>IF($K198="","",IFERROR(INDEX('Veri Merkezi'!$D$2:$D$1001,$K198),""))</f>
        <v/>
      </c>
      <c r="D198" t="str">
        <f>IF($K198="","",IFERROR(INDEX('Veri Merkezi'!$F$2:$F$1001,$K198),""))</f>
        <v/>
      </c>
      <c r="E198" s="2" t="str">
        <f>IF($K198="","",IFERROR(INDEX('Veri Merkezi'!$G$2:$G$1001,$K198),""))</f>
        <v/>
      </c>
      <c r="F198" t="str">
        <f>IF($K198="","",IFERROR(INDEX('Veri Merkezi'!$H$2:$H$1001,$K198),""))</f>
        <v/>
      </c>
      <c r="G198" t="str">
        <f>IF($K198="","",IFERROR(INDEX('Veri Merkezi'!$R$2:$R$1001,$K198),""))</f>
        <v/>
      </c>
      <c r="H198" t="str">
        <f>IF($K198="","",IFERROR(INDEX('Veri Merkezi'!$S$2:$S$1001,$K198),""))</f>
        <v/>
      </c>
      <c r="I198" s="2" t="str">
        <f>IF($K198="","",IFERROR(INDEX('Veri Merkezi'!$T$2:$T$1001,$K198),""))</f>
        <v/>
      </c>
      <c r="J198" t="str">
        <f>IF($K198="","",IFERROR(INDEX('Veri Merkezi'!$U$2:$U$1001,$K198),""))</f>
        <v/>
      </c>
      <c r="K198" t="str">
        <f>IF(K197="","",IFERROR(K197+MATCH("Tekrar İzle",INDEX('Veri Merkezi'!$S$2:$S$1001,K197+1):'Veri Merkezi'!$S$1001,0),""))</f>
        <v/>
      </c>
    </row>
    <row r="199" spans="1:11">
      <c r="A199" t="str">
        <f>IF($K199="","",IFERROR(INDEX('Veri Merkezi'!$A$2:$A$1001,$K199),""))</f>
        <v/>
      </c>
      <c r="B199" t="str">
        <f>IF($K199="","",IFERROR(INDEX('Veri Merkezi'!$E$2:$E$1001,$K199),""))</f>
        <v/>
      </c>
      <c r="C199" t="str">
        <f>IF($K199="","",IFERROR(INDEX('Veri Merkezi'!$D$2:$D$1001,$K199),""))</f>
        <v/>
      </c>
      <c r="D199" t="str">
        <f>IF($K199="","",IFERROR(INDEX('Veri Merkezi'!$F$2:$F$1001,$K199),""))</f>
        <v/>
      </c>
      <c r="E199" s="2" t="str">
        <f>IF($K199="","",IFERROR(INDEX('Veri Merkezi'!$G$2:$G$1001,$K199),""))</f>
        <v/>
      </c>
      <c r="F199" t="str">
        <f>IF($K199="","",IFERROR(INDEX('Veri Merkezi'!$H$2:$H$1001,$K199),""))</f>
        <v/>
      </c>
      <c r="G199" t="str">
        <f>IF($K199="","",IFERROR(INDEX('Veri Merkezi'!$R$2:$R$1001,$K199),""))</f>
        <v/>
      </c>
      <c r="H199" t="str">
        <f>IF($K199="","",IFERROR(INDEX('Veri Merkezi'!$S$2:$S$1001,$K199),""))</f>
        <v/>
      </c>
      <c r="I199" s="2" t="str">
        <f>IF($K199="","",IFERROR(INDEX('Veri Merkezi'!$T$2:$T$1001,$K199),""))</f>
        <v/>
      </c>
      <c r="J199" t="str">
        <f>IF($K199="","",IFERROR(INDEX('Veri Merkezi'!$U$2:$U$1001,$K199),""))</f>
        <v/>
      </c>
      <c r="K199" t="str">
        <f>IF(K198="","",IFERROR(K198+MATCH("Tekrar İzle",INDEX('Veri Merkezi'!$S$2:$S$1001,K198+1):'Veri Merkezi'!$S$1001,0),""))</f>
        <v/>
      </c>
    </row>
    <row r="200" spans="1:11">
      <c r="A200" t="str">
        <f>IF($K200="","",IFERROR(INDEX('Veri Merkezi'!$A$2:$A$1001,$K200),""))</f>
        <v/>
      </c>
      <c r="B200" t="str">
        <f>IF($K200="","",IFERROR(INDEX('Veri Merkezi'!$E$2:$E$1001,$K200),""))</f>
        <v/>
      </c>
      <c r="C200" t="str">
        <f>IF($K200="","",IFERROR(INDEX('Veri Merkezi'!$D$2:$D$1001,$K200),""))</f>
        <v/>
      </c>
      <c r="D200" t="str">
        <f>IF($K200="","",IFERROR(INDEX('Veri Merkezi'!$F$2:$F$1001,$K200),""))</f>
        <v/>
      </c>
      <c r="E200" s="2" t="str">
        <f>IF($K200="","",IFERROR(INDEX('Veri Merkezi'!$G$2:$G$1001,$K200),""))</f>
        <v/>
      </c>
      <c r="F200" t="str">
        <f>IF($K200="","",IFERROR(INDEX('Veri Merkezi'!$H$2:$H$1001,$K200),""))</f>
        <v/>
      </c>
      <c r="G200" t="str">
        <f>IF($K200="","",IFERROR(INDEX('Veri Merkezi'!$R$2:$R$1001,$K200),""))</f>
        <v/>
      </c>
      <c r="H200" t="str">
        <f>IF($K200="","",IFERROR(INDEX('Veri Merkezi'!$S$2:$S$1001,$K200),""))</f>
        <v/>
      </c>
      <c r="I200" s="2" t="str">
        <f>IF($K200="","",IFERROR(INDEX('Veri Merkezi'!$T$2:$T$1001,$K200),""))</f>
        <v/>
      </c>
      <c r="J200" t="str">
        <f>IF($K200="","",IFERROR(INDEX('Veri Merkezi'!$U$2:$U$1001,$K200),""))</f>
        <v/>
      </c>
      <c r="K200" t="str">
        <f>IF(K199="","",IFERROR(K199+MATCH("Tekrar İzle",INDEX('Veri Merkezi'!$S$2:$S$1001,K199+1):'Veri Merkezi'!$S$1001,0),""))</f>
        <v/>
      </c>
    </row>
    <row r="201" spans="1:11">
      <c r="A201" t="str">
        <f>IF($K201="","",IFERROR(INDEX('Veri Merkezi'!$A$2:$A$1001,$K201),""))</f>
        <v/>
      </c>
      <c r="B201" t="str">
        <f>IF($K201="","",IFERROR(INDEX('Veri Merkezi'!$E$2:$E$1001,$K201),""))</f>
        <v/>
      </c>
      <c r="C201" t="str">
        <f>IF($K201="","",IFERROR(INDEX('Veri Merkezi'!$D$2:$D$1001,$K201),""))</f>
        <v/>
      </c>
      <c r="D201" t="str">
        <f>IF($K201="","",IFERROR(INDEX('Veri Merkezi'!$F$2:$F$1001,$K201),""))</f>
        <v/>
      </c>
      <c r="E201" s="2" t="str">
        <f>IF($K201="","",IFERROR(INDEX('Veri Merkezi'!$G$2:$G$1001,$K201),""))</f>
        <v/>
      </c>
      <c r="F201" t="str">
        <f>IF($K201="","",IFERROR(INDEX('Veri Merkezi'!$H$2:$H$1001,$K201),""))</f>
        <v/>
      </c>
      <c r="G201" t="str">
        <f>IF($K201="","",IFERROR(INDEX('Veri Merkezi'!$R$2:$R$1001,$K201),""))</f>
        <v/>
      </c>
      <c r="H201" t="str">
        <f>IF($K201="","",IFERROR(INDEX('Veri Merkezi'!$S$2:$S$1001,$K201),""))</f>
        <v/>
      </c>
      <c r="I201" s="2" t="str">
        <f>IF($K201="","",IFERROR(INDEX('Veri Merkezi'!$T$2:$T$1001,$K201),""))</f>
        <v/>
      </c>
      <c r="J201" t="str">
        <f>IF($K201="","",IFERROR(INDEX('Veri Merkezi'!$U$2:$U$1001,$K201),""))</f>
        <v/>
      </c>
      <c r="K201" t="str">
        <f>IF(K200="","",IFERROR(K200+MATCH("Tekrar İzle",INDEX('Veri Merkezi'!$S$2:$S$1001,K200+1):'Veri Merkezi'!$S$1001,0),""))</f>
        <v/>
      </c>
    </row>
    <row r="202" spans="1:11">
      <c r="A202" t="str">
        <f>IF($K202="","",IFERROR(INDEX('Veri Merkezi'!$A$2:$A$1001,$K202),""))</f>
        <v/>
      </c>
      <c r="B202" t="str">
        <f>IF($K202="","",IFERROR(INDEX('Veri Merkezi'!$E$2:$E$1001,$K202),""))</f>
        <v/>
      </c>
      <c r="C202" t="str">
        <f>IF($K202="","",IFERROR(INDEX('Veri Merkezi'!$D$2:$D$1001,$K202),""))</f>
        <v/>
      </c>
      <c r="D202" t="str">
        <f>IF($K202="","",IFERROR(INDEX('Veri Merkezi'!$F$2:$F$1001,$K202),""))</f>
        <v/>
      </c>
      <c r="E202" s="2" t="str">
        <f>IF($K202="","",IFERROR(INDEX('Veri Merkezi'!$G$2:$G$1001,$K202),""))</f>
        <v/>
      </c>
      <c r="F202" t="str">
        <f>IF($K202="","",IFERROR(INDEX('Veri Merkezi'!$H$2:$H$1001,$K202),""))</f>
        <v/>
      </c>
      <c r="G202" t="str">
        <f>IF($K202="","",IFERROR(INDEX('Veri Merkezi'!$R$2:$R$1001,$K202),""))</f>
        <v/>
      </c>
      <c r="H202" t="str">
        <f>IF($K202="","",IFERROR(INDEX('Veri Merkezi'!$S$2:$S$1001,$K202),""))</f>
        <v/>
      </c>
      <c r="I202" s="2" t="str">
        <f>IF($K202="","",IFERROR(INDEX('Veri Merkezi'!$T$2:$T$1001,$K202),""))</f>
        <v/>
      </c>
      <c r="J202" t="str">
        <f>IF($K202="","",IFERROR(INDEX('Veri Merkezi'!$U$2:$U$1001,$K202),""))</f>
        <v/>
      </c>
      <c r="K202" t="str">
        <f>IF(K201="","",IFERROR(K201+MATCH("Tekrar İzle",INDEX('Veri Merkezi'!$S$2:$S$1001,K201+1):'Veri Merkezi'!$S$1001,0),""))</f>
        <v/>
      </c>
    </row>
    <row r="203" spans="1:11">
      <c r="A203" t="str">
        <f>IF($K203="","",IFERROR(INDEX('Veri Merkezi'!$A$2:$A$1001,$K203),""))</f>
        <v/>
      </c>
      <c r="B203" t="str">
        <f>IF($K203="","",IFERROR(INDEX('Veri Merkezi'!$E$2:$E$1001,$K203),""))</f>
        <v/>
      </c>
      <c r="C203" t="str">
        <f>IF($K203="","",IFERROR(INDEX('Veri Merkezi'!$D$2:$D$1001,$K203),""))</f>
        <v/>
      </c>
      <c r="D203" t="str">
        <f>IF($K203="","",IFERROR(INDEX('Veri Merkezi'!$F$2:$F$1001,$K203),""))</f>
        <v/>
      </c>
      <c r="E203" s="2" t="str">
        <f>IF($K203="","",IFERROR(INDEX('Veri Merkezi'!$G$2:$G$1001,$K203),""))</f>
        <v/>
      </c>
      <c r="F203" t="str">
        <f>IF($K203="","",IFERROR(INDEX('Veri Merkezi'!$H$2:$H$1001,$K203),""))</f>
        <v/>
      </c>
      <c r="G203" t="str">
        <f>IF($K203="","",IFERROR(INDEX('Veri Merkezi'!$R$2:$R$1001,$K203),""))</f>
        <v/>
      </c>
      <c r="H203" t="str">
        <f>IF($K203="","",IFERROR(INDEX('Veri Merkezi'!$S$2:$S$1001,$K203),""))</f>
        <v/>
      </c>
      <c r="I203" s="2" t="str">
        <f>IF($K203="","",IFERROR(INDEX('Veri Merkezi'!$T$2:$T$1001,$K203),""))</f>
        <v/>
      </c>
      <c r="J203" t="str">
        <f>IF($K203="","",IFERROR(INDEX('Veri Merkezi'!$U$2:$U$1001,$K203),""))</f>
        <v/>
      </c>
      <c r="K203" t="str">
        <f>IF(K202="","",IFERROR(K202+MATCH("Tekrar İzle",INDEX('Veri Merkezi'!$S$2:$S$1001,K202+1):'Veri Merkezi'!$S$1001,0),""))</f>
        <v/>
      </c>
    </row>
    <row r="204" spans="1:11">
      <c r="A204" t="str">
        <f>IF($K204="","",IFERROR(INDEX('Veri Merkezi'!$A$2:$A$1001,$K204),""))</f>
        <v/>
      </c>
      <c r="B204" t="str">
        <f>IF($K204="","",IFERROR(INDEX('Veri Merkezi'!$E$2:$E$1001,$K204),""))</f>
        <v/>
      </c>
      <c r="C204" t="str">
        <f>IF($K204="","",IFERROR(INDEX('Veri Merkezi'!$D$2:$D$1001,$K204),""))</f>
        <v/>
      </c>
      <c r="D204" t="str">
        <f>IF($K204="","",IFERROR(INDEX('Veri Merkezi'!$F$2:$F$1001,$K204),""))</f>
        <v/>
      </c>
      <c r="E204" s="2" t="str">
        <f>IF($K204="","",IFERROR(INDEX('Veri Merkezi'!$G$2:$G$1001,$K204),""))</f>
        <v/>
      </c>
      <c r="F204" t="str">
        <f>IF($K204="","",IFERROR(INDEX('Veri Merkezi'!$H$2:$H$1001,$K204),""))</f>
        <v/>
      </c>
      <c r="G204" t="str">
        <f>IF($K204="","",IFERROR(INDEX('Veri Merkezi'!$R$2:$R$1001,$K204),""))</f>
        <v/>
      </c>
      <c r="H204" t="str">
        <f>IF($K204="","",IFERROR(INDEX('Veri Merkezi'!$S$2:$S$1001,$K204),""))</f>
        <v/>
      </c>
      <c r="I204" s="2" t="str">
        <f>IF($K204="","",IFERROR(INDEX('Veri Merkezi'!$T$2:$T$1001,$K204),""))</f>
        <v/>
      </c>
      <c r="J204" t="str">
        <f>IF($K204="","",IFERROR(INDEX('Veri Merkezi'!$U$2:$U$1001,$K204),""))</f>
        <v/>
      </c>
      <c r="K204" t="str">
        <f>IF(K203="","",IFERROR(K203+MATCH("Tekrar İzle",INDEX('Veri Merkezi'!$S$2:$S$1001,K203+1):'Veri Merkezi'!$S$1001,0),""))</f>
        <v/>
      </c>
    </row>
    <row r="205" spans="1:11">
      <c r="A205" t="str">
        <f>IF($K205="","",IFERROR(INDEX('Veri Merkezi'!$A$2:$A$1001,$K205),""))</f>
        <v/>
      </c>
      <c r="B205" t="str">
        <f>IF($K205="","",IFERROR(INDEX('Veri Merkezi'!$E$2:$E$1001,$K205),""))</f>
        <v/>
      </c>
      <c r="C205" t="str">
        <f>IF($K205="","",IFERROR(INDEX('Veri Merkezi'!$D$2:$D$1001,$K205),""))</f>
        <v/>
      </c>
      <c r="D205" t="str">
        <f>IF($K205="","",IFERROR(INDEX('Veri Merkezi'!$F$2:$F$1001,$K205),""))</f>
        <v/>
      </c>
      <c r="E205" s="2" t="str">
        <f>IF($K205="","",IFERROR(INDEX('Veri Merkezi'!$G$2:$G$1001,$K205),""))</f>
        <v/>
      </c>
      <c r="F205" t="str">
        <f>IF($K205="","",IFERROR(INDEX('Veri Merkezi'!$H$2:$H$1001,$K205),""))</f>
        <v/>
      </c>
      <c r="G205" t="str">
        <f>IF($K205="","",IFERROR(INDEX('Veri Merkezi'!$R$2:$R$1001,$K205),""))</f>
        <v/>
      </c>
      <c r="H205" t="str">
        <f>IF($K205="","",IFERROR(INDEX('Veri Merkezi'!$S$2:$S$1001,$K205),""))</f>
        <v/>
      </c>
      <c r="I205" s="2" t="str">
        <f>IF($K205="","",IFERROR(INDEX('Veri Merkezi'!$T$2:$T$1001,$K205),""))</f>
        <v/>
      </c>
      <c r="J205" t="str">
        <f>IF($K205="","",IFERROR(INDEX('Veri Merkezi'!$U$2:$U$1001,$K205),""))</f>
        <v/>
      </c>
      <c r="K205" t="str">
        <f>IF(K204="","",IFERROR(K204+MATCH("Tekrar İzle",INDEX('Veri Merkezi'!$S$2:$S$1001,K204+1):'Veri Merkezi'!$S$1001,0),""))</f>
        <v/>
      </c>
    </row>
    <row r="206" spans="1:11">
      <c r="A206" t="str">
        <f>IF($K206="","",IFERROR(INDEX('Veri Merkezi'!$A$2:$A$1001,$K206),""))</f>
        <v/>
      </c>
      <c r="B206" t="str">
        <f>IF($K206="","",IFERROR(INDEX('Veri Merkezi'!$E$2:$E$1001,$K206),""))</f>
        <v/>
      </c>
      <c r="C206" t="str">
        <f>IF($K206="","",IFERROR(INDEX('Veri Merkezi'!$D$2:$D$1001,$K206),""))</f>
        <v/>
      </c>
      <c r="D206" t="str">
        <f>IF($K206="","",IFERROR(INDEX('Veri Merkezi'!$F$2:$F$1001,$K206),""))</f>
        <v/>
      </c>
      <c r="E206" s="2" t="str">
        <f>IF($K206="","",IFERROR(INDEX('Veri Merkezi'!$G$2:$G$1001,$K206),""))</f>
        <v/>
      </c>
      <c r="F206" t="str">
        <f>IF($K206="","",IFERROR(INDEX('Veri Merkezi'!$H$2:$H$1001,$K206),""))</f>
        <v/>
      </c>
      <c r="G206" t="str">
        <f>IF($K206="","",IFERROR(INDEX('Veri Merkezi'!$R$2:$R$1001,$K206),""))</f>
        <v/>
      </c>
      <c r="H206" t="str">
        <f>IF($K206="","",IFERROR(INDEX('Veri Merkezi'!$S$2:$S$1001,$K206),""))</f>
        <v/>
      </c>
      <c r="I206" s="2" t="str">
        <f>IF($K206="","",IFERROR(INDEX('Veri Merkezi'!$T$2:$T$1001,$K206),""))</f>
        <v/>
      </c>
      <c r="J206" t="str">
        <f>IF($K206="","",IFERROR(INDEX('Veri Merkezi'!$U$2:$U$1001,$K206),""))</f>
        <v/>
      </c>
      <c r="K206" t="str">
        <f>IF(K205="","",IFERROR(K205+MATCH("Tekrar İzle",INDEX('Veri Merkezi'!$S$2:$S$1001,K205+1):'Veri Merkezi'!$S$1001,0),""))</f>
        <v/>
      </c>
    </row>
    <row r="207" spans="1:11">
      <c r="A207" t="str">
        <f>IF($K207="","",IFERROR(INDEX('Veri Merkezi'!$A$2:$A$1001,$K207),""))</f>
        <v/>
      </c>
      <c r="B207" t="str">
        <f>IF($K207="","",IFERROR(INDEX('Veri Merkezi'!$E$2:$E$1001,$K207),""))</f>
        <v/>
      </c>
      <c r="C207" t="str">
        <f>IF($K207="","",IFERROR(INDEX('Veri Merkezi'!$D$2:$D$1001,$K207),""))</f>
        <v/>
      </c>
      <c r="D207" t="str">
        <f>IF($K207="","",IFERROR(INDEX('Veri Merkezi'!$F$2:$F$1001,$K207),""))</f>
        <v/>
      </c>
      <c r="E207" s="2" t="str">
        <f>IF($K207="","",IFERROR(INDEX('Veri Merkezi'!$G$2:$G$1001,$K207),""))</f>
        <v/>
      </c>
      <c r="F207" t="str">
        <f>IF($K207="","",IFERROR(INDEX('Veri Merkezi'!$H$2:$H$1001,$K207),""))</f>
        <v/>
      </c>
      <c r="G207" t="str">
        <f>IF($K207="","",IFERROR(INDEX('Veri Merkezi'!$R$2:$R$1001,$K207),""))</f>
        <v/>
      </c>
      <c r="H207" t="str">
        <f>IF($K207="","",IFERROR(INDEX('Veri Merkezi'!$S$2:$S$1001,$K207),""))</f>
        <v/>
      </c>
      <c r="I207" s="2" t="str">
        <f>IF($K207="","",IFERROR(INDEX('Veri Merkezi'!$T$2:$T$1001,$K207),""))</f>
        <v/>
      </c>
      <c r="J207" t="str">
        <f>IF($K207="","",IFERROR(INDEX('Veri Merkezi'!$U$2:$U$1001,$K207),""))</f>
        <v/>
      </c>
      <c r="K207" t="str">
        <f>IF(K206="","",IFERROR(K206+MATCH("Tekrar İzle",INDEX('Veri Merkezi'!$S$2:$S$1001,K206+1):'Veri Merkezi'!$S$1001,0),""))</f>
        <v/>
      </c>
    </row>
    <row r="208" spans="1:11">
      <c r="A208" t="str">
        <f>IF($K208="","",IFERROR(INDEX('Veri Merkezi'!$A$2:$A$1001,$K208),""))</f>
        <v/>
      </c>
      <c r="B208" t="str">
        <f>IF($K208="","",IFERROR(INDEX('Veri Merkezi'!$E$2:$E$1001,$K208),""))</f>
        <v/>
      </c>
      <c r="C208" t="str">
        <f>IF($K208="","",IFERROR(INDEX('Veri Merkezi'!$D$2:$D$1001,$K208),""))</f>
        <v/>
      </c>
      <c r="D208" t="str">
        <f>IF($K208="","",IFERROR(INDEX('Veri Merkezi'!$F$2:$F$1001,$K208),""))</f>
        <v/>
      </c>
      <c r="E208" s="2" t="str">
        <f>IF($K208="","",IFERROR(INDEX('Veri Merkezi'!$G$2:$G$1001,$K208),""))</f>
        <v/>
      </c>
      <c r="F208" t="str">
        <f>IF($K208="","",IFERROR(INDEX('Veri Merkezi'!$H$2:$H$1001,$K208),""))</f>
        <v/>
      </c>
      <c r="G208" t="str">
        <f>IF($K208="","",IFERROR(INDEX('Veri Merkezi'!$R$2:$R$1001,$K208),""))</f>
        <v/>
      </c>
      <c r="H208" t="str">
        <f>IF($K208="","",IFERROR(INDEX('Veri Merkezi'!$S$2:$S$1001,$K208),""))</f>
        <v/>
      </c>
      <c r="I208" s="2" t="str">
        <f>IF($K208="","",IFERROR(INDEX('Veri Merkezi'!$T$2:$T$1001,$K208),""))</f>
        <v/>
      </c>
      <c r="J208" t="str">
        <f>IF($K208="","",IFERROR(INDEX('Veri Merkezi'!$U$2:$U$1001,$K208),""))</f>
        <v/>
      </c>
      <c r="K208" t="str">
        <f>IF(K207="","",IFERROR(K207+MATCH("Tekrar İzle",INDEX('Veri Merkezi'!$S$2:$S$1001,K207+1):'Veri Merkezi'!$S$1001,0),""))</f>
        <v/>
      </c>
    </row>
    <row r="209" spans="1:11">
      <c r="A209" t="str">
        <f>IF($K209="","",IFERROR(INDEX('Veri Merkezi'!$A$2:$A$1001,$K209),""))</f>
        <v/>
      </c>
      <c r="B209" t="str">
        <f>IF($K209="","",IFERROR(INDEX('Veri Merkezi'!$E$2:$E$1001,$K209),""))</f>
        <v/>
      </c>
      <c r="C209" t="str">
        <f>IF($K209="","",IFERROR(INDEX('Veri Merkezi'!$D$2:$D$1001,$K209),""))</f>
        <v/>
      </c>
      <c r="D209" t="str">
        <f>IF($K209="","",IFERROR(INDEX('Veri Merkezi'!$F$2:$F$1001,$K209),""))</f>
        <v/>
      </c>
      <c r="E209" s="2" t="str">
        <f>IF($K209="","",IFERROR(INDEX('Veri Merkezi'!$G$2:$G$1001,$K209),""))</f>
        <v/>
      </c>
      <c r="F209" t="str">
        <f>IF($K209="","",IFERROR(INDEX('Veri Merkezi'!$H$2:$H$1001,$K209),""))</f>
        <v/>
      </c>
      <c r="G209" t="str">
        <f>IF($K209="","",IFERROR(INDEX('Veri Merkezi'!$R$2:$R$1001,$K209),""))</f>
        <v/>
      </c>
      <c r="H209" t="str">
        <f>IF($K209="","",IFERROR(INDEX('Veri Merkezi'!$S$2:$S$1001,$K209),""))</f>
        <v/>
      </c>
      <c r="I209" s="2" t="str">
        <f>IF($K209="","",IFERROR(INDEX('Veri Merkezi'!$T$2:$T$1001,$K209),""))</f>
        <v/>
      </c>
      <c r="J209" t="str">
        <f>IF($K209="","",IFERROR(INDEX('Veri Merkezi'!$U$2:$U$1001,$K209),""))</f>
        <v/>
      </c>
      <c r="K209" t="str">
        <f>IF(K208="","",IFERROR(K208+MATCH("Tekrar İzle",INDEX('Veri Merkezi'!$S$2:$S$1001,K208+1):'Veri Merkezi'!$S$1001,0),""))</f>
        <v/>
      </c>
    </row>
    <row r="210" spans="1:11">
      <c r="A210" t="str">
        <f>IF($K210="","",IFERROR(INDEX('Veri Merkezi'!$A$2:$A$1001,$K210),""))</f>
        <v/>
      </c>
      <c r="B210" t="str">
        <f>IF($K210="","",IFERROR(INDEX('Veri Merkezi'!$E$2:$E$1001,$K210),""))</f>
        <v/>
      </c>
      <c r="C210" t="str">
        <f>IF($K210="","",IFERROR(INDEX('Veri Merkezi'!$D$2:$D$1001,$K210),""))</f>
        <v/>
      </c>
      <c r="D210" t="str">
        <f>IF($K210="","",IFERROR(INDEX('Veri Merkezi'!$F$2:$F$1001,$K210),""))</f>
        <v/>
      </c>
      <c r="E210" s="2" t="str">
        <f>IF($K210="","",IFERROR(INDEX('Veri Merkezi'!$G$2:$G$1001,$K210),""))</f>
        <v/>
      </c>
      <c r="F210" t="str">
        <f>IF($K210="","",IFERROR(INDEX('Veri Merkezi'!$H$2:$H$1001,$K210),""))</f>
        <v/>
      </c>
      <c r="G210" t="str">
        <f>IF($K210="","",IFERROR(INDEX('Veri Merkezi'!$R$2:$R$1001,$K210),""))</f>
        <v/>
      </c>
      <c r="H210" t="str">
        <f>IF($K210="","",IFERROR(INDEX('Veri Merkezi'!$S$2:$S$1001,$K210),""))</f>
        <v/>
      </c>
      <c r="I210" s="2" t="str">
        <f>IF($K210="","",IFERROR(INDEX('Veri Merkezi'!$T$2:$T$1001,$K210),""))</f>
        <v/>
      </c>
      <c r="J210" t="str">
        <f>IF($K210="","",IFERROR(INDEX('Veri Merkezi'!$U$2:$U$1001,$K210),""))</f>
        <v/>
      </c>
      <c r="K210" t="str">
        <f>IF(K209="","",IFERROR(K209+MATCH("Tekrar İzle",INDEX('Veri Merkezi'!$S$2:$S$1001,K209+1):'Veri Merkezi'!$S$1001,0),""))</f>
        <v/>
      </c>
    </row>
    <row r="211" spans="1:11">
      <c r="A211" t="str">
        <f>IF($K211="","",IFERROR(INDEX('Veri Merkezi'!$A$2:$A$1001,$K211),""))</f>
        <v/>
      </c>
      <c r="B211" t="str">
        <f>IF($K211="","",IFERROR(INDEX('Veri Merkezi'!$E$2:$E$1001,$K211),""))</f>
        <v/>
      </c>
      <c r="C211" t="str">
        <f>IF($K211="","",IFERROR(INDEX('Veri Merkezi'!$D$2:$D$1001,$K211),""))</f>
        <v/>
      </c>
      <c r="D211" t="str">
        <f>IF($K211="","",IFERROR(INDEX('Veri Merkezi'!$F$2:$F$1001,$K211),""))</f>
        <v/>
      </c>
      <c r="E211" s="2" t="str">
        <f>IF($K211="","",IFERROR(INDEX('Veri Merkezi'!$G$2:$G$1001,$K211),""))</f>
        <v/>
      </c>
      <c r="F211" t="str">
        <f>IF($K211="","",IFERROR(INDEX('Veri Merkezi'!$H$2:$H$1001,$K211),""))</f>
        <v/>
      </c>
      <c r="G211" t="str">
        <f>IF($K211="","",IFERROR(INDEX('Veri Merkezi'!$R$2:$R$1001,$K211),""))</f>
        <v/>
      </c>
      <c r="H211" t="str">
        <f>IF($K211="","",IFERROR(INDEX('Veri Merkezi'!$S$2:$S$1001,$K211),""))</f>
        <v/>
      </c>
      <c r="I211" s="2" t="str">
        <f>IF($K211="","",IFERROR(INDEX('Veri Merkezi'!$T$2:$T$1001,$K211),""))</f>
        <v/>
      </c>
      <c r="J211" t="str">
        <f>IF($K211="","",IFERROR(INDEX('Veri Merkezi'!$U$2:$U$1001,$K211),""))</f>
        <v/>
      </c>
      <c r="K211" t="str">
        <f>IF(K210="","",IFERROR(K210+MATCH("Tekrar İzle",INDEX('Veri Merkezi'!$S$2:$S$1001,K210+1):'Veri Merkezi'!$S$1001,0),""))</f>
        <v/>
      </c>
    </row>
    <row r="212" spans="1:11">
      <c r="A212" t="str">
        <f>IF($K212="","",IFERROR(INDEX('Veri Merkezi'!$A$2:$A$1001,$K212),""))</f>
        <v/>
      </c>
      <c r="B212" t="str">
        <f>IF($K212="","",IFERROR(INDEX('Veri Merkezi'!$E$2:$E$1001,$K212),""))</f>
        <v/>
      </c>
      <c r="C212" t="str">
        <f>IF($K212="","",IFERROR(INDEX('Veri Merkezi'!$D$2:$D$1001,$K212),""))</f>
        <v/>
      </c>
      <c r="D212" t="str">
        <f>IF($K212="","",IFERROR(INDEX('Veri Merkezi'!$F$2:$F$1001,$K212),""))</f>
        <v/>
      </c>
      <c r="E212" s="2" t="str">
        <f>IF($K212="","",IFERROR(INDEX('Veri Merkezi'!$G$2:$G$1001,$K212),""))</f>
        <v/>
      </c>
      <c r="F212" t="str">
        <f>IF($K212="","",IFERROR(INDEX('Veri Merkezi'!$H$2:$H$1001,$K212),""))</f>
        <v/>
      </c>
      <c r="G212" t="str">
        <f>IF($K212="","",IFERROR(INDEX('Veri Merkezi'!$R$2:$R$1001,$K212),""))</f>
        <v/>
      </c>
      <c r="H212" t="str">
        <f>IF($K212="","",IFERROR(INDEX('Veri Merkezi'!$S$2:$S$1001,$K212),""))</f>
        <v/>
      </c>
      <c r="I212" s="2" t="str">
        <f>IF($K212="","",IFERROR(INDEX('Veri Merkezi'!$T$2:$T$1001,$K212),""))</f>
        <v/>
      </c>
      <c r="J212" t="str">
        <f>IF($K212="","",IFERROR(INDEX('Veri Merkezi'!$U$2:$U$1001,$K212),""))</f>
        <v/>
      </c>
      <c r="K212" t="str">
        <f>IF(K211="","",IFERROR(K211+MATCH("Tekrar İzle",INDEX('Veri Merkezi'!$S$2:$S$1001,K211+1):'Veri Merkezi'!$S$1001,0),""))</f>
        <v/>
      </c>
    </row>
    <row r="213" spans="1:11">
      <c r="A213" t="str">
        <f>IF($K213="","",IFERROR(INDEX('Veri Merkezi'!$A$2:$A$1001,$K213),""))</f>
        <v/>
      </c>
      <c r="B213" t="str">
        <f>IF($K213="","",IFERROR(INDEX('Veri Merkezi'!$E$2:$E$1001,$K213),""))</f>
        <v/>
      </c>
      <c r="C213" t="str">
        <f>IF($K213="","",IFERROR(INDEX('Veri Merkezi'!$D$2:$D$1001,$K213),""))</f>
        <v/>
      </c>
      <c r="D213" t="str">
        <f>IF($K213="","",IFERROR(INDEX('Veri Merkezi'!$F$2:$F$1001,$K213),""))</f>
        <v/>
      </c>
      <c r="E213" s="2" t="str">
        <f>IF($K213="","",IFERROR(INDEX('Veri Merkezi'!$G$2:$G$1001,$K213),""))</f>
        <v/>
      </c>
      <c r="F213" t="str">
        <f>IF($K213="","",IFERROR(INDEX('Veri Merkezi'!$H$2:$H$1001,$K213),""))</f>
        <v/>
      </c>
      <c r="G213" t="str">
        <f>IF($K213="","",IFERROR(INDEX('Veri Merkezi'!$R$2:$R$1001,$K213),""))</f>
        <v/>
      </c>
      <c r="H213" t="str">
        <f>IF($K213="","",IFERROR(INDEX('Veri Merkezi'!$S$2:$S$1001,$K213),""))</f>
        <v/>
      </c>
      <c r="I213" s="2" t="str">
        <f>IF($K213="","",IFERROR(INDEX('Veri Merkezi'!$T$2:$T$1001,$K213),""))</f>
        <v/>
      </c>
      <c r="J213" t="str">
        <f>IF($K213="","",IFERROR(INDEX('Veri Merkezi'!$U$2:$U$1001,$K213),""))</f>
        <v/>
      </c>
      <c r="K213" t="str">
        <f>IF(K212="","",IFERROR(K212+MATCH("Tekrar İzle",INDEX('Veri Merkezi'!$S$2:$S$1001,K212+1):'Veri Merkezi'!$S$1001,0),""))</f>
        <v/>
      </c>
    </row>
    <row r="214" spans="1:11">
      <c r="A214" t="str">
        <f>IF($K214="","",IFERROR(INDEX('Veri Merkezi'!$A$2:$A$1001,$K214),""))</f>
        <v/>
      </c>
      <c r="B214" t="str">
        <f>IF($K214="","",IFERROR(INDEX('Veri Merkezi'!$E$2:$E$1001,$K214),""))</f>
        <v/>
      </c>
      <c r="C214" t="str">
        <f>IF($K214="","",IFERROR(INDEX('Veri Merkezi'!$D$2:$D$1001,$K214),""))</f>
        <v/>
      </c>
      <c r="D214" t="str">
        <f>IF($K214="","",IFERROR(INDEX('Veri Merkezi'!$F$2:$F$1001,$K214),""))</f>
        <v/>
      </c>
      <c r="E214" s="2" t="str">
        <f>IF($K214="","",IFERROR(INDEX('Veri Merkezi'!$G$2:$G$1001,$K214),""))</f>
        <v/>
      </c>
      <c r="F214" t="str">
        <f>IF($K214="","",IFERROR(INDEX('Veri Merkezi'!$H$2:$H$1001,$K214),""))</f>
        <v/>
      </c>
      <c r="G214" t="str">
        <f>IF($K214="","",IFERROR(INDEX('Veri Merkezi'!$R$2:$R$1001,$K214),""))</f>
        <v/>
      </c>
      <c r="H214" t="str">
        <f>IF($K214="","",IFERROR(INDEX('Veri Merkezi'!$S$2:$S$1001,$K214),""))</f>
        <v/>
      </c>
      <c r="I214" s="2" t="str">
        <f>IF($K214="","",IFERROR(INDEX('Veri Merkezi'!$T$2:$T$1001,$K214),""))</f>
        <v/>
      </c>
      <c r="J214" t="str">
        <f>IF($K214="","",IFERROR(INDEX('Veri Merkezi'!$U$2:$U$1001,$K214),""))</f>
        <v/>
      </c>
      <c r="K214" t="str">
        <f>IF(K213="","",IFERROR(K213+MATCH("Tekrar İzle",INDEX('Veri Merkezi'!$S$2:$S$1001,K213+1):'Veri Merkezi'!$S$1001,0),""))</f>
        <v/>
      </c>
    </row>
    <row r="215" spans="1:11">
      <c r="A215" t="str">
        <f>IF($K215="","",IFERROR(INDEX('Veri Merkezi'!$A$2:$A$1001,$K215),""))</f>
        <v/>
      </c>
      <c r="B215" t="str">
        <f>IF($K215="","",IFERROR(INDEX('Veri Merkezi'!$E$2:$E$1001,$K215),""))</f>
        <v/>
      </c>
      <c r="C215" t="str">
        <f>IF($K215="","",IFERROR(INDEX('Veri Merkezi'!$D$2:$D$1001,$K215),""))</f>
        <v/>
      </c>
      <c r="D215" t="str">
        <f>IF($K215="","",IFERROR(INDEX('Veri Merkezi'!$F$2:$F$1001,$K215),""))</f>
        <v/>
      </c>
      <c r="E215" s="2" t="str">
        <f>IF($K215="","",IFERROR(INDEX('Veri Merkezi'!$G$2:$G$1001,$K215),""))</f>
        <v/>
      </c>
      <c r="F215" t="str">
        <f>IF($K215="","",IFERROR(INDEX('Veri Merkezi'!$H$2:$H$1001,$K215),""))</f>
        <v/>
      </c>
      <c r="G215" t="str">
        <f>IF($K215="","",IFERROR(INDEX('Veri Merkezi'!$R$2:$R$1001,$K215),""))</f>
        <v/>
      </c>
      <c r="H215" t="str">
        <f>IF($K215="","",IFERROR(INDEX('Veri Merkezi'!$S$2:$S$1001,$K215),""))</f>
        <v/>
      </c>
      <c r="I215" s="2" t="str">
        <f>IF($K215="","",IFERROR(INDEX('Veri Merkezi'!$T$2:$T$1001,$K215),""))</f>
        <v/>
      </c>
      <c r="J215" t="str">
        <f>IF($K215="","",IFERROR(INDEX('Veri Merkezi'!$U$2:$U$1001,$K215),""))</f>
        <v/>
      </c>
      <c r="K215" t="str">
        <f>IF(K214="","",IFERROR(K214+MATCH("Tekrar İzle",INDEX('Veri Merkezi'!$S$2:$S$1001,K214+1):'Veri Merkezi'!$S$1001,0),""))</f>
        <v/>
      </c>
    </row>
    <row r="216" spans="1:11">
      <c r="A216" t="str">
        <f>IF($K216="","",IFERROR(INDEX('Veri Merkezi'!$A$2:$A$1001,$K216),""))</f>
        <v/>
      </c>
      <c r="B216" t="str">
        <f>IF($K216="","",IFERROR(INDEX('Veri Merkezi'!$E$2:$E$1001,$K216),""))</f>
        <v/>
      </c>
      <c r="C216" t="str">
        <f>IF($K216="","",IFERROR(INDEX('Veri Merkezi'!$D$2:$D$1001,$K216),""))</f>
        <v/>
      </c>
      <c r="D216" t="str">
        <f>IF($K216="","",IFERROR(INDEX('Veri Merkezi'!$F$2:$F$1001,$K216),""))</f>
        <v/>
      </c>
      <c r="E216" s="2" t="str">
        <f>IF($K216="","",IFERROR(INDEX('Veri Merkezi'!$G$2:$G$1001,$K216),""))</f>
        <v/>
      </c>
      <c r="F216" t="str">
        <f>IF($K216="","",IFERROR(INDEX('Veri Merkezi'!$H$2:$H$1001,$K216),""))</f>
        <v/>
      </c>
      <c r="G216" t="str">
        <f>IF($K216="","",IFERROR(INDEX('Veri Merkezi'!$R$2:$R$1001,$K216),""))</f>
        <v/>
      </c>
      <c r="H216" t="str">
        <f>IF($K216="","",IFERROR(INDEX('Veri Merkezi'!$S$2:$S$1001,$K216),""))</f>
        <v/>
      </c>
      <c r="I216" s="2" t="str">
        <f>IF($K216="","",IFERROR(INDEX('Veri Merkezi'!$T$2:$T$1001,$K216),""))</f>
        <v/>
      </c>
      <c r="J216" t="str">
        <f>IF($K216="","",IFERROR(INDEX('Veri Merkezi'!$U$2:$U$1001,$K216),""))</f>
        <v/>
      </c>
      <c r="K216" t="str">
        <f>IF(K215="","",IFERROR(K215+MATCH("Tekrar İzle",INDEX('Veri Merkezi'!$S$2:$S$1001,K215+1):'Veri Merkezi'!$S$1001,0),""))</f>
        <v/>
      </c>
    </row>
    <row r="217" spans="1:11">
      <c r="A217" t="str">
        <f>IF($K217="","",IFERROR(INDEX('Veri Merkezi'!$A$2:$A$1001,$K217),""))</f>
        <v/>
      </c>
      <c r="B217" t="str">
        <f>IF($K217="","",IFERROR(INDEX('Veri Merkezi'!$E$2:$E$1001,$K217),""))</f>
        <v/>
      </c>
      <c r="C217" t="str">
        <f>IF($K217="","",IFERROR(INDEX('Veri Merkezi'!$D$2:$D$1001,$K217),""))</f>
        <v/>
      </c>
      <c r="D217" t="str">
        <f>IF($K217="","",IFERROR(INDEX('Veri Merkezi'!$F$2:$F$1001,$K217),""))</f>
        <v/>
      </c>
      <c r="E217" s="2" t="str">
        <f>IF($K217="","",IFERROR(INDEX('Veri Merkezi'!$G$2:$G$1001,$K217),""))</f>
        <v/>
      </c>
      <c r="F217" t="str">
        <f>IF($K217="","",IFERROR(INDEX('Veri Merkezi'!$H$2:$H$1001,$K217),""))</f>
        <v/>
      </c>
      <c r="G217" t="str">
        <f>IF($K217="","",IFERROR(INDEX('Veri Merkezi'!$R$2:$R$1001,$K217),""))</f>
        <v/>
      </c>
      <c r="H217" t="str">
        <f>IF($K217="","",IFERROR(INDEX('Veri Merkezi'!$S$2:$S$1001,$K217),""))</f>
        <v/>
      </c>
      <c r="I217" s="2" t="str">
        <f>IF($K217="","",IFERROR(INDEX('Veri Merkezi'!$T$2:$T$1001,$K217),""))</f>
        <v/>
      </c>
      <c r="J217" t="str">
        <f>IF($K217="","",IFERROR(INDEX('Veri Merkezi'!$U$2:$U$1001,$K217),""))</f>
        <v/>
      </c>
      <c r="K217" t="str">
        <f>IF(K216="","",IFERROR(K216+MATCH("Tekrar İzle",INDEX('Veri Merkezi'!$S$2:$S$1001,K216+1):'Veri Merkezi'!$S$1001,0),""))</f>
        <v/>
      </c>
    </row>
    <row r="218" spans="1:11">
      <c r="A218" t="str">
        <f>IF($K218="","",IFERROR(INDEX('Veri Merkezi'!$A$2:$A$1001,$K218),""))</f>
        <v/>
      </c>
      <c r="B218" t="str">
        <f>IF($K218="","",IFERROR(INDEX('Veri Merkezi'!$E$2:$E$1001,$K218),""))</f>
        <v/>
      </c>
      <c r="C218" t="str">
        <f>IF($K218="","",IFERROR(INDEX('Veri Merkezi'!$D$2:$D$1001,$K218),""))</f>
        <v/>
      </c>
      <c r="D218" t="str">
        <f>IF($K218="","",IFERROR(INDEX('Veri Merkezi'!$F$2:$F$1001,$K218),""))</f>
        <v/>
      </c>
      <c r="E218" s="2" t="str">
        <f>IF($K218="","",IFERROR(INDEX('Veri Merkezi'!$G$2:$G$1001,$K218),""))</f>
        <v/>
      </c>
      <c r="F218" t="str">
        <f>IF($K218="","",IFERROR(INDEX('Veri Merkezi'!$H$2:$H$1001,$K218),""))</f>
        <v/>
      </c>
      <c r="G218" t="str">
        <f>IF($K218="","",IFERROR(INDEX('Veri Merkezi'!$R$2:$R$1001,$K218),""))</f>
        <v/>
      </c>
      <c r="H218" t="str">
        <f>IF($K218="","",IFERROR(INDEX('Veri Merkezi'!$S$2:$S$1001,$K218),""))</f>
        <v/>
      </c>
      <c r="I218" s="2" t="str">
        <f>IF($K218="","",IFERROR(INDEX('Veri Merkezi'!$T$2:$T$1001,$K218),""))</f>
        <v/>
      </c>
      <c r="J218" t="str">
        <f>IF($K218="","",IFERROR(INDEX('Veri Merkezi'!$U$2:$U$1001,$K218),""))</f>
        <v/>
      </c>
      <c r="K218" t="str">
        <f>IF(K217="","",IFERROR(K217+MATCH("Tekrar İzle",INDEX('Veri Merkezi'!$S$2:$S$1001,K217+1):'Veri Merkezi'!$S$1001,0),""))</f>
        <v/>
      </c>
    </row>
    <row r="219" spans="1:11">
      <c r="A219" t="str">
        <f>IF($K219="","",IFERROR(INDEX('Veri Merkezi'!$A$2:$A$1001,$K219),""))</f>
        <v/>
      </c>
      <c r="B219" t="str">
        <f>IF($K219="","",IFERROR(INDEX('Veri Merkezi'!$E$2:$E$1001,$K219),""))</f>
        <v/>
      </c>
      <c r="C219" t="str">
        <f>IF($K219="","",IFERROR(INDEX('Veri Merkezi'!$D$2:$D$1001,$K219),""))</f>
        <v/>
      </c>
      <c r="D219" t="str">
        <f>IF($K219="","",IFERROR(INDEX('Veri Merkezi'!$F$2:$F$1001,$K219),""))</f>
        <v/>
      </c>
      <c r="E219" s="2" t="str">
        <f>IF($K219="","",IFERROR(INDEX('Veri Merkezi'!$G$2:$G$1001,$K219),""))</f>
        <v/>
      </c>
      <c r="F219" t="str">
        <f>IF($K219="","",IFERROR(INDEX('Veri Merkezi'!$H$2:$H$1001,$K219),""))</f>
        <v/>
      </c>
      <c r="G219" t="str">
        <f>IF($K219="","",IFERROR(INDEX('Veri Merkezi'!$R$2:$R$1001,$K219),""))</f>
        <v/>
      </c>
      <c r="H219" t="str">
        <f>IF($K219="","",IFERROR(INDEX('Veri Merkezi'!$S$2:$S$1001,$K219),""))</f>
        <v/>
      </c>
      <c r="I219" s="2" t="str">
        <f>IF($K219="","",IFERROR(INDEX('Veri Merkezi'!$T$2:$T$1001,$K219),""))</f>
        <v/>
      </c>
      <c r="J219" t="str">
        <f>IF($K219="","",IFERROR(INDEX('Veri Merkezi'!$U$2:$U$1001,$K219),""))</f>
        <v/>
      </c>
      <c r="K219" t="str">
        <f>IF(K218="","",IFERROR(K218+MATCH("Tekrar İzle",INDEX('Veri Merkezi'!$S$2:$S$1001,K218+1):'Veri Merkezi'!$S$1001,0),""))</f>
        <v/>
      </c>
    </row>
    <row r="220" spans="1:11">
      <c r="A220" t="str">
        <f>IF($K220="","",IFERROR(INDEX('Veri Merkezi'!$A$2:$A$1001,$K220),""))</f>
        <v/>
      </c>
      <c r="B220" t="str">
        <f>IF($K220="","",IFERROR(INDEX('Veri Merkezi'!$E$2:$E$1001,$K220),""))</f>
        <v/>
      </c>
      <c r="C220" t="str">
        <f>IF($K220="","",IFERROR(INDEX('Veri Merkezi'!$D$2:$D$1001,$K220),""))</f>
        <v/>
      </c>
      <c r="D220" t="str">
        <f>IF($K220="","",IFERROR(INDEX('Veri Merkezi'!$F$2:$F$1001,$K220),""))</f>
        <v/>
      </c>
      <c r="E220" s="2" t="str">
        <f>IF($K220="","",IFERROR(INDEX('Veri Merkezi'!$G$2:$G$1001,$K220),""))</f>
        <v/>
      </c>
      <c r="F220" t="str">
        <f>IF($K220="","",IFERROR(INDEX('Veri Merkezi'!$H$2:$H$1001,$K220),""))</f>
        <v/>
      </c>
      <c r="G220" t="str">
        <f>IF($K220="","",IFERROR(INDEX('Veri Merkezi'!$R$2:$R$1001,$K220),""))</f>
        <v/>
      </c>
      <c r="H220" t="str">
        <f>IF($K220="","",IFERROR(INDEX('Veri Merkezi'!$S$2:$S$1001,$K220),""))</f>
        <v/>
      </c>
      <c r="I220" s="2" t="str">
        <f>IF($K220="","",IFERROR(INDEX('Veri Merkezi'!$T$2:$T$1001,$K220),""))</f>
        <v/>
      </c>
      <c r="J220" t="str">
        <f>IF($K220="","",IFERROR(INDEX('Veri Merkezi'!$U$2:$U$1001,$K220),""))</f>
        <v/>
      </c>
      <c r="K220" t="str">
        <f>IF(K219="","",IFERROR(K219+MATCH("Tekrar İzle",INDEX('Veri Merkezi'!$S$2:$S$1001,K219+1):'Veri Merkezi'!$S$1001,0),""))</f>
        <v/>
      </c>
    </row>
    <row r="221" spans="1:11">
      <c r="A221" t="str">
        <f>IF($K221="","",IFERROR(INDEX('Veri Merkezi'!$A$2:$A$1001,$K221),""))</f>
        <v/>
      </c>
      <c r="B221" t="str">
        <f>IF($K221="","",IFERROR(INDEX('Veri Merkezi'!$E$2:$E$1001,$K221),""))</f>
        <v/>
      </c>
      <c r="C221" t="str">
        <f>IF($K221="","",IFERROR(INDEX('Veri Merkezi'!$D$2:$D$1001,$K221),""))</f>
        <v/>
      </c>
      <c r="D221" t="str">
        <f>IF($K221="","",IFERROR(INDEX('Veri Merkezi'!$F$2:$F$1001,$K221),""))</f>
        <v/>
      </c>
      <c r="E221" s="2" t="str">
        <f>IF($K221="","",IFERROR(INDEX('Veri Merkezi'!$G$2:$G$1001,$K221),""))</f>
        <v/>
      </c>
      <c r="F221" t="str">
        <f>IF($K221="","",IFERROR(INDEX('Veri Merkezi'!$H$2:$H$1001,$K221),""))</f>
        <v/>
      </c>
      <c r="G221" t="str">
        <f>IF($K221="","",IFERROR(INDEX('Veri Merkezi'!$R$2:$R$1001,$K221),""))</f>
        <v/>
      </c>
      <c r="H221" t="str">
        <f>IF($K221="","",IFERROR(INDEX('Veri Merkezi'!$S$2:$S$1001,$K221),""))</f>
        <v/>
      </c>
      <c r="I221" s="2" t="str">
        <f>IF($K221="","",IFERROR(INDEX('Veri Merkezi'!$T$2:$T$1001,$K221),""))</f>
        <v/>
      </c>
      <c r="J221" t="str">
        <f>IF($K221="","",IFERROR(INDEX('Veri Merkezi'!$U$2:$U$1001,$K221),""))</f>
        <v/>
      </c>
      <c r="K221" t="str">
        <f>IF(K220="","",IFERROR(K220+MATCH("Tekrar İzle",INDEX('Veri Merkezi'!$S$2:$S$1001,K220+1):'Veri Merkezi'!$S$1001,0),""))</f>
        <v/>
      </c>
    </row>
    <row r="222" spans="1:11">
      <c r="A222" t="str">
        <f>IF($K222="","",IFERROR(INDEX('Veri Merkezi'!$A$2:$A$1001,$K222),""))</f>
        <v/>
      </c>
      <c r="B222" t="str">
        <f>IF($K222="","",IFERROR(INDEX('Veri Merkezi'!$E$2:$E$1001,$K222),""))</f>
        <v/>
      </c>
      <c r="C222" t="str">
        <f>IF($K222="","",IFERROR(INDEX('Veri Merkezi'!$D$2:$D$1001,$K222),""))</f>
        <v/>
      </c>
      <c r="D222" t="str">
        <f>IF($K222="","",IFERROR(INDEX('Veri Merkezi'!$F$2:$F$1001,$K222),""))</f>
        <v/>
      </c>
      <c r="E222" s="2" t="str">
        <f>IF($K222="","",IFERROR(INDEX('Veri Merkezi'!$G$2:$G$1001,$K222),""))</f>
        <v/>
      </c>
      <c r="F222" t="str">
        <f>IF($K222="","",IFERROR(INDEX('Veri Merkezi'!$H$2:$H$1001,$K222),""))</f>
        <v/>
      </c>
      <c r="G222" t="str">
        <f>IF($K222="","",IFERROR(INDEX('Veri Merkezi'!$R$2:$R$1001,$K222),""))</f>
        <v/>
      </c>
      <c r="H222" t="str">
        <f>IF($K222="","",IFERROR(INDEX('Veri Merkezi'!$S$2:$S$1001,$K222),""))</f>
        <v/>
      </c>
      <c r="I222" s="2" t="str">
        <f>IF($K222="","",IFERROR(INDEX('Veri Merkezi'!$T$2:$T$1001,$K222),""))</f>
        <v/>
      </c>
      <c r="J222" t="str">
        <f>IF($K222="","",IFERROR(INDEX('Veri Merkezi'!$U$2:$U$1001,$K222),""))</f>
        <v/>
      </c>
      <c r="K222" t="str">
        <f>IF(K221="","",IFERROR(K221+MATCH("Tekrar İzle",INDEX('Veri Merkezi'!$S$2:$S$1001,K221+1):'Veri Merkezi'!$S$1001,0),""))</f>
        <v/>
      </c>
    </row>
    <row r="223" spans="1:11">
      <c r="A223" t="str">
        <f>IF($K223="","",IFERROR(INDEX('Veri Merkezi'!$A$2:$A$1001,$K223),""))</f>
        <v/>
      </c>
      <c r="B223" t="str">
        <f>IF($K223="","",IFERROR(INDEX('Veri Merkezi'!$E$2:$E$1001,$K223),""))</f>
        <v/>
      </c>
      <c r="C223" t="str">
        <f>IF($K223="","",IFERROR(INDEX('Veri Merkezi'!$D$2:$D$1001,$K223),""))</f>
        <v/>
      </c>
      <c r="D223" t="str">
        <f>IF($K223="","",IFERROR(INDEX('Veri Merkezi'!$F$2:$F$1001,$K223),""))</f>
        <v/>
      </c>
      <c r="E223" s="2" t="str">
        <f>IF($K223="","",IFERROR(INDEX('Veri Merkezi'!$G$2:$G$1001,$K223),""))</f>
        <v/>
      </c>
      <c r="F223" t="str">
        <f>IF($K223="","",IFERROR(INDEX('Veri Merkezi'!$H$2:$H$1001,$K223),""))</f>
        <v/>
      </c>
      <c r="G223" t="str">
        <f>IF($K223="","",IFERROR(INDEX('Veri Merkezi'!$R$2:$R$1001,$K223),""))</f>
        <v/>
      </c>
      <c r="H223" t="str">
        <f>IF($K223="","",IFERROR(INDEX('Veri Merkezi'!$S$2:$S$1001,$K223),""))</f>
        <v/>
      </c>
      <c r="I223" s="2" t="str">
        <f>IF($K223="","",IFERROR(INDEX('Veri Merkezi'!$T$2:$T$1001,$K223),""))</f>
        <v/>
      </c>
      <c r="J223" t="str">
        <f>IF($K223="","",IFERROR(INDEX('Veri Merkezi'!$U$2:$U$1001,$K223),""))</f>
        <v/>
      </c>
      <c r="K223" t="str">
        <f>IF(K222="","",IFERROR(K222+MATCH("Tekrar İzle",INDEX('Veri Merkezi'!$S$2:$S$1001,K222+1):'Veri Merkezi'!$S$1001,0),""))</f>
        <v/>
      </c>
    </row>
    <row r="224" spans="1:11">
      <c r="A224" t="str">
        <f>IF($K224="","",IFERROR(INDEX('Veri Merkezi'!$A$2:$A$1001,$K224),""))</f>
        <v/>
      </c>
      <c r="B224" t="str">
        <f>IF($K224="","",IFERROR(INDEX('Veri Merkezi'!$E$2:$E$1001,$K224),""))</f>
        <v/>
      </c>
      <c r="C224" t="str">
        <f>IF($K224="","",IFERROR(INDEX('Veri Merkezi'!$D$2:$D$1001,$K224),""))</f>
        <v/>
      </c>
      <c r="D224" t="str">
        <f>IF($K224="","",IFERROR(INDEX('Veri Merkezi'!$F$2:$F$1001,$K224),""))</f>
        <v/>
      </c>
      <c r="E224" s="2" t="str">
        <f>IF($K224="","",IFERROR(INDEX('Veri Merkezi'!$G$2:$G$1001,$K224),""))</f>
        <v/>
      </c>
      <c r="F224" t="str">
        <f>IF($K224="","",IFERROR(INDEX('Veri Merkezi'!$H$2:$H$1001,$K224),""))</f>
        <v/>
      </c>
      <c r="G224" t="str">
        <f>IF($K224="","",IFERROR(INDEX('Veri Merkezi'!$R$2:$R$1001,$K224),""))</f>
        <v/>
      </c>
      <c r="H224" t="str">
        <f>IF($K224="","",IFERROR(INDEX('Veri Merkezi'!$S$2:$S$1001,$K224),""))</f>
        <v/>
      </c>
      <c r="I224" s="2" t="str">
        <f>IF($K224="","",IFERROR(INDEX('Veri Merkezi'!$T$2:$T$1001,$K224),""))</f>
        <v/>
      </c>
      <c r="J224" t="str">
        <f>IF($K224="","",IFERROR(INDEX('Veri Merkezi'!$U$2:$U$1001,$K224),""))</f>
        <v/>
      </c>
      <c r="K224" t="str">
        <f>IF(K223="","",IFERROR(K223+MATCH("Tekrar İzle",INDEX('Veri Merkezi'!$S$2:$S$1001,K223+1):'Veri Merkezi'!$S$1001,0),""))</f>
        <v/>
      </c>
    </row>
    <row r="225" spans="1:11">
      <c r="A225" t="str">
        <f>IF($K225="","",IFERROR(INDEX('Veri Merkezi'!$A$2:$A$1001,$K225),""))</f>
        <v/>
      </c>
      <c r="B225" t="str">
        <f>IF($K225="","",IFERROR(INDEX('Veri Merkezi'!$E$2:$E$1001,$K225),""))</f>
        <v/>
      </c>
      <c r="C225" t="str">
        <f>IF($K225="","",IFERROR(INDEX('Veri Merkezi'!$D$2:$D$1001,$K225),""))</f>
        <v/>
      </c>
      <c r="D225" t="str">
        <f>IF($K225="","",IFERROR(INDEX('Veri Merkezi'!$F$2:$F$1001,$K225),""))</f>
        <v/>
      </c>
      <c r="E225" s="2" t="str">
        <f>IF($K225="","",IFERROR(INDEX('Veri Merkezi'!$G$2:$G$1001,$K225),""))</f>
        <v/>
      </c>
      <c r="F225" t="str">
        <f>IF($K225="","",IFERROR(INDEX('Veri Merkezi'!$H$2:$H$1001,$K225),""))</f>
        <v/>
      </c>
      <c r="G225" t="str">
        <f>IF($K225="","",IFERROR(INDEX('Veri Merkezi'!$R$2:$R$1001,$K225),""))</f>
        <v/>
      </c>
      <c r="H225" t="str">
        <f>IF($K225="","",IFERROR(INDEX('Veri Merkezi'!$S$2:$S$1001,$K225),""))</f>
        <v/>
      </c>
      <c r="I225" s="2" t="str">
        <f>IF($K225="","",IFERROR(INDEX('Veri Merkezi'!$T$2:$T$1001,$K225),""))</f>
        <v/>
      </c>
      <c r="J225" t="str">
        <f>IF($K225="","",IFERROR(INDEX('Veri Merkezi'!$U$2:$U$1001,$K225),""))</f>
        <v/>
      </c>
      <c r="K225" t="str">
        <f>IF(K224="","",IFERROR(K224+MATCH("Tekrar İzle",INDEX('Veri Merkezi'!$S$2:$S$1001,K224+1):'Veri Merkezi'!$S$1001,0),""))</f>
        <v/>
      </c>
    </row>
    <row r="226" spans="1:11">
      <c r="A226" t="str">
        <f>IF($K226="","",IFERROR(INDEX('Veri Merkezi'!$A$2:$A$1001,$K226),""))</f>
        <v/>
      </c>
      <c r="B226" t="str">
        <f>IF($K226="","",IFERROR(INDEX('Veri Merkezi'!$E$2:$E$1001,$K226),""))</f>
        <v/>
      </c>
      <c r="C226" t="str">
        <f>IF($K226="","",IFERROR(INDEX('Veri Merkezi'!$D$2:$D$1001,$K226),""))</f>
        <v/>
      </c>
      <c r="D226" t="str">
        <f>IF($K226="","",IFERROR(INDEX('Veri Merkezi'!$F$2:$F$1001,$K226),""))</f>
        <v/>
      </c>
      <c r="E226" s="2" t="str">
        <f>IF($K226="","",IFERROR(INDEX('Veri Merkezi'!$G$2:$G$1001,$K226),""))</f>
        <v/>
      </c>
      <c r="F226" t="str">
        <f>IF($K226="","",IFERROR(INDEX('Veri Merkezi'!$H$2:$H$1001,$K226),""))</f>
        <v/>
      </c>
      <c r="G226" t="str">
        <f>IF($K226="","",IFERROR(INDEX('Veri Merkezi'!$R$2:$R$1001,$K226),""))</f>
        <v/>
      </c>
      <c r="H226" t="str">
        <f>IF($K226="","",IFERROR(INDEX('Veri Merkezi'!$S$2:$S$1001,$K226),""))</f>
        <v/>
      </c>
      <c r="I226" s="2" t="str">
        <f>IF($K226="","",IFERROR(INDEX('Veri Merkezi'!$T$2:$T$1001,$K226),""))</f>
        <v/>
      </c>
      <c r="J226" t="str">
        <f>IF($K226="","",IFERROR(INDEX('Veri Merkezi'!$U$2:$U$1001,$K226),""))</f>
        <v/>
      </c>
      <c r="K226" t="str">
        <f>IF(K225="","",IFERROR(K225+MATCH("Tekrar İzle",INDEX('Veri Merkezi'!$S$2:$S$1001,K225+1):'Veri Merkezi'!$S$1001,0),""))</f>
        <v/>
      </c>
    </row>
    <row r="227" spans="1:11">
      <c r="A227" t="str">
        <f>IF($K227="","",IFERROR(INDEX('Veri Merkezi'!$A$2:$A$1001,$K227),""))</f>
        <v/>
      </c>
      <c r="B227" t="str">
        <f>IF($K227="","",IFERROR(INDEX('Veri Merkezi'!$E$2:$E$1001,$K227),""))</f>
        <v/>
      </c>
      <c r="C227" t="str">
        <f>IF($K227="","",IFERROR(INDEX('Veri Merkezi'!$D$2:$D$1001,$K227),""))</f>
        <v/>
      </c>
      <c r="D227" t="str">
        <f>IF($K227="","",IFERROR(INDEX('Veri Merkezi'!$F$2:$F$1001,$K227),""))</f>
        <v/>
      </c>
      <c r="E227" s="2" t="str">
        <f>IF($K227="","",IFERROR(INDEX('Veri Merkezi'!$G$2:$G$1001,$K227),""))</f>
        <v/>
      </c>
      <c r="F227" t="str">
        <f>IF($K227="","",IFERROR(INDEX('Veri Merkezi'!$H$2:$H$1001,$K227),""))</f>
        <v/>
      </c>
      <c r="G227" t="str">
        <f>IF($K227="","",IFERROR(INDEX('Veri Merkezi'!$R$2:$R$1001,$K227),""))</f>
        <v/>
      </c>
      <c r="H227" t="str">
        <f>IF($K227="","",IFERROR(INDEX('Veri Merkezi'!$S$2:$S$1001,$K227),""))</f>
        <v/>
      </c>
      <c r="I227" s="2" t="str">
        <f>IF($K227="","",IFERROR(INDEX('Veri Merkezi'!$T$2:$T$1001,$K227),""))</f>
        <v/>
      </c>
      <c r="J227" t="str">
        <f>IF($K227="","",IFERROR(INDEX('Veri Merkezi'!$U$2:$U$1001,$K227),""))</f>
        <v/>
      </c>
      <c r="K227" t="str">
        <f>IF(K226="","",IFERROR(K226+MATCH("Tekrar İzle",INDEX('Veri Merkezi'!$S$2:$S$1001,K226+1):'Veri Merkezi'!$S$1001,0),""))</f>
        <v/>
      </c>
    </row>
    <row r="228" spans="1:11">
      <c r="A228" t="str">
        <f>IF($K228="","",IFERROR(INDEX('Veri Merkezi'!$A$2:$A$1001,$K228),""))</f>
        <v/>
      </c>
      <c r="B228" t="str">
        <f>IF($K228="","",IFERROR(INDEX('Veri Merkezi'!$E$2:$E$1001,$K228),""))</f>
        <v/>
      </c>
      <c r="C228" t="str">
        <f>IF($K228="","",IFERROR(INDEX('Veri Merkezi'!$D$2:$D$1001,$K228),""))</f>
        <v/>
      </c>
      <c r="D228" t="str">
        <f>IF($K228="","",IFERROR(INDEX('Veri Merkezi'!$F$2:$F$1001,$K228),""))</f>
        <v/>
      </c>
      <c r="E228" s="2" t="str">
        <f>IF($K228="","",IFERROR(INDEX('Veri Merkezi'!$G$2:$G$1001,$K228),""))</f>
        <v/>
      </c>
      <c r="F228" t="str">
        <f>IF($K228="","",IFERROR(INDEX('Veri Merkezi'!$H$2:$H$1001,$K228),""))</f>
        <v/>
      </c>
      <c r="G228" t="str">
        <f>IF($K228="","",IFERROR(INDEX('Veri Merkezi'!$R$2:$R$1001,$K228),""))</f>
        <v/>
      </c>
      <c r="H228" t="str">
        <f>IF($K228="","",IFERROR(INDEX('Veri Merkezi'!$S$2:$S$1001,$K228),""))</f>
        <v/>
      </c>
      <c r="I228" s="2" t="str">
        <f>IF($K228="","",IFERROR(INDEX('Veri Merkezi'!$T$2:$T$1001,$K228),""))</f>
        <v/>
      </c>
      <c r="J228" t="str">
        <f>IF($K228="","",IFERROR(INDEX('Veri Merkezi'!$U$2:$U$1001,$K228),""))</f>
        <v/>
      </c>
      <c r="K228" t="str">
        <f>IF(K227="","",IFERROR(K227+MATCH("Tekrar İzle",INDEX('Veri Merkezi'!$S$2:$S$1001,K227+1):'Veri Merkezi'!$S$1001,0),""))</f>
        <v/>
      </c>
    </row>
    <row r="229" spans="1:11">
      <c r="A229" t="str">
        <f>IF($K229="","",IFERROR(INDEX('Veri Merkezi'!$A$2:$A$1001,$K229),""))</f>
        <v/>
      </c>
      <c r="B229" t="str">
        <f>IF($K229="","",IFERROR(INDEX('Veri Merkezi'!$E$2:$E$1001,$K229),""))</f>
        <v/>
      </c>
      <c r="C229" t="str">
        <f>IF($K229="","",IFERROR(INDEX('Veri Merkezi'!$D$2:$D$1001,$K229),""))</f>
        <v/>
      </c>
      <c r="D229" t="str">
        <f>IF($K229="","",IFERROR(INDEX('Veri Merkezi'!$F$2:$F$1001,$K229),""))</f>
        <v/>
      </c>
      <c r="E229" s="2" t="str">
        <f>IF($K229="","",IFERROR(INDEX('Veri Merkezi'!$G$2:$G$1001,$K229),""))</f>
        <v/>
      </c>
      <c r="F229" t="str">
        <f>IF($K229="","",IFERROR(INDEX('Veri Merkezi'!$H$2:$H$1001,$K229),""))</f>
        <v/>
      </c>
      <c r="G229" t="str">
        <f>IF($K229="","",IFERROR(INDEX('Veri Merkezi'!$R$2:$R$1001,$K229),""))</f>
        <v/>
      </c>
      <c r="H229" t="str">
        <f>IF($K229="","",IFERROR(INDEX('Veri Merkezi'!$S$2:$S$1001,$K229),""))</f>
        <v/>
      </c>
      <c r="I229" s="2" t="str">
        <f>IF($K229="","",IFERROR(INDEX('Veri Merkezi'!$T$2:$T$1001,$K229),""))</f>
        <v/>
      </c>
      <c r="J229" t="str">
        <f>IF($K229="","",IFERROR(INDEX('Veri Merkezi'!$U$2:$U$1001,$K229),""))</f>
        <v/>
      </c>
      <c r="K229" t="str">
        <f>IF(K228="","",IFERROR(K228+MATCH("Tekrar İzle",INDEX('Veri Merkezi'!$S$2:$S$1001,K228+1):'Veri Merkezi'!$S$1001,0),""))</f>
        <v/>
      </c>
    </row>
    <row r="230" spans="1:11">
      <c r="A230" t="str">
        <f>IF($K230="","",IFERROR(INDEX('Veri Merkezi'!$A$2:$A$1001,$K230),""))</f>
        <v/>
      </c>
      <c r="B230" t="str">
        <f>IF($K230="","",IFERROR(INDEX('Veri Merkezi'!$E$2:$E$1001,$K230),""))</f>
        <v/>
      </c>
      <c r="C230" t="str">
        <f>IF($K230="","",IFERROR(INDEX('Veri Merkezi'!$D$2:$D$1001,$K230),""))</f>
        <v/>
      </c>
      <c r="D230" t="str">
        <f>IF($K230="","",IFERROR(INDEX('Veri Merkezi'!$F$2:$F$1001,$K230),""))</f>
        <v/>
      </c>
      <c r="E230" s="2" t="str">
        <f>IF($K230="","",IFERROR(INDEX('Veri Merkezi'!$G$2:$G$1001,$K230),""))</f>
        <v/>
      </c>
      <c r="F230" t="str">
        <f>IF($K230="","",IFERROR(INDEX('Veri Merkezi'!$H$2:$H$1001,$K230),""))</f>
        <v/>
      </c>
      <c r="G230" t="str">
        <f>IF($K230="","",IFERROR(INDEX('Veri Merkezi'!$R$2:$R$1001,$K230),""))</f>
        <v/>
      </c>
      <c r="H230" t="str">
        <f>IF($K230="","",IFERROR(INDEX('Veri Merkezi'!$S$2:$S$1001,$K230),""))</f>
        <v/>
      </c>
      <c r="I230" s="2" t="str">
        <f>IF($K230="","",IFERROR(INDEX('Veri Merkezi'!$T$2:$T$1001,$K230),""))</f>
        <v/>
      </c>
      <c r="J230" t="str">
        <f>IF($K230="","",IFERROR(INDEX('Veri Merkezi'!$U$2:$U$1001,$K230),""))</f>
        <v/>
      </c>
      <c r="K230" t="str">
        <f>IF(K229="","",IFERROR(K229+MATCH("Tekrar İzle",INDEX('Veri Merkezi'!$S$2:$S$1001,K229+1):'Veri Merkezi'!$S$1001,0),""))</f>
        <v/>
      </c>
    </row>
    <row r="231" spans="1:11">
      <c r="A231" t="str">
        <f>IF($K231="","",IFERROR(INDEX('Veri Merkezi'!$A$2:$A$1001,$K231),""))</f>
        <v/>
      </c>
      <c r="B231" t="str">
        <f>IF($K231="","",IFERROR(INDEX('Veri Merkezi'!$E$2:$E$1001,$K231),""))</f>
        <v/>
      </c>
      <c r="C231" t="str">
        <f>IF($K231="","",IFERROR(INDEX('Veri Merkezi'!$D$2:$D$1001,$K231),""))</f>
        <v/>
      </c>
      <c r="D231" t="str">
        <f>IF($K231="","",IFERROR(INDEX('Veri Merkezi'!$F$2:$F$1001,$K231),""))</f>
        <v/>
      </c>
      <c r="E231" s="2" t="str">
        <f>IF($K231="","",IFERROR(INDEX('Veri Merkezi'!$G$2:$G$1001,$K231),""))</f>
        <v/>
      </c>
      <c r="F231" t="str">
        <f>IF($K231="","",IFERROR(INDEX('Veri Merkezi'!$H$2:$H$1001,$K231),""))</f>
        <v/>
      </c>
      <c r="G231" t="str">
        <f>IF($K231="","",IFERROR(INDEX('Veri Merkezi'!$R$2:$R$1001,$K231),""))</f>
        <v/>
      </c>
      <c r="H231" t="str">
        <f>IF($K231="","",IFERROR(INDEX('Veri Merkezi'!$S$2:$S$1001,$K231),""))</f>
        <v/>
      </c>
      <c r="I231" s="2" t="str">
        <f>IF($K231="","",IFERROR(INDEX('Veri Merkezi'!$T$2:$T$1001,$K231),""))</f>
        <v/>
      </c>
      <c r="J231" t="str">
        <f>IF($K231="","",IFERROR(INDEX('Veri Merkezi'!$U$2:$U$1001,$K231),""))</f>
        <v/>
      </c>
      <c r="K231" t="str">
        <f>IF(K230="","",IFERROR(K230+MATCH("Tekrar İzle",INDEX('Veri Merkezi'!$S$2:$S$1001,K230+1):'Veri Merkezi'!$S$1001,0),""))</f>
        <v/>
      </c>
    </row>
    <row r="232" spans="1:11">
      <c r="A232" t="str">
        <f>IF($K232="","",IFERROR(INDEX('Veri Merkezi'!$A$2:$A$1001,$K232),""))</f>
        <v/>
      </c>
      <c r="B232" t="str">
        <f>IF($K232="","",IFERROR(INDEX('Veri Merkezi'!$E$2:$E$1001,$K232),""))</f>
        <v/>
      </c>
      <c r="C232" t="str">
        <f>IF($K232="","",IFERROR(INDEX('Veri Merkezi'!$D$2:$D$1001,$K232),""))</f>
        <v/>
      </c>
      <c r="D232" t="str">
        <f>IF($K232="","",IFERROR(INDEX('Veri Merkezi'!$F$2:$F$1001,$K232),""))</f>
        <v/>
      </c>
      <c r="E232" s="2" t="str">
        <f>IF($K232="","",IFERROR(INDEX('Veri Merkezi'!$G$2:$G$1001,$K232),""))</f>
        <v/>
      </c>
      <c r="F232" t="str">
        <f>IF($K232="","",IFERROR(INDEX('Veri Merkezi'!$H$2:$H$1001,$K232),""))</f>
        <v/>
      </c>
      <c r="G232" t="str">
        <f>IF($K232="","",IFERROR(INDEX('Veri Merkezi'!$R$2:$R$1001,$K232),""))</f>
        <v/>
      </c>
      <c r="H232" t="str">
        <f>IF($K232="","",IFERROR(INDEX('Veri Merkezi'!$S$2:$S$1001,$K232),""))</f>
        <v/>
      </c>
      <c r="I232" s="2" t="str">
        <f>IF($K232="","",IFERROR(INDEX('Veri Merkezi'!$T$2:$T$1001,$K232),""))</f>
        <v/>
      </c>
      <c r="J232" t="str">
        <f>IF($K232="","",IFERROR(INDEX('Veri Merkezi'!$U$2:$U$1001,$K232),""))</f>
        <v/>
      </c>
      <c r="K232" t="str">
        <f>IF(K231="","",IFERROR(K231+MATCH("Tekrar İzle",INDEX('Veri Merkezi'!$S$2:$S$1001,K231+1):'Veri Merkezi'!$S$1001,0),""))</f>
        <v/>
      </c>
    </row>
    <row r="233" spans="1:11">
      <c r="A233" t="str">
        <f>IF($K233="","",IFERROR(INDEX('Veri Merkezi'!$A$2:$A$1001,$K233),""))</f>
        <v/>
      </c>
      <c r="B233" t="str">
        <f>IF($K233="","",IFERROR(INDEX('Veri Merkezi'!$E$2:$E$1001,$K233),""))</f>
        <v/>
      </c>
      <c r="C233" t="str">
        <f>IF($K233="","",IFERROR(INDEX('Veri Merkezi'!$D$2:$D$1001,$K233),""))</f>
        <v/>
      </c>
      <c r="D233" t="str">
        <f>IF($K233="","",IFERROR(INDEX('Veri Merkezi'!$F$2:$F$1001,$K233),""))</f>
        <v/>
      </c>
      <c r="E233" s="2" t="str">
        <f>IF($K233="","",IFERROR(INDEX('Veri Merkezi'!$G$2:$G$1001,$K233),""))</f>
        <v/>
      </c>
      <c r="F233" t="str">
        <f>IF($K233="","",IFERROR(INDEX('Veri Merkezi'!$H$2:$H$1001,$K233),""))</f>
        <v/>
      </c>
      <c r="G233" t="str">
        <f>IF($K233="","",IFERROR(INDEX('Veri Merkezi'!$R$2:$R$1001,$K233),""))</f>
        <v/>
      </c>
      <c r="H233" t="str">
        <f>IF($K233="","",IFERROR(INDEX('Veri Merkezi'!$S$2:$S$1001,$K233),""))</f>
        <v/>
      </c>
      <c r="I233" s="2" t="str">
        <f>IF($K233="","",IFERROR(INDEX('Veri Merkezi'!$T$2:$T$1001,$K233),""))</f>
        <v/>
      </c>
      <c r="J233" t="str">
        <f>IF($K233="","",IFERROR(INDEX('Veri Merkezi'!$U$2:$U$1001,$K233),""))</f>
        <v/>
      </c>
      <c r="K233" t="str">
        <f>IF(K232="","",IFERROR(K232+MATCH("Tekrar İzle",INDEX('Veri Merkezi'!$S$2:$S$1001,K232+1):'Veri Merkezi'!$S$1001,0),""))</f>
        <v/>
      </c>
    </row>
    <row r="234" spans="1:11">
      <c r="A234" t="str">
        <f>IF($K234="","",IFERROR(INDEX('Veri Merkezi'!$A$2:$A$1001,$K234),""))</f>
        <v/>
      </c>
      <c r="B234" t="str">
        <f>IF($K234="","",IFERROR(INDEX('Veri Merkezi'!$E$2:$E$1001,$K234),""))</f>
        <v/>
      </c>
      <c r="C234" t="str">
        <f>IF($K234="","",IFERROR(INDEX('Veri Merkezi'!$D$2:$D$1001,$K234),""))</f>
        <v/>
      </c>
      <c r="D234" t="str">
        <f>IF($K234="","",IFERROR(INDEX('Veri Merkezi'!$F$2:$F$1001,$K234),""))</f>
        <v/>
      </c>
      <c r="E234" s="2" t="str">
        <f>IF($K234="","",IFERROR(INDEX('Veri Merkezi'!$G$2:$G$1001,$K234),""))</f>
        <v/>
      </c>
      <c r="F234" t="str">
        <f>IF($K234="","",IFERROR(INDEX('Veri Merkezi'!$H$2:$H$1001,$K234),""))</f>
        <v/>
      </c>
      <c r="G234" t="str">
        <f>IF($K234="","",IFERROR(INDEX('Veri Merkezi'!$R$2:$R$1001,$K234),""))</f>
        <v/>
      </c>
      <c r="H234" t="str">
        <f>IF($K234="","",IFERROR(INDEX('Veri Merkezi'!$S$2:$S$1001,$K234),""))</f>
        <v/>
      </c>
      <c r="I234" s="2" t="str">
        <f>IF($K234="","",IFERROR(INDEX('Veri Merkezi'!$T$2:$T$1001,$K234),""))</f>
        <v/>
      </c>
      <c r="J234" t="str">
        <f>IF($K234="","",IFERROR(INDEX('Veri Merkezi'!$U$2:$U$1001,$K234),""))</f>
        <v/>
      </c>
      <c r="K234" t="str">
        <f>IF(K233="","",IFERROR(K233+MATCH("Tekrar İzle",INDEX('Veri Merkezi'!$S$2:$S$1001,K233+1):'Veri Merkezi'!$S$1001,0),""))</f>
        <v/>
      </c>
    </row>
    <row r="235" spans="1:11">
      <c r="A235" t="str">
        <f>IF($K235="","",IFERROR(INDEX('Veri Merkezi'!$A$2:$A$1001,$K235),""))</f>
        <v/>
      </c>
      <c r="B235" t="str">
        <f>IF($K235="","",IFERROR(INDEX('Veri Merkezi'!$E$2:$E$1001,$K235),""))</f>
        <v/>
      </c>
      <c r="C235" t="str">
        <f>IF($K235="","",IFERROR(INDEX('Veri Merkezi'!$D$2:$D$1001,$K235),""))</f>
        <v/>
      </c>
      <c r="D235" t="str">
        <f>IF($K235="","",IFERROR(INDEX('Veri Merkezi'!$F$2:$F$1001,$K235),""))</f>
        <v/>
      </c>
      <c r="E235" s="2" t="str">
        <f>IF($K235="","",IFERROR(INDEX('Veri Merkezi'!$G$2:$G$1001,$K235),""))</f>
        <v/>
      </c>
      <c r="F235" t="str">
        <f>IF($K235="","",IFERROR(INDEX('Veri Merkezi'!$H$2:$H$1001,$K235),""))</f>
        <v/>
      </c>
      <c r="G235" t="str">
        <f>IF($K235="","",IFERROR(INDEX('Veri Merkezi'!$R$2:$R$1001,$K235),""))</f>
        <v/>
      </c>
      <c r="H235" t="str">
        <f>IF($K235="","",IFERROR(INDEX('Veri Merkezi'!$S$2:$S$1001,$K235),""))</f>
        <v/>
      </c>
      <c r="I235" s="2" t="str">
        <f>IF($K235="","",IFERROR(INDEX('Veri Merkezi'!$T$2:$T$1001,$K235),""))</f>
        <v/>
      </c>
      <c r="J235" t="str">
        <f>IF($K235="","",IFERROR(INDEX('Veri Merkezi'!$U$2:$U$1001,$K235),""))</f>
        <v/>
      </c>
      <c r="K235" t="str">
        <f>IF(K234="","",IFERROR(K234+MATCH("Tekrar İzle",INDEX('Veri Merkezi'!$S$2:$S$1001,K234+1):'Veri Merkezi'!$S$1001,0),""))</f>
        <v/>
      </c>
    </row>
    <row r="236" spans="1:11">
      <c r="A236" t="str">
        <f>IF($K236="","",IFERROR(INDEX('Veri Merkezi'!$A$2:$A$1001,$K236),""))</f>
        <v/>
      </c>
      <c r="B236" t="str">
        <f>IF($K236="","",IFERROR(INDEX('Veri Merkezi'!$E$2:$E$1001,$K236),""))</f>
        <v/>
      </c>
      <c r="C236" t="str">
        <f>IF($K236="","",IFERROR(INDEX('Veri Merkezi'!$D$2:$D$1001,$K236),""))</f>
        <v/>
      </c>
      <c r="D236" t="str">
        <f>IF($K236="","",IFERROR(INDEX('Veri Merkezi'!$F$2:$F$1001,$K236),""))</f>
        <v/>
      </c>
      <c r="E236" s="2" t="str">
        <f>IF($K236="","",IFERROR(INDEX('Veri Merkezi'!$G$2:$G$1001,$K236),""))</f>
        <v/>
      </c>
      <c r="F236" t="str">
        <f>IF($K236="","",IFERROR(INDEX('Veri Merkezi'!$H$2:$H$1001,$K236),""))</f>
        <v/>
      </c>
      <c r="G236" t="str">
        <f>IF($K236="","",IFERROR(INDEX('Veri Merkezi'!$R$2:$R$1001,$K236),""))</f>
        <v/>
      </c>
      <c r="H236" t="str">
        <f>IF($K236="","",IFERROR(INDEX('Veri Merkezi'!$S$2:$S$1001,$K236),""))</f>
        <v/>
      </c>
      <c r="I236" s="2" t="str">
        <f>IF($K236="","",IFERROR(INDEX('Veri Merkezi'!$T$2:$T$1001,$K236),""))</f>
        <v/>
      </c>
      <c r="J236" t="str">
        <f>IF($K236="","",IFERROR(INDEX('Veri Merkezi'!$U$2:$U$1001,$K236),""))</f>
        <v/>
      </c>
      <c r="K236" t="str">
        <f>IF(K235="","",IFERROR(K235+MATCH("Tekrar İzle",INDEX('Veri Merkezi'!$S$2:$S$1001,K235+1):'Veri Merkezi'!$S$1001,0),""))</f>
        <v/>
      </c>
    </row>
    <row r="237" spans="1:11">
      <c r="A237" t="str">
        <f>IF($K237="","",IFERROR(INDEX('Veri Merkezi'!$A$2:$A$1001,$K237),""))</f>
        <v/>
      </c>
      <c r="B237" t="str">
        <f>IF($K237="","",IFERROR(INDEX('Veri Merkezi'!$E$2:$E$1001,$K237),""))</f>
        <v/>
      </c>
      <c r="C237" t="str">
        <f>IF($K237="","",IFERROR(INDEX('Veri Merkezi'!$D$2:$D$1001,$K237),""))</f>
        <v/>
      </c>
      <c r="D237" t="str">
        <f>IF($K237="","",IFERROR(INDEX('Veri Merkezi'!$F$2:$F$1001,$K237),""))</f>
        <v/>
      </c>
      <c r="E237" s="2" t="str">
        <f>IF($K237="","",IFERROR(INDEX('Veri Merkezi'!$G$2:$G$1001,$K237),""))</f>
        <v/>
      </c>
      <c r="F237" t="str">
        <f>IF($K237="","",IFERROR(INDEX('Veri Merkezi'!$H$2:$H$1001,$K237),""))</f>
        <v/>
      </c>
      <c r="G237" t="str">
        <f>IF($K237="","",IFERROR(INDEX('Veri Merkezi'!$R$2:$R$1001,$K237),""))</f>
        <v/>
      </c>
      <c r="H237" t="str">
        <f>IF($K237="","",IFERROR(INDEX('Veri Merkezi'!$S$2:$S$1001,$K237),""))</f>
        <v/>
      </c>
      <c r="I237" s="2" t="str">
        <f>IF($K237="","",IFERROR(INDEX('Veri Merkezi'!$T$2:$T$1001,$K237),""))</f>
        <v/>
      </c>
      <c r="J237" t="str">
        <f>IF($K237="","",IFERROR(INDEX('Veri Merkezi'!$U$2:$U$1001,$K237),""))</f>
        <v/>
      </c>
      <c r="K237" t="str">
        <f>IF(K236="","",IFERROR(K236+MATCH("Tekrar İzle",INDEX('Veri Merkezi'!$S$2:$S$1001,K236+1):'Veri Merkezi'!$S$1001,0),""))</f>
        <v/>
      </c>
    </row>
    <row r="238" spans="1:11">
      <c r="A238" t="str">
        <f>IF($K238="","",IFERROR(INDEX('Veri Merkezi'!$A$2:$A$1001,$K238),""))</f>
        <v/>
      </c>
      <c r="B238" t="str">
        <f>IF($K238="","",IFERROR(INDEX('Veri Merkezi'!$E$2:$E$1001,$K238),""))</f>
        <v/>
      </c>
      <c r="C238" t="str">
        <f>IF($K238="","",IFERROR(INDEX('Veri Merkezi'!$D$2:$D$1001,$K238),""))</f>
        <v/>
      </c>
      <c r="D238" t="str">
        <f>IF($K238="","",IFERROR(INDEX('Veri Merkezi'!$F$2:$F$1001,$K238),""))</f>
        <v/>
      </c>
      <c r="E238" s="2" t="str">
        <f>IF($K238="","",IFERROR(INDEX('Veri Merkezi'!$G$2:$G$1001,$K238),""))</f>
        <v/>
      </c>
      <c r="F238" t="str">
        <f>IF($K238="","",IFERROR(INDEX('Veri Merkezi'!$H$2:$H$1001,$K238),""))</f>
        <v/>
      </c>
      <c r="G238" t="str">
        <f>IF($K238="","",IFERROR(INDEX('Veri Merkezi'!$R$2:$R$1001,$K238),""))</f>
        <v/>
      </c>
      <c r="H238" t="str">
        <f>IF($K238="","",IFERROR(INDEX('Veri Merkezi'!$S$2:$S$1001,$K238),""))</f>
        <v/>
      </c>
      <c r="I238" s="2" t="str">
        <f>IF($K238="","",IFERROR(INDEX('Veri Merkezi'!$T$2:$T$1001,$K238),""))</f>
        <v/>
      </c>
      <c r="J238" t="str">
        <f>IF($K238="","",IFERROR(INDEX('Veri Merkezi'!$U$2:$U$1001,$K238),""))</f>
        <v/>
      </c>
      <c r="K238" t="str">
        <f>IF(K237="","",IFERROR(K237+MATCH("Tekrar İzle",INDEX('Veri Merkezi'!$S$2:$S$1001,K237+1):'Veri Merkezi'!$S$1001,0),""))</f>
        <v/>
      </c>
    </row>
    <row r="239" spans="1:11">
      <c r="A239" t="str">
        <f>IF($K239="","",IFERROR(INDEX('Veri Merkezi'!$A$2:$A$1001,$K239),""))</f>
        <v/>
      </c>
      <c r="B239" t="str">
        <f>IF($K239="","",IFERROR(INDEX('Veri Merkezi'!$E$2:$E$1001,$K239),""))</f>
        <v/>
      </c>
      <c r="C239" t="str">
        <f>IF($K239="","",IFERROR(INDEX('Veri Merkezi'!$D$2:$D$1001,$K239),""))</f>
        <v/>
      </c>
      <c r="D239" t="str">
        <f>IF($K239="","",IFERROR(INDEX('Veri Merkezi'!$F$2:$F$1001,$K239),""))</f>
        <v/>
      </c>
      <c r="E239" s="2" t="str">
        <f>IF($K239="","",IFERROR(INDEX('Veri Merkezi'!$G$2:$G$1001,$K239),""))</f>
        <v/>
      </c>
      <c r="F239" t="str">
        <f>IF($K239="","",IFERROR(INDEX('Veri Merkezi'!$H$2:$H$1001,$K239),""))</f>
        <v/>
      </c>
      <c r="G239" t="str">
        <f>IF($K239="","",IFERROR(INDEX('Veri Merkezi'!$R$2:$R$1001,$K239),""))</f>
        <v/>
      </c>
      <c r="H239" t="str">
        <f>IF($K239="","",IFERROR(INDEX('Veri Merkezi'!$S$2:$S$1001,$K239),""))</f>
        <v/>
      </c>
      <c r="I239" s="2" t="str">
        <f>IF($K239="","",IFERROR(INDEX('Veri Merkezi'!$T$2:$T$1001,$K239),""))</f>
        <v/>
      </c>
      <c r="J239" t="str">
        <f>IF($K239="","",IFERROR(INDEX('Veri Merkezi'!$U$2:$U$1001,$K239),""))</f>
        <v/>
      </c>
      <c r="K239" t="str">
        <f>IF(K238="","",IFERROR(K238+MATCH("Tekrar İzle",INDEX('Veri Merkezi'!$S$2:$S$1001,K238+1):'Veri Merkezi'!$S$1001,0),""))</f>
        <v/>
      </c>
    </row>
    <row r="240" spans="1:11">
      <c r="A240" t="str">
        <f>IF($K240="","",IFERROR(INDEX('Veri Merkezi'!$A$2:$A$1001,$K240),""))</f>
        <v/>
      </c>
      <c r="B240" t="str">
        <f>IF($K240="","",IFERROR(INDEX('Veri Merkezi'!$E$2:$E$1001,$K240),""))</f>
        <v/>
      </c>
      <c r="C240" t="str">
        <f>IF($K240="","",IFERROR(INDEX('Veri Merkezi'!$D$2:$D$1001,$K240),""))</f>
        <v/>
      </c>
      <c r="D240" t="str">
        <f>IF($K240="","",IFERROR(INDEX('Veri Merkezi'!$F$2:$F$1001,$K240),""))</f>
        <v/>
      </c>
      <c r="E240" s="2" t="str">
        <f>IF($K240="","",IFERROR(INDEX('Veri Merkezi'!$G$2:$G$1001,$K240),""))</f>
        <v/>
      </c>
      <c r="F240" t="str">
        <f>IF($K240="","",IFERROR(INDEX('Veri Merkezi'!$H$2:$H$1001,$K240),""))</f>
        <v/>
      </c>
      <c r="G240" t="str">
        <f>IF($K240="","",IFERROR(INDEX('Veri Merkezi'!$R$2:$R$1001,$K240),""))</f>
        <v/>
      </c>
      <c r="H240" t="str">
        <f>IF($K240="","",IFERROR(INDEX('Veri Merkezi'!$S$2:$S$1001,$K240),""))</f>
        <v/>
      </c>
      <c r="I240" s="2" t="str">
        <f>IF($K240="","",IFERROR(INDEX('Veri Merkezi'!$T$2:$T$1001,$K240),""))</f>
        <v/>
      </c>
      <c r="J240" t="str">
        <f>IF($K240="","",IFERROR(INDEX('Veri Merkezi'!$U$2:$U$1001,$K240),""))</f>
        <v/>
      </c>
      <c r="K240" t="str">
        <f>IF(K239="","",IFERROR(K239+MATCH("Tekrar İzle",INDEX('Veri Merkezi'!$S$2:$S$1001,K239+1):'Veri Merkezi'!$S$1001,0),""))</f>
        <v/>
      </c>
    </row>
    <row r="241" spans="1:11">
      <c r="A241" t="str">
        <f>IF($K241="","",IFERROR(INDEX('Veri Merkezi'!$A$2:$A$1001,$K241),""))</f>
        <v/>
      </c>
      <c r="B241" t="str">
        <f>IF($K241="","",IFERROR(INDEX('Veri Merkezi'!$E$2:$E$1001,$K241),""))</f>
        <v/>
      </c>
      <c r="C241" t="str">
        <f>IF($K241="","",IFERROR(INDEX('Veri Merkezi'!$D$2:$D$1001,$K241),""))</f>
        <v/>
      </c>
      <c r="D241" t="str">
        <f>IF($K241="","",IFERROR(INDEX('Veri Merkezi'!$F$2:$F$1001,$K241),""))</f>
        <v/>
      </c>
      <c r="E241" s="2" t="str">
        <f>IF($K241="","",IFERROR(INDEX('Veri Merkezi'!$G$2:$G$1001,$K241),""))</f>
        <v/>
      </c>
      <c r="F241" t="str">
        <f>IF($K241="","",IFERROR(INDEX('Veri Merkezi'!$H$2:$H$1001,$K241),""))</f>
        <v/>
      </c>
      <c r="G241" t="str">
        <f>IF($K241="","",IFERROR(INDEX('Veri Merkezi'!$R$2:$R$1001,$K241),""))</f>
        <v/>
      </c>
      <c r="H241" t="str">
        <f>IF($K241="","",IFERROR(INDEX('Veri Merkezi'!$S$2:$S$1001,$K241),""))</f>
        <v/>
      </c>
      <c r="I241" s="2" t="str">
        <f>IF($K241="","",IFERROR(INDEX('Veri Merkezi'!$T$2:$T$1001,$K241),""))</f>
        <v/>
      </c>
      <c r="J241" t="str">
        <f>IF($K241="","",IFERROR(INDEX('Veri Merkezi'!$U$2:$U$1001,$K241),""))</f>
        <v/>
      </c>
      <c r="K241" t="str">
        <f>IF(K240="","",IFERROR(K240+MATCH("Tekrar İzle",INDEX('Veri Merkezi'!$S$2:$S$1001,K240+1):'Veri Merkezi'!$S$1001,0),""))</f>
        <v/>
      </c>
    </row>
    <row r="242" spans="1:11">
      <c r="A242" t="str">
        <f>IF($K242="","",IFERROR(INDEX('Veri Merkezi'!$A$2:$A$1001,$K242),""))</f>
        <v/>
      </c>
      <c r="B242" t="str">
        <f>IF($K242="","",IFERROR(INDEX('Veri Merkezi'!$E$2:$E$1001,$K242),""))</f>
        <v/>
      </c>
      <c r="C242" t="str">
        <f>IF($K242="","",IFERROR(INDEX('Veri Merkezi'!$D$2:$D$1001,$K242),""))</f>
        <v/>
      </c>
      <c r="D242" t="str">
        <f>IF($K242="","",IFERROR(INDEX('Veri Merkezi'!$F$2:$F$1001,$K242),""))</f>
        <v/>
      </c>
      <c r="E242" s="2" t="str">
        <f>IF($K242="","",IFERROR(INDEX('Veri Merkezi'!$G$2:$G$1001,$K242),""))</f>
        <v/>
      </c>
      <c r="F242" t="str">
        <f>IF($K242="","",IFERROR(INDEX('Veri Merkezi'!$H$2:$H$1001,$K242),""))</f>
        <v/>
      </c>
      <c r="G242" t="str">
        <f>IF($K242="","",IFERROR(INDEX('Veri Merkezi'!$R$2:$R$1001,$K242),""))</f>
        <v/>
      </c>
      <c r="H242" t="str">
        <f>IF($K242="","",IFERROR(INDEX('Veri Merkezi'!$S$2:$S$1001,$K242),""))</f>
        <v/>
      </c>
      <c r="I242" s="2" t="str">
        <f>IF($K242="","",IFERROR(INDEX('Veri Merkezi'!$T$2:$T$1001,$K242),""))</f>
        <v/>
      </c>
      <c r="J242" t="str">
        <f>IF($K242="","",IFERROR(INDEX('Veri Merkezi'!$U$2:$U$1001,$K242),""))</f>
        <v/>
      </c>
      <c r="K242" t="str">
        <f>IF(K241="","",IFERROR(K241+MATCH("Tekrar İzle",INDEX('Veri Merkezi'!$S$2:$S$1001,K241+1):'Veri Merkezi'!$S$1001,0),""))</f>
        <v/>
      </c>
    </row>
    <row r="243" spans="1:11">
      <c r="A243" t="str">
        <f>IF($K243="","",IFERROR(INDEX('Veri Merkezi'!$A$2:$A$1001,$K243),""))</f>
        <v/>
      </c>
      <c r="B243" t="str">
        <f>IF($K243="","",IFERROR(INDEX('Veri Merkezi'!$E$2:$E$1001,$K243),""))</f>
        <v/>
      </c>
      <c r="C243" t="str">
        <f>IF($K243="","",IFERROR(INDEX('Veri Merkezi'!$D$2:$D$1001,$K243),""))</f>
        <v/>
      </c>
      <c r="D243" t="str">
        <f>IF($K243="","",IFERROR(INDEX('Veri Merkezi'!$F$2:$F$1001,$K243),""))</f>
        <v/>
      </c>
      <c r="E243" s="2" t="str">
        <f>IF($K243="","",IFERROR(INDEX('Veri Merkezi'!$G$2:$G$1001,$K243),""))</f>
        <v/>
      </c>
      <c r="F243" t="str">
        <f>IF($K243="","",IFERROR(INDEX('Veri Merkezi'!$H$2:$H$1001,$K243),""))</f>
        <v/>
      </c>
      <c r="G243" t="str">
        <f>IF($K243="","",IFERROR(INDEX('Veri Merkezi'!$R$2:$R$1001,$K243),""))</f>
        <v/>
      </c>
      <c r="H243" t="str">
        <f>IF($K243="","",IFERROR(INDEX('Veri Merkezi'!$S$2:$S$1001,$K243),""))</f>
        <v/>
      </c>
      <c r="I243" s="2" t="str">
        <f>IF($K243="","",IFERROR(INDEX('Veri Merkezi'!$T$2:$T$1001,$K243),""))</f>
        <v/>
      </c>
      <c r="J243" t="str">
        <f>IF($K243="","",IFERROR(INDEX('Veri Merkezi'!$U$2:$U$1001,$K243),""))</f>
        <v/>
      </c>
      <c r="K243" t="str">
        <f>IF(K242="","",IFERROR(K242+MATCH("Tekrar İzle",INDEX('Veri Merkezi'!$S$2:$S$1001,K242+1):'Veri Merkezi'!$S$1001,0),""))</f>
        <v/>
      </c>
    </row>
    <row r="244" spans="1:11">
      <c r="A244" t="str">
        <f>IF($K244="","",IFERROR(INDEX('Veri Merkezi'!$A$2:$A$1001,$K244),""))</f>
        <v/>
      </c>
      <c r="B244" t="str">
        <f>IF($K244="","",IFERROR(INDEX('Veri Merkezi'!$E$2:$E$1001,$K244),""))</f>
        <v/>
      </c>
      <c r="C244" t="str">
        <f>IF($K244="","",IFERROR(INDEX('Veri Merkezi'!$D$2:$D$1001,$K244),""))</f>
        <v/>
      </c>
      <c r="D244" t="str">
        <f>IF($K244="","",IFERROR(INDEX('Veri Merkezi'!$F$2:$F$1001,$K244),""))</f>
        <v/>
      </c>
      <c r="E244" s="2" t="str">
        <f>IF($K244="","",IFERROR(INDEX('Veri Merkezi'!$G$2:$G$1001,$K244),""))</f>
        <v/>
      </c>
      <c r="F244" t="str">
        <f>IF($K244="","",IFERROR(INDEX('Veri Merkezi'!$H$2:$H$1001,$K244),""))</f>
        <v/>
      </c>
      <c r="G244" t="str">
        <f>IF($K244="","",IFERROR(INDEX('Veri Merkezi'!$R$2:$R$1001,$K244),""))</f>
        <v/>
      </c>
      <c r="H244" t="str">
        <f>IF($K244="","",IFERROR(INDEX('Veri Merkezi'!$S$2:$S$1001,$K244),""))</f>
        <v/>
      </c>
      <c r="I244" s="2" t="str">
        <f>IF($K244="","",IFERROR(INDEX('Veri Merkezi'!$T$2:$T$1001,$K244),""))</f>
        <v/>
      </c>
      <c r="J244" t="str">
        <f>IF($K244="","",IFERROR(INDEX('Veri Merkezi'!$U$2:$U$1001,$K244),""))</f>
        <v/>
      </c>
      <c r="K244" t="str">
        <f>IF(K243="","",IFERROR(K243+MATCH("Tekrar İzle",INDEX('Veri Merkezi'!$S$2:$S$1001,K243+1):'Veri Merkezi'!$S$1001,0),""))</f>
        <v/>
      </c>
    </row>
    <row r="245" spans="1:11">
      <c r="A245" t="str">
        <f>IF($K245="","",IFERROR(INDEX('Veri Merkezi'!$A$2:$A$1001,$K245),""))</f>
        <v/>
      </c>
      <c r="B245" t="str">
        <f>IF($K245="","",IFERROR(INDEX('Veri Merkezi'!$E$2:$E$1001,$K245),""))</f>
        <v/>
      </c>
      <c r="C245" t="str">
        <f>IF($K245="","",IFERROR(INDEX('Veri Merkezi'!$D$2:$D$1001,$K245),""))</f>
        <v/>
      </c>
      <c r="D245" t="str">
        <f>IF($K245="","",IFERROR(INDEX('Veri Merkezi'!$F$2:$F$1001,$K245),""))</f>
        <v/>
      </c>
      <c r="E245" s="2" t="str">
        <f>IF($K245="","",IFERROR(INDEX('Veri Merkezi'!$G$2:$G$1001,$K245),""))</f>
        <v/>
      </c>
      <c r="F245" t="str">
        <f>IF($K245="","",IFERROR(INDEX('Veri Merkezi'!$H$2:$H$1001,$K245),""))</f>
        <v/>
      </c>
      <c r="G245" t="str">
        <f>IF($K245="","",IFERROR(INDEX('Veri Merkezi'!$R$2:$R$1001,$K245),""))</f>
        <v/>
      </c>
      <c r="H245" t="str">
        <f>IF($K245="","",IFERROR(INDEX('Veri Merkezi'!$S$2:$S$1001,$K245),""))</f>
        <v/>
      </c>
      <c r="I245" s="2" t="str">
        <f>IF($K245="","",IFERROR(INDEX('Veri Merkezi'!$T$2:$T$1001,$K245),""))</f>
        <v/>
      </c>
      <c r="J245" t="str">
        <f>IF($K245="","",IFERROR(INDEX('Veri Merkezi'!$U$2:$U$1001,$K245),""))</f>
        <v/>
      </c>
      <c r="K245" t="str">
        <f>IF(K244="","",IFERROR(K244+MATCH("Tekrar İzle",INDEX('Veri Merkezi'!$S$2:$S$1001,K244+1):'Veri Merkezi'!$S$1001,0),""))</f>
        <v/>
      </c>
    </row>
    <row r="246" spans="1:11">
      <c r="A246" t="str">
        <f>IF($K246="","",IFERROR(INDEX('Veri Merkezi'!$A$2:$A$1001,$K246),""))</f>
        <v/>
      </c>
      <c r="B246" t="str">
        <f>IF($K246="","",IFERROR(INDEX('Veri Merkezi'!$E$2:$E$1001,$K246),""))</f>
        <v/>
      </c>
      <c r="C246" t="str">
        <f>IF($K246="","",IFERROR(INDEX('Veri Merkezi'!$D$2:$D$1001,$K246),""))</f>
        <v/>
      </c>
      <c r="D246" t="str">
        <f>IF($K246="","",IFERROR(INDEX('Veri Merkezi'!$F$2:$F$1001,$K246),""))</f>
        <v/>
      </c>
      <c r="E246" s="2" t="str">
        <f>IF($K246="","",IFERROR(INDEX('Veri Merkezi'!$G$2:$G$1001,$K246),""))</f>
        <v/>
      </c>
      <c r="F246" t="str">
        <f>IF($K246="","",IFERROR(INDEX('Veri Merkezi'!$H$2:$H$1001,$K246),""))</f>
        <v/>
      </c>
      <c r="G246" t="str">
        <f>IF($K246="","",IFERROR(INDEX('Veri Merkezi'!$R$2:$R$1001,$K246),""))</f>
        <v/>
      </c>
      <c r="H246" t="str">
        <f>IF($K246="","",IFERROR(INDEX('Veri Merkezi'!$S$2:$S$1001,$K246),""))</f>
        <v/>
      </c>
      <c r="I246" s="2" t="str">
        <f>IF($K246="","",IFERROR(INDEX('Veri Merkezi'!$T$2:$T$1001,$K246),""))</f>
        <v/>
      </c>
      <c r="J246" t="str">
        <f>IF($K246="","",IFERROR(INDEX('Veri Merkezi'!$U$2:$U$1001,$K246),""))</f>
        <v/>
      </c>
      <c r="K246" t="str">
        <f>IF(K245="","",IFERROR(K245+MATCH("Tekrar İzle",INDEX('Veri Merkezi'!$S$2:$S$1001,K245+1):'Veri Merkezi'!$S$1001,0),""))</f>
        <v/>
      </c>
    </row>
    <row r="247" spans="1:11">
      <c r="A247" t="str">
        <f>IF($K247="","",IFERROR(INDEX('Veri Merkezi'!$A$2:$A$1001,$K247),""))</f>
        <v/>
      </c>
      <c r="B247" t="str">
        <f>IF($K247="","",IFERROR(INDEX('Veri Merkezi'!$E$2:$E$1001,$K247),""))</f>
        <v/>
      </c>
      <c r="C247" t="str">
        <f>IF($K247="","",IFERROR(INDEX('Veri Merkezi'!$D$2:$D$1001,$K247),""))</f>
        <v/>
      </c>
      <c r="D247" t="str">
        <f>IF($K247="","",IFERROR(INDEX('Veri Merkezi'!$F$2:$F$1001,$K247),""))</f>
        <v/>
      </c>
      <c r="E247" s="2" t="str">
        <f>IF($K247="","",IFERROR(INDEX('Veri Merkezi'!$G$2:$G$1001,$K247),""))</f>
        <v/>
      </c>
      <c r="F247" t="str">
        <f>IF($K247="","",IFERROR(INDEX('Veri Merkezi'!$H$2:$H$1001,$K247),""))</f>
        <v/>
      </c>
      <c r="G247" t="str">
        <f>IF($K247="","",IFERROR(INDEX('Veri Merkezi'!$R$2:$R$1001,$K247),""))</f>
        <v/>
      </c>
      <c r="H247" t="str">
        <f>IF($K247="","",IFERROR(INDEX('Veri Merkezi'!$S$2:$S$1001,$K247),""))</f>
        <v/>
      </c>
      <c r="I247" s="2" t="str">
        <f>IF($K247="","",IFERROR(INDEX('Veri Merkezi'!$T$2:$T$1001,$K247),""))</f>
        <v/>
      </c>
      <c r="J247" t="str">
        <f>IF($K247="","",IFERROR(INDEX('Veri Merkezi'!$U$2:$U$1001,$K247),""))</f>
        <v/>
      </c>
      <c r="K247" t="str">
        <f>IF(K246="","",IFERROR(K246+MATCH("Tekrar İzle",INDEX('Veri Merkezi'!$S$2:$S$1001,K246+1):'Veri Merkezi'!$S$1001,0),""))</f>
        <v/>
      </c>
    </row>
    <row r="248" spans="1:11">
      <c r="A248" t="str">
        <f>IF($K248="","",IFERROR(INDEX('Veri Merkezi'!$A$2:$A$1001,$K248),""))</f>
        <v/>
      </c>
      <c r="B248" t="str">
        <f>IF($K248="","",IFERROR(INDEX('Veri Merkezi'!$E$2:$E$1001,$K248),""))</f>
        <v/>
      </c>
      <c r="C248" t="str">
        <f>IF($K248="","",IFERROR(INDEX('Veri Merkezi'!$D$2:$D$1001,$K248),""))</f>
        <v/>
      </c>
      <c r="D248" t="str">
        <f>IF($K248="","",IFERROR(INDEX('Veri Merkezi'!$F$2:$F$1001,$K248),""))</f>
        <v/>
      </c>
      <c r="E248" s="2" t="str">
        <f>IF($K248="","",IFERROR(INDEX('Veri Merkezi'!$G$2:$G$1001,$K248),""))</f>
        <v/>
      </c>
      <c r="F248" t="str">
        <f>IF($K248="","",IFERROR(INDEX('Veri Merkezi'!$H$2:$H$1001,$K248),""))</f>
        <v/>
      </c>
      <c r="G248" t="str">
        <f>IF($K248="","",IFERROR(INDEX('Veri Merkezi'!$R$2:$R$1001,$K248),""))</f>
        <v/>
      </c>
      <c r="H248" t="str">
        <f>IF($K248="","",IFERROR(INDEX('Veri Merkezi'!$S$2:$S$1001,$K248),""))</f>
        <v/>
      </c>
      <c r="I248" s="2" t="str">
        <f>IF($K248="","",IFERROR(INDEX('Veri Merkezi'!$T$2:$T$1001,$K248),""))</f>
        <v/>
      </c>
      <c r="J248" t="str">
        <f>IF($K248="","",IFERROR(INDEX('Veri Merkezi'!$U$2:$U$1001,$K248),""))</f>
        <v/>
      </c>
      <c r="K248" t="str">
        <f>IF(K247="","",IFERROR(K247+MATCH("Tekrar İzle",INDEX('Veri Merkezi'!$S$2:$S$1001,K247+1):'Veri Merkezi'!$S$1001,0),""))</f>
        <v/>
      </c>
    </row>
    <row r="249" spans="1:11">
      <c r="A249" t="str">
        <f>IF($K249="","",IFERROR(INDEX('Veri Merkezi'!$A$2:$A$1001,$K249),""))</f>
        <v/>
      </c>
      <c r="B249" t="str">
        <f>IF($K249="","",IFERROR(INDEX('Veri Merkezi'!$E$2:$E$1001,$K249),""))</f>
        <v/>
      </c>
      <c r="C249" t="str">
        <f>IF($K249="","",IFERROR(INDEX('Veri Merkezi'!$D$2:$D$1001,$K249),""))</f>
        <v/>
      </c>
      <c r="D249" t="str">
        <f>IF($K249="","",IFERROR(INDEX('Veri Merkezi'!$F$2:$F$1001,$K249),""))</f>
        <v/>
      </c>
      <c r="E249" s="2" t="str">
        <f>IF($K249="","",IFERROR(INDEX('Veri Merkezi'!$G$2:$G$1001,$K249),""))</f>
        <v/>
      </c>
      <c r="F249" t="str">
        <f>IF($K249="","",IFERROR(INDEX('Veri Merkezi'!$H$2:$H$1001,$K249),""))</f>
        <v/>
      </c>
      <c r="G249" t="str">
        <f>IF($K249="","",IFERROR(INDEX('Veri Merkezi'!$R$2:$R$1001,$K249),""))</f>
        <v/>
      </c>
      <c r="H249" t="str">
        <f>IF($K249="","",IFERROR(INDEX('Veri Merkezi'!$S$2:$S$1001,$K249),""))</f>
        <v/>
      </c>
      <c r="I249" s="2" t="str">
        <f>IF($K249="","",IFERROR(INDEX('Veri Merkezi'!$T$2:$T$1001,$K249),""))</f>
        <v/>
      </c>
      <c r="J249" t="str">
        <f>IF($K249="","",IFERROR(INDEX('Veri Merkezi'!$U$2:$U$1001,$K249),""))</f>
        <v/>
      </c>
      <c r="K249" t="str">
        <f>IF(K248="","",IFERROR(K248+MATCH("Tekrar İzle",INDEX('Veri Merkezi'!$S$2:$S$1001,K248+1):'Veri Merkezi'!$S$1001,0),""))</f>
        <v/>
      </c>
    </row>
    <row r="250" spans="1:11">
      <c r="A250" t="str">
        <f>IF($K250="","",IFERROR(INDEX('Veri Merkezi'!$A$2:$A$1001,$K250),""))</f>
        <v/>
      </c>
      <c r="B250" t="str">
        <f>IF($K250="","",IFERROR(INDEX('Veri Merkezi'!$E$2:$E$1001,$K250),""))</f>
        <v/>
      </c>
      <c r="C250" t="str">
        <f>IF($K250="","",IFERROR(INDEX('Veri Merkezi'!$D$2:$D$1001,$K250),""))</f>
        <v/>
      </c>
      <c r="D250" t="str">
        <f>IF($K250="","",IFERROR(INDEX('Veri Merkezi'!$F$2:$F$1001,$K250),""))</f>
        <v/>
      </c>
      <c r="E250" s="2" t="str">
        <f>IF($K250="","",IFERROR(INDEX('Veri Merkezi'!$G$2:$G$1001,$K250),""))</f>
        <v/>
      </c>
      <c r="F250" t="str">
        <f>IF($K250="","",IFERROR(INDEX('Veri Merkezi'!$H$2:$H$1001,$K250),""))</f>
        <v/>
      </c>
      <c r="G250" t="str">
        <f>IF($K250="","",IFERROR(INDEX('Veri Merkezi'!$R$2:$R$1001,$K250),""))</f>
        <v/>
      </c>
      <c r="H250" t="str">
        <f>IF($K250="","",IFERROR(INDEX('Veri Merkezi'!$S$2:$S$1001,$K250),""))</f>
        <v/>
      </c>
      <c r="I250" s="2" t="str">
        <f>IF($K250="","",IFERROR(INDEX('Veri Merkezi'!$T$2:$T$1001,$K250),""))</f>
        <v/>
      </c>
      <c r="J250" t="str">
        <f>IF($K250="","",IFERROR(INDEX('Veri Merkezi'!$U$2:$U$1001,$K250),""))</f>
        <v/>
      </c>
      <c r="K250" t="str">
        <f>IF(K249="","",IFERROR(K249+MATCH("Tekrar İzle",INDEX('Veri Merkezi'!$S$2:$S$1001,K249+1):'Veri Merkezi'!$S$1001,0),""))</f>
        <v/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0"/>
  <sheetViews>
    <sheetView workbookViewId="0">
      <selection activeCell="B3" sqref="B3"/>
    </sheetView>
  </sheetViews>
  <sheetFormatPr baseColWidth="10" defaultColWidth="8.83203125" defaultRowHeight="14"/>
  <cols>
    <col min="1" max="1" width="24" customWidth="1"/>
    <col min="2" max="2" width="16" customWidth="1"/>
    <col min="3" max="3" width="8" customWidth="1"/>
    <col min="4" max="4" width="20" customWidth="1"/>
    <col min="5" max="5" width="16" customWidth="1"/>
    <col min="6" max="6" width="11" customWidth="1"/>
    <col min="7" max="7" width="12" customWidth="1"/>
    <col min="8" max="9" width="14" customWidth="1"/>
    <col min="10" max="10" width="24" customWidth="1"/>
    <col min="11" max="11" width="13" hidden="1" customWidth="1"/>
  </cols>
  <sheetData>
    <row r="1" spans="1:11" ht="21" customHeight="1">
      <c r="A1" s="94" t="s">
        <v>186</v>
      </c>
      <c r="B1" s="68"/>
      <c r="C1" s="68"/>
      <c r="D1" s="68"/>
      <c r="E1" s="68"/>
      <c r="F1" s="68"/>
      <c r="G1" s="68"/>
      <c r="H1" s="68"/>
      <c r="I1" s="68"/>
      <c r="J1" s="68"/>
    </row>
    <row r="3" spans="1:11" ht="16" customHeight="1">
      <c r="A3" s="30" t="s">
        <v>1</v>
      </c>
      <c r="B3" s="30" t="s">
        <v>5</v>
      </c>
      <c r="C3" s="30" t="s">
        <v>4</v>
      </c>
      <c r="D3" s="30" t="s">
        <v>7</v>
      </c>
      <c r="E3" s="30" t="s">
        <v>175</v>
      </c>
      <c r="F3" s="30" t="s">
        <v>9</v>
      </c>
      <c r="G3" s="30" t="s">
        <v>19</v>
      </c>
      <c r="H3" s="30" t="s">
        <v>20</v>
      </c>
      <c r="I3" s="30" t="s">
        <v>21</v>
      </c>
      <c r="J3" s="30" t="s">
        <v>182</v>
      </c>
    </row>
    <row r="4" spans="1:11">
      <c r="A4" t="str">
        <f>IF($K4="","",IFERROR(INDEX('Veri Merkezi'!$A$2:$A$1001,$K4),""))</f>
        <v>AHMED HADZIMUJOVIC</v>
      </c>
      <c r="B4" t="str">
        <f>IF($K4="","",IFERROR(INDEX('Veri Merkezi'!$E$2:$E$1001,$K4),""))</f>
        <v>Stoper</v>
      </c>
      <c r="C4">
        <f ca="1">IF($K4="","",IFERROR(INDEX('Veri Merkezi'!$D$2:$D$1001,$K4),""))</f>
        <v>19</v>
      </c>
      <c r="D4" t="str">
        <f>IF($K4="","",IFERROR(INDEX('Veri Merkezi'!$F$2:$F$1001,$K4),""))</f>
        <v>NOVI PAZAR</v>
      </c>
      <c r="E4" s="2">
        <f>IF($K4="","",IFERROR(INDEX('Veri Merkezi'!$G$2:$G$1001,$K4),""))</f>
        <v>46568</v>
      </c>
      <c r="F4" t="str">
        <f>IF($K4="","",IFERROR(INDEX('Veri Merkezi'!$H$2:$H$1001,$K4),""))</f>
        <v>Sarı</v>
      </c>
      <c r="G4" t="str">
        <f>IF($K4="","",IFERROR(INDEX('Veri Merkezi'!$R$2:$R$1001,$K4),""))</f>
        <v/>
      </c>
      <c r="H4" t="str">
        <f>IF($K4="","",IFERROR(INDEX('Veri Merkezi'!$S$2:$S$1001,$K4),""))</f>
        <v>Takip</v>
      </c>
      <c r="I4" s="2" t="str">
        <f>IF($K4="","",IFERROR(INDEX('Veri Merkezi'!$T$2:$T$1001,$K4),""))</f>
        <v/>
      </c>
      <c r="J4" t="str">
        <f>IF($K4="","",IFERROR(INDEX('Veri Merkezi'!$U$2:$U$1001,$K4),""))</f>
        <v>Stoperler</v>
      </c>
      <c r="K4">
        <f>IFERROR(MATCH(ROWS($K$4:K4),'Veri Merkezi'!$X$2:$X$1001,0),"")</f>
        <v>116</v>
      </c>
    </row>
    <row r="5" spans="1:11">
      <c r="A5" t="str">
        <f>IF($K5="","",IFERROR(INDEX('Veri Merkezi'!$A$2:$A$1001,$K5),""))</f>
        <v>NERMIN MUJKIC</v>
      </c>
      <c r="B5" t="str">
        <f>IF($K5="","",IFERROR(INDEX('Veri Merkezi'!$E$2:$E$1001,$K5),""))</f>
        <v>Stoper</v>
      </c>
      <c r="C5">
        <f ca="1">IF($K5="","",IFERROR(INDEX('Veri Merkezi'!$D$2:$D$1001,$K5),""))</f>
        <v>22</v>
      </c>
      <c r="D5" t="str">
        <f>IF($K5="","",IFERROR(INDEX('Veri Merkezi'!$F$2:$F$1001,$K5),""))</f>
        <v>AL-JAZIRA</v>
      </c>
      <c r="E5" s="2">
        <f>IF($K5="","",IFERROR(INDEX('Veri Merkezi'!$G$2:$G$1001,$K5),""))</f>
        <v>46934</v>
      </c>
      <c r="F5" t="str">
        <f>IF($K5="","",IFERROR(INDEX('Veri Merkezi'!$H$2:$H$1001,$K5),""))</f>
        <v>Kırmızı</v>
      </c>
      <c r="G5" t="str">
        <f>IF($K5="","",IFERROR(INDEX('Veri Merkezi'!$R$2:$R$1001,$K5),""))</f>
        <v/>
      </c>
      <c r="H5" t="str">
        <f>IF($K5="","",IFERROR(INDEX('Veri Merkezi'!$S$2:$S$1001,$K5),""))</f>
        <v>Ele</v>
      </c>
      <c r="I5" s="2" t="str">
        <f>IF($K5="","",IFERROR(INDEX('Veri Merkezi'!$T$2:$T$1001,$K5),""))</f>
        <v/>
      </c>
      <c r="J5" t="str">
        <f>IF($K5="","",IFERROR(INDEX('Veri Merkezi'!$U$2:$U$1001,$K5),""))</f>
        <v>Stoperler</v>
      </c>
      <c r="K5">
        <f>IFERROR(MATCH(ROWS($K$4:K5),'Veri Merkezi'!$X$2:$X$1001,0),"")</f>
        <v>118</v>
      </c>
    </row>
    <row r="6" spans="1:11">
      <c r="A6" t="str">
        <f>IF($K6="","",IFERROR(INDEX('Veri Merkezi'!$A$2:$A$1001,$K6),""))</f>
        <v>MARIO TUDOSE</v>
      </c>
      <c r="B6" t="str">
        <f>IF($K6="","",IFERROR(INDEX('Veri Merkezi'!$E$2:$E$1001,$K6),""))</f>
        <v>Stoper</v>
      </c>
      <c r="C6">
        <f ca="1">IF($K6="","",IFERROR(INDEX('Veri Merkezi'!$D$2:$D$1001,$K6),""))</f>
        <v>21</v>
      </c>
      <c r="D6" t="str">
        <f>IF($K6="","",IFERROR(INDEX('Veri Merkezi'!$F$2:$F$1001,$K6),""))</f>
        <v>FC ARGES</v>
      </c>
      <c r="E6" s="2">
        <f>IF($K6="","",IFERROR(INDEX('Veri Merkezi'!$G$2:$G$1001,$K6),""))</f>
        <v>47289</v>
      </c>
      <c r="F6" t="str">
        <f>IF($K6="","",IFERROR(INDEX('Veri Merkezi'!$H$2:$H$1001,$K6),""))</f>
        <v>Sarı</v>
      </c>
      <c r="G6" t="str">
        <f>IF($K6="","",IFERROR(INDEX('Veri Merkezi'!$R$2:$R$1001,$K6),""))</f>
        <v/>
      </c>
      <c r="H6" t="str">
        <f>IF($K6="","",IFERROR(INDEX('Veri Merkezi'!$S$2:$S$1001,$K6),""))</f>
        <v>Takip</v>
      </c>
      <c r="I6" s="2" t="str">
        <f>IF($K6="","",IFERROR(INDEX('Veri Merkezi'!$T$2:$T$1001,$K6),""))</f>
        <v/>
      </c>
      <c r="J6" t="str">
        <f>IF($K6="","",IFERROR(INDEX('Veri Merkezi'!$U$2:$U$1001,$K6),""))</f>
        <v>Stoperler</v>
      </c>
      <c r="K6">
        <f>IFERROR(MATCH(ROWS($K$4:K6),'Veri Merkezi'!$X$2:$X$1001,0),"")</f>
        <v>119</v>
      </c>
    </row>
    <row r="7" spans="1:11">
      <c r="A7" t="str">
        <f>IF($K7="","",IFERROR(INDEX('Veri Merkezi'!$A$2:$A$1001,$K7),""))</f>
        <v>GIVANNI VAN ZWAM</v>
      </c>
      <c r="B7" t="str">
        <f>IF($K7="","",IFERROR(INDEX('Veri Merkezi'!$E$2:$E$1001,$K7),""))</f>
        <v>Stoper</v>
      </c>
      <c r="C7">
        <f ca="1">IF($K7="","",IFERROR(INDEX('Veri Merkezi'!$D$2:$D$1001,$K7),""))</f>
        <v>22</v>
      </c>
      <c r="D7" t="str">
        <f>IF($K7="","",IFERROR(INDEX('Veri Merkezi'!$F$2:$F$1001,$K7),""))</f>
        <v>GO AHEAD</v>
      </c>
      <c r="E7" s="2">
        <f>IF($K7="","",IFERROR(INDEX('Veri Merkezi'!$G$2:$G$1001,$K7),""))</f>
        <v>46568</v>
      </c>
      <c r="F7" t="str">
        <f>IF($K7="","",IFERROR(INDEX('Veri Merkezi'!$H$2:$H$1001,$K7),""))</f>
        <v>Sarı</v>
      </c>
      <c r="G7" t="str">
        <f>IF($K7="","",IFERROR(INDEX('Veri Merkezi'!$R$2:$R$1001,$K7),""))</f>
        <v/>
      </c>
      <c r="H7" t="str">
        <f>IF($K7="","",IFERROR(INDEX('Veri Merkezi'!$S$2:$S$1001,$K7),""))</f>
        <v>B Liste</v>
      </c>
      <c r="I7" s="2" t="str">
        <f>IF($K7="","",IFERROR(INDEX('Veri Merkezi'!$T$2:$T$1001,$K7),""))</f>
        <v/>
      </c>
      <c r="J7" t="str">
        <f>IF($K7="","",IFERROR(INDEX('Veri Merkezi'!$U$2:$U$1001,$K7),""))</f>
        <v>Stoperler</v>
      </c>
      <c r="K7">
        <f>IFERROR(MATCH(ROWS($K$4:K7),'Veri Merkezi'!$X$2:$X$1001,0),"")</f>
        <v>121</v>
      </c>
    </row>
    <row r="8" spans="1:11">
      <c r="A8" t="str">
        <f>IF($K8="","",IFERROR(INDEX('Veri Merkezi'!$A$2:$A$1001,$K8),""))</f>
        <v>CHECK KEITA</v>
      </c>
      <c r="B8" t="str">
        <f>IF($K8="","",IFERROR(INDEX('Veri Merkezi'!$E$2:$E$1001,$K8),""))</f>
        <v>Stoper</v>
      </c>
      <c r="C8">
        <f ca="1">IF($K8="","",IFERROR(INDEX('Veri Merkezi'!$D$2:$D$1001,$K8),""))</f>
        <v>23</v>
      </c>
      <c r="D8" t="str">
        <f>IF($K8="","",IFERROR(INDEX('Veri Merkezi'!$F$2:$F$1001,$K8),""))</f>
        <v>ROYAL CHARLEROI SC</v>
      </c>
      <c r="E8" s="2">
        <f>IF($K8="","",IFERROR(INDEX('Veri Merkezi'!$G$2:$G$1001,$K8),""))</f>
        <v>46568</v>
      </c>
      <c r="F8" t="str">
        <f>IF($K8="","",IFERROR(INDEX('Veri Merkezi'!$H$2:$H$1001,$K8),""))</f>
        <v>Sarı</v>
      </c>
      <c r="G8" t="str">
        <f>IF($K8="","",IFERROR(INDEX('Veri Merkezi'!$R$2:$R$1001,$K8),""))</f>
        <v/>
      </c>
      <c r="H8" t="str">
        <f>IF($K8="","",IFERROR(INDEX('Veri Merkezi'!$S$2:$S$1001,$K8),""))</f>
        <v>Takip</v>
      </c>
      <c r="I8" s="2" t="str">
        <f>IF($K8="","",IFERROR(INDEX('Veri Merkezi'!$T$2:$T$1001,$K8),""))</f>
        <v/>
      </c>
      <c r="J8" t="str">
        <f>IF($K8="","",IFERROR(INDEX('Veri Merkezi'!$U$2:$U$1001,$K8),""))</f>
        <v>Stoperler</v>
      </c>
      <c r="K8">
        <f>IFERROR(MATCH(ROWS($K$4:K8),'Veri Merkezi'!$X$2:$X$1001,0),"")</f>
        <v>123</v>
      </c>
    </row>
    <row r="9" spans="1:11">
      <c r="A9" t="str">
        <f>IF($K9="","",IFERROR(INDEX('Veri Merkezi'!$A$2:$A$1001,$K9),""))</f>
        <v>GIOVANNI VAN ZWAM</v>
      </c>
      <c r="B9" t="str">
        <f>IF($K9="","",IFERROR(INDEX('Veri Merkezi'!$E$2:$E$1001,$K9),""))</f>
        <v>Stoper</v>
      </c>
      <c r="C9">
        <f ca="1">IF($K9="","",IFERROR(INDEX('Veri Merkezi'!$D$2:$D$1001,$K9),""))</f>
        <v>22</v>
      </c>
      <c r="D9" t="str">
        <f>IF($K9="","",IFERROR(INDEX('Veri Merkezi'!$F$2:$F$1001,$K9),""))</f>
        <v>GO AHEAD EAGLES</v>
      </c>
      <c r="E9" s="2">
        <f>IF($K9="","",IFERROR(INDEX('Veri Merkezi'!$G$2:$G$1001,$K9),""))</f>
        <v>46568</v>
      </c>
      <c r="F9" t="str">
        <f>IF($K9="","",IFERROR(INDEX('Veri Merkezi'!$H$2:$H$1001,$K9),""))</f>
        <v>Sarı</v>
      </c>
      <c r="G9" t="str">
        <f>IF($K9="","",IFERROR(INDEX('Veri Merkezi'!$R$2:$R$1001,$K9),""))</f>
        <v/>
      </c>
      <c r="H9" t="str">
        <f>IF($K9="","",IFERROR(INDEX('Veri Merkezi'!$S$2:$S$1001,$K9),""))</f>
        <v>Takip</v>
      </c>
      <c r="I9" s="2" t="str">
        <f>IF($K9="","",IFERROR(INDEX('Veri Merkezi'!$T$2:$T$1001,$K9),""))</f>
        <v/>
      </c>
      <c r="J9" t="str">
        <f>IF($K9="","",IFERROR(INDEX('Veri Merkezi'!$U$2:$U$1001,$K9),""))</f>
        <v>Stoperler</v>
      </c>
      <c r="K9">
        <f>IFERROR(MATCH(ROWS($K$4:K9),'Veri Merkezi'!$X$2:$X$1001,0),"")</f>
        <v>124</v>
      </c>
    </row>
    <row r="10" spans="1:11">
      <c r="A10" t="str">
        <f>IF($K10="","",IFERROR(INDEX('Veri Merkezi'!$A$2:$A$1001,$K10),""))</f>
        <v>ISAI VALLADARES</v>
      </c>
      <c r="B10" t="str">
        <f>IF($K10="","",IFERROR(INDEX('Veri Merkezi'!$E$2:$E$1001,$K10),""))</f>
        <v>Sağ Bek</v>
      </c>
      <c r="C10">
        <f ca="1">IF($K10="","",IFERROR(INDEX('Veri Merkezi'!$D$2:$D$1001,$K10),""))</f>
        <v>21</v>
      </c>
      <c r="D10" t="str">
        <f>IF($K10="","",IFERROR(INDEX('Veri Merkezi'!$F$2:$F$1001,$K10),""))</f>
        <v>ZAMORA</v>
      </c>
      <c r="E10" s="2">
        <f>IF($K10="","",IFERROR(INDEX('Veri Merkezi'!$G$2:$G$1001,$K10),""))</f>
        <v>46752</v>
      </c>
      <c r="F10" t="str">
        <f>IF($K10="","",IFERROR(INDEX('Veri Merkezi'!$H$2:$H$1001,$K10),""))</f>
        <v>Kırmızı</v>
      </c>
      <c r="G10" t="str">
        <f>IF($K10="","",IFERROR(INDEX('Veri Merkezi'!$R$2:$R$1001,$K10),""))</f>
        <v/>
      </c>
      <c r="H10" t="str">
        <f>IF($K10="","",IFERROR(INDEX('Veri Merkezi'!$S$2:$S$1001,$K10),""))</f>
        <v>Ele</v>
      </c>
      <c r="I10" s="2" t="str">
        <f>IF($K10="","",IFERROR(INDEX('Veri Merkezi'!$T$2:$T$1001,$K10),""))</f>
        <v/>
      </c>
      <c r="J10" t="str">
        <f>IF($K10="","",IFERROR(INDEX('Veri Merkezi'!$U$2:$U$1001,$K10),""))</f>
        <v>Sağ Bekler</v>
      </c>
      <c r="K10">
        <f>IFERROR(MATCH(ROWS($K$4:K10),'Veri Merkezi'!$X$2:$X$1001,0),"")</f>
        <v>202</v>
      </c>
    </row>
    <row r="11" spans="1:11">
      <c r="A11" t="str">
        <f>IF($K11="","",IFERROR(INDEX('Veri Merkezi'!$A$2:$A$1001,$K11),""))</f>
        <v>LIVANO COMENENCIA</v>
      </c>
      <c r="B11" t="str">
        <f>IF($K11="","",IFERROR(INDEX('Veri Merkezi'!$E$2:$E$1001,$K11),""))</f>
        <v>Sağ Bek</v>
      </c>
      <c r="C11">
        <f ca="1">IF($K11="","",IFERROR(INDEX('Veri Merkezi'!$D$2:$D$1001,$K11),""))</f>
        <v>22</v>
      </c>
      <c r="D11" t="str">
        <f>IF($K11="","",IFERROR(INDEX('Veri Merkezi'!$F$2:$F$1001,$K11),""))</f>
        <v>FC ZÜRICH</v>
      </c>
      <c r="E11" s="2">
        <f>IF($K11="","",IFERROR(INDEX('Veri Merkezi'!$G$2:$G$1001,$K11),""))</f>
        <v>47299</v>
      </c>
      <c r="F11" t="str">
        <f>IF($K11="","",IFERROR(INDEX('Veri Merkezi'!$H$2:$H$1001,$K11),""))</f>
        <v/>
      </c>
      <c r="G11" t="str">
        <f>IF($K11="","",IFERROR(INDEX('Veri Merkezi'!$R$2:$R$1001,$K11),""))</f>
        <v/>
      </c>
      <c r="H11" t="str">
        <f>IF($K11="","",IFERROR(INDEX('Veri Merkezi'!$S$2:$S$1001,$K11),""))</f>
        <v/>
      </c>
      <c r="I11" s="2" t="str">
        <f>IF($K11="","",IFERROR(INDEX('Veri Merkezi'!$T$2:$T$1001,$K11),""))</f>
        <v/>
      </c>
      <c r="J11" t="str">
        <f>IF($K11="","",IFERROR(INDEX('Veri Merkezi'!$U$2:$U$1001,$K11),""))</f>
        <v>Sağ Bekler</v>
      </c>
      <c r="K11">
        <f>IFERROR(MATCH(ROWS($K$4:K11),'Veri Merkezi'!$X$2:$X$1001,0),"")</f>
        <v>205</v>
      </c>
    </row>
    <row r="12" spans="1:11">
      <c r="A12" t="str">
        <f>IF($K12="","",IFERROR(INDEX('Veri Merkezi'!$A$2:$A$1001,$K12),""))</f>
        <v>LÉO DERIK</v>
      </c>
      <c r="B12" t="str">
        <f>IF($K12="","",IFERROR(INDEX('Veri Merkezi'!$E$2:$E$1001,$K12),""))</f>
        <v>Sol Bek</v>
      </c>
      <c r="C12">
        <f ca="1">IF($K12="","",IFERROR(INDEX('Veri Merkezi'!$D$2:$D$1001,$K12),""))</f>
        <v>21</v>
      </c>
      <c r="D12" t="str">
        <f>IF($K12="","",IFERROR(INDEX('Veri Merkezi'!$F$2:$F$1001,$K12),""))</f>
        <v>ATHLETICO PARANAENSE</v>
      </c>
      <c r="E12" s="2">
        <f>IF($K12="","",IFERROR(INDEX('Veri Merkezi'!$G$2:$G$1001,$K12),""))</f>
        <v>47483</v>
      </c>
      <c r="F12" t="str">
        <f>IF($K12="","",IFERROR(INDEX('Veri Merkezi'!$H$2:$H$1001,$K12),""))</f>
        <v/>
      </c>
      <c r="G12" t="str">
        <f>IF($K12="","",IFERROR(INDEX('Veri Merkezi'!$R$2:$R$1001,$K12),""))</f>
        <v/>
      </c>
      <c r="H12" t="str">
        <f>IF($K12="","",IFERROR(INDEX('Veri Merkezi'!$S$2:$S$1001,$K12),""))</f>
        <v/>
      </c>
      <c r="I12" s="2" t="str">
        <f>IF($K12="","",IFERROR(INDEX('Veri Merkezi'!$T$2:$T$1001,$K12),""))</f>
        <v/>
      </c>
      <c r="J12" t="str">
        <f>IF($K12="","",IFERROR(INDEX('Veri Merkezi'!$U$2:$U$1001,$K12),""))</f>
        <v>Sol Bekler</v>
      </c>
      <c r="K12">
        <f>IFERROR(MATCH(ROWS($K$4:K12),'Veri Merkezi'!$X$2:$X$1001,0),"")</f>
        <v>307</v>
      </c>
    </row>
    <row r="13" spans="1:11">
      <c r="A13" t="str">
        <f>IF($K13="","",IFERROR(INDEX('Veri Merkezi'!$A$2:$A$1001,$K13),""))</f>
        <v>YUSSIF SAIDU</v>
      </c>
      <c r="B13" t="str">
        <f>IF($K13="","",IFERROR(INDEX('Veri Merkezi'!$E$2:$E$1001,$K13),""))</f>
        <v>6 Numara</v>
      </c>
      <c r="C13">
        <f ca="1">IF($K13="","",IFERROR(INDEX('Veri Merkezi'!$D$2:$D$1001,$K13),""))</f>
        <v>21</v>
      </c>
      <c r="D13" t="str">
        <f>IF($K13="","",IFERROR(INDEX('Veri Merkezi'!$F$2:$F$1001,$K13),""))</f>
        <v>REAL ZARAGOZA</v>
      </c>
      <c r="E13" s="2">
        <f>IF($K13="","",IFERROR(INDEX('Veri Merkezi'!$G$2:$G$1001,$K13),""))</f>
        <v>47664</v>
      </c>
      <c r="F13" t="str">
        <f>IF($K13="","",IFERROR(INDEX('Veri Merkezi'!$H$2:$H$1001,$K13),""))</f>
        <v>Sarı</v>
      </c>
      <c r="G13" t="str">
        <f>IF($K13="","",IFERROR(INDEX('Veri Merkezi'!$R$2:$R$1001,$K13),""))</f>
        <v/>
      </c>
      <c r="H13" t="str">
        <f>IF($K13="","",IFERROR(INDEX('Veri Merkezi'!$S$2:$S$1001,$K13),""))</f>
        <v>B Liste</v>
      </c>
      <c r="I13" s="2" t="str">
        <f>IF($K13="","",IFERROR(INDEX('Veri Merkezi'!$T$2:$T$1001,$K13),""))</f>
        <v/>
      </c>
      <c r="J13" t="str">
        <f>IF($K13="","",IFERROR(INDEX('Veri Merkezi'!$U$2:$U$1001,$K13),""))</f>
        <v>6 Numaralar</v>
      </c>
      <c r="K13">
        <f>IFERROR(MATCH(ROWS($K$4:K13),'Veri Merkezi'!$X$2:$X$1001,0),"")</f>
        <v>402</v>
      </c>
    </row>
    <row r="14" spans="1:11">
      <c r="A14" t="str">
        <f>IF($K14="","",IFERROR(INDEX('Veri Merkezi'!$A$2:$A$1001,$K14),""))</f>
        <v>LUCA REGIARDO</v>
      </c>
      <c r="B14" t="str">
        <f>IF($K14="","",IFERROR(INDEX('Veri Merkezi'!$E$2:$E$1001,$K14),""))</f>
        <v>6 Numara</v>
      </c>
      <c r="C14">
        <f ca="1">IF($K14="","",IFERROR(INDEX('Veri Merkezi'!$D$2:$D$1001,$K14),""))</f>
        <v>19</v>
      </c>
      <c r="D14" t="str">
        <f>IF($K14="","",IFERROR(INDEX('Veri Merkezi'!$F$2:$F$1001,$K14),""))</f>
        <v>NEWELL'S</v>
      </c>
      <c r="E14" s="2">
        <f>IF($K14="","",IFERROR(INDEX('Veri Merkezi'!$G$2:$G$1001,$K14),""))</f>
        <v>47483</v>
      </c>
      <c r="F14" t="str">
        <f>IF($K14="","",IFERROR(INDEX('Veri Merkezi'!$H$2:$H$1001,$K14),""))</f>
        <v>Yeşil</v>
      </c>
      <c r="G14" t="str">
        <f>IF($K14="","",IFERROR(INDEX('Veri Merkezi'!$R$2:$R$1001,$K14),""))</f>
        <v/>
      </c>
      <c r="H14" t="str">
        <f>IF($K14="","",IFERROR(INDEX('Veri Merkezi'!$S$2:$S$1001,$K14),""))</f>
        <v>Takip</v>
      </c>
      <c r="I14" s="2" t="str">
        <f>IF($K14="","",IFERROR(INDEX('Veri Merkezi'!$T$2:$T$1001,$K14),""))</f>
        <v/>
      </c>
      <c r="J14" t="str">
        <f>IF($K14="","",IFERROR(INDEX('Veri Merkezi'!$U$2:$U$1001,$K14),""))</f>
        <v>6 Numaralar</v>
      </c>
      <c r="K14">
        <f>IFERROR(MATCH(ROWS($K$4:K14),'Veri Merkezi'!$X$2:$X$1001,0),"")</f>
        <v>403</v>
      </c>
    </row>
    <row r="15" spans="1:11">
      <c r="A15" t="str">
        <f>IF($K15="","",IFERROR(INDEX('Veri Merkezi'!$A$2:$A$1001,$K15),""))</f>
        <v>CHARLYS MATHEUS LİMA</v>
      </c>
      <c r="B15" t="str">
        <f>IF($K15="","",IFERROR(INDEX('Veri Merkezi'!$E$2:$E$1001,$K15),""))</f>
        <v>6 Numara</v>
      </c>
      <c r="C15">
        <f ca="1">IF($K15="","",IFERROR(INDEX('Veri Merkezi'!$D$2:$D$1001,$K15),""))</f>
        <v>22</v>
      </c>
      <c r="D15" t="str">
        <f>IF($K15="","",IFERROR(INDEX('Veri Merkezi'!$F$2:$F$1001,$K15),""))</f>
        <v>İNTER</v>
      </c>
      <c r="E15" s="2">
        <f>IF($K15="","",IFERROR(INDEX('Veri Merkezi'!$G$2:$G$1001,$K15),""))</f>
        <v>46568</v>
      </c>
      <c r="F15" t="str">
        <f>IF($K15="","",IFERROR(INDEX('Veri Merkezi'!$H$2:$H$1001,$K15),""))</f>
        <v>Sarı</v>
      </c>
      <c r="G15" t="str">
        <f>IF($K15="","",IFERROR(INDEX('Veri Merkezi'!$R$2:$R$1001,$K15),""))</f>
        <v/>
      </c>
      <c r="H15" t="str">
        <f>IF($K15="","",IFERROR(INDEX('Veri Merkezi'!$S$2:$S$1001,$K15),""))</f>
        <v>Takip</v>
      </c>
      <c r="I15" s="2" t="str">
        <f>IF($K15="","",IFERROR(INDEX('Veri Merkezi'!$T$2:$T$1001,$K15),""))</f>
        <v/>
      </c>
      <c r="J15" t="str">
        <f>IF($K15="","",IFERROR(INDEX('Veri Merkezi'!$U$2:$U$1001,$K15),""))</f>
        <v>6 Numaralar</v>
      </c>
      <c r="K15">
        <f>IFERROR(MATCH(ROWS($K$4:K15),'Veri Merkezi'!$X$2:$X$1001,0),"")</f>
        <v>408</v>
      </c>
    </row>
    <row r="16" spans="1:11">
      <c r="A16" t="str">
        <f>IF($K16="","",IFERROR(INDEX('Veri Merkezi'!$A$2:$A$1001,$K16),""))</f>
        <v>PATRICKSON DELGADO</v>
      </c>
      <c r="B16" t="str">
        <f>IF($K16="","",IFERROR(INDEX('Veri Merkezi'!$E$2:$E$1001,$K16),""))</f>
        <v>6 Numara</v>
      </c>
      <c r="C16">
        <f ca="1">IF($K16="","",IFERROR(INDEX('Veri Merkezi'!$D$2:$D$1001,$K16),""))</f>
        <v>22</v>
      </c>
      <c r="D16" t="str">
        <f>IF($K16="","",IFERROR(INDEX('Veri Merkezi'!$F$2:$F$1001,$K16),""))</f>
        <v>FC DALLAS</v>
      </c>
      <c r="E16" s="2">
        <f>IF($K16="","",IFERROR(INDEX('Veri Merkezi'!$G$2:$G$1001,$K16),""))</f>
        <v>46752</v>
      </c>
      <c r="F16" t="str">
        <f>IF($K16="","",IFERROR(INDEX('Veri Merkezi'!$H$2:$H$1001,$K16),""))</f>
        <v/>
      </c>
      <c r="G16" t="str">
        <f>IF($K16="","",IFERROR(INDEX('Veri Merkezi'!$R$2:$R$1001,$K16),""))</f>
        <v/>
      </c>
      <c r="H16" t="str">
        <f>IF($K16="","",IFERROR(INDEX('Veri Merkezi'!$S$2:$S$1001,$K16),""))</f>
        <v/>
      </c>
      <c r="I16" s="2" t="str">
        <f>IF($K16="","",IFERROR(INDEX('Veri Merkezi'!$T$2:$T$1001,$K16),""))</f>
        <v/>
      </c>
      <c r="J16" t="str">
        <f>IF($K16="","",IFERROR(INDEX('Veri Merkezi'!$U$2:$U$1001,$K16),""))</f>
        <v>6 Numaralar</v>
      </c>
      <c r="K16">
        <f>IFERROR(MATCH(ROWS($K$4:K16),'Veri Merkezi'!$X$2:$X$1001,0),"")</f>
        <v>412</v>
      </c>
    </row>
    <row r="17" spans="1:11">
      <c r="A17" t="str">
        <f>IF($K17="","",IFERROR(INDEX('Veri Merkezi'!$A$2:$A$1001,$K17),""))</f>
        <v>MATE TUBOLY</v>
      </c>
      <c r="B17" t="str">
        <f>IF($K17="","",IFERROR(INDEX('Veri Merkezi'!$E$2:$E$1001,$K17),""))</f>
        <v>6 Numara</v>
      </c>
      <c r="C17">
        <f ca="1">IF($K17="","",IFERROR(INDEX('Veri Merkezi'!$D$2:$D$1001,$K17),""))</f>
        <v>22</v>
      </c>
      <c r="D17" t="str">
        <f>IF($K17="","",IFERROR(INDEX('Veri Merkezi'!$F$2:$F$1001,$K17),""))</f>
        <v>DAC DUNAJSKA STREDA</v>
      </c>
      <c r="E17" s="2">
        <f>IF($K17="","",IFERROR(INDEX('Veri Merkezi'!$G$2:$G$1001,$K17),""))</f>
        <v>46934</v>
      </c>
      <c r="F17" t="str">
        <f>IF($K17="","",IFERROR(INDEX('Veri Merkezi'!$H$2:$H$1001,$K17),""))</f>
        <v/>
      </c>
      <c r="G17" t="str">
        <f>IF($K17="","",IFERROR(INDEX('Veri Merkezi'!$R$2:$R$1001,$K17),""))</f>
        <v/>
      </c>
      <c r="H17" t="str">
        <f>IF($K17="","",IFERROR(INDEX('Veri Merkezi'!$S$2:$S$1001,$K17),""))</f>
        <v/>
      </c>
      <c r="I17" s="2" t="str">
        <f>IF($K17="","",IFERROR(INDEX('Veri Merkezi'!$T$2:$T$1001,$K17),""))</f>
        <v/>
      </c>
      <c r="J17" t="str">
        <f>IF($K17="","",IFERROR(INDEX('Veri Merkezi'!$U$2:$U$1001,$K17),""))</f>
        <v>6 Numaralar</v>
      </c>
      <c r="K17">
        <f>IFERROR(MATCH(ROWS($K$4:K17),'Veri Merkezi'!$X$2:$X$1001,0),"")</f>
        <v>414</v>
      </c>
    </row>
    <row r="18" spans="1:11">
      <c r="A18" t="str">
        <f>IF($K18="","",IFERROR(INDEX('Veri Merkezi'!$A$2:$A$1001,$K18),""))</f>
        <v>ALPHA TOURE</v>
      </c>
      <c r="B18" t="str">
        <f>IF($K18="","",IFERROR(INDEX('Veri Merkezi'!$E$2:$E$1001,$K18),""))</f>
        <v>8 Numara</v>
      </c>
      <c r="C18">
        <f ca="1">IF($K18="","",IFERROR(INDEX('Veri Merkezi'!$D$2:$D$1001,$K18),""))</f>
        <v>20</v>
      </c>
      <c r="D18" t="str">
        <f>IF($K18="","",IFERROR(INDEX('Veri Merkezi'!$F$2:$F$1001,$K18),""))</f>
        <v>METZ</v>
      </c>
      <c r="E18" s="2">
        <f>IF($K18="","",IFERROR(INDEX('Veri Merkezi'!$G$2:$G$1001,$K18),""))</f>
        <v>46934</v>
      </c>
      <c r="F18" t="str">
        <f>IF($K18="","",IFERROR(INDEX('Veri Merkezi'!$H$2:$H$1001,$K18),""))</f>
        <v>Sarı</v>
      </c>
      <c r="G18" t="str">
        <f>IF($K18="","",IFERROR(INDEX('Veri Merkezi'!$R$2:$R$1001,$K18),""))</f>
        <v/>
      </c>
      <c r="H18" t="str">
        <f>IF($K18="","",IFERROR(INDEX('Veri Merkezi'!$S$2:$S$1001,$K18),""))</f>
        <v>B Liste</v>
      </c>
      <c r="I18" s="2" t="str">
        <f>IF($K18="","",IFERROR(INDEX('Veri Merkezi'!$T$2:$T$1001,$K18),""))</f>
        <v/>
      </c>
      <c r="J18" t="str">
        <f>IF($K18="","",IFERROR(INDEX('Veri Merkezi'!$U$2:$U$1001,$K18),""))</f>
        <v>8 Numaralar</v>
      </c>
      <c r="K18">
        <f>IFERROR(MATCH(ROWS($K$4:K18),'Veri Merkezi'!$X$2:$X$1001,0),"")</f>
        <v>504</v>
      </c>
    </row>
    <row r="19" spans="1:11">
      <c r="A19" t="str">
        <f>IF($K19="","",IFERROR(INDEX('Veri Merkezi'!$A$2:$A$1001,$K19),""))</f>
        <v>JOVAN SLJIVIC</v>
      </c>
      <c r="B19" t="str">
        <f>IF($K19="","",IFERROR(INDEX('Veri Merkezi'!$E$2:$E$1001,$K19),""))</f>
        <v>8 Numara</v>
      </c>
      <c r="C19">
        <f ca="1">IF($K19="","",IFERROR(INDEX('Veri Merkezi'!$D$2:$D$1001,$K19),""))</f>
        <v>21</v>
      </c>
      <c r="D19" t="str">
        <f>IF($K19="","",IFERROR(INDEX('Veri Merkezi'!$F$2:$F$1001,$K19),""))</f>
        <v>OFK BEOGRAD</v>
      </c>
      <c r="E19" s="2">
        <f>IF($K19="","",IFERROR(INDEX('Veri Merkezi'!$G$2:$G$1001,$K19),""))</f>
        <v>46568</v>
      </c>
      <c r="F19" t="str">
        <f>IF($K19="","",IFERROR(INDEX('Veri Merkezi'!$H$2:$H$1001,$K19),""))</f>
        <v>Sarı</v>
      </c>
      <c r="G19" t="str">
        <f>IF($K19="","",IFERROR(INDEX('Veri Merkezi'!$R$2:$R$1001,$K19),""))</f>
        <v/>
      </c>
      <c r="H19" t="str">
        <f>IF($K19="","",IFERROR(INDEX('Veri Merkezi'!$S$2:$S$1001,$K19),""))</f>
        <v>Takip</v>
      </c>
      <c r="I19" s="2" t="str">
        <f>IF($K19="","",IFERROR(INDEX('Veri Merkezi'!$T$2:$T$1001,$K19),""))</f>
        <v/>
      </c>
      <c r="J19" t="str">
        <f>IF($K19="","",IFERROR(INDEX('Veri Merkezi'!$U$2:$U$1001,$K19),""))</f>
        <v>8 Numaralar</v>
      </c>
      <c r="K19">
        <f>IFERROR(MATCH(ROWS($K$4:K19),'Veri Merkezi'!$X$2:$X$1001,0),"")</f>
        <v>512</v>
      </c>
    </row>
    <row r="20" spans="1:11">
      <c r="A20" t="str">
        <f>IF($K20="","",IFERROR(INDEX('Veri Merkezi'!$A$2:$A$1001,$K20),""))</f>
        <v>EBENEZER AKSİNSANMİRO</v>
      </c>
      <c r="B20" t="str">
        <f>IF($K20="","",IFERROR(INDEX('Veri Merkezi'!$E$2:$E$1001,$K20),""))</f>
        <v>8 Numara</v>
      </c>
      <c r="C20">
        <f ca="1">IF($K20="","",IFERROR(INDEX('Veri Merkezi'!$D$2:$D$1001,$K20),""))</f>
        <v>21</v>
      </c>
      <c r="D20" t="str">
        <f>IF($K20="","",IFERROR(INDEX('Veri Merkezi'!$F$2:$F$1001,$K20),""))</f>
        <v>MONZA</v>
      </c>
      <c r="E20" s="2">
        <f>IF($K20="","",IFERROR(INDEX('Veri Merkezi'!$G$2:$G$1001,$K20),""))</f>
        <v>46568</v>
      </c>
      <c r="F20" t="str">
        <f>IF($K20="","",IFERROR(INDEX('Veri Merkezi'!$H$2:$H$1001,$K20),""))</f>
        <v>Yeşil</v>
      </c>
      <c r="G20" t="str">
        <f>IF($K20="","",IFERROR(INDEX('Veri Merkezi'!$R$2:$R$1001,$K20),""))</f>
        <v/>
      </c>
      <c r="H20" t="str">
        <f>IF($K20="","",IFERROR(INDEX('Veri Merkezi'!$S$2:$S$1001,$K20),""))</f>
        <v>A Liste</v>
      </c>
      <c r="I20" s="2" t="str">
        <f>IF($K20="","",IFERROR(INDEX('Veri Merkezi'!$T$2:$T$1001,$K20),""))</f>
        <v/>
      </c>
      <c r="J20" t="str">
        <f>IF($K20="","",IFERROR(INDEX('Veri Merkezi'!$U$2:$U$1001,$K20),""))</f>
        <v>8 Numaralar</v>
      </c>
      <c r="K20">
        <f>IFERROR(MATCH(ROWS($K$4:K20),'Veri Merkezi'!$X$2:$X$1001,0),"")</f>
        <v>515</v>
      </c>
    </row>
    <row r="21" spans="1:11">
      <c r="A21" t="str">
        <f>IF($K21="","",IFERROR(INDEX('Veri Merkezi'!$A$2:$A$1001,$K21),""))</f>
        <v>ABDELLAH BAALLAL</v>
      </c>
      <c r="B21" t="str">
        <f>IF($K21="","",IFERROR(INDEX('Veri Merkezi'!$E$2:$E$1001,$K21),""))</f>
        <v>8 Numara</v>
      </c>
      <c r="C21">
        <f ca="1">IF($K21="","",IFERROR(INDEX('Veri Merkezi'!$D$2:$D$1001,$K21),""))</f>
        <v>21</v>
      </c>
      <c r="D21" t="str">
        <f>IF($K21="","",IFERROR(INDEX('Veri Merkezi'!$F$2:$F$1001,$K21),""))</f>
        <v>CLERMONT FOOT 63</v>
      </c>
      <c r="E21" s="2">
        <f>IF($K21="","",IFERROR(INDEX('Veri Merkezi'!$G$2:$G$1001,$K21),""))</f>
        <v>46568</v>
      </c>
      <c r="F21" t="str">
        <f>IF($K21="","",IFERROR(INDEX('Veri Merkezi'!$H$2:$H$1001,$K21),""))</f>
        <v/>
      </c>
      <c r="G21" t="str">
        <f>IF($K21="","",IFERROR(INDEX('Veri Merkezi'!$R$2:$R$1001,$K21),""))</f>
        <v/>
      </c>
      <c r="H21" t="str">
        <f>IF($K21="","",IFERROR(INDEX('Veri Merkezi'!$S$2:$S$1001,$K21),""))</f>
        <v/>
      </c>
      <c r="I21" s="2" t="str">
        <f>IF($K21="","",IFERROR(INDEX('Veri Merkezi'!$T$2:$T$1001,$K21),""))</f>
        <v/>
      </c>
      <c r="J21" t="str">
        <f>IF($K21="","",IFERROR(INDEX('Veri Merkezi'!$U$2:$U$1001,$K21),""))</f>
        <v>8 Numaralar</v>
      </c>
      <c r="K21">
        <f>IFERROR(MATCH(ROWS($K$4:K21),'Veri Merkezi'!$X$2:$X$1001,0),"")</f>
        <v>516</v>
      </c>
    </row>
    <row r="22" spans="1:11">
      <c r="A22" t="str">
        <f>IF($K22="","",IFERROR(INDEX('Veri Merkezi'!$A$2:$A$1001,$K22),""))</f>
        <v>EBENEZER AKINSANMIRO</v>
      </c>
      <c r="B22" t="str">
        <f>IF($K22="","",IFERROR(INDEX('Veri Merkezi'!$E$2:$E$1001,$K22),""))</f>
        <v>8 Numara</v>
      </c>
      <c r="C22">
        <f ca="1">IF($K22="","",IFERROR(INDEX('Veri Merkezi'!$D$2:$D$1001,$K22),""))</f>
        <v>21</v>
      </c>
      <c r="D22" t="str">
        <f>IF($K22="","",IFERROR(INDEX('Veri Merkezi'!$F$2:$F$1001,$K22),""))</f>
        <v>INTER MILAN</v>
      </c>
      <c r="E22" s="2" t="str">
        <f>IF($K22="","",IFERROR(INDEX('Veri Merkezi'!$G$2:$G$1001,$K22),""))</f>
        <v>-</v>
      </c>
      <c r="F22" t="str">
        <f>IF($K22="","",IFERROR(INDEX('Veri Merkezi'!$H$2:$H$1001,$K22),""))</f>
        <v/>
      </c>
      <c r="G22" t="str">
        <f>IF($K22="","",IFERROR(INDEX('Veri Merkezi'!$R$2:$R$1001,$K22),""))</f>
        <v/>
      </c>
      <c r="H22" t="str">
        <f>IF($K22="","",IFERROR(INDEX('Veri Merkezi'!$S$2:$S$1001,$K22),""))</f>
        <v/>
      </c>
      <c r="I22" s="2" t="str">
        <f>IF($K22="","",IFERROR(INDEX('Veri Merkezi'!$T$2:$T$1001,$K22),""))</f>
        <v/>
      </c>
      <c r="J22" t="str">
        <f>IF($K22="","",IFERROR(INDEX('Veri Merkezi'!$U$2:$U$1001,$K22),""))</f>
        <v>8 Numaralar</v>
      </c>
      <c r="K22">
        <f>IFERROR(MATCH(ROWS($K$4:K22),'Veri Merkezi'!$X$2:$X$1001,0),"")</f>
        <v>525</v>
      </c>
    </row>
    <row r="23" spans="1:11">
      <c r="A23" t="str">
        <f>IF($K23="","",IFERROR(INDEX('Veri Merkezi'!$A$2:$A$1001,$K23),""))</f>
        <v>WARREN BONDO</v>
      </c>
      <c r="B23" t="str">
        <f>IF($K23="","",IFERROR(INDEX('Veri Merkezi'!$E$2:$E$1001,$K23),""))</f>
        <v>8 Numara</v>
      </c>
      <c r="C23">
        <f ca="1">IF($K23="","",IFERROR(INDEX('Veri Merkezi'!$D$2:$D$1001,$K23),""))</f>
        <v>23</v>
      </c>
      <c r="D23" t="str">
        <f>IF($K23="","",IFERROR(INDEX('Veri Merkezi'!$F$2:$F$1001,$K23),""))</f>
        <v>AC MILAN</v>
      </c>
      <c r="E23" s="2">
        <f>IF($K23="","",IFERROR(INDEX('Veri Merkezi'!$G$2:$G$1001,$K23),""))</f>
        <v>47299</v>
      </c>
      <c r="F23" t="str">
        <f>IF($K23="","",IFERROR(INDEX('Veri Merkezi'!$H$2:$H$1001,$K23),""))</f>
        <v/>
      </c>
      <c r="G23" t="str">
        <f>IF($K23="","",IFERROR(INDEX('Veri Merkezi'!$R$2:$R$1001,$K23),""))</f>
        <v/>
      </c>
      <c r="H23" t="str">
        <f>IF($K23="","",IFERROR(INDEX('Veri Merkezi'!$S$2:$S$1001,$K23),""))</f>
        <v/>
      </c>
      <c r="I23" s="2" t="str">
        <f>IF($K23="","",IFERROR(INDEX('Veri Merkezi'!$T$2:$T$1001,$K23),""))</f>
        <v/>
      </c>
      <c r="J23" t="str">
        <f>IF($K23="","",IFERROR(INDEX('Veri Merkezi'!$U$2:$U$1001,$K23),""))</f>
        <v>8 Numaralar</v>
      </c>
      <c r="K23">
        <f>IFERROR(MATCH(ROWS($K$4:K23),'Veri Merkezi'!$X$2:$X$1001,0),"")</f>
        <v>526</v>
      </c>
    </row>
    <row r="24" spans="1:11">
      <c r="A24" t="str">
        <f>IF($K24="","",IFERROR(INDEX('Veri Merkezi'!$A$2:$A$1001,$K24),""))</f>
        <v>JOÃO CRUZ</v>
      </c>
      <c r="B24" t="str">
        <f>IF($K24="","",IFERROR(INDEX('Veri Merkezi'!$E$2:$E$1001,$K24),""))</f>
        <v>8 Numara</v>
      </c>
      <c r="C24">
        <f ca="1">IF($K24="","",IFERROR(INDEX('Veri Merkezi'!$D$2:$D$1001,$K24),""))</f>
        <v>20</v>
      </c>
      <c r="D24" t="str">
        <f>IF($K24="","",IFERROR(INDEX('Veri Merkezi'!$F$2:$F$1001,$K24),""))</f>
        <v>ATHLETICO PARANAENSE</v>
      </c>
      <c r="E24" s="2">
        <f>IF($K24="","",IFERROR(INDEX('Veri Merkezi'!$G$2:$G$1001,$K24),""))</f>
        <v>46812</v>
      </c>
      <c r="F24" t="str">
        <f>IF($K24="","",IFERROR(INDEX('Veri Merkezi'!$H$2:$H$1001,$K24),""))</f>
        <v/>
      </c>
      <c r="G24" t="str">
        <f>IF($K24="","",IFERROR(INDEX('Veri Merkezi'!$R$2:$R$1001,$K24),""))</f>
        <v/>
      </c>
      <c r="H24" t="str">
        <f>IF($K24="","",IFERROR(INDEX('Veri Merkezi'!$S$2:$S$1001,$K24),""))</f>
        <v/>
      </c>
      <c r="I24" s="2" t="str">
        <f>IF($K24="","",IFERROR(INDEX('Veri Merkezi'!$T$2:$T$1001,$K24),""))</f>
        <v/>
      </c>
      <c r="J24" t="str">
        <f>IF($K24="","",IFERROR(INDEX('Veri Merkezi'!$U$2:$U$1001,$K24),""))</f>
        <v>8 Numaralar</v>
      </c>
      <c r="K24">
        <f>IFERROR(MATCH(ROWS($K$4:K24),'Veri Merkezi'!$X$2:$X$1001,0),"")</f>
        <v>528</v>
      </c>
    </row>
    <row r="25" spans="1:11">
      <c r="A25" t="str">
        <f>IF($K25="","",IFERROR(INDEX('Veri Merkezi'!$A$2:$A$1001,$K25),""))</f>
        <v>DAVY GUI</v>
      </c>
      <c r="B25" t="str">
        <f>IF($K25="","",IFERROR(INDEX('Veri Merkezi'!$E$2:$E$1001,$K25),""))</f>
        <v>8 Numara</v>
      </c>
      <c r="C25">
        <f ca="1">IF($K25="","",IFERROR(INDEX('Veri Merkezi'!$D$2:$D$1001,$K25),""))</f>
        <v>20</v>
      </c>
      <c r="D25" t="str">
        <f>IF($K25="","",IFERROR(INDEX('Veri Merkezi'!$F$2:$F$1001,$K25),""))</f>
        <v>FC ALVERCA</v>
      </c>
      <c r="E25" s="2">
        <f>IF($K25="","",IFERROR(INDEX('Veri Merkezi'!$G$2:$G$1001,$K25),""))</f>
        <v>46934</v>
      </c>
      <c r="F25" t="str">
        <f>IF($K25="","",IFERROR(INDEX('Veri Merkezi'!$H$2:$H$1001,$K25),""))</f>
        <v/>
      </c>
      <c r="G25" t="str">
        <f>IF($K25="","",IFERROR(INDEX('Veri Merkezi'!$R$2:$R$1001,$K25),""))</f>
        <v/>
      </c>
      <c r="H25" t="str">
        <f>IF($K25="","",IFERROR(INDEX('Veri Merkezi'!$S$2:$S$1001,$K25),""))</f>
        <v/>
      </c>
      <c r="I25" s="2" t="str">
        <f>IF($K25="","",IFERROR(INDEX('Veri Merkezi'!$T$2:$T$1001,$K25),""))</f>
        <v/>
      </c>
      <c r="J25" t="str">
        <f>IF($K25="","",IFERROR(INDEX('Veri Merkezi'!$U$2:$U$1001,$K25),""))</f>
        <v>8 Numaralar</v>
      </c>
      <c r="K25">
        <f>IFERROR(MATCH(ROWS($K$4:K25),'Veri Merkezi'!$X$2:$X$1001,0),"")</f>
        <v>529</v>
      </c>
    </row>
    <row r="26" spans="1:11">
      <c r="A26" t="str">
        <f>IF($K26="","",IFERROR(INDEX('Veri Merkezi'!$A$2:$A$1001,$K26),""))</f>
        <v>MATHIAS DELORGE</v>
      </c>
      <c r="B26" t="str">
        <f>IF($K26="","",IFERROR(INDEX('Veri Merkezi'!$E$2:$E$1001,$K26),""))</f>
        <v>8 Numara</v>
      </c>
      <c r="C26">
        <f ca="1">IF($K26="","",IFERROR(INDEX('Veri Merkezi'!$D$2:$D$1001,$K26),""))</f>
        <v>22</v>
      </c>
      <c r="D26" t="str">
        <f>IF($K26="","",IFERROR(INDEX('Veri Merkezi'!$F$2:$F$1001,$K26),""))</f>
        <v>KAA GENT</v>
      </c>
      <c r="E26" s="2">
        <f>IF($K26="","",IFERROR(INDEX('Veri Merkezi'!$G$2:$G$1001,$K26),""))</f>
        <v>46934</v>
      </c>
      <c r="F26" t="str">
        <f>IF($K26="","",IFERROR(INDEX('Veri Merkezi'!$H$2:$H$1001,$K26),""))</f>
        <v/>
      </c>
      <c r="G26" t="str">
        <f>IF($K26="","",IFERROR(INDEX('Veri Merkezi'!$R$2:$R$1001,$K26),""))</f>
        <v/>
      </c>
      <c r="H26" t="str">
        <f>IF($K26="","",IFERROR(INDEX('Veri Merkezi'!$S$2:$S$1001,$K26),""))</f>
        <v/>
      </c>
      <c r="I26" s="2" t="str">
        <f>IF($K26="","",IFERROR(INDEX('Veri Merkezi'!$T$2:$T$1001,$K26),""))</f>
        <v/>
      </c>
      <c r="J26" t="str">
        <f>IF($K26="","",IFERROR(INDEX('Veri Merkezi'!$U$2:$U$1001,$K26),""))</f>
        <v>8 Numaralar</v>
      </c>
      <c r="K26">
        <f>IFERROR(MATCH(ROWS($K$4:K26),'Veri Merkezi'!$X$2:$X$1001,0),"")</f>
        <v>530</v>
      </c>
    </row>
    <row r="27" spans="1:11">
      <c r="A27" t="str">
        <f>IF($K27="","",IFERROR(INDEX('Veri Merkezi'!$A$2:$A$1001,$K27),""))</f>
        <v>MAHAMADOU DIAWARA</v>
      </c>
      <c r="B27" t="str">
        <f>IF($K27="","",IFERROR(INDEX('Veri Merkezi'!$E$2:$E$1001,$K27),""))</f>
        <v>8 Numara</v>
      </c>
      <c r="C27">
        <f ca="1">IF($K27="","",IFERROR(INDEX('Veri Merkezi'!$D$2:$D$1001,$K27),""))</f>
        <v>21</v>
      </c>
      <c r="D27" t="str">
        <f>IF($K27="","",IFERROR(INDEX('Veri Merkezi'!$F$2:$F$1001,$K27),""))</f>
        <v>OLYMPIQUE LYON</v>
      </c>
      <c r="E27" s="2">
        <f>IF($K27="","",IFERROR(INDEX('Veri Merkezi'!$G$2:$G$1001,$K27),""))</f>
        <v>46934</v>
      </c>
      <c r="F27" t="str">
        <f>IF($K27="","",IFERROR(INDEX('Veri Merkezi'!$H$2:$H$1001,$K27),""))</f>
        <v/>
      </c>
      <c r="G27" t="str">
        <f>IF($K27="","",IFERROR(INDEX('Veri Merkezi'!$R$2:$R$1001,$K27),""))</f>
        <v/>
      </c>
      <c r="H27" t="str">
        <f>IF($K27="","",IFERROR(INDEX('Veri Merkezi'!$S$2:$S$1001,$K27),""))</f>
        <v/>
      </c>
      <c r="I27" s="2" t="str">
        <f>IF($K27="","",IFERROR(INDEX('Veri Merkezi'!$T$2:$T$1001,$K27),""))</f>
        <v/>
      </c>
      <c r="J27" t="str">
        <f>IF($K27="","",IFERROR(INDEX('Veri Merkezi'!$U$2:$U$1001,$K27),""))</f>
        <v>8 Numaralar</v>
      </c>
      <c r="K27">
        <f>IFERROR(MATCH(ROWS($K$4:K27),'Veri Merkezi'!$X$2:$X$1001,0),"")</f>
        <v>532</v>
      </c>
    </row>
    <row r="28" spans="1:11">
      <c r="A28" t="str">
        <f>IF($K28="","",IFERROR(INDEX('Veri Merkezi'!$A$2:$A$1001,$K28),""))</f>
        <v>ALPHADJO CISSE</v>
      </c>
      <c r="B28" t="str">
        <f>IF($K28="","",IFERROR(INDEX('Veri Merkezi'!$E$2:$E$1001,$K28),""))</f>
        <v>10 Numara</v>
      </c>
      <c r="C28">
        <f ca="1">IF($K28="","",IFERROR(INDEX('Veri Merkezi'!$D$2:$D$1001,$K28),""))</f>
        <v>20</v>
      </c>
      <c r="D28" t="str">
        <f>IF($K28="","",IFERROR(INDEX('Veri Merkezi'!$F$2:$F$1001,$K28),""))</f>
        <v>MİLAN</v>
      </c>
      <c r="E28" s="2">
        <f>IF($K28="","",IFERROR(INDEX('Veri Merkezi'!$G$2:$G$1001,$K28),""))</f>
        <v>47664</v>
      </c>
      <c r="F28" t="str">
        <f>IF($K28="","",IFERROR(INDEX('Veri Merkezi'!$H$2:$H$1001,$K28),""))</f>
        <v>Sarı</v>
      </c>
      <c r="G28" t="str">
        <f>IF($K28="","",IFERROR(INDEX('Veri Merkezi'!$R$2:$R$1001,$K28),""))</f>
        <v/>
      </c>
      <c r="H28" t="str">
        <f>IF($K28="","",IFERROR(INDEX('Veri Merkezi'!$S$2:$S$1001,$K28),""))</f>
        <v>Takip</v>
      </c>
      <c r="I28" s="2" t="str">
        <f>IF($K28="","",IFERROR(INDEX('Veri Merkezi'!$T$2:$T$1001,$K28),""))</f>
        <v/>
      </c>
      <c r="J28" t="str">
        <f>IF($K28="","",IFERROR(INDEX('Veri Merkezi'!$U$2:$U$1001,$K28),""))</f>
        <v>10 Numaralar</v>
      </c>
      <c r="K28">
        <f>IFERROR(MATCH(ROWS($K$4:K28),'Veri Merkezi'!$X$2:$X$1001,0),"")</f>
        <v>601</v>
      </c>
    </row>
    <row r="29" spans="1:11">
      <c r="A29" t="str">
        <f>IF($K29="","",IFERROR(INDEX('Veri Merkezi'!$A$2:$A$1001,$K29),""))</f>
        <v>MELK COSTA DE OLIVEIRA</v>
      </c>
      <c r="B29" t="str">
        <f>IF($K29="","",IFERROR(INDEX('Veri Merkezi'!$E$2:$E$1001,$K29),""))</f>
        <v>10 Numara</v>
      </c>
      <c r="C29">
        <f ca="1">IF($K29="","",IFERROR(INDEX('Veri Merkezi'!$D$2:$D$1001,$K29),""))</f>
        <v>20</v>
      </c>
      <c r="D29" t="str">
        <f>IF($K29="","",IFERROR(INDEX('Veri Merkezi'!$F$2:$F$1001,$K29),""))</f>
        <v>CEARA</v>
      </c>
      <c r="E29" s="2">
        <f>IF($K29="","",IFERROR(INDEX('Veri Merkezi'!$G$2:$G$1001,$K29),""))</f>
        <v>47118</v>
      </c>
      <c r="F29" t="str">
        <f>IF($K29="","",IFERROR(INDEX('Veri Merkezi'!$H$2:$H$1001,$K29),""))</f>
        <v>Kırmızı</v>
      </c>
      <c r="G29" t="str">
        <f>IF($K29="","",IFERROR(INDEX('Veri Merkezi'!$R$2:$R$1001,$K29),""))</f>
        <v/>
      </c>
      <c r="H29" t="str">
        <f>IF($K29="","",IFERROR(INDEX('Veri Merkezi'!$S$2:$S$1001,$K29),""))</f>
        <v>Tekrar İzle</v>
      </c>
      <c r="I29" s="2" t="str">
        <f>IF($K29="","",IFERROR(INDEX('Veri Merkezi'!$T$2:$T$1001,$K29),""))</f>
        <v/>
      </c>
      <c r="J29" t="str">
        <f>IF($K29="","",IFERROR(INDEX('Veri Merkezi'!$U$2:$U$1001,$K29),""))</f>
        <v>10 Numaralar</v>
      </c>
      <c r="K29">
        <f>IFERROR(MATCH(ROWS($K$4:K29),'Veri Merkezi'!$X$2:$X$1001,0),"")</f>
        <v>602</v>
      </c>
    </row>
    <row r="30" spans="1:11">
      <c r="A30" t="str">
        <f>IF($K30="","",IFERROR(INDEX('Veri Merkezi'!$A$2:$A$1001,$K30),""))</f>
        <v>NOE LEBRETON</v>
      </c>
      <c r="B30" t="str">
        <f>IF($K30="","",IFERROR(INDEX('Veri Merkezi'!$E$2:$E$1001,$K30),""))</f>
        <v>10 Numara</v>
      </c>
      <c r="C30">
        <f ca="1">IF($K30="","",IFERROR(INDEX('Veri Merkezi'!$D$2:$D$1001,$K30),""))</f>
        <v>22</v>
      </c>
      <c r="D30" t="str">
        <f>IF($K30="","",IFERROR(INDEX('Veri Merkezi'!$F$2:$F$1001,$K30),""))</f>
        <v>NEC NIJMEGEN</v>
      </c>
      <c r="E30" s="2">
        <f>IF($K30="","",IFERROR(INDEX('Veri Merkezi'!$G$2:$G$1001,$K30),""))</f>
        <v>47299</v>
      </c>
      <c r="F30" t="str">
        <f>IF($K30="","",IFERROR(INDEX('Veri Merkezi'!$H$2:$H$1001,$K30),""))</f>
        <v>Yeşil</v>
      </c>
      <c r="G30" t="str">
        <f>IF($K30="","",IFERROR(INDEX('Veri Merkezi'!$R$2:$R$1001,$K30),""))</f>
        <v/>
      </c>
      <c r="H30" t="str">
        <f>IF($K30="","",IFERROR(INDEX('Veri Merkezi'!$S$2:$S$1001,$K30),""))</f>
        <v>A Liste</v>
      </c>
      <c r="I30" s="2" t="str">
        <f>IF($K30="","",IFERROR(INDEX('Veri Merkezi'!$T$2:$T$1001,$K30),""))</f>
        <v/>
      </c>
      <c r="J30" t="str">
        <f>IF($K30="","",IFERROR(INDEX('Veri Merkezi'!$U$2:$U$1001,$K30),""))</f>
        <v>10 Numaralar</v>
      </c>
      <c r="K30">
        <f>IFERROR(MATCH(ROWS($K$4:K30),'Veri Merkezi'!$X$2:$X$1001,0),"")</f>
        <v>604</v>
      </c>
    </row>
    <row r="31" spans="1:11">
      <c r="A31" t="str">
        <f>IF($K31="","",IFERROR(INDEX('Veri Merkezi'!$A$2:$A$1001,$K31),""))</f>
        <v>ABU-BEKİR ÖMER EL-ZEIN</v>
      </c>
      <c r="B31" t="str">
        <f>IF($K31="","",IFERROR(INDEX('Veri Merkezi'!$E$2:$E$1001,$K31),""))</f>
        <v>10 Numara</v>
      </c>
      <c r="C31">
        <f ca="1">IF($K31="","",IFERROR(INDEX('Veri Merkezi'!$D$2:$D$1001,$K31),""))</f>
        <v>23</v>
      </c>
      <c r="D31" t="str">
        <f>IF($K31="","",IFERROR(INDEX('Veri Merkezi'!$F$2:$F$1001,$K31),""))</f>
        <v>FREE</v>
      </c>
      <c r="E31" s="2" t="str">
        <f>IF($K31="","",IFERROR(INDEX('Veri Merkezi'!$G$2:$G$1001,$K31),""))</f>
        <v>-</v>
      </c>
      <c r="F31" t="str">
        <f>IF($K31="","",IFERROR(INDEX('Veri Merkezi'!$H$2:$H$1001,$K31),""))</f>
        <v>Kırmızı</v>
      </c>
      <c r="G31" t="str">
        <f>IF($K31="","",IFERROR(INDEX('Veri Merkezi'!$R$2:$R$1001,$K31),""))</f>
        <v/>
      </c>
      <c r="H31" t="str">
        <f>IF($K31="","",IFERROR(INDEX('Veri Merkezi'!$S$2:$S$1001,$K31),""))</f>
        <v>Ele</v>
      </c>
      <c r="I31" s="2" t="str">
        <f>IF($K31="","",IFERROR(INDEX('Veri Merkezi'!$T$2:$T$1001,$K31),""))</f>
        <v/>
      </c>
      <c r="J31" t="str">
        <f>IF($K31="","",IFERROR(INDEX('Veri Merkezi'!$U$2:$U$1001,$K31),""))</f>
        <v>10 Numaralar</v>
      </c>
      <c r="K31">
        <f>IFERROR(MATCH(ROWS($K$4:K31),'Veri Merkezi'!$X$2:$X$1001,0),"")</f>
        <v>606</v>
      </c>
    </row>
    <row r="32" spans="1:11">
      <c r="A32" t="str">
        <f>IF($K32="","",IFERROR(INDEX('Veri Merkezi'!$A$2:$A$1001,$K32),""))</f>
        <v>FABRICIO YAN</v>
      </c>
      <c r="B32" t="str">
        <f>IF($K32="","",IFERROR(INDEX('Veri Merkezi'!$E$2:$E$1001,$K32),""))</f>
        <v>10 Numara</v>
      </c>
      <c r="C32">
        <f ca="1">IF($K32="","",IFERROR(INDEX('Veri Merkezi'!$D$2:$D$1001,$K32),""))</f>
        <v>22</v>
      </c>
      <c r="D32" t="str">
        <f>IF($K32="","",IFERROR(INDEX('Veri Merkezi'!$F$2:$F$1001,$K32),""))</f>
        <v>VERES</v>
      </c>
      <c r="E32" s="2">
        <f>IF($K32="","",IFERROR(INDEX('Veri Merkezi'!$G$2:$G$1001,$K32),""))</f>
        <v>47118</v>
      </c>
      <c r="F32" t="str">
        <f>IF($K32="","",IFERROR(INDEX('Veri Merkezi'!$H$2:$H$1001,$K32),""))</f>
        <v>Kırmızı</v>
      </c>
      <c r="G32" t="str">
        <f>IF($K32="","",IFERROR(INDEX('Veri Merkezi'!$R$2:$R$1001,$K32),""))</f>
        <v/>
      </c>
      <c r="H32" t="str">
        <f>IF($K32="","",IFERROR(INDEX('Veri Merkezi'!$S$2:$S$1001,$K32),""))</f>
        <v>Ele</v>
      </c>
      <c r="I32" s="2" t="str">
        <f>IF($K32="","",IFERROR(INDEX('Veri Merkezi'!$T$2:$T$1001,$K32),""))</f>
        <v/>
      </c>
      <c r="J32" t="str">
        <f>IF($K32="","",IFERROR(INDEX('Veri Merkezi'!$U$2:$U$1001,$K32),""))</f>
        <v>10 Numaralar</v>
      </c>
      <c r="K32">
        <f>IFERROR(MATCH(ROWS($K$4:K32),'Veri Merkezi'!$X$2:$X$1001,0),"")</f>
        <v>608</v>
      </c>
    </row>
    <row r="33" spans="1:11">
      <c r="A33" t="str">
        <f>IF($K33="","",IFERROR(INDEX('Veri Merkezi'!$A$2:$A$1001,$K33),""))</f>
        <v>KAMORY DOUMBIA</v>
      </c>
      <c r="B33" t="str">
        <f>IF($K33="","",IFERROR(INDEX('Veri Merkezi'!$E$2:$E$1001,$K33),""))</f>
        <v>10 Numara</v>
      </c>
      <c r="C33">
        <f ca="1">IF($K33="","",IFERROR(INDEX('Veri Merkezi'!$D$2:$D$1001,$K33),""))</f>
        <v>23</v>
      </c>
      <c r="D33" t="str">
        <f>IF($K33="","",IFERROR(INDEX('Veri Merkezi'!$F$2:$F$1001,$K33),""))</f>
        <v>STADE BRESTOIS</v>
      </c>
      <c r="E33" s="2">
        <f>IF($K33="","",IFERROR(INDEX('Veri Merkezi'!$G$2:$G$1001,$K33),""))</f>
        <v>47299</v>
      </c>
      <c r="F33" t="str">
        <f>IF($K33="","",IFERROR(INDEX('Veri Merkezi'!$H$2:$H$1001,$K33),""))</f>
        <v/>
      </c>
      <c r="G33" t="str">
        <f>IF($K33="","",IFERROR(INDEX('Veri Merkezi'!$R$2:$R$1001,$K33),""))</f>
        <v/>
      </c>
      <c r="H33" t="str">
        <f>IF($K33="","",IFERROR(INDEX('Veri Merkezi'!$S$2:$S$1001,$K33),""))</f>
        <v/>
      </c>
      <c r="I33" s="2" t="str">
        <f>IF($K33="","",IFERROR(INDEX('Veri Merkezi'!$T$2:$T$1001,$K33),""))</f>
        <v/>
      </c>
      <c r="J33" t="str">
        <f>IF($K33="","",IFERROR(INDEX('Veri Merkezi'!$U$2:$U$1001,$K33),""))</f>
        <v>10 Numaralar</v>
      </c>
      <c r="K33">
        <f>IFERROR(MATCH(ROWS($K$4:K33),'Veri Merkezi'!$X$2:$X$1001,0),"")</f>
        <v>615</v>
      </c>
    </row>
    <row r="34" spans="1:11">
      <c r="A34" t="str">
        <f>IF($K34="","",IFERROR(INDEX('Veri Merkezi'!$A$2:$A$1001,$K34),""))</f>
        <v>ZIDAN SERTDEMIR</v>
      </c>
      <c r="B34" t="str">
        <f>IF($K34="","",IFERROR(INDEX('Veri Merkezi'!$E$2:$E$1001,$K34),""))</f>
        <v>10 Numara</v>
      </c>
      <c r="C34">
        <f ca="1">IF($K34="","",IFERROR(INDEX('Veri Merkezi'!$D$2:$D$1001,$K34),""))</f>
        <v>21</v>
      </c>
      <c r="D34" t="str">
        <f>IF($K34="","",IFERROR(INDEX('Veri Merkezi'!$F$2:$F$1001,$K34),""))</f>
        <v>PREUSSEN MÜNSTER</v>
      </c>
      <c r="E34" s="2" t="str">
        <f>IF($K34="","",IFERROR(INDEX('Veri Merkezi'!$G$2:$G$1001,$K34),""))</f>
        <v>-</v>
      </c>
      <c r="F34" t="str">
        <f>IF($K34="","",IFERROR(INDEX('Veri Merkezi'!$H$2:$H$1001,$K34),""))</f>
        <v/>
      </c>
      <c r="G34" t="str">
        <f>IF($K34="","",IFERROR(INDEX('Veri Merkezi'!$R$2:$R$1001,$K34),""))</f>
        <v/>
      </c>
      <c r="H34" t="str">
        <f>IF($K34="","",IFERROR(INDEX('Veri Merkezi'!$S$2:$S$1001,$K34),""))</f>
        <v/>
      </c>
      <c r="I34" s="2" t="str">
        <f>IF($K34="","",IFERROR(INDEX('Veri Merkezi'!$T$2:$T$1001,$K34),""))</f>
        <v/>
      </c>
      <c r="J34" t="str">
        <f>IF($K34="","",IFERROR(INDEX('Veri Merkezi'!$U$2:$U$1001,$K34),""))</f>
        <v>10 Numaralar</v>
      </c>
      <c r="K34">
        <f>IFERROR(MATCH(ROWS($K$4:K34),'Veri Merkezi'!$X$2:$X$1001,0),"")</f>
        <v>617</v>
      </c>
    </row>
    <row r="35" spans="1:11">
      <c r="A35" t="str">
        <f>IF($K35="","",IFERROR(INDEX('Veri Merkezi'!$A$2:$A$1001,$K35),""))</f>
        <v>FABIAN BZDYL</v>
      </c>
      <c r="B35" t="str">
        <f>IF($K35="","",IFERROR(INDEX('Veri Merkezi'!$E$2:$E$1001,$K35),""))</f>
        <v>10 Numara</v>
      </c>
      <c r="C35">
        <f ca="1">IF($K35="","",IFERROR(INDEX('Veri Merkezi'!$D$2:$D$1001,$K35),""))</f>
        <v>18</v>
      </c>
      <c r="D35" t="str">
        <f>IF($K35="","",IFERROR(INDEX('Veri Merkezi'!$F$2:$F$1001,$K35),""))</f>
        <v>MSK ŽILINA</v>
      </c>
      <c r="E35" s="2">
        <f>IF($K35="","",IFERROR(INDEX('Veri Merkezi'!$G$2:$G$1001,$K35),""))</f>
        <v>46934</v>
      </c>
      <c r="F35" t="str">
        <f>IF($K35="","",IFERROR(INDEX('Veri Merkezi'!$H$2:$H$1001,$K35),""))</f>
        <v/>
      </c>
      <c r="G35" t="str">
        <f>IF($K35="","",IFERROR(INDEX('Veri Merkezi'!$R$2:$R$1001,$K35),""))</f>
        <v/>
      </c>
      <c r="H35" t="str">
        <f>IF($K35="","",IFERROR(INDEX('Veri Merkezi'!$S$2:$S$1001,$K35),""))</f>
        <v/>
      </c>
      <c r="I35" s="2" t="str">
        <f>IF($K35="","",IFERROR(INDEX('Veri Merkezi'!$T$2:$T$1001,$K35),""))</f>
        <v/>
      </c>
      <c r="J35" t="str">
        <f>IF($K35="","",IFERROR(INDEX('Veri Merkezi'!$U$2:$U$1001,$K35),""))</f>
        <v>10 Numaralar</v>
      </c>
      <c r="K35">
        <f>IFERROR(MATCH(ROWS($K$4:K35),'Veri Merkezi'!$X$2:$X$1001,0),"")</f>
        <v>619</v>
      </c>
    </row>
    <row r="36" spans="1:11">
      <c r="A36" t="str">
        <f>IF($K36="","",IFERROR(INDEX('Veri Merkezi'!$A$2:$A$1001,$K36),""))</f>
        <v>KENDRY PAEZ</v>
      </c>
      <c r="B36" t="str">
        <f>IF($K36="","",IFERROR(INDEX('Veri Merkezi'!$E$2:$E$1001,$K36),""))</f>
        <v>10 Numara</v>
      </c>
      <c r="C36">
        <f ca="1">IF($K36="","",IFERROR(INDEX('Veri Merkezi'!$D$2:$D$1001,$K36),""))</f>
        <v>19</v>
      </c>
      <c r="D36" t="str">
        <f>IF($K36="","",IFERROR(INDEX('Veri Merkezi'!$F$2:$F$1001,$K36),""))</f>
        <v>RIVER PLATE (Chelsea'den kiralık)</v>
      </c>
      <c r="E36" s="2">
        <f>IF($K36="","",IFERROR(INDEX('Veri Merkezi'!$G$2:$G$1001,$K36),""))</f>
        <v>46568</v>
      </c>
      <c r="F36" t="str">
        <f>IF($K36="","",IFERROR(INDEX('Veri Merkezi'!$H$2:$H$1001,$K36),""))</f>
        <v/>
      </c>
      <c r="G36" t="str">
        <f>IF($K36="","",IFERROR(INDEX('Veri Merkezi'!$R$2:$R$1001,$K36),""))</f>
        <v/>
      </c>
      <c r="H36" t="str">
        <f>IF($K36="","",IFERROR(INDEX('Veri Merkezi'!$S$2:$S$1001,$K36),""))</f>
        <v/>
      </c>
      <c r="I36" s="2" t="str">
        <f>IF($K36="","",IFERROR(INDEX('Veri Merkezi'!$T$2:$T$1001,$K36),""))</f>
        <v/>
      </c>
      <c r="J36" t="str">
        <f>IF($K36="","",IFERROR(INDEX('Veri Merkezi'!$U$2:$U$1001,$K36),""))</f>
        <v>10 Numaralar</v>
      </c>
      <c r="K36">
        <f>IFERROR(MATCH(ROWS($K$4:K36),'Veri Merkezi'!$X$2:$X$1001,0),"")</f>
        <v>623</v>
      </c>
    </row>
    <row r="37" spans="1:11">
      <c r="A37" t="str">
        <f>IF($K37="","",IFERROR(INDEX('Veri Merkezi'!$A$2:$A$1001,$K37),""))</f>
        <v>EMRE ERDOĞAN</v>
      </c>
      <c r="B37" t="str">
        <f>IF($K37="","",IFERROR(INDEX('Veri Merkezi'!$E$2:$E$1001,$K37),""))</f>
        <v>Kanat</v>
      </c>
      <c r="C37">
        <f ca="1">IF($K37="","",IFERROR(INDEX('Veri Merkezi'!$D$2:$D$1001,$K37),""))</f>
        <v>19</v>
      </c>
      <c r="D37" t="str">
        <f>IF($K37="","",IFERROR(INDEX('Veri Merkezi'!$F$2:$F$1001,$K37),""))</f>
        <v>1860 MUNIH</v>
      </c>
      <c r="E37" s="2">
        <f>IF($K37="","",IFERROR(INDEX('Veri Merkezi'!$G$2:$G$1001,$K37),""))</f>
        <v>46568</v>
      </c>
      <c r="F37" t="str">
        <f>IF($K37="","",IFERROR(INDEX('Veri Merkezi'!$H$2:$H$1001,$K37),""))</f>
        <v>Sarı</v>
      </c>
      <c r="G37" t="str">
        <f>IF($K37="","",IFERROR(INDEX('Veri Merkezi'!$R$2:$R$1001,$K37),""))</f>
        <v/>
      </c>
      <c r="H37" t="str">
        <f>IF($K37="","",IFERROR(INDEX('Veri Merkezi'!$S$2:$S$1001,$K37),""))</f>
        <v>Takip</v>
      </c>
      <c r="I37" s="2" t="str">
        <f>IF($K37="","",IFERROR(INDEX('Veri Merkezi'!$T$2:$T$1001,$K37),""))</f>
        <v/>
      </c>
      <c r="J37" t="str">
        <f>IF($K37="","",IFERROR(INDEX('Veri Merkezi'!$U$2:$U$1001,$K37),""))</f>
        <v>Kanatlar</v>
      </c>
      <c r="K37">
        <f>IFERROR(MATCH(ROWS($K$4:K37),'Veri Merkezi'!$X$2:$X$1001,0),"")</f>
        <v>703</v>
      </c>
    </row>
    <row r="38" spans="1:11">
      <c r="A38" t="str">
        <f>IF($K38="","",IFERROR(INDEX('Veri Merkezi'!$A$2:$A$1001,$K38),""))</f>
        <v>GONCALO SOUSA</v>
      </c>
      <c r="B38" t="str">
        <f>IF($K38="","",IFERROR(INDEX('Veri Merkezi'!$E$2:$E$1001,$K38),""))</f>
        <v>Kanat</v>
      </c>
      <c r="C38">
        <f ca="1">IF($K38="","",IFERROR(INDEX('Veri Merkezi'!$D$2:$D$1001,$K38),""))</f>
        <v>20</v>
      </c>
      <c r="D38" t="str">
        <f>IF($K38="","",IFERROR(INDEX('Veri Merkezi'!$F$2:$F$1001,$K38),""))</f>
        <v>KOCAELİSPOR/PORTO</v>
      </c>
      <c r="E38" s="2">
        <f>IF($K38="","",IFERROR(INDEX('Veri Merkezi'!$G$2:$G$1001,$K38),""))</f>
        <v>46568</v>
      </c>
      <c r="F38" t="str">
        <f>IF($K38="","",IFERROR(INDEX('Veri Merkezi'!$H$2:$H$1001,$K38),""))</f>
        <v>Sarı</v>
      </c>
      <c r="G38" t="str">
        <f>IF($K38="","",IFERROR(INDEX('Veri Merkezi'!$R$2:$R$1001,$K38),""))</f>
        <v/>
      </c>
      <c r="H38" t="str">
        <f>IF($K38="","",IFERROR(INDEX('Veri Merkezi'!$S$2:$S$1001,$K38),""))</f>
        <v>Tekrar İzle</v>
      </c>
      <c r="I38" s="2" t="str">
        <f>IF($K38="","",IFERROR(INDEX('Veri Merkezi'!$T$2:$T$1001,$K38),""))</f>
        <v/>
      </c>
      <c r="J38" t="str">
        <f>IF($K38="","",IFERROR(INDEX('Veri Merkezi'!$U$2:$U$1001,$K38),""))</f>
        <v>Kanatlar</v>
      </c>
      <c r="K38">
        <f>IFERROR(MATCH(ROWS($K$4:K38),'Veri Merkezi'!$X$2:$X$1001,0),"")</f>
        <v>704</v>
      </c>
    </row>
    <row r="39" spans="1:11">
      <c r="A39" t="str">
        <f>IF($K39="","",IFERROR(INDEX('Veri Merkezi'!$A$2:$A$1001,$K39),""))</f>
        <v>MARİN PETKOV</v>
      </c>
      <c r="B39" t="str">
        <f>IF($K39="","",IFERROR(INDEX('Veri Merkezi'!$E$2:$E$1001,$K39),""))</f>
        <v>Kanat</v>
      </c>
      <c r="C39">
        <f ca="1">IF($K39="","",IFERROR(INDEX('Veri Merkezi'!$D$2:$D$1001,$K39),""))</f>
        <v>23</v>
      </c>
      <c r="D39" t="str">
        <f>IF($K39="","",IFERROR(INDEX('Veri Merkezi'!$F$2:$F$1001,$K39),""))</f>
        <v>AL-TAAWOUN</v>
      </c>
      <c r="E39" s="2">
        <f>IF($K39="","",IFERROR(INDEX('Veri Merkezi'!$G$2:$G$1001,$K39),""))</f>
        <v>46934</v>
      </c>
      <c r="F39" t="str">
        <f>IF($K39="","",IFERROR(INDEX('Veri Merkezi'!$H$2:$H$1001,$K39),""))</f>
        <v>Sarı</v>
      </c>
      <c r="G39" t="str">
        <f>IF($K39="","",IFERROR(INDEX('Veri Merkezi'!$R$2:$R$1001,$K39),""))</f>
        <v/>
      </c>
      <c r="H39" t="str">
        <f>IF($K39="","",IFERROR(INDEX('Veri Merkezi'!$S$2:$S$1001,$K39),""))</f>
        <v>Takip</v>
      </c>
      <c r="I39" s="2" t="str">
        <f>IF($K39="","",IFERROR(INDEX('Veri Merkezi'!$T$2:$T$1001,$K39),""))</f>
        <v/>
      </c>
      <c r="J39" t="str">
        <f>IF($K39="","",IFERROR(INDEX('Veri Merkezi'!$U$2:$U$1001,$K39),""))</f>
        <v>Kanatlar</v>
      </c>
      <c r="K39">
        <f>IFERROR(MATCH(ROWS($K$4:K39),'Veri Merkezi'!$X$2:$X$1001,0),"")</f>
        <v>709</v>
      </c>
    </row>
    <row r="40" spans="1:11">
      <c r="A40" t="str">
        <f>IF($K40="","",IFERROR(INDEX('Veri Merkezi'!$A$2:$A$1001,$K40),""))</f>
        <v>STEFAN BITCA</v>
      </c>
      <c r="B40" t="str">
        <f>IF($K40="","",IFERROR(INDEX('Veri Merkezi'!$E$2:$E$1001,$K40),""))</f>
        <v>Kanat</v>
      </c>
      <c r="C40">
        <f ca="1">IF($K40="","",IFERROR(INDEX('Veri Merkezi'!$D$2:$D$1001,$K40),""))</f>
        <v>21</v>
      </c>
      <c r="D40" t="str">
        <f>IF($K40="","",IFERROR(INDEX('Veri Merkezi'!$F$2:$F$1001,$K40),""))</f>
        <v>FC SHERIFF</v>
      </c>
      <c r="E40" s="2">
        <f>IF($K40="","",IFERROR(INDEX('Veri Merkezi'!$G$2:$G$1001,$K40),""))</f>
        <v>46934</v>
      </c>
      <c r="F40" t="str">
        <f>IF($K40="","",IFERROR(INDEX('Veri Merkezi'!$H$2:$H$1001,$K40),""))</f>
        <v>Kırmızı</v>
      </c>
      <c r="G40" t="str">
        <f>IF($K40="","",IFERROR(INDEX('Veri Merkezi'!$R$2:$R$1001,$K40),""))</f>
        <v/>
      </c>
      <c r="H40" t="str">
        <f>IF($K40="","",IFERROR(INDEX('Veri Merkezi'!$S$2:$S$1001,$K40),""))</f>
        <v>Ele</v>
      </c>
      <c r="I40" s="2" t="str">
        <f>IF($K40="","",IFERROR(INDEX('Veri Merkezi'!$T$2:$T$1001,$K40),""))</f>
        <v/>
      </c>
      <c r="J40" t="str">
        <f>IF($K40="","",IFERROR(INDEX('Veri Merkezi'!$U$2:$U$1001,$K40),""))</f>
        <v>Kanatlar</v>
      </c>
      <c r="K40">
        <f>IFERROR(MATCH(ROWS($K$4:K40),'Veri Merkezi'!$X$2:$X$1001,0),"")</f>
        <v>712</v>
      </c>
    </row>
    <row r="41" spans="1:11">
      <c r="A41" t="str">
        <f>IF($K41="","",IFERROR(INDEX('Veri Merkezi'!$A$2:$A$1001,$K41),""))</f>
        <v>THAPELO MASEKO</v>
      </c>
      <c r="B41" t="str">
        <f>IF($K41="","",IFERROR(INDEX('Veri Merkezi'!$E$2:$E$1001,$K41),""))</f>
        <v>Kanat</v>
      </c>
      <c r="C41">
        <f ca="1">IF($K41="","",IFERROR(INDEX('Veri Merkezi'!$D$2:$D$1001,$K41),""))</f>
        <v>22</v>
      </c>
      <c r="D41" t="str">
        <f>IF($K41="","",IFERROR(INDEX('Veri Merkezi'!$F$2:$F$1001,$K41),""))</f>
        <v>KOPENHAG</v>
      </c>
      <c r="E41" s="2">
        <f>IF($K41="","",IFERROR(INDEX('Veri Merkezi'!$G$2:$G$1001,$K41),""))</f>
        <v>47664</v>
      </c>
      <c r="F41" t="str">
        <f>IF($K41="","",IFERROR(INDEX('Veri Merkezi'!$H$2:$H$1001,$K41),""))</f>
        <v>Yeşil</v>
      </c>
      <c r="G41" t="str">
        <f>IF($K41="","",IFERROR(INDEX('Veri Merkezi'!$R$2:$R$1001,$K41),""))</f>
        <v/>
      </c>
      <c r="H41" t="str">
        <f>IF($K41="","",IFERROR(INDEX('Veri Merkezi'!$S$2:$S$1001,$K41),""))</f>
        <v>B Liste</v>
      </c>
      <c r="I41" s="2" t="str">
        <f>IF($K41="","",IFERROR(INDEX('Veri Merkezi'!$T$2:$T$1001,$K41),""))</f>
        <v/>
      </c>
      <c r="J41" t="str">
        <f>IF($K41="","",IFERROR(INDEX('Veri Merkezi'!$U$2:$U$1001,$K41),""))</f>
        <v>Kanatlar</v>
      </c>
      <c r="K41">
        <f>IFERROR(MATCH(ROWS($K$4:K41),'Veri Merkezi'!$X$2:$X$1001,0),"")</f>
        <v>713</v>
      </c>
    </row>
    <row r="42" spans="1:11">
      <c r="A42" t="str">
        <f>IF($K42="","",IFERROR(INDEX('Veri Merkezi'!$A$2:$A$1001,$K42),""))</f>
        <v>BENJAMIN BOAKYE</v>
      </c>
      <c r="B42" t="str">
        <f>IF($K42="","",IFERROR(INDEX('Veri Merkezi'!$E$2:$E$1001,$K42),""))</f>
        <v>Kanat</v>
      </c>
      <c r="C42">
        <f ca="1">IF($K42="","",IFERROR(INDEX('Veri Merkezi'!$D$2:$D$1001,$K42),""))</f>
        <v>21</v>
      </c>
      <c r="D42" t="str">
        <f>IF($K42="","",IFERROR(INDEX('Veri Merkezi'!$F$2:$F$1001,$K42),""))</f>
        <v>BIELEFELD</v>
      </c>
      <c r="E42" s="2">
        <f>IF($K42="","",IFERROR(INDEX('Veri Merkezi'!$G$2:$G$1001,$K42),""))</f>
        <v>46568</v>
      </c>
      <c r="F42" t="str">
        <f>IF($K42="","",IFERROR(INDEX('Veri Merkezi'!$H$2:$H$1001,$K42),""))</f>
        <v>Kırmızı</v>
      </c>
      <c r="G42" t="str">
        <f>IF($K42="","",IFERROR(INDEX('Veri Merkezi'!$R$2:$R$1001,$K42),""))</f>
        <v/>
      </c>
      <c r="H42" t="str">
        <f>IF($K42="","",IFERROR(INDEX('Veri Merkezi'!$S$2:$S$1001,$K42),""))</f>
        <v>Ele</v>
      </c>
      <c r="I42" s="2" t="str">
        <f>IF($K42="","",IFERROR(INDEX('Veri Merkezi'!$T$2:$T$1001,$K42),""))</f>
        <v/>
      </c>
      <c r="J42" t="str">
        <f>IF($K42="","",IFERROR(INDEX('Veri Merkezi'!$U$2:$U$1001,$K42),""))</f>
        <v>Kanatlar</v>
      </c>
      <c r="K42">
        <f>IFERROR(MATCH(ROWS($K$4:K42),'Veri Merkezi'!$X$2:$X$1001,0),"")</f>
        <v>717</v>
      </c>
    </row>
    <row r="43" spans="1:11">
      <c r="A43" t="str">
        <f>IF($K43="","",IFERROR(INDEX('Veri Merkezi'!$A$2:$A$1001,$K43),""))</f>
        <v>THIAGO CRUZ FERNANDEZ</v>
      </c>
      <c r="B43" t="str">
        <f>IF($K43="","",IFERROR(INDEX('Veri Merkezi'!$E$2:$E$1001,$K43),""))</f>
        <v>Kanat</v>
      </c>
      <c r="C43">
        <f ca="1">IF($K43="","",IFERROR(INDEX('Veri Merkezi'!$D$2:$D$1001,$K43),""))</f>
        <v>22</v>
      </c>
      <c r="D43" t="str">
        <f>IF($K43="","",IFERROR(INDEX('Veri Merkezi'!$F$2:$F$1001,$K43),""))</f>
        <v>LEVANTE</v>
      </c>
      <c r="E43" s="2">
        <f>IF($K43="","",IFERROR(INDEX('Veri Merkezi'!$G$2:$G$1001,$K43),""))</f>
        <v>46568</v>
      </c>
      <c r="F43" t="str">
        <f>IF($K43="","",IFERROR(INDEX('Veri Merkezi'!$H$2:$H$1001,$K43),""))</f>
        <v>Yeşil</v>
      </c>
      <c r="G43" t="str">
        <f>IF($K43="","",IFERROR(INDEX('Veri Merkezi'!$R$2:$R$1001,$K43),""))</f>
        <v/>
      </c>
      <c r="H43" t="str">
        <f>IF($K43="","",IFERROR(INDEX('Veri Merkezi'!$S$2:$S$1001,$K43),""))</f>
        <v>B Liste</v>
      </c>
      <c r="I43" s="2" t="str">
        <f>IF($K43="","",IFERROR(INDEX('Veri Merkezi'!$T$2:$T$1001,$K43),""))</f>
        <v/>
      </c>
      <c r="J43" t="str">
        <f>IF($K43="","",IFERROR(INDEX('Veri Merkezi'!$U$2:$U$1001,$K43),""))</f>
        <v>Kanatlar</v>
      </c>
      <c r="K43">
        <f>IFERROR(MATCH(ROWS($K$4:K43),'Veri Merkezi'!$X$2:$X$1001,0),"")</f>
        <v>720</v>
      </c>
    </row>
    <row r="44" spans="1:11">
      <c r="A44" t="str">
        <f>IF($K44="","",IFERROR(INDEX('Veri Merkezi'!$A$2:$A$1001,$K44),""))</f>
        <v>MARIN PETKOV</v>
      </c>
      <c r="B44" t="str">
        <f>IF($K44="","",IFERROR(INDEX('Veri Merkezi'!$E$2:$E$1001,$K44),""))</f>
        <v>Kanat</v>
      </c>
      <c r="C44">
        <f ca="1">IF($K44="","",IFERROR(INDEX('Veri Merkezi'!$D$2:$D$1001,$K44),""))</f>
        <v>23</v>
      </c>
      <c r="D44" t="str">
        <f>IF($K44="","",IFERROR(INDEX('Veri Merkezi'!$F$2:$F$1001,$K44),""))</f>
        <v>AL-TAAWOUN FC</v>
      </c>
      <c r="E44" s="2">
        <f>IF($K44="","",IFERROR(INDEX('Veri Merkezi'!$G$2:$G$1001,$K44),""))</f>
        <v>46934</v>
      </c>
      <c r="F44" t="str">
        <f>IF($K44="","",IFERROR(INDEX('Veri Merkezi'!$H$2:$H$1001,$K44),""))</f>
        <v/>
      </c>
      <c r="G44" t="str">
        <f>IF($K44="","",IFERROR(INDEX('Veri Merkezi'!$R$2:$R$1001,$K44),""))</f>
        <v/>
      </c>
      <c r="H44" t="str">
        <f>IF($K44="","",IFERROR(INDEX('Veri Merkezi'!$S$2:$S$1001,$K44),""))</f>
        <v/>
      </c>
      <c r="I44" s="2" t="str">
        <f>IF($K44="","",IFERROR(INDEX('Veri Merkezi'!$T$2:$T$1001,$K44),""))</f>
        <v/>
      </c>
      <c r="J44" t="str">
        <f>IF($K44="","",IFERROR(INDEX('Veri Merkezi'!$U$2:$U$1001,$K44),""))</f>
        <v>Kanatlar</v>
      </c>
      <c r="K44">
        <f>IFERROR(MATCH(ROWS($K$4:K44),'Veri Merkezi'!$X$2:$X$1001,0),"")</f>
        <v>722</v>
      </c>
    </row>
    <row r="45" spans="1:11">
      <c r="A45" t="str">
        <f>IF($K45="","",IFERROR(INDEX('Veri Merkezi'!$A$2:$A$1001,$K45),""))</f>
        <v>THIAGO FERNANDEZ</v>
      </c>
      <c r="B45" t="str">
        <f>IF($K45="","",IFERROR(INDEX('Veri Merkezi'!$E$2:$E$1001,$K45),""))</f>
        <v>Kanat</v>
      </c>
      <c r="C45">
        <f ca="1">IF($K45="","",IFERROR(INDEX('Veri Merkezi'!$D$2:$D$1001,$K45),""))</f>
        <v>22</v>
      </c>
      <c r="D45" t="str">
        <f>IF($K45="","",IFERROR(INDEX('Veri Merkezi'!$F$2:$F$1001,$K45),""))</f>
        <v>LEVANTE UD (Villarreal'den kiralık)</v>
      </c>
      <c r="E45" s="2">
        <f>IF($K45="","",IFERROR(INDEX('Veri Merkezi'!$G$2:$G$1001,$K45),""))</f>
        <v>48029</v>
      </c>
      <c r="F45" t="str">
        <f>IF($K45="","",IFERROR(INDEX('Veri Merkezi'!$H$2:$H$1001,$K45),""))</f>
        <v/>
      </c>
      <c r="G45" t="str">
        <f>IF($K45="","",IFERROR(INDEX('Veri Merkezi'!$R$2:$R$1001,$K45),""))</f>
        <v/>
      </c>
      <c r="H45" t="str">
        <f>IF($K45="","",IFERROR(INDEX('Veri Merkezi'!$S$2:$S$1001,$K45),""))</f>
        <v/>
      </c>
      <c r="I45" s="2" t="str">
        <f>IF($K45="","",IFERROR(INDEX('Veri Merkezi'!$T$2:$T$1001,$K45),""))</f>
        <v/>
      </c>
      <c r="J45" t="str">
        <f>IF($K45="","",IFERROR(INDEX('Veri Merkezi'!$U$2:$U$1001,$K45),""))</f>
        <v>Kanatlar</v>
      </c>
      <c r="K45">
        <f>IFERROR(MATCH(ROWS($K$4:K45),'Veri Merkezi'!$X$2:$X$1001,0),"")</f>
        <v>725</v>
      </c>
    </row>
    <row r="46" spans="1:11">
      <c r="A46" t="str">
        <f>IF($K46="","",IFERROR(INDEX('Veri Merkezi'!$A$2:$A$1001,$K46),""))</f>
        <v>NICOLAS PAYS</v>
      </c>
      <c r="B46" t="str">
        <f>IF($K46="","",IFERROR(INDEX('Veri Merkezi'!$E$2:$E$1001,$K46),""))</f>
        <v>Kanat</v>
      </c>
      <c r="C46">
        <f ca="1">IF($K46="","",IFERROR(INDEX('Veri Merkezi'!$D$2:$D$1001,$K46),""))</f>
        <v>23</v>
      </c>
      <c r="D46" t="str">
        <f>IF($K46="","",IFERROR(INDEX('Veri Merkezi'!$F$2:$F$1001,$K46),""))</f>
        <v>MONTPELLIER HSC</v>
      </c>
      <c r="E46" s="2">
        <f>IF($K46="","",IFERROR(INDEX('Veri Merkezi'!$G$2:$G$1001,$K46),""))</f>
        <v>46934</v>
      </c>
      <c r="F46" t="str">
        <f>IF($K46="","",IFERROR(INDEX('Veri Merkezi'!$H$2:$H$1001,$K46),""))</f>
        <v/>
      </c>
      <c r="G46" t="str">
        <f>IF($K46="","",IFERROR(INDEX('Veri Merkezi'!$R$2:$R$1001,$K46),""))</f>
        <v/>
      </c>
      <c r="H46" t="str">
        <f>IF($K46="","",IFERROR(INDEX('Veri Merkezi'!$S$2:$S$1001,$K46),""))</f>
        <v/>
      </c>
      <c r="I46" s="2" t="str">
        <f>IF($K46="","",IFERROR(INDEX('Veri Merkezi'!$T$2:$T$1001,$K46),""))</f>
        <v/>
      </c>
      <c r="J46" t="str">
        <f>IF($K46="","",IFERROR(INDEX('Veri Merkezi'!$U$2:$U$1001,$K46),""))</f>
        <v>Kanatlar</v>
      </c>
      <c r="K46">
        <f>IFERROR(MATCH(ROWS($K$4:K46),'Veri Merkezi'!$X$2:$X$1001,0),"")</f>
        <v>726</v>
      </c>
    </row>
    <row r="47" spans="1:11">
      <c r="A47" t="str">
        <f>IF($K47="","",IFERROR(INDEX('Veri Merkezi'!$A$2:$A$1001,$K47),""))</f>
        <v>RAYN KIZITO</v>
      </c>
      <c r="B47" t="str">
        <f>IF($K47="","",IFERROR(INDEX('Veri Merkezi'!$E$2:$E$1001,$K47),""))</f>
        <v>Kanat</v>
      </c>
      <c r="C47">
        <f ca="1">IF($K47="","",IFERROR(INDEX('Veri Merkezi'!$D$2:$D$1001,$K47),""))</f>
        <v>21</v>
      </c>
      <c r="D47" t="str">
        <f>IF($K47="","",IFERROR(INDEX('Veri Merkezi'!$F$2:$F$1001,$K47),""))</f>
        <v xml:space="preserve">- </v>
      </c>
      <c r="E47" s="2" t="str">
        <f>IF($K47="","",IFERROR(INDEX('Veri Merkezi'!$G$2:$G$1001,$K47),""))</f>
        <v>-</v>
      </c>
      <c r="F47" t="str">
        <f>IF($K47="","",IFERROR(INDEX('Veri Merkezi'!$H$2:$H$1001,$K47),""))</f>
        <v/>
      </c>
      <c r="G47" t="str">
        <f>IF($K47="","",IFERROR(INDEX('Veri Merkezi'!$R$2:$R$1001,$K47),""))</f>
        <v/>
      </c>
      <c r="H47" t="str">
        <f>IF($K47="","",IFERROR(INDEX('Veri Merkezi'!$S$2:$S$1001,$K47),""))</f>
        <v/>
      </c>
      <c r="I47" s="2" t="str">
        <f>IF($K47="","",IFERROR(INDEX('Veri Merkezi'!$T$2:$T$1001,$K47),""))</f>
        <v/>
      </c>
      <c r="J47" t="str">
        <f>IF($K47="","",IFERROR(INDEX('Veri Merkezi'!$U$2:$U$1001,$K47),""))</f>
        <v>Kanatlar</v>
      </c>
      <c r="K47">
        <f>IFERROR(MATCH(ROWS($K$4:K47),'Veri Merkezi'!$X$2:$X$1001,0),"")</f>
        <v>734</v>
      </c>
    </row>
    <row r="48" spans="1:11">
      <c r="A48" t="str">
        <f>IF($K48="","",IFERROR(INDEX('Veri Merkezi'!$A$2:$A$1001,$K48),""))</f>
        <v>YOUSSOUPHA SANYANG</v>
      </c>
      <c r="B48" t="str">
        <f>IF($K48="","",IFERROR(INDEX('Veri Merkezi'!$E$2:$E$1001,$K48),""))</f>
        <v>Kanat</v>
      </c>
      <c r="C48">
        <f ca="1">IF($K48="","",IFERROR(INDEX('Veri Merkezi'!$D$2:$D$1001,$K48),""))</f>
        <v>21</v>
      </c>
      <c r="D48" t="str">
        <f>IF($K48="","",IFERROR(INDEX('Veri Merkezi'!$F$2:$F$1001,$K48),""))</f>
        <v>SLAVIA PRAG</v>
      </c>
      <c r="E48" s="2">
        <f>IF($K48="","",IFERROR(INDEX('Veri Merkezi'!$G$2:$G$1001,$K48),""))</f>
        <v>47664</v>
      </c>
      <c r="F48" t="str">
        <f>IF($K48="","",IFERROR(INDEX('Veri Merkezi'!$H$2:$H$1001,$K48),""))</f>
        <v/>
      </c>
      <c r="G48" t="str">
        <f>IF($K48="","",IFERROR(INDEX('Veri Merkezi'!$R$2:$R$1001,$K48),""))</f>
        <v/>
      </c>
      <c r="H48" t="str">
        <f>IF($K48="","",IFERROR(INDEX('Veri Merkezi'!$S$2:$S$1001,$K48),""))</f>
        <v/>
      </c>
      <c r="I48" s="2" t="str">
        <f>IF($K48="","",IFERROR(INDEX('Veri Merkezi'!$T$2:$T$1001,$K48),""))</f>
        <v/>
      </c>
      <c r="J48" t="str">
        <f>IF($K48="","",IFERROR(INDEX('Veri Merkezi'!$U$2:$U$1001,$K48),""))</f>
        <v>Kanatlar</v>
      </c>
      <c r="K48">
        <f>IFERROR(MATCH(ROWS($K$4:K48),'Veri Merkezi'!$X$2:$X$1001,0),"")</f>
        <v>740</v>
      </c>
    </row>
    <row r="49" spans="1:11">
      <c r="A49" t="str">
        <f>IF($K49="","",IFERROR(INDEX('Veri Merkezi'!$A$2:$A$1001,$K49),""))</f>
        <v>ISMAEL GHARBI</v>
      </c>
      <c r="B49" t="str">
        <f>IF($K49="","",IFERROR(INDEX('Veri Merkezi'!$E$2:$E$1001,$K49),""))</f>
        <v>Kanat</v>
      </c>
      <c r="C49">
        <f ca="1">IF($K49="","",IFERROR(INDEX('Veri Merkezi'!$D$2:$D$1001,$K49),""))</f>
        <v>22</v>
      </c>
      <c r="D49" t="str">
        <f>IF($K49="","",IFERROR(INDEX('Veri Merkezi'!$F$2:$F$1001,$K49),""))</f>
        <v>SC BRAGA</v>
      </c>
      <c r="E49" s="2">
        <f>IF($K49="","",IFERROR(INDEX('Veri Merkezi'!$G$2:$G$1001,$K49),""))</f>
        <v>47299</v>
      </c>
      <c r="F49" t="str">
        <f>IF($K49="","",IFERROR(INDEX('Veri Merkezi'!$H$2:$H$1001,$K49),""))</f>
        <v/>
      </c>
      <c r="G49" t="str">
        <f>IF($K49="","",IFERROR(INDEX('Veri Merkezi'!$R$2:$R$1001,$K49),""))</f>
        <v/>
      </c>
      <c r="H49" t="str">
        <f>IF($K49="","",IFERROR(INDEX('Veri Merkezi'!$S$2:$S$1001,$K49),""))</f>
        <v/>
      </c>
      <c r="I49" s="2" t="str">
        <f>IF($K49="","",IFERROR(INDEX('Veri Merkezi'!$T$2:$T$1001,$K49),""))</f>
        <v/>
      </c>
      <c r="J49" t="str">
        <f>IF($K49="","",IFERROR(INDEX('Veri Merkezi'!$U$2:$U$1001,$K49),""))</f>
        <v>Kanatlar</v>
      </c>
      <c r="K49">
        <f>IFERROR(MATCH(ROWS($K$4:K49),'Veri Merkezi'!$X$2:$X$1001,0),"")</f>
        <v>745</v>
      </c>
    </row>
    <row r="50" spans="1:11">
      <c r="A50" t="str">
        <f>IF($K50="","",IFERROR(INDEX('Veri Merkezi'!$A$2:$A$1001,$K50),""))</f>
        <v>EHIJE UKAKI</v>
      </c>
      <c r="B50" t="str">
        <f>IF($K50="","",IFERROR(INDEX('Veri Merkezi'!$E$2:$E$1001,$K50),""))</f>
        <v>Kanat</v>
      </c>
      <c r="C50">
        <f ca="1">IF($K50="","",IFERROR(INDEX('Veri Merkezi'!$D$2:$D$1001,$K50),""))</f>
        <v>22</v>
      </c>
      <c r="D50" t="str">
        <f>IF($K50="","",IFERROR(INDEX('Veri Merkezi'!$F$2:$F$1001,$K50),""))</f>
        <v>SHEFFIELD UNITED</v>
      </c>
      <c r="E50" s="2">
        <f>IF($K50="","",IFERROR(INDEX('Veri Merkezi'!$G$2:$G$1001,$K50),""))</f>
        <v>46934</v>
      </c>
      <c r="F50" t="str">
        <f>IF($K50="","",IFERROR(INDEX('Veri Merkezi'!$H$2:$H$1001,$K50),""))</f>
        <v/>
      </c>
      <c r="G50" t="str">
        <f>IF($K50="","",IFERROR(INDEX('Veri Merkezi'!$R$2:$R$1001,$K50),""))</f>
        <v/>
      </c>
      <c r="H50" t="str">
        <f>IF($K50="","",IFERROR(INDEX('Veri Merkezi'!$S$2:$S$1001,$K50),""))</f>
        <v/>
      </c>
      <c r="I50" s="2" t="str">
        <f>IF($K50="","",IFERROR(INDEX('Veri Merkezi'!$T$2:$T$1001,$K50),""))</f>
        <v/>
      </c>
      <c r="J50" t="str">
        <f>IF($K50="","",IFERROR(INDEX('Veri Merkezi'!$U$2:$U$1001,$K50),""))</f>
        <v>Kanatlar</v>
      </c>
      <c r="K50">
        <f>IFERROR(MATCH(ROWS($K$4:K50),'Veri Merkezi'!$X$2:$X$1001,0),"")</f>
        <v>750</v>
      </c>
    </row>
    <row r="51" spans="1:11">
      <c r="A51" t="str">
        <f>IF($K51="","",IFERROR(INDEX('Veri Merkezi'!$A$2:$A$1001,$K51),""))</f>
        <v>ADNANE ABID</v>
      </c>
      <c r="B51" t="str">
        <f>IF($K51="","",IFERROR(INDEX('Veri Merkezi'!$E$2:$E$1001,$K51),""))</f>
        <v>Kanat</v>
      </c>
      <c r="C51">
        <f ca="1">IF($K51="","",IFERROR(INDEX('Veri Merkezi'!$D$2:$D$1001,$K51),""))</f>
        <v>23</v>
      </c>
      <c r="D51" t="str">
        <f>IF($K51="","",IFERROR(INDEX('Veri Merkezi'!$F$2:$F$1001,$K51),""))</f>
        <v>STANDARD LIÈGE</v>
      </c>
      <c r="E51" s="2">
        <f>IF($K51="","",IFERROR(INDEX('Veri Merkezi'!$G$2:$G$1001,$K51),""))</f>
        <v>47299</v>
      </c>
      <c r="F51" t="str">
        <f>IF($K51="","",IFERROR(INDEX('Veri Merkezi'!$H$2:$H$1001,$K51),""))</f>
        <v/>
      </c>
      <c r="G51" t="str">
        <f>IF($K51="","",IFERROR(INDEX('Veri Merkezi'!$R$2:$R$1001,$K51),""))</f>
        <v/>
      </c>
      <c r="H51" t="str">
        <f>IF($K51="","",IFERROR(INDEX('Veri Merkezi'!$S$2:$S$1001,$K51),""))</f>
        <v/>
      </c>
      <c r="I51" s="2" t="str">
        <f>IF($K51="","",IFERROR(INDEX('Veri Merkezi'!$T$2:$T$1001,$K51),""))</f>
        <v/>
      </c>
      <c r="J51" t="str">
        <f>IF($K51="","",IFERROR(INDEX('Veri Merkezi'!$U$2:$U$1001,$K51),""))</f>
        <v>Kanatlar</v>
      </c>
      <c r="K51">
        <f>IFERROR(MATCH(ROWS($K$4:K51),'Veri Merkezi'!$X$2:$X$1001,0),"")</f>
        <v>754</v>
      </c>
    </row>
    <row r="52" spans="1:11">
      <c r="A52" t="str">
        <f>IF($K52="","",IFERROR(INDEX('Veri Merkezi'!$A$2:$A$1001,$K52),""))</f>
        <v>MYRON VAN BREDERODE</v>
      </c>
      <c r="B52" t="str">
        <f>IF($K52="","",IFERROR(INDEX('Veri Merkezi'!$E$2:$E$1001,$K52),""))</f>
        <v>Kanat</v>
      </c>
      <c r="C52">
        <f ca="1">IF($K52="","",IFERROR(INDEX('Veri Merkezi'!$D$2:$D$1001,$K52),""))</f>
        <v>23</v>
      </c>
      <c r="D52" t="str">
        <f>IF($K52="","",IFERROR(INDEX('Veri Merkezi'!$F$2:$F$1001,$K52),""))</f>
        <v>KV MECHELEN</v>
      </c>
      <c r="E52" s="2">
        <f>IF($K52="","",IFERROR(INDEX('Veri Merkezi'!$G$2:$G$1001,$K52),""))</f>
        <v>47299</v>
      </c>
      <c r="F52" t="str">
        <f>IF($K52="","",IFERROR(INDEX('Veri Merkezi'!$H$2:$H$1001,$K52),""))</f>
        <v/>
      </c>
      <c r="G52" t="str">
        <f>IF($K52="","",IFERROR(INDEX('Veri Merkezi'!$R$2:$R$1001,$K52),""))</f>
        <v/>
      </c>
      <c r="H52" t="str">
        <f>IF($K52="","",IFERROR(INDEX('Veri Merkezi'!$S$2:$S$1001,$K52),""))</f>
        <v/>
      </c>
      <c r="I52" s="2" t="str">
        <f>IF($K52="","",IFERROR(INDEX('Veri Merkezi'!$T$2:$T$1001,$K52),""))</f>
        <v/>
      </c>
      <c r="J52" t="str">
        <f>IF($K52="","",IFERROR(INDEX('Veri Merkezi'!$U$2:$U$1001,$K52),""))</f>
        <v>Kanatlar</v>
      </c>
      <c r="K52">
        <f>IFERROR(MATCH(ROWS($K$4:K52),'Veri Merkezi'!$X$2:$X$1001,0),"")</f>
        <v>755</v>
      </c>
    </row>
    <row r="53" spans="1:11">
      <c r="A53" t="str">
        <f>IF($K53="","",IFERROR(INDEX('Veri Merkezi'!$A$2:$A$1001,$K53),""))</f>
        <v>CEDRIC NUOZZI</v>
      </c>
      <c r="B53" t="str">
        <f>IF($K53="","",IFERROR(INDEX('Veri Merkezi'!$E$2:$E$1001,$K53),""))</f>
        <v>Kanat</v>
      </c>
      <c r="C53">
        <f ca="1">IF($K53="","",IFERROR(INDEX('Veri Merkezi'!$D$2:$D$1001,$K53),""))</f>
        <v>20</v>
      </c>
      <c r="D53" t="str">
        <f>IF($K53="","",IFERROR(INDEX('Veri Merkezi'!$F$2:$F$1001,$K53),""))</f>
        <v>FC ALVERCA</v>
      </c>
      <c r="E53" s="2">
        <f>IF($K53="","",IFERROR(INDEX('Veri Merkezi'!$G$2:$G$1001,$K53),""))</f>
        <v>46934</v>
      </c>
      <c r="F53" t="str">
        <f>IF($K53="","",IFERROR(INDEX('Veri Merkezi'!$H$2:$H$1001,$K53),""))</f>
        <v/>
      </c>
      <c r="G53" t="str">
        <f>IF($K53="","",IFERROR(INDEX('Veri Merkezi'!$R$2:$R$1001,$K53),""))</f>
        <v/>
      </c>
      <c r="H53" t="str">
        <f>IF($K53="","",IFERROR(INDEX('Veri Merkezi'!$S$2:$S$1001,$K53),""))</f>
        <v/>
      </c>
      <c r="I53" s="2" t="str">
        <f>IF($K53="","",IFERROR(INDEX('Veri Merkezi'!$T$2:$T$1001,$K53),""))</f>
        <v/>
      </c>
      <c r="J53" t="str">
        <f>IF($K53="","",IFERROR(INDEX('Veri Merkezi'!$U$2:$U$1001,$K53),""))</f>
        <v>Kanatlar</v>
      </c>
      <c r="K53">
        <f>IFERROR(MATCH(ROWS($K$4:K53),'Veri Merkezi'!$X$2:$X$1001,0),"")</f>
        <v>756</v>
      </c>
    </row>
    <row r="54" spans="1:11">
      <c r="A54" t="str">
        <f>IF($K54="","",IFERROR(INDEX('Veri Merkezi'!$A$2:$A$1001,$K54),""))</f>
        <v>SULEMAN SANI</v>
      </c>
      <c r="B54" t="str">
        <f>IF($K54="","",IFERROR(INDEX('Veri Merkezi'!$E$2:$E$1001,$K54),""))</f>
        <v>Kanat</v>
      </c>
      <c r="C54">
        <f ca="1">IF($K54="","",IFERROR(INDEX('Veri Merkezi'!$D$2:$D$1001,$K54),""))</f>
        <v>20</v>
      </c>
      <c r="D54" t="str">
        <f>IF($K54="","",IFERROR(INDEX('Veri Merkezi'!$F$2:$F$1001,$K54),""))</f>
        <v>RB LEIPZIG</v>
      </c>
      <c r="E54" s="2">
        <f>IF($K54="","",IFERROR(INDEX('Veri Merkezi'!$G$2:$G$1001,$K54),""))</f>
        <v>48029</v>
      </c>
      <c r="F54" t="str">
        <f>IF($K54="","",IFERROR(INDEX('Veri Merkezi'!$H$2:$H$1001,$K54),""))</f>
        <v/>
      </c>
      <c r="G54" t="str">
        <f>IF($K54="","",IFERROR(INDEX('Veri Merkezi'!$R$2:$R$1001,$K54),""))</f>
        <v/>
      </c>
      <c r="H54" t="str">
        <f>IF($K54="","",IFERROR(INDEX('Veri Merkezi'!$S$2:$S$1001,$K54),""))</f>
        <v/>
      </c>
      <c r="I54" s="2" t="str">
        <f>IF($K54="","",IFERROR(INDEX('Veri Merkezi'!$T$2:$T$1001,$K54),""))</f>
        <v/>
      </c>
      <c r="J54" t="str">
        <f>IF($K54="","",IFERROR(INDEX('Veri Merkezi'!$U$2:$U$1001,$K54),""))</f>
        <v>Kanatlar</v>
      </c>
      <c r="K54">
        <f>IFERROR(MATCH(ROWS($K$4:K54),'Veri Merkezi'!$X$2:$X$1001,0),"")</f>
        <v>758</v>
      </c>
    </row>
    <row r="55" spans="1:11">
      <c r="A55" t="str">
        <f>IF($K55="","",IFERROR(INDEX('Veri Merkezi'!$A$2:$A$1001,$K55),""))</f>
        <v>FABRICE TAMBA</v>
      </c>
      <c r="B55" t="str">
        <f>IF($K55="","",IFERROR(INDEX('Veri Merkezi'!$E$2:$E$1001,$K55),""))</f>
        <v>Kanat</v>
      </c>
      <c r="C55">
        <f ca="1">IF($K55="","",IFERROR(INDEX('Veri Merkezi'!$D$2:$D$1001,$K55),""))</f>
        <v>22</v>
      </c>
      <c r="D55" t="str">
        <f>IF($K55="","",IFERROR(INDEX('Veri Merkezi'!$F$2:$F$1001,$K55),""))</f>
        <v>SHKENDIJA TETOVO</v>
      </c>
      <c r="E55" s="2">
        <f>IF($K55="","",IFERROR(INDEX('Veri Merkezi'!$G$2:$G$1001,$K55),""))</f>
        <v>46934</v>
      </c>
      <c r="F55" t="str">
        <f>IF($K55="","",IFERROR(INDEX('Veri Merkezi'!$H$2:$H$1001,$K55),""))</f>
        <v/>
      </c>
      <c r="G55" t="str">
        <f>IF($K55="","",IFERROR(INDEX('Veri Merkezi'!$R$2:$R$1001,$K55),""))</f>
        <v/>
      </c>
      <c r="H55" t="str">
        <f>IF($K55="","",IFERROR(INDEX('Veri Merkezi'!$S$2:$S$1001,$K55),""))</f>
        <v/>
      </c>
      <c r="I55" s="2" t="str">
        <f>IF($K55="","",IFERROR(INDEX('Veri Merkezi'!$T$2:$T$1001,$K55),""))</f>
        <v/>
      </c>
      <c r="J55" t="str">
        <f>IF($K55="","",IFERROR(INDEX('Veri Merkezi'!$U$2:$U$1001,$K55),""))</f>
        <v>Kanatlar</v>
      </c>
      <c r="K55">
        <f>IFERROR(MATCH(ROWS($K$4:K55),'Veri Merkezi'!$X$2:$X$1001,0),"")</f>
        <v>760</v>
      </c>
    </row>
    <row r="56" spans="1:11">
      <c r="A56" t="str">
        <f>IF($K56="","",IFERROR(INDEX('Veri Merkezi'!$A$2:$A$1001,$K56),""))</f>
        <v>LUCA OYEN</v>
      </c>
      <c r="B56" t="str">
        <f>IF($K56="","",IFERROR(INDEX('Veri Merkezi'!$E$2:$E$1001,$K56),""))</f>
        <v>Kanat</v>
      </c>
      <c r="C56">
        <f ca="1">IF($K56="","",IFERROR(INDEX('Veri Merkezi'!$D$2:$D$1001,$K56),""))</f>
        <v>23</v>
      </c>
      <c r="D56" t="str">
        <f>IF($K56="","",IFERROR(INDEX('Veri Merkezi'!$F$2:$F$1001,$K56),""))</f>
        <v>SC HEERENVEEN</v>
      </c>
      <c r="E56" s="2">
        <f>IF($K56="","",IFERROR(INDEX('Veri Merkezi'!$G$2:$G$1001,$K56),""))</f>
        <v>47299</v>
      </c>
      <c r="F56" t="str">
        <f>IF($K56="","",IFERROR(INDEX('Veri Merkezi'!$H$2:$H$1001,$K56),""))</f>
        <v/>
      </c>
      <c r="G56" t="str">
        <f>IF($K56="","",IFERROR(INDEX('Veri Merkezi'!$R$2:$R$1001,$K56),""))</f>
        <v/>
      </c>
      <c r="H56" t="str">
        <f>IF($K56="","",IFERROR(INDEX('Veri Merkezi'!$S$2:$S$1001,$K56),""))</f>
        <v/>
      </c>
      <c r="I56" s="2" t="str">
        <f>IF($K56="","",IFERROR(INDEX('Veri Merkezi'!$T$2:$T$1001,$K56),""))</f>
        <v/>
      </c>
      <c r="J56" t="str">
        <f>IF($K56="","",IFERROR(INDEX('Veri Merkezi'!$U$2:$U$1001,$K56),""))</f>
        <v>Kanatlar</v>
      </c>
      <c r="K56">
        <f>IFERROR(MATCH(ROWS($K$4:K56),'Veri Merkezi'!$X$2:$X$1001,0),"")</f>
        <v>761</v>
      </c>
    </row>
    <row r="57" spans="1:11">
      <c r="A57" t="str">
        <f>IF($K57="","",IFERROR(INDEX('Veri Merkezi'!$A$2:$A$1001,$K57),""))</f>
        <v>NEMANJA TRIFUNOVIC</v>
      </c>
      <c r="B57" t="str">
        <f>IF($K57="","",IFERROR(INDEX('Veri Merkezi'!$E$2:$E$1001,$K57),""))</f>
        <v>Kanat</v>
      </c>
      <c r="C57">
        <f ca="1">IF($K57="","",IFERROR(INDEX('Veri Merkezi'!$D$2:$D$1001,$K57),""))</f>
        <v>22</v>
      </c>
      <c r="D57" t="str">
        <f>IF($K57="","",IFERROR(INDEX('Veri Merkezi'!$F$2:$F$1001,$K57),""))</f>
        <v>PARTIZAN</v>
      </c>
      <c r="E57" s="2">
        <f>IF($K57="","",IFERROR(INDEX('Veri Merkezi'!$G$2:$G$1001,$K57),""))</f>
        <v>46934</v>
      </c>
      <c r="F57" t="str">
        <f>IF($K57="","",IFERROR(INDEX('Veri Merkezi'!$H$2:$H$1001,$K57),""))</f>
        <v/>
      </c>
      <c r="G57" t="str">
        <f>IF($K57="","",IFERROR(INDEX('Veri Merkezi'!$R$2:$R$1001,$K57),""))</f>
        <v/>
      </c>
      <c r="H57" t="str">
        <f>IF($K57="","",IFERROR(INDEX('Veri Merkezi'!$S$2:$S$1001,$K57),""))</f>
        <v/>
      </c>
      <c r="I57" s="2" t="str">
        <f>IF($K57="","",IFERROR(INDEX('Veri Merkezi'!$T$2:$T$1001,$K57),""))</f>
        <v/>
      </c>
      <c r="J57" t="str">
        <f>IF($K57="","",IFERROR(INDEX('Veri Merkezi'!$U$2:$U$1001,$K57),""))</f>
        <v>Kanatlar</v>
      </c>
      <c r="K57">
        <f>IFERROR(MATCH(ROWS($K$4:K57),'Veri Merkezi'!$X$2:$X$1001,0),"")</f>
        <v>763</v>
      </c>
    </row>
    <row r="58" spans="1:11">
      <c r="A58" t="str">
        <f>IF($K58="","",IFERROR(INDEX('Veri Merkezi'!$A$2:$A$1001,$K58),""))</f>
        <v>ADRIAN BLAKE</v>
      </c>
      <c r="B58" t="str">
        <f>IF($K58="","",IFERROR(INDEX('Veri Merkezi'!$E$2:$E$1001,$K58),""))</f>
        <v>Kanat</v>
      </c>
      <c r="C58">
        <f ca="1">IF($K58="","",IFERROR(INDEX('Veri Merkezi'!$D$2:$D$1001,$K58),""))</f>
        <v>21</v>
      </c>
      <c r="D58" t="str">
        <f>IF($K58="","",IFERROR(INDEX('Veri Merkezi'!$F$2:$F$1001,$K58),""))</f>
        <v>FC UTRECHT</v>
      </c>
      <c r="E58" s="2">
        <f>IF($K58="","",IFERROR(INDEX('Veri Merkezi'!$G$2:$G$1001,$K58),""))</f>
        <v>46568</v>
      </c>
      <c r="F58" t="str">
        <f>IF($K58="","",IFERROR(INDEX('Veri Merkezi'!$H$2:$H$1001,$K58),""))</f>
        <v/>
      </c>
      <c r="G58" t="str">
        <f>IF($K58="","",IFERROR(INDEX('Veri Merkezi'!$R$2:$R$1001,$K58),""))</f>
        <v/>
      </c>
      <c r="H58" t="str">
        <f>IF($K58="","",IFERROR(INDEX('Veri Merkezi'!$S$2:$S$1001,$K58),""))</f>
        <v/>
      </c>
      <c r="I58" s="2" t="str">
        <f>IF($K58="","",IFERROR(INDEX('Veri Merkezi'!$T$2:$T$1001,$K58),""))</f>
        <v/>
      </c>
      <c r="J58" t="str">
        <f>IF($K58="","",IFERROR(INDEX('Veri Merkezi'!$U$2:$U$1001,$K58),""))</f>
        <v>Kanatlar</v>
      </c>
      <c r="K58">
        <f>IFERROR(MATCH(ROWS($K$4:K58),'Veri Merkezi'!$X$2:$X$1001,0),"")</f>
        <v>764</v>
      </c>
    </row>
    <row r="59" spans="1:11">
      <c r="A59" t="str">
        <f>IF($K59="","",IFERROR(INDEX('Veri Merkezi'!$A$2:$A$1001,$K59),""))</f>
        <v>WARREN MADRIGAL</v>
      </c>
      <c r="B59" t="str">
        <f>IF($K59="","",IFERROR(INDEX('Veri Merkezi'!$E$2:$E$1001,$K59),""))</f>
        <v>Kanat</v>
      </c>
      <c r="C59">
        <f ca="1">IF($K59="","",IFERROR(INDEX('Veri Merkezi'!$D$2:$D$1001,$K59),""))</f>
        <v>22</v>
      </c>
      <c r="D59" t="str">
        <f>IF($K59="","",IFERROR(INDEX('Veri Merkezi'!$F$2:$F$1001,$K59),""))</f>
        <v>NASHVILLE SC</v>
      </c>
      <c r="E59" s="2">
        <f>IF($K59="","",IFERROR(INDEX('Veri Merkezi'!$G$2:$G$1001,$K59),""))</f>
        <v>47299</v>
      </c>
      <c r="F59" t="str">
        <f>IF($K59="","",IFERROR(INDEX('Veri Merkezi'!$H$2:$H$1001,$K59),""))</f>
        <v/>
      </c>
      <c r="G59" t="str">
        <f>IF($K59="","",IFERROR(INDEX('Veri Merkezi'!$R$2:$R$1001,$K59),""))</f>
        <v/>
      </c>
      <c r="H59" t="str">
        <f>IF($K59="","",IFERROR(INDEX('Veri Merkezi'!$S$2:$S$1001,$K59),""))</f>
        <v/>
      </c>
      <c r="I59" s="2" t="str">
        <f>IF($K59="","",IFERROR(INDEX('Veri Merkezi'!$T$2:$T$1001,$K59),""))</f>
        <v/>
      </c>
      <c r="J59" t="str">
        <f>IF($K59="","",IFERROR(INDEX('Veri Merkezi'!$U$2:$U$1001,$K59),""))</f>
        <v>Kanatlar</v>
      </c>
      <c r="K59">
        <f>IFERROR(MATCH(ROWS($K$4:K59),'Veri Merkezi'!$X$2:$X$1001,0),"")</f>
        <v>766</v>
      </c>
    </row>
    <row r="60" spans="1:11">
      <c r="A60" t="str">
        <f>IF($K60="","",IFERROR(INDEX('Veri Merkezi'!$A$2:$A$1001,$K60),""))</f>
        <v>JOB OCHIENG</v>
      </c>
      <c r="B60" t="str">
        <f>IF($K60="","",IFERROR(INDEX('Veri Merkezi'!$E$2:$E$1001,$K60),""))</f>
        <v>Kanat</v>
      </c>
      <c r="C60">
        <f ca="1">IF($K60="","",IFERROR(INDEX('Veri Merkezi'!$D$2:$D$1001,$K60),""))</f>
        <v>23</v>
      </c>
      <c r="D60" t="str">
        <f>IF($K60="","",IFERROR(INDEX('Veri Merkezi'!$F$2:$F$1001,$K60),""))</f>
        <v>REAL SOCIEDAD B</v>
      </c>
      <c r="E60" s="2">
        <f>IF($K60="","",IFERROR(INDEX('Veri Merkezi'!$G$2:$G$1001,$K60),""))</f>
        <v>46934</v>
      </c>
      <c r="F60" t="str">
        <f>IF($K60="","",IFERROR(INDEX('Veri Merkezi'!$H$2:$H$1001,$K60),""))</f>
        <v/>
      </c>
      <c r="G60" t="str">
        <f>IF($K60="","",IFERROR(INDEX('Veri Merkezi'!$R$2:$R$1001,$K60),""))</f>
        <v/>
      </c>
      <c r="H60" t="str">
        <f>IF($K60="","",IFERROR(INDEX('Veri Merkezi'!$S$2:$S$1001,$K60),""))</f>
        <v/>
      </c>
      <c r="I60" s="2" t="str">
        <f>IF($K60="","",IFERROR(INDEX('Veri Merkezi'!$T$2:$T$1001,$K60),""))</f>
        <v/>
      </c>
      <c r="J60" t="str">
        <f>IF($K60="","",IFERROR(INDEX('Veri Merkezi'!$U$2:$U$1001,$K60),""))</f>
        <v>Kanatlar</v>
      </c>
      <c r="K60">
        <f>IFERROR(MATCH(ROWS($K$4:K60),'Veri Merkezi'!$X$2:$X$1001,0),"")</f>
        <v>767</v>
      </c>
    </row>
    <row r="61" spans="1:11">
      <c r="A61" t="str">
        <f>IF($K61="","",IFERROR(INDEX('Veri Merkezi'!$A$2:$A$1001,$K61),""))</f>
        <v>GUILHERME BIRO</v>
      </c>
      <c r="B61" t="str">
        <f>IF($K61="","",IFERROR(INDEX('Veri Merkezi'!$E$2:$E$1001,$K61),""))</f>
        <v>Kanat</v>
      </c>
      <c r="C61">
        <f ca="1">IF($K61="","",IFERROR(INDEX('Veri Merkezi'!$D$2:$D$1001,$K61),""))</f>
        <v>22</v>
      </c>
      <c r="D61" t="str">
        <f>IF($K61="","",IFERROR(INDEX('Veri Merkezi'!$F$2:$F$1001,$K61),""))</f>
        <v>SHARJAH FC</v>
      </c>
      <c r="E61" s="2">
        <f>IF($K61="","",IFERROR(INDEX('Veri Merkezi'!$G$2:$G$1001,$K61),""))</f>
        <v>47299</v>
      </c>
      <c r="F61" t="str">
        <f>IF($K61="","",IFERROR(INDEX('Veri Merkezi'!$H$2:$H$1001,$K61),""))</f>
        <v/>
      </c>
      <c r="G61" t="str">
        <f>IF($K61="","",IFERROR(INDEX('Veri Merkezi'!$R$2:$R$1001,$K61),""))</f>
        <v/>
      </c>
      <c r="H61" t="str">
        <f>IF($K61="","",IFERROR(INDEX('Veri Merkezi'!$S$2:$S$1001,$K61),""))</f>
        <v/>
      </c>
      <c r="I61" s="2" t="str">
        <f>IF($K61="","",IFERROR(INDEX('Veri Merkezi'!$T$2:$T$1001,$K61),""))</f>
        <v/>
      </c>
      <c r="J61" t="str">
        <f>IF($K61="","",IFERROR(INDEX('Veri Merkezi'!$U$2:$U$1001,$K61),""))</f>
        <v>Kanatlar</v>
      </c>
      <c r="K61">
        <f>IFERROR(MATCH(ROWS($K$4:K61),'Veri Merkezi'!$X$2:$X$1001,0),"")</f>
        <v>769</v>
      </c>
    </row>
    <row r="62" spans="1:11">
      <c r="A62" t="str">
        <f>IF($K62="","",IFERROR(INDEX('Veri Merkezi'!$A$2:$A$1001,$K62),""))</f>
        <v>LUKA ROMERO</v>
      </c>
      <c r="B62" t="str">
        <f>IF($K62="","",IFERROR(INDEX('Veri Merkezi'!$E$2:$E$1001,$K62),""))</f>
        <v>Kanat</v>
      </c>
      <c r="C62">
        <f ca="1">IF($K62="","",IFERROR(INDEX('Veri Merkezi'!$D$2:$D$1001,$K62),""))</f>
        <v>21</v>
      </c>
      <c r="D62" t="str">
        <f>IF($K62="","",IFERROR(INDEX('Veri Merkezi'!$F$2:$F$1001,$K62),""))</f>
        <v>CRUZ AZUL</v>
      </c>
      <c r="E62" s="2">
        <f>IF($K62="","",IFERROR(INDEX('Veri Merkezi'!$G$2:$G$1001,$K62),""))</f>
        <v>47664</v>
      </c>
      <c r="F62" t="str">
        <f>IF($K62="","",IFERROR(INDEX('Veri Merkezi'!$H$2:$H$1001,$K62),""))</f>
        <v/>
      </c>
      <c r="G62" t="str">
        <f>IF($K62="","",IFERROR(INDEX('Veri Merkezi'!$R$2:$R$1001,$K62),""))</f>
        <v/>
      </c>
      <c r="H62" t="str">
        <f>IF($K62="","",IFERROR(INDEX('Veri Merkezi'!$S$2:$S$1001,$K62),""))</f>
        <v/>
      </c>
      <c r="I62" s="2" t="str">
        <f>IF($K62="","",IFERROR(INDEX('Veri Merkezi'!$T$2:$T$1001,$K62),""))</f>
        <v/>
      </c>
      <c r="J62" t="str">
        <f>IF($K62="","",IFERROR(INDEX('Veri Merkezi'!$U$2:$U$1001,$K62),""))</f>
        <v>Kanatlar</v>
      </c>
      <c r="K62">
        <f>IFERROR(MATCH(ROWS($K$4:K62),'Veri Merkezi'!$X$2:$X$1001,0),"")</f>
        <v>770</v>
      </c>
    </row>
    <row r="63" spans="1:11">
      <c r="A63" t="str">
        <f>IF($K63="","",IFERROR(INDEX('Veri Merkezi'!$A$2:$A$1001,$K63),""))</f>
        <v>ANTHONY VALENCIA</v>
      </c>
      <c r="B63" t="str">
        <f>IF($K63="","",IFERROR(INDEX('Veri Merkezi'!$E$2:$E$1001,$K63),""))</f>
        <v>Kanat</v>
      </c>
      <c r="C63">
        <f ca="1">IF($K63="","",IFERROR(INDEX('Veri Merkezi'!$D$2:$D$1001,$K63),""))</f>
        <v>23</v>
      </c>
      <c r="D63" t="str">
        <f>IF($K63="","",IFERROR(INDEX('Veri Merkezi'!$F$2:$F$1001,$K63),""))</f>
        <v>ROYAL ANTWERP</v>
      </c>
      <c r="E63" s="2">
        <f>IF($K63="","",IFERROR(INDEX('Veri Merkezi'!$G$2:$G$1001,$K63),""))</f>
        <v>46203</v>
      </c>
      <c r="F63" t="str">
        <f>IF($K63="","",IFERROR(INDEX('Veri Merkezi'!$H$2:$H$1001,$K63),""))</f>
        <v/>
      </c>
      <c r="G63" t="str">
        <f>IF($K63="","",IFERROR(INDEX('Veri Merkezi'!$R$2:$R$1001,$K63),""))</f>
        <v/>
      </c>
      <c r="H63" t="str">
        <f>IF($K63="","",IFERROR(INDEX('Veri Merkezi'!$S$2:$S$1001,$K63),""))</f>
        <v/>
      </c>
      <c r="I63" s="2" t="str">
        <f>IF($K63="","",IFERROR(INDEX('Veri Merkezi'!$T$2:$T$1001,$K63),""))</f>
        <v/>
      </c>
      <c r="J63" t="str">
        <f>IF($K63="","",IFERROR(INDEX('Veri Merkezi'!$U$2:$U$1001,$K63),""))</f>
        <v>Kanatlar</v>
      </c>
      <c r="K63">
        <f>IFERROR(MATCH(ROWS($K$4:K63),'Veri Merkezi'!$X$2:$X$1001,0),"")</f>
        <v>773</v>
      </c>
    </row>
    <row r="64" spans="1:11">
      <c r="A64" t="str">
        <f>IF($K64="","",IFERROR(INDEX('Veri Merkezi'!$A$2:$A$1001,$K64),""))</f>
        <v>MARQUINHOS</v>
      </c>
      <c r="B64" t="str">
        <f>IF($K64="","",IFERROR(INDEX('Veri Merkezi'!$E$2:$E$1001,$K64),""))</f>
        <v>Kanat</v>
      </c>
      <c r="C64">
        <f ca="1">IF($K64="","",IFERROR(INDEX('Veri Merkezi'!$D$2:$D$1001,$K64),""))</f>
        <v>23</v>
      </c>
      <c r="D64" t="str">
        <f>IF($K64="","",IFERROR(INDEX('Veri Merkezi'!$F$2:$F$1001,$K64),""))</f>
        <v>CRUZEIRO</v>
      </c>
      <c r="E64" s="2">
        <f>IF($K64="","",IFERROR(INDEX('Veri Merkezi'!$G$2:$G$1001,$K64),""))</f>
        <v>47118</v>
      </c>
      <c r="F64" t="str">
        <f>IF($K64="","",IFERROR(INDEX('Veri Merkezi'!$H$2:$H$1001,$K64),""))</f>
        <v/>
      </c>
      <c r="G64" t="str">
        <f>IF($K64="","",IFERROR(INDEX('Veri Merkezi'!$R$2:$R$1001,$K64),""))</f>
        <v/>
      </c>
      <c r="H64" t="str">
        <f>IF($K64="","",IFERROR(INDEX('Veri Merkezi'!$S$2:$S$1001,$K64),""))</f>
        <v/>
      </c>
      <c r="I64" s="2" t="str">
        <f>IF($K64="","",IFERROR(INDEX('Veri Merkezi'!$T$2:$T$1001,$K64),""))</f>
        <v/>
      </c>
      <c r="J64" t="str">
        <f>IF($K64="","",IFERROR(INDEX('Veri Merkezi'!$U$2:$U$1001,$K64),""))</f>
        <v>Kanatlar</v>
      </c>
      <c r="K64">
        <f>IFERROR(MATCH(ROWS($K$4:K64),'Veri Merkezi'!$X$2:$X$1001,0),"")</f>
        <v>775</v>
      </c>
    </row>
    <row r="65" spans="1:11">
      <c r="A65" t="str">
        <f>IF($K65="","",IFERROR(INDEX('Veri Merkezi'!$A$2:$A$1001,$K65),""))</f>
        <v>JORGE MEIRELES</v>
      </c>
      <c r="B65" t="str">
        <f>IF($K65="","",IFERROR(INDEX('Veri Merkezi'!$E$2:$E$1001,$K65),""))</f>
        <v>Kanat</v>
      </c>
      <c r="C65">
        <f ca="1">IF($K65="","",IFERROR(INDEX('Veri Merkezi'!$D$2:$D$1001,$K65),""))</f>
        <v>22</v>
      </c>
      <c r="D65" t="str">
        <f>IF($K65="","",IFERROR(INDEX('Veri Merkezi'!$F$2:$F$1001,$K65),""))</f>
        <v>ESTRELA AMADORA</v>
      </c>
      <c r="E65" s="2">
        <f>IF($K65="","",IFERROR(INDEX('Veri Merkezi'!$G$2:$G$1001,$K65),""))</f>
        <v>46934</v>
      </c>
      <c r="F65" t="str">
        <f>IF($K65="","",IFERROR(INDEX('Veri Merkezi'!$H$2:$H$1001,$K65),""))</f>
        <v/>
      </c>
      <c r="G65" t="str">
        <f>IF($K65="","",IFERROR(INDEX('Veri Merkezi'!$R$2:$R$1001,$K65),""))</f>
        <v/>
      </c>
      <c r="H65" t="str">
        <f>IF($K65="","",IFERROR(INDEX('Veri Merkezi'!$S$2:$S$1001,$K65),""))</f>
        <v/>
      </c>
      <c r="I65" s="2" t="str">
        <f>IF($K65="","",IFERROR(INDEX('Veri Merkezi'!$T$2:$T$1001,$K65),""))</f>
        <v/>
      </c>
      <c r="J65" t="str">
        <f>IF($K65="","",IFERROR(INDEX('Veri Merkezi'!$U$2:$U$1001,$K65),""))</f>
        <v>Kanatlar</v>
      </c>
      <c r="K65">
        <f>IFERROR(MATCH(ROWS($K$4:K65),'Veri Merkezi'!$X$2:$X$1001,0),"")</f>
        <v>784</v>
      </c>
    </row>
    <row r="66" spans="1:11">
      <c r="A66" t="str">
        <f>IF($K66="","",IFERROR(INDEX('Veri Merkezi'!$A$2:$A$1001,$K66),""))</f>
        <v>DANTE SEALY</v>
      </c>
      <c r="B66" t="str">
        <f>IF($K66="","",IFERROR(INDEX('Veri Merkezi'!$E$2:$E$1001,$K66),""))</f>
        <v>Kanat</v>
      </c>
      <c r="C66">
        <f ca="1">IF($K66="","",IFERROR(INDEX('Veri Merkezi'!$D$2:$D$1001,$K66),""))</f>
        <v>23</v>
      </c>
      <c r="D66" t="str">
        <f>IF($K66="","",IFERROR(INDEX('Veri Merkezi'!$F$2:$F$1001,$K66),""))</f>
        <v>COLORADO RAPIDS</v>
      </c>
      <c r="E66" s="2">
        <f>IF($K66="","",IFERROR(INDEX('Veri Merkezi'!$G$2:$G$1001,$K66),""))</f>
        <v>46387</v>
      </c>
      <c r="F66" t="str">
        <f>IF($K66="","",IFERROR(INDEX('Veri Merkezi'!$H$2:$H$1001,$K66),""))</f>
        <v/>
      </c>
      <c r="G66" t="str">
        <f>IF($K66="","",IFERROR(INDEX('Veri Merkezi'!$R$2:$R$1001,$K66),""))</f>
        <v/>
      </c>
      <c r="H66" t="str">
        <f>IF($K66="","",IFERROR(INDEX('Veri Merkezi'!$S$2:$S$1001,$K66),""))</f>
        <v/>
      </c>
      <c r="I66" s="2" t="str">
        <f>IF($K66="","",IFERROR(INDEX('Veri Merkezi'!$T$2:$T$1001,$K66),""))</f>
        <v/>
      </c>
      <c r="J66" t="str">
        <f>IF($K66="","",IFERROR(INDEX('Veri Merkezi'!$U$2:$U$1001,$K66),""))</f>
        <v>Kanatlar</v>
      </c>
      <c r="K66">
        <f>IFERROR(MATCH(ROWS($K$4:K66),'Veri Merkezi'!$X$2:$X$1001,0),"")</f>
        <v>791</v>
      </c>
    </row>
    <row r="67" spans="1:11">
      <c r="A67" t="str">
        <f>IF($K67="","",IFERROR(INDEX('Veri Merkezi'!$A$2:$A$1001,$K67),""))</f>
        <v>FILIP AKDEMIR</v>
      </c>
      <c r="B67" t="str">
        <f>IF($K67="","",IFERROR(INDEX('Veri Merkezi'!$E$2:$E$1001,$K67),""))</f>
        <v>Forvet</v>
      </c>
      <c r="C67">
        <f ca="1">IF($K67="","",IFERROR(INDEX('Veri Merkezi'!$D$2:$D$1001,$K67),""))</f>
        <v>21</v>
      </c>
      <c r="D67" t="str">
        <f>IF($K67="","",IFERROR(INDEX('Veri Merkezi'!$F$2:$F$1001,$K67),""))</f>
        <v>LUNDS BK</v>
      </c>
      <c r="E67" s="2">
        <f>IF($K67="","",IFERROR(INDEX('Veri Merkezi'!$G$2:$G$1001,$K67),""))</f>
        <v>46356</v>
      </c>
      <c r="F67" t="str">
        <f>IF($K67="","",IFERROR(INDEX('Veri Merkezi'!$H$2:$H$1001,$K67),""))</f>
        <v>Sarı</v>
      </c>
      <c r="G67" t="str">
        <f>IF($K67="","",IFERROR(INDEX('Veri Merkezi'!$R$2:$R$1001,$K67),""))</f>
        <v/>
      </c>
      <c r="H67" t="str">
        <f>IF($K67="","",IFERROR(INDEX('Veri Merkezi'!$S$2:$S$1001,$K67),""))</f>
        <v>Takip</v>
      </c>
      <c r="I67" s="2" t="str">
        <f>IF($K67="","",IFERROR(INDEX('Veri Merkezi'!$T$2:$T$1001,$K67),""))</f>
        <v/>
      </c>
      <c r="J67" t="str">
        <f>IF($K67="","",IFERROR(INDEX('Veri Merkezi'!$U$2:$U$1001,$K67),""))</f>
        <v>Forvetler</v>
      </c>
      <c r="K67">
        <f>IFERROR(MATCH(ROWS($K$4:K67),'Veri Merkezi'!$X$2:$X$1001,0),"")</f>
        <v>801</v>
      </c>
    </row>
    <row r="68" spans="1:11">
      <c r="A68" t="str">
        <f>IF($K68="","",IFERROR(INDEX('Veri Merkezi'!$A$2:$A$1001,$K68),""))</f>
        <v>BISMARK EDJEODJI</v>
      </c>
      <c r="B68" t="str">
        <f>IF($K68="","",IFERROR(INDEX('Veri Merkezi'!$E$2:$E$1001,$K68),""))</f>
        <v>Forvet</v>
      </c>
      <c r="C68">
        <f ca="1">IF($K68="","",IFERROR(INDEX('Veri Merkezi'!$D$2:$D$1001,$K68),""))</f>
        <v>19</v>
      </c>
      <c r="D68" t="str">
        <f>IF($K68="","",IFERROR(INDEX('Veri Merkezi'!$F$2:$F$1001,$K68),""))</f>
        <v>VEJLE</v>
      </c>
      <c r="E68" s="2">
        <f>IF($K68="","",IFERROR(INDEX('Veri Merkezi'!$G$2:$G$1001,$K68),""))</f>
        <v>47664</v>
      </c>
      <c r="F68" t="str">
        <f>IF($K68="","",IFERROR(INDEX('Veri Merkezi'!$H$2:$H$1001,$K68),""))</f>
        <v>Sarı</v>
      </c>
      <c r="G68" t="str">
        <f>IF($K68="","",IFERROR(INDEX('Veri Merkezi'!$R$2:$R$1001,$K68),""))</f>
        <v/>
      </c>
      <c r="H68" t="str">
        <f>IF($K68="","",IFERROR(INDEX('Veri Merkezi'!$S$2:$S$1001,$K68),""))</f>
        <v>Tekrar İzle</v>
      </c>
      <c r="I68" s="2" t="str">
        <f>IF($K68="","",IFERROR(INDEX('Veri Merkezi'!$T$2:$T$1001,$K68),""))</f>
        <v/>
      </c>
      <c r="J68" t="str">
        <f>IF($K68="","",IFERROR(INDEX('Veri Merkezi'!$U$2:$U$1001,$K68),""))</f>
        <v>Forvetler</v>
      </c>
      <c r="K68">
        <f>IFERROR(MATCH(ROWS($K$4:K68),'Veri Merkezi'!$X$2:$X$1001,0),"")</f>
        <v>803</v>
      </c>
    </row>
    <row r="69" spans="1:11">
      <c r="A69" t="str">
        <f>IF($K69="","",IFERROR(INDEX('Veri Merkezi'!$A$2:$A$1001,$K69),""))</f>
        <v>GUI NEGAO</v>
      </c>
      <c r="B69" t="str">
        <f>IF($K69="","",IFERROR(INDEX('Veri Merkezi'!$E$2:$E$1001,$K69),""))</f>
        <v>Forvet</v>
      </c>
      <c r="C69">
        <f ca="1">IF($K69="","",IFERROR(INDEX('Veri Merkezi'!$D$2:$D$1001,$K69),""))</f>
        <v>19</v>
      </c>
      <c r="D69" t="str">
        <f>IF($K69="","",IFERROR(INDEX('Veri Merkezi'!$F$2:$F$1001,$K69),""))</f>
        <v>CORİNTHİANS</v>
      </c>
      <c r="E69" s="2">
        <f>IF($K69="","",IFERROR(INDEX('Veri Merkezi'!$G$2:$G$1001,$K69),""))</f>
        <v>47664</v>
      </c>
      <c r="F69" t="str">
        <f>IF($K69="","",IFERROR(INDEX('Veri Merkezi'!$H$2:$H$1001,$K69),""))</f>
        <v>Sarı</v>
      </c>
      <c r="G69" t="str">
        <f>IF($K69="","",IFERROR(INDEX('Veri Merkezi'!$R$2:$R$1001,$K69),""))</f>
        <v/>
      </c>
      <c r="H69" t="str">
        <f>IF($K69="","",IFERROR(INDEX('Veri Merkezi'!$S$2:$S$1001,$K69),""))</f>
        <v>Takip</v>
      </c>
      <c r="I69" s="2" t="str">
        <f>IF($K69="","",IFERROR(INDEX('Veri Merkezi'!$T$2:$T$1001,$K69),""))</f>
        <v/>
      </c>
      <c r="J69" t="str">
        <f>IF($K69="","",IFERROR(INDEX('Veri Merkezi'!$U$2:$U$1001,$K69),""))</f>
        <v>Forvetler</v>
      </c>
      <c r="K69">
        <f>IFERROR(MATCH(ROWS($K$4:K69),'Veri Merkezi'!$X$2:$X$1001,0),"")</f>
        <v>805</v>
      </c>
    </row>
    <row r="70" spans="1:11">
      <c r="A70" t="str">
        <f>IF($K70="","",IFERROR(INDEX('Veri Merkezi'!$A$2:$A$1001,$K70),""))</f>
        <v>ABDOUL KARIM TRAORE</v>
      </c>
      <c r="B70" t="str">
        <f>IF($K70="","",IFERROR(INDEX('Veri Merkezi'!$E$2:$E$1001,$K70),""))</f>
        <v>Forvet</v>
      </c>
      <c r="C70">
        <f ca="1">IF($K70="","",IFERROR(INDEX('Veri Merkezi'!$D$2:$D$1001,$K70),""))</f>
        <v>19</v>
      </c>
      <c r="D70" t="str">
        <f>IF($K70="","",IFERROR(INDEX('Veri Merkezi'!$F$2:$F$1001,$K70),""))</f>
        <v>OH LEUVEN</v>
      </c>
      <c r="E70" s="2">
        <f>IF($K70="","",IFERROR(INDEX('Veri Merkezi'!$G$2:$G$1001,$K70),""))</f>
        <v>46934</v>
      </c>
      <c r="F70" t="str">
        <f>IF($K70="","",IFERROR(INDEX('Veri Merkezi'!$H$2:$H$1001,$K70),""))</f>
        <v>Yeşil</v>
      </c>
      <c r="G70" t="str">
        <f>IF($K70="","",IFERROR(INDEX('Veri Merkezi'!$R$2:$R$1001,$K70),""))</f>
        <v/>
      </c>
      <c r="H70" t="str">
        <f>IF($K70="","",IFERROR(INDEX('Veri Merkezi'!$S$2:$S$1001,$K70),""))</f>
        <v>A Liste</v>
      </c>
      <c r="I70" s="2" t="str">
        <f>IF($K70="","",IFERROR(INDEX('Veri Merkezi'!$T$2:$T$1001,$K70),""))</f>
        <v/>
      </c>
      <c r="J70" t="str">
        <f>IF($K70="","",IFERROR(INDEX('Veri Merkezi'!$U$2:$U$1001,$K70),""))</f>
        <v>Forvetler</v>
      </c>
      <c r="K70">
        <f>IFERROR(MATCH(ROWS($K$4:K70),'Veri Merkezi'!$X$2:$X$1001,0),"")</f>
        <v>806</v>
      </c>
    </row>
    <row r="71" spans="1:11">
      <c r="A71" t="str">
        <f>IF($K71="","",IFERROR(INDEX('Veri Merkezi'!$A$2:$A$1001,$K71),""))</f>
        <v>MOCTAR DIOP</v>
      </c>
      <c r="B71" t="str">
        <f>IF($K71="","",IFERROR(INDEX('Veri Merkezi'!$E$2:$E$1001,$K71),""))</f>
        <v>Forvet</v>
      </c>
      <c r="C71">
        <f ca="1">IF($K71="","",IFERROR(INDEX('Veri Merkezi'!$D$2:$D$1001,$K71),""))</f>
        <v>21</v>
      </c>
      <c r="D71" t="str">
        <f>IF($K71="","",IFERROR(INDEX('Veri Merkezi'!$F$2:$F$1001,$K71),""))</f>
        <v xml:space="preserve">GENT II </v>
      </c>
      <c r="E71" s="2">
        <f>IF($K71="","",IFERROR(INDEX('Veri Merkezi'!$G$2:$G$1001,$K71),""))</f>
        <v>47299</v>
      </c>
      <c r="F71" t="str">
        <f>IF($K71="","",IFERROR(INDEX('Veri Merkezi'!$H$2:$H$1001,$K71),""))</f>
        <v>Kırmızı</v>
      </c>
      <c r="G71" t="str">
        <f>IF($K71="","",IFERROR(INDEX('Veri Merkezi'!$R$2:$R$1001,$K71),""))</f>
        <v/>
      </c>
      <c r="H71" t="str">
        <f>IF($K71="","",IFERROR(INDEX('Veri Merkezi'!$S$2:$S$1001,$K71),""))</f>
        <v>Tekrar İzle</v>
      </c>
      <c r="I71" s="2" t="str">
        <f>IF($K71="","",IFERROR(INDEX('Veri Merkezi'!$T$2:$T$1001,$K71),""))</f>
        <v/>
      </c>
      <c r="J71" t="str">
        <f>IF($K71="","",IFERROR(INDEX('Veri Merkezi'!$U$2:$U$1001,$K71),""))</f>
        <v>Forvetler</v>
      </c>
      <c r="K71">
        <f>IFERROR(MATCH(ROWS($K$4:K71),'Veri Merkezi'!$X$2:$X$1001,0),"")</f>
        <v>807</v>
      </c>
    </row>
    <row r="72" spans="1:11">
      <c r="A72" t="str">
        <f>IF($K72="","",IFERROR(INDEX('Veri Merkezi'!$A$2:$A$1001,$K72),""))</f>
        <v>BİL NSONGO</v>
      </c>
      <c r="B72" t="str">
        <f>IF($K72="","",IFERROR(INDEX('Veri Merkezi'!$E$2:$E$1001,$K72),""))</f>
        <v>Forvet</v>
      </c>
      <c r="C72">
        <f ca="1">IF($K72="","",IFERROR(INDEX('Veri Merkezi'!$D$2:$D$1001,$K72),""))</f>
        <v>22</v>
      </c>
      <c r="D72" t="str">
        <f>IF($K72="","",IFERROR(INDEX('Veri Merkezi'!$F$2:$F$1001,$K72),""))</f>
        <v>DEPORTİVO</v>
      </c>
      <c r="E72" s="2">
        <f>IF($K72="","",IFERROR(INDEX('Veri Merkezi'!$G$2:$G$1001,$K72),""))</f>
        <v>47664</v>
      </c>
      <c r="F72" t="str">
        <f>IF($K72="","",IFERROR(INDEX('Veri Merkezi'!$H$2:$H$1001,$K72),""))</f>
        <v>Yeşil</v>
      </c>
      <c r="G72" t="str">
        <f>IF($K72="","",IFERROR(INDEX('Veri Merkezi'!$R$2:$R$1001,$K72),""))</f>
        <v/>
      </c>
      <c r="H72" t="str">
        <f>IF($K72="","",IFERROR(INDEX('Veri Merkezi'!$S$2:$S$1001,$K72),""))</f>
        <v>A Liste</v>
      </c>
      <c r="I72" s="2" t="str">
        <f>IF($K72="","",IFERROR(INDEX('Veri Merkezi'!$T$2:$T$1001,$K72),""))</f>
        <v/>
      </c>
      <c r="J72" t="str">
        <f>IF($K72="","",IFERROR(INDEX('Veri Merkezi'!$U$2:$U$1001,$K72),""))</f>
        <v>Forvetler</v>
      </c>
      <c r="K72">
        <f>IFERROR(MATCH(ROWS($K$4:K72),'Veri Merkezi'!$X$2:$X$1001,0),"")</f>
        <v>808</v>
      </c>
    </row>
    <row r="73" spans="1:11">
      <c r="A73" t="str">
        <f>IF($K73="","",IFERROR(INDEX('Veri Merkezi'!$A$2:$A$1001,$K73),""))</f>
        <v>IKER BRAVO</v>
      </c>
      <c r="B73" t="str">
        <f>IF($K73="","",IFERROR(INDEX('Veri Merkezi'!$E$2:$E$1001,$K73),""))</f>
        <v>Forvet</v>
      </c>
      <c r="C73">
        <f ca="1">IF($K73="","",IFERROR(INDEX('Veri Merkezi'!$D$2:$D$1001,$K73),""))</f>
        <v>21</v>
      </c>
      <c r="D73" t="str">
        <f>IF($K73="","",IFERROR(INDEX('Veri Merkezi'!$F$2:$F$1001,$K73),""))</f>
        <v>WATFORD</v>
      </c>
      <c r="E73" s="2">
        <f>IF($K73="","",IFERROR(INDEX('Veri Merkezi'!$G$2:$G$1001,$K73),""))</f>
        <v>46568</v>
      </c>
      <c r="F73" t="str">
        <f>IF($K73="","",IFERROR(INDEX('Veri Merkezi'!$H$2:$H$1001,$K73),""))</f>
        <v>Sarı</v>
      </c>
      <c r="G73" t="str">
        <f>IF($K73="","",IFERROR(INDEX('Veri Merkezi'!$R$2:$R$1001,$K73),""))</f>
        <v/>
      </c>
      <c r="H73" t="str">
        <f>IF($K73="","",IFERROR(INDEX('Veri Merkezi'!$S$2:$S$1001,$K73),""))</f>
        <v>Tekrar İzle</v>
      </c>
      <c r="I73" s="2" t="str">
        <f>IF($K73="","",IFERROR(INDEX('Veri Merkezi'!$T$2:$T$1001,$K73),""))</f>
        <v/>
      </c>
      <c r="J73" t="str">
        <f>IF($K73="","",IFERROR(INDEX('Veri Merkezi'!$U$2:$U$1001,$K73),""))</f>
        <v>Forvetler</v>
      </c>
      <c r="K73">
        <f>IFERROR(MATCH(ROWS($K$4:K73),'Veri Merkezi'!$X$2:$X$1001,0),"")</f>
        <v>809</v>
      </c>
    </row>
    <row r="74" spans="1:11">
      <c r="A74" t="str">
        <f>IF($K74="","",IFERROR(INDEX('Veri Merkezi'!$A$2:$A$1001,$K74),""))</f>
        <v>BIL NSONGO</v>
      </c>
      <c r="B74" t="str">
        <f>IF($K74="","",IFERROR(INDEX('Veri Merkezi'!$E$2:$E$1001,$K74),""))</f>
        <v>Forvet</v>
      </c>
      <c r="C74">
        <f ca="1">IF($K74="","",IFERROR(INDEX('Veri Merkezi'!$D$2:$D$1001,$K74),""))</f>
        <v>22</v>
      </c>
      <c r="D74" t="str">
        <f>IF($K74="","",IFERROR(INDEX('Veri Merkezi'!$F$2:$F$1001,$K74),""))</f>
        <v>DEPORTIVO A CORUÑA</v>
      </c>
      <c r="E74" s="2">
        <f>IF($K74="","",IFERROR(INDEX('Veri Merkezi'!$G$2:$G$1001,$K74),""))</f>
        <v>47664</v>
      </c>
      <c r="F74" t="str">
        <f>IF($K74="","",IFERROR(INDEX('Veri Merkezi'!$H$2:$H$1001,$K74),""))</f>
        <v/>
      </c>
      <c r="G74" t="str">
        <f>IF($K74="","",IFERROR(INDEX('Veri Merkezi'!$R$2:$R$1001,$K74),""))</f>
        <v/>
      </c>
      <c r="H74" t="str">
        <f>IF($K74="","",IFERROR(INDEX('Veri Merkezi'!$S$2:$S$1001,$K74),""))</f>
        <v/>
      </c>
      <c r="I74" s="2" t="str">
        <f>IF($K74="","",IFERROR(INDEX('Veri Merkezi'!$T$2:$T$1001,$K74),""))</f>
        <v/>
      </c>
      <c r="J74" t="str">
        <f>IF($K74="","",IFERROR(INDEX('Veri Merkezi'!$U$2:$U$1001,$K74),""))</f>
        <v>Forvetler</v>
      </c>
      <c r="K74">
        <f>IFERROR(MATCH(ROWS($K$4:K74),'Veri Merkezi'!$X$2:$X$1001,0),"")</f>
        <v>820</v>
      </c>
    </row>
    <row r="75" spans="1:11">
      <c r="A75" t="str">
        <f>IF($K75="","",IFERROR(INDEX('Veri Merkezi'!$A$2:$A$1001,$K75),""))</f>
        <v>LUIS SEMEDO</v>
      </c>
      <c r="B75" t="str">
        <f>IF($K75="","",IFERROR(INDEX('Veri Merkezi'!$E$2:$E$1001,$K75),""))</f>
        <v>Forvet</v>
      </c>
      <c r="C75">
        <f ca="1">IF($K75="","",IFERROR(INDEX('Veri Merkezi'!$D$2:$D$1001,$K75),""))</f>
        <v>23</v>
      </c>
      <c r="D75" t="str">
        <f>IF($K75="","",IFERROR(INDEX('Veri Merkezi'!$F$2:$F$1001,$K75),""))</f>
        <v>SUNDERLAND AFC</v>
      </c>
      <c r="E75" s="2">
        <f>IF($K75="","",IFERROR(INDEX('Veri Merkezi'!$G$2:$G$1001,$K75),""))</f>
        <v>46934</v>
      </c>
      <c r="F75" t="str">
        <f>IF($K75="","",IFERROR(INDEX('Veri Merkezi'!$H$2:$H$1001,$K75),""))</f>
        <v/>
      </c>
      <c r="G75" t="str">
        <f>IF($K75="","",IFERROR(INDEX('Veri Merkezi'!$R$2:$R$1001,$K75),""))</f>
        <v/>
      </c>
      <c r="H75" t="str">
        <f>IF($K75="","",IFERROR(INDEX('Veri Merkezi'!$S$2:$S$1001,$K75),""))</f>
        <v/>
      </c>
      <c r="I75" s="2" t="str">
        <f>IF($K75="","",IFERROR(INDEX('Veri Merkezi'!$T$2:$T$1001,$K75),""))</f>
        <v/>
      </c>
      <c r="J75" t="str">
        <f>IF($K75="","",IFERROR(INDEX('Veri Merkezi'!$U$2:$U$1001,$K75),""))</f>
        <v>Forvetler</v>
      </c>
      <c r="K75">
        <f>IFERROR(MATCH(ROWS($K$4:K75),'Veri Merkezi'!$X$2:$X$1001,0),"")</f>
        <v>822</v>
      </c>
    </row>
    <row r="76" spans="1:11">
      <c r="A76" t="str">
        <f>IF($K76="","",IFERROR(INDEX('Veri Merkezi'!$A$2:$A$1001,$K76),""))</f>
        <v>YOSHAN VALOIS</v>
      </c>
      <c r="B76" t="str">
        <f>IF($K76="","",IFERROR(INDEX('Veri Merkezi'!$E$2:$E$1001,$K76),""))</f>
        <v>Forvet</v>
      </c>
      <c r="C76">
        <f ca="1">IF($K76="","",IFERROR(INDEX('Veri Merkezi'!$D$2:$D$1001,$K76),""))</f>
        <v>22</v>
      </c>
      <c r="D76" t="str">
        <f>IF($K76="","",IFERROR(INDEX('Veri Merkezi'!$F$2:$F$1001,$K76),""))</f>
        <v>CA LANÚS</v>
      </c>
      <c r="E76" s="2">
        <f>IF($K76="","",IFERROR(INDEX('Veri Merkezi'!$G$2:$G$1001,$K76),""))</f>
        <v>47483</v>
      </c>
      <c r="F76" t="str">
        <f>IF($K76="","",IFERROR(INDEX('Veri Merkezi'!$H$2:$H$1001,$K76),""))</f>
        <v/>
      </c>
      <c r="G76" t="str">
        <f>IF($K76="","",IFERROR(INDEX('Veri Merkezi'!$R$2:$R$1001,$K76),""))</f>
        <v/>
      </c>
      <c r="H76" t="str">
        <f>IF($K76="","",IFERROR(INDEX('Veri Merkezi'!$S$2:$S$1001,$K76),""))</f>
        <v/>
      </c>
      <c r="I76" s="2" t="str">
        <f>IF($K76="","",IFERROR(INDEX('Veri Merkezi'!$T$2:$T$1001,$K76),""))</f>
        <v/>
      </c>
      <c r="J76" t="str">
        <f>IF($K76="","",IFERROR(INDEX('Veri Merkezi'!$U$2:$U$1001,$K76),""))</f>
        <v>Forvetler</v>
      </c>
      <c r="K76">
        <f>IFERROR(MATCH(ROWS($K$4:K76),'Veri Merkezi'!$X$2:$X$1001,0),"")</f>
        <v>826</v>
      </c>
    </row>
    <row r="77" spans="1:11">
      <c r="A77" t="str">
        <f>IF($K77="","",IFERROR(INDEX('Veri Merkezi'!$A$2:$A$1001,$K77),""))</f>
        <v>STIVEN SHPENDI</v>
      </c>
      <c r="B77" t="str">
        <f>IF($K77="","",IFERROR(INDEX('Veri Merkezi'!$E$2:$E$1001,$K77),""))</f>
        <v>Forvet</v>
      </c>
      <c r="C77">
        <f ca="1">IF($K77="","",IFERROR(INDEX('Veri Merkezi'!$D$2:$D$1001,$K77),""))</f>
        <v>23</v>
      </c>
      <c r="D77" t="str">
        <f>IF($K77="","",IFERROR(INDEX('Veri Merkezi'!$F$2:$F$1001,$K77),""))</f>
        <v>EMPOLI FC</v>
      </c>
      <c r="E77" s="2">
        <f>IF($K77="","",IFERROR(INDEX('Veri Merkezi'!$G$2:$G$1001,$K77),""))</f>
        <v>47299</v>
      </c>
      <c r="F77" t="str">
        <f>IF($K77="","",IFERROR(INDEX('Veri Merkezi'!$H$2:$H$1001,$K77),""))</f>
        <v/>
      </c>
      <c r="G77" t="str">
        <f>IF($K77="","",IFERROR(INDEX('Veri Merkezi'!$R$2:$R$1001,$K77),""))</f>
        <v/>
      </c>
      <c r="H77" t="str">
        <f>IF($K77="","",IFERROR(INDEX('Veri Merkezi'!$S$2:$S$1001,$K77),""))</f>
        <v/>
      </c>
      <c r="I77" s="2" t="str">
        <f>IF($K77="","",IFERROR(INDEX('Veri Merkezi'!$T$2:$T$1001,$K77),""))</f>
        <v/>
      </c>
      <c r="J77" t="str">
        <f>IF($K77="","",IFERROR(INDEX('Veri Merkezi'!$U$2:$U$1001,$K77),""))</f>
        <v>Forvetler</v>
      </c>
      <c r="K77">
        <f>IFERROR(MATCH(ROWS($K$4:K77),'Veri Merkezi'!$X$2:$X$1001,0),"")</f>
        <v>827</v>
      </c>
    </row>
    <row r="78" spans="1:11">
      <c r="A78" t="str">
        <f>IF($K78="","",IFERROR(INDEX('Veri Merkezi'!$A$2:$A$1001,$K78),""))</f>
        <v>MAX DEAN</v>
      </c>
      <c r="B78" t="str">
        <f>IF($K78="","",IFERROR(INDEX('Veri Merkezi'!$E$2:$E$1001,$K78),""))</f>
        <v>Forvet</v>
      </c>
      <c r="C78">
        <f ca="1">IF($K78="","",IFERROR(INDEX('Veri Merkezi'!$D$2:$D$1001,$K78),""))</f>
        <v>22</v>
      </c>
      <c r="D78" t="str">
        <f>IF($K78="","",IFERROR(INDEX('Veri Merkezi'!$F$2:$F$1001,$K78),""))</f>
        <v>KAA GENT</v>
      </c>
      <c r="E78" s="2">
        <f>IF($K78="","",IFERROR(INDEX('Veri Merkezi'!$G$2:$G$1001,$K78),""))</f>
        <v>46934</v>
      </c>
      <c r="F78" t="str">
        <f>IF($K78="","",IFERROR(INDEX('Veri Merkezi'!$H$2:$H$1001,$K78),""))</f>
        <v/>
      </c>
      <c r="G78" t="str">
        <f>IF($K78="","",IFERROR(INDEX('Veri Merkezi'!$R$2:$R$1001,$K78),""))</f>
        <v/>
      </c>
      <c r="H78" t="str">
        <f>IF($K78="","",IFERROR(INDEX('Veri Merkezi'!$S$2:$S$1001,$K78),""))</f>
        <v/>
      </c>
      <c r="I78" s="2" t="str">
        <f>IF($K78="","",IFERROR(INDEX('Veri Merkezi'!$T$2:$T$1001,$K78),""))</f>
        <v/>
      </c>
      <c r="J78" t="str">
        <f>IF($K78="","",IFERROR(INDEX('Veri Merkezi'!$U$2:$U$1001,$K78),""))</f>
        <v>Forvetler</v>
      </c>
      <c r="K78">
        <f>IFERROR(MATCH(ROWS($K$4:K78),'Veri Merkezi'!$X$2:$X$1001,0),"")</f>
        <v>828</v>
      </c>
    </row>
    <row r="79" spans="1:11">
      <c r="A79" t="str">
        <f>IF($K79="","",IFERROR(INDEX('Veri Merkezi'!$A$2:$A$1001,$K79),""))</f>
        <v>JEREMY AREVALO</v>
      </c>
      <c r="B79" t="str">
        <f>IF($K79="","",IFERROR(INDEX('Veri Merkezi'!$E$2:$E$1001,$K79),""))</f>
        <v>Forvet</v>
      </c>
      <c r="C79">
        <f ca="1">IF($K79="","",IFERROR(INDEX('Veri Merkezi'!$D$2:$D$1001,$K79),""))</f>
        <v>21</v>
      </c>
      <c r="D79" t="str">
        <f>IF($K79="","",IFERROR(INDEX('Veri Merkezi'!$F$2:$F$1001,$K79),""))</f>
        <v>VFB STUTTGART</v>
      </c>
      <c r="E79" s="2">
        <f>IF($K79="","",IFERROR(INDEX('Veri Merkezi'!$G$2:$G$1001,$K79),""))</f>
        <v>48029</v>
      </c>
      <c r="F79" t="str">
        <f>IF($K79="","",IFERROR(INDEX('Veri Merkezi'!$H$2:$H$1001,$K79),""))</f>
        <v/>
      </c>
      <c r="G79" t="str">
        <f>IF($K79="","",IFERROR(INDEX('Veri Merkezi'!$R$2:$R$1001,$K79),""))</f>
        <v/>
      </c>
      <c r="H79" t="str">
        <f>IF($K79="","",IFERROR(INDEX('Veri Merkezi'!$S$2:$S$1001,$K79),""))</f>
        <v/>
      </c>
      <c r="I79" s="2" t="str">
        <f>IF($K79="","",IFERROR(INDEX('Veri Merkezi'!$T$2:$T$1001,$K79),""))</f>
        <v/>
      </c>
      <c r="J79" t="str">
        <f>IF($K79="","",IFERROR(INDEX('Veri Merkezi'!$U$2:$U$1001,$K79),""))</f>
        <v>Forvetler</v>
      </c>
      <c r="K79">
        <f>IFERROR(MATCH(ROWS($K$4:K79),'Veri Merkezi'!$X$2:$X$1001,0),"")</f>
        <v>832</v>
      </c>
    </row>
    <row r="80" spans="1:11">
      <c r="A80" t="str">
        <f>IF($K80="","",IFERROR(INDEX('Veri Merkezi'!$A$2:$A$1001,$K80),""))</f>
        <v>ZSOMBOR GRUBER</v>
      </c>
      <c r="B80" t="str">
        <f>IF($K80="","",IFERROR(INDEX('Veri Merkezi'!$E$2:$E$1001,$K80),""))</f>
        <v>Forvet</v>
      </c>
      <c r="C80">
        <f ca="1">IF($K80="","",IFERROR(INDEX('Veri Merkezi'!$D$2:$D$1001,$K80),""))</f>
        <v>22</v>
      </c>
      <c r="D80" t="str">
        <f>IF($K80="","",IFERROR(INDEX('Veri Merkezi'!$F$2:$F$1001,$K80),""))</f>
        <v>FERENCVÁROS</v>
      </c>
      <c r="E80" s="2">
        <f>IF($K80="","",IFERROR(INDEX('Veri Merkezi'!$G$2:$G$1001,$K80),""))</f>
        <v>46934</v>
      </c>
      <c r="F80" t="str">
        <f>IF($K80="","",IFERROR(INDEX('Veri Merkezi'!$H$2:$H$1001,$K80),""))</f>
        <v/>
      </c>
      <c r="G80" t="str">
        <f>IF($K80="","",IFERROR(INDEX('Veri Merkezi'!$R$2:$R$1001,$K80),""))</f>
        <v/>
      </c>
      <c r="H80" t="str">
        <f>IF($K80="","",IFERROR(INDEX('Veri Merkezi'!$S$2:$S$1001,$K80),""))</f>
        <v/>
      </c>
      <c r="I80" s="2" t="str">
        <f>IF($K80="","",IFERROR(INDEX('Veri Merkezi'!$T$2:$T$1001,$K80),""))</f>
        <v/>
      </c>
      <c r="J80" t="str">
        <f>IF($K80="","",IFERROR(INDEX('Veri Merkezi'!$U$2:$U$1001,$K80),""))</f>
        <v>Forvetler</v>
      </c>
      <c r="K80">
        <f>IFERROR(MATCH(ROWS($K$4:K80),'Veri Merkezi'!$X$2:$X$1001,0),"")</f>
        <v>834</v>
      </c>
    </row>
    <row r="81" spans="1:11">
      <c r="A81" t="str">
        <f>IF($K81="","",IFERROR(INDEX('Veri Merkezi'!$A$2:$A$1001,$K81),""))</f>
        <v/>
      </c>
      <c r="B81" t="str">
        <f>IF($K81="","",IFERROR(INDEX('Veri Merkezi'!$E$2:$E$1001,$K81),""))</f>
        <v/>
      </c>
      <c r="C81" t="str">
        <f>IF($K81="","",IFERROR(INDEX('Veri Merkezi'!$D$2:$D$1001,$K81),""))</f>
        <v/>
      </c>
      <c r="D81" t="str">
        <f>IF($K81="","",IFERROR(INDEX('Veri Merkezi'!$F$2:$F$1001,$K81),""))</f>
        <v/>
      </c>
      <c r="E81" s="2" t="str">
        <f>IF($K81="","",IFERROR(INDEX('Veri Merkezi'!$G$2:$G$1001,$K81),""))</f>
        <v/>
      </c>
      <c r="F81" t="str">
        <f>IF($K81="","",IFERROR(INDEX('Veri Merkezi'!$H$2:$H$1001,$K81),""))</f>
        <v/>
      </c>
      <c r="G81" t="str">
        <f>IF($K81="","",IFERROR(INDEX('Veri Merkezi'!$R$2:$R$1001,$K81),""))</f>
        <v/>
      </c>
      <c r="H81" t="str">
        <f>IF($K81="","",IFERROR(INDEX('Veri Merkezi'!$S$2:$S$1001,$K81),""))</f>
        <v/>
      </c>
      <c r="I81" s="2" t="str">
        <f>IF($K81="","",IFERROR(INDEX('Veri Merkezi'!$T$2:$T$1001,$K81),""))</f>
        <v/>
      </c>
      <c r="J81" t="str">
        <f>IF($K81="","",IFERROR(INDEX('Veri Merkezi'!$U$2:$U$1001,$K81),""))</f>
        <v/>
      </c>
      <c r="K81" t="str">
        <f>IFERROR(MATCH(ROWS($K$4:K81),'Veri Merkezi'!$X$2:$X$1001,0),"")</f>
        <v/>
      </c>
    </row>
    <row r="82" spans="1:11">
      <c r="A82" t="str">
        <f>IF($K82="","",IFERROR(INDEX('Veri Merkezi'!$A$2:$A$1001,$K82),""))</f>
        <v/>
      </c>
      <c r="B82" t="str">
        <f>IF($K82="","",IFERROR(INDEX('Veri Merkezi'!$E$2:$E$1001,$K82),""))</f>
        <v/>
      </c>
      <c r="C82" t="str">
        <f>IF($K82="","",IFERROR(INDEX('Veri Merkezi'!$D$2:$D$1001,$K82),""))</f>
        <v/>
      </c>
      <c r="D82" t="str">
        <f>IF($K82="","",IFERROR(INDEX('Veri Merkezi'!$F$2:$F$1001,$K82),""))</f>
        <v/>
      </c>
      <c r="E82" s="2" t="str">
        <f>IF($K82="","",IFERROR(INDEX('Veri Merkezi'!$G$2:$G$1001,$K82),""))</f>
        <v/>
      </c>
      <c r="F82" t="str">
        <f>IF($K82="","",IFERROR(INDEX('Veri Merkezi'!$H$2:$H$1001,$K82),""))</f>
        <v/>
      </c>
      <c r="G82" t="str">
        <f>IF($K82="","",IFERROR(INDEX('Veri Merkezi'!$R$2:$R$1001,$K82),""))</f>
        <v/>
      </c>
      <c r="H82" t="str">
        <f>IF($K82="","",IFERROR(INDEX('Veri Merkezi'!$S$2:$S$1001,$K82),""))</f>
        <v/>
      </c>
      <c r="I82" s="2" t="str">
        <f>IF($K82="","",IFERROR(INDEX('Veri Merkezi'!$T$2:$T$1001,$K82),""))</f>
        <v/>
      </c>
      <c r="J82" t="str">
        <f>IF($K82="","",IFERROR(INDEX('Veri Merkezi'!$U$2:$U$1001,$K82),""))</f>
        <v/>
      </c>
      <c r="K82" t="str">
        <f>IFERROR(MATCH(ROWS($K$4:K82),'Veri Merkezi'!$X$2:$X$1001,0),"")</f>
        <v/>
      </c>
    </row>
    <row r="83" spans="1:11">
      <c r="A83" t="str">
        <f>IF($K83="","",IFERROR(INDEX('Veri Merkezi'!$A$2:$A$1001,$K83),""))</f>
        <v/>
      </c>
      <c r="B83" t="str">
        <f>IF($K83="","",IFERROR(INDEX('Veri Merkezi'!$E$2:$E$1001,$K83),""))</f>
        <v/>
      </c>
      <c r="C83" t="str">
        <f>IF($K83="","",IFERROR(INDEX('Veri Merkezi'!$D$2:$D$1001,$K83),""))</f>
        <v/>
      </c>
      <c r="D83" t="str">
        <f>IF($K83="","",IFERROR(INDEX('Veri Merkezi'!$F$2:$F$1001,$K83),""))</f>
        <v/>
      </c>
      <c r="E83" s="2" t="str">
        <f>IF($K83="","",IFERROR(INDEX('Veri Merkezi'!$G$2:$G$1001,$K83),""))</f>
        <v/>
      </c>
      <c r="F83" t="str">
        <f>IF($K83="","",IFERROR(INDEX('Veri Merkezi'!$H$2:$H$1001,$K83),""))</f>
        <v/>
      </c>
      <c r="G83" t="str">
        <f>IF($K83="","",IFERROR(INDEX('Veri Merkezi'!$R$2:$R$1001,$K83),""))</f>
        <v/>
      </c>
      <c r="H83" t="str">
        <f>IF($K83="","",IFERROR(INDEX('Veri Merkezi'!$S$2:$S$1001,$K83),""))</f>
        <v/>
      </c>
      <c r="I83" s="2" t="str">
        <f>IF($K83="","",IFERROR(INDEX('Veri Merkezi'!$T$2:$T$1001,$K83),""))</f>
        <v/>
      </c>
      <c r="J83" t="str">
        <f>IF($K83="","",IFERROR(INDEX('Veri Merkezi'!$U$2:$U$1001,$K83),""))</f>
        <v/>
      </c>
      <c r="K83" t="str">
        <f>IFERROR(MATCH(ROWS($K$4:K83),'Veri Merkezi'!$X$2:$X$1001,0),"")</f>
        <v/>
      </c>
    </row>
    <row r="84" spans="1:11">
      <c r="A84" t="str">
        <f>IF($K84="","",IFERROR(INDEX('Veri Merkezi'!$A$2:$A$1001,$K84),""))</f>
        <v/>
      </c>
      <c r="B84" t="str">
        <f>IF($K84="","",IFERROR(INDEX('Veri Merkezi'!$E$2:$E$1001,$K84),""))</f>
        <v/>
      </c>
      <c r="C84" t="str">
        <f>IF($K84="","",IFERROR(INDEX('Veri Merkezi'!$D$2:$D$1001,$K84),""))</f>
        <v/>
      </c>
      <c r="D84" t="str">
        <f>IF($K84="","",IFERROR(INDEX('Veri Merkezi'!$F$2:$F$1001,$K84),""))</f>
        <v/>
      </c>
      <c r="E84" s="2" t="str">
        <f>IF($K84="","",IFERROR(INDEX('Veri Merkezi'!$G$2:$G$1001,$K84),""))</f>
        <v/>
      </c>
      <c r="F84" t="str">
        <f>IF($K84="","",IFERROR(INDEX('Veri Merkezi'!$H$2:$H$1001,$K84),""))</f>
        <v/>
      </c>
      <c r="G84" t="str">
        <f>IF($K84="","",IFERROR(INDEX('Veri Merkezi'!$R$2:$R$1001,$K84),""))</f>
        <v/>
      </c>
      <c r="H84" t="str">
        <f>IF($K84="","",IFERROR(INDEX('Veri Merkezi'!$S$2:$S$1001,$K84),""))</f>
        <v/>
      </c>
      <c r="I84" s="2" t="str">
        <f>IF($K84="","",IFERROR(INDEX('Veri Merkezi'!$T$2:$T$1001,$K84),""))</f>
        <v/>
      </c>
      <c r="J84" t="str">
        <f>IF($K84="","",IFERROR(INDEX('Veri Merkezi'!$U$2:$U$1001,$K84),""))</f>
        <v/>
      </c>
      <c r="K84" t="str">
        <f>IFERROR(MATCH(ROWS($K$4:K84),'Veri Merkezi'!$X$2:$X$1001,0),"")</f>
        <v/>
      </c>
    </row>
    <row r="85" spans="1:11">
      <c r="A85" t="str">
        <f>IF($K85="","",IFERROR(INDEX('Veri Merkezi'!$A$2:$A$1001,$K85),""))</f>
        <v/>
      </c>
      <c r="B85" t="str">
        <f>IF($K85="","",IFERROR(INDEX('Veri Merkezi'!$E$2:$E$1001,$K85),""))</f>
        <v/>
      </c>
      <c r="C85" t="str">
        <f>IF($K85="","",IFERROR(INDEX('Veri Merkezi'!$D$2:$D$1001,$K85),""))</f>
        <v/>
      </c>
      <c r="D85" t="str">
        <f>IF($K85="","",IFERROR(INDEX('Veri Merkezi'!$F$2:$F$1001,$K85),""))</f>
        <v/>
      </c>
      <c r="E85" s="2" t="str">
        <f>IF($K85="","",IFERROR(INDEX('Veri Merkezi'!$G$2:$G$1001,$K85),""))</f>
        <v/>
      </c>
      <c r="F85" t="str">
        <f>IF($K85="","",IFERROR(INDEX('Veri Merkezi'!$H$2:$H$1001,$K85),""))</f>
        <v/>
      </c>
      <c r="G85" t="str">
        <f>IF($K85="","",IFERROR(INDEX('Veri Merkezi'!$R$2:$R$1001,$K85),""))</f>
        <v/>
      </c>
      <c r="H85" t="str">
        <f>IF($K85="","",IFERROR(INDEX('Veri Merkezi'!$S$2:$S$1001,$K85),""))</f>
        <v/>
      </c>
      <c r="I85" s="2" t="str">
        <f>IF($K85="","",IFERROR(INDEX('Veri Merkezi'!$T$2:$T$1001,$K85),""))</f>
        <v/>
      </c>
      <c r="J85" t="str">
        <f>IF($K85="","",IFERROR(INDEX('Veri Merkezi'!$U$2:$U$1001,$K85),""))</f>
        <v/>
      </c>
      <c r="K85" t="str">
        <f>IFERROR(MATCH(ROWS($K$4:K85),'Veri Merkezi'!$X$2:$X$1001,0),"")</f>
        <v/>
      </c>
    </row>
    <row r="86" spans="1:11">
      <c r="A86" t="str">
        <f>IF($K86="","",IFERROR(INDEX('Veri Merkezi'!$A$2:$A$1001,$K86),""))</f>
        <v/>
      </c>
      <c r="B86" t="str">
        <f>IF($K86="","",IFERROR(INDEX('Veri Merkezi'!$E$2:$E$1001,$K86),""))</f>
        <v/>
      </c>
      <c r="C86" t="str">
        <f>IF($K86="","",IFERROR(INDEX('Veri Merkezi'!$D$2:$D$1001,$K86),""))</f>
        <v/>
      </c>
      <c r="D86" t="str">
        <f>IF($K86="","",IFERROR(INDEX('Veri Merkezi'!$F$2:$F$1001,$K86),""))</f>
        <v/>
      </c>
      <c r="E86" s="2" t="str">
        <f>IF($K86="","",IFERROR(INDEX('Veri Merkezi'!$G$2:$G$1001,$K86),""))</f>
        <v/>
      </c>
      <c r="F86" t="str">
        <f>IF($K86="","",IFERROR(INDEX('Veri Merkezi'!$H$2:$H$1001,$K86),""))</f>
        <v/>
      </c>
      <c r="G86" t="str">
        <f>IF($K86="","",IFERROR(INDEX('Veri Merkezi'!$R$2:$R$1001,$K86),""))</f>
        <v/>
      </c>
      <c r="H86" t="str">
        <f>IF($K86="","",IFERROR(INDEX('Veri Merkezi'!$S$2:$S$1001,$K86),""))</f>
        <v/>
      </c>
      <c r="I86" s="2" t="str">
        <f>IF($K86="","",IFERROR(INDEX('Veri Merkezi'!$T$2:$T$1001,$K86),""))</f>
        <v/>
      </c>
      <c r="J86" t="str">
        <f>IF($K86="","",IFERROR(INDEX('Veri Merkezi'!$U$2:$U$1001,$K86),""))</f>
        <v/>
      </c>
      <c r="K86" t="str">
        <f>IFERROR(MATCH(ROWS($K$4:K86),'Veri Merkezi'!$X$2:$X$1001,0),"")</f>
        <v/>
      </c>
    </row>
    <row r="87" spans="1:11">
      <c r="A87" t="str">
        <f>IF($K87="","",IFERROR(INDEX('Veri Merkezi'!$A$2:$A$1001,$K87),""))</f>
        <v/>
      </c>
      <c r="B87" t="str">
        <f>IF($K87="","",IFERROR(INDEX('Veri Merkezi'!$E$2:$E$1001,$K87),""))</f>
        <v/>
      </c>
      <c r="C87" t="str">
        <f>IF($K87="","",IFERROR(INDEX('Veri Merkezi'!$D$2:$D$1001,$K87),""))</f>
        <v/>
      </c>
      <c r="D87" t="str">
        <f>IF($K87="","",IFERROR(INDEX('Veri Merkezi'!$F$2:$F$1001,$K87),""))</f>
        <v/>
      </c>
      <c r="E87" s="2" t="str">
        <f>IF($K87="","",IFERROR(INDEX('Veri Merkezi'!$G$2:$G$1001,$K87),""))</f>
        <v/>
      </c>
      <c r="F87" t="str">
        <f>IF($K87="","",IFERROR(INDEX('Veri Merkezi'!$H$2:$H$1001,$K87),""))</f>
        <v/>
      </c>
      <c r="G87" t="str">
        <f>IF($K87="","",IFERROR(INDEX('Veri Merkezi'!$R$2:$R$1001,$K87),""))</f>
        <v/>
      </c>
      <c r="H87" t="str">
        <f>IF($K87="","",IFERROR(INDEX('Veri Merkezi'!$S$2:$S$1001,$K87),""))</f>
        <v/>
      </c>
      <c r="I87" s="2" t="str">
        <f>IF($K87="","",IFERROR(INDEX('Veri Merkezi'!$T$2:$T$1001,$K87),""))</f>
        <v/>
      </c>
      <c r="J87" t="str">
        <f>IF($K87="","",IFERROR(INDEX('Veri Merkezi'!$U$2:$U$1001,$K87),""))</f>
        <v/>
      </c>
      <c r="K87" t="str">
        <f>IFERROR(MATCH(ROWS($K$4:K87),'Veri Merkezi'!$X$2:$X$1001,0),"")</f>
        <v/>
      </c>
    </row>
    <row r="88" spans="1:11">
      <c r="A88" t="str">
        <f>IF($K88="","",IFERROR(INDEX('Veri Merkezi'!$A$2:$A$1001,$K88),""))</f>
        <v/>
      </c>
      <c r="B88" t="str">
        <f>IF($K88="","",IFERROR(INDEX('Veri Merkezi'!$E$2:$E$1001,$K88),""))</f>
        <v/>
      </c>
      <c r="C88" t="str">
        <f>IF($K88="","",IFERROR(INDEX('Veri Merkezi'!$D$2:$D$1001,$K88),""))</f>
        <v/>
      </c>
      <c r="D88" t="str">
        <f>IF($K88="","",IFERROR(INDEX('Veri Merkezi'!$F$2:$F$1001,$K88),""))</f>
        <v/>
      </c>
      <c r="E88" s="2" t="str">
        <f>IF($K88="","",IFERROR(INDEX('Veri Merkezi'!$G$2:$G$1001,$K88),""))</f>
        <v/>
      </c>
      <c r="F88" t="str">
        <f>IF($K88="","",IFERROR(INDEX('Veri Merkezi'!$H$2:$H$1001,$K88),""))</f>
        <v/>
      </c>
      <c r="G88" t="str">
        <f>IF($K88="","",IFERROR(INDEX('Veri Merkezi'!$R$2:$R$1001,$K88),""))</f>
        <v/>
      </c>
      <c r="H88" t="str">
        <f>IF($K88="","",IFERROR(INDEX('Veri Merkezi'!$S$2:$S$1001,$K88),""))</f>
        <v/>
      </c>
      <c r="I88" s="2" t="str">
        <f>IF($K88="","",IFERROR(INDEX('Veri Merkezi'!$T$2:$T$1001,$K88),""))</f>
        <v/>
      </c>
      <c r="J88" t="str">
        <f>IF($K88="","",IFERROR(INDEX('Veri Merkezi'!$U$2:$U$1001,$K88),""))</f>
        <v/>
      </c>
      <c r="K88" t="str">
        <f>IFERROR(MATCH(ROWS($K$4:K88),'Veri Merkezi'!$X$2:$X$1001,0),"")</f>
        <v/>
      </c>
    </row>
    <row r="89" spans="1:11">
      <c r="A89" t="str">
        <f>IF($K89="","",IFERROR(INDEX('Veri Merkezi'!$A$2:$A$1001,$K89),""))</f>
        <v/>
      </c>
      <c r="B89" t="str">
        <f>IF($K89="","",IFERROR(INDEX('Veri Merkezi'!$E$2:$E$1001,$K89),""))</f>
        <v/>
      </c>
      <c r="C89" t="str">
        <f>IF($K89="","",IFERROR(INDEX('Veri Merkezi'!$D$2:$D$1001,$K89),""))</f>
        <v/>
      </c>
      <c r="D89" t="str">
        <f>IF($K89="","",IFERROR(INDEX('Veri Merkezi'!$F$2:$F$1001,$K89),""))</f>
        <v/>
      </c>
      <c r="E89" s="2" t="str">
        <f>IF($K89="","",IFERROR(INDEX('Veri Merkezi'!$G$2:$G$1001,$K89),""))</f>
        <v/>
      </c>
      <c r="F89" t="str">
        <f>IF($K89="","",IFERROR(INDEX('Veri Merkezi'!$H$2:$H$1001,$K89),""))</f>
        <v/>
      </c>
      <c r="G89" t="str">
        <f>IF($K89="","",IFERROR(INDEX('Veri Merkezi'!$R$2:$R$1001,$K89),""))</f>
        <v/>
      </c>
      <c r="H89" t="str">
        <f>IF($K89="","",IFERROR(INDEX('Veri Merkezi'!$S$2:$S$1001,$K89),""))</f>
        <v/>
      </c>
      <c r="I89" s="2" t="str">
        <f>IF($K89="","",IFERROR(INDEX('Veri Merkezi'!$T$2:$T$1001,$K89),""))</f>
        <v/>
      </c>
      <c r="J89" t="str">
        <f>IF($K89="","",IFERROR(INDEX('Veri Merkezi'!$U$2:$U$1001,$K89),""))</f>
        <v/>
      </c>
      <c r="K89" t="str">
        <f>IFERROR(MATCH(ROWS($K$4:K89),'Veri Merkezi'!$X$2:$X$1001,0),"")</f>
        <v/>
      </c>
    </row>
    <row r="90" spans="1:11">
      <c r="A90" t="str">
        <f>IF($K90="","",IFERROR(INDEX('Veri Merkezi'!$A$2:$A$1001,$K90),""))</f>
        <v/>
      </c>
      <c r="B90" t="str">
        <f>IF($K90="","",IFERROR(INDEX('Veri Merkezi'!$E$2:$E$1001,$K90),""))</f>
        <v/>
      </c>
      <c r="C90" t="str">
        <f>IF($K90="","",IFERROR(INDEX('Veri Merkezi'!$D$2:$D$1001,$K90),""))</f>
        <v/>
      </c>
      <c r="D90" t="str">
        <f>IF($K90="","",IFERROR(INDEX('Veri Merkezi'!$F$2:$F$1001,$K90),""))</f>
        <v/>
      </c>
      <c r="E90" s="2" t="str">
        <f>IF($K90="","",IFERROR(INDEX('Veri Merkezi'!$G$2:$G$1001,$K90),""))</f>
        <v/>
      </c>
      <c r="F90" t="str">
        <f>IF($K90="","",IFERROR(INDEX('Veri Merkezi'!$H$2:$H$1001,$K90),""))</f>
        <v/>
      </c>
      <c r="G90" t="str">
        <f>IF($K90="","",IFERROR(INDEX('Veri Merkezi'!$R$2:$R$1001,$K90),""))</f>
        <v/>
      </c>
      <c r="H90" t="str">
        <f>IF($K90="","",IFERROR(INDEX('Veri Merkezi'!$S$2:$S$1001,$K90),""))</f>
        <v/>
      </c>
      <c r="I90" s="2" t="str">
        <f>IF($K90="","",IFERROR(INDEX('Veri Merkezi'!$T$2:$T$1001,$K90),""))</f>
        <v/>
      </c>
      <c r="J90" t="str">
        <f>IF($K90="","",IFERROR(INDEX('Veri Merkezi'!$U$2:$U$1001,$K90),""))</f>
        <v/>
      </c>
      <c r="K90" t="str">
        <f>IFERROR(MATCH(ROWS($K$4:K90),'Veri Merkezi'!$X$2:$X$1001,0),"")</f>
        <v/>
      </c>
    </row>
    <row r="91" spans="1:11">
      <c r="A91" t="str">
        <f>IF($K91="","",IFERROR(INDEX('Veri Merkezi'!$A$2:$A$1001,$K91),""))</f>
        <v/>
      </c>
      <c r="B91" t="str">
        <f>IF($K91="","",IFERROR(INDEX('Veri Merkezi'!$E$2:$E$1001,$K91),""))</f>
        <v/>
      </c>
      <c r="C91" t="str">
        <f>IF($K91="","",IFERROR(INDEX('Veri Merkezi'!$D$2:$D$1001,$K91),""))</f>
        <v/>
      </c>
      <c r="D91" t="str">
        <f>IF($K91="","",IFERROR(INDEX('Veri Merkezi'!$F$2:$F$1001,$K91),""))</f>
        <v/>
      </c>
      <c r="E91" s="2" t="str">
        <f>IF($K91="","",IFERROR(INDEX('Veri Merkezi'!$G$2:$G$1001,$K91),""))</f>
        <v/>
      </c>
      <c r="F91" t="str">
        <f>IF($K91="","",IFERROR(INDEX('Veri Merkezi'!$H$2:$H$1001,$K91),""))</f>
        <v/>
      </c>
      <c r="G91" t="str">
        <f>IF($K91="","",IFERROR(INDEX('Veri Merkezi'!$R$2:$R$1001,$K91),""))</f>
        <v/>
      </c>
      <c r="H91" t="str">
        <f>IF($K91="","",IFERROR(INDEX('Veri Merkezi'!$S$2:$S$1001,$K91),""))</f>
        <v/>
      </c>
      <c r="I91" s="2" t="str">
        <f>IF($K91="","",IFERROR(INDEX('Veri Merkezi'!$T$2:$T$1001,$K91),""))</f>
        <v/>
      </c>
      <c r="J91" t="str">
        <f>IF($K91="","",IFERROR(INDEX('Veri Merkezi'!$U$2:$U$1001,$K91),""))</f>
        <v/>
      </c>
      <c r="K91" t="str">
        <f>IFERROR(MATCH(ROWS($K$4:K91),'Veri Merkezi'!$X$2:$X$1001,0),"")</f>
        <v/>
      </c>
    </row>
    <row r="92" spans="1:11">
      <c r="A92" t="str">
        <f>IF($K92="","",IFERROR(INDEX('Veri Merkezi'!$A$2:$A$1001,$K92),""))</f>
        <v/>
      </c>
      <c r="B92" t="str">
        <f>IF($K92="","",IFERROR(INDEX('Veri Merkezi'!$E$2:$E$1001,$K92),""))</f>
        <v/>
      </c>
      <c r="C92" t="str">
        <f>IF($K92="","",IFERROR(INDEX('Veri Merkezi'!$D$2:$D$1001,$K92),""))</f>
        <v/>
      </c>
      <c r="D92" t="str">
        <f>IF($K92="","",IFERROR(INDEX('Veri Merkezi'!$F$2:$F$1001,$K92),""))</f>
        <v/>
      </c>
      <c r="E92" s="2" t="str">
        <f>IF($K92="","",IFERROR(INDEX('Veri Merkezi'!$G$2:$G$1001,$K92),""))</f>
        <v/>
      </c>
      <c r="F92" t="str">
        <f>IF($K92="","",IFERROR(INDEX('Veri Merkezi'!$H$2:$H$1001,$K92),""))</f>
        <v/>
      </c>
      <c r="G92" t="str">
        <f>IF($K92="","",IFERROR(INDEX('Veri Merkezi'!$R$2:$R$1001,$K92),""))</f>
        <v/>
      </c>
      <c r="H92" t="str">
        <f>IF($K92="","",IFERROR(INDEX('Veri Merkezi'!$S$2:$S$1001,$K92),""))</f>
        <v/>
      </c>
      <c r="I92" s="2" t="str">
        <f>IF($K92="","",IFERROR(INDEX('Veri Merkezi'!$T$2:$T$1001,$K92),""))</f>
        <v/>
      </c>
      <c r="J92" t="str">
        <f>IF($K92="","",IFERROR(INDEX('Veri Merkezi'!$U$2:$U$1001,$K92),""))</f>
        <v/>
      </c>
      <c r="K92" t="str">
        <f>IFERROR(MATCH(ROWS($K$4:K92),'Veri Merkezi'!$X$2:$X$1001,0),"")</f>
        <v/>
      </c>
    </row>
    <row r="93" spans="1:11">
      <c r="A93" t="str">
        <f>IF($K93="","",IFERROR(INDEX('Veri Merkezi'!$A$2:$A$1001,$K93),""))</f>
        <v/>
      </c>
      <c r="B93" t="str">
        <f>IF($K93="","",IFERROR(INDEX('Veri Merkezi'!$E$2:$E$1001,$K93),""))</f>
        <v/>
      </c>
      <c r="C93" t="str">
        <f>IF($K93="","",IFERROR(INDEX('Veri Merkezi'!$D$2:$D$1001,$K93),""))</f>
        <v/>
      </c>
      <c r="D93" t="str">
        <f>IF($K93="","",IFERROR(INDEX('Veri Merkezi'!$F$2:$F$1001,$K93),""))</f>
        <v/>
      </c>
      <c r="E93" s="2" t="str">
        <f>IF($K93="","",IFERROR(INDEX('Veri Merkezi'!$G$2:$G$1001,$K93),""))</f>
        <v/>
      </c>
      <c r="F93" t="str">
        <f>IF($K93="","",IFERROR(INDEX('Veri Merkezi'!$H$2:$H$1001,$K93),""))</f>
        <v/>
      </c>
      <c r="G93" t="str">
        <f>IF($K93="","",IFERROR(INDEX('Veri Merkezi'!$R$2:$R$1001,$K93),""))</f>
        <v/>
      </c>
      <c r="H93" t="str">
        <f>IF($K93="","",IFERROR(INDEX('Veri Merkezi'!$S$2:$S$1001,$K93),""))</f>
        <v/>
      </c>
      <c r="I93" s="2" t="str">
        <f>IF($K93="","",IFERROR(INDEX('Veri Merkezi'!$T$2:$T$1001,$K93),""))</f>
        <v/>
      </c>
      <c r="J93" t="str">
        <f>IF($K93="","",IFERROR(INDEX('Veri Merkezi'!$U$2:$U$1001,$K93),""))</f>
        <v/>
      </c>
      <c r="K93" t="str">
        <f>IFERROR(MATCH(ROWS($K$4:K93),'Veri Merkezi'!$X$2:$X$1001,0),"")</f>
        <v/>
      </c>
    </row>
    <row r="94" spans="1:11">
      <c r="A94" t="str">
        <f>IF($K94="","",IFERROR(INDEX('Veri Merkezi'!$A$2:$A$1001,$K94),""))</f>
        <v/>
      </c>
      <c r="B94" t="str">
        <f>IF($K94="","",IFERROR(INDEX('Veri Merkezi'!$E$2:$E$1001,$K94),""))</f>
        <v/>
      </c>
      <c r="C94" t="str">
        <f>IF($K94="","",IFERROR(INDEX('Veri Merkezi'!$D$2:$D$1001,$K94),""))</f>
        <v/>
      </c>
      <c r="D94" t="str">
        <f>IF($K94="","",IFERROR(INDEX('Veri Merkezi'!$F$2:$F$1001,$K94),""))</f>
        <v/>
      </c>
      <c r="E94" s="2" t="str">
        <f>IF($K94="","",IFERROR(INDEX('Veri Merkezi'!$G$2:$G$1001,$K94),""))</f>
        <v/>
      </c>
      <c r="F94" t="str">
        <f>IF($K94="","",IFERROR(INDEX('Veri Merkezi'!$H$2:$H$1001,$K94),""))</f>
        <v/>
      </c>
      <c r="G94" t="str">
        <f>IF($K94="","",IFERROR(INDEX('Veri Merkezi'!$R$2:$R$1001,$K94),""))</f>
        <v/>
      </c>
      <c r="H94" t="str">
        <f>IF($K94="","",IFERROR(INDEX('Veri Merkezi'!$S$2:$S$1001,$K94),""))</f>
        <v/>
      </c>
      <c r="I94" s="2" t="str">
        <f>IF($K94="","",IFERROR(INDEX('Veri Merkezi'!$T$2:$T$1001,$K94),""))</f>
        <v/>
      </c>
      <c r="J94" t="str">
        <f>IF($K94="","",IFERROR(INDEX('Veri Merkezi'!$U$2:$U$1001,$K94),""))</f>
        <v/>
      </c>
      <c r="K94" t="str">
        <f>IFERROR(MATCH(ROWS($K$4:K94),'Veri Merkezi'!$X$2:$X$1001,0),"")</f>
        <v/>
      </c>
    </row>
    <row r="95" spans="1:11">
      <c r="A95" t="str">
        <f>IF($K95="","",IFERROR(INDEX('Veri Merkezi'!$A$2:$A$1001,$K95),""))</f>
        <v/>
      </c>
      <c r="B95" t="str">
        <f>IF($K95="","",IFERROR(INDEX('Veri Merkezi'!$E$2:$E$1001,$K95),""))</f>
        <v/>
      </c>
      <c r="C95" t="str">
        <f>IF($K95="","",IFERROR(INDEX('Veri Merkezi'!$D$2:$D$1001,$K95),""))</f>
        <v/>
      </c>
      <c r="D95" t="str">
        <f>IF($K95="","",IFERROR(INDEX('Veri Merkezi'!$F$2:$F$1001,$K95),""))</f>
        <v/>
      </c>
      <c r="E95" s="2" t="str">
        <f>IF($K95="","",IFERROR(INDEX('Veri Merkezi'!$G$2:$G$1001,$K95),""))</f>
        <v/>
      </c>
      <c r="F95" t="str">
        <f>IF($K95="","",IFERROR(INDEX('Veri Merkezi'!$H$2:$H$1001,$K95),""))</f>
        <v/>
      </c>
      <c r="G95" t="str">
        <f>IF($K95="","",IFERROR(INDEX('Veri Merkezi'!$R$2:$R$1001,$K95),""))</f>
        <v/>
      </c>
      <c r="H95" t="str">
        <f>IF($K95="","",IFERROR(INDEX('Veri Merkezi'!$S$2:$S$1001,$K95),""))</f>
        <v/>
      </c>
      <c r="I95" s="2" t="str">
        <f>IF($K95="","",IFERROR(INDEX('Veri Merkezi'!$T$2:$T$1001,$K95),""))</f>
        <v/>
      </c>
      <c r="J95" t="str">
        <f>IF($K95="","",IFERROR(INDEX('Veri Merkezi'!$U$2:$U$1001,$K95),""))</f>
        <v/>
      </c>
      <c r="K95" t="str">
        <f>IFERROR(MATCH(ROWS($K$4:K95),'Veri Merkezi'!$X$2:$X$1001,0),"")</f>
        <v/>
      </c>
    </row>
    <row r="96" spans="1:11">
      <c r="A96" t="str">
        <f>IF($K96="","",IFERROR(INDEX('Veri Merkezi'!$A$2:$A$1001,$K96),""))</f>
        <v/>
      </c>
      <c r="B96" t="str">
        <f>IF($K96="","",IFERROR(INDEX('Veri Merkezi'!$E$2:$E$1001,$K96),""))</f>
        <v/>
      </c>
      <c r="C96" t="str">
        <f>IF($K96="","",IFERROR(INDEX('Veri Merkezi'!$D$2:$D$1001,$K96),""))</f>
        <v/>
      </c>
      <c r="D96" t="str">
        <f>IF($K96="","",IFERROR(INDEX('Veri Merkezi'!$F$2:$F$1001,$K96),""))</f>
        <v/>
      </c>
      <c r="E96" s="2" t="str">
        <f>IF($K96="","",IFERROR(INDEX('Veri Merkezi'!$G$2:$G$1001,$K96),""))</f>
        <v/>
      </c>
      <c r="F96" t="str">
        <f>IF($K96="","",IFERROR(INDEX('Veri Merkezi'!$H$2:$H$1001,$K96),""))</f>
        <v/>
      </c>
      <c r="G96" t="str">
        <f>IF($K96="","",IFERROR(INDEX('Veri Merkezi'!$R$2:$R$1001,$K96),""))</f>
        <v/>
      </c>
      <c r="H96" t="str">
        <f>IF($K96="","",IFERROR(INDEX('Veri Merkezi'!$S$2:$S$1001,$K96),""))</f>
        <v/>
      </c>
      <c r="I96" s="2" t="str">
        <f>IF($K96="","",IFERROR(INDEX('Veri Merkezi'!$T$2:$T$1001,$K96),""))</f>
        <v/>
      </c>
      <c r="J96" t="str">
        <f>IF($K96="","",IFERROR(INDEX('Veri Merkezi'!$U$2:$U$1001,$K96),""))</f>
        <v/>
      </c>
      <c r="K96" t="str">
        <f>IFERROR(MATCH(ROWS($K$4:K96),'Veri Merkezi'!$X$2:$X$1001,0),"")</f>
        <v/>
      </c>
    </row>
    <row r="97" spans="1:11">
      <c r="A97" t="str">
        <f>IF($K97="","",IFERROR(INDEX('Veri Merkezi'!$A$2:$A$1001,$K97),""))</f>
        <v/>
      </c>
      <c r="B97" t="str">
        <f>IF($K97="","",IFERROR(INDEX('Veri Merkezi'!$E$2:$E$1001,$K97),""))</f>
        <v/>
      </c>
      <c r="C97" t="str">
        <f>IF($K97="","",IFERROR(INDEX('Veri Merkezi'!$D$2:$D$1001,$K97),""))</f>
        <v/>
      </c>
      <c r="D97" t="str">
        <f>IF($K97="","",IFERROR(INDEX('Veri Merkezi'!$F$2:$F$1001,$K97),""))</f>
        <v/>
      </c>
      <c r="E97" s="2" t="str">
        <f>IF($K97="","",IFERROR(INDEX('Veri Merkezi'!$G$2:$G$1001,$K97),""))</f>
        <v/>
      </c>
      <c r="F97" t="str">
        <f>IF($K97="","",IFERROR(INDEX('Veri Merkezi'!$H$2:$H$1001,$K97),""))</f>
        <v/>
      </c>
      <c r="G97" t="str">
        <f>IF($K97="","",IFERROR(INDEX('Veri Merkezi'!$R$2:$R$1001,$K97),""))</f>
        <v/>
      </c>
      <c r="H97" t="str">
        <f>IF($K97="","",IFERROR(INDEX('Veri Merkezi'!$S$2:$S$1001,$K97),""))</f>
        <v/>
      </c>
      <c r="I97" s="2" t="str">
        <f>IF($K97="","",IFERROR(INDEX('Veri Merkezi'!$T$2:$T$1001,$K97),""))</f>
        <v/>
      </c>
      <c r="J97" t="str">
        <f>IF($K97="","",IFERROR(INDEX('Veri Merkezi'!$U$2:$U$1001,$K97),""))</f>
        <v/>
      </c>
      <c r="K97" t="str">
        <f>IFERROR(MATCH(ROWS($K$4:K97),'Veri Merkezi'!$X$2:$X$1001,0),"")</f>
        <v/>
      </c>
    </row>
    <row r="98" spans="1:11">
      <c r="A98" t="str">
        <f>IF($K98="","",IFERROR(INDEX('Veri Merkezi'!$A$2:$A$1001,$K98),""))</f>
        <v/>
      </c>
      <c r="B98" t="str">
        <f>IF($K98="","",IFERROR(INDEX('Veri Merkezi'!$E$2:$E$1001,$K98),""))</f>
        <v/>
      </c>
      <c r="C98" t="str">
        <f>IF($K98="","",IFERROR(INDEX('Veri Merkezi'!$D$2:$D$1001,$K98),""))</f>
        <v/>
      </c>
      <c r="D98" t="str">
        <f>IF($K98="","",IFERROR(INDEX('Veri Merkezi'!$F$2:$F$1001,$K98),""))</f>
        <v/>
      </c>
      <c r="E98" s="2" t="str">
        <f>IF($K98="","",IFERROR(INDEX('Veri Merkezi'!$G$2:$G$1001,$K98),""))</f>
        <v/>
      </c>
      <c r="F98" t="str">
        <f>IF($K98="","",IFERROR(INDEX('Veri Merkezi'!$H$2:$H$1001,$K98),""))</f>
        <v/>
      </c>
      <c r="G98" t="str">
        <f>IF($K98="","",IFERROR(INDEX('Veri Merkezi'!$R$2:$R$1001,$K98),""))</f>
        <v/>
      </c>
      <c r="H98" t="str">
        <f>IF($K98="","",IFERROR(INDEX('Veri Merkezi'!$S$2:$S$1001,$K98),""))</f>
        <v/>
      </c>
      <c r="I98" s="2" t="str">
        <f>IF($K98="","",IFERROR(INDEX('Veri Merkezi'!$T$2:$T$1001,$K98),""))</f>
        <v/>
      </c>
      <c r="J98" t="str">
        <f>IF($K98="","",IFERROR(INDEX('Veri Merkezi'!$U$2:$U$1001,$K98),""))</f>
        <v/>
      </c>
      <c r="K98" t="str">
        <f>IFERROR(MATCH(ROWS($K$4:K98),'Veri Merkezi'!$X$2:$X$1001,0),"")</f>
        <v/>
      </c>
    </row>
    <row r="99" spans="1:11">
      <c r="A99" t="str">
        <f>IF($K99="","",IFERROR(INDEX('Veri Merkezi'!$A$2:$A$1001,$K99),""))</f>
        <v/>
      </c>
      <c r="B99" t="str">
        <f>IF($K99="","",IFERROR(INDEX('Veri Merkezi'!$E$2:$E$1001,$K99),""))</f>
        <v/>
      </c>
      <c r="C99" t="str">
        <f>IF($K99="","",IFERROR(INDEX('Veri Merkezi'!$D$2:$D$1001,$K99),""))</f>
        <v/>
      </c>
      <c r="D99" t="str">
        <f>IF($K99="","",IFERROR(INDEX('Veri Merkezi'!$F$2:$F$1001,$K99),""))</f>
        <v/>
      </c>
      <c r="E99" s="2" t="str">
        <f>IF($K99="","",IFERROR(INDEX('Veri Merkezi'!$G$2:$G$1001,$K99),""))</f>
        <v/>
      </c>
      <c r="F99" t="str">
        <f>IF($K99="","",IFERROR(INDEX('Veri Merkezi'!$H$2:$H$1001,$K99),""))</f>
        <v/>
      </c>
      <c r="G99" t="str">
        <f>IF($K99="","",IFERROR(INDEX('Veri Merkezi'!$R$2:$R$1001,$K99),""))</f>
        <v/>
      </c>
      <c r="H99" t="str">
        <f>IF($K99="","",IFERROR(INDEX('Veri Merkezi'!$S$2:$S$1001,$K99),""))</f>
        <v/>
      </c>
      <c r="I99" s="2" t="str">
        <f>IF($K99="","",IFERROR(INDEX('Veri Merkezi'!$T$2:$T$1001,$K99),""))</f>
        <v/>
      </c>
      <c r="J99" t="str">
        <f>IF($K99="","",IFERROR(INDEX('Veri Merkezi'!$U$2:$U$1001,$K99),""))</f>
        <v/>
      </c>
      <c r="K99" t="str">
        <f>IFERROR(MATCH(ROWS($K$4:K99),'Veri Merkezi'!$X$2:$X$1001,0),"")</f>
        <v/>
      </c>
    </row>
    <row r="100" spans="1:11">
      <c r="A100" t="str">
        <f>IF($K100="","",IFERROR(INDEX('Veri Merkezi'!$A$2:$A$1001,$K100),""))</f>
        <v/>
      </c>
      <c r="B100" t="str">
        <f>IF($K100="","",IFERROR(INDEX('Veri Merkezi'!$E$2:$E$1001,$K100),""))</f>
        <v/>
      </c>
      <c r="C100" t="str">
        <f>IF($K100="","",IFERROR(INDEX('Veri Merkezi'!$D$2:$D$1001,$K100),""))</f>
        <v/>
      </c>
      <c r="D100" t="str">
        <f>IF($K100="","",IFERROR(INDEX('Veri Merkezi'!$F$2:$F$1001,$K100),""))</f>
        <v/>
      </c>
      <c r="E100" s="2" t="str">
        <f>IF($K100="","",IFERROR(INDEX('Veri Merkezi'!$G$2:$G$1001,$K100),""))</f>
        <v/>
      </c>
      <c r="F100" t="str">
        <f>IF($K100="","",IFERROR(INDEX('Veri Merkezi'!$H$2:$H$1001,$K100),""))</f>
        <v/>
      </c>
      <c r="G100" t="str">
        <f>IF($K100="","",IFERROR(INDEX('Veri Merkezi'!$R$2:$R$1001,$K100),""))</f>
        <v/>
      </c>
      <c r="H100" t="str">
        <f>IF($K100="","",IFERROR(INDEX('Veri Merkezi'!$S$2:$S$1001,$K100),""))</f>
        <v/>
      </c>
      <c r="I100" s="2" t="str">
        <f>IF($K100="","",IFERROR(INDEX('Veri Merkezi'!$T$2:$T$1001,$K100),""))</f>
        <v/>
      </c>
      <c r="J100" t="str">
        <f>IF($K100="","",IFERROR(INDEX('Veri Merkezi'!$U$2:$U$1001,$K100),""))</f>
        <v/>
      </c>
      <c r="K100" t="str">
        <f>IFERROR(MATCH(ROWS($K$4:K100),'Veri Merkezi'!$X$2:$X$1001,0),"")</f>
        <v/>
      </c>
    </row>
    <row r="101" spans="1:11">
      <c r="A101" t="str">
        <f>IF($K101="","",IFERROR(INDEX('Veri Merkezi'!$A$2:$A$1001,$K101),""))</f>
        <v/>
      </c>
      <c r="B101" t="str">
        <f>IF($K101="","",IFERROR(INDEX('Veri Merkezi'!$E$2:$E$1001,$K101),""))</f>
        <v/>
      </c>
      <c r="C101" t="str">
        <f>IF($K101="","",IFERROR(INDEX('Veri Merkezi'!$D$2:$D$1001,$K101),""))</f>
        <v/>
      </c>
      <c r="D101" t="str">
        <f>IF($K101="","",IFERROR(INDEX('Veri Merkezi'!$F$2:$F$1001,$K101),""))</f>
        <v/>
      </c>
      <c r="E101" s="2" t="str">
        <f>IF($K101="","",IFERROR(INDEX('Veri Merkezi'!$G$2:$G$1001,$K101),""))</f>
        <v/>
      </c>
      <c r="F101" t="str">
        <f>IF($K101="","",IFERROR(INDEX('Veri Merkezi'!$H$2:$H$1001,$K101),""))</f>
        <v/>
      </c>
      <c r="G101" t="str">
        <f>IF($K101="","",IFERROR(INDEX('Veri Merkezi'!$R$2:$R$1001,$K101),""))</f>
        <v/>
      </c>
      <c r="H101" t="str">
        <f>IF($K101="","",IFERROR(INDEX('Veri Merkezi'!$S$2:$S$1001,$K101),""))</f>
        <v/>
      </c>
      <c r="I101" s="2" t="str">
        <f>IF($K101="","",IFERROR(INDEX('Veri Merkezi'!$T$2:$T$1001,$K101),""))</f>
        <v/>
      </c>
      <c r="J101" t="str">
        <f>IF($K101="","",IFERROR(INDEX('Veri Merkezi'!$U$2:$U$1001,$K101),""))</f>
        <v/>
      </c>
      <c r="K101" t="str">
        <f>IFERROR(MATCH(ROWS($K$4:K101),'Veri Merkezi'!$X$2:$X$1001,0),"")</f>
        <v/>
      </c>
    </row>
    <row r="102" spans="1:11">
      <c r="A102" t="str">
        <f>IF($K102="","",IFERROR(INDEX('Veri Merkezi'!$A$2:$A$1001,$K102),""))</f>
        <v/>
      </c>
      <c r="B102" t="str">
        <f>IF($K102="","",IFERROR(INDEX('Veri Merkezi'!$E$2:$E$1001,$K102),""))</f>
        <v/>
      </c>
      <c r="C102" t="str">
        <f>IF($K102="","",IFERROR(INDEX('Veri Merkezi'!$D$2:$D$1001,$K102),""))</f>
        <v/>
      </c>
      <c r="D102" t="str">
        <f>IF($K102="","",IFERROR(INDEX('Veri Merkezi'!$F$2:$F$1001,$K102),""))</f>
        <v/>
      </c>
      <c r="E102" s="2" t="str">
        <f>IF($K102="","",IFERROR(INDEX('Veri Merkezi'!$G$2:$G$1001,$K102),""))</f>
        <v/>
      </c>
      <c r="F102" t="str">
        <f>IF($K102="","",IFERROR(INDEX('Veri Merkezi'!$H$2:$H$1001,$K102),""))</f>
        <v/>
      </c>
      <c r="G102" t="str">
        <f>IF($K102="","",IFERROR(INDEX('Veri Merkezi'!$R$2:$R$1001,$K102),""))</f>
        <v/>
      </c>
      <c r="H102" t="str">
        <f>IF($K102="","",IFERROR(INDEX('Veri Merkezi'!$S$2:$S$1001,$K102),""))</f>
        <v/>
      </c>
      <c r="I102" s="2" t="str">
        <f>IF($K102="","",IFERROR(INDEX('Veri Merkezi'!$T$2:$T$1001,$K102),""))</f>
        <v/>
      </c>
      <c r="J102" t="str">
        <f>IF($K102="","",IFERROR(INDEX('Veri Merkezi'!$U$2:$U$1001,$K102),""))</f>
        <v/>
      </c>
      <c r="K102" t="str">
        <f>IFERROR(MATCH(ROWS($K$4:K102),'Veri Merkezi'!$X$2:$X$1001,0),"")</f>
        <v/>
      </c>
    </row>
    <row r="103" spans="1:11">
      <c r="A103" t="str">
        <f>IF($K103="","",IFERROR(INDEX('Veri Merkezi'!$A$2:$A$1001,$K103),""))</f>
        <v/>
      </c>
      <c r="B103" t="str">
        <f>IF($K103="","",IFERROR(INDEX('Veri Merkezi'!$E$2:$E$1001,$K103),""))</f>
        <v/>
      </c>
      <c r="C103" t="str">
        <f>IF($K103="","",IFERROR(INDEX('Veri Merkezi'!$D$2:$D$1001,$K103),""))</f>
        <v/>
      </c>
      <c r="D103" t="str">
        <f>IF($K103="","",IFERROR(INDEX('Veri Merkezi'!$F$2:$F$1001,$K103),""))</f>
        <v/>
      </c>
      <c r="E103" s="2" t="str">
        <f>IF($K103="","",IFERROR(INDEX('Veri Merkezi'!$G$2:$G$1001,$K103),""))</f>
        <v/>
      </c>
      <c r="F103" t="str">
        <f>IF($K103="","",IFERROR(INDEX('Veri Merkezi'!$H$2:$H$1001,$K103),""))</f>
        <v/>
      </c>
      <c r="G103" t="str">
        <f>IF($K103="","",IFERROR(INDEX('Veri Merkezi'!$R$2:$R$1001,$K103),""))</f>
        <v/>
      </c>
      <c r="H103" t="str">
        <f>IF($K103="","",IFERROR(INDEX('Veri Merkezi'!$S$2:$S$1001,$K103),""))</f>
        <v/>
      </c>
      <c r="I103" s="2" t="str">
        <f>IF($K103="","",IFERROR(INDEX('Veri Merkezi'!$T$2:$T$1001,$K103),""))</f>
        <v/>
      </c>
      <c r="J103" t="str">
        <f>IF($K103="","",IFERROR(INDEX('Veri Merkezi'!$U$2:$U$1001,$K103),""))</f>
        <v/>
      </c>
      <c r="K103" t="str">
        <f>IFERROR(MATCH(ROWS($K$4:K103),'Veri Merkezi'!$X$2:$X$1001,0),"")</f>
        <v/>
      </c>
    </row>
    <row r="104" spans="1:11">
      <c r="A104" t="str">
        <f>IF($K104="","",IFERROR(INDEX('Veri Merkezi'!$A$2:$A$1001,$K104),""))</f>
        <v/>
      </c>
      <c r="B104" t="str">
        <f>IF($K104="","",IFERROR(INDEX('Veri Merkezi'!$E$2:$E$1001,$K104),""))</f>
        <v/>
      </c>
      <c r="C104" t="str">
        <f>IF($K104="","",IFERROR(INDEX('Veri Merkezi'!$D$2:$D$1001,$K104),""))</f>
        <v/>
      </c>
      <c r="D104" t="str">
        <f>IF($K104="","",IFERROR(INDEX('Veri Merkezi'!$F$2:$F$1001,$K104),""))</f>
        <v/>
      </c>
      <c r="E104" s="2" t="str">
        <f>IF($K104="","",IFERROR(INDEX('Veri Merkezi'!$G$2:$G$1001,$K104),""))</f>
        <v/>
      </c>
      <c r="F104" t="str">
        <f>IF($K104="","",IFERROR(INDEX('Veri Merkezi'!$H$2:$H$1001,$K104),""))</f>
        <v/>
      </c>
      <c r="G104" t="str">
        <f>IF($K104="","",IFERROR(INDEX('Veri Merkezi'!$R$2:$R$1001,$K104),""))</f>
        <v/>
      </c>
      <c r="H104" t="str">
        <f>IF($K104="","",IFERROR(INDEX('Veri Merkezi'!$S$2:$S$1001,$K104),""))</f>
        <v/>
      </c>
      <c r="I104" s="2" t="str">
        <f>IF($K104="","",IFERROR(INDEX('Veri Merkezi'!$T$2:$T$1001,$K104),""))</f>
        <v/>
      </c>
      <c r="J104" t="str">
        <f>IF($K104="","",IFERROR(INDEX('Veri Merkezi'!$U$2:$U$1001,$K104),""))</f>
        <v/>
      </c>
      <c r="K104" t="str">
        <f>IFERROR(MATCH(ROWS($K$4:K104),'Veri Merkezi'!$X$2:$X$1001,0),"")</f>
        <v/>
      </c>
    </row>
    <row r="105" spans="1:11">
      <c r="A105" t="str">
        <f>IF($K105="","",IFERROR(INDEX('Veri Merkezi'!$A$2:$A$1001,$K105),""))</f>
        <v/>
      </c>
      <c r="B105" t="str">
        <f>IF($K105="","",IFERROR(INDEX('Veri Merkezi'!$E$2:$E$1001,$K105),""))</f>
        <v/>
      </c>
      <c r="C105" t="str">
        <f>IF($K105="","",IFERROR(INDEX('Veri Merkezi'!$D$2:$D$1001,$K105),""))</f>
        <v/>
      </c>
      <c r="D105" t="str">
        <f>IF($K105="","",IFERROR(INDEX('Veri Merkezi'!$F$2:$F$1001,$K105),""))</f>
        <v/>
      </c>
      <c r="E105" s="2" t="str">
        <f>IF($K105="","",IFERROR(INDEX('Veri Merkezi'!$G$2:$G$1001,$K105),""))</f>
        <v/>
      </c>
      <c r="F105" t="str">
        <f>IF($K105="","",IFERROR(INDEX('Veri Merkezi'!$H$2:$H$1001,$K105),""))</f>
        <v/>
      </c>
      <c r="G105" t="str">
        <f>IF($K105="","",IFERROR(INDEX('Veri Merkezi'!$R$2:$R$1001,$K105),""))</f>
        <v/>
      </c>
      <c r="H105" t="str">
        <f>IF($K105="","",IFERROR(INDEX('Veri Merkezi'!$S$2:$S$1001,$K105),""))</f>
        <v/>
      </c>
      <c r="I105" s="2" t="str">
        <f>IF($K105="","",IFERROR(INDEX('Veri Merkezi'!$T$2:$T$1001,$K105),""))</f>
        <v/>
      </c>
      <c r="J105" t="str">
        <f>IF($K105="","",IFERROR(INDEX('Veri Merkezi'!$U$2:$U$1001,$K105),""))</f>
        <v/>
      </c>
      <c r="K105" t="str">
        <f>IFERROR(MATCH(ROWS($K$4:K105),'Veri Merkezi'!$X$2:$X$1001,0),"")</f>
        <v/>
      </c>
    </row>
    <row r="106" spans="1:11">
      <c r="A106" t="str">
        <f>IF($K106="","",IFERROR(INDEX('Veri Merkezi'!$A$2:$A$1001,$K106),""))</f>
        <v/>
      </c>
      <c r="B106" t="str">
        <f>IF($K106="","",IFERROR(INDEX('Veri Merkezi'!$E$2:$E$1001,$K106),""))</f>
        <v/>
      </c>
      <c r="C106" t="str">
        <f>IF($K106="","",IFERROR(INDEX('Veri Merkezi'!$D$2:$D$1001,$K106),""))</f>
        <v/>
      </c>
      <c r="D106" t="str">
        <f>IF($K106="","",IFERROR(INDEX('Veri Merkezi'!$F$2:$F$1001,$K106),""))</f>
        <v/>
      </c>
      <c r="E106" s="2" t="str">
        <f>IF($K106="","",IFERROR(INDEX('Veri Merkezi'!$G$2:$G$1001,$K106),""))</f>
        <v/>
      </c>
      <c r="F106" t="str">
        <f>IF($K106="","",IFERROR(INDEX('Veri Merkezi'!$H$2:$H$1001,$K106),""))</f>
        <v/>
      </c>
      <c r="G106" t="str">
        <f>IF($K106="","",IFERROR(INDEX('Veri Merkezi'!$R$2:$R$1001,$K106),""))</f>
        <v/>
      </c>
      <c r="H106" t="str">
        <f>IF($K106="","",IFERROR(INDEX('Veri Merkezi'!$S$2:$S$1001,$K106),""))</f>
        <v/>
      </c>
      <c r="I106" s="2" t="str">
        <f>IF($K106="","",IFERROR(INDEX('Veri Merkezi'!$T$2:$T$1001,$K106),""))</f>
        <v/>
      </c>
      <c r="J106" t="str">
        <f>IF($K106="","",IFERROR(INDEX('Veri Merkezi'!$U$2:$U$1001,$K106),""))</f>
        <v/>
      </c>
      <c r="K106" t="str">
        <f>IFERROR(MATCH(ROWS($K$4:K106),'Veri Merkezi'!$X$2:$X$1001,0),"")</f>
        <v/>
      </c>
    </row>
    <row r="107" spans="1:11">
      <c r="A107" t="str">
        <f>IF($K107="","",IFERROR(INDEX('Veri Merkezi'!$A$2:$A$1001,$K107),""))</f>
        <v/>
      </c>
      <c r="B107" t="str">
        <f>IF($K107="","",IFERROR(INDEX('Veri Merkezi'!$E$2:$E$1001,$K107),""))</f>
        <v/>
      </c>
      <c r="C107" t="str">
        <f>IF($K107="","",IFERROR(INDEX('Veri Merkezi'!$D$2:$D$1001,$K107),""))</f>
        <v/>
      </c>
      <c r="D107" t="str">
        <f>IF($K107="","",IFERROR(INDEX('Veri Merkezi'!$F$2:$F$1001,$K107),""))</f>
        <v/>
      </c>
      <c r="E107" s="2" t="str">
        <f>IF($K107="","",IFERROR(INDEX('Veri Merkezi'!$G$2:$G$1001,$K107),""))</f>
        <v/>
      </c>
      <c r="F107" t="str">
        <f>IF($K107="","",IFERROR(INDEX('Veri Merkezi'!$H$2:$H$1001,$K107),""))</f>
        <v/>
      </c>
      <c r="G107" t="str">
        <f>IF($K107="","",IFERROR(INDEX('Veri Merkezi'!$R$2:$R$1001,$K107),""))</f>
        <v/>
      </c>
      <c r="H107" t="str">
        <f>IF($K107="","",IFERROR(INDEX('Veri Merkezi'!$S$2:$S$1001,$K107),""))</f>
        <v/>
      </c>
      <c r="I107" s="2" t="str">
        <f>IF($K107="","",IFERROR(INDEX('Veri Merkezi'!$T$2:$T$1001,$K107),""))</f>
        <v/>
      </c>
      <c r="J107" t="str">
        <f>IF($K107="","",IFERROR(INDEX('Veri Merkezi'!$U$2:$U$1001,$K107),""))</f>
        <v/>
      </c>
      <c r="K107" t="str">
        <f>IFERROR(MATCH(ROWS($K$4:K107),'Veri Merkezi'!$X$2:$X$1001,0),"")</f>
        <v/>
      </c>
    </row>
    <row r="108" spans="1:11">
      <c r="A108" t="str">
        <f>IF($K108="","",IFERROR(INDEX('Veri Merkezi'!$A$2:$A$1001,$K108),""))</f>
        <v/>
      </c>
      <c r="B108" t="str">
        <f>IF($K108="","",IFERROR(INDEX('Veri Merkezi'!$E$2:$E$1001,$K108),""))</f>
        <v/>
      </c>
      <c r="C108" t="str">
        <f>IF($K108="","",IFERROR(INDEX('Veri Merkezi'!$D$2:$D$1001,$K108),""))</f>
        <v/>
      </c>
      <c r="D108" t="str">
        <f>IF($K108="","",IFERROR(INDEX('Veri Merkezi'!$F$2:$F$1001,$K108),""))</f>
        <v/>
      </c>
      <c r="E108" s="2" t="str">
        <f>IF($K108="","",IFERROR(INDEX('Veri Merkezi'!$G$2:$G$1001,$K108),""))</f>
        <v/>
      </c>
      <c r="F108" t="str">
        <f>IF($K108="","",IFERROR(INDEX('Veri Merkezi'!$H$2:$H$1001,$K108),""))</f>
        <v/>
      </c>
      <c r="G108" t="str">
        <f>IF($K108="","",IFERROR(INDEX('Veri Merkezi'!$R$2:$R$1001,$K108),""))</f>
        <v/>
      </c>
      <c r="H108" t="str">
        <f>IF($K108="","",IFERROR(INDEX('Veri Merkezi'!$S$2:$S$1001,$K108),""))</f>
        <v/>
      </c>
      <c r="I108" s="2" t="str">
        <f>IF($K108="","",IFERROR(INDEX('Veri Merkezi'!$T$2:$T$1001,$K108),""))</f>
        <v/>
      </c>
      <c r="J108" t="str">
        <f>IF($K108="","",IFERROR(INDEX('Veri Merkezi'!$U$2:$U$1001,$K108),""))</f>
        <v/>
      </c>
      <c r="K108" t="str">
        <f>IFERROR(MATCH(ROWS($K$4:K108),'Veri Merkezi'!$X$2:$X$1001,0),"")</f>
        <v/>
      </c>
    </row>
    <row r="109" spans="1:11">
      <c r="A109" t="str">
        <f>IF($K109="","",IFERROR(INDEX('Veri Merkezi'!$A$2:$A$1001,$K109),""))</f>
        <v/>
      </c>
      <c r="B109" t="str">
        <f>IF($K109="","",IFERROR(INDEX('Veri Merkezi'!$E$2:$E$1001,$K109),""))</f>
        <v/>
      </c>
      <c r="C109" t="str">
        <f>IF($K109="","",IFERROR(INDEX('Veri Merkezi'!$D$2:$D$1001,$K109),""))</f>
        <v/>
      </c>
      <c r="D109" t="str">
        <f>IF($K109="","",IFERROR(INDEX('Veri Merkezi'!$F$2:$F$1001,$K109),""))</f>
        <v/>
      </c>
      <c r="E109" s="2" t="str">
        <f>IF($K109="","",IFERROR(INDEX('Veri Merkezi'!$G$2:$G$1001,$K109),""))</f>
        <v/>
      </c>
      <c r="F109" t="str">
        <f>IF($K109="","",IFERROR(INDEX('Veri Merkezi'!$H$2:$H$1001,$K109),""))</f>
        <v/>
      </c>
      <c r="G109" t="str">
        <f>IF($K109="","",IFERROR(INDEX('Veri Merkezi'!$R$2:$R$1001,$K109),""))</f>
        <v/>
      </c>
      <c r="H109" t="str">
        <f>IF($K109="","",IFERROR(INDEX('Veri Merkezi'!$S$2:$S$1001,$K109),""))</f>
        <v/>
      </c>
      <c r="I109" s="2" t="str">
        <f>IF($K109="","",IFERROR(INDEX('Veri Merkezi'!$T$2:$T$1001,$K109),""))</f>
        <v/>
      </c>
      <c r="J109" t="str">
        <f>IF($K109="","",IFERROR(INDEX('Veri Merkezi'!$U$2:$U$1001,$K109),""))</f>
        <v/>
      </c>
      <c r="K109" t="str">
        <f>IFERROR(MATCH(ROWS($K$4:K109),'Veri Merkezi'!$X$2:$X$1001,0),"")</f>
        <v/>
      </c>
    </row>
    <row r="110" spans="1:11">
      <c r="A110" t="str">
        <f>IF($K110="","",IFERROR(INDEX('Veri Merkezi'!$A$2:$A$1001,$K110),""))</f>
        <v/>
      </c>
      <c r="B110" t="str">
        <f>IF($K110="","",IFERROR(INDEX('Veri Merkezi'!$E$2:$E$1001,$K110),""))</f>
        <v/>
      </c>
      <c r="C110" t="str">
        <f>IF($K110="","",IFERROR(INDEX('Veri Merkezi'!$D$2:$D$1001,$K110),""))</f>
        <v/>
      </c>
      <c r="D110" t="str">
        <f>IF($K110="","",IFERROR(INDEX('Veri Merkezi'!$F$2:$F$1001,$K110),""))</f>
        <v/>
      </c>
      <c r="E110" s="2" t="str">
        <f>IF($K110="","",IFERROR(INDEX('Veri Merkezi'!$G$2:$G$1001,$K110),""))</f>
        <v/>
      </c>
      <c r="F110" t="str">
        <f>IF($K110="","",IFERROR(INDEX('Veri Merkezi'!$H$2:$H$1001,$K110),""))</f>
        <v/>
      </c>
      <c r="G110" t="str">
        <f>IF($K110="","",IFERROR(INDEX('Veri Merkezi'!$R$2:$R$1001,$K110),""))</f>
        <v/>
      </c>
      <c r="H110" t="str">
        <f>IF($K110="","",IFERROR(INDEX('Veri Merkezi'!$S$2:$S$1001,$K110),""))</f>
        <v/>
      </c>
      <c r="I110" s="2" t="str">
        <f>IF($K110="","",IFERROR(INDEX('Veri Merkezi'!$T$2:$T$1001,$K110),""))</f>
        <v/>
      </c>
      <c r="J110" t="str">
        <f>IF($K110="","",IFERROR(INDEX('Veri Merkezi'!$U$2:$U$1001,$K110),""))</f>
        <v/>
      </c>
      <c r="K110" t="str">
        <f>IFERROR(MATCH(ROWS($K$4:K110),'Veri Merkezi'!$X$2:$X$1001,0),"")</f>
        <v/>
      </c>
    </row>
    <row r="111" spans="1:11">
      <c r="A111" t="str">
        <f>IF($K111="","",IFERROR(INDEX('Veri Merkezi'!$A$2:$A$1001,$K111),""))</f>
        <v/>
      </c>
      <c r="B111" t="str">
        <f>IF($K111="","",IFERROR(INDEX('Veri Merkezi'!$E$2:$E$1001,$K111),""))</f>
        <v/>
      </c>
      <c r="C111" t="str">
        <f>IF($K111="","",IFERROR(INDEX('Veri Merkezi'!$D$2:$D$1001,$K111),""))</f>
        <v/>
      </c>
      <c r="D111" t="str">
        <f>IF($K111="","",IFERROR(INDEX('Veri Merkezi'!$F$2:$F$1001,$K111),""))</f>
        <v/>
      </c>
      <c r="E111" s="2" t="str">
        <f>IF($K111="","",IFERROR(INDEX('Veri Merkezi'!$G$2:$G$1001,$K111),""))</f>
        <v/>
      </c>
      <c r="F111" t="str">
        <f>IF($K111="","",IFERROR(INDEX('Veri Merkezi'!$H$2:$H$1001,$K111),""))</f>
        <v/>
      </c>
      <c r="G111" t="str">
        <f>IF($K111="","",IFERROR(INDEX('Veri Merkezi'!$R$2:$R$1001,$K111),""))</f>
        <v/>
      </c>
      <c r="H111" t="str">
        <f>IF($K111="","",IFERROR(INDEX('Veri Merkezi'!$S$2:$S$1001,$K111),""))</f>
        <v/>
      </c>
      <c r="I111" s="2" t="str">
        <f>IF($K111="","",IFERROR(INDEX('Veri Merkezi'!$T$2:$T$1001,$K111),""))</f>
        <v/>
      </c>
      <c r="J111" t="str">
        <f>IF($K111="","",IFERROR(INDEX('Veri Merkezi'!$U$2:$U$1001,$K111),""))</f>
        <v/>
      </c>
      <c r="K111" t="str">
        <f>IFERROR(MATCH(ROWS($K$4:K111),'Veri Merkezi'!$X$2:$X$1001,0),"")</f>
        <v/>
      </c>
    </row>
    <row r="112" spans="1:11">
      <c r="A112" t="str">
        <f>IF($K112="","",IFERROR(INDEX('Veri Merkezi'!$A$2:$A$1001,$K112),""))</f>
        <v/>
      </c>
      <c r="B112" t="str">
        <f>IF($K112="","",IFERROR(INDEX('Veri Merkezi'!$E$2:$E$1001,$K112),""))</f>
        <v/>
      </c>
      <c r="C112" t="str">
        <f>IF($K112="","",IFERROR(INDEX('Veri Merkezi'!$D$2:$D$1001,$K112),""))</f>
        <v/>
      </c>
      <c r="D112" t="str">
        <f>IF($K112="","",IFERROR(INDEX('Veri Merkezi'!$F$2:$F$1001,$K112),""))</f>
        <v/>
      </c>
      <c r="E112" s="2" t="str">
        <f>IF($K112="","",IFERROR(INDEX('Veri Merkezi'!$G$2:$G$1001,$K112),""))</f>
        <v/>
      </c>
      <c r="F112" t="str">
        <f>IF($K112="","",IFERROR(INDEX('Veri Merkezi'!$H$2:$H$1001,$K112),""))</f>
        <v/>
      </c>
      <c r="G112" t="str">
        <f>IF($K112="","",IFERROR(INDEX('Veri Merkezi'!$R$2:$R$1001,$K112),""))</f>
        <v/>
      </c>
      <c r="H112" t="str">
        <f>IF($K112="","",IFERROR(INDEX('Veri Merkezi'!$S$2:$S$1001,$K112),""))</f>
        <v/>
      </c>
      <c r="I112" s="2" t="str">
        <f>IF($K112="","",IFERROR(INDEX('Veri Merkezi'!$T$2:$T$1001,$K112),""))</f>
        <v/>
      </c>
      <c r="J112" t="str">
        <f>IF($K112="","",IFERROR(INDEX('Veri Merkezi'!$U$2:$U$1001,$K112),""))</f>
        <v/>
      </c>
      <c r="K112" t="str">
        <f>IFERROR(MATCH(ROWS($K$4:K112),'Veri Merkezi'!$X$2:$X$1001,0),"")</f>
        <v/>
      </c>
    </row>
    <row r="113" spans="1:11">
      <c r="A113" t="str">
        <f>IF($K113="","",IFERROR(INDEX('Veri Merkezi'!$A$2:$A$1001,$K113),""))</f>
        <v/>
      </c>
      <c r="B113" t="str">
        <f>IF($K113="","",IFERROR(INDEX('Veri Merkezi'!$E$2:$E$1001,$K113),""))</f>
        <v/>
      </c>
      <c r="C113" t="str">
        <f>IF($K113="","",IFERROR(INDEX('Veri Merkezi'!$D$2:$D$1001,$K113),""))</f>
        <v/>
      </c>
      <c r="D113" t="str">
        <f>IF($K113="","",IFERROR(INDEX('Veri Merkezi'!$F$2:$F$1001,$K113),""))</f>
        <v/>
      </c>
      <c r="E113" s="2" t="str">
        <f>IF($K113="","",IFERROR(INDEX('Veri Merkezi'!$G$2:$G$1001,$K113),""))</f>
        <v/>
      </c>
      <c r="F113" t="str">
        <f>IF($K113="","",IFERROR(INDEX('Veri Merkezi'!$H$2:$H$1001,$K113),""))</f>
        <v/>
      </c>
      <c r="G113" t="str">
        <f>IF($K113="","",IFERROR(INDEX('Veri Merkezi'!$R$2:$R$1001,$K113),""))</f>
        <v/>
      </c>
      <c r="H113" t="str">
        <f>IF($K113="","",IFERROR(INDEX('Veri Merkezi'!$S$2:$S$1001,$K113),""))</f>
        <v/>
      </c>
      <c r="I113" s="2" t="str">
        <f>IF($K113="","",IFERROR(INDEX('Veri Merkezi'!$T$2:$T$1001,$K113),""))</f>
        <v/>
      </c>
      <c r="J113" t="str">
        <f>IF($K113="","",IFERROR(INDEX('Veri Merkezi'!$U$2:$U$1001,$K113),""))</f>
        <v/>
      </c>
      <c r="K113" t="str">
        <f>IFERROR(MATCH(ROWS($K$4:K113),'Veri Merkezi'!$X$2:$X$1001,0),"")</f>
        <v/>
      </c>
    </row>
    <row r="114" spans="1:11">
      <c r="A114" t="str">
        <f>IF($K114="","",IFERROR(INDEX('Veri Merkezi'!$A$2:$A$1001,$K114),""))</f>
        <v/>
      </c>
      <c r="B114" t="str">
        <f>IF($K114="","",IFERROR(INDEX('Veri Merkezi'!$E$2:$E$1001,$K114),""))</f>
        <v/>
      </c>
      <c r="C114" t="str">
        <f>IF($K114="","",IFERROR(INDEX('Veri Merkezi'!$D$2:$D$1001,$K114),""))</f>
        <v/>
      </c>
      <c r="D114" t="str">
        <f>IF($K114="","",IFERROR(INDEX('Veri Merkezi'!$F$2:$F$1001,$K114),""))</f>
        <v/>
      </c>
      <c r="E114" s="2" t="str">
        <f>IF($K114="","",IFERROR(INDEX('Veri Merkezi'!$G$2:$G$1001,$K114),""))</f>
        <v/>
      </c>
      <c r="F114" t="str">
        <f>IF($K114="","",IFERROR(INDEX('Veri Merkezi'!$H$2:$H$1001,$K114),""))</f>
        <v/>
      </c>
      <c r="G114" t="str">
        <f>IF($K114="","",IFERROR(INDEX('Veri Merkezi'!$R$2:$R$1001,$K114),""))</f>
        <v/>
      </c>
      <c r="H114" t="str">
        <f>IF($K114="","",IFERROR(INDEX('Veri Merkezi'!$S$2:$S$1001,$K114),""))</f>
        <v/>
      </c>
      <c r="I114" s="2" t="str">
        <f>IF($K114="","",IFERROR(INDEX('Veri Merkezi'!$T$2:$T$1001,$K114),""))</f>
        <v/>
      </c>
      <c r="J114" t="str">
        <f>IF($K114="","",IFERROR(INDEX('Veri Merkezi'!$U$2:$U$1001,$K114),""))</f>
        <v/>
      </c>
      <c r="K114" t="str">
        <f>IFERROR(MATCH(ROWS($K$4:K114),'Veri Merkezi'!$X$2:$X$1001,0),"")</f>
        <v/>
      </c>
    </row>
    <row r="115" spans="1:11">
      <c r="A115" t="str">
        <f>IF($K115="","",IFERROR(INDEX('Veri Merkezi'!$A$2:$A$1001,$K115),""))</f>
        <v/>
      </c>
      <c r="B115" t="str">
        <f>IF($K115="","",IFERROR(INDEX('Veri Merkezi'!$E$2:$E$1001,$K115),""))</f>
        <v/>
      </c>
      <c r="C115" t="str">
        <f>IF($K115="","",IFERROR(INDEX('Veri Merkezi'!$D$2:$D$1001,$K115),""))</f>
        <v/>
      </c>
      <c r="D115" t="str">
        <f>IF($K115="","",IFERROR(INDEX('Veri Merkezi'!$F$2:$F$1001,$K115),""))</f>
        <v/>
      </c>
      <c r="E115" s="2" t="str">
        <f>IF($K115="","",IFERROR(INDEX('Veri Merkezi'!$G$2:$G$1001,$K115),""))</f>
        <v/>
      </c>
      <c r="F115" t="str">
        <f>IF($K115="","",IFERROR(INDEX('Veri Merkezi'!$H$2:$H$1001,$K115),""))</f>
        <v/>
      </c>
      <c r="G115" t="str">
        <f>IF($K115="","",IFERROR(INDEX('Veri Merkezi'!$R$2:$R$1001,$K115),""))</f>
        <v/>
      </c>
      <c r="H115" t="str">
        <f>IF($K115="","",IFERROR(INDEX('Veri Merkezi'!$S$2:$S$1001,$K115),""))</f>
        <v/>
      </c>
      <c r="I115" s="2" t="str">
        <f>IF($K115="","",IFERROR(INDEX('Veri Merkezi'!$T$2:$T$1001,$K115),""))</f>
        <v/>
      </c>
      <c r="J115" t="str">
        <f>IF($K115="","",IFERROR(INDEX('Veri Merkezi'!$U$2:$U$1001,$K115),""))</f>
        <v/>
      </c>
      <c r="K115" t="str">
        <f>IFERROR(MATCH(ROWS($K$4:K115),'Veri Merkezi'!$X$2:$X$1001,0),"")</f>
        <v/>
      </c>
    </row>
    <row r="116" spans="1:11">
      <c r="A116" t="str">
        <f>IF($K116="","",IFERROR(INDEX('Veri Merkezi'!$A$2:$A$1001,$K116),""))</f>
        <v/>
      </c>
      <c r="B116" t="str">
        <f>IF($K116="","",IFERROR(INDEX('Veri Merkezi'!$E$2:$E$1001,$K116),""))</f>
        <v/>
      </c>
      <c r="C116" t="str">
        <f>IF($K116="","",IFERROR(INDEX('Veri Merkezi'!$D$2:$D$1001,$K116),""))</f>
        <v/>
      </c>
      <c r="D116" t="str">
        <f>IF($K116="","",IFERROR(INDEX('Veri Merkezi'!$F$2:$F$1001,$K116),""))</f>
        <v/>
      </c>
      <c r="E116" s="2" t="str">
        <f>IF($K116="","",IFERROR(INDEX('Veri Merkezi'!$G$2:$G$1001,$K116),""))</f>
        <v/>
      </c>
      <c r="F116" t="str">
        <f>IF($K116="","",IFERROR(INDEX('Veri Merkezi'!$H$2:$H$1001,$K116),""))</f>
        <v/>
      </c>
      <c r="G116" t="str">
        <f>IF($K116="","",IFERROR(INDEX('Veri Merkezi'!$R$2:$R$1001,$K116),""))</f>
        <v/>
      </c>
      <c r="H116" t="str">
        <f>IF($K116="","",IFERROR(INDEX('Veri Merkezi'!$S$2:$S$1001,$K116),""))</f>
        <v/>
      </c>
      <c r="I116" s="2" t="str">
        <f>IF($K116="","",IFERROR(INDEX('Veri Merkezi'!$T$2:$T$1001,$K116),""))</f>
        <v/>
      </c>
      <c r="J116" t="str">
        <f>IF($K116="","",IFERROR(INDEX('Veri Merkezi'!$U$2:$U$1001,$K116),""))</f>
        <v/>
      </c>
      <c r="K116" t="str">
        <f>IFERROR(MATCH(ROWS($K$4:K116),'Veri Merkezi'!$X$2:$X$1001,0),"")</f>
        <v/>
      </c>
    </row>
    <row r="117" spans="1:11">
      <c r="A117" t="str">
        <f>IF($K117="","",IFERROR(INDEX('Veri Merkezi'!$A$2:$A$1001,$K117),""))</f>
        <v/>
      </c>
      <c r="B117" t="str">
        <f>IF($K117="","",IFERROR(INDEX('Veri Merkezi'!$E$2:$E$1001,$K117),""))</f>
        <v/>
      </c>
      <c r="C117" t="str">
        <f>IF($K117="","",IFERROR(INDEX('Veri Merkezi'!$D$2:$D$1001,$K117),""))</f>
        <v/>
      </c>
      <c r="D117" t="str">
        <f>IF($K117="","",IFERROR(INDEX('Veri Merkezi'!$F$2:$F$1001,$K117),""))</f>
        <v/>
      </c>
      <c r="E117" s="2" t="str">
        <f>IF($K117="","",IFERROR(INDEX('Veri Merkezi'!$G$2:$G$1001,$K117),""))</f>
        <v/>
      </c>
      <c r="F117" t="str">
        <f>IF($K117="","",IFERROR(INDEX('Veri Merkezi'!$H$2:$H$1001,$K117),""))</f>
        <v/>
      </c>
      <c r="G117" t="str">
        <f>IF($K117="","",IFERROR(INDEX('Veri Merkezi'!$R$2:$R$1001,$K117),""))</f>
        <v/>
      </c>
      <c r="H117" t="str">
        <f>IF($K117="","",IFERROR(INDEX('Veri Merkezi'!$S$2:$S$1001,$K117),""))</f>
        <v/>
      </c>
      <c r="I117" s="2" t="str">
        <f>IF($K117="","",IFERROR(INDEX('Veri Merkezi'!$T$2:$T$1001,$K117),""))</f>
        <v/>
      </c>
      <c r="J117" t="str">
        <f>IF($K117="","",IFERROR(INDEX('Veri Merkezi'!$U$2:$U$1001,$K117),""))</f>
        <v/>
      </c>
      <c r="K117" t="str">
        <f>IFERROR(MATCH(ROWS($K$4:K117),'Veri Merkezi'!$X$2:$X$1001,0),"")</f>
        <v/>
      </c>
    </row>
    <row r="118" spans="1:11">
      <c r="A118" t="str">
        <f>IF($K118="","",IFERROR(INDEX('Veri Merkezi'!$A$2:$A$1001,$K118),""))</f>
        <v/>
      </c>
      <c r="B118" t="str">
        <f>IF($K118="","",IFERROR(INDEX('Veri Merkezi'!$E$2:$E$1001,$K118),""))</f>
        <v/>
      </c>
      <c r="C118" t="str">
        <f>IF($K118="","",IFERROR(INDEX('Veri Merkezi'!$D$2:$D$1001,$K118),""))</f>
        <v/>
      </c>
      <c r="D118" t="str">
        <f>IF($K118="","",IFERROR(INDEX('Veri Merkezi'!$F$2:$F$1001,$K118),""))</f>
        <v/>
      </c>
      <c r="E118" s="2" t="str">
        <f>IF($K118="","",IFERROR(INDEX('Veri Merkezi'!$G$2:$G$1001,$K118),""))</f>
        <v/>
      </c>
      <c r="F118" t="str">
        <f>IF($K118="","",IFERROR(INDEX('Veri Merkezi'!$H$2:$H$1001,$K118),""))</f>
        <v/>
      </c>
      <c r="G118" t="str">
        <f>IF($K118="","",IFERROR(INDEX('Veri Merkezi'!$R$2:$R$1001,$K118),""))</f>
        <v/>
      </c>
      <c r="H118" t="str">
        <f>IF($K118="","",IFERROR(INDEX('Veri Merkezi'!$S$2:$S$1001,$K118),""))</f>
        <v/>
      </c>
      <c r="I118" s="2" t="str">
        <f>IF($K118="","",IFERROR(INDEX('Veri Merkezi'!$T$2:$T$1001,$K118),""))</f>
        <v/>
      </c>
      <c r="J118" t="str">
        <f>IF($K118="","",IFERROR(INDEX('Veri Merkezi'!$U$2:$U$1001,$K118),""))</f>
        <v/>
      </c>
      <c r="K118" t="str">
        <f>IFERROR(MATCH(ROWS($K$4:K118),'Veri Merkezi'!$X$2:$X$1001,0),"")</f>
        <v/>
      </c>
    </row>
    <row r="119" spans="1:11">
      <c r="A119" t="str">
        <f>IF($K119="","",IFERROR(INDEX('Veri Merkezi'!$A$2:$A$1001,$K119),""))</f>
        <v/>
      </c>
      <c r="B119" t="str">
        <f>IF($K119="","",IFERROR(INDEX('Veri Merkezi'!$E$2:$E$1001,$K119),""))</f>
        <v/>
      </c>
      <c r="C119" t="str">
        <f>IF($K119="","",IFERROR(INDEX('Veri Merkezi'!$D$2:$D$1001,$K119),""))</f>
        <v/>
      </c>
      <c r="D119" t="str">
        <f>IF($K119="","",IFERROR(INDEX('Veri Merkezi'!$F$2:$F$1001,$K119),""))</f>
        <v/>
      </c>
      <c r="E119" s="2" t="str">
        <f>IF($K119="","",IFERROR(INDEX('Veri Merkezi'!$G$2:$G$1001,$K119),""))</f>
        <v/>
      </c>
      <c r="F119" t="str">
        <f>IF($K119="","",IFERROR(INDEX('Veri Merkezi'!$H$2:$H$1001,$K119),""))</f>
        <v/>
      </c>
      <c r="G119" t="str">
        <f>IF($K119="","",IFERROR(INDEX('Veri Merkezi'!$R$2:$R$1001,$K119),""))</f>
        <v/>
      </c>
      <c r="H119" t="str">
        <f>IF($K119="","",IFERROR(INDEX('Veri Merkezi'!$S$2:$S$1001,$K119),""))</f>
        <v/>
      </c>
      <c r="I119" s="2" t="str">
        <f>IF($K119="","",IFERROR(INDEX('Veri Merkezi'!$T$2:$T$1001,$K119),""))</f>
        <v/>
      </c>
      <c r="J119" t="str">
        <f>IF($K119="","",IFERROR(INDEX('Veri Merkezi'!$U$2:$U$1001,$K119),""))</f>
        <v/>
      </c>
      <c r="K119" t="str">
        <f>IFERROR(MATCH(ROWS($K$4:K119),'Veri Merkezi'!$X$2:$X$1001,0),"")</f>
        <v/>
      </c>
    </row>
    <row r="120" spans="1:11">
      <c r="A120" t="str">
        <f>IF($K120="","",IFERROR(INDEX('Veri Merkezi'!$A$2:$A$1001,$K120),""))</f>
        <v/>
      </c>
      <c r="B120" t="str">
        <f>IF($K120="","",IFERROR(INDEX('Veri Merkezi'!$E$2:$E$1001,$K120),""))</f>
        <v/>
      </c>
      <c r="C120" t="str">
        <f>IF($K120="","",IFERROR(INDEX('Veri Merkezi'!$D$2:$D$1001,$K120),""))</f>
        <v/>
      </c>
      <c r="D120" t="str">
        <f>IF($K120="","",IFERROR(INDEX('Veri Merkezi'!$F$2:$F$1001,$K120),""))</f>
        <v/>
      </c>
      <c r="E120" s="2" t="str">
        <f>IF($K120="","",IFERROR(INDEX('Veri Merkezi'!$G$2:$G$1001,$K120),""))</f>
        <v/>
      </c>
      <c r="F120" t="str">
        <f>IF($K120="","",IFERROR(INDEX('Veri Merkezi'!$H$2:$H$1001,$K120),""))</f>
        <v/>
      </c>
      <c r="G120" t="str">
        <f>IF($K120="","",IFERROR(INDEX('Veri Merkezi'!$R$2:$R$1001,$K120),""))</f>
        <v/>
      </c>
      <c r="H120" t="str">
        <f>IF($K120="","",IFERROR(INDEX('Veri Merkezi'!$S$2:$S$1001,$K120),""))</f>
        <v/>
      </c>
      <c r="I120" s="2" t="str">
        <f>IF($K120="","",IFERROR(INDEX('Veri Merkezi'!$T$2:$T$1001,$K120),""))</f>
        <v/>
      </c>
      <c r="J120" t="str">
        <f>IF($K120="","",IFERROR(INDEX('Veri Merkezi'!$U$2:$U$1001,$K120),""))</f>
        <v/>
      </c>
      <c r="K120" t="str">
        <f>IFERROR(MATCH(ROWS($K$4:K120),'Veri Merkezi'!$X$2:$X$1001,0),"")</f>
        <v/>
      </c>
    </row>
    <row r="121" spans="1:11">
      <c r="A121" t="str">
        <f>IF($K121="","",IFERROR(INDEX('Veri Merkezi'!$A$2:$A$1001,$K121),""))</f>
        <v/>
      </c>
      <c r="B121" t="str">
        <f>IF($K121="","",IFERROR(INDEX('Veri Merkezi'!$E$2:$E$1001,$K121),""))</f>
        <v/>
      </c>
      <c r="C121" t="str">
        <f>IF($K121="","",IFERROR(INDEX('Veri Merkezi'!$D$2:$D$1001,$K121),""))</f>
        <v/>
      </c>
      <c r="D121" t="str">
        <f>IF($K121="","",IFERROR(INDEX('Veri Merkezi'!$F$2:$F$1001,$K121),""))</f>
        <v/>
      </c>
      <c r="E121" s="2" t="str">
        <f>IF($K121="","",IFERROR(INDEX('Veri Merkezi'!$G$2:$G$1001,$K121),""))</f>
        <v/>
      </c>
      <c r="F121" t="str">
        <f>IF($K121="","",IFERROR(INDEX('Veri Merkezi'!$H$2:$H$1001,$K121),""))</f>
        <v/>
      </c>
      <c r="G121" t="str">
        <f>IF($K121="","",IFERROR(INDEX('Veri Merkezi'!$R$2:$R$1001,$K121),""))</f>
        <v/>
      </c>
      <c r="H121" t="str">
        <f>IF($K121="","",IFERROR(INDEX('Veri Merkezi'!$S$2:$S$1001,$K121),""))</f>
        <v/>
      </c>
      <c r="I121" s="2" t="str">
        <f>IF($K121="","",IFERROR(INDEX('Veri Merkezi'!$T$2:$T$1001,$K121),""))</f>
        <v/>
      </c>
      <c r="J121" t="str">
        <f>IF($K121="","",IFERROR(INDEX('Veri Merkezi'!$U$2:$U$1001,$K121),""))</f>
        <v/>
      </c>
      <c r="K121" t="str">
        <f>IFERROR(MATCH(ROWS($K$4:K121),'Veri Merkezi'!$X$2:$X$1001,0),"")</f>
        <v/>
      </c>
    </row>
    <row r="122" spans="1:11">
      <c r="A122" t="str">
        <f>IF($K122="","",IFERROR(INDEX('Veri Merkezi'!$A$2:$A$1001,$K122),""))</f>
        <v/>
      </c>
      <c r="B122" t="str">
        <f>IF($K122="","",IFERROR(INDEX('Veri Merkezi'!$E$2:$E$1001,$K122),""))</f>
        <v/>
      </c>
      <c r="C122" t="str">
        <f>IF($K122="","",IFERROR(INDEX('Veri Merkezi'!$D$2:$D$1001,$K122),""))</f>
        <v/>
      </c>
      <c r="D122" t="str">
        <f>IF($K122="","",IFERROR(INDEX('Veri Merkezi'!$F$2:$F$1001,$K122),""))</f>
        <v/>
      </c>
      <c r="E122" s="2" t="str">
        <f>IF($K122="","",IFERROR(INDEX('Veri Merkezi'!$G$2:$G$1001,$K122),""))</f>
        <v/>
      </c>
      <c r="F122" t="str">
        <f>IF($K122="","",IFERROR(INDEX('Veri Merkezi'!$H$2:$H$1001,$K122),""))</f>
        <v/>
      </c>
      <c r="G122" t="str">
        <f>IF($K122="","",IFERROR(INDEX('Veri Merkezi'!$R$2:$R$1001,$K122),""))</f>
        <v/>
      </c>
      <c r="H122" t="str">
        <f>IF($K122="","",IFERROR(INDEX('Veri Merkezi'!$S$2:$S$1001,$K122),""))</f>
        <v/>
      </c>
      <c r="I122" s="2" t="str">
        <f>IF($K122="","",IFERROR(INDEX('Veri Merkezi'!$T$2:$T$1001,$K122),""))</f>
        <v/>
      </c>
      <c r="J122" t="str">
        <f>IF($K122="","",IFERROR(INDEX('Veri Merkezi'!$U$2:$U$1001,$K122),""))</f>
        <v/>
      </c>
      <c r="K122" t="str">
        <f>IFERROR(MATCH(ROWS($K$4:K122),'Veri Merkezi'!$X$2:$X$1001,0),"")</f>
        <v/>
      </c>
    </row>
    <row r="123" spans="1:11">
      <c r="A123" t="str">
        <f>IF($K123="","",IFERROR(INDEX('Veri Merkezi'!$A$2:$A$1001,$K123),""))</f>
        <v/>
      </c>
      <c r="B123" t="str">
        <f>IF($K123="","",IFERROR(INDEX('Veri Merkezi'!$E$2:$E$1001,$K123),""))</f>
        <v/>
      </c>
      <c r="C123" t="str">
        <f>IF($K123="","",IFERROR(INDEX('Veri Merkezi'!$D$2:$D$1001,$K123),""))</f>
        <v/>
      </c>
      <c r="D123" t="str">
        <f>IF($K123="","",IFERROR(INDEX('Veri Merkezi'!$F$2:$F$1001,$K123),""))</f>
        <v/>
      </c>
      <c r="E123" s="2" t="str">
        <f>IF($K123="","",IFERROR(INDEX('Veri Merkezi'!$G$2:$G$1001,$K123),""))</f>
        <v/>
      </c>
      <c r="F123" t="str">
        <f>IF($K123="","",IFERROR(INDEX('Veri Merkezi'!$H$2:$H$1001,$K123),""))</f>
        <v/>
      </c>
      <c r="G123" t="str">
        <f>IF($K123="","",IFERROR(INDEX('Veri Merkezi'!$R$2:$R$1001,$K123),""))</f>
        <v/>
      </c>
      <c r="H123" t="str">
        <f>IF($K123="","",IFERROR(INDEX('Veri Merkezi'!$S$2:$S$1001,$K123),""))</f>
        <v/>
      </c>
      <c r="I123" s="2" t="str">
        <f>IF($K123="","",IFERROR(INDEX('Veri Merkezi'!$T$2:$T$1001,$K123),""))</f>
        <v/>
      </c>
      <c r="J123" t="str">
        <f>IF($K123="","",IFERROR(INDEX('Veri Merkezi'!$U$2:$U$1001,$K123),""))</f>
        <v/>
      </c>
      <c r="K123" t="str">
        <f>IFERROR(MATCH(ROWS($K$4:K123),'Veri Merkezi'!$X$2:$X$1001,0),"")</f>
        <v/>
      </c>
    </row>
    <row r="124" spans="1:11">
      <c r="A124" t="str">
        <f>IF($K124="","",IFERROR(INDEX('Veri Merkezi'!$A$2:$A$1001,$K124),""))</f>
        <v/>
      </c>
      <c r="B124" t="str">
        <f>IF($K124="","",IFERROR(INDEX('Veri Merkezi'!$E$2:$E$1001,$K124),""))</f>
        <v/>
      </c>
      <c r="C124" t="str">
        <f>IF($K124="","",IFERROR(INDEX('Veri Merkezi'!$D$2:$D$1001,$K124),""))</f>
        <v/>
      </c>
      <c r="D124" t="str">
        <f>IF($K124="","",IFERROR(INDEX('Veri Merkezi'!$F$2:$F$1001,$K124),""))</f>
        <v/>
      </c>
      <c r="E124" s="2" t="str">
        <f>IF($K124="","",IFERROR(INDEX('Veri Merkezi'!$G$2:$G$1001,$K124),""))</f>
        <v/>
      </c>
      <c r="F124" t="str">
        <f>IF($K124="","",IFERROR(INDEX('Veri Merkezi'!$H$2:$H$1001,$K124),""))</f>
        <v/>
      </c>
      <c r="G124" t="str">
        <f>IF($K124="","",IFERROR(INDEX('Veri Merkezi'!$R$2:$R$1001,$K124),""))</f>
        <v/>
      </c>
      <c r="H124" t="str">
        <f>IF($K124="","",IFERROR(INDEX('Veri Merkezi'!$S$2:$S$1001,$K124),""))</f>
        <v/>
      </c>
      <c r="I124" s="2" t="str">
        <f>IF($K124="","",IFERROR(INDEX('Veri Merkezi'!$T$2:$T$1001,$K124),""))</f>
        <v/>
      </c>
      <c r="J124" t="str">
        <f>IF($K124="","",IFERROR(INDEX('Veri Merkezi'!$U$2:$U$1001,$K124),""))</f>
        <v/>
      </c>
      <c r="K124" t="str">
        <f>IFERROR(MATCH(ROWS($K$4:K124),'Veri Merkezi'!$X$2:$X$1001,0),"")</f>
        <v/>
      </c>
    </row>
    <row r="125" spans="1:11">
      <c r="A125" t="str">
        <f>IF($K125="","",IFERROR(INDEX('Veri Merkezi'!$A$2:$A$1001,$K125),""))</f>
        <v/>
      </c>
      <c r="B125" t="str">
        <f>IF($K125="","",IFERROR(INDEX('Veri Merkezi'!$E$2:$E$1001,$K125),""))</f>
        <v/>
      </c>
      <c r="C125" t="str">
        <f>IF($K125="","",IFERROR(INDEX('Veri Merkezi'!$D$2:$D$1001,$K125),""))</f>
        <v/>
      </c>
      <c r="D125" t="str">
        <f>IF($K125="","",IFERROR(INDEX('Veri Merkezi'!$F$2:$F$1001,$K125),""))</f>
        <v/>
      </c>
      <c r="E125" s="2" t="str">
        <f>IF($K125="","",IFERROR(INDEX('Veri Merkezi'!$G$2:$G$1001,$K125),""))</f>
        <v/>
      </c>
      <c r="F125" t="str">
        <f>IF($K125="","",IFERROR(INDEX('Veri Merkezi'!$H$2:$H$1001,$K125),""))</f>
        <v/>
      </c>
      <c r="G125" t="str">
        <f>IF($K125="","",IFERROR(INDEX('Veri Merkezi'!$R$2:$R$1001,$K125),""))</f>
        <v/>
      </c>
      <c r="H125" t="str">
        <f>IF($K125="","",IFERROR(INDEX('Veri Merkezi'!$S$2:$S$1001,$K125),""))</f>
        <v/>
      </c>
      <c r="I125" s="2" t="str">
        <f>IF($K125="","",IFERROR(INDEX('Veri Merkezi'!$T$2:$T$1001,$K125),""))</f>
        <v/>
      </c>
      <c r="J125" t="str">
        <f>IF($K125="","",IFERROR(INDEX('Veri Merkezi'!$U$2:$U$1001,$K125),""))</f>
        <v/>
      </c>
      <c r="K125" t="str">
        <f>IFERROR(MATCH(ROWS($K$4:K125),'Veri Merkezi'!$X$2:$X$1001,0),"")</f>
        <v/>
      </c>
    </row>
    <row r="126" spans="1:11">
      <c r="A126" t="str">
        <f>IF($K126="","",IFERROR(INDEX('Veri Merkezi'!$A$2:$A$1001,$K126),""))</f>
        <v/>
      </c>
      <c r="B126" t="str">
        <f>IF($K126="","",IFERROR(INDEX('Veri Merkezi'!$E$2:$E$1001,$K126),""))</f>
        <v/>
      </c>
      <c r="C126" t="str">
        <f>IF($K126="","",IFERROR(INDEX('Veri Merkezi'!$D$2:$D$1001,$K126),""))</f>
        <v/>
      </c>
      <c r="D126" t="str">
        <f>IF($K126="","",IFERROR(INDEX('Veri Merkezi'!$F$2:$F$1001,$K126),""))</f>
        <v/>
      </c>
      <c r="E126" s="2" t="str">
        <f>IF($K126="","",IFERROR(INDEX('Veri Merkezi'!$G$2:$G$1001,$K126),""))</f>
        <v/>
      </c>
      <c r="F126" t="str">
        <f>IF($K126="","",IFERROR(INDEX('Veri Merkezi'!$H$2:$H$1001,$K126),""))</f>
        <v/>
      </c>
      <c r="G126" t="str">
        <f>IF($K126="","",IFERROR(INDEX('Veri Merkezi'!$R$2:$R$1001,$K126),""))</f>
        <v/>
      </c>
      <c r="H126" t="str">
        <f>IF($K126="","",IFERROR(INDEX('Veri Merkezi'!$S$2:$S$1001,$K126),""))</f>
        <v/>
      </c>
      <c r="I126" s="2" t="str">
        <f>IF($K126="","",IFERROR(INDEX('Veri Merkezi'!$T$2:$T$1001,$K126),""))</f>
        <v/>
      </c>
      <c r="J126" t="str">
        <f>IF($K126="","",IFERROR(INDEX('Veri Merkezi'!$U$2:$U$1001,$K126),""))</f>
        <v/>
      </c>
      <c r="K126" t="str">
        <f>IFERROR(MATCH(ROWS($K$4:K126),'Veri Merkezi'!$X$2:$X$1001,0),"")</f>
        <v/>
      </c>
    </row>
    <row r="127" spans="1:11">
      <c r="A127" t="str">
        <f>IF($K127="","",IFERROR(INDEX('Veri Merkezi'!$A$2:$A$1001,$K127),""))</f>
        <v/>
      </c>
      <c r="B127" t="str">
        <f>IF($K127="","",IFERROR(INDEX('Veri Merkezi'!$E$2:$E$1001,$K127),""))</f>
        <v/>
      </c>
      <c r="C127" t="str">
        <f>IF($K127="","",IFERROR(INDEX('Veri Merkezi'!$D$2:$D$1001,$K127),""))</f>
        <v/>
      </c>
      <c r="D127" t="str">
        <f>IF($K127="","",IFERROR(INDEX('Veri Merkezi'!$F$2:$F$1001,$K127),""))</f>
        <v/>
      </c>
      <c r="E127" s="2" t="str">
        <f>IF($K127="","",IFERROR(INDEX('Veri Merkezi'!$G$2:$G$1001,$K127),""))</f>
        <v/>
      </c>
      <c r="F127" t="str">
        <f>IF($K127="","",IFERROR(INDEX('Veri Merkezi'!$H$2:$H$1001,$K127),""))</f>
        <v/>
      </c>
      <c r="G127" t="str">
        <f>IF($K127="","",IFERROR(INDEX('Veri Merkezi'!$R$2:$R$1001,$K127),""))</f>
        <v/>
      </c>
      <c r="H127" t="str">
        <f>IF($K127="","",IFERROR(INDEX('Veri Merkezi'!$S$2:$S$1001,$K127),""))</f>
        <v/>
      </c>
      <c r="I127" s="2" t="str">
        <f>IF($K127="","",IFERROR(INDEX('Veri Merkezi'!$T$2:$T$1001,$K127),""))</f>
        <v/>
      </c>
      <c r="J127" t="str">
        <f>IF($K127="","",IFERROR(INDEX('Veri Merkezi'!$U$2:$U$1001,$K127),""))</f>
        <v/>
      </c>
      <c r="K127" t="str">
        <f>IFERROR(MATCH(ROWS($K$4:K127),'Veri Merkezi'!$X$2:$X$1001,0),"")</f>
        <v/>
      </c>
    </row>
    <row r="128" spans="1:11">
      <c r="A128" t="str">
        <f>IF($K128="","",IFERROR(INDEX('Veri Merkezi'!$A$2:$A$1001,$K128),""))</f>
        <v/>
      </c>
      <c r="B128" t="str">
        <f>IF($K128="","",IFERROR(INDEX('Veri Merkezi'!$E$2:$E$1001,$K128),""))</f>
        <v/>
      </c>
      <c r="C128" t="str">
        <f>IF($K128="","",IFERROR(INDEX('Veri Merkezi'!$D$2:$D$1001,$K128),""))</f>
        <v/>
      </c>
      <c r="D128" t="str">
        <f>IF($K128="","",IFERROR(INDEX('Veri Merkezi'!$F$2:$F$1001,$K128),""))</f>
        <v/>
      </c>
      <c r="E128" s="2" t="str">
        <f>IF($K128="","",IFERROR(INDEX('Veri Merkezi'!$G$2:$G$1001,$K128),""))</f>
        <v/>
      </c>
      <c r="F128" t="str">
        <f>IF($K128="","",IFERROR(INDEX('Veri Merkezi'!$H$2:$H$1001,$K128),""))</f>
        <v/>
      </c>
      <c r="G128" t="str">
        <f>IF($K128="","",IFERROR(INDEX('Veri Merkezi'!$R$2:$R$1001,$K128),""))</f>
        <v/>
      </c>
      <c r="H128" t="str">
        <f>IF($K128="","",IFERROR(INDEX('Veri Merkezi'!$S$2:$S$1001,$K128),""))</f>
        <v/>
      </c>
      <c r="I128" s="2" t="str">
        <f>IF($K128="","",IFERROR(INDEX('Veri Merkezi'!$T$2:$T$1001,$K128),""))</f>
        <v/>
      </c>
      <c r="J128" t="str">
        <f>IF($K128="","",IFERROR(INDEX('Veri Merkezi'!$U$2:$U$1001,$K128),""))</f>
        <v/>
      </c>
      <c r="K128" t="str">
        <f>IFERROR(MATCH(ROWS($K$4:K128),'Veri Merkezi'!$X$2:$X$1001,0),"")</f>
        <v/>
      </c>
    </row>
    <row r="129" spans="1:11">
      <c r="A129" t="str">
        <f>IF($K129="","",IFERROR(INDEX('Veri Merkezi'!$A$2:$A$1001,$K129),""))</f>
        <v/>
      </c>
      <c r="B129" t="str">
        <f>IF($K129="","",IFERROR(INDEX('Veri Merkezi'!$E$2:$E$1001,$K129),""))</f>
        <v/>
      </c>
      <c r="C129" t="str">
        <f>IF($K129="","",IFERROR(INDEX('Veri Merkezi'!$D$2:$D$1001,$K129),""))</f>
        <v/>
      </c>
      <c r="D129" t="str">
        <f>IF($K129="","",IFERROR(INDEX('Veri Merkezi'!$F$2:$F$1001,$K129),""))</f>
        <v/>
      </c>
      <c r="E129" s="2" t="str">
        <f>IF($K129="","",IFERROR(INDEX('Veri Merkezi'!$G$2:$G$1001,$K129),""))</f>
        <v/>
      </c>
      <c r="F129" t="str">
        <f>IF($K129="","",IFERROR(INDEX('Veri Merkezi'!$H$2:$H$1001,$K129),""))</f>
        <v/>
      </c>
      <c r="G129" t="str">
        <f>IF($K129="","",IFERROR(INDEX('Veri Merkezi'!$R$2:$R$1001,$K129),""))</f>
        <v/>
      </c>
      <c r="H129" t="str">
        <f>IF($K129="","",IFERROR(INDEX('Veri Merkezi'!$S$2:$S$1001,$K129),""))</f>
        <v/>
      </c>
      <c r="I129" s="2" t="str">
        <f>IF($K129="","",IFERROR(INDEX('Veri Merkezi'!$T$2:$T$1001,$K129),""))</f>
        <v/>
      </c>
      <c r="J129" t="str">
        <f>IF($K129="","",IFERROR(INDEX('Veri Merkezi'!$U$2:$U$1001,$K129),""))</f>
        <v/>
      </c>
      <c r="K129" t="str">
        <f>IFERROR(MATCH(ROWS($K$4:K129),'Veri Merkezi'!$X$2:$X$1001,0),"")</f>
        <v/>
      </c>
    </row>
    <row r="130" spans="1:11">
      <c r="A130" t="str">
        <f>IF($K130="","",IFERROR(INDEX('Veri Merkezi'!$A$2:$A$1001,$K130),""))</f>
        <v/>
      </c>
      <c r="B130" t="str">
        <f>IF($K130="","",IFERROR(INDEX('Veri Merkezi'!$E$2:$E$1001,$K130),""))</f>
        <v/>
      </c>
      <c r="C130" t="str">
        <f>IF($K130="","",IFERROR(INDEX('Veri Merkezi'!$D$2:$D$1001,$K130),""))</f>
        <v/>
      </c>
      <c r="D130" t="str">
        <f>IF($K130="","",IFERROR(INDEX('Veri Merkezi'!$F$2:$F$1001,$K130),""))</f>
        <v/>
      </c>
      <c r="E130" s="2" t="str">
        <f>IF($K130="","",IFERROR(INDEX('Veri Merkezi'!$G$2:$G$1001,$K130),""))</f>
        <v/>
      </c>
      <c r="F130" t="str">
        <f>IF($K130="","",IFERROR(INDEX('Veri Merkezi'!$H$2:$H$1001,$K130),""))</f>
        <v/>
      </c>
      <c r="G130" t="str">
        <f>IF($K130="","",IFERROR(INDEX('Veri Merkezi'!$R$2:$R$1001,$K130),""))</f>
        <v/>
      </c>
      <c r="H130" t="str">
        <f>IF($K130="","",IFERROR(INDEX('Veri Merkezi'!$S$2:$S$1001,$K130),""))</f>
        <v/>
      </c>
      <c r="I130" s="2" t="str">
        <f>IF($K130="","",IFERROR(INDEX('Veri Merkezi'!$T$2:$T$1001,$K130),""))</f>
        <v/>
      </c>
      <c r="J130" t="str">
        <f>IF($K130="","",IFERROR(INDEX('Veri Merkezi'!$U$2:$U$1001,$K130),""))</f>
        <v/>
      </c>
      <c r="K130" t="str">
        <f>IFERROR(MATCH(ROWS($K$4:K130),'Veri Merkezi'!$X$2:$X$1001,0),"")</f>
        <v/>
      </c>
    </row>
    <row r="131" spans="1:11">
      <c r="A131" t="str">
        <f>IF($K131="","",IFERROR(INDEX('Veri Merkezi'!$A$2:$A$1001,$K131),""))</f>
        <v/>
      </c>
      <c r="B131" t="str">
        <f>IF($K131="","",IFERROR(INDEX('Veri Merkezi'!$E$2:$E$1001,$K131),""))</f>
        <v/>
      </c>
      <c r="C131" t="str">
        <f>IF($K131="","",IFERROR(INDEX('Veri Merkezi'!$D$2:$D$1001,$K131),""))</f>
        <v/>
      </c>
      <c r="D131" t="str">
        <f>IF($K131="","",IFERROR(INDEX('Veri Merkezi'!$F$2:$F$1001,$K131),""))</f>
        <v/>
      </c>
      <c r="E131" s="2" t="str">
        <f>IF($K131="","",IFERROR(INDEX('Veri Merkezi'!$G$2:$G$1001,$K131),""))</f>
        <v/>
      </c>
      <c r="F131" t="str">
        <f>IF($K131="","",IFERROR(INDEX('Veri Merkezi'!$H$2:$H$1001,$K131),""))</f>
        <v/>
      </c>
      <c r="G131" t="str">
        <f>IF($K131="","",IFERROR(INDEX('Veri Merkezi'!$R$2:$R$1001,$K131),""))</f>
        <v/>
      </c>
      <c r="H131" t="str">
        <f>IF($K131="","",IFERROR(INDEX('Veri Merkezi'!$S$2:$S$1001,$K131),""))</f>
        <v/>
      </c>
      <c r="I131" s="2" t="str">
        <f>IF($K131="","",IFERROR(INDEX('Veri Merkezi'!$T$2:$T$1001,$K131),""))</f>
        <v/>
      </c>
      <c r="J131" t="str">
        <f>IF($K131="","",IFERROR(INDEX('Veri Merkezi'!$U$2:$U$1001,$K131),""))</f>
        <v/>
      </c>
      <c r="K131" t="str">
        <f>IFERROR(MATCH(ROWS($K$4:K131),'Veri Merkezi'!$X$2:$X$1001,0),"")</f>
        <v/>
      </c>
    </row>
    <row r="132" spans="1:11">
      <c r="A132" t="str">
        <f>IF($K132="","",IFERROR(INDEX('Veri Merkezi'!$A$2:$A$1001,$K132),""))</f>
        <v/>
      </c>
      <c r="B132" t="str">
        <f>IF($K132="","",IFERROR(INDEX('Veri Merkezi'!$E$2:$E$1001,$K132),""))</f>
        <v/>
      </c>
      <c r="C132" t="str">
        <f>IF($K132="","",IFERROR(INDEX('Veri Merkezi'!$D$2:$D$1001,$K132),""))</f>
        <v/>
      </c>
      <c r="D132" t="str">
        <f>IF($K132="","",IFERROR(INDEX('Veri Merkezi'!$F$2:$F$1001,$K132),""))</f>
        <v/>
      </c>
      <c r="E132" s="2" t="str">
        <f>IF($K132="","",IFERROR(INDEX('Veri Merkezi'!$G$2:$G$1001,$K132),""))</f>
        <v/>
      </c>
      <c r="F132" t="str">
        <f>IF($K132="","",IFERROR(INDEX('Veri Merkezi'!$H$2:$H$1001,$K132),""))</f>
        <v/>
      </c>
      <c r="G132" t="str">
        <f>IF($K132="","",IFERROR(INDEX('Veri Merkezi'!$R$2:$R$1001,$K132),""))</f>
        <v/>
      </c>
      <c r="H132" t="str">
        <f>IF($K132="","",IFERROR(INDEX('Veri Merkezi'!$S$2:$S$1001,$K132),""))</f>
        <v/>
      </c>
      <c r="I132" s="2" t="str">
        <f>IF($K132="","",IFERROR(INDEX('Veri Merkezi'!$T$2:$T$1001,$K132),""))</f>
        <v/>
      </c>
      <c r="J132" t="str">
        <f>IF($K132="","",IFERROR(INDEX('Veri Merkezi'!$U$2:$U$1001,$K132),""))</f>
        <v/>
      </c>
      <c r="K132" t="str">
        <f>IFERROR(MATCH(ROWS($K$4:K132),'Veri Merkezi'!$X$2:$X$1001,0),"")</f>
        <v/>
      </c>
    </row>
    <row r="133" spans="1:11">
      <c r="A133" t="str">
        <f>IF($K133="","",IFERROR(INDEX('Veri Merkezi'!$A$2:$A$1001,$K133),""))</f>
        <v/>
      </c>
      <c r="B133" t="str">
        <f>IF($K133="","",IFERROR(INDEX('Veri Merkezi'!$E$2:$E$1001,$K133),""))</f>
        <v/>
      </c>
      <c r="C133" t="str">
        <f>IF($K133="","",IFERROR(INDEX('Veri Merkezi'!$D$2:$D$1001,$K133),""))</f>
        <v/>
      </c>
      <c r="D133" t="str">
        <f>IF($K133="","",IFERROR(INDEX('Veri Merkezi'!$F$2:$F$1001,$K133),""))</f>
        <v/>
      </c>
      <c r="E133" s="2" t="str">
        <f>IF($K133="","",IFERROR(INDEX('Veri Merkezi'!$G$2:$G$1001,$K133),""))</f>
        <v/>
      </c>
      <c r="F133" t="str">
        <f>IF($K133="","",IFERROR(INDEX('Veri Merkezi'!$H$2:$H$1001,$K133),""))</f>
        <v/>
      </c>
      <c r="G133" t="str">
        <f>IF($K133="","",IFERROR(INDEX('Veri Merkezi'!$R$2:$R$1001,$K133),""))</f>
        <v/>
      </c>
      <c r="H133" t="str">
        <f>IF($K133="","",IFERROR(INDEX('Veri Merkezi'!$S$2:$S$1001,$K133),""))</f>
        <v/>
      </c>
      <c r="I133" s="2" t="str">
        <f>IF($K133="","",IFERROR(INDEX('Veri Merkezi'!$T$2:$T$1001,$K133),""))</f>
        <v/>
      </c>
      <c r="J133" t="str">
        <f>IF($K133="","",IFERROR(INDEX('Veri Merkezi'!$U$2:$U$1001,$K133),""))</f>
        <v/>
      </c>
      <c r="K133" t="str">
        <f>IFERROR(MATCH(ROWS($K$4:K133),'Veri Merkezi'!$X$2:$X$1001,0),"")</f>
        <v/>
      </c>
    </row>
    <row r="134" spans="1:11">
      <c r="A134" t="str">
        <f>IF($K134="","",IFERROR(INDEX('Veri Merkezi'!$A$2:$A$1001,$K134),""))</f>
        <v/>
      </c>
      <c r="B134" t="str">
        <f>IF($K134="","",IFERROR(INDEX('Veri Merkezi'!$E$2:$E$1001,$K134),""))</f>
        <v/>
      </c>
      <c r="C134" t="str">
        <f>IF($K134="","",IFERROR(INDEX('Veri Merkezi'!$D$2:$D$1001,$K134),""))</f>
        <v/>
      </c>
      <c r="D134" t="str">
        <f>IF($K134="","",IFERROR(INDEX('Veri Merkezi'!$F$2:$F$1001,$K134),""))</f>
        <v/>
      </c>
      <c r="E134" s="2" t="str">
        <f>IF($K134="","",IFERROR(INDEX('Veri Merkezi'!$G$2:$G$1001,$K134),""))</f>
        <v/>
      </c>
      <c r="F134" t="str">
        <f>IF($K134="","",IFERROR(INDEX('Veri Merkezi'!$H$2:$H$1001,$K134),""))</f>
        <v/>
      </c>
      <c r="G134" t="str">
        <f>IF($K134="","",IFERROR(INDEX('Veri Merkezi'!$R$2:$R$1001,$K134),""))</f>
        <v/>
      </c>
      <c r="H134" t="str">
        <f>IF($K134="","",IFERROR(INDEX('Veri Merkezi'!$S$2:$S$1001,$K134),""))</f>
        <v/>
      </c>
      <c r="I134" s="2" t="str">
        <f>IF($K134="","",IFERROR(INDEX('Veri Merkezi'!$T$2:$T$1001,$K134),""))</f>
        <v/>
      </c>
      <c r="J134" t="str">
        <f>IF($K134="","",IFERROR(INDEX('Veri Merkezi'!$U$2:$U$1001,$K134),""))</f>
        <v/>
      </c>
      <c r="K134" t="str">
        <f>IFERROR(MATCH(ROWS($K$4:K134),'Veri Merkezi'!$X$2:$X$1001,0),"")</f>
        <v/>
      </c>
    </row>
    <row r="135" spans="1:11">
      <c r="A135" t="str">
        <f>IF($K135="","",IFERROR(INDEX('Veri Merkezi'!$A$2:$A$1001,$K135),""))</f>
        <v/>
      </c>
      <c r="B135" t="str">
        <f>IF($K135="","",IFERROR(INDEX('Veri Merkezi'!$E$2:$E$1001,$K135),""))</f>
        <v/>
      </c>
      <c r="C135" t="str">
        <f>IF($K135="","",IFERROR(INDEX('Veri Merkezi'!$D$2:$D$1001,$K135),""))</f>
        <v/>
      </c>
      <c r="D135" t="str">
        <f>IF($K135="","",IFERROR(INDEX('Veri Merkezi'!$F$2:$F$1001,$K135),""))</f>
        <v/>
      </c>
      <c r="E135" s="2" t="str">
        <f>IF($K135="","",IFERROR(INDEX('Veri Merkezi'!$G$2:$G$1001,$K135),""))</f>
        <v/>
      </c>
      <c r="F135" t="str">
        <f>IF($K135="","",IFERROR(INDEX('Veri Merkezi'!$H$2:$H$1001,$K135),""))</f>
        <v/>
      </c>
      <c r="G135" t="str">
        <f>IF($K135="","",IFERROR(INDEX('Veri Merkezi'!$R$2:$R$1001,$K135),""))</f>
        <v/>
      </c>
      <c r="H135" t="str">
        <f>IF($K135="","",IFERROR(INDEX('Veri Merkezi'!$S$2:$S$1001,$K135),""))</f>
        <v/>
      </c>
      <c r="I135" s="2" t="str">
        <f>IF($K135="","",IFERROR(INDEX('Veri Merkezi'!$T$2:$T$1001,$K135),""))</f>
        <v/>
      </c>
      <c r="J135" t="str">
        <f>IF($K135="","",IFERROR(INDEX('Veri Merkezi'!$U$2:$U$1001,$K135),""))</f>
        <v/>
      </c>
      <c r="K135" t="str">
        <f>IFERROR(MATCH(ROWS($K$4:K135),'Veri Merkezi'!$X$2:$X$1001,0),"")</f>
        <v/>
      </c>
    </row>
    <row r="136" spans="1:11">
      <c r="A136" t="str">
        <f>IF($K136="","",IFERROR(INDEX('Veri Merkezi'!$A$2:$A$1001,$K136),""))</f>
        <v/>
      </c>
      <c r="B136" t="str">
        <f>IF($K136="","",IFERROR(INDEX('Veri Merkezi'!$E$2:$E$1001,$K136),""))</f>
        <v/>
      </c>
      <c r="C136" t="str">
        <f>IF($K136="","",IFERROR(INDEX('Veri Merkezi'!$D$2:$D$1001,$K136),""))</f>
        <v/>
      </c>
      <c r="D136" t="str">
        <f>IF($K136="","",IFERROR(INDEX('Veri Merkezi'!$F$2:$F$1001,$K136),""))</f>
        <v/>
      </c>
      <c r="E136" s="2" t="str">
        <f>IF($K136="","",IFERROR(INDEX('Veri Merkezi'!$G$2:$G$1001,$K136),""))</f>
        <v/>
      </c>
      <c r="F136" t="str">
        <f>IF($K136="","",IFERROR(INDEX('Veri Merkezi'!$H$2:$H$1001,$K136),""))</f>
        <v/>
      </c>
      <c r="G136" t="str">
        <f>IF($K136="","",IFERROR(INDEX('Veri Merkezi'!$R$2:$R$1001,$K136),""))</f>
        <v/>
      </c>
      <c r="H136" t="str">
        <f>IF($K136="","",IFERROR(INDEX('Veri Merkezi'!$S$2:$S$1001,$K136),""))</f>
        <v/>
      </c>
      <c r="I136" s="2" t="str">
        <f>IF($K136="","",IFERROR(INDEX('Veri Merkezi'!$T$2:$T$1001,$K136),""))</f>
        <v/>
      </c>
      <c r="J136" t="str">
        <f>IF($K136="","",IFERROR(INDEX('Veri Merkezi'!$U$2:$U$1001,$K136),""))</f>
        <v/>
      </c>
      <c r="K136" t="str">
        <f>IFERROR(MATCH(ROWS($K$4:K136),'Veri Merkezi'!$X$2:$X$1001,0),"")</f>
        <v/>
      </c>
    </row>
    <row r="137" spans="1:11">
      <c r="A137" t="str">
        <f>IF($K137="","",IFERROR(INDEX('Veri Merkezi'!$A$2:$A$1001,$K137),""))</f>
        <v/>
      </c>
      <c r="B137" t="str">
        <f>IF($K137="","",IFERROR(INDEX('Veri Merkezi'!$E$2:$E$1001,$K137),""))</f>
        <v/>
      </c>
      <c r="C137" t="str">
        <f>IF($K137="","",IFERROR(INDEX('Veri Merkezi'!$D$2:$D$1001,$K137),""))</f>
        <v/>
      </c>
      <c r="D137" t="str">
        <f>IF($K137="","",IFERROR(INDEX('Veri Merkezi'!$F$2:$F$1001,$K137),""))</f>
        <v/>
      </c>
      <c r="E137" s="2" t="str">
        <f>IF($K137="","",IFERROR(INDEX('Veri Merkezi'!$G$2:$G$1001,$K137),""))</f>
        <v/>
      </c>
      <c r="F137" t="str">
        <f>IF($K137="","",IFERROR(INDEX('Veri Merkezi'!$H$2:$H$1001,$K137),""))</f>
        <v/>
      </c>
      <c r="G137" t="str">
        <f>IF($K137="","",IFERROR(INDEX('Veri Merkezi'!$R$2:$R$1001,$K137),""))</f>
        <v/>
      </c>
      <c r="H137" t="str">
        <f>IF($K137="","",IFERROR(INDEX('Veri Merkezi'!$S$2:$S$1001,$K137),""))</f>
        <v/>
      </c>
      <c r="I137" s="2" t="str">
        <f>IF($K137="","",IFERROR(INDEX('Veri Merkezi'!$T$2:$T$1001,$K137),""))</f>
        <v/>
      </c>
      <c r="J137" t="str">
        <f>IF($K137="","",IFERROR(INDEX('Veri Merkezi'!$U$2:$U$1001,$K137),""))</f>
        <v/>
      </c>
      <c r="K137" t="str">
        <f>IFERROR(MATCH(ROWS($K$4:K137),'Veri Merkezi'!$X$2:$X$1001,0),"")</f>
        <v/>
      </c>
    </row>
    <row r="138" spans="1:11">
      <c r="A138" t="str">
        <f>IF($K138="","",IFERROR(INDEX('Veri Merkezi'!$A$2:$A$1001,$K138),""))</f>
        <v/>
      </c>
      <c r="B138" t="str">
        <f>IF($K138="","",IFERROR(INDEX('Veri Merkezi'!$E$2:$E$1001,$K138),""))</f>
        <v/>
      </c>
      <c r="C138" t="str">
        <f>IF($K138="","",IFERROR(INDEX('Veri Merkezi'!$D$2:$D$1001,$K138),""))</f>
        <v/>
      </c>
      <c r="D138" t="str">
        <f>IF($K138="","",IFERROR(INDEX('Veri Merkezi'!$F$2:$F$1001,$K138),""))</f>
        <v/>
      </c>
      <c r="E138" s="2" t="str">
        <f>IF($K138="","",IFERROR(INDEX('Veri Merkezi'!$G$2:$G$1001,$K138),""))</f>
        <v/>
      </c>
      <c r="F138" t="str">
        <f>IF($K138="","",IFERROR(INDEX('Veri Merkezi'!$H$2:$H$1001,$K138),""))</f>
        <v/>
      </c>
      <c r="G138" t="str">
        <f>IF($K138="","",IFERROR(INDEX('Veri Merkezi'!$R$2:$R$1001,$K138),""))</f>
        <v/>
      </c>
      <c r="H138" t="str">
        <f>IF($K138="","",IFERROR(INDEX('Veri Merkezi'!$S$2:$S$1001,$K138),""))</f>
        <v/>
      </c>
      <c r="I138" s="2" t="str">
        <f>IF($K138="","",IFERROR(INDEX('Veri Merkezi'!$T$2:$T$1001,$K138),""))</f>
        <v/>
      </c>
      <c r="J138" t="str">
        <f>IF($K138="","",IFERROR(INDEX('Veri Merkezi'!$U$2:$U$1001,$K138),""))</f>
        <v/>
      </c>
      <c r="K138" t="str">
        <f>IFERROR(MATCH(ROWS($K$4:K138),'Veri Merkezi'!$X$2:$X$1001,0),"")</f>
        <v/>
      </c>
    </row>
    <row r="139" spans="1:11">
      <c r="A139" t="str">
        <f>IF($K139="","",IFERROR(INDEX('Veri Merkezi'!$A$2:$A$1001,$K139),""))</f>
        <v/>
      </c>
      <c r="B139" t="str">
        <f>IF($K139="","",IFERROR(INDEX('Veri Merkezi'!$E$2:$E$1001,$K139),""))</f>
        <v/>
      </c>
      <c r="C139" t="str">
        <f>IF($K139="","",IFERROR(INDEX('Veri Merkezi'!$D$2:$D$1001,$K139),""))</f>
        <v/>
      </c>
      <c r="D139" t="str">
        <f>IF($K139="","",IFERROR(INDEX('Veri Merkezi'!$F$2:$F$1001,$K139),""))</f>
        <v/>
      </c>
      <c r="E139" s="2" t="str">
        <f>IF($K139="","",IFERROR(INDEX('Veri Merkezi'!$G$2:$G$1001,$K139),""))</f>
        <v/>
      </c>
      <c r="F139" t="str">
        <f>IF($K139="","",IFERROR(INDEX('Veri Merkezi'!$H$2:$H$1001,$K139),""))</f>
        <v/>
      </c>
      <c r="G139" t="str">
        <f>IF($K139="","",IFERROR(INDEX('Veri Merkezi'!$R$2:$R$1001,$K139),""))</f>
        <v/>
      </c>
      <c r="H139" t="str">
        <f>IF($K139="","",IFERROR(INDEX('Veri Merkezi'!$S$2:$S$1001,$K139),""))</f>
        <v/>
      </c>
      <c r="I139" s="2" t="str">
        <f>IF($K139="","",IFERROR(INDEX('Veri Merkezi'!$T$2:$T$1001,$K139),""))</f>
        <v/>
      </c>
      <c r="J139" t="str">
        <f>IF($K139="","",IFERROR(INDEX('Veri Merkezi'!$U$2:$U$1001,$K139),""))</f>
        <v/>
      </c>
      <c r="K139" t="str">
        <f>IFERROR(MATCH(ROWS($K$4:K139),'Veri Merkezi'!$X$2:$X$1001,0),"")</f>
        <v/>
      </c>
    </row>
    <row r="140" spans="1:11">
      <c r="A140" t="str">
        <f>IF($K140="","",IFERROR(INDEX('Veri Merkezi'!$A$2:$A$1001,$K140),""))</f>
        <v/>
      </c>
      <c r="B140" t="str">
        <f>IF($K140="","",IFERROR(INDEX('Veri Merkezi'!$E$2:$E$1001,$K140),""))</f>
        <v/>
      </c>
      <c r="C140" t="str">
        <f>IF($K140="","",IFERROR(INDEX('Veri Merkezi'!$D$2:$D$1001,$K140),""))</f>
        <v/>
      </c>
      <c r="D140" t="str">
        <f>IF($K140="","",IFERROR(INDEX('Veri Merkezi'!$F$2:$F$1001,$K140),""))</f>
        <v/>
      </c>
      <c r="E140" s="2" t="str">
        <f>IF($K140="","",IFERROR(INDEX('Veri Merkezi'!$G$2:$G$1001,$K140),""))</f>
        <v/>
      </c>
      <c r="F140" t="str">
        <f>IF($K140="","",IFERROR(INDEX('Veri Merkezi'!$H$2:$H$1001,$K140),""))</f>
        <v/>
      </c>
      <c r="G140" t="str">
        <f>IF($K140="","",IFERROR(INDEX('Veri Merkezi'!$R$2:$R$1001,$K140),""))</f>
        <v/>
      </c>
      <c r="H140" t="str">
        <f>IF($K140="","",IFERROR(INDEX('Veri Merkezi'!$S$2:$S$1001,$K140),""))</f>
        <v/>
      </c>
      <c r="I140" s="2" t="str">
        <f>IF($K140="","",IFERROR(INDEX('Veri Merkezi'!$T$2:$T$1001,$K140),""))</f>
        <v/>
      </c>
      <c r="J140" t="str">
        <f>IF($K140="","",IFERROR(INDEX('Veri Merkezi'!$U$2:$U$1001,$K140),""))</f>
        <v/>
      </c>
      <c r="K140" t="str">
        <f>IFERROR(MATCH(ROWS($K$4:K140),'Veri Merkezi'!$X$2:$X$1001,0),"")</f>
        <v/>
      </c>
    </row>
    <row r="141" spans="1:11">
      <c r="A141" t="str">
        <f>IF($K141="","",IFERROR(INDEX('Veri Merkezi'!$A$2:$A$1001,$K141),""))</f>
        <v/>
      </c>
      <c r="B141" t="str">
        <f>IF($K141="","",IFERROR(INDEX('Veri Merkezi'!$E$2:$E$1001,$K141),""))</f>
        <v/>
      </c>
      <c r="C141" t="str">
        <f>IF($K141="","",IFERROR(INDEX('Veri Merkezi'!$D$2:$D$1001,$K141),""))</f>
        <v/>
      </c>
      <c r="D141" t="str">
        <f>IF($K141="","",IFERROR(INDEX('Veri Merkezi'!$F$2:$F$1001,$K141),""))</f>
        <v/>
      </c>
      <c r="E141" s="2" t="str">
        <f>IF($K141="","",IFERROR(INDEX('Veri Merkezi'!$G$2:$G$1001,$K141),""))</f>
        <v/>
      </c>
      <c r="F141" t="str">
        <f>IF($K141="","",IFERROR(INDEX('Veri Merkezi'!$H$2:$H$1001,$K141),""))</f>
        <v/>
      </c>
      <c r="G141" t="str">
        <f>IF($K141="","",IFERROR(INDEX('Veri Merkezi'!$R$2:$R$1001,$K141),""))</f>
        <v/>
      </c>
      <c r="H141" t="str">
        <f>IF($K141="","",IFERROR(INDEX('Veri Merkezi'!$S$2:$S$1001,$K141),""))</f>
        <v/>
      </c>
      <c r="I141" s="2" t="str">
        <f>IF($K141="","",IFERROR(INDEX('Veri Merkezi'!$T$2:$T$1001,$K141),""))</f>
        <v/>
      </c>
      <c r="J141" t="str">
        <f>IF($K141="","",IFERROR(INDEX('Veri Merkezi'!$U$2:$U$1001,$K141),""))</f>
        <v/>
      </c>
      <c r="K141" t="str">
        <f>IFERROR(MATCH(ROWS($K$4:K141),'Veri Merkezi'!$X$2:$X$1001,0),"")</f>
        <v/>
      </c>
    </row>
    <row r="142" spans="1:11">
      <c r="A142" t="str">
        <f>IF($K142="","",IFERROR(INDEX('Veri Merkezi'!$A$2:$A$1001,$K142),""))</f>
        <v/>
      </c>
      <c r="B142" t="str">
        <f>IF($K142="","",IFERROR(INDEX('Veri Merkezi'!$E$2:$E$1001,$K142),""))</f>
        <v/>
      </c>
      <c r="C142" t="str">
        <f>IF($K142="","",IFERROR(INDEX('Veri Merkezi'!$D$2:$D$1001,$K142),""))</f>
        <v/>
      </c>
      <c r="D142" t="str">
        <f>IF($K142="","",IFERROR(INDEX('Veri Merkezi'!$F$2:$F$1001,$K142),""))</f>
        <v/>
      </c>
      <c r="E142" s="2" t="str">
        <f>IF($K142="","",IFERROR(INDEX('Veri Merkezi'!$G$2:$G$1001,$K142),""))</f>
        <v/>
      </c>
      <c r="F142" t="str">
        <f>IF($K142="","",IFERROR(INDEX('Veri Merkezi'!$H$2:$H$1001,$K142),""))</f>
        <v/>
      </c>
      <c r="G142" t="str">
        <f>IF($K142="","",IFERROR(INDEX('Veri Merkezi'!$R$2:$R$1001,$K142),""))</f>
        <v/>
      </c>
      <c r="H142" t="str">
        <f>IF($K142="","",IFERROR(INDEX('Veri Merkezi'!$S$2:$S$1001,$K142),""))</f>
        <v/>
      </c>
      <c r="I142" s="2" t="str">
        <f>IF($K142="","",IFERROR(INDEX('Veri Merkezi'!$T$2:$T$1001,$K142),""))</f>
        <v/>
      </c>
      <c r="J142" t="str">
        <f>IF($K142="","",IFERROR(INDEX('Veri Merkezi'!$U$2:$U$1001,$K142),""))</f>
        <v/>
      </c>
      <c r="K142" t="str">
        <f>IFERROR(MATCH(ROWS($K$4:K142),'Veri Merkezi'!$X$2:$X$1001,0),"")</f>
        <v/>
      </c>
    </row>
    <row r="143" spans="1:11">
      <c r="A143" t="str">
        <f>IF($K143="","",IFERROR(INDEX('Veri Merkezi'!$A$2:$A$1001,$K143),""))</f>
        <v/>
      </c>
      <c r="B143" t="str">
        <f>IF($K143="","",IFERROR(INDEX('Veri Merkezi'!$E$2:$E$1001,$K143),""))</f>
        <v/>
      </c>
      <c r="C143" t="str">
        <f>IF($K143="","",IFERROR(INDEX('Veri Merkezi'!$D$2:$D$1001,$K143),""))</f>
        <v/>
      </c>
      <c r="D143" t="str">
        <f>IF($K143="","",IFERROR(INDEX('Veri Merkezi'!$F$2:$F$1001,$K143),""))</f>
        <v/>
      </c>
      <c r="E143" s="2" t="str">
        <f>IF($K143="","",IFERROR(INDEX('Veri Merkezi'!$G$2:$G$1001,$K143),""))</f>
        <v/>
      </c>
      <c r="F143" t="str">
        <f>IF($K143="","",IFERROR(INDEX('Veri Merkezi'!$H$2:$H$1001,$K143),""))</f>
        <v/>
      </c>
      <c r="G143" t="str">
        <f>IF($K143="","",IFERROR(INDEX('Veri Merkezi'!$R$2:$R$1001,$K143),""))</f>
        <v/>
      </c>
      <c r="H143" t="str">
        <f>IF($K143="","",IFERROR(INDEX('Veri Merkezi'!$S$2:$S$1001,$K143),""))</f>
        <v/>
      </c>
      <c r="I143" s="2" t="str">
        <f>IF($K143="","",IFERROR(INDEX('Veri Merkezi'!$T$2:$T$1001,$K143),""))</f>
        <v/>
      </c>
      <c r="J143" t="str">
        <f>IF($K143="","",IFERROR(INDEX('Veri Merkezi'!$U$2:$U$1001,$K143),""))</f>
        <v/>
      </c>
      <c r="K143" t="str">
        <f>IFERROR(MATCH(ROWS($K$4:K143),'Veri Merkezi'!$X$2:$X$1001,0),"")</f>
        <v/>
      </c>
    </row>
    <row r="144" spans="1:11">
      <c r="A144" t="str">
        <f>IF($K144="","",IFERROR(INDEX('Veri Merkezi'!$A$2:$A$1001,$K144),""))</f>
        <v/>
      </c>
      <c r="B144" t="str">
        <f>IF($K144="","",IFERROR(INDEX('Veri Merkezi'!$E$2:$E$1001,$K144),""))</f>
        <v/>
      </c>
      <c r="C144" t="str">
        <f>IF($K144="","",IFERROR(INDEX('Veri Merkezi'!$D$2:$D$1001,$K144),""))</f>
        <v/>
      </c>
      <c r="D144" t="str">
        <f>IF($K144="","",IFERROR(INDEX('Veri Merkezi'!$F$2:$F$1001,$K144),""))</f>
        <v/>
      </c>
      <c r="E144" s="2" t="str">
        <f>IF($K144="","",IFERROR(INDEX('Veri Merkezi'!$G$2:$G$1001,$K144),""))</f>
        <v/>
      </c>
      <c r="F144" t="str">
        <f>IF($K144="","",IFERROR(INDEX('Veri Merkezi'!$H$2:$H$1001,$K144),""))</f>
        <v/>
      </c>
      <c r="G144" t="str">
        <f>IF($K144="","",IFERROR(INDEX('Veri Merkezi'!$R$2:$R$1001,$K144),""))</f>
        <v/>
      </c>
      <c r="H144" t="str">
        <f>IF($K144="","",IFERROR(INDEX('Veri Merkezi'!$S$2:$S$1001,$K144),""))</f>
        <v/>
      </c>
      <c r="I144" s="2" t="str">
        <f>IF($K144="","",IFERROR(INDEX('Veri Merkezi'!$T$2:$T$1001,$K144),""))</f>
        <v/>
      </c>
      <c r="J144" t="str">
        <f>IF($K144="","",IFERROR(INDEX('Veri Merkezi'!$U$2:$U$1001,$K144),""))</f>
        <v/>
      </c>
      <c r="K144" t="str">
        <f>IFERROR(MATCH(ROWS($K$4:K144),'Veri Merkezi'!$X$2:$X$1001,0),"")</f>
        <v/>
      </c>
    </row>
    <row r="145" spans="1:11">
      <c r="A145" t="str">
        <f>IF($K145="","",IFERROR(INDEX('Veri Merkezi'!$A$2:$A$1001,$K145),""))</f>
        <v/>
      </c>
      <c r="B145" t="str">
        <f>IF($K145="","",IFERROR(INDEX('Veri Merkezi'!$E$2:$E$1001,$K145),""))</f>
        <v/>
      </c>
      <c r="C145" t="str">
        <f>IF($K145="","",IFERROR(INDEX('Veri Merkezi'!$D$2:$D$1001,$K145),""))</f>
        <v/>
      </c>
      <c r="D145" t="str">
        <f>IF($K145="","",IFERROR(INDEX('Veri Merkezi'!$F$2:$F$1001,$K145),""))</f>
        <v/>
      </c>
      <c r="E145" s="2" t="str">
        <f>IF($K145="","",IFERROR(INDEX('Veri Merkezi'!$G$2:$G$1001,$K145),""))</f>
        <v/>
      </c>
      <c r="F145" t="str">
        <f>IF($K145="","",IFERROR(INDEX('Veri Merkezi'!$H$2:$H$1001,$K145),""))</f>
        <v/>
      </c>
      <c r="G145" t="str">
        <f>IF($K145="","",IFERROR(INDEX('Veri Merkezi'!$R$2:$R$1001,$K145),""))</f>
        <v/>
      </c>
      <c r="H145" t="str">
        <f>IF($K145="","",IFERROR(INDEX('Veri Merkezi'!$S$2:$S$1001,$K145),""))</f>
        <v/>
      </c>
      <c r="I145" s="2" t="str">
        <f>IF($K145="","",IFERROR(INDEX('Veri Merkezi'!$T$2:$T$1001,$K145),""))</f>
        <v/>
      </c>
      <c r="J145" t="str">
        <f>IF($K145="","",IFERROR(INDEX('Veri Merkezi'!$U$2:$U$1001,$K145),""))</f>
        <v/>
      </c>
      <c r="K145" t="str">
        <f>IFERROR(MATCH(ROWS($K$4:K145),'Veri Merkezi'!$X$2:$X$1001,0),"")</f>
        <v/>
      </c>
    </row>
    <row r="146" spans="1:11">
      <c r="A146" t="str">
        <f>IF($K146="","",IFERROR(INDEX('Veri Merkezi'!$A$2:$A$1001,$K146),""))</f>
        <v/>
      </c>
      <c r="B146" t="str">
        <f>IF($K146="","",IFERROR(INDEX('Veri Merkezi'!$E$2:$E$1001,$K146),""))</f>
        <v/>
      </c>
      <c r="C146" t="str">
        <f>IF($K146="","",IFERROR(INDEX('Veri Merkezi'!$D$2:$D$1001,$K146),""))</f>
        <v/>
      </c>
      <c r="D146" t="str">
        <f>IF($K146="","",IFERROR(INDEX('Veri Merkezi'!$F$2:$F$1001,$K146),""))</f>
        <v/>
      </c>
      <c r="E146" s="2" t="str">
        <f>IF($K146="","",IFERROR(INDEX('Veri Merkezi'!$G$2:$G$1001,$K146),""))</f>
        <v/>
      </c>
      <c r="F146" t="str">
        <f>IF($K146="","",IFERROR(INDEX('Veri Merkezi'!$H$2:$H$1001,$K146),""))</f>
        <v/>
      </c>
      <c r="G146" t="str">
        <f>IF($K146="","",IFERROR(INDEX('Veri Merkezi'!$R$2:$R$1001,$K146),""))</f>
        <v/>
      </c>
      <c r="H146" t="str">
        <f>IF($K146="","",IFERROR(INDEX('Veri Merkezi'!$S$2:$S$1001,$K146),""))</f>
        <v/>
      </c>
      <c r="I146" s="2" t="str">
        <f>IF($K146="","",IFERROR(INDEX('Veri Merkezi'!$T$2:$T$1001,$K146),""))</f>
        <v/>
      </c>
      <c r="J146" t="str">
        <f>IF($K146="","",IFERROR(INDEX('Veri Merkezi'!$U$2:$U$1001,$K146),""))</f>
        <v/>
      </c>
      <c r="K146" t="str">
        <f>IFERROR(MATCH(ROWS($K$4:K146),'Veri Merkezi'!$X$2:$X$1001,0),"")</f>
        <v/>
      </c>
    </row>
    <row r="147" spans="1:11">
      <c r="A147" t="str">
        <f>IF($K147="","",IFERROR(INDEX('Veri Merkezi'!$A$2:$A$1001,$K147),""))</f>
        <v/>
      </c>
      <c r="B147" t="str">
        <f>IF($K147="","",IFERROR(INDEX('Veri Merkezi'!$E$2:$E$1001,$K147),""))</f>
        <v/>
      </c>
      <c r="C147" t="str">
        <f>IF($K147="","",IFERROR(INDEX('Veri Merkezi'!$D$2:$D$1001,$K147),""))</f>
        <v/>
      </c>
      <c r="D147" t="str">
        <f>IF($K147="","",IFERROR(INDEX('Veri Merkezi'!$F$2:$F$1001,$K147),""))</f>
        <v/>
      </c>
      <c r="E147" s="2" t="str">
        <f>IF($K147="","",IFERROR(INDEX('Veri Merkezi'!$G$2:$G$1001,$K147),""))</f>
        <v/>
      </c>
      <c r="F147" t="str">
        <f>IF($K147="","",IFERROR(INDEX('Veri Merkezi'!$H$2:$H$1001,$K147),""))</f>
        <v/>
      </c>
      <c r="G147" t="str">
        <f>IF($K147="","",IFERROR(INDEX('Veri Merkezi'!$R$2:$R$1001,$K147),""))</f>
        <v/>
      </c>
      <c r="H147" t="str">
        <f>IF($K147="","",IFERROR(INDEX('Veri Merkezi'!$S$2:$S$1001,$K147),""))</f>
        <v/>
      </c>
      <c r="I147" s="2" t="str">
        <f>IF($K147="","",IFERROR(INDEX('Veri Merkezi'!$T$2:$T$1001,$K147),""))</f>
        <v/>
      </c>
      <c r="J147" t="str">
        <f>IF($K147="","",IFERROR(INDEX('Veri Merkezi'!$U$2:$U$1001,$K147),""))</f>
        <v/>
      </c>
      <c r="K147" t="str">
        <f>IFERROR(MATCH(ROWS($K$4:K147),'Veri Merkezi'!$X$2:$X$1001,0),"")</f>
        <v/>
      </c>
    </row>
    <row r="148" spans="1:11">
      <c r="A148" t="str">
        <f>IF($K148="","",IFERROR(INDEX('Veri Merkezi'!$A$2:$A$1001,$K148),""))</f>
        <v/>
      </c>
      <c r="B148" t="str">
        <f>IF($K148="","",IFERROR(INDEX('Veri Merkezi'!$E$2:$E$1001,$K148),""))</f>
        <v/>
      </c>
      <c r="C148" t="str">
        <f>IF($K148="","",IFERROR(INDEX('Veri Merkezi'!$D$2:$D$1001,$K148),""))</f>
        <v/>
      </c>
      <c r="D148" t="str">
        <f>IF($K148="","",IFERROR(INDEX('Veri Merkezi'!$F$2:$F$1001,$K148),""))</f>
        <v/>
      </c>
      <c r="E148" s="2" t="str">
        <f>IF($K148="","",IFERROR(INDEX('Veri Merkezi'!$G$2:$G$1001,$K148),""))</f>
        <v/>
      </c>
      <c r="F148" t="str">
        <f>IF($K148="","",IFERROR(INDEX('Veri Merkezi'!$H$2:$H$1001,$K148),""))</f>
        <v/>
      </c>
      <c r="G148" t="str">
        <f>IF($K148="","",IFERROR(INDEX('Veri Merkezi'!$R$2:$R$1001,$K148),""))</f>
        <v/>
      </c>
      <c r="H148" t="str">
        <f>IF($K148="","",IFERROR(INDEX('Veri Merkezi'!$S$2:$S$1001,$K148),""))</f>
        <v/>
      </c>
      <c r="I148" s="2" t="str">
        <f>IF($K148="","",IFERROR(INDEX('Veri Merkezi'!$T$2:$T$1001,$K148),""))</f>
        <v/>
      </c>
      <c r="J148" t="str">
        <f>IF($K148="","",IFERROR(INDEX('Veri Merkezi'!$U$2:$U$1001,$K148),""))</f>
        <v/>
      </c>
      <c r="K148" t="str">
        <f>IFERROR(MATCH(ROWS($K$4:K148),'Veri Merkezi'!$X$2:$X$1001,0),"")</f>
        <v/>
      </c>
    </row>
    <row r="149" spans="1:11">
      <c r="A149" t="str">
        <f>IF($K149="","",IFERROR(INDEX('Veri Merkezi'!$A$2:$A$1001,$K149),""))</f>
        <v/>
      </c>
      <c r="B149" t="str">
        <f>IF($K149="","",IFERROR(INDEX('Veri Merkezi'!$E$2:$E$1001,$K149),""))</f>
        <v/>
      </c>
      <c r="C149" t="str">
        <f>IF($K149="","",IFERROR(INDEX('Veri Merkezi'!$D$2:$D$1001,$K149),""))</f>
        <v/>
      </c>
      <c r="D149" t="str">
        <f>IF($K149="","",IFERROR(INDEX('Veri Merkezi'!$F$2:$F$1001,$K149),""))</f>
        <v/>
      </c>
      <c r="E149" s="2" t="str">
        <f>IF($K149="","",IFERROR(INDEX('Veri Merkezi'!$G$2:$G$1001,$K149),""))</f>
        <v/>
      </c>
      <c r="F149" t="str">
        <f>IF($K149="","",IFERROR(INDEX('Veri Merkezi'!$H$2:$H$1001,$K149),""))</f>
        <v/>
      </c>
      <c r="G149" t="str">
        <f>IF($K149="","",IFERROR(INDEX('Veri Merkezi'!$R$2:$R$1001,$K149),""))</f>
        <v/>
      </c>
      <c r="H149" t="str">
        <f>IF($K149="","",IFERROR(INDEX('Veri Merkezi'!$S$2:$S$1001,$K149),""))</f>
        <v/>
      </c>
      <c r="I149" s="2" t="str">
        <f>IF($K149="","",IFERROR(INDEX('Veri Merkezi'!$T$2:$T$1001,$K149),""))</f>
        <v/>
      </c>
      <c r="J149" t="str">
        <f>IF($K149="","",IFERROR(INDEX('Veri Merkezi'!$U$2:$U$1001,$K149),""))</f>
        <v/>
      </c>
      <c r="K149" t="str">
        <f>IFERROR(MATCH(ROWS($K$4:K149),'Veri Merkezi'!$X$2:$X$1001,0),"")</f>
        <v/>
      </c>
    </row>
    <row r="150" spans="1:11">
      <c r="A150" t="str">
        <f>IF($K150="","",IFERROR(INDEX('Veri Merkezi'!$A$2:$A$1001,$K150),""))</f>
        <v/>
      </c>
      <c r="B150" t="str">
        <f>IF($K150="","",IFERROR(INDEX('Veri Merkezi'!$E$2:$E$1001,$K150),""))</f>
        <v/>
      </c>
      <c r="C150" t="str">
        <f>IF($K150="","",IFERROR(INDEX('Veri Merkezi'!$D$2:$D$1001,$K150),""))</f>
        <v/>
      </c>
      <c r="D150" t="str">
        <f>IF($K150="","",IFERROR(INDEX('Veri Merkezi'!$F$2:$F$1001,$K150),""))</f>
        <v/>
      </c>
      <c r="E150" s="2" t="str">
        <f>IF($K150="","",IFERROR(INDEX('Veri Merkezi'!$G$2:$G$1001,$K150),""))</f>
        <v/>
      </c>
      <c r="F150" t="str">
        <f>IF($K150="","",IFERROR(INDEX('Veri Merkezi'!$H$2:$H$1001,$K150),""))</f>
        <v/>
      </c>
      <c r="G150" t="str">
        <f>IF($K150="","",IFERROR(INDEX('Veri Merkezi'!$R$2:$R$1001,$K150),""))</f>
        <v/>
      </c>
      <c r="H150" t="str">
        <f>IF($K150="","",IFERROR(INDEX('Veri Merkezi'!$S$2:$S$1001,$K150),""))</f>
        <v/>
      </c>
      <c r="I150" s="2" t="str">
        <f>IF($K150="","",IFERROR(INDEX('Veri Merkezi'!$T$2:$T$1001,$K150),""))</f>
        <v/>
      </c>
      <c r="J150" t="str">
        <f>IF($K150="","",IFERROR(INDEX('Veri Merkezi'!$U$2:$U$1001,$K150),""))</f>
        <v/>
      </c>
      <c r="K150" t="str">
        <f>IFERROR(MATCH(ROWS($K$4:K150),'Veri Merkezi'!$X$2:$X$1001,0),"")</f>
        <v/>
      </c>
    </row>
    <row r="151" spans="1:11">
      <c r="A151" t="str">
        <f>IF($K151="","",IFERROR(INDEX('Veri Merkezi'!$A$2:$A$1001,$K151),""))</f>
        <v/>
      </c>
      <c r="B151" t="str">
        <f>IF($K151="","",IFERROR(INDEX('Veri Merkezi'!$E$2:$E$1001,$K151),""))</f>
        <v/>
      </c>
      <c r="C151" t="str">
        <f>IF($K151="","",IFERROR(INDEX('Veri Merkezi'!$D$2:$D$1001,$K151),""))</f>
        <v/>
      </c>
      <c r="D151" t="str">
        <f>IF($K151="","",IFERROR(INDEX('Veri Merkezi'!$F$2:$F$1001,$K151),""))</f>
        <v/>
      </c>
      <c r="E151" s="2" t="str">
        <f>IF($K151="","",IFERROR(INDEX('Veri Merkezi'!$G$2:$G$1001,$K151),""))</f>
        <v/>
      </c>
      <c r="F151" t="str">
        <f>IF($K151="","",IFERROR(INDEX('Veri Merkezi'!$H$2:$H$1001,$K151),""))</f>
        <v/>
      </c>
      <c r="G151" t="str">
        <f>IF($K151="","",IFERROR(INDEX('Veri Merkezi'!$R$2:$R$1001,$K151),""))</f>
        <v/>
      </c>
      <c r="H151" t="str">
        <f>IF($K151="","",IFERROR(INDEX('Veri Merkezi'!$S$2:$S$1001,$K151),""))</f>
        <v/>
      </c>
      <c r="I151" s="2" t="str">
        <f>IF($K151="","",IFERROR(INDEX('Veri Merkezi'!$T$2:$T$1001,$K151),""))</f>
        <v/>
      </c>
      <c r="J151" t="str">
        <f>IF($K151="","",IFERROR(INDEX('Veri Merkezi'!$U$2:$U$1001,$K151),""))</f>
        <v/>
      </c>
      <c r="K151" t="str">
        <f>IFERROR(MATCH(ROWS($K$4:K151),'Veri Merkezi'!$X$2:$X$1001,0),"")</f>
        <v/>
      </c>
    </row>
    <row r="152" spans="1:11">
      <c r="A152" t="str">
        <f>IF($K152="","",IFERROR(INDEX('Veri Merkezi'!$A$2:$A$1001,$K152),""))</f>
        <v/>
      </c>
      <c r="B152" t="str">
        <f>IF($K152="","",IFERROR(INDEX('Veri Merkezi'!$E$2:$E$1001,$K152),""))</f>
        <v/>
      </c>
      <c r="C152" t="str">
        <f>IF($K152="","",IFERROR(INDEX('Veri Merkezi'!$D$2:$D$1001,$K152),""))</f>
        <v/>
      </c>
      <c r="D152" t="str">
        <f>IF($K152="","",IFERROR(INDEX('Veri Merkezi'!$F$2:$F$1001,$K152),""))</f>
        <v/>
      </c>
      <c r="E152" s="2" t="str">
        <f>IF($K152="","",IFERROR(INDEX('Veri Merkezi'!$G$2:$G$1001,$K152),""))</f>
        <v/>
      </c>
      <c r="F152" t="str">
        <f>IF($K152="","",IFERROR(INDEX('Veri Merkezi'!$H$2:$H$1001,$K152),""))</f>
        <v/>
      </c>
      <c r="G152" t="str">
        <f>IF($K152="","",IFERROR(INDEX('Veri Merkezi'!$R$2:$R$1001,$K152),""))</f>
        <v/>
      </c>
      <c r="H152" t="str">
        <f>IF($K152="","",IFERROR(INDEX('Veri Merkezi'!$S$2:$S$1001,$K152),""))</f>
        <v/>
      </c>
      <c r="I152" s="2" t="str">
        <f>IF($K152="","",IFERROR(INDEX('Veri Merkezi'!$T$2:$T$1001,$K152),""))</f>
        <v/>
      </c>
      <c r="J152" t="str">
        <f>IF($K152="","",IFERROR(INDEX('Veri Merkezi'!$U$2:$U$1001,$K152),""))</f>
        <v/>
      </c>
      <c r="K152" t="str">
        <f>IFERROR(MATCH(ROWS($K$4:K152),'Veri Merkezi'!$X$2:$X$1001,0),"")</f>
        <v/>
      </c>
    </row>
    <row r="153" spans="1:11">
      <c r="A153" t="str">
        <f>IF($K153="","",IFERROR(INDEX('Veri Merkezi'!$A$2:$A$1001,$K153),""))</f>
        <v/>
      </c>
      <c r="B153" t="str">
        <f>IF($K153="","",IFERROR(INDEX('Veri Merkezi'!$E$2:$E$1001,$K153),""))</f>
        <v/>
      </c>
      <c r="C153" t="str">
        <f>IF($K153="","",IFERROR(INDEX('Veri Merkezi'!$D$2:$D$1001,$K153),""))</f>
        <v/>
      </c>
      <c r="D153" t="str">
        <f>IF($K153="","",IFERROR(INDEX('Veri Merkezi'!$F$2:$F$1001,$K153),""))</f>
        <v/>
      </c>
      <c r="E153" s="2" t="str">
        <f>IF($K153="","",IFERROR(INDEX('Veri Merkezi'!$G$2:$G$1001,$K153),""))</f>
        <v/>
      </c>
      <c r="F153" t="str">
        <f>IF($K153="","",IFERROR(INDEX('Veri Merkezi'!$H$2:$H$1001,$K153),""))</f>
        <v/>
      </c>
      <c r="G153" t="str">
        <f>IF($K153="","",IFERROR(INDEX('Veri Merkezi'!$R$2:$R$1001,$K153),""))</f>
        <v/>
      </c>
      <c r="H153" t="str">
        <f>IF($K153="","",IFERROR(INDEX('Veri Merkezi'!$S$2:$S$1001,$K153),""))</f>
        <v/>
      </c>
      <c r="I153" s="2" t="str">
        <f>IF($K153="","",IFERROR(INDEX('Veri Merkezi'!$T$2:$T$1001,$K153),""))</f>
        <v/>
      </c>
      <c r="J153" t="str">
        <f>IF($K153="","",IFERROR(INDEX('Veri Merkezi'!$U$2:$U$1001,$K153),""))</f>
        <v/>
      </c>
      <c r="K153" t="str">
        <f>IFERROR(MATCH(ROWS($K$4:K153),'Veri Merkezi'!$X$2:$X$1001,0),"")</f>
        <v/>
      </c>
    </row>
    <row r="154" spans="1:11">
      <c r="A154" t="str">
        <f>IF($K154="","",IFERROR(INDEX('Veri Merkezi'!$A$2:$A$1001,$K154),""))</f>
        <v/>
      </c>
      <c r="B154" t="str">
        <f>IF($K154="","",IFERROR(INDEX('Veri Merkezi'!$E$2:$E$1001,$K154),""))</f>
        <v/>
      </c>
      <c r="C154" t="str">
        <f>IF($K154="","",IFERROR(INDEX('Veri Merkezi'!$D$2:$D$1001,$K154),""))</f>
        <v/>
      </c>
      <c r="D154" t="str">
        <f>IF($K154="","",IFERROR(INDEX('Veri Merkezi'!$F$2:$F$1001,$K154),""))</f>
        <v/>
      </c>
      <c r="E154" s="2" t="str">
        <f>IF($K154="","",IFERROR(INDEX('Veri Merkezi'!$G$2:$G$1001,$K154),""))</f>
        <v/>
      </c>
      <c r="F154" t="str">
        <f>IF($K154="","",IFERROR(INDEX('Veri Merkezi'!$H$2:$H$1001,$K154),""))</f>
        <v/>
      </c>
      <c r="G154" t="str">
        <f>IF($K154="","",IFERROR(INDEX('Veri Merkezi'!$R$2:$R$1001,$K154),""))</f>
        <v/>
      </c>
      <c r="H154" t="str">
        <f>IF($K154="","",IFERROR(INDEX('Veri Merkezi'!$S$2:$S$1001,$K154),""))</f>
        <v/>
      </c>
      <c r="I154" s="2" t="str">
        <f>IF($K154="","",IFERROR(INDEX('Veri Merkezi'!$T$2:$T$1001,$K154),""))</f>
        <v/>
      </c>
      <c r="J154" t="str">
        <f>IF($K154="","",IFERROR(INDEX('Veri Merkezi'!$U$2:$U$1001,$K154),""))</f>
        <v/>
      </c>
      <c r="K154" t="str">
        <f>IFERROR(MATCH(ROWS($K$4:K154),'Veri Merkezi'!$X$2:$X$1001,0),"")</f>
        <v/>
      </c>
    </row>
    <row r="155" spans="1:11">
      <c r="A155" t="str">
        <f>IF($K155="","",IFERROR(INDEX('Veri Merkezi'!$A$2:$A$1001,$K155),""))</f>
        <v/>
      </c>
      <c r="B155" t="str">
        <f>IF($K155="","",IFERROR(INDEX('Veri Merkezi'!$E$2:$E$1001,$K155),""))</f>
        <v/>
      </c>
      <c r="C155" t="str">
        <f>IF($K155="","",IFERROR(INDEX('Veri Merkezi'!$D$2:$D$1001,$K155),""))</f>
        <v/>
      </c>
      <c r="D155" t="str">
        <f>IF($K155="","",IFERROR(INDEX('Veri Merkezi'!$F$2:$F$1001,$K155),""))</f>
        <v/>
      </c>
      <c r="E155" s="2" t="str">
        <f>IF($K155="","",IFERROR(INDEX('Veri Merkezi'!$G$2:$G$1001,$K155),""))</f>
        <v/>
      </c>
      <c r="F155" t="str">
        <f>IF($K155="","",IFERROR(INDEX('Veri Merkezi'!$H$2:$H$1001,$K155),""))</f>
        <v/>
      </c>
      <c r="G155" t="str">
        <f>IF($K155="","",IFERROR(INDEX('Veri Merkezi'!$R$2:$R$1001,$K155),""))</f>
        <v/>
      </c>
      <c r="H155" t="str">
        <f>IF($K155="","",IFERROR(INDEX('Veri Merkezi'!$S$2:$S$1001,$K155),""))</f>
        <v/>
      </c>
      <c r="I155" s="2" t="str">
        <f>IF($K155="","",IFERROR(INDEX('Veri Merkezi'!$T$2:$T$1001,$K155),""))</f>
        <v/>
      </c>
      <c r="J155" t="str">
        <f>IF($K155="","",IFERROR(INDEX('Veri Merkezi'!$U$2:$U$1001,$K155),""))</f>
        <v/>
      </c>
      <c r="K155" t="str">
        <f>IFERROR(MATCH(ROWS($K$4:K155),'Veri Merkezi'!$X$2:$X$1001,0),"")</f>
        <v/>
      </c>
    </row>
    <row r="156" spans="1:11">
      <c r="A156" t="str">
        <f>IF($K156="","",IFERROR(INDEX('Veri Merkezi'!$A$2:$A$1001,$K156),""))</f>
        <v/>
      </c>
      <c r="B156" t="str">
        <f>IF($K156="","",IFERROR(INDEX('Veri Merkezi'!$E$2:$E$1001,$K156),""))</f>
        <v/>
      </c>
      <c r="C156" t="str">
        <f>IF($K156="","",IFERROR(INDEX('Veri Merkezi'!$D$2:$D$1001,$K156),""))</f>
        <v/>
      </c>
      <c r="D156" t="str">
        <f>IF($K156="","",IFERROR(INDEX('Veri Merkezi'!$F$2:$F$1001,$K156),""))</f>
        <v/>
      </c>
      <c r="E156" s="2" t="str">
        <f>IF($K156="","",IFERROR(INDEX('Veri Merkezi'!$G$2:$G$1001,$K156),""))</f>
        <v/>
      </c>
      <c r="F156" t="str">
        <f>IF($K156="","",IFERROR(INDEX('Veri Merkezi'!$H$2:$H$1001,$K156),""))</f>
        <v/>
      </c>
      <c r="G156" t="str">
        <f>IF($K156="","",IFERROR(INDEX('Veri Merkezi'!$R$2:$R$1001,$K156),""))</f>
        <v/>
      </c>
      <c r="H156" t="str">
        <f>IF($K156="","",IFERROR(INDEX('Veri Merkezi'!$S$2:$S$1001,$K156),""))</f>
        <v/>
      </c>
      <c r="I156" s="2" t="str">
        <f>IF($K156="","",IFERROR(INDEX('Veri Merkezi'!$T$2:$T$1001,$K156),""))</f>
        <v/>
      </c>
      <c r="J156" t="str">
        <f>IF($K156="","",IFERROR(INDEX('Veri Merkezi'!$U$2:$U$1001,$K156),""))</f>
        <v/>
      </c>
      <c r="K156" t="str">
        <f>IFERROR(MATCH(ROWS($K$4:K156),'Veri Merkezi'!$X$2:$X$1001,0),"")</f>
        <v/>
      </c>
    </row>
    <row r="157" spans="1:11">
      <c r="A157" t="str">
        <f>IF($K157="","",IFERROR(INDEX('Veri Merkezi'!$A$2:$A$1001,$K157),""))</f>
        <v/>
      </c>
      <c r="B157" t="str">
        <f>IF($K157="","",IFERROR(INDEX('Veri Merkezi'!$E$2:$E$1001,$K157),""))</f>
        <v/>
      </c>
      <c r="C157" t="str">
        <f>IF($K157="","",IFERROR(INDEX('Veri Merkezi'!$D$2:$D$1001,$K157),""))</f>
        <v/>
      </c>
      <c r="D157" t="str">
        <f>IF($K157="","",IFERROR(INDEX('Veri Merkezi'!$F$2:$F$1001,$K157),""))</f>
        <v/>
      </c>
      <c r="E157" s="2" t="str">
        <f>IF($K157="","",IFERROR(INDEX('Veri Merkezi'!$G$2:$G$1001,$K157),""))</f>
        <v/>
      </c>
      <c r="F157" t="str">
        <f>IF($K157="","",IFERROR(INDEX('Veri Merkezi'!$H$2:$H$1001,$K157),""))</f>
        <v/>
      </c>
      <c r="G157" t="str">
        <f>IF($K157="","",IFERROR(INDEX('Veri Merkezi'!$R$2:$R$1001,$K157),""))</f>
        <v/>
      </c>
      <c r="H157" t="str">
        <f>IF($K157="","",IFERROR(INDEX('Veri Merkezi'!$S$2:$S$1001,$K157),""))</f>
        <v/>
      </c>
      <c r="I157" s="2" t="str">
        <f>IF($K157="","",IFERROR(INDEX('Veri Merkezi'!$T$2:$T$1001,$K157),""))</f>
        <v/>
      </c>
      <c r="J157" t="str">
        <f>IF($K157="","",IFERROR(INDEX('Veri Merkezi'!$U$2:$U$1001,$K157),""))</f>
        <v/>
      </c>
      <c r="K157" t="str">
        <f>IFERROR(MATCH(ROWS($K$4:K157),'Veri Merkezi'!$X$2:$X$1001,0),"")</f>
        <v/>
      </c>
    </row>
    <row r="158" spans="1:11">
      <c r="A158" t="str">
        <f>IF($K158="","",IFERROR(INDEX('Veri Merkezi'!$A$2:$A$1001,$K158),""))</f>
        <v/>
      </c>
      <c r="B158" t="str">
        <f>IF($K158="","",IFERROR(INDEX('Veri Merkezi'!$E$2:$E$1001,$K158),""))</f>
        <v/>
      </c>
      <c r="C158" t="str">
        <f>IF($K158="","",IFERROR(INDEX('Veri Merkezi'!$D$2:$D$1001,$K158),""))</f>
        <v/>
      </c>
      <c r="D158" t="str">
        <f>IF($K158="","",IFERROR(INDEX('Veri Merkezi'!$F$2:$F$1001,$K158),""))</f>
        <v/>
      </c>
      <c r="E158" s="2" t="str">
        <f>IF($K158="","",IFERROR(INDEX('Veri Merkezi'!$G$2:$G$1001,$K158),""))</f>
        <v/>
      </c>
      <c r="F158" t="str">
        <f>IF($K158="","",IFERROR(INDEX('Veri Merkezi'!$H$2:$H$1001,$K158),""))</f>
        <v/>
      </c>
      <c r="G158" t="str">
        <f>IF($K158="","",IFERROR(INDEX('Veri Merkezi'!$R$2:$R$1001,$K158),""))</f>
        <v/>
      </c>
      <c r="H158" t="str">
        <f>IF($K158="","",IFERROR(INDEX('Veri Merkezi'!$S$2:$S$1001,$K158),""))</f>
        <v/>
      </c>
      <c r="I158" s="2" t="str">
        <f>IF($K158="","",IFERROR(INDEX('Veri Merkezi'!$T$2:$T$1001,$K158),""))</f>
        <v/>
      </c>
      <c r="J158" t="str">
        <f>IF($K158="","",IFERROR(INDEX('Veri Merkezi'!$U$2:$U$1001,$K158),""))</f>
        <v/>
      </c>
      <c r="K158" t="str">
        <f>IFERROR(MATCH(ROWS($K$4:K158),'Veri Merkezi'!$X$2:$X$1001,0),"")</f>
        <v/>
      </c>
    </row>
    <row r="159" spans="1:11">
      <c r="A159" t="str">
        <f>IF($K159="","",IFERROR(INDEX('Veri Merkezi'!$A$2:$A$1001,$K159),""))</f>
        <v/>
      </c>
      <c r="B159" t="str">
        <f>IF($K159="","",IFERROR(INDEX('Veri Merkezi'!$E$2:$E$1001,$K159),""))</f>
        <v/>
      </c>
      <c r="C159" t="str">
        <f>IF($K159="","",IFERROR(INDEX('Veri Merkezi'!$D$2:$D$1001,$K159),""))</f>
        <v/>
      </c>
      <c r="D159" t="str">
        <f>IF($K159="","",IFERROR(INDEX('Veri Merkezi'!$F$2:$F$1001,$K159),""))</f>
        <v/>
      </c>
      <c r="E159" s="2" t="str">
        <f>IF($K159="","",IFERROR(INDEX('Veri Merkezi'!$G$2:$G$1001,$K159),""))</f>
        <v/>
      </c>
      <c r="F159" t="str">
        <f>IF($K159="","",IFERROR(INDEX('Veri Merkezi'!$H$2:$H$1001,$K159),""))</f>
        <v/>
      </c>
      <c r="G159" t="str">
        <f>IF($K159="","",IFERROR(INDEX('Veri Merkezi'!$R$2:$R$1001,$K159),""))</f>
        <v/>
      </c>
      <c r="H159" t="str">
        <f>IF($K159="","",IFERROR(INDEX('Veri Merkezi'!$S$2:$S$1001,$K159),""))</f>
        <v/>
      </c>
      <c r="I159" s="2" t="str">
        <f>IF($K159="","",IFERROR(INDEX('Veri Merkezi'!$T$2:$T$1001,$K159),""))</f>
        <v/>
      </c>
      <c r="J159" t="str">
        <f>IF($K159="","",IFERROR(INDEX('Veri Merkezi'!$U$2:$U$1001,$K159),""))</f>
        <v/>
      </c>
      <c r="K159" t="str">
        <f>IFERROR(MATCH(ROWS($K$4:K159),'Veri Merkezi'!$X$2:$X$1001,0),"")</f>
        <v/>
      </c>
    </row>
    <row r="160" spans="1:11">
      <c r="A160" t="str">
        <f>IF($K160="","",IFERROR(INDEX('Veri Merkezi'!$A$2:$A$1001,$K160),""))</f>
        <v/>
      </c>
      <c r="B160" t="str">
        <f>IF($K160="","",IFERROR(INDEX('Veri Merkezi'!$E$2:$E$1001,$K160),""))</f>
        <v/>
      </c>
      <c r="C160" t="str">
        <f>IF($K160="","",IFERROR(INDEX('Veri Merkezi'!$D$2:$D$1001,$K160),""))</f>
        <v/>
      </c>
      <c r="D160" t="str">
        <f>IF($K160="","",IFERROR(INDEX('Veri Merkezi'!$F$2:$F$1001,$K160),""))</f>
        <v/>
      </c>
      <c r="E160" s="2" t="str">
        <f>IF($K160="","",IFERROR(INDEX('Veri Merkezi'!$G$2:$G$1001,$K160),""))</f>
        <v/>
      </c>
      <c r="F160" t="str">
        <f>IF($K160="","",IFERROR(INDEX('Veri Merkezi'!$H$2:$H$1001,$K160),""))</f>
        <v/>
      </c>
      <c r="G160" t="str">
        <f>IF($K160="","",IFERROR(INDEX('Veri Merkezi'!$R$2:$R$1001,$K160),""))</f>
        <v/>
      </c>
      <c r="H160" t="str">
        <f>IF($K160="","",IFERROR(INDEX('Veri Merkezi'!$S$2:$S$1001,$K160),""))</f>
        <v/>
      </c>
      <c r="I160" s="2" t="str">
        <f>IF($K160="","",IFERROR(INDEX('Veri Merkezi'!$T$2:$T$1001,$K160),""))</f>
        <v/>
      </c>
      <c r="J160" t="str">
        <f>IF($K160="","",IFERROR(INDEX('Veri Merkezi'!$U$2:$U$1001,$K160),""))</f>
        <v/>
      </c>
      <c r="K160" t="str">
        <f>IFERROR(MATCH(ROWS($K$4:K160),'Veri Merkezi'!$X$2:$X$1001,0),"")</f>
        <v/>
      </c>
    </row>
    <row r="161" spans="1:11">
      <c r="A161" t="str">
        <f>IF($K161="","",IFERROR(INDEX('Veri Merkezi'!$A$2:$A$1001,$K161),""))</f>
        <v/>
      </c>
      <c r="B161" t="str">
        <f>IF($K161="","",IFERROR(INDEX('Veri Merkezi'!$E$2:$E$1001,$K161),""))</f>
        <v/>
      </c>
      <c r="C161" t="str">
        <f>IF($K161="","",IFERROR(INDEX('Veri Merkezi'!$D$2:$D$1001,$K161),""))</f>
        <v/>
      </c>
      <c r="D161" t="str">
        <f>IF($K161="","",IFERROR(INDEX('Veri Merkezi'!$F$2:$F$1001,$K161),""))</f>
        <v/>
      </c>
      <c r="E161" s="2" t="str">
        <f>IF($K161="","",IFERROR(INDEX('Veri Merkezi'!$G$2:$G$1001,$K161),""))</f>
        <v/>
      </c>
      <c r="F161" t="str">
        <f>IF($K161="","",IFERROR(INDEX('Veri Merkezi'!$H$2:$H$1001,$K161),""))</f>
        <v/>
      </c>
      <c r="G161" t="str">
        <f>IF($K161="","",IFERROR(INDEX('Veri Merkezi'!$R$2:$R$1001,$K161),""))</f>
        <v/>
      </c>
      <c r="H161" t="str">
        <f>IF($K161="","",IFERROR(INDEX('Veri Merkezi'!$S$2:$S$1001,$K161),""))</f>
        <v/>
      </c>
      <c r="I161" s="2" t="str">
        <f>IF($K161="","",IFERROR(INDEX('Veri Merkezi'!$T$2:$T$1001,$K161),""))</f>
        <v/>
      </c>
      <c r="J161" t="str">
        <f>IF($K161="","",IFERROR(INDEX('Veri Merkezi'!$U$2:$U$1001,$K161),""))</f>
        <v/>
      </c>
      <c r="K161" t="str">
        <f>IFERROR(MATCH(ROWS($K$4:K161),'Veri Merkezi'!$X$2:$X$1001,0),"")</f>
        <v/>
      </c>
    </row>
    <row r="162" spans="1:11">
      <c r="A162" t="str">
        <f>IF($K162="","",IFERROR(INDEX('Veri Merkezi'!$A$2:$A$1001,$K162),""))</f>
        <v/>
      </c>
      <c r="B162" t="str">
        <f>IF($K162="","",IFERROR(INDEX('Veri Merkezi'!$E$2:$E$1001,$K162),""))</f>
        <v/>
      </c>
      <c r="C162" t="str">
        <f>IF($K162="","",IFERROR(INDEX('Veri Merkezi'!$D$2:$D$1001,$K162),""))</f>
        <v/>
      </c>
      <c r="D162" t="str">
        <f>IF($K162="","",IFERROR(INDEX('Veri Merkezi'!$F$2:$F$1001,$K162),""))</f>
        <v/>
      </c>
      <c r="E162" s="2" t="str">
        <f>IF($K162="","",IFERROR(INDEX('Veri Merkezi'!$G$2:$G$1001,$K162),""))</f>
        <v/>
      </c>
      <c r="F162" t="str">
        <f>IF($K162="","",IFERROR(INDEX('Veri Merkezi'!$H$2:$H$1001,$K162),""))</f>
        <v/>
      </c>
      <c r="G162" t="str">
        <f>IF($K162="","",IFERROR(INDEX('Veri Merkezi'!$R$2:$R$1001,$K162),""))</f>
        <v/>
      </c>
      <c r="H162" t="str">
        <f>IF($K162="","",IFERROR(INDEX('Veri Merkezi'!$S$2:$S$1001,$K162),""))</f>
        <v/>
      </c>
      <c r="I162" s="2" t="str">
        <f>IF($K162="","",IFERROR(INDEX('Veri Merkezi'!$T$2:$T$1001,$K162),""))</f>
        <v/>
      </c>
      <c r="J162" t="str">
        <f>IF($K162="","",IFERROR(INDEX('Veri Merkezi'!$U$2:$U$1001,$K162),""))</f>
        <v/>
      </c>
      <c r="K162" t="str">
        <f>IFERROR(MATCH(ROWS($K$4:K162),'Veri Merkezi'!$X$2:$X$1001,0),"")</f>
        <v/>
      </c>
    </row>
    <row r="163" spans="1:11">
      <c r="A163" t="str">
        <f>IF($K163="","",IFERROR(INDEX('Veri Merkezi'!$A$2:$A$1001,$K163),""))</f>
        <v/>
      </c>
      <c r="B163" t="str">
        <f>IF($K163="","",IFERROR(INDEX('Veri Merkezi'!$E$2:$E$1001,$K163),""))</f>
        <v/>
      </c>
      <c r="C163" t="str">
        <f>IF($K163="","",IFERROR(INDEX('Veri Merkezi'!$D$2:$D$1001,$K163),""))</f>
        <v/>
      </c>
      <c r="D163" t="str">
        <f>IF($K163="","",IFERROR(INDEX('Veri Merkezi'!$F$2:$F$1001,$K163),""))</f>
        <v/>
      </c>
      <c r="E163" s="2" t="str">
        <f>IF($K163="","",IFERROR(INDEX('Veri Merkezi'!$G$2:$G$1001,$K163),""))</f>
        <v/>
      </c>
      <c r="F163" t="str">
        <f>IF($K163="","",IFERROR(INDEX('Veri Merkezi'!$H$2:$H$1001,$K163),""))</f>
        <v/>
      </c>
      <c r="G163" t="str">
        <f>IF($K163="","",IFERROR(INDEX('Veri Merkezi'!$R$2:$R$1001,$K163),""))</f>
        <v/>
      </c>
      <c r="H163" t="str">
        <f>IF($K163="","",IFERROR(INDEX('Veri Merkezi'!$S$2:$S$1001,$K163),""))</f>
        <v/>
      </c>
      <c r="I163" s="2" t="str">
        <f>IF($K163="","",IFERROR(INDEX('Veri Merkezi'!$T$2:$T$1001,$K163),""))</f>
        <v/>
      </c>
      <c r="J163" t="str">
        <f>IF($K163="","",IFERROR(INDEX('Veri Merkezi'!$U$2:$U$1001,$K163),""))</f>
        <v/>
      </c>
      <c r="K163" t="str">
        <f>IFERROR(MATCH(ROWS($K$4:K163),'Veri Merkezi'!$X$2:$X$1001,0),"")</f>
        <v/>
      </c>
    </row>
    <row r="164" spans="1:11">
      <c r="A164" t="str">
        <f>IF($K164="","",IFERROR(INDEX('Veri Merkezi'!$A$2:$A$1001,$K164),""))</f>
        <v/>
      </c>
      <c r="B164" t="str">
        <f>IF($K164="","",IFERROR(INDEX('Veri Merkezi'!$E$2:$E$1001,$K164),""))</f>
        <v/>
      </c>
      <c r="C164" t="str">
        <f>IF($K164="","",IFERROR(INDEX('Veri Merkezi'!$D$2:$D$1001,$K164),""))</f>
        <v/>
      </c>
      <c r="D164" t="str">
        <f>IF($K164="","",IFERROR(INDEX('Veri Merkezi'!$F$2:$F$1001,$K164),""))</f>
        <v/>
      </c>
      <c r="E164" s="2" t="str">
        <f>IF($K164="","",IFERROR(INDEX('Veri Merkezi'!$G$2:$G$1001,$K164),""))</f>
        <v/>
      </c>
      <c r="F164" t="str">
        <f>IF($K164="","",IFERROR(INDEX('Veri Merkezi'!$H$2:$H$1001,$K164),""))</f>
        <v/>
      </c>
      <c r="G164" t="str">
        <f>IF($K164="","",IFERROR(INDEX('Veri Merkezi'!$R$2:$R$1001,$K164),""))</f>
        <v/>
      </c>
      <c r="H164" t="str">
        <f>IF($K164="","",IFERROR(INDEX('Veri Merkezi'!$S$2:$S$1001,$K164),""))</f>
        <v/>
      </c>
      <c r="I164" s="2" t="str">
        <f>IF($K164="","",IFERROR(INDEX('Veri Merkezi'!$T$2:$T$1001,$K164),""))</f>
        <v/>
      </c>
      <c r="J164" t="str">
        <f>IF($K164="","",IFERROR(INDEX('Veri Merkezi'!$U$2:$U$1001,$K164),""))</f>
        <v/>
      </c>
      <c r="K164" t="str">
        <f>IFERROR(MATCH(ROWS($K$4:K164),'Veri Merkezi'!$X$2:$X$1001,0),"")</f>
        <v/>
      </c>
    </row>
    <row r="165" spans="1:11">
      <c r="A165" t="str">
        <f>IF($K165="","",IFERROR(INDEX('Veri Merkezi'!$A$2:$A$1001,$K165),""))</f>
        <v/>
      </c>
      <c r="B165" t="str">
        <f>IF($K165="","",IFERROR(INDEX('Veri Merkezi'!$E$2:$E$1001,$K165),""))</f>
        <v/>
      </c>
      <c r="C165" t="str">
        <f>IF($K165="","",IFERROR(INDEX('Veri Merkezi'!$D$2:$D$1001,$K165),""))</f>
        <v/>
      </c>
      <c r="D165" t="str">
        <f>IF($K165="","",IFERROR(INDEX('Veri Merkezi'!$F$2:$F$1001,$K165),""))</f>
        <v/>
      </c>
      <c r="E165" s="2" t="str">
        <f>IF($K165="","",IFERROR(INDEX('Veri Merkezi'!$G$2:$G$1001,$K165),""))</f>
        <v/>
      </c>
      <c r="F165" t="str">
        <f>IF($K165="","",IFERROR(INDEX('Veri Merkezi'!$H$2:$H$1001,$K165),""))</f>
        <v/>
      </c>
      <c r="G165" t="str">
        <f>IF($K165="","",IFERROR(INDEX('Veri Merkezi'!$R$2:$R$1001,$K165),""))</f>
        <v/>
      </c>
      <c r="H165" t="str">
        <f>IF($K165="","",IFERROR(INDEX('Veri Merkezi'!$S$2:$S$1001,$K165),""))</f>
        <v/>
      </c>
      <c r="I165" s="2" t="str">
        <f>IF($K165="","",IFERROR(INDEX('Veri Merkezi'!$T$2:$T$1001,$K165),""))</f>
        <v/>
      </c>
      <c r="J165" t="str">
        <f>IF($K165="","",IFERROR(INDEX('Veri Merkezi'!$U$2:$U$1001,$K165),""))</f>
        <v/>
      </c>
      <c r="K165" t="str">
        <f>IFERROR(MATCH(ROWS($K$4:K165),'Veri Merkezi'!$X$2:$X$1001,0),"")</f>
        <v/>
      </c>
    </row>
    <row r="166" spans="1:11">
      <c r="A166" t="str">
        <f>IF($K166="","",IFERROR(INDEX('Veri Merkezi'!$A$2:$A$1001,$K166),""))</f>
        <v/>
      </c>
      <c r="B166" t="str">
        <f>IF($K166="","",IFERROR(INDEX('Veri Merkezi'!$E$2:$E$1001,$K166),""))</f>
        <v/>
      </c>
      <c r="C166" t="str">
        <f>IF($K166="","",IFERROR(INDEX('Veri Merkezi'!$D$2:$D$1001,$K166),""))</f>
        <v/>
      </c>
      <c r="D166" t="str">
        <f>IF($K166="","",IFERROR(INDEX('Veri Merkezi'!$F$2:$F$1001,$K166),""))</f>
        <v/>
      </c>
      <c r="E166" s="2" t="str">
        <f>IF($K166="","",IFERROR(INDEX('Veri Merkezi'!$G$2:$G$1001,$K166),""))</f>
        <v/>
      </c>
      <c r="F166" t="str">
        <f>IF($K166="","",IFERROR(INDEX('Veri Merkezi'!$H$2:$H$1001,$K166),""))</f>
        <v/>
      </c>
      <c r="G166" t="str">
        <f>IF($K166="","",IFERROR(INDEX('Veri Merkezi'!$R$2:$R$1001,$K166),""))</f>
        <v/>
      </c>
      <c r="H166" t="str">
        <f>IF($K166="","",IFERROR(INDEX('Veri Merkezi'!$S$2:$S$1001,$K166),""))</f>
        <v/>
      </c>
      <c r="I166" s="2" t="str">
        <f>IF($K166="","",IFERROR(INDEX('Veri Merkezi'!$T$2:$T$1001,$K166),""))</f>
        <v/>
      </c>
      <c r="J166" t="str">
        <f>IF($K166="","",IFERROR(INDEX('Veri Merkezi'!$U$2:$U$1001,$K166),""))</f>
        <v/>
      </c>
      <c r="K166" t="str">
        <f>IFERROR(MATCH(ROWS($K$4:K166),'Veri Merkezi'!$X$2:$X$1001,0),"")</f>
        <v/>
      </c>
    </row>
    <row r="167" spans="1:11">
      <c r="A167" t="str">
        <f>IF($K167="","",IFERROR(INDEX('Veri Merkezi'!$A$2:$A$1001,$K167),""))</f>
        <v/>
      </c>
      <c r="B167" t="str">
        <f>IF($K167="","",IFERROR(INDEX('Veri Merkezi'!$E$2:$E$1001,$K167),""))</f>
        <v/>
      </c>
      <c r="C167" t="str">
        <f>IF($K167="","",IFERROR(INDEX('Veri Merkezi'!$D$2:$D$1001,$K167),""))</f>
        <v/>
      </c>
      <c r="D167" t="str">
        <f>IF($K167="","",IFERROR(INDEX('Veri Merkezi'!$F$2:$F$1001,$K167),""))</f>
        <v/>
      </c>
      <c r="E167" s="2" t="str">
        <f>IF($K167="","",IFERROR(INDEX('Veri Merkezi'!$G$2:$G$1001,$K167),""))</f>
        <v/>
      </c>
      <c r="F167" t="str">
        <f>IF($K167="","",IFERROR(INDEX('Veri Merkezi'!$H$2:$H$1001,$K167),""))</f>
        <v/>
      </c>
      <c r="G167" t="str">
        <f>IF($K167="","",IFERROR(INDEX('Veri Merkezi'!$R$2:$R$1001,$K167),""))</f>
        <v/>
      </c>
      <c r="H167" t="str">
        <f>IF($K167="","",IFERROR(INDEX('Veri Merkezi'!$S$2:$S$1001,$K167),""))</f>
        <v/>
      </c>
      <c r="I167" s="2" t="str">
        <f>IF($K167="","",IFERROR(INDEX('Veri Merkezi'!$T$2:$T$1001,$K167),""))</f>
        <v/>
      </c>
      <c r="J167" t="str">
        <f>IF($K167="","",IFERROR(INDEX('Veri Merkezi'!$U$2:$U$1001,$K167),""))</f>
        <v/>
      </c>
      <c r="K167" t="str">
        <f>IFERROR(MATCH(ROWS($K$4:K167),'Veri Merkezi'!$X$2:$X$1001,0),"")</f>
        <v/>
      </c>
    </row>
    <row r="168" spans="1:11">
      <c r="A168" t="str">
        <f>IF($K168="","",IFERROR(INDEX('Veri Merkezi'!$A$2:$A$1001,$K168),""))</f>
        <v/>
      </c>
      <c r="B168" t="str">
        <f>IF($K168="","",IFERROR(INDEX('Veri Merkezi'!$E$2:$E$1001,$K168),""))</f>
        <v/>
      </c>
      <c r="C168" t="str">
        <f>IF($K168="","",IFERROR(INDEX('Veri Merkezi'!$D$2:$D$1001,$K168),""))</f>
        <v/>
      </c>
      <c r="D168" t="str">
        <f>IF($K168="","",IFERROR(INDEX('Veri Merkezi'!$F$2:$F$1001,$K168),""))</f>
        <v/>
      </c>
      <c r="E168" s="2" t="str">
        <f>IF($K168="","",IFERROR(INDEX('Veri Merkezi'!$G$2:$G$1001,$K168),""))</f>
        <v/>
      </c>
      <c r="F168" t="str">
        <f>IF($K168="","",IFERROR(INDEX('Veri Merkezi'!$H$2:$H$1001,$K168),""))</f>
        <v/>
      </c>
      <c r="G168" t="str">
        <f>IF($K168="","",IFERROR(INDEX('Veri Merkezi'!$R$2:$R$1001,$K168),""))</f>
        <v/>
      </c>
      <c r="H168" t="str">
        <f>IF($K168="","",IFERROR(INDEX('Veri Merkezi'!$S$2:$S$1001,$K168),""))</f>
        <v/>
      </c>
      <c r="I168" s="2" t="str">
        <f>IF($K168="","",IFERROR(INDEX('Veri Merkezi'!$T$2:$T$1001,$K168),""))</f>
        <v/>
      </c>
      <c r="J168" t="str">
        <f>IF($K168="","",IFERROR(INDEX('Veri Merkezi'!$U$2:$U$1001,$K168),""))</f>
        <v/>
      </c>
      <c r="K168" t="str">
        <f>IFERROR(MATCH(ROWS($K$4:K168),'Veri Merkezi'!$X$2:$X$1001,0),"")</f>
        <v/>
      </c>
    </row>
    <row r="169" spans="1:11">
      <c r="A169" t="str">
        <f>IF($K169="","",IFERROR(INDEX('Veri Merkezi'!$A$2:$A$1001,$K169),""))</f>
        <v/>
      </c>
      <c r="B169" t="str">
        <f>IF($K169="","",IFERROR(INDEX('Veri Merkezi'!$E$2:$E$1001,$K169),""))</f>
        <v/>
      </c>
      <c r="C169" t="str">
        <f>IF($K169="","",IFERROR(INDEX('Veri Merkezi'!$D$2:$D$1001,$K169),""))</f>
        <v/>
      </c>
      <c r="D169" t="str">
        <f>IF($K169="","",IFERROR(INDEX('Veri Merkezi'!$F$2:$F$1001,$K169),""))</f>
        <v/>
      </c>
      <c r="E169" s="2" t="str">
        <f>IF($K169="","",IFERROR(INDEX('Veri Merkezi'!$G$2:$G$1001,$K169),""))</f>
        <v/>
      </c>
      <c r="F169" t="str">
        <f>IF($K169="","",IFERROR(INDEX('Veri Merkezi'!$H$2:$H$1001,$K169),""))</f>
        <v/>
      </c>
      <c r="G169" t="str">
        <f>IF($K169="","",IFERROR(INDEX('Veri Merkezi'!$R$2:$R$1001,$K169),""))</f>
        <v/>
      </c>
      <c r="H169" t="str">
        <f>IF($K169="","",IFERROR(INDEX('Veri Merkezi'!$S$2:$S$1001,$K169),""))</f>
        <v/>
      </c>
      <c r="I169" s="2" t="str">
        <f>IF($K169="","",IFERROR(INDEX('Veri Merkezi'!$T$2:$T$1001,$K169),""))</f>
        <v/>
      </c>
      <c r="J169" t="str">
        <f>IF($K169="","",IFERROR(INDEX('Veri Merkezi'!$U$2:$U$1001,$K169),""))</f>
        <v/>
      </c>
      <c r="K169" t="str">
        <f>IFERROR(MATCH(ROWS($K$4:K169),'Veri Merkezi'!$X$2:$X$1001,0),"")</f>
        <v/>
      </c>
    </row>
    <row r="170" spans="1:11">
      <c r="A170" t="str">
        <f>IF($K170="","",IFERROR(INDEX('Veri Merkezi'!$A$2:$A$1001,$K170),""))</f>
        <v/>
      </c>
      <c r="B170" t="str">
        <f>IF($K170="","",IFERROR(INDEX('Veri Merkezi'!$E$2:$E$1001,$K170),""))</f>
        <v/>
      </c>
      <c r="C170" t="str">
        <f>IF($K170="","",IFERROR(INDEX('Veri Merkezi'!$D$2:$D$1001,$K170),""))</f>
        <v/>
      </c>
      <c r="D170" t="str">
        <f>IF($K170="","",IFERROR(INDEX('Veri Merkezi'!$F$2:$F$1001,$K170),""))</f>
        <v/>
      </c>
      <c r="E170" s="2" t="str">
        <f>IF($K170="","",IFERROR(INDEX('Veri Merkezi'!$G$2:$G$1001,$K170),""))</f>
        <v/>
      </c>
      <c r="F170" t="str">
        <f>IF($K170="","",IFERROR(INDEX('Veri Merkezi'!$H$2:$H$1001,$K170),""))</f>
        <v/>
      </c>
      <c r="G170" t="str">
        <f>IF($K170="","",IFERROR(INDEX('Veri Merkezi'!$R$2:$R$1001,$K170),""))</f>
        <v/>
      </c>
      <c r="H170" t="str">
        <f>IF($K170="","",IFERROR(INDEX('Veri Merkezi'!$S$2:$S$1001,$K170),""))</f>
        <v/>
      </c>
      <c r="I170" s="2" t="str">
        <f>IF($K170="","",IFERROR(INDEX('Veri Merkezi'!$T$2:$T$1001,$K170),""))</f>
        <v/>
      </c>
      <c r="J170" t="str">
        <f>IF($K170="","",IFERROR(INDEX('Veri Merkezi'!$U$2:$U$1001,$K170),""))</f>
        <v/>
      </c>
      <c r="K170" t="str">
        <f>IFERROR(MATCH(ROWS($K$4:K170),'Veri Merkezi'!$X$2:$X$1001,0),"")</f>
        <v/>
      </c>
    </row>
    <row r="171" spans="1:11">
      <c r="A171" t="str">
        <f>IF($K171="","",IFERROR(INDEX('Veri Merkezi'!$A$2:$A$1001,$K171),""))</f>
        <v/>
      </c>
      <c r="B171" t="str">
        <f>IF($K171="","",IFERROR(INDEX('Veri Merkezi'!$E$2:$E$1001,$K171),""))</f>
        <v/>
      </c>
      <c r="C171" t="str">
        <f>IF($K171="","",IFERROR(INDEX('Veri Merkezi'!$D$2:$D$1001,$K171),""))</f>
        <v/>
      </c>
      <c r="D171" t="str">
        <f>IF($K171="","",IFERROR(INDEX('Veri Merkezi'!$F$2:$F$1001,$K171),""))</f>
        <v/>
      </c>
      <c r="E171" s="2" t="str">
        <f>IF($K171="","",IFERROR(INDEX('Veri Merkezi'!$G$2:$G$1001,$K171),""))</f>
        <v/>
      </c>
      <c r="F171" t="str">
        <f>IF($K171="","",IFERROR(INDEX('Veri Merkezi'!$H$2:$H$1001,$K171),""))</f>
        <v/>
      </c>
      <c r="G171" t="str">
        <f>IF($K171="","",IFERROR(INDEX('Veri Merkezi'!$R$2:$R$1001,$K171),""))</f>
        <v/>
      </c>
      <c r="H171" t="str">
        <f>IF($K171="","",IFERROR(INDEX('Veri Merkezi'!$S$2:$S$1001,$K171),""))</f>
        <v/>
      </c>
      <c r="I171" s="2" t="str">
        <f>IF($K171="","",IFERROR(INDEX('Veri Merkezi'!$T$2:$T$1001,$K171),""))</f>
        <v/>
      </c>
      <c r="J171" t="str">
        <f>IF($K171="","",IFERROR(INDEX('Veri Merkezi'!$U$2:$U$1001,$K171),""))</f>
        <v/>
      </c>
      <c r="K171" t="str">
        <f>IFERROR(MATCH(ROWS($K$4:K171),'Veri Merkezi'!$X$2:$X$1001,0),"")</f>
        <v/>
      </c>
    </row>
    <row r="172" spans="1:11">
      <c r="A172" t="str">
        <f>IF($K172="","",IFERROR(INDEX('Veri Merkezi'!$A$2:$A$1001,$K172),""))</f>
        <v/>
      </c>
      <c r="B172" t="str">
        <f>IF($K172="","",IFERROR(INDEX('Veri Merkezi'!$E$2:$E$1001,$K172),""))</f>
        <v/>
      </c>
      <c r="C172" t="str">
        <f>IF($K172="","",IFERROR(INDEX('Veri Merkezi'!$D$2:$D$1001,$K172),""))</f>
        <v/>
      </c>
      <c r="D172" t="str">
        <f>IF($K172="","",IFERROR(INDEX('Veri Merkezi'!$F$2:$F$1001,$K172),""))</f>
        <v/>
      </c>
      <c r="E172" s="2" t="str">
        <f>IF($K172="","",IFERROR(INDEX('Veri Merkezi'!$G$2:$G$1001,$K172),""))</f>
        <v/>
      </c>
      <c r="F172" t="str">
        <f>IF($K172="","",IFERROR(INDEX('Veri Merkezi'!$H$2:$H$1001,$K172),""))</f>
        <v/>
      </c>
      <c r="G172" t="str">
        <f>IF($K172="","",IFERROR(INDEX('Veri Merkezi'!$R$2:$R$1001,$K172),""))</f>
        <v/>
      </c>
      <c r="H172" t="str">
        <f>IF($K172="","",IFERROR(INDEX('Veri Merkezi'!$S$2:$S$1001,$K172),""))</f>
        <v/>
      </c>
      <c r="I172" s="2" t="str">
        <f>IF($K172="","",IFERROR(INDEX('Veri Merkezi'!$T$2:$T$1001,$K172),""))</f>
        <v/>
      </c>
      <c r="J172" t="str">
        <f>IF($K172="","",IFERROR(INDEX('Veri Merkezi'!$U$2:$U$1001,$K172),""))</f>
        <v/>
      </c>
      <c r="K172" t="str">
        <f>IFERROR(MATCH(ROWS($K$4:K172),'Veri Merkezi'!$X$2:$X$1001,0),"")</f>
        <v/>
      </c>
    </row>
    <row r="173" spans="1:11">
      <c r="A173" t="str">
        <f>IF($K173="","",IFERROR(INDEX('Veri Merkezi'!$A$2:$A$1001,$K173),""))</f>
        <v/>
      </c>
      <c r="B173" t="str">
        <f>IF($K173="","",IFERROR(INDEX('Veri Merkezi'!$E$2:$E$1001,$K173),""))</f>
        <v/>
      </c>
      <c r="C173" t="str">
        <f>IF($K173="","",IFERROR(INDEX('Veri Merkezi'!$D$2:$D$1001,$K173),""))</f>
        <v/>
      </c>
      <c r="D173" t="str">
        <f>IF($K173="","",IFERROR(INDEX('Veri Merkezi'!$F$2:$F$1001,$K173),""))</f>
        <v/>
      </c>
      <c r="E173" s="2" t="str">
        <f>IF($K173="","",IFERROR(INDEX('Veri Merkezi'!$G$2:$G$1001,$K173),""))</f>
        <v/>
      </c>
      <c r="F173" t="str">
        <f>IF($K173="","",IFERROR(INDEX('Veri Merkezi'!$H$2:$H$1001,$K173),""))</f>
        <v/>
      </c>
      <c r="G173" t="str">
        <f>IF($K173="","",IFERROR(INDEX('Veri Merkezi'!$R$2:$R$1001,$K173),""))</f>
        <v/>
      </c>
      <c r="H173" t="str">
        <f>IF($K173="","",IFERROR(INDEX('Veri Merkezi'!$S$2:$S$1001,$K173),""))</f>
        <v/>
      </c>
      <c r="I173" s="2" t="str">
        <f>IF($K173="","",IFERROR(INDEX('Veri Merkezi'!$T$2:$T$1001,$K173),""))</f>
        <v/>
      </c>
      <c r="J173" t="str">
        <f>IF($K173="","",IFERROR(INDEX('Veri Merkezi'!$U$2:$U$1001,$K173),""))</f>
        <v/>
      </c>
      <c r="K173" t="str">
        <f>IFERROR(MATCH(ROWS($K$4:K173),'Veri Merkezi'!$X$2:$X$1001,0),"")</f>
        <v/>
      </c>
    </row>
    <row r="174" spans="1:11">
      <c r="A174" t="str">
        <f>IF($K174="","",IFERROR(INDEX('Veri Merkezi'!$A$2:$A$1001,$K174),""))</f>
        <v/>
      </c>
      <c r="B174" t="str">
        <f>IF($K174="","",IFERROR(INDEX('Veri Merkezi'!$E$2:$E$1001,$K174),""))</f>
        <v/>
      </c>
      <c r="C174" t="str">
        <f>IF($K174="","",IFERROR(INDEX('Veri Merkezi'!$D$2:$D$1001,$K174),""))</f>
        <v/>
      </c>
      <c r="D174" t="str">
        <f>IF($K174="","",IFERROR(INDEX('Veri Merkezi'!$F$2:$F$1001,$K174),""))</f>
        <v/>
      </c>
      <c r="E174" s="2" t="str">
        <f>IF($K174="","",IFERROR(INDEX('Veri Merkezi'!$G$2:$G$1001,$K174),""))</f>
        <v/>
      </c>
      <c r="F174" t="str">
        <f>IF($K174="","",IFERROR(INDEX('Veri Merkezi'!$H$2:$H$1001,$K174),""))</f>
        <v/>
      </c>
      <c r="G174" t="str">
        <f>IF($K174="","",IFERROR(INDEX('Veri Merkezi'!$R$2:$R$1001,$K174),""))</f>
        <v/>
      </c>
      <c r="H174" t="str">
        <f>IF($K174="","",IFERROR(INDEX('Veri Merkezi'!$S$2:$S$1001,$K174),""))</f>
        <v/>
      </c>
      <c r="I174" s="2" t="str">
        <f>IF($K174="","",IFERROR(INDEX('Veri Merkezi'!$T$2:$T$1001,$K174),""))</f>
        <v/>
      </c>
      <c r="J174" t="str">
        <f>IF($K174="","",IFERROR(INDEX('Veri Merkezi'!$U$2:$U$1001,$K174),""))</f>
        <v/>
      </c>
      <c r="K174" t="str">
        <f>IFERROR(MATCH(ROWS($K$4:K174),'Veri Merkezi'!$X$2:$X$1001,0),"")</f>
        <v/>
      </c>
    </row>
    <row r="175" spans="1:11">
      <c r="A175" t="str">
        <f>IF($K175="","",IFERROR(INDEX('Veri Merkezi'!$A$2:$A$1001,$K175),""))</f>
        <v/>
      </c>
      <c r="B175" t="str">
        <f>IF($K175="","",IFERROR(INDEX('Veri Merkezi'!$E$2:$E$1001,$K175),""))</f>
        <v/>
      </c>
      <c r="C175" t="str">
        <f>IF($K175="","",IFERROR(INDEX('Veri Merkezi'!$D$2:$D$1001,$K175),""))</f>
        <v/>
      </c>
      <c r="D175" t="str">
        <f>IF($K175="","",IFERROR(INDEX('Veri Merkezi'!$F$2:$F$1001,$K175),""))</f>
        <v/>
      </c>
      <c r="E175" s="2" t="str">
        <f>IF($K175="","",IFERROR(INDEX('Veri Merkezi'!$G$2:$G$1001,$K175),""))</f>
        <v/>
      </c>
      <c r="F175" t="str">
        <f>IF($K175="","",IFERROR(INDEX('Veri Merkezi'!$H$2:$H$1001,$K175),""))</f>
        <v/>
      </c>
      <c r="G175" t="str">
        <f>IF($K175="","",IFERROR(INDEX('Veri Merkezi'!$R$2:$R$1001,$K175),""))</f>
        <v/>
      </c>
      <c r="H175" t="str">
        <f>IF($K175="","",IFERROR(INDEX('Veri Merkezi'!$S$2:$S$1001,$K175),""))</f>
        <v/>
      </c>
      <c r="I175" s="2" t="str">
        <f>IF($K175="","",IFERROR(INDEX('Veri Merkezi'!$T$2:$T$1001,$K175),""))</f>
        <v/>
      </c>
      <c r="J175" t="str">
        <f>IF($K175="","",IFERROR(INDEX('Veri Merkezi'!$U$2:$U$1001,$K175),""))</f>
        <v/>
      </c>
      <c r="K175" t="str">
        <f>IFERROR(MATCH(ROWS($K$4:K175),'Veri Merkezi'!$X$2:$X$1001,0),"")</f>
        <v/>
      </c>
    </row>
    <row r="176" spans="1:11">
      <c r="A176" t="str">
        <f>IF($K176="","",IFERROR(INDEX('Veri Merkezi'!$A$2:$A$1001,$K176),""))</f>
        <v/>
      </c>
      <c r="B176" t="str">
        <f>IF($K176="","",IFERROR(INDEX('Veri Merkezi'!$E$2:$E$1001,$K176),""))</f>
        <v/>
      </c>
      <c r="C176" t="str">
        <f>IF($K176="","",IFERROR(INDEX('Veri Merkezi'!$D$2:$D$1001,$K176),""))</f>
        <v/>
      </c>
      <c r="D176" t="str">
        <f>IF($K176="","",IFERROR(INDEX('Veri Merkezi'!$F$2:$F$1001,$K176),""))</f>
        <v/>
      </c>
      <c r="E176" s="2" t="str">
        <f>IF($K176="","",IFERROR(INDEX('Veri Merkezi'!$G$2:$G$1001,$K176),""))</f>
        <v/>
      </c>
      <c r="F176" t="str">
        <f>IF($K176="","",IFERROR(INDEX('Veri Merkezi'!$H$2:$H$1001,$K176),""))</f>
        <v/>
      </c>
      <c r="G176" t="str">
        <f>IF($K176="","",IFERROR(INDEX('Veri Merkezi'!$R$2:$R$1001,$K176),""))</f>
        <v/>
      </c>
      <c r="H176" t="str">
        <f>IF($K176="","",IFERROR(INDEX('Veri Merkezi'!$S$2:$S$1001,$K176),""))</f>
        <v/>
      </c>
      <c r="I176" s="2" t="str">
        <f>IF($K176="","",IFERROR(INDEX('Veri Merkezi'!$T$2:$T$1001,$K176),""))</f>
        <v/>
      </c>
      <c r="J176" t="str">
        <f>IF($K176="","",IFERROR(INDEX('Veri Merkezi'!$U$2:$U$1001,$K176),""))</f>
        <v/>
      </c>
      <c r="K176" t="str">
        <f>IFERROR(MATCH(ROWS($K$4:K176),'Veri Merkezi'!$X$2:$X$1001,0),"")</f>
        <v/>
      </c>
    </row>
    <row r="177" spans="1:11">
      <c r="A177" t="str">
        <f>IF($K177="","",IFERROR(INDEX('Veri Merkezi'!$A$2:$A$1001,$K177),""))</f>
        <v/>
      </c>
      <c r="B177" t="str">
        <f>IF($K177="","",IFERROR(INDEX('Veri Merkezi'!$E$2:$E$1001,$K177),""))</f>
        <v/>
      </c>
      <c r="C177" t="str">
        <f>IF($K177="","",IFERROR(INDEX('Veri Merkezi'!$D$2:$D$1001,$K177),""))</f>
        <v/>
      </c>
      <c r="D177" t="str">
        <f>IF($K177="","",IFERROR(INDEX('Veri Merkezi'!$F$2:$F$1001,$K177),""))</f>
        <v/>
      </c>
      <c r="E177" s="2" t="str">
        <f>IF($K177="","",IFERROR(INDEX('Veri Merkezi'!$G$2:$G$1001,$K177),""))</f>
        <v/>
      </c>
      <c r="F177" t="str">
        <f>IF($K177="","",IFERROR(INDEX('Veri Merkezi'!$H$2:$H$1001,$K177),""))</f>
        <v/>
      </c>
      <c r="G177" t="str">
        <f>IF($K177="","",IFERROR(INDEX('Veri Merkezi'!$R$2:$R$1001,$K177),""))</f>
        <v/>
      </c>
      <c r="H177" t="str">
        <f>IF($K177="","",IFERROR(INDEX('Veri Merkezi'!$S$2:$S$1001,$K177),""))</f>
        <v/>
      </c>
      <c r="I177" s="2" t="str">
        <f>IF($K177="","",IFERROR(INDEX('Veri Merkezi'!$T$2:$T$1001,$K177),""))</f>
        <v/>
      </c>
      <c r="J177" t="str">
        <f>IF($K177="","",IFERROR(INDEX('Veri Merkezi'!$U$2:$U$1001,$K177),""))</f>
        <v/>
      </c>
      <c r="K177" t="str">
        <f>IFERROR(MATCH(ROWS($K$4:K177),'Veri Merkezi'!$X$2:$X$1001,0),"")</f>
        <v/>
      </c>
    </row>
    <row r="178" spans="1:11">
      <c r="A178" t="str">
        <f>IF($K178="","",IFERROR(INDEX('Veri Merkezi'!$A$2:$A$1001,$K178),""))</f>
        <v/>
      </c>
      <c r="B178" t="str">
        <f>IF($K178="","",IFERROR(INDEX('Veri Merkezi'!$E$2:$E$1001,$K178),""))</f>
        <v/>
      </c>
      <c r="C178" t="str">
        <f>IF($K178="","",IFERROR(INDEX('Veri Merkezi'!$D$2:$D$1001,$K178),""))</f>
        <v/>
      </c>
      <c r="D178" t="str">
        <f>IF($K178="","",IFERROR(INDEX('Veri Merkezi'!$F$2:$F$1001,$K178),""))</f>
        <v/>
      </c>
      <c r="E178" s="2" t="str">
        <f>IF($K178="","",IFERROR(INDEX('Veri Merkezi'!$G$2:$G$1001,$K178),""))</f>
        <v/>
      </c>
      <c r="F178" t="str">
        <f>IF($K178="","",IFERROR(INDEX('Veri Merkezi'!$H$2:$H$1001,$K178),""))</f>
        <v/>
      </c>
      <c r="G178" t="str">
        <f>IF($K178="","",IFERROR(INDEX('Veri Merkezi'!$R$2:$R$1001,$K178),""))</f>
        <v/>
      </c>
      <c r="H178" t="str">
        <f>IF($K178="","",IFERROR(INDEX('Veri Merkezi'!$S$2:$S$1001,$K178),""))</f>
        <v/>
      </c>
      <c r="I178" s="2" t="str">
        <f>IF($K178="","",IFERROR(INDEX('Veri Merkezi'!$T$2:$T$1001,$K178),""))</f>
        <v/>
      </c>
      <c r="J178" t="str">
        <f>IF($K178="","",IFERROR(INDEX('Veri Merkezi'!$U$2:$U$1001,$K178),""))</f>
        <v/>
      </c>
      <c r="K178" t="str">
        <f>IFERROR(MATCH(ROWS($K$4:K178),'Veri Merkezi'!$X$2:$X$1001,0),"")</f>
        <v/>
      </c>
    </row>
    <row r="179" spans="1:11">
      <c r="A179" t="str">
        <f>IF($K179="","",IFERROR(INDEX('Veri Merkezi'!$A$2:$A$1001,$K179),""))</f>
        <v/>
      </c>
      <c r="B179" t="str">
        <f>IF($K179="","",IFERROR(INDEX('Veri Merkezi'!$E$2:$E$1001,$K179),""))</f>
        <v/>
      </c>
      <c r="C179" t="str">
        <f>IF($K179="","",IFERROR(INDEX('Veri Merkezi'!$D$2:$D$1001,$K179),""))</f>
        <v/>
      </c>
      <c r="D179" t="str">
        <f>IF($K179="","",IFERROR(INDEX('Veri Merkezi'!$F$2:$F$1001,$K179),""))</f>
        <v/>
      </c>
      <c r="E179" s="2" t="str">
        <f>IF($K179="","",IFERROR(INDEX('Veri Merkezi'!$G$2:$G$1001,$K179),""))</f>
        <v/>
      </c>
      <c r="F179" t="str">
        <f>IF($K179="","",IFERROR(INDEX('Veri Merkezi'!$H$2:$H$1001,$K179),""))</f>
        <v/>
      </c>
      <c r="G179" t="str">
        <f>IF($K179="","",IFERROR(INDEX('Veri Merkezi'!$R$2:$R$1001,$K179),""))</f>
        <v/>
      </c>
      <c r="H179" t="str">
        <f>IF($K179="","",IFERROR(INDEX('Veri Merkezi'!$S$2:$S$1001,$K179),""))</f>
        <v/>
      </c>
      <c r="I179" s="2" t="str">
        <f>IF($K179="","",IFERROR(INDEX('Veri Merkezi'!$T$2:$T$1001,$K179),""))</f>
        <v/>
      </c>
      <c r="J179" t="str">
        <f>IF($K179="","",IFERROR(INDEX('Veri Merkezi'!$U$2:$U$1001,$K179),""))</f>
        <v/>
      </c>
      <c r="K179" t="str">
        <f>IFERROR(MATCH(ROWS($K$4:K179),'Veri Merkezi'!$X$2:$X$1001,0),"")</f>
        <v/>
      </c>
    </row>
    <row r="180" spans="1:11">
      <c r="A180" t="str">
        <f>IF($K180="","",IFERROR(INDEX('Veri Merkezi'!$A$2:$A$1001,$K180),""))</f>
        <v/>
      </c>
      <c r="B180" t="str">
        <f>IF($K180="","",IFERROR(INDEX('Veri Merkezi'!$E$2:$E$1001,$K180),""))</f>
        <v/>
      </c>
      <c r="C180" t="str">
        <f>IF($K180="","",IFERROR(INDEX('Veri Merkezi'!$D$2:$D$1001,$K180),""))</f>
        <v/>
      </c>
      <c r="D180" t="str">
        <f>IF($K180="","",IFERROR(INDEX('Veri Merkezi'!$F$2:$F$1001,$K180),""))</f>
        <v/>
      </c>
      <c r="E180" s="2" t="str">
        <f>IF($K180="","",IFERROR(INDEX('Veri Merkezi'!$G$2:$G$1001,$K180),""))</f>
        <v/>
      </c>
      <c r="F180" t="str">
        <f>IF($K180="","",IFERROR(INDEX('Veri Merkezi'!$H$2:$H$1001,$K180),""))</f>
        <v/>
      </c>
      <c r="G180" t="str">
        <f>IF($K180="","",IFERROR(INDEX('Veri Merkezi'!$R$2:$R$1001,$K180),""))</f>
        <v/>
      </c>
      <c r="H180" t="str">
        <f>IF($K180="","",IFERROR(INDEX('Veri Merkezi'!$S$2:$S$1001,$K180),""))</f>
        <v/>
      </c>
      <c r="I180" s="2" t="str">
        <f>IF($K180="","",IFERROR(INDEX('Veri Merkezi'!$T$2:$T$1001,$K180),""))</f>
        <v/>
      </c>
      <c r="J180" t="str">
        <f>IF($K180="","",IFERROR(INDEX('Veri Merkezi'!$U$2:$U$1001,$K180),""))</f>
        <v/>
      </c>
      <c r="K180" t="str">
        <f>IFERROR(MATCH(ROWS($K$4:K180),'Veri Merkezi'!$X$2:$X$1001,0),"")</f>
        <v/>
      </c>
    </row>
    <row r="181" spans="1:11">
      <c r="A181" t="str">
        <f>IF($K181="","",IFERROR(INDEX('Veri Merkezi'!$A$2:$A$1001,$K181),""))</f>
        <v/>
      </c>
      <c r="B181" t="str">
        <f>IF($K181="","",IFERROR(INDEX('Veri Merkezi'!$E$2:$E$1001,$K181),""))</f>
        <v/>
      </c>
      <c r="C181" t="str">
        <f>IF($K181="","",IFERROR(INDEX('Veri Merkezi'!$D$2:$D$1001,$K181),""))</f>
        <v/>
      </c>
      <c r="D181" t="str">
        <f>IF($K181="","",IFERROR(INDEX('Veri Merkezi'!$F$2:$F$1001,$K181),""))</f>
        <v/>
      </c>
      <c r="E181" s="2" t="str">
        <f>IF($K181="","",IFERROR(INDEX('Veri Merkezi'!$G$2:$G$1001,$K181),""))</f>
        <v/>
      </c>
      <c r="F181" t="str">
        <f>IF($K181="","",IFERROR(INDEX('Veri Merkezi'!$H$2:$H$1001,$K181),""))</f>
        <v/>
      </c>
      <c r="G181" t="str">
        <f>IF($K181="","",IFERROR(INDEX('Veri Merkezi'!$R$2:$R$1001,$K181),""))</f>
        <v/>
      </c>
      <c r="H181" t="str">
        <f>IF($K181="","",IFERROR(INDEX('Veri Merkezi'!$S$2:$S$1001,$K181),""))</f>
        <v/>
      </c>
      <c r="I181" s="2" t="str">
        <f>IF($K181="","",IFERROR(INDEX('Veri Merkezi'!$T$2:$T$1001,$K181),""))</f>
        <v/>
      </c>
      <c r="J181" t="str">
        <f>IF($K181="","",IFERROR(INDEX('Veri Merkezi'!$U$2:$U$1001,$K181),""))</f>
        <v/>
      </c>
      <c r="K181" t="str">
        <f>IFERROR(MATCH(ROWS($K$4:K181),'Veri Merkezi'!$X$2:$X$1001,0),"")</f>
        <v/>
      </c>
    </row>
    <row r="182" spans="1:11">
      <c r="A182" t="str">
        <f>IF($K182="","",IFERROR(INDEX('Veri Merkezi'!$A$2:$A$1001,$K182),""))</f>
        <v/>
      </c>
      <c r="B182" t="str">
        <f>IF($K182="","",IFERROR(INDEX('Veri Merkezi'!$E$2:$E$1001,$K182),""))</f>
        <v/>
      </c>
      <c r="C182" t="str">
        <f>IF($K182="","",IFERROR(INDEX('Veri Merkezi'!$D$2:$D$1001,$K182),""))</f>
        <v/>
      </c>
      <c r="D182" t="str">
        <f>IF($K182="","",IFERROR(INDEX('Veri Merkezi'!$F$2:$F$1001,$K182),""))</f>
        <v/>
      </c>
      <c r="E182" s="2" t="str">
        <f>IF($K182="","",IFERROR(INDEX('Veri Merkezi'!$G$2:$G$1001,$K182),""))</f>
        <v/>
      </c>
      <c r="F182" t="str">
        <f>IF($K182="","",IFERROR(INDEX('Veri Merkezi'!$H$2:$H$1001,$K182),""))</f>
        <v/>
      </c>
      <c r="G182" t="str">
        <f>IF($K182="","",IFERROR(INDEX('Veri Merkezi'!$R$2:$R$1001,$K182),""))</f>
        <v/>
      </c>
      <c r="H182" t="str">
        <f>IF($K182="","",IFERROR(INDEX('Veri Merkezi'!$S$2:$S$1001,$K182),""))</f>
        <v/>
      </c>
      <c r="I182" s="2" t="str">
        <f>IF($K182="","",IFERROR(INDEX('Veri Merkezi'!$T$2:$T$1001,$K182),""))</f>
        <v/>
      </c>
      <c r="J182" t="str">
        <f>IF($K182="","",IFERROR(INDEX('Veri Merkezi'!$U$2:$U$1001,$K182),""))</f>
        <v/>
      </c>
      <c r="K182" t="str">
        <f>IFERROR(MATCH(ROWS($K$4:K182),'Veri Merkezi'!$X$2:$X$1001,0),"")</f>
        <v/>
      </c>
    </row>
    <row r="183" spans="1:11">
      <c r="A183" t="str">
        <f>IF($K183="","",IFERROR(INDEX('Veri Merkezi'!$A$2:$A$1001,$K183),""))</f>
        <v/>
      </c>
      <c r="B183" t="str">
        <f>IF($K183="","",IFERROR(INDEX('Veri Merkezi'!$E$2:$E$1001,$K183),""))</f>
        <v/>
      </c>
      <c r="C183" t="str">
        <f>IF($K183="","",IFERROR(INDEX('Veri Merkezi'!$D$2:$D$1001,$K183),""))</f>
        <v/>
      </c>
      <c r="D183" t="str">
        <f>IF($K183="","",IFERROR(INDEX('Veri Merkezi'!$F$2:$F$1001,$K183),""))</f>
        <v/>
      </c>
      <c r="E183" s="2" t="str">
        <f>IF($K183="","",IFERROR(INDEX('Veri Merkezi'!$G$2:$G$1001,$K183),""))</f>
        <v/>
      </c>
      <c r="F183" t="str">
        <f>IF($K183="","",IFERROR(INDEX('Veri Merkezi'!$H$2:$H$1001,$K183),""))</f>
        <v/>
      </c>
      <c r="G183" t="str">
        <f>IF($K183="","",IFERROR(INDEX('Veri Merkezi'!$R$2:$R$1001,$K183),""))</f>
        <v/>
      </c>
      <c r="H183" t="str">
        <f>IF($K183="","",IFERROR(INDEX('Veri Merkezi'!$S$2:$S$1001,$K183),""))</f>
        <v/>
      </c>
      <c r="I183" s="2" t="str">
        <f>IF($K183="","",IFERROR(INDEX('Veri Merkezi'!$T$2:$T$1001,$K183),""))</f>
        <v/>
      </c>
      <c r="J183" t="str">
        <f>IF($K183="","",IFERROR(INDEX('Veri Merkezi'!$U$2:$U$1001,$K183),""))</f>
        <v/>
      </c>
      <c r="K183" t="str">
        <f>IFERROR(MATCH(ROWS($K$4:K183),'Veri Merkezi'!$X$2:$X$1001,0),"")</f>
        <v/>
      </c>
    </row>
    <row r="184" spans="1:11">
      <c r="A184" t="str">
        <f>IF($K184="","",IFERROR(INDEX('Veri Merkezi'!$A$2:$A$1001,$K184),""))</f>
        <v/>
      </c>
      <c r="B184" t="str">
        <f>IF($K184="","",IFERROR(INDEX('Veri Merkezi'!$E$2:$E$1001,$K184),""))</f>
        <v/>
      </c>
      <c r="C184" t="str">
        <f>IF($K184="","",IFERROR(INDEX('Veri Merkezi'!$D$2:$D$1001,$K184),""))</f>
        <v/>
      </c>
      <c r="D184" t="str">
        <f>IF($K184="","",IFERROR(INDEX('Veri Merkezi'!$F$2:$F$1001,$K184),""))</f>
        <v/>
      </c>
      <c r="E184" s="2" t="str">
        <f>IF($K184="","",IFERROR(INDEX('Veri Merkezi'!$G$2:$G$1001,$K184),""))</f>
        <v/>
      </c>
      <c r="F184" t="str">
        <f>IF($K184="","",IFERROR(INDEX('Veri Merkezi'!$H$2:$H$1001,$K184),""))</f>
        <v/>
      </c>
      <c r="G184" t="str">
        <f>IF($K184="","",IFERROR(INDEX('Veri Merkezi'!$R$2:$R$1001,$K184),""))</f>
        <v/>
      </c>
      <c r="H184" t="str">
        <f>IF($K184="","",IFERROR(INDEX('Veri Merkezi'!$S$2:$S$1001,$K184),""))</f>
        <v/>
      </c>
      <c r="I184" s="2" t="str">
        <f>IF($K184="","",IFERROR(INDEX('Veri Merkezi'!$T$2:$T$1001,$K184),""))</f>
        <v/>
      </c>
      <c r="J184" t="str">
        <f>IF($K184="","",IFERROR(INDEX('Veri Merkezi'!$U$2:$U$1001,$K184),""))</f>
        <v/>
      </c>
      <c r="K184" t="str">
        <f>IFERROR(MATCH(ROWS($K$4:K184),'Veri Merkezi'!$X$2:$X$1001,0),"")</f>
        <v/>
      </c>
    </row>
    <row r="185" spans="1:11">
      <c r="A185" t="str">
        <f>IF($K185="","",IFERROR(INDEX('Veri Merkezi'!$A$2:$A$1001,$K185),""))</f>
        <v/>
      </c>
      <c r="B185" t="str">
        <f>IF($K185="","",IFERROR(INDEX('Veri Merkezi'!$E$2:$E$1001,$K185),""))</f>
        <v/>
      </c>
      <c r="C185" t="str">
        <f>IF($K185="","",IFERROR(INDEX('Veri Merkezi'!$D$2:$D$1001,$K185),""))</f>
        <v/>
      </c>
      <c r="D185" t="str">
        <f>IF($K185="","",IFERROR(INDEX('Veri Merkezi'!$F$2:$F$1001,$K185),""))</f>
        <v/>
      </c>
      <c r="E185" s="2" t="str">
        <f>IF($K185="","",IFERROR(INDEX('Veri Merkezi'!$G$2:$G$1001,$K185),""))</f>
        <v/>
      </c>
      <c r="F185" t="str">
        <f>IF($K185="","",IFERROR(INDEX('Veri Merkezi'!$H$2:$H$1001,$K185),""))</f>
        <v/>
      </c>
      <c r="G185" t="str">
        <f>IF($K185="","",IFERROR(INDEX('Veri Merkezi'!$R$2:$R$1001,$K185),""))</f>
        <v/>
      </c>
      <c r="H185" t="str">
        <f>IF($K185="","",IFERROR(INDEX('Veri Merkezi'!$S$2:$S$1001,$K185),""))</f>
        <v/>
      </c>
      <c r="I185" s="2" t="str">
        <f>IF($K185="","",IFERROR(INDEX('Veri Merkezi'!$T$2:$T$1001,$K185),""))</f>
        <v/>
      </c>
      <c r="J185" t="str">
        <f>IF($K185="","",IFERROR(INDEX('Veri Merkezi'!$U$2:$U$1001,$K185),""))</f>
        <v/>
      </c>
      <c r="K185" t="str">
        <f>IFERROR(MATCH(ROWS($K$4:K185),'Veri Merkezi'!$X$2:$X$1001,0),"")</f>
        <v/>
      </c>
    </row>
    <row r="186" spans="1:11">
      <c r="A186" t="str">
        <f>IF($K186="","",IFERROR(INDEX('Veri Merkezi'!$A$2:$A$1001,$K186),""))</f>
        <v/>
      </c>
      <c r="B186" t="str">
        <f>IF($K186="","",IFERROR(INDEX('Veri Merkezi'!$E$2:$E$1001,$K186),""))</f>
        <v/>
      </c>
      <c r="C186" t="str">
        <f>IF($K186="","",IFERROR(INDEX('Veri Merkezi'!$D$2:$D$1001,$K186),""))</f>
        <v/>
      </c>
      <c r="D186" t="str">
        <f>IF($K186="","",IFERROR(INDEX('Veri Merkezi'!$F$2:$F$1001,$K186),""))</f>
        <v/>
      </c>
      <c r="E186" s="2" t="str">
        <f>IF($K186="","",IFERROR(INDEX('Veri Merkezi'!$G$2:$G$1001,$K186),""))</f>
        <v/>
      </c>
      <c r="F186" t="str">
        <f>IF($K186="","",IFERROR(INDEX('Veri Merkezi'!$H$2:$H$1001,$K186),""))</f>
        <v/>
      </c>
      <c r="G186" t="str">
        <f>IF($K186="","",IFERROR(INDEX('Veri Merkezi'!$R$2:$R$1001,$K186),""))</f>
        <v/>
      </c>
      <c r="H186" t="str">
        <f>IF($K186="","",IFERROR(INDEX('Veri Merkezi'!$S$2:$S$1001,$K186),""))</f>
        <v/>
      </c>
      <c r="I186" s="2" t="str">
        <f>IF($K186="","",IFERROR(INDEX('Veri Merkezi'!$T$2:$T$1001,$K186),""))</f>
        <v/>
      </c>
      <c r="J186" t="str">
        <f>IF($K186="","",IFERROR(INDEX('Veri Merkezi'!$U$2:$U$1001,$K186),""))</f>
        <v/>
      </c>
      <c r="K186" t="str">
        <f>IFERROR(MATCH(ROWS($K$4:K186),'Veri Merkezi'!$X$2:$X$1001,0),"")</f>
        <v/>
      </c>
    </row>
    <row r="187" spans="1:11">
      <c r="A187" t="str">
        <f>IF($K187="","",IFERROR(INDEX('Veri Merkezi'!$A$2:$A$1001,$K187),""))</f>
        <v/>
      </c>
      <c r="B187" t="str">
        <f>IF($K187="","",IFERROR(INDEX('Veri Merkezi'!$E$2:$E$1001,$K187),""))</f>
        <v/>
      </c>
      <c r="C187" t="str">
        <f>IF($K187="","",IFERROR(INDEX('Veri Merkezi'!$D$2:$D$1001,$K187),""))</f>
        <v/>
      </c>
      <c r="D187" t="str">
        <f>IF($K187="","",IFERROR(INDEX('Veri Merkezi'!$F$2:$F$1001,$K187),""))</f>
        <v/>
      </c>
      <c r="E187" s="2" t="str">
        <f>IF($K187="","",IFERROR(INDEX('Veri Merkezi'!$G$2:$G$1001,$K187),""))</f>
        <v/>
      </c>
      <c r="F187" t="str">
        <f>IF($K187="","",IFERROR(INDEX('Veri Merkezi'!$H$2:$H$1001,$K187),""))</f>
        <v/>
      </c>
      <c r="G187" t="str">
        <f>IF($K187="","",IFERROR(INDEX('Veri Merkezi'!$R$2:$R$1001,$K187),""))</f>
        <v/>
      </c>
      <c r="H187" t="str">
        <f>IF($K187="","",IFERROR(INDEX('Veri Merkezi'!$S$2:$S$1001,$K187),""))</f>
        <v/>
      </c>
      <c r="I187" s="2" t="str">
        <f>IF($K187="","",IFERROR(INDEX('Veri Merkezi'!$T$2:$T$1001,$K187),""))</f>
        <v/>
      </c>
      <c r="J187" t="str">
        <f>IF($K187="","",IFERROR(INDEX('Veri Merkezi'!$U$2:$U$1001,$K187),""))</f>
        <v/>
      </c>
      <c r="K187" t="str">
        <f>IFERROR(MATCH(ROWS($K$4:K187),'Veri Merkezi'!$X$2:$X$1001,0),"")</f>
        <v/>
      </c>
    </row>
    <row r="188" spans="1:11">
      <c r="A188" t="str">
        <f>IF($K188="","",IFERROR(INDEX('Veri Merkezi'!$A$2:$A$1001,$K188),""))</f>
        <v/>
      </c>
      <c r="B188" t="str">
        <f>IF($K188="","",IFERROR(INDEX('Veri Merkezi'!$E$2:$E$1001,$K188),""))</f>
        <v/>
      </c>
      <c r="C188" t="str">
        <f>IF($K188="","",IFERROR(INDEX('Veri Merkezi'!$D$2:$D$1001,$K188),""))</f>
        <v/>
      </c>
      <c r="D188" t="str">
        <f>IF($K188="","",IFERROR(INDEX('Veri Merkezi'!$F$2:$F$1001,$K188),""))</f>
        <v/>
      </c>
      <c r="E188" s="2" t="str">
        <f>IF($K188="","",IFERROR(INDEX('Veri Merkezi'!$G$2:$G$1001,$K188),""))</f>
        <v/>
      </c>
      <c r="F188" t="str">
        <f>IF($K188="","",IFERROR(INDEX('Veri Merkezi'!$H$2:$H$1001,$K188),""))</f>
        <v/>
      </c>
      <c r="G188" t="str">
        <f>IF($K188="","",IFERROR(INDEX('Veri Merkezi'!$R$2:$R$1001,$K188),""))</f>
        <v/>
      </c>
      <c r="H188" t="str">
        <f>IF($K188="","",IFERROR(INDEX('Veri Merkezi'!$S$2:$S$1001,$K188),""))</f>
        <v/>
      </c>
      <c r="I188" s="2" t="str">
        <f>IF($K188="","",IFERROR(INDEX('Veri Merkezi'!$T$2:$T$1001,$K188),""))</f>
        <v/>
      </c>
      <c r="J188" t="str">
        <f>IF($K188="","",IFERROR(INDEX('Veri Merkezi'!$U$2:$U$1001,$K188),""))</f>
        <v/>
      </c>
      <c r="K188" t="str">
        <f>IFERROR(MATCH(ROWS($K$4:K188),'Veri Merkezi'!$X$2:$X$1001,0),"")</f>
        <v/>
      </c>
    </row>
    <row r="189" spans="1:11">
      <c r="A189" t="str">
        <f>IF($K189="","",IFERROR(INDEX('Veri Merkezi'!$A$2:$A$1001,$K189),""))</f>
        <v/>
      </c>
      <c r="B189" t="str">
        <f>IF($K189="","",IFERROR(INDEX('Veri Merkezi'!$E$2:$E$1001,$K189),""))</f>
        <v/>
      </c>
      <c r="C189" t="str">
        <f>IF($K189="","",IFERROR(INDEX('Veri Merkezi'!$D$2:$D$1001,$K189),""))</f>
        <v/>
      </c>
      <c r="D189" t="str">
        <f>IF($K189="","",IFERROR(INDEX('Veri Merkezi'!$F$2:$F$1001,$K189),""))</f>
        <v/>
      </c>
      <c r="E189" s="2" t="str">
        <f>IF($K189="","",IFERROR(INDEX('Veri Merkezi'!$G$2:$G$1001,$K189),""))</f>
        <v/>
      </c>
      <c r="F189" t="str">
        <f>IF($K189="","",IFERROR(INDEX('Veri Merkezi'!$H$2:$H$1001,$K189),""))</f>
        <v/>
      </c>
      <c r="G189" t="str">
        <f>IF($K189="","",IFERROR(INDEX('Veri Merkezi'!$R$2:$R$1001,$K189),""))</f>
        <v/>
      </c>
      <c r="H189" t="str">
        <f>IF($K189="","",IFERROR(INDEX('Veri Merkezi'!$S$2:$S$1001,$K189),""))</f>
        <v/>
      </c>
      <c r="I189" s="2" t="str">
        <f>IF($K189="","",IFERROR(INDEX('Veri Merkezi'!$T$2:$T$1001,$K189),""))</f>
        <v/>
      </c>
      <c r="J189" t="str">
        <f>IF($K189="","",IFERROR(INDEX('Veri Merkezi'!$U$2:$U$1001,$K189),""))</f>
        <v/>
      </c>
      <c r="K189" t="str">
        <f>IFERROR(MATCH(ROWS($K$4:K189),'Veri Merkezi'!$X$2:$X$1001,0),"")</f>
        <v/>
      </c>
    </row>
    <row r="190" spans="1:11">
      <c r="A190" t="str">
        <f>IF($K190="","",IFERROR(INDEX('Veri Merkezi'!$A$2:$A$1001,$K190),""))</f>
        <v/>
      </c>
      <c r="B190" t="str">
        <f>IF($K190="","",IFERROR(INDEX('Veri Merkezi'!$E$2:$E$1001,$K190),""))</f>
        <v/>
      </c>
      <c r="C190" t="str">
        <f>IF($K190="","",IFERROR(INDEX('Veri Merkezi'!$D$2:$D$1001,$K190),""))</f>
        <v/>
      </c>
      <c r="D190" t="str">
        <f>IF($K190="","",IFERROR(INDEX('Veri Merkezi'!$F$2:$F$1001,$K190),""))</f>
        <v/>
      </c>
      <c r="E190" s="2" t="str">
        <f>IF($K190="","",IFERROR(INDEX('Veri Merkezi'!$G$2:$G$1001,$K190),""))</f>
        <v/>
      </c>
      <c r="F190" t="str">
        <f>IF($K190="","",IFERROR(INDEX('Veri Merkezi'!$H$2:$H$1001,$K190),""))</f>
        <v/>
      </c>
      <c r="G190" t="str">
        <f>IF($K190="","",IFERROR(INDEX('Veri Merkezi'!$R$2:$R$1001,$K190),""))</f>
        <v/>
      </c>
      <c r="H190" t="str">
        <f>IF($K190="","",IFERROR(INDEX('Veri Merkezi'!$S$2:$S$1001,$K190),""))</f>
        <v/>
      </c>
      <c r="I190" s="2" t="str">
        <f>IF($K190="","",IFERROR(INDEX('Veri Merkezi'!$T$2:$T$1001,$K190),""))</f>
        <v/>
      </c>
      <c r="J190" t="str">
        <f>IF($K190="","",IFERROR(INDEX('Veri Merkezi'!$U$2:$U$1001,$K190),""))</f>
        <v/>
      </c>
      <c r="K190" t="str">
        <f>IFERROR(MATCH(ROWS($K$4:K190),'Veri Merkezi'!$X$2:$X$1001,0),"")</f>
        <v/>
      </c>
    </row>
    <row r="191" spans="1:11">
      <c r="A191" t="str">
        <f>IF($K191="","",IFERROR(INDEX('Veri Merkezi'!$A$2:$A$1001,$K191),""))</f>
        <v/>
      </c>
      <c r="B191" t="str">
        <f>IF($K191="","",IFERROR(INDEX('Veri Merkezi'!$E$2:$E$1001,$K191),""))</f>
        <v/>
      </c>
      <c r="C191" t="str">
        <f>IF($K191="","",IFERROR(INDEX('Veri Merkezi'!$D$2:$D$1001,$K191),""))</f>
        <v/>
      </c>
      <c r="D191" t="str">
        <f>IF($K191="","",IFERROR(INDEX('Veri Merkezi'!$F$2:$F$1001,$K191),""))</f>
        <v/>
      </c>
      <c r="E191" s="2" t="str">
        <f>IF($K191="","",IFERROR(INDEX('Veri Merkezi'!$G$2:$G$1001,$K191),""))</f>
        <v/>
      </c>
      <c r="F191" t="str">
        <f>IF($K191="","",IFERROR(INDEX('Veri Merkezi'!$H$2:$H$1001,$K191),""))</f>
        <v/>
      </c>
      <c r="G191" t="str">
        <f>IF($K191="","",IFERROR(INDEX('Veri Merkezi'!$R$2:$R$1001,$K191),""))</f>
        <v/>
      </c>
      <c r="H191" t="str">
        <f>IF($K191="","",IFERROR(INDEX('Veri Merkezi'!$S$2:$S$1001,$K191),""))</f>
        <v/>
      </c>
      <c r="I191" s="2" t="str">
        <f>IF($K191="","",IFERROR(INDEX('Veri Merkezi'!$T$2:$T$1001,$K191),""))</f>
        <v/>
      </c>
      <c r="J191" t="str">
        <f>IF($K191="","",IFERROR(INDEX('Veri Merkezi'!$U$2:$U$1001,$K191),""))</f>
        <v/>
      </c>
      <c r="K191" t="str">
        <f>IFERROR(MATCH(ROWS($K$4:K191),'Veri Merkezi'!$X$2:$X$1001,0),"")</f>
        <v/>
      </c>
    </row>
    <row r="192" spans="1:11">
      <c r="A192" t="str">
        <f>IF($K192="","",IFERROR(INDEX('Veri Merkezi'!$A$2:$A$1001,$K192),""))</f>
        <v/>
      </c>
      <c r="B192" t="str">
        <f>IF($K192="","",IFERROR(INDEX('Veri Merkezi'!$E$2:$E$1001,$K192),""))</f>
        <v/>
      </c>
      <c r="C192" t="str">
        <f>IF($K192="","",IFERROR(INDEX('Veri Merkezi'!$D$2:$D$1001,$K192),""))</f>
        <v/>
      </c>
      <c r="D192" t="str">
        <f>IF($K192="","",IFERROR(INDEX('Veri Merkezi'!$F$2:$F$1001,$K192),""))</f>
        <v/>
      </c>
      <c r="E192" s="2" t="str">
        <f>IF($K192="","",IFERROR(INDEX('Veri Merkezi'!$G$2:$G$1001,$K192),""))</f>
        <v/>
      </c>
      <c r="F192" t="str">
        <f>IF($K192="","",IFERROR(INDEX('Veri Merkezi'!$H$2:$H$1001,$K192),""))</f>
        <v/>
      </c>
      <c r="G192" t="str">
        <f>IF($K192="","",IFERROR(INDEX('Veri Merkezi'!$R$2:$R$1001,$K192),""))</f>
        <v/>
      </c>
      <c r="H192" t="str">
        <f>IF($K192="","",IFERROR(INDEX('Veri Merkezi'!$S$2:$S$1001,$K192),""))</f>
        <v/>
      </c>
      <c r="I192" s="2" t="str">
        <f>IF($K192="","",IFERROR(INDEX('Veri Merkezi'!$T$2:$T$1001,$K192),""))</f>
        <v/>
      </c>
      <c r="J192" t="str">
        <f>IF($K192="","",IFERROR(INDEX('Veri Merkezi'!$U$2:$U$1001,$K192),""))</f>
        <v/>
      </c>
      <c r="K192" t="str">
        <f>IFERROR(MATCH(ROWS($K$4:K192),'Veri Merkezi'!$X$2:$X$1001,0),"")</f>
        <v/>
      </c>
    </row>
    <row r="193" spans="1:11">
      <c r="A193" t="str">
        <f>IF($K193="","",IFERROR(INDEX('Veri Merkezi'!$A$2:$A$1001,$K193),""))</f>
        <v/>
      </c>
      <c r="B193" t="str">
        <f>IF($K193="","",IFERROR(INDEX('Veri Merkezi'!$E$2:$E$1001,$K193),""))</f>
        <v/>
      </c>
      <c r="C193" t="str">
        <f>IF($K193="","",IFERROR(INDEX('Veri Merkezi'!$D$2:$D$1001,$K193),""))</f>
        <v/>
      </c>
      <c r="D193" t="str">
        <f>IF($K193="","",IFERROR(INDEX('Veri Merkezi'!$F$2:$F$1001,$K193),""))</f>
        <v/>
      </c>
      <c r="E193" s="2" t="str">
        <f>IF($K193="","",IFERROR(INDEX('Veri Merkezi'!$G$2:$G$1001,$K193),""))</f>
        <v/>
      </c>
      <c r="F193" t="str">
        <f>IF($K193="","",IFERROR(INDEX('Veri Merkezi'!$H$2:$H$1001,$K193),""))</f>
        <v/>
      </c>
      <c r="G193" t="str">
        <f>IF($K193="","",IFERROR(INDEX('Veri Merkezi'!$R$2:$R$1001,$K193),""))</f>
        <v/>
      </c>
      <c r="H193" t="str">
        <f>IF($K193="","",IFERROR(INDEX('Veri Merkezi'!$S$2:$S$1001,$K193),""))</f>
        <v/>
      </c>
      <c r="I193" s="2" t="str">
        <f>IF($K193="","",IFERROR(INDEX('Veri Merkezi'!$T$2:$T$1001,$K193),""))</f>
        <v/>
      </c>
      <c r="J193" t="str">
        <f>IF($K193="","",IFERROR(INDEX('Veri Merkezi'!$U$2:$U$1001,$K193),""))</f>
        <v/>
      </c>
      <c r="K193" t="str">
        <f>IFERROR(MATCH(ROWS($K$4:K193),'Veri Merkezi'!$X$2:$X$1001,0),"")</f>
        <v/>
      </c>
    </row>
    <row r="194" spans="1:11">
      <c r="A194" t="str">
        <f>IF($K194="","",IFERROR(INDEX('Veri Merkezi'!$A$2:$A$1001,$K194),""))</f>
        <v/>
      </c>
      <c r="B194" t="str">
        <f>IF($K194="","",IFERROR(INDEX('Veri Merkezi'!$E$2:$E$1001,$K194),""))</f>
        <v/>
      </c>
      <c r="C194" t="str">
        <f>IF($K194="","",IFERROR(INDEX('Veri Merkezi'!$D$2:$D$1001,$K194),""))</f>
        <v/>
      </c>
      <c r="D194" t="str">
        <f>IF($K194="","",IFERROR(INDEX('Veri Merkezi'!$F$2:$F$1001,$K194),""))</f>
        <v/>
      </c>
      <c r="E194" s="2" t="str">
        <f>IF($K194="","",IFERROR(INDEX('Veri Merkezi'!$G$2:$G$1001,$K194),""))</f>
        <v/>
      </c>
      <c r="F194" t="str">
        <f>IF($K194="","",IFERROR(INDEX('Veri Merkezi'!$H$2:$H$1001,$K194),""))</f>
        <v/>
      </c>
      <c r="G194" t="str">
        <f>IF($K194="","",IFERROR(INDEX('Veri Merkezi'!$R$2:$R$1001,$K194),""))</f>
        <v/>
      </c>
      <c r="H194" t="str">
        <f>IF($K194="","",IFERROR(INDEX('Veri Merkezi'!$S$2:$S$1001,$K194),""))</f>
        <v/>
      </c>
      <c r="I194" s="2" t="str">
        <f>IF($K194="","",IFERROR(INDEX('Veri Merkezi'!$T$2:$T$1001,$K194),""))</f>
        <v/>
      </c>
      <c r="J194" t="str">
        <f>IF($K194="","",IFERROR(INDEX('Veri Merkezi'!$U$2:$U$1001,$K194),""))</f>
        <v/>
      </c>
      <c r="K194" t="str">
        <f>IFERROR(MATCH(ROWS($K$4:K194),'Veri Merkezi'!$X$2:$X$1001,0),"")</f>
        <v/>
      </c>
    </row>
    <row r="195" spans="1:11">
      <c r="A195" t="str">
        <f>IF($K195="","",IFERROR(INDEX('Veri Merkezi'!$A$2:$A$1001,$K195),""))</f>
        <v/>
      </c>
      <c r="B195" t="str">
        <f>IF($K195="","",IFERROR(INDEX('Veri Merkezi'!$E$2:$E$1001,$K195),""))</f>
        <v/>
      </c>
      <c r="C195" t="str">
        <f>IF($K195="","",IFERROR(INDEX('Veri Merkezi'!$D$2:$D$1001,$K195),""))</f>
        <v/>
      </c>
      <c r="D195" t="str">
        <f>IF($K195="","",IFERROR(INDEX('Veri Merkezi'!$F$2:$F$1001,$K195),""))</f>
        <v/>
      </c>
      <c r="E195" s="2" t="str">
        <f>IF($K195="","",IFERROR(INDEX('Veri Merkezi'!$G$2:$G$1001,$K195),""))</f>
        <v/>
      </c>
      <c r="F195" t="str">
        <f>IF($K195="","",IFERROR(INDEX('Veri Merkezi'!$H$2:$H$1001,$K195),""))</f>
        <v/>
      </c>
      <c r="G195" t="str">
        <f>IF($K195="","",IFERROR(INDEX('Veri Merkezi'!$R$2:$R$1001,$K195),""))</f>
        <v/>
      </c>
      <c r="H195" t="str">
        <f>IF($K195="","",IFERROR(INDEX('Veri Merkezi'!$S$2:$S$1001,$K195),""))</f>
        <v/>
      </c>
      <c r="I195" s="2" t="str">
        <f>IF($K195="","",IFERROR(INDEX('Veri Merkezi'!$T$2:$T$1001,$K195),""))</f>
        <v/>
      </c>
      <c r="J195" t="str">
        <f>IF($K195="","",IFERROR(INDEX('Veri Merkezi'!$U$2:$U$1001,$K195),""))</f>
        <v/>
      </c>
      <c r="K195" t="str">
        <f>IFERROR(MATCH(ROWS($K$4:K195),'Veri Merkezi'!$X$2:$X$1001,0),"")</f>
        <v/>
      </c>
    </row>
    <row r="196" spans="1:11">
      <c r="A196" t="str">
        <f>IF($K196="","",IFERROR(INDEX('Veri Merkezi'!$A$2:$A$1001,$K196),""))</f>
        <v/>
      </c>
      <c r="B196" t="str">
        <f>IF($K196="","",IFERROR(INDEX('Veri Merkezi'!$E$2:$E$1001,$K196),""))</f>
        <v/>
      </c>
      <c r="C196" t="str">
        <f>IF($K196="","",IFERROR(INDEX('Veri Merkezi'!$D$2:$D$1001,$K196),""))</f>
        <v/>
      </c>
      <c r="D196" t="str">
        <f>IF($K196="","",IFERROR(INDEX('Veri Merkezi'!$F$2:$F$1001,$K196),""))</f>
        <v/>
      </c>
      <c r="E196" s="2" t="str">
        <f>IF($K196="","",IFERROR(INDEX('Veri Merkezi'!$G$2:$G$1001,$K196),""))</f>
        <v/>
      </c>
      <c r="F196" t="str">
        <f>IF($K196="","",IFERROR(INDEX('Veri Merkezi'!$H$2:$H$1001,$K196),""))</f>
        <v/>
      </c>
      <c r="G196" t="str">
        <f>IF($K196="","",IFERROR(INDEX('Veri Merkezi'!$R$2:$R$1001,$K196),""))</f>
        <v/>
      </c>
      <c r="H196" t="str">
        <f>IF($K196="","",IFERROR(INDEX('Veri Merkezi'!$S$2:$S$1001,$K196),""))</f>
        <v/>
      </c>
      <c r="I196" s="2" t="str">
        <f>IF($K196="","",IFERROR(INDEX('Veri Merkezi'!$T$2:$T$1001,$K196),""))</f>
        <v/>
      </c>
      <c r="J196" t="str">
        <f>IF($K196="","",IFERROR(INDEX('Veri Merkezi'!$U$2:$U$1001,$K196),""))</f>
        <v/>
      </c>
      <c r="K196" t="str">
        <f>IFERROR(MATCH(ROWS($K$4:K196),'Veri Merkezi'!$X$2:$X$1001,0),"")</f>
        <v/>
      </c>
    </row>
    <row r="197" spans="1:11">
      <c r="A197" t="str">
        <f>IF($K197="","",IFERROR(INDEX('Veri Merkezi'!$A$2:$A$1001,$K197),""))</f>
        <v/>
      </c>
      <c r="B197" t="str">
        <f>IF($K197="","",IFERROR(INDEX('Veri Merkezi'!$E$2:$E$1001,$K197),""))</f>
        <v/>
      </c>
      <c r="C197" t="str">
        <f>IF($K197="","",IFERROR(INDEX('Veri Merkezi'!$D$2:$D$1001,$K197),""))</f>
        <v/>
      </c>
      <c r="D197" t="str">
        <f>IF($K197="","",IFERROR(INDEX('Veri Merkezi'!$F$2:$F$1001,$K197),""))</f>
        <v/>
      </c>
      <c r="E197" s="2" t="str">
        <f>IF($K197="","",IFERROR(INDEX('Veri Merkezi'!$G$2:$G$1001,$K197),""))</f>
        <v/>
      </c>
      <c r="F197" t="str">
        <f>IF($K197="","",IFERROR(INDEX('Veri Merkezi'!$H$2:$H$1001,$K197),""))</f>
        <v/>
      </c>
      <c r="G197" t="str">
        <f>IF($K197="","",IFERROR(INDEX('Veri Merkezi'!$R$2:$R$1001,$K197),""))</f>
        <v/>
      </c>
      <c r="H197" t="str">
        <f>IF($K197="","",IFERROR(INDEX('Veri Merkezi'!$S$2:$S$1001,$K197),""))</f>
        <v/>
      </c>
      <c r="I197" s="2" t="str">
        <f>IF($K197="","",IFERROR(INDEX('Veri Merkezi'!$T$2:$T$1001,$K197),""))</f>
        <v/>
      </c>
      <c r="J197" t="str">
        <f>IF($K197="","",IFERROR(INDEX('Veri Merkezi'!$U$2:$U$1001,$K197),""))</f>
        <v/>
      </c>
      <c r="K197" t="str">
        <f>IFERROR(MATCH(ROWS($K$4:K197),'Veri Merkezi'!$X$2:$X$1001,0),"")</f>
        <v/>
      </c>
    </row>
    <row r="198" spans="1:11">
      <c r="A198" t="str">
        <f>IF($K198="","",IFERROR(INDEX('Veri Merkezi'!$A$2:$A$1001,$K198),""))</f>
        <v/>
      </c>
      <c r="B198" t="str">
        <f>IF($K198="","",IFERROR(INDEX('Veri Merkezi'!$E$2:$E$1001,$K198),""))</f>
        <v/>
      </c>
      <c r="C198" t="str">
        <f>IF($K198="","",IFERROR(INDEX('Veri Merkezi'!$D$2:$D$1001,$K198),""))</f>
        <v/>
      </c>
      <c r="D198" t="str">
        <f>IF($K198="","",IFERROR(INDEX('Veri Merkezi'!$F$2:$F$1001,$K198),""))</f>
        <v/>
      </c>
      <c r="E198" s="2" t="str">
        <f>IF($K198="","",IFERROR(INDEX('Veri Merkezi'!$G$2:$G$1001,$K198),""))</f>
        <v/>
      </c>
      <c r="F198" t="str">
        <f>IF($K198="","",IFERROR(INDEX('Veri Merkezi'!$H$2:$H$1001,$K198),""))</f>
        <v/>
      </c>
      <c r="G198" t="str">
        <f>IF($K198="","",IFERROR(INDEX('Veri Merkezi'!$R$2:$R$1001,$K198),""))</f>
        <v/>
      </c>
      <c r="H198" t="str">
        <f>IF($K198="","",IFERROR(INDEX('Veri Merkezi'!$S$2:$S$1001,$K198),""))</f>
        <v/>
      </c>
      <c r="I198" s="2" t="str">
        <f>IF($K198="","",IFERROR(INDEX('Veri Merkezi'!$T$2:$T$1001,$K198),""))</f>
        <v/>
      </c>
      <c r="J198" t="str">
        <f>IF($K198="","",IFERROR(INDEX('Veri Merkezi'!$U$2:$U$1001,$K198),""))</f>
        <v/>
      </c>
      <c r="K198" t="str">
        <f>IFERROR(MATCH(ROWS($K$4:K198),'Veri Merkezi'!$X$2:$X$1001,0),"")</f>
        <v/>
      </c>
    </row>
    <row r="199" spans="1:11">
      <c r="A199" t="str">
        <f>IF($K199="","",IFERROR(INDEX('Veri Merkezi'!$A$2:$A$1001,$K199),""))</f>
        <v/>
      </c>
      <c r="B199" t="str">
        <f>IF($K199="","",IFERROR(INDEX('Veri Merkezi'!$E$2:$E$1001,$K199),""))</f>
        <v/>
      </c>
      <c r="C199" t="str">
        <f>IF($K199="","",IFERROR(INDEX('Veri Merkezi'!$D$2:$D$1001,$K199),""))</f>
        <v/>
      </c>
      <c r="D199" t="str">
        <f>IF($K199="","",IFERROR(INDEX('Veri Merkezi'!$F$2:$F$1001,$K199),""))</f>
        <v/>
      </c>
      <c r="E199" s="2" t="str">
        <f>IF($K199="","",IFERROR(INDEX('Veri Merkezi'!$G$2:$G$1001,$K199),""))</f>
        <v/>
      </c>
      <c r="F199" t="str">
        <f>IF($K199="","",IFERROR(INDEX('Veri Merkezi'!$H$2:$H$1001,$K199),""))</f>
        <v/>
      </c>
      <c r="G199" t="str">
        <f>IF($K199="","",IFERROR(INDEX('Veri Merkezi'!$R$2:$R$1001,$K199),""))</f>
        <v/>
      </c>
      <c r="H199" t="str">
        <f>IF($K199="","",IFERROR(INDEX('Veri Merkezi'!$S$2:$S$1001,$K199),""))</f>
        <v/>
      </c>
      <c r="I199" s="2" t="str">
        <f>IF($K199="","",IFERROR(INDEX('Veri Merkezi'!$T$2:$T$1001,$K199),""))</f>
        <v/>
      </c>
      <c r="J199" t="str">
        <f>IF($K199="","",IFERROR(INDEX('Veri Merkezi'!$U$2:$U$1001,$K199),""))</f>
        <v/>
      </c>
      <c r="K199" t="str">
        <f>IFERROR(MATCH(ROWS($K$4:K199),'Veri Merkezi'!$X$2:$X$1001,0),"")</f>
        <v/>
      </c>
    </row>
    <row r="200" spans="1:11">
      <c r="A200" t="str">
        <f>IF($K200="","",IFERROR(INDEX('Veri Merkezi'!$A$2:$A$1001,$K200),""))</f>
        <v/>
      </c>
      <c r="B200" t="str">
        <f>IF($K200="","",IFERROR(INDEX('Veri Merkezi'!$E$2:$E$1001,$K200),""))</f>
        <v/>
      </c>
      <c r="C200" t="str">
        <f>IF($K200="","",IFERROR(INDEX('Veri Merkezi'!$D$2:$D$1001,$K200),""))</f>
        <v/>
      </c>
      <c r="D200" t="str">
        <f>IF($K200="","",IFERROR(INDEX('Veri Merkezi'!$F$2:$F$1001,$K200),""))</f>
        <v/>
      </c>
      <c r="E200" s="2" t="str">
        <f>IF($K200="","",IFERROR(INDEX('Veri Merkezi'!$G$2:$G$1001,$K200),""))</f>
        <v/>
      </c>
      <c r="F200" t="str">
        <f>IF($K200="","",IFERROR(INDEX('Veri Merkezi'!$H$2:$H$1001,$K200),""))</f>
        <v/>
      </c>
      <c r="G200" t="str">
        <f>IF($K200="","",IFERROR(INDEX('Veri Merkezi'!$R$2:$R$1001,$K200),""))</f>
        <v/>
      </c>
      <c r="H200" t="str">
        <f>IF($K200="","",IFERROR(INDEX('Veri Merkezi'!$S$2:$S$1001,$K200),""))</f>
        <v/>
      </c>
      <c r="I200" s="2" t="str">
        <f>IF($K200="","",IFERROR(INDEX('Veri Merkezi'!$T$2:$T$1001,$K200),""))</f>
        <v/>
      </c>
      <c r="J200" t="str">
        <f>IF($K200="","",IFERROR(INDEX('Veri Merkezi'!$U$2:$U$1001,$K200),""))</f>
        <v/>
      </c>
      <c r="K200" t="str">
        <f>IFERROR(MATCH(ROWS($K$4:K200),'Veri Merkezi'!$X$2:$X$1001,0),"")</f>
        <v/>
      </c>
    </row>
    <row r="201" spans="1:11">
      <c r="A201" t="str">
        <f>IF($K201="","",IFERROR(INDEX('Veri Merkezi'!$A$2:$A$1001,$K201),""))</f>
        <v/>
      </c>
      <c r="B201" t="str">
        <f>IF($K201="","",IFERROR(INDEX('Veri Merkezi'!$E$2:$E$1001,$K201),""))</f>
        <v/>
      </c>
      <c r="C201" t="str">
        <f>IF($K201="","",IFERROR(INDEX('Veri Merkezi'!$D$2:$D$1001,$K201),""))</f>
        <v/>
      </c>
      <c r="D201" t="str">
        <f>IF($K201="","",IFERROR(INDEX('Veri Merkezi'!$F$2:$F$1001,$K201),""))</f>
        <v/>
      </c>
      <c r="E201" s="2" t="str">
        <f>IF($K201="","",IFERROR(INDEX('Veri Merkezi'!$G$2:$G$1001,$K201),""))</f>
        <v/>
      </c>
      <c r="F201" t="str">
        <f>IF($K201="","",IFERROR(INDEX('Veri Merkezi'!$H$2:$H$1001,$K201),""))</f>
        <v/>
      </c>
      <c r="G201" t="str">
        <f>IF($K201="","",IFERROR(INDEX('Veri Merkezi'!$R$2:$R$1001,$K201),""))</f>
        <v/>
      </c>
      <c r="H201" t="str">
        <f>IF($K201="","",IFERROR(INDEX('Veri Merkezi'!$S$2:$S$1001,$K201),""))</f>
        <v/>
      </c>
      <c r="I201" s="2" t="str">
        <f>IF($K201="","",IFERROR(INDEX('Veri Merkezi'!$T$2:$T$1001,$K201),""))</f>
        <v/>
      </c>
      <c r="J201" t="str">
        <f>IF($K201="","",IFERROR(INDEX('Veri Merkezi'!$U$2:$U$1001,$K201),""))</f>
        <v/>
      </c>
      <c r="K201" t="str">
        <f>IFERROR(MATCH(ROWS($K$4:K201),'Veri Merkezi'!$X$2:$X$1001,0),"")</f>
        <v/>
      </c>
    </row>
    <row r="202" spans="1:11">
      <c r="A202" t="str">
        <f>IF($K202="","",IFERROR(INDEX('Veri Merkezi'!$A$2:$A$1001,$K202),""))</f>
        <v/>
      </c>
      <c r="B202" t="str">
        <f>IF($K202="","",IFERROR(INDEX('Veri Merkezi'!$E$2:$E$1001,$K202),""))</f>
        <v/>
      </c>
      <c r="C202" t="str">
        <f>IF($K202="","",IFERROR(INDEX('Veri Merkezi'!$D$2:$D$1001,$K202),""))</f>
        <v/>
      </c>
      <c r="D202" t="str">
        <f>IF($K202="","",IFERROR(INDEX('Veri Merkezi'!$F$2:$F$1001,$K202),""))</f>
        <v/>
      </c>
      <c r="E202" s="2" t="str">
        <f>IF($K202="","",IFERROR(INDEX('Veri Merkezi'!$G$2:$G$1001,$K202),""))</f>
        <v/>
      </c>
      <c r="F202" t="str">
        <f>IF($K202="","",IFERROR(INDEX('Veri Merkezi'!$H$2:$H$1001,$K202),""))</f>
        <v/>
      </c>
      <c r="G202" t="str">
        <f>IF($K202="","",IFERROR(INDEX('Veri Merkezi'!$R$2:$R$1001,$K202),""))</f>
        <v/>
      </c>
      <c r="H202" t="str">
        <f>IF($K202="","",IFERROR(INDEX('Veri Merkezi'!$S$2:$S$1001,$K202),""))</f>
        <v/>
      </c>
      <c r="I202" s="2" t="str">
        <f>IF($K202="","",IFERROR(INDEX('Veri Merkezi'!$T$2:$T$1001,$K202),""))</f>
        <v/>
      </c>
      <c r="J202" t="str">
        <f>IF($K202="","",IFERROR(INDEX('Veri Merkezi'!$U$2:$U$1001,$K202),""))</f>
        <v/>
      </c>
      <c r="K202" t="str">
        <f>IFERROR(MATCH(ROWS($K$4:K202),'Veri Merkezi'!$X$2:$X$1001,0),"")</f>
        <v/>
      </c>
    </row>
    <row r="203" spans="1:11">
      <c r="A203" t="str">
        <f>IF($K203="","",IFERROR(INDEX('Veri Merkezi'!$A$2:$A$1001,$K203),""))</f>
        <v/>
      </c>
      <c r="B203" t="str">
        <f>IF($K203="","",IFERROR(INDEX('Veri Merkezi'!$E$2:$E$1001,$K203),""))</f>
        <v/>
      </c>
      <c r="C203" t="str">
        <f>IF($K203="","",IFERROR(INDEX('Veri Merkezi'!$D$2:$D$1001,$K203),""))</f>
        <v/>
      </c>
      <c r="D203" t="str">
        <f>IF($K203="","",IFERROR(INDEX('Veri Merkezi'!$F$2:$F$1001,$K203),""))</f>
        <v/>
      </c>
      <c r="E203" s="2" t="str">
        <f>IF($K203="","",IFERROR(INDEX('Veri Merkezi'!$G$2:$G$1001,$K203),""))</f>
        <v/>
      </c>
      <c r="F203" t="str">
        <f>IF($K203="","",IFERROR(INDEX('Veri Merkezi'!$H$2:$H$1001,$K203),""))</f>
        <v/>
      </c>
      <c r="G203" t="str">
        <f>IF($K203="","",IFERROR(INDEX('Veri Merkezi'!$R$2:$R$1001,$K203),""))</f>
        <v/>
      </c>
      <c r="H203" t="str">
        <f>IF($K203="","",IFERROR(INDEX('Veri Merkezi'!$S$2:$S$1001,$K203),""))</f>
        <v/>
      </c>
      <c r="I203" s="2" t="str">
        <f>IF($K203="","",IFERROR(INDEX('Veri Merkezi'!$T$2:$T$1001,$K203),""))</f>
        <v/>
      </c>
      <c r="J203" t="str">
        <f>IF($K203="","",IFERROR(INDEX('Veri Merkezi'!$U$2:$U$1001,$K203),""))</f>
        <v/>
      </c>
      <c r="K203" t="str">
        <f>IFERROR(MATCH(ROWS($K$4:K203),'Veri Merkezi'!$X$2:$X$1001,0),"")</f>
        <v/>
      </c>
    </row>
    <row r="204" spans="1:11">
      <c r="A204" t="str">
        <f>IF($K204="","",IFERROR(INDEX('Veri Merkezi'!$A$2:$A$1001,$K204),""))</f>
        <v/>
      </c>
      <c r="B204" t="str">
        <f>IF($K204="","",IFERROR(INDEX('Veri Merkezi'!$E$2:$E$1001,$K204),""))</f>
        <v/>
      </c>
      <c r="C204" t="str">
        <f>IF($K204="","",IFERROR(INDEX('Veri Merkezi'!$D$2:$D$1001,$K204),""))</f>
        <v/>
      </c>
      <c r="D204" t="str">
        <f>IF($K204="","",IFERROR(INDEX('Veri Merkezi'!$F$2:$F$1001,$K204),""))</f>
        <v/>
      </c>
      <c r="E204" s="2" t="str">
        <f>IF($K204="","",IFERROR(INDEX('Veri Merkezi'!$G$2:$G$1001,$K204),""))</f>
        <v/>
      </c>
      <c r="F204" t="str">
        <f>IF($K204="","",IFERROR(INDEX('Veri Merkezi'!$H$2:$H$1001,$K204),""))</f>
        <v/>
      </c>
      <c r="G204" t="str">
        <f>IF($K204="","",IFERROR(INDEX('Veri Merkezi'!$R$2:$R$1001,$K204),""))</f>
        <v/>
      </c>
      <c r="H204" t="str">
        <f>IF($K204="","",IFERROR(INDEX('Veri Merkezi'!$S$2:$S$1001,$K204),""))</f>
        <v/>
      </c>
      <c r="I204" s="2" t="str">
        <f>IF($K204="","",IFERROR(INDEX('Veri Merkezi'!$T$2:$T$1001,$K204),""))</f>
        <v/>
      </c>
      <c r="J204" t="str">
        <f>IF($K204="","",IFERROR(INDEX('Veri Merkezi'!$U$2:$U$1001,$K204),""))</f>
        <v/>
      </c>
      <c r="K204" t="str">
        <f>IFERROR(MATCH(ROWS($K$4:K204),'Veri Merkezi'!$X$2:$X$1001,0),"")</f>
        <v/>
      </c>
    </row>
    <row r="205" spans="1:11">
      <c r="A205" t="str">
        <f>IF($K205="","",IFERROR(INDEX('Veri Merkezi'!$A$2:$A$1001,$K205),""))</f>
        <v/>
      </c>
      <c r="B205" t="str">
        <f>IF($K205="","",IFERROR(INDEX('Veri Merkezi'!$E$2:$E$1001,$K205),""))</f>
        <v/>
      </c>
      <c r="C205" t="str">
        <f>IF($K205="","",IFERROR(INDEX('Veri Merkezi'!$D$2:$D$1001,$K205),""))</f>
        <v/>
      </c>
      <c r="D205" t="str">
        <f>IF($K205="","",IFERROR(INDEX('Veri Merkezi'!$F$2:$F$1001,$K205),""))</f>
        <v/>
      </c>
      <c r="E205" s="2" t="str">
        <f>IF($K205="","",IFERROR(INDEX('Veri Merkezi'!$G$2:$G$1001,$K205),""))</f>
        <v/>
      </c>
      <c r="F205" t="str">
        <f>IF($K205="","",IFERROR(INDEX('Veri Merkezi'!$H$2:$H$1001,$K205),""))</f>
        <v/>
      </c>
      <c r="G205" t="str">
        <f>IF($K205="","",IFERROR(INDEX('Veri Merkezi'!$R$2:$R$1001,$K205),""))</f>
        <v/>
      </c>
      <c r="H205" t="str">
        <f>IF($K205="","",IFERROR(INDEX('Veri Merkezi'!$S$2:$S$1001,$K205),""))</f>
        <v/>
      </c>
      <c r="I205" s="2" t="str">
        <f>IF($K205="","",IFERROR(INDEX('Veri Merkezi'!$T$2:$T$1001,$K205),""))</f>
        <v/>
      </c>
      <c r="J205" t="str">
        <f>IF($K205="","",IFERROR(INDEX('Veri Merkezi'!$U$2:$U$1001,$K205),""))</f>
        <v/>
      </c>
      <c r="K205" t="str">
        <f>IFERROR(MATCH(ROWS($K$4:K205),'Veri Merkezi'!$X$2:$X$1001,0),"")</f>
        <v/>
      </c>
    </row>
    <row r="206" spans="1:11">
      <c r="A206" t="str">
        <f>IF($K206="","",IFERROR(INDEX('Veri Merkezi'!$A$2:$A$1001,$K206),""))</f>
        <v/>
      </c>
      <c r="B206" t="str">
        <f>IF($K206="","",IFERROR(INDEX('Veri Merkezi'!$E$2:$E$1001,$K206),""))</f>
        <v/>
      </c>
      <c r="C206" t="str">
        <f>IF($K206="","",IFERROR(INDEX('Veri Merkezi'!$D$2:$D$1001,$K206),""))</f>
        <v/>
      </c>
      <c r="D206" t="str">
        <f>IF($K206="","",IFERROR(INDEX('Veri Merkezi'!$F$2:$F$1001,$K206),""))</f>
        <v/>
      </c>
      <c r="E206" s="2" t="str">
        <f>IF($K206="","",IFERROR(INDEX('Veri Merkezi'!$G$2:$G$1001,$K206),""))</f>
        <v/>
      </c>
      <c r="F206" t="str">
        <f>IF($K206="","",IFERROR(INDEX('Veri Merkezi'!$H$2:$H$1001,$K206),""))</f>
        <v/>
      </c>
      <c r="G206" t="str">
        <f>IF($K206="","",IFERROR(INDEX('Veri Merkezi'!$R$2:$R$1001,$K206),""))</f>
        <v/>
      </c>
      <c r="H206" t="str">
        <f>IF($K206="","",IFERROR(INDEX('Veri Merkezi'!$S$2:$S$1001,$K206),""))</f>
        <v/>
      </c>
      <c r="I206" s="2" t="str">
        <f>IF($K206="","",IFERROR(INDEX('Veri Merkezi'!$T$2:$T$1001,$K206),""))</f>
        <v/>
      </c>
      <c r="J206" t="str">
        <f>IF($K206="","",IFERROR(INDEX('Veri Merkezi'!$U$2:$U$1001,$K206),""))</f>
        <v/>
      </c>
      <c r="K206" t="str">
        <f>IFERROR(MATCH(ROWS($K$4:K206),'Veri Merkezi'!$X$2:$X$1001,0),"")</f>
        <v/>
      </c>
    </row>
    <row r="207" spans="1:11">
      <c r="A207" t="str">
        <f>IF($K207="","",IFERROR(INDEX('Veri Merkezi'!$A$2:$A$1001,$K207),""))</f>
        <v/>
      </c>
      <c r="B207" t="str">
        <f>IF($K207="","",IFERROR(INDEX('Veri Merkezi'!$E$2:$E$1001,$K207),""))</f>
        <v/>
      </c>
      <c r="C207" t="str">
        <f>IF($K207="","",IFERROR(INDEX('Veri Merkezi'!$D$2:$D$1001,$K207),""))</f>
        <v/>
      </c>
      <c r="D207" t="str">
        <f>IF($K207="","",IFERROR(INDEX('Veri Merkezi'!$F$2:$F$1001,$K207),""))</f>
        <v/>
      </c>
      <c r="E207" s="2" t="str">
        <f>IF($K207="","",IFERROR(INDEX('Veri Merkezi'!$G$2:$G$1001,$K207),""))</f>
        <v/>
      </c>
      <c r="F207" t="str">
        <f>IF($K207="","",IFERROR(INDEX('Veri Merkezi'!$H$2:$H$1001,$K207),""))</f>
        <v/>
      </c>
      <c r="G207" t="str">
        <f>IF($K207="","",IFERROR(INDEX('Veri Merkezi'!$R$2:$R$1001,$K207),""))</f>
        <v/>
      </c>
      <c r="H207" t="str">
        <f>IF($K207="","",IFERROR(INDEX('Veri Merkezi'!$S$2:$S$1001,$K207),""))</f>
        <v/>
      </c>
      <c r="I207" s="2" t="str">
        <f>IF($K207="","",IFERROR(INDEX('Veri Merkezi'!$T$2:$T$1001,$K207),""))</f>
        <v/>
      </c>
      <c r="J207" t="str">
        <f>IF($K207="","",IFERROR(INDEX('Veri Merkezi'!$U$2:$U$1001,$K207),""))</f>
        <v/>
      </c>
      <c r="K207" t="str">
        <f>IFERROR(MATCH(ROWS($K$4:K207),'Veri Merkezi'!$X$2:$X$1001,0),"")</f>
        <v/>
      </c>
    </row>
    <row r="208" spans="1:11">
      <c r="A208" t="str">
        <f>IF($K208="","",IFERROR(INDEX('Veri Merkezi'!$A$2:$A$1001,$K208),""))</f>
        <v/>
      </c>
      <c r="B208" t="str">
        <f>IF($K208="","",IFERROR(INDEX('Veri Merkezi'!$E$2:$E$1001,$K208),""))</f>
        <v/>
      </c>
      <c r="C208" t="str">
        <f>IF($K208="","",IFERROR(INDEX('Veri Merkezi'!$D$2:$D$1001,$K208),""))</f>
        <v/>
      </c>
      <c r="D208" t="str">
        <f>IF($K208="","",IFERROR(INDEX('Veri Merkezi'!$F$2:$F$1001,$K208),""))</f>
        <v/>
      </c>
      <c r="E208" s="2" t="str">
        <f>IF($K208="","",IFERROR(INDEX('Veri Merkezi'!$G$2:$G$1001,$K208),""))</f>
        <v/>
      </c>
      <c r="F208" t="str">
        <f>IF($K208="","",IFERROR(INDEX('Veri Merkezi'!$H$2:$H$1001,$K208),""))</f>
        <v/>
      </c>
      <c r="G208" t="str">
        <f>IF($K208="","",IFERROR(INDEX('Veri Merkezi'!$R$2:$R$1001,$K208),""))</f>
        <v/>
      </c>
      <c r="H208" t="str">
        <f>IF($K208="","",IFERROR(INDEX('Veri Merkezi'!$S$2:$S$1001,$K208),""))</f>
        <v/>
      </c>
      <c r="I208" s="2" t="str">
        <f>IF($K208="","",IFERROR(INDEX('Veri Merkezi'!$T$2:$T$1001,$K208),""))</f>
        <v/>
      </c>
      <c r="J208" t="str">
        <f>IF($K208="","",IFERROR(INDEX('Veri Merkezi'!$U$2:$U$1001,$K208),""))</f>
        <v/>
      </c>
      <c r="K208" t="str">
        <f>IFERROR(MATCH(ROWS($K$4:K208),'Veri Merkezi'!$X$2:$X$1001,0),"")</f>
        <v/>
      </c>
    </row>
    <row r="209" spans="1:11">
      <c r="A209" t="str">
        <f>IF($K209="","",IFERROR(INDEX('Veri Merkezi'!$A$2:$A$1001,$K209),""))</f>
        <v/>
      </c>
      <c r="B209" t="str">
        <f>IF($K209="","",IFERROR(INDEX('Veri Merkezi'!$E$2:$E$1001,$K209),""))</f>
        <v/>
      </c>
      <c r="C209" t="str">
        <f>IF($K209="","",IFERROR(INDEX('Veri Merkezi'!$D$2:$D$1001,$K209),""))</f>
        <v/>
      </c>
      <c r="D209" t="str">
        <f>IF($K209="","",IFERROR(INDEX('Veri Merkezi'!$F$2:$F$1001,$K209),""))</f>
        <v/>
      </c>
      <c r="E209" s="2" t="str">
        <f>IF($K209="","",IFERROR(INDEX('Veri Merkezi'!$G$2:$G$1001,$K209),""))</f>
        <v/>
      </c>
      <c r="F209" t="str">
        <f>IF($K209="","",IFERROR(INDEX('Veri Merkezi'!$H$2:$H$1001,$K209),""))</f>
        <v/>
      </c>
      <c r="G209" t="str">
        <f>IF($K209="","",IFERROR(INDEX('Veri Merkezi'!$R$2:$R$1001,$K209),""))</f>
        <v/>
      </c>
      <c r="H209" t="str">
        <f>IF($K209="","",IFERROR(INDEX('Veri Merkezi'!$S$2:$S$1001,$K209),""))</f>
        <v/>
      </c>
      <c r="I209" s="2" t="str">
        <f>IF($K209="","",IFERROR(INDEX('Veri Merkezi'!$T$2:$T$1001,$K209),""))</f>
        <v/>
      </c>
      <c r="J209" t="str">
        <f>IF($K209="","",IFERROR(INDEX('Veri Merkezi'!$U$2:$U$1001,$K209),""))</f>
        <v/>
      </c>
      <c r="K209" t="str">
        <f>IFERROR(MATCH(ROWS($K$4:K209),'Veri Merkezi'!$X$2:$X$1001,0),"")</f>
        <v/>
      </c>
    </row>
    <row r="210" spans="1:11">
      <c r="A210" t="str">
        <f>IF($K210="","",IFERROR(INDEX('Veri Merkezi'!$A$2:$A$1001,$K210),""))</f>
        <v/>
      </c>
      <c r="B210" t="str">
        <f>IF($K210="","",IFERROR(INDEX('Veri Merkezi'!$E$2:$E$1001,$K210),""))</f>
        <v/>
      </c>
      <c r="C210" t="str">
        <f>IF($K210="","",IFERROR(INDEX('Veri Merkezi'!$D$2:$D$1001,$K210),""))</f>
        <v/>
      </c>
      <c r="D210" t="str">
        <f>IF($K210="","",IFERROR(INDEX('Veri Merkezi'!$F$2:$F$1001,$K210),""))</f>
        <v/>
      </c>
      <c r="E210" s="2" t="str">
        <f>IF($K210="","",IFERROR(INDEX('Veri Merkezi'!$G$2:$G$1001,$K210),""))</f>
        <v/>
      </c>
      <c r="F210" t="str">
        <f>IF($K210="","",IFERROR(INDEX('Veri Merkezi'!$H$2:$H$1001,$K210),""))</f>
        <v/>
      </c>
      <c r="G210" t="str">
        <f>IF($K210="","",IFERROR(INDEX('Veri Merkezi'!$R$2:$R$1001,$K210),""))</f>
        <v/>
      </c>
      <c r="H210" t="str">
        <f>IF($K210="","",IFERROR(INDEX('Veri Merkezi'!$S$2:$S$1001,$K210),""))</f>
        <v/>
      </c>
      <c r="I210" s="2" t="str">
        <f>IF($K210="","",IFERROR(INDEX('Veri Merkezi'!$T$2:$T$1001,$K210),""))</f>
        <v/>
      </c>
      <c r="J210" t="str">
        <f>IF($K210="","",IFERROR(INDEX('Veri Merkezi'!$U$2:$U$1001,$K210),""))</f>
        <v/>
      </c>
      <c r="K210" t="str">
        <f>IFERROR(MATCH(ROWS($K$4:K210),'Veri Merkezi'!$X$2:$X$1001,0),"")</f>
        <v/>
      </c>
    </row>
    <row r="211" spans="1:11">
      <c r="A211" t="str">
        <f>IF($K211="","",IFERROR(INDEX('Veri Merkezi'!$A$2:$A$1001,$K211),""))</f>
        <v/>
      </c>
      <c r="B211" t="str">
        <f>IF($K211="","",IFERROR(INDEX('Veri Merkezi'!$E$2:$E$1001,$K211),""))</f>
        <v/>
      </c>
      <c r="C211" t="str">
        <f>IF($K211="","",IFERROR(INDEX('Veri Merkezi'!$D$2:$D$1001,$K211),""))</f>
        <v/>
      </c>
      <c r="D211" t="str">
        <f>IF($K211="","",IFERROR(INDEX('Veri Merkezi'!$F$2:$F$1001,$K211),""))</f>
        <v/>
      </c>
      <c r="E211" s="2" t="str">
        <f>IF($K211="","",IFERROR(INDEX('Veri Merkezi'!$G$2:$G$1001,$K211),""))</f>
        <v/>
      </c>
      <c r="F211" t="str">
        <f>IF($K211="","",IFERROR(INDEX('Veri Merkezi'!$H$2:$H$1001,$K211),""))</f>
        <v/>
      </c>
      <c r="G211" t="str">
        <f>IF($K211="","",IFERROR(INDEX('Veri Merkezi'!$R$2:$R$1001,$K211),""))</f>
        <v/>
      </c>
      <c r="H211" t="str">
        <f>IF($K211="","",IFERROR(INDEX('Veri Merkezi'!$S$2:$S$1001,$K211),""))</f>
        <v/>
      </c>
      <c r="I211" s="2" t="str">
        <f>IF($K211="","",IFERROR(INDEX('Veri Merkezi'!$T$2:$T$1001,$K211),""))</f>
        <v/>
      </c>
      <c r="J211" t="str">
        <f>IF($K211="","",IFERROR(INDEX('Veri Merkezi'!$U$2:$U$1001,$K211),""))</f>
        <v/>
      </c>
      <c r="K211" t="str">
        <f>IFERROR(MATCH(ROWS($K$4:K211),'Veri Merkezi'!$X$2:$X$1001,0),"")</f>
        <v/>
      </c>
    </row>
    <row r="212" spans="1:11">
      <c r="A212" t="str">
        <f>IF($K212="","",IFERROR(INDEX('Veri Merkezi'!$A$2:$A$1001,$K212),""))</f>
        <v/>
      </c>
      <c r="B212" t="str">
        <f>IF($K212="","",IFERROR(INDEX('Veri Merkezi'!$E$2:$E$1001,$K212),""))</f>
        <v/>
      </c>
      <c r="C212" t="str">
        <f>IF($K212="","",IFERROR(INDEX('Veri Merkezi'!$D$2:$D$1001,$K212),""))</f>
        <v/>
      </c>
      <c r="D212" t="str">
        <f>IF($K212="","",IFERROR(INDEX('Veri Merkezi'!$F$2:$F$1001,$K212),""))</f>
        <v/>
      </c>
      <c r="E212" s="2" t="str">
        <f>IF($K212="","",IFERROR(INDEX('Veri Merkezi'!$G$2:$G$1001,$K212),""))</f>
        <v/>
      </c>
      <c r="F212" t="str">
        <f>IF($K212="","",IFERROR(INDEX('Veri Merkezi'!$H$2:$H$1001,$K212),""))</f>
        <v/>
      </c>
      <c r="G212" t="str">
        <f>IF($K212="","",IFERROR(INDEX('Veri Merkezi'!$R$2:$R$1001,$K212),""))</f>
        <v/>
      </c>
      <c r="H212" t="str">
        <f>IF($K212="","",IFERROR(INDEX('Veri Merkezi'!$S$2:$S$1001,$K212),""))</f>
        <v/>
      </c>
      <c r="I212" s="2" t="str">
        <f>IF($K212="","",IFERROR(INDEX('Veri Merkezi'!$T$2:$T$1001,$K212),""))</f>
        <v/>
      </c>
      <c r="J212" t="str">
        <f>IF($K212="","",IFERROR(INDEX('Veri Merkezi'!$U$2:$U$1001,$K212),""))</f>
        <v/>
      </c>
      <c r="K212" t="str">
        <f>IFERROR(MATCH(ROWS($K$4:K212),'Veri Merkezi'!$X$2:$X$1001,0),"")</f>
        <v/>
      </c>
    </row>
    <row r="213" spans="1:11">
      <c r="A213" t="str">
        <f>IF($K213="","",IFERROR(INDEX('Veri Merkezi'!$A$2:$A$1001,$K213),""))</f>
        <v/>
      </c>
      <c r="B213" t="str">
        <f>IF($K213="","",IFERROR(INDEX('Veri Merkezi'!$E$2:$E$1001,$K213),""))</f>
        <v/>
      </c>
      <c r="C213" t="str">
        <f>IF($K213="","",IFERROR(INDEX('Veri Merkezi'!$D$2:$D$1001,$K213),""))</f>
        <v/>
      </c>
      <c r="D213" t="str">
        <f>IF($K213="","",IFERROR(INDEX('Veri Merkezi'!$F$2:$F$1001,$K213),""))</f>
        <v/>
      </c>
      <c r="E213" s="2" t="str">
        <f>IF($K213="","",IFERROR(INDEX('Veri Merkezi'!$G$2:$G$1001,$K213),""))</f>
        <v/>
      </c>
      <c r="F213" t="str">
        <f>IF($K213="","",IFERROR(INDEX('Veri Merkezi'!$H$2:$H$1001,$K213),""))</f>
        <v/>
      </c>
      <c r="G213" t="str">
        <f>IF($K213="","",IFERROR(INDEX('Veri Merkezi'!$R$2:$R$1001,$K213),""))</f>
        <v/>
      </c>
      <c r="H213" t="str">
        <f>IF($K213="","",IFERROR(INDEX('Veri Merkezi'!$S$2:$S$1001,$K213),""))</f>
        <v/>
      </c>
      <c r="I213" s="2" t="str">
        <f>IF($K213="","",IFERROR(INDEX('Veri Merkezi'!$T$2:$T$1001,$K213),""))</f>
        <v/>
      </c>
      <c r="J213" t="str">
        <f>IF($K213="","",IFERROR(INDEX('Veri Merkezi'!$U$2:$U$1001,$K213),""))</f>
        <v/>
      </c>
      <c r="K213" t="str">
        <f>IFERROR(MATCH(ROWS($K$4:K213),'Veri Merkezi'!$X$2:$X$1001,0),"")</f>
        <v/>
      </c>
    </row>
    <row r="214" spans="1:11">
      <c r="A214" t="str">
        <f>IF($K214="","",IFERROR(INDEX('Veri Merkezi'!$A$2:$A$1001,$K214),""))</f>
        <v/>
      </c>
      <c r="B214" t="str">
        <f>IF($K214="","",IFERROR(INDEX('Veri Merkezi'!$E$2:$E$1001,$K214),""))</f>
        <v/>
      </c>
      <c r="C214" t="str">
        <f>IF($K214="","",IFERROR(INDEX('Veri Merkezi'!$D$2:$D$1001,$K214),""))</f>
        <v/>
      </c>
      <c r="D214" t="str">
        <f>IF($K214="","",IFERROR(INDEX('Veri Merkezi'!$F$2:$F$1001,$K214),""))</f>
        <v/>
      </c>
      <c r="E214" s="2" t="str">
        <f>IF($K214="","",IFERROR(INDEX('Veri Merkezi'!$G$2:$G$1001,$K214),""))</f>
        <v/>
      </c>
      <c r="F214" t="str">
        <f>IF($K214="","",IFERROR(INDEX('Veri Merkezi'!$H$2:$H$1001,$K214),""))</f>
        <v/>
      </c>
      <c r="G214" t="str">
        <f>IF($K214="","",IFERROR(INDEX('Veri Merkezi'!$R$2:$R$1001,$K214),""))</f>
        <v/>
      </c>
      <c r="H214" t="str">
        <f>IF($K214="","",IFERROR(INDEX('Veri Merkezi'!$S$2:$S$1001,$K214),""))</f>
        <v/>
      </c>
      <c r="I214" s="2" t="str">
        <f>IF($K214="","",IFERROR(INDEX('Veri Merkezi'!$T$2:$T$1001,$K214),""))</f>
        <v/>
      </c>
      <c r="J214" t="str">
        <f>IF($K214="","",IFERROR(INDEX('Veri Merkezi'!$U$2:$U$1001,$K214),""))</f>
        <v/>
      </c>
      <c r="K214" t="str">
        <f>IFERROR(MATCH(ROWS($K$4:K214),'Veri Merkezi'!$X$2:$X$1001,0),"")</f>
        <v/>
      </c>
    </row>
    <row r="215" spans="1:11">
      <c r="A215" t="str">
        <f>IF($K215="","",IFERROR(INDEX('Veri Merkezi'!$A$2:$A$1001,$K215),""))</f>
        <v/>
      </c>
      <c r="B215" t="str">
        <f>IF($K215="","",IFERROR(INDEX('Veri Merkezi'!$E$2:$E$1001,$K215),""))</f>
        <v/>
      </c>
      <c r="C215" t="str">
        <f>IF($K215="","",IFERROR(INDEX('Veri Merkezi'!$D$2:$D$1001,$K215),""))</f>
        <v/>
      </c>
      <c r="D215" t="str">
        <f>IF($K215="","",IFERROR(INDEX('Veri Merkezi'!$F$2:$F$1001,$K215),""))</f>
        <v/>
      </c>
      <c r="E215" s="2" t="str">
        <f>IF($K215="","",IFERROR(INDEX('Veri Merkezi'!$G$2:$G$1001,$K215),""))</f>
        <v/>
      </c>
      <c r="F215" t="str">
        <f>IF($K215="","",IFERROR(INDEX('Veri Merkezi'!$H$2:$H$1001,$K215),""))</f>
        <v/>
      </c>
      <c r="G215" t="str">
        <f>IF($K215="","",IFERROR(INDEX('Veri Merkezi'!$R$2:$R$1001,$K215),""))</f>
        <v/>
      </c>
      <c r="H215" t="str">
        <f>IF($K215="","",IFERROR(INDEX('Veri Merkezi'!$S$2:$S$1001,$K215),""))</f>
        <v/>
      </c>
      <c r="I215" s="2" t="str">
        <f>IF($K215="","",IFERROR(INDEX('Veri Merkezi'!$T$2:$T$1001,$K215),""))</f>
        <v/>
      </c>
      <c r="J215" t="str">
        <f>IF($K215="","",IFERROR(INDEX('Veri Merkezi'!$U$2:$U$1001,$K215),""))</f>
        <v/>
      </c>
      <c r="K215" t="str">
        <f>IFERROR(MATCH(ROWS($K$4:K215),'Veri Merkezi'!$X$2:$X$1001,0),"")</f>
        <v/>
      </c>
    </row>
    <row r="216" spans="1:11">
      <c r="A216" t="str">
        <f>IF($K216="","",IFERROR(INDEX('Veri Merkezi'!$A$2:$A$1001,$K216),""))</f>
        <v/>
      </c>
      <c r="B216" t="str">
        <f>IF($K216="","",IFERROR(INDEX('Veri Merkezi'!$E$2:$E$1001,$K216),""))</f>
        <v/>
      </c>
      <c r="C216" t="str">
        <f>IF($K216="","",IFERROR(INDEX('Veri Merkezi'!$D$2:$D$1001,$K216),""))</f>
        <v/>
      </c>
      <c r="D216" t="str">
        <f>IF($K216="","",IFERROR(INDEX('Veri Merkezi'!$F$2:$F$1001,$K216),""))</f>
        <v/>
      </c>
      <c r="E216" s="2" t="str">
        <f>IF($K216="","",IFERROR(INDEX('Veri Merkezi'!$G$2:$G$1001,$K216),""))</f>
        <v/>
      </c>
      <c r="F216" t="str">
        <f>IF($K216="","",IFERROR(INDEX('Veri Merkezi'!$H$2:$H$1001,$K216),""))</f>
        <v/>
      </c>
      <c r="G216" t="str">
        <f>IF($K216="","",IFERROR(INDEX('Veri Merkezi'!$R$2:$R$1001,$K216),""))</f>
        <v/>
      </c>
      <c r="H216" t="str">
        <f>IF($K216="","",IFERROR(INDEX('Veri Merkezi'!$S$2:$S$1001,$K216),""))</f>
        <v/>
      </c>
      <c r="I216" s="2" t="str">
        <f>IF($K216="","",IFERROR(INDEX('Veri Merkezi'!$T$2:$T$1001,$K216),""))</f>
        <v/>
      </c>
      <c r="J216" t="str">
        <f>IF($K216="","",IFERROR(INDEX('Veri Merkezi'!$U$2:$U$1001,$K216),""))</f>
        <v/>
      </c>
      <c r="K216" t="str">
        <f>IFERROR(MATCH(ROWS($K$4:K216),'Veri Merkezi'!$X$2:$X$1001,0),"")</f>
        <v/>
      </c>
    </row>
    <row r="217" spans="1:11">
      <c r="A217" t="str">
        <f>IF($K217="","",IFERROR(INDEX('Veri Merkezi'!$A$2:$A$1001,$K217),""))</f>
        <v/>
      </c>
      <c r="B217" t="str">
        <f>IF($K217="","",IFERROR(INDEX('Veri Merkezi'!$E$2:$E$1001,$K217),""))</f>
        <v/>
      </c>
      <c r="C217" t="str">
        <f>IF($K217="","",IFERROR(INDEX('Veri Merkezi'!$D$2:$D$1001,$K217),""))</f>
        <v/>
      </c>
      <c r="D217" t="str">
        <f>IF($K217="","",IFERROR(INDEX('Veri Merkezi'!$F$2:$F$1001,$K217),""))</f>
        <v/>
      </c>
      <c r="E217" s="2" t="str">
        <f>IF($K217="","",IFERROR(INDEX('Veri Merkezi'!$G$2:$G$1001,$K217),""))</f>
        <v/>
      </c>
      <c r="F217" t="str">
        <f>IF($K217="","",IFERROR(INDEX('Veri Merkezi'!$H$2:$H$1001,$K217),""))</f>
        <v/>
      </c>
      <c r="G217" t="str">
        <f>IF($K217="","",IFERROR(INDEX('Veri Merkezi'!$R$2:$R$1001,$K217),""))</f>
        <v/>
      </c>
      <c r="H217" t="str">
        <f>IF($K217="","",IFERROR(INDEX('Veri Merkezi'!$S$2:$S$1001,$K217),""))</f>
        <v/>
      </c>
      <c r="I217" s="2" t="str">
        <f>IF($K217="","",IFERROR(INDEX('Veri Merkezi'!$T$2:$T$1001,$K217),""))</f>
        <v/>
      </c>
      <c r="J217" t="str">
        <f>IF($K217="","",IFERROR(INDEX('Veri Merkezi'!$U$2:$U$1001,$K217),""))</f>
        <v/>
      </c>
      <c r="K217" t="str">
        <f>IFERROR(MATCH(ROWS($K$4:K217),'Veri Merkezi'!$X$2:$X$1001,0),"")</f>
        <v/>
      </c>
    </row>
    <row r="218" spans="1:11">
      <c r="A218" t="str">
        <f>IF($K218="","",IFERROR(INDEX('Veri Merkezi'!$A$2:$A$1001,$K218),""))</f>
        <v/>
      </c>
      <c r="B218" t="str">
        <f>IF($K218="","",IFERROR(INDEX('Veri Merkezi'!$E$2:$E$1001,$K218),""))</f>
        <v/>
      </c>
      <c r="C218" t="str">
        <f>IF($K218="","",IFERROR(INDEX('Veri Merkezi'!$D$2:$D$1001,$K218),""))</f>
        <v/>
      </c>
      <c r="D218" t="str">
        <f>IF($K218="","",IFERROR(INDEX('Veri Merkezi'!$F$2:$F$1001,$K218),""))</f>
        <v/>
      </c>
      <c r="E218" s="2" t="str">
        <f>IF($K218="","",IFERROR(INDEX('Veri Merkezi'!$G$2:$G$1001,$K218),""))</f>
        <v/>
      </c>
      <c r="F218" t="str">
        <f>IF($K218="","",IFERROR(INDEX('Veri Merkezi'!$H$2:$H$1001,$K218),""))</f>
        <v/>
      </c>
      <c r="G218" t="str">
        <f>IF($K218="","",IFERROR(INDEX('Veri Merkezi'!$R$2:$R$1001,$K218),""))</f>
        <v/>
      </c>
      <c r="H218" t="str">
        <f>IF($K218="","",IFERROR(INDEX('Veri Merkezi'!$S$2:$S$1001,$K218),""))</f>
        <v/>
      </c>
      <c r="I218" s="2" t="str">
        <f>IF($K218="","",IFERROR(INDEX('Veri Merkezi'!$T$2:$T$1001,$K218),""))</f>
        <v/>
      </c>
      <c r="J218" t="str">
        <f>IF($K218="","",IFERROR(INDEX('Veri Merkezi'!$U$2:$U$1001,$K218),""))</f>
        <v/>
      </c>
      <c r="K218" t="str">
        <f>IFERROR(MATCH(ROWS($K$4:K218),'Veri Merkezi'!$X$2:$X$1001,0),"")</f>
        <v/>
      </c>
    </row>
    <row r="219" spans="1:11">
      <c r="A219" t="str">
        <f>IF($K219="","",IFERROR(INDEX('Veri Merkezi'!$A$2:$A$1001,$K219),""))</f>
        <v/>
      </c>
      <c r="B219" t="str">
        <f>IF($K219="","",IFERROR(INDEX('Veri Merkezi'!$E$2:$E$1001,$K219),""))</f>
        <v/>
      </c>
      <c r="C219" t="str">
        <f>IF($K219="","",IFERROR(INDEX('Veri Merkezi'!$D$2:$D$1001,$K219),""))</f>
        <v/>
      </c>
      <c r="D219" t="str">
        <f>IF($K219="","",IFERROR(INDEX('Veri Merkezi'!$F$2:$F$1001,$K219),""))</f>
        <v/>
      </c>
      <c r="E219" s="2" t="str">
        <f>IF($K219="","",IFERROR(INDEX('Veri Merkezi'!$G$2:$G$1001,$K219),""))</f>
        <v/>
      </c>
      <c r="F219" t="str">
        <f>IF($K219="","",IFERROR(INDEX('Veri Merkezi'!$H$2:$H$1001,$K219),""))</f>
        <v/>
      </c>
      <c r="G219" t="str">
        <f>IF($K219="","",IFERROR(INDEX('Veri Merkezi'!$R$2:$R$1001,$K219),""))</f>
        <v/>
      </c>
      <c r="H219" t="str">
        <f>IF($K219="","",IFERROR(INDEX('Veri Merkezi'!$S$2:$S$1001,$K219),""))</f>
        <v/>
      </c>
      <c r="I219" s="2" t="str">
        <f>IF($K219="","",IFERROR(INDEX('Veri Merkezi'!$T$2:$T$1001,$K219),""))</f>
        <v/>
      </c>
      <c r="J219" t="str">
        <f>IF($K219="","",IFERROR(INDEX('Veri Merkezi'!$U$2:$U$1001,$K219),""))</f>
        <v/>
      </c>
      <c r="K219" t="str">
        <f>IFERROR(MATCH(ROWS($K$4:K219),'Veri Merkezi'!$X$2:$X$1001,0),"")</f>
        <v/>
      </c>
    </row>
    <row r="220" spans="1:11">
      <c r="A220" t="str">
        <f>IF($K220="","",IFERROR(INDEX('Veri Merkezi'!$A$2:$A$1001,$K220),""))</f>
        <v/>
      </c>
      <c r="B220" t="str">
        <f>IF($K220="","",IFERROR(INDEX('Veri Merkezi'!$E$2:$E$1001,$K220),""))</f>
        <v/>
      </c>
      <c r="C220" t="str">
        <f>IF($K220="","",IFERROR(INDEX('Veri Merkezi'!$D$2:$D$1001,$K220),""))</f>
        <v/>
      </c>
      <c r="D220" t="str">
        <f>IF($K220="","",IFERROR(INDEX('Veri Merkezi'!$F$2:$F$1001,$K220),""))</f>
        <v/>
      </c>
      <c r="E220" s="2" t="str">
        <f>IF($K220="","",IFERROR(INDEX('Veri Merkezi'!$G$2:$G$1001,$K220),""))</f>
        <v/>
      </c>
      <c r="F220" t="str">
        <f>IF($K220="","",IFERROR(INDEX('Veri Merkezi'!$H$2:$H$1001,$K220),""))</f>
        <v/>
      </c>
      <c r="G220" t="str">
        <f>IF($K220="","",IFERROR(INDEX('Veri Merkezi'!$R$2:$R$1001,$K220),""))</f>
        <v/>
      </c>
      <c r="H220" t="str">
        <f>IF($K220="","",IFERROR(INDEX('Veri Merkezi'!$S$2:$S$1001,$K220),""))</f>
        <v/>
      </c>
      <c r="I220" s="2" t="str">
        <f>IF($K220="","",IFERROR(INDEX('Veri Merkezi'!$T$2:$T$1001,$K220),""))</f>
        <v/>
      </c>
      <c r="J220" t="str">
        <f>IF($K220="","",IFERROR(INDEX('Veri Merkezi'!$U$2:$U$1001,$K220),""))</f>
        <v/>
      </c>
      <c r="K220" t="str">
        <f>IFERROR(MATCH(ROWS($K$4:K220),'Veri Merkezi'!$X$2:$X$1001,0),"")</f>
        <v/>
      </c>
    </row>
    <row r="221" spans="1:11">
      <c r="A221" t="str">
        <f>IF($K221="","",IFERROR(INDEX('Veri Merkezi'!$A$2:$A$1001,$K221),""))</f>
        <v/>
      </c>
      <c r="B221" t="str">
        <f>IF($K221="","",IFERROR(INDEX('Veri Merkezi'!$E$2:$E$1001,$K221),""))</f>
        <v/>
      </c>
      <c r="C221" t="str">
        <f>IF($K221="","",IFERROR(INDEX('Veri Merkezi'!$D$2:$D$1001,$K221),""))</f>
        <v/>
      </c>
      <c r="D221" t="str">
        <f>IF($K221="","",IFERROR(INDEX('Veri Merkezi'!$F$2:$F$1001,$K221),""))</f>
        <v/>
      </c>
      <c r="E221" s="2" t="str">
        <f>IF($K221="","",IFERROR(INDEX('Veri Merkezi'!$G$2:$G$1001,$K221),""))</f>
        <v/>
      </c>
      <c r="F221" t="str">
        <f>IF($K221="","",IFERROR(INDEX('Veri Merkezi'!$H$2:$H$1001,$K221),""))</f>
        <v/>
      </c>
      <c r="G221" t="str">
        <f>IF($K221="","",IFERROR(INDEX('Veri Merkezi'!$R$2:$R$1001,$K221),""))</f>
        <v/>
      </c>
      <c r="H221" t="str">
        <f>IF($K221="","",IFERROR(INDEX('Veri Merkezi'!$S$2:$S$1001,$K221),""))</f>
        <v/>
      </c>
      <c r="I221" s="2" t="str">
        <f>IF($K221="","",IFERROR(INDEX('Veri Merkezi'!$T$2:$T$1001,$K221),""))</f>
        <v/>
      </c>
      <c r="J221" t="str">
        <f>IF($K221="","",IFERROR(INDEX('Veri Merkezi'!$U$2:$U$1001,$K221),""))</f>
        <v/>
      </c>
      <c r="K221" t="str">
        <f>IFERROR(MATCH(ROWS($K$4:K221),'Veri Merkezi'!$X$2:$X$1001,0),"")</f>
        <v/>
      </c>
    </row>
    <row r="222" spans="1:11">
      <c r="A222" t="str">
        <f>IF($K222="","",IFERROR(INDEX('Veri Merkezi'!$A$2:$A$1001,$K222),""))</f>
        <v/>
      </c>
      <c r="B222" t="str">
        <f>IF($K222="","",IFERROR(INDEX('Veri Merkezi'!$E$2:$E$1001,$K222),""))</f>
        <v/>
      </c>
      <c r="C222" t="str">
        <f>IF($K222="","",IFERROR(INDEX('Veri Merkezi'!$D$2:$D$1001,$K222),""))</f>
        <v/>
      </c>
      <c r="D222" t="str">
        <f>IF($K222="","",IFERROR(INDEX('Veri Merkezi'!$F$2:$F$1001,$K222),""))</f>
        <v/>
      </c>
      <c r="E222" s="2" t="str">
        <f>IF($K222="","",IFERROR(INDEX('Veri Merkezi'!$G$2:$G$1001,$K222),""))</f>
        <v/>
      </c>
      <c r="F222" t="str">
        <f>IF($K222="","",IFERROR(INDEX('Veri Merkezi'!$H$2:$H$1001,$K222),""))</f>
        <v/>
      </c>
      <c r="G222" t="str">
        <f>IF($K222="","",IFERROR(INDEX('Veri Merkezi'!$R$2:$R$1001,$K222),""))</f>
        <v/>
      </c>
      <c r="H222" t="str">
        <f>IF($K222="","",IFERROR(INDEX('Veri Merkezi'!$S$2:$S$1001,$K222),""))</f>
        <v/>
      </c>
      <c r="I222" s="2" t="str">
        <f>IF($K222="","",IFERROR(INDEX('Veri Merkezi'!$T$2:$T$1001,$K222),""))</f>
        <v/>
      </c>
      <c r="J222" t="str">
        <f>IF($K222="","",IFERROR(INDEX('Veri Merkezi'!$U$2:$U$1001,$K222),""))</f>
        <v/>
      </c>
      <c r="K222" t="str">
        <f>IFERROR(MATCH(ROWS($K$4:K222),'Veri Merkezi'!$X$2:$X$1001,0),"")</f>
        <v/>
      </c>
    </row>
    <row r="223" spans="1:11">
      <c r="A223" t="str">
        <f>IF($K223="","",IFERROR(INDEX('Veri Merkezi'!$A$2:$A$1001,$K223),""))</f>
        <v/>
      </c>
      <c r="B223" t="str">
        <f>IF($K223="","",IFERROR(INDEX('Veri Merkezi'!$E$2:$E$1001,$K223),""))</f>
        <v/>
      </c>
      <c r="C223" t="str">
        <f>IF($K223="","",IFERROR(INDEX('Veri Merkezi'!$D$2:$D$1001,$K223),""))</f>
        <v/>
      </c>
      <c r="D223" t="str">
        <f>IF($K223="","",IFERROR(INDEX('Veri Merkezi'!$F$2:$F$1001,$K223),""))</f>
        <v/>
      </c>
      <c r="E223" s="2" t="str">
        <f>IF($K223="","",IFERROR(INDEX('Veri Merkezi'!$G$2:$G$1001,$K223),""))</f>
        <v/>
      </c>
      <c r="F223" t="str">
        <f>IF($K223="","",IFERROR(INDEX('Veri Merkezi'!$H$2:$H$1001,$K223),""))</f>
        <v/>
      </c>
      <c r="G223" t="str">
        <f>IF($K223="","",IFERROR(INDEX('Veri Merkezi'!$R$2:$R$1001,$K223),""))</f>
        <v/>
      </c>
      <c r="H223" t="str">
        <f>IF($K223="","",IFERROR(INDEX('Veri Merkezi'!$S$2:$S$1001,$K223),""))</f>
        <v/>
      </c>
      <c r="I223" s="2" t="str">
        <f>IF($K223="","",IFERROR(INDEX('Veri Merkezi'!$T$2:$T$1001,$K223),""))</f>
        <v/>
      </c>
      <c r="J223" t="str">
        <f>IF($K223="","",IFERROR(INDEX('Veri Merkezi'!$U$2:$U$1001,$K223),""))</f>
        <v/>
      </c>
      <c r="K223" t="str">
        <f>IFERROR(MATCH(ROWS($K$4:K223),'Veri Merkezi'!$X$2:$X$1001,0),"")</f>
        <v/>
      </c>
    </row>
    <row r="224" spans="1:11">
      <c r="A224" t="str">
        <f>IF($K224="","",IFERROR(INDEX('Veri Merkezi'!$A$2:$A$1001,$K224),""))</f>
        <v/>
      </c>
      <c r="B224" t="str">
        <f>IF($K224="","",IFERROR(INDEX('Veri Merkezi'!$E$2:$E$1001,$K224),""))</f>
        <v/>
      </c>
      <c r="C224" t="str">
        <f>IF($K224="","",IFERROR(INDEX('Veri Merkezi'!$D$2:$D$1001,$K224),""))</f>
        <v/>
      </c>
      <c r="D224" t="str">
        <f>IF($K224="","",IFERROR(INDEX('Veri Merkezi'!$F$2:$F$1001,$K224),""))</f>
        <v/>
      </c>
      <c r="E224" s="2" t="str">
        <f>IF($K224="","",IFERROR(INDEX('Veri Merkezi'!$G$2:$G$1001,$K224),""))</f>
        <v/>
      </c>
      <c r="F224" t="str">
        <f>IF($K224="","",IFERROR(INDEX('Veri Merkezi'!$H$2:$H$1001,$K224),""))</f>
        <v/>
      </c>
      <c r="G224" t="str">
        <f>IF($K224="","",IFERROR(INDEX('Veri Merkezi'!$R$2:$R$1001,$K224),""))</f>
        <v/>
      </c>
      <c r="H224" t="str">
        <f>IF($K224="","",IFERROR(INDEX('Veri Merkezi'!$S$2:$S$1001,$K224),""))</f>
        <v/>
      </c>
      <c r="I224" s="2" t="str">
        <f>IF($K224="","",IFERROR(INDEX('Veri Merkezi'!$T$2:$T$1001,$K224),""))</f>
        <v/>
      </c>
      <c r="J224" t="str">
        <f>IF($K224="","",IFERROR(INDEX('Veri Merkezi'!$U$2:$U$1001,$K224),""))</f>
        <v/>
      </c>
      <c r="K224" t="str">
        <f>IFERROR(MATCH(ROWS($K$4:K224),'Veri Merkezi'!$X$2:$X$1001,0),"")</f>
        <v/>
      </c>
    </row>
    <row r="225" spans="1:11">
      <c r="A225" t="str">
        <f>IF($K225="","",IFERROR(INDEX('Veri Merkezi'!$A$2:$A$1001,$K225),""))</f>
        <v/>
      </c>
      <c r="B225" t="str">
        <f>IF($K225="","",IFERROR(INDEX('Veri Merkezi'!$E$2:$E$1001,$K225),""))</f>
        <v/>
      </c>
      <c r="C225" t="str">
        <f>IF($K225="","",IFERROR(INDEX('Veri Merkezi'!$D$2:$D$1001,$K225),""))</f>
        <v/>
      </c>
      <c r="D225" t="str">
        <f>IF($K225="","",IFERROR(INDEX('Veri Merkezi'!$F$2:$F$1001,$K225),""))</f>
        <v/>
      </c>
      <c r="E225" s="2" t="str">
        <f>IF($K225="","",IFERROR(INDEX('Veri Merkezi'!$G$2:$G$1001,$K225),""))</f>
        <v/>
      </c>
      <c r="F225" t="str">
        <f>IF($K225="","",IFERROR(INDEX('Veri Merkezi'!$H$2:$H$1001,$K225),""))</f>
        <v/>
      </c>
      <c r="G225" t="str">
        <f>IF($K225="","",IFERROR(INDEX('Veri Merkezi'!$R$2:$R$1001,$K225),""))</f>
        <v/>
      </c>
      <c r="H225" t="str">
        <f>IF($K225="","",IFERROR(INDEX('Veri Merkezi'!$S$2:$S$1001,$K225),""))</f>
        <v/>
      </c>
      <c r="I225" s="2" t="str">
        <f>IF($K225="","",IFERROR(INDEX('Veri Merkezi'!$T$2:$T$1001,$K225),""))</f>
        <v/>
      </c>
      <c r="J225" t="str">
        <f>IF($K225="","",IFERROR(INDEX('Veri Merkezi'!$U$2:$U$1001,$K225),""))</f>
        <v/>
      </c>
      <c r="K225" t="str">
        <f>IFERROR(MATCH(ROWS($K$4:K225),'Veri Merkezi'!$X$2:$X$1001,0),"")</f>
        <v/>
      </c>
    </row>
    <row r="226" spans="1:11">
      <c r="A226" t="str">
        <f>IF($K226="","",IFERROR(INDEX('Veri Merkezi'!$A$2:$A$1001,$K226),""))</f>
        <v/>
      </c>
      <c r="B226" t="str">
        <f>IF($K226="","",IFERROR(INDEX('Veri Merkezi'!$E$2:$E$1001,$K226),""))</f>
        <v/>
      </c>
      <c r="C226" t="str">
        <f>IF($K226="","",IFERROR(INDEX('Veri Merkezi'!$D$2:$D$1001,$K226),""))</f>
        <v/>
      </c>
      <c r="D226" t="str">
        <f>IF($K226="","",IFERROR(INDEX('Veri Merkezi'!$F$2:$F$1001,$K226),""))</f>
        <v/>
      </c>
      <c r="E226" s="2" t="str">
        <f>IF($K226="","",IFERROR(INDEX('Veri Merkezi'!$G$2:$G$1001,$K226),""))</f>
        <v/>
      </c>
      <c r="F226" t="str">
        <f>IF($K226="","",IFERROR(INDEX('Veri Merkezi'!$H$2:$H$1001,$K226),""))</f>
        <v/>
      </c>
      <c r="G226" t="str">
        <f>IF($K226="","",IFERROR(INDEX('Veri Merkezi'!$R$2:$R$1001,$K226),""))</f>
        <v/>
      </c>
      <c r="H226" t="str">
        <f>IF($K226="","",IFERROR(INDEX('Veri Merkezi'!$S$2:$S$1001,$K226),""))</f>
        <v/>
      </c>
      <c r="I226" s="2" t="str">
        <f>IF($K226="","",IFERROR(INDEX('Veri Merkezi'!$T$2:$T$1001,$K226),""))</f>
        <v/>
      </c>
      <c r="J226" t="str">
        <f>IF($K226="","",IFERROR(INDEX('Veri Merkezi'!$U$2:$U$1001,$K226),""))</f>
        <v/>
      </c>
      <c r="K226" t="str">
        <f>IFERROR(MATCH(ROWS($K$4:K226),'Veri Merkezi'!$X$2:$X$1001,0),"")</f>
        <v/>
      </c>
    </row>
    <row r="227" spans="1:11">
      <c r="A227" t="str">
        <f>IF($K227="","",IFERROR(INDEX('Veri Merkezi'!$A$2:$A$1001,$K227),""))</f>
        <v/>
      </c>
      <c r="B227" t="str">
        <f>IF($K227="","",IFERROR(INDEX('Veri Merkezi'!$E$2:$E$1001,$K227),""))</f>
        <v/>
      </c>
      <c r="C227" t="str">
        <f>IF($K227="","",IFERROR(INDEX('Veri Merkezi'!$D$2:$D$1001,$K227),""))</f>
        <v/>
      </c>
      <c r="D227" t="str">
        <f>IF($K227="","",IFERROR(INDEX('Veri Merkezi'!$F$2:$F$1001,$K227),""))</f>
        <v/>
      </c>
      <c r="E227" s="2" t="str">
        <f>IF($K227="","",IFERROR(INDEX('Veri Merkezi'!$G$2:$G$1001,$K227),""))</f>
        <v/>
      </c>
      <c r="F227" t="str">
        <f>IF($K227="","",IFERROR(INDEX('Veri Merkezi'!$H$2:$H$1001,$K227),""))</f>
        <v/>
      </c>
      <c r="G227" t="str">
        <f>IF($K227="","",IFERROR(INDEX('Veri Merkezi'!$R$2:$R$1001,$K227),""))</f>
        <v/>
      </c>
      <c r="H227" t="str">
        <f>IF($K227="","",IFERROR(INDEX('Veri Merkezi'!$S$2:$S$1001,$K227),""))</f>
        <v/>
      </c>
      <c r="I227" s="2" t="str">
        <f>IF($K227="","",IFERROR(INDEX('Veri Merkezi'!$T$2:$T$1001,$K227),""))</f>
        <v/>
      </c>
      <c r="J227" t="str">
        <f>IF($K227="","",IFERROR(INDEX('Veri Merkezi'!$U$2:$U$1001,$K227),""))</f>
        <v/>
      </c>
      <c r="K227" t="str">
        <f>IFERROR(MATCH(ROWS($K$4:K227),'Veri Merkezi'!$X$2:$X$1001,0),"")</f>
        <v/>
      </c>
    </row>
    <row r="228" spans="1:11">
      <c r="A228" t="str">
        <f>IF($K228="","",IFERROR(INDEX('Veri Merkezi'!$A$2:$A$1001,$K228),""))</f>
        <v/>
      </c>
      <c r="B228" t="str">
        <f>IF($K228="","",IFERROR(INDEX('Veri Merkezi'!$E$2:$E$1001,$K228),""))</f>
        <v/>
      </c>
      <c r="C228" t="str">
        <f>IF($K228="","",IFERROR(INDEX('Veri Merkezi'!$D$2:$D$1001,$K228),""))</f>
        <v/>
      </c>
      <c r="D228" t="str">
        <f>IF($K228="","",IFERROR(INDEX('Veri Merkezi'!$F$2:$F$1001,$K228),""))</f>
        <v/>
      </c>
      <c r="E228" s="2" t="str">
        <f>IF($K228="","",IFERROR(INDEX('Veri Merkezi'!$G$2:$G$1001,$K228),""))</f>
        <v/>
      </c>
      <c r="F228" t="str">
        <f>IF($K228="","",IFERROR(INDEX('Veri Merkezi'!$H$2:$H$1001,$K228),""))</f>
        <v/>
      </c>
      <c r="G228" t="str">
        <f>IF($K228="","",IFERROR(INDEX('Veri Merkezi'!$R$2:$R$1001,$K228),""))</f>
        <v/>
      </c>
      <c r="H228" t="str">
        <f>IF($K228="","",IFERROR(INDEX('Veri Merkezi'!$S$2:$S$1001,$K228),""))</f>
        <v/>
      </c>
      <c r="I228" s="2" t="str">
        <f>IF($K228="","",IFERROR(INDEX('Veri Merkezi'!$T$2:$T$1001,$K228),""))</f>
        <v/>
      </c>
      <c r="J228" t="str">
        <f>IF($K228="","",IFERROR(INDEX('Veri Merkezi'!$U$2:$U$1001,$K228),""))</f>
        <v/>
      </c>
      <c r="K228" t="str">
        <f>IFERROR(MATCH(ROWS($K$4:K228),'Veri Merkezi'!$X$2:$X$1001,0),"")</f>
        <v/>
      </c>
    </row>
    <row r="229" spans="1:11">
      <c r="A229" t="str">
        <f>IF($K229="","",IFERROR(INDEX('Veri Merkezi'!$A$2:$A$1001,$K229),""))</f>
        <v/>
      </c>
      <c r="B229" t="str">
        <f>IF($K229="","",IFERROR(INDEX('Veri Merkezi'!$E$2:$E$1001,$K229),""))</f>
        <v/>
      </c>
      <c r="C229" t="str">
        <f>IF($K229="","",IFERROR(INDEX('Veri Merkezi'!$D$2:$D$1001,$K229),""))</f>
        <v/>
      </c>
      <c r="D229" t="str">
        <f>IF($K229="","",IFERROR(INDEX('Veri Merkezi'!$F$2:$F$1001,$K229),""))</f>
        <v/>
      </c>
      <c r="E229" s="2" t="str">
        <f>IF($K229="","",IFERROR(INDEX('Veri Merkezi'!$G$2:$G$1001,$K229),""))</f>
        <v/>
      </c>
      <c r="F229" t="str">
        <f>IF($K229="","",IFERROR(INDEX('Veri Merkezi'!$H$2:$H$1001,$K229),""))</f>
        <v/>
      </c>
      <c r="G229" t="str">
        <f>IF($K229="","",IFERROR(INDEX('Veri Merkezi'!$R$2:$R$1001,$K229),""))</f>
        <v/>
      </c>
      <c r="H229" t="str">
        <f>IF($K229="","",IFERROR(INDEX('Veri Merkezi'!$S$2:$S$1001,$K229),""))</f>
        <v/>
      </c>
      <c r="I229" s="2" t="str">
        <f>IF($K229="","",IFERROR(INDEX('Veri Merkezi'!$T$2:$T$1001,$K229),""))</f>
        <v/>
      </c>
      <c r="J229" t="str">
        <f>IF($K229="","",IFERROR(INDEX('Veri Merkezi'!$U$2:$U$1001,$K229),""))</f>
        <v/>
      </c>
      <c r="K229" t="str">
        <f>IFERROR(MATCH(ROWS($K$4:K229),'Veri Merkezi'!$X$2:$X$1001,0),"")</f>
        <v/>
      </c>
    </row>
    <row r="230" spans="1:11">
      <c r="A230" t="str">
        <f>IF($K230="","",IFERROR(INDEX('Veri Merkezi'!$A$2:$A$1001,$K230),""))</f>
        <v/>
      </c>
      <c r="B230" t="str">
        <f>IF($K230="","",IFERROR(INDEX('Veri Merkezi'!$E$2:$E$1001,$K230),""))</f>
        <v/>
      </c>
      <c r="C230" t="str">
        <f>IF($K230="","",IFERROR(INDEX('Veri Merkezi'!$D$2:$D$1001,$K230),""))</f>
        <v/>
      </c>
      <c r="D230" t="str">
        <f>IF($K230="","",IFERROR(INDEX('Veri Merkezi'!$F$2:$F$1001,$K230),""))</f>
        <v/>
      </c>
      <c r="E230" s="2" t="str">
        <f>IF($K230="","",IFERROR(INDEX('Veri Merkezi'!$G$2:$G$1001,$K230),""))</f>
        <v/>
      </c>
      <c r="F230" t="str">
        <f>IF($K230="","",IFERROR(INDEX('Veri Merkezi'!$H$2:$H$1001,$K230),""))</f>
        <v/>
      </c>
      <c r="G230" t="str">
        <f>IF($K230="","",IFERROR(INDEX('Veri Merkezi'!$R$2:$R$1001,$K230),""))</f>
        <v/>
      </c>
      <c r="H230" t="str">
        <f>IF($K230="","",IFERROR(INDEX('Veri Merkezi'!$S$2:$S$1001,$K230),""))</f>
        <v/>
      </c>
      <c r="I230" s="2" t="str">
        <f>IF($K230="","",IFERROR(INDEX('Veri Merkezi'!$T$2:$T$1001,$K230),""))</f>
        <v/>
      </c>
      <c r="J230" t="str">
        <f>IF($K230="","",IFERROR(INDEX('Veri Merkezi'!$U$2:$U$1001,$K230),""))</f>
        <v/>
      </c>
      <c r="K230" t="str">
        <f>IFERROR(MATCH(ROWS($K$4:K230),'Veri Merkezi'!$X$2:$X$1001,0),"")</f>
        <v/>
      </c>
    </row>
    <row r="231" spans="1:11">
      <c r="A231" t="str">
        <f>IF($K231="","",IFERROR(INDEX('Veri Merkezi'!$A$2:$A$1001,$K231),""))</f>
        <v/>
      </c>
      <c r="B231" t="str">
        <f>IF($K231="","",IFERROR(INDEX('Veri Merkezi'!$E$2:$E$1001,$K231),""))</f>
        <v/>
      </c>
      <c r="C231" t="str">
        <f>IF($K231="","",IFERROR(INDEX('Veri Merkezi'!$D$2:$D$1001,$K231),""))</f>
        <v/>
      </c>
      <c r="D231" t="str">
        <f>IF($K231="","",IFERROR(INDEX('Veri Merkezi'!$F$2:$F$1001,$K231),""))</f>
        <v/>
      </c>
      <c r="E231" s="2" t="str">
        <f>IF($K231="","",IFERROR(INDEX('Veri Merkezi'!$G$2:$G$1001,$K231),""))</f>
        <v/>
      </c>
      <c r="F231" t="str">
        <f>IF($K231="","",IFERROR(INDEX('Veri Merkezi'!$H$2:$H$1001,$K231),""))</f>
        <v/>
      </c>
      <c r="G231" t="str">
        <f>IF($K231="","",IFERROR(INDEX('Veri Merkezi'!$R$2:$R$1001,$K231),""))</f>
        <v/>
      </c>
      <c r="H231" t="str">
        <f>IF($K231="","",IFERROR(INDEX('Veri Merkezi'!$S$2:$S$1001,$K231),""))</f>
        <v/>
      </c>
      <c r="I231" s="2" t="str">
        <f>IF($K231="","",IFERROR(INDEX('Veri Merkezi'!$T$2:$T$1001,$K231),""))</f>
        <v/>
      </c>
      <c r="J231" t="str">
        <f>IF($K231="","",IFERROR(INDEX('Veri Merkezi'!$U$2:$U$1001,$K231),""))</f>
        <v/>
      </c>
      <c r="K231" t="str">
        <f>IFERROR(MATCH(ROWS($K$4:K231),'Veri Merkezi'!$X$2:$X$1001,0),"")</f>
        <v/>
      </c>
    </row>
    <row r="232" spans="1:11">
      <c r="A232" t="str">
        <f>IF($K232="","",IFERROR(INDEX('Veri Merkezi'!$A$2:$A$1001,$K232),""))</f>
        <v/>
      </c>
      <c r="B232" t="str">
        <f>IF($K232="","",IFERROR(INDEX('Veri Merkezi'!$E$2:$E$1001,$K232),""))</f>
        <v/>
      </c>
      <c r="C232" t="str">
        <f>IF($K232="","",IFERROR(INDEX('Veri Merkezi'!$D$2:$D$1001,$K232),""))</f>
        <v/>
      </c>
      <c r="D232" t="str">
        <f>IF($K232="","",IFERROR(INDEX('Veri Merkezi'!$F$2:$F$1001,$K232),""))</f>
        <v/>
      </c>
      <c r="E232" s="2" t="str">
        <f>IF($K232="","",IFERROR(INDEX('Veri Merkezi'!$G$2:$G$1001,$K232),""))</f>
        <v/>
      </c>
      <c r="F232" t="str">
        <f>IF($K232="","",IFERROR(INDEX('Veri Merkezi'!$H$2:$H$1001,$K232),""))</f>
        <v/>
      </c>
      <c r="G232" t="str">
        <f>IF($K232="","",IFERROR(INDEX('Veri Merkezi'!$R$2:$R$1001,$K232),""))</f>
        <v/>
      </c>
      <c r="H232" t="str">
        <f>IF($K232="","",IFERROR(INDEX('Veri Merkezi'!$S$2:$S$1001,$K232),""))</f>
        <v/>
      </c>
      <c r="I232" s="2" t="str">
        <f>IF($K232="","",IFERROR(INDEX('Veri Merkezi'!$T$2:$T$1001,$K232),""))</f>
        <v/>
      </c>
      <c r="J232" t="str">
        <f>IF($K232="","",IFERROR(INDEX('Veri Merkezi'!$U$2:$U$1001,$K232),""))</f>
        <v/>
      </c>
      <c r="K232" t="str">
        <f>IFERROR(MATCH(ROWS($K$4:K232),'Veri Merkezi'!$X$2:$X$1001,0),"")</f>
        <v/>
      </c>
    </row>
    <row r="233" spans="1:11">
      <c r="A233" t="str">
        <f>IF($K233="","",IFERROR(INDEX('Veri Merkezi'!$A$2:$A$1001,$K233),""))</f>
        <v/>
      </c>
      <c r="B233" t="str">
        <f>IF($K233="","",IFERROR(INDEX('Veri Merkezi'!$E$2:$E$1001,$K233),""))</f>
        <v/>
      </c>
      <c r="C233" t="str">
        <f>IF($K233="","",IFERROR(INDEX('Veri Merkezi'!$D$2:$D$1001,$K233),""))</f>
        <v/>
      </c>
      <c r="D233" t="str">
        <f>IF($K233="","",IFERROR(INDEX('Veri Merkezi'!$F$2:$F$1001,$K233),""))</f>
        <v/>
      </c>
      <c r="E233" s="2" t="str">
        <f>IF($K233="","",IFERROR(INDEX('Veri Merkezi'!$G$2:$G$1001,$K233),""))</f>
        <v/>
      </c>
      <c r="F233" t="str">
        <f>IF($K233="","",IFERROR(INDEX('Veri Merkezi'!$H$2:$H$1001,$K233),""))</f>
        <v/>
      </c>
      <c r="G233" t="str">
        <f>IF($K233="","",IFERROR(INDEX('Veri Merkezi'!$R$2:$R$1001,$K233),""))</f>
        <v/>
      </c>
      <c r="H233" t="str">
        <f>IF($K233="","",IFERROR(INDEX('Veri Merkezi'!$S$2:$S$1001,$K233),""))</f>
        <v/>
      </c>
      <c r="I233" s="2" t="str">
        <f>IF($K233="","",IFERROR(INDEX('Veri Merkezi'!$T$2:$T$1001,$K233),""))</f>
        <v/>
      </c>
      <c r="J233" t="str">
        <f>IF($K233="","",IFERROR(INDEX('Veri Merkezi'!$U$2:$U$1001,$K233),""))</f>
        <v/>
      </c>
      <c r="K233" t="str">
        <f>IFERROR(MATCH(ROWS($K$4:K233),'Veri Merkezi'!$X$2:$X$1001,0),"")</f>
        <v/>
      </c>
    </row>
    <row r="234" spans="1:11">
      <c r="A234" t="str">
        <f>IF($K234="","",IFERROR(INDEX('Veri Merkezi'!$A$2:$A$1001,$K234),""))</f>
        <v/>
      </c>
      <c r="B234" t="str">
        <f>IF($K234="","",IFERROR(INDEX('Veri Merkezi'!$E$2:$E$1001,$K234),""))</f>
        <v/>
      </c>
      <c r="C234" t="str">
        <f>IF($K234="","",IFERROR(INDEX('Veri Merkezi'!$D$2:$D$1001,$K234),""))</f>
        <v/>
      </c>
      <c r="D234" t="str">
        <f>IF($K234="","",IFERROR(INDEX('Veri Merkezi'!$F$2:$F$1001,$K234),""))</f>
        <v/>
      </c>
      <c r="E234" s="2" t="str">
        <f>IF($K234="","",IFERROR(INDEX('Veri Merkezi'!$G$2:$G$1001,$K234),""))</f>
        <v/>
      </c>
      <c r="F234" t="str">
        <f>IF($K234="","",IFERROR(INDEX('Veri Merkezi'!$H$2:$H$1001,$K234),""))</f>
        <v/>
      </c>
      <c r="G234" t="str">
        <f>IF($K234="","",IFERROR(INDEX('Veri Merkezi'!$R$2:$R$1001,$K234),""))</f>
        <v/>
      </c>
      <c r="H234" t="str">
        <f>IF($K234="","",IFERROR(INDEX('Veri Merkezi'!$S$2:$S$1001,$K234),""))</f>
        <v/>
      </c>
      <c r="I234" s="2" t="str">
        <f>IF($K234="","",IFERROR(INDEX('Veri Merkezi'!$T$2:$T$1001,$K234),""))</f>
        <v/>
      </c>
      <c r="J234" t="str">
        <f>IF($K234="","",IFERROR(INDEX('Veri Merkezi'!$U$2:$U$1001,$K234),""))</f>
        <v/>
      </c>
      <c r="K234" t="str">
        <f>IFERROR(MATCH(ROWS($K$4:K234),'Veri Merkezi'!$X$2:$X$1001,0),"")</f>
        <v/>
      </c>
    </row>
    <row r="235" spans="1:11">
      <c r="A235" t="str">
        <f>IF($K235="","",IFERROR(INDEX('Veri Merkezi'!$A$2:$A$1001,$K235),""))</f>
        <v/>
      </c>
      <c r="B235" t="str">
        <f>IF($K235="","",IFERROR(INDEX('Veri Merkezi'!$E$2:$E$1001,$K235),""))</f>
        <v/>
      </c>
      <c r="C235" t="str">
        <f>IF($K235="","",IFERROR(INDEX('Veri Merkezi'!$D$2:$D$1001,$K235),""))</f>
        <v/>
      </c>
      <c r="D235" t="str">
        <f>IF($K235="","",IFERROR(INDEX('Veri Merkezi'!$F$2:$F$1001,$K235),""))</f>
        <v/>
      </c>
      <c r="E235" s="2" t="str">
        <f>IF($K235="","",IFERROR(INDEX('Veri Merkezi'!$G$2:$G$1001,$K235),""))</f>
        <v/>
      </c>
      <c r="F235" t="str">
        <f>IF($K235="","",IFERROR(INDEX('Veri Merkezi'!$H$2:$H$1001,$K235),""))</f>
        <v/>
      </c>
      <c r="G235" t="str">
        <f>IF($K235="","",IFERROR(INDEX('Veri Merkezi'!$R$2:$R$1001,$K235),""))</f>
        <v/>
      </c>
      <c r="H235" t="str">
        <f>IF($K235="","",IFERROR(INDEX('Veri Merkezi'!$S$2:$S$1001,$K235),""))</f>
        <v/>
      </c>
      <c r="I235" s="2" t="str">
        <f>IF($K235="","",IFERROR(INDEX('Veri Merkezi'!$T$2:$T$1001,$K235),""))</f>
        <v/>
      </c>
      <c r="J235" t="str">
        <f>IF($K235="","",IFERROR(INDEX('Veri Merkezi'!$U$2:$U$1001,$K235),""))</f>
        <v/>
      </c>
      <c r="K235" t="str">
        <f>IFERROR(MATCH(ROWS($K$4:K235),'Veri Merkezi'!$X$2:$X$1001,0),"")</f>
        <v/>
      </c>
    </row>
    <row r="236" spans="1:11">
      <c r="A236" t="str">
        <f>IF($K236="","",IFERROR(INDEX('Veri Merkezi'!$A$2:$A$1001,$K236),""))</f>
        <v/>
      </c>
      <c r="B236" t="str">
        <f>IF($K236="","",IFERROR(INDEX('Veri Merkezi'!$E$2:$E$1001,$K236),""))</f>
        <v/>
      </c>
      <c r="C236" t="str">
        <f>IF($K236="","",IFERROR(INDEX('Veri Merkezi'!$D$2:$D$1001,$K236),""))</f>
        <v/>
      </c>
      <c r="D236" t="str">
        <f>IF($K236="","",IFERROR(INDEX('Veri Merkezi'!$F$2:$F$1001,$K236),""))</f>
        <v/>
      </c>
      <c r="E236" s="2" t="str">
        <f>IF($K236="","",IFERROR(INDEX('Veri Merkezi'!$G$2:$G$1001,$K236),""))</f>
        <v/>
      </c>
      <c r="F236" t="str">
        <f>IF($K236="","",IFERROR(INDEX('Veri Merkezi'!$H$2:$H$1001,$K236),""))</f>
        <v/>
      </c>
      <c r="G236" t="str">
        <f>IF($K236="","",IFERROR(INDEX('Veri Merkezi'!$R$2:$R$1001,$K236),""))</f>
        <v/>
      </c>
      <c r="H236" t="str">
        <f>IF($K236="","",IFERROR(INDEX('Veri Merkezi'!$S$2:$S$1001,$K236),""))</f>
        <v/>
      </c>
      <c r="I236" s="2" t="str">
        <f>IF($K236="","",IFERROR(INDEX('Veri Merkezi'!$T$2:$T$1001,$K236),""))</f>
        <v/>
      </c>
      <c r="J236" t="str">
        <f>IF($K236="","",IFERROR(INDEX('Veri Merkezi'!$U$2:$U$1001,$K236),""))</f>
        <v/>
      </c>
      <c r="K236" t="str">
        <f>IFERROR(MATCH(ROWS($K$4:K236),'Veri Merkezi'!$X$2:$X$1001,0),"")</f>
        <v/>
      </c>
    </row>
    <row r="237" spans="1:11">
      <c r="A237" t="str">
        <f>IF($K237="","",IFERROR(INDEX('Veri Merkezi'!$A$2:$A$1001,$K237),""))</f>
        <v/>
      </c>
      <c r="B237" t="str">
        <f>IF($K237="","",IFERROR(INDEX('Veri Merkezi'!$E$2:$E$1001,$K237),""))</f>
        <v/>
      </c>
      <c r="C237" t="str">
        <f>IF($K237="","",IFERROR(INDEX('Veri Merkezi'!$D$2:$D$1001,$K237),""))</f>
        <v/>
      </c>
      <c r="D237" t="str">
        <f>IF($K237="","",IFERROR(INDEX('Veri Merkezi'!$F$2:$F$1001,$K237),""))</f>
        <v/>
      </c>
      <c r="E237" s="2" t="str">
        <f>IF($K237="","",IFERROR(INDEX('Veri Merkezi'!$G$2:$G$1001,$K237),""))</f>
        <v/>
      </c>
      <c r="F237" t="str">
        <f>IF($K237="","",IFERROR(INDEX('Veri Merkezi'!$H$2:$H$1001,$K237),""))</f>
        <v/>
      </c>
      <c r="G237" t="str">
        <f>IF($K237="","",IFERROR(INDEX('Veri Merkezi'!$R$2:$R$1001,$K237),""))</f>
        <v/>
      </c>
      <c r="H237" t="str">
        <f>IF($K237="","",IFERROR(INDEX('Veri Merkezi'!$S$2:$S$1001,$K237),""))</f>
        <v/>
      </c>
      <c r="I237" s="2" t="str">
        <f>IF($K237="","",IFERROR(INDEX('Veri Merkezi'!$T$2:$T$1001,$K237),""))</f>
        <v/>
      </c>
      <c r="J237" t="str">
        <f>IF($K237="","",IFERROR(INDEX('Veri Merkezi'!$U$2:$U$1001,$K237),""))</f>
        <v/>
      </c>
      <c r="K237" t="str">
        <f>IFERROR(MATCH(ROWS($K$4:K237),'Veri Merkezi'!$X$2:$X$1001,0),"")</f>
        <v/>
      </c>
    </row>
    <row r="238" spans="1:11">
      <c r="A238" t="str">
        <f>IF($K238="","",IFERROR(INDEX('Veri Merkezi'!$A$2:$A$1001,$K238),""))</f>
        <v/>
      </c>
      <c r="B238" t="str">
        <f>IF($K238="","",IFERROR(INDEX('Veri Merkezi'!$E$2:$E$1001,$K238),""))</f>
        <v/>
      </c>
      <c r="C238" t="str">
        <f>IF($K238="","",IFERROR(INDEX('Veri Merkezi'!$D$2:$D$1001,$K238),""))</f>
        <v/>
      </c>
      <c r="D238" t="str">
        <f>IF($K238="","",IFERROR(INDEX('Veri Merkezi'!$F$2:$F$1001,$K238),""))</f>
        <v/>
      </c>
      <c r="E238" s="2" t="str">
        <f>IF($K238="","",IFERROR(INDEX('Veri Merkezi'!$G$2:$G$1001,$K238),""))</f>
        <v/>
      </c>
      <c r="F238" t="str">
        <f>IF($K238="","",IFERROR(INDEX('Veri Merkezi'!$H$2:$H$1001,$K238),""))</f>
        <v/>
      </c>
      <c r="G238" t="str">
        <f>IF($K238="","",IFERROR(INDEX('Veri Merkezi'!$R$2:$R$1001,$K238),""))</f>
        <v/>
      </c>
      <c r="H238" t="str">
        <f>IF($K238="","",IFERROR(INDEX('Veri Merkezi'!$S$2:$S$1001,$K238),""))</f>
        <v/>
      </c>
      <c r="I238" s="2" t="str">
        <f>IF($K238="","",IFERROR(INDEX('Veri Merkezi'!$T$2:$T$1001,$K238),""))</f>
        <v/>
      </c>
      <c r="J238" t="str">
        <f>IF($K238="","",IFERROR(INDEX('Veri Merkezi'!$U$2:$U$1001,$K238),""))</f>
        <v/>
      </c>
      <c r="K238" t="str">
        <f>IFERROR(MATCH(ROWS($K$4:K238),'Veri Merkezi'!$X$2:$X$1001,0),"")</f>
        <v/>
      </c>
    </row>
    <row r="239" spans="1:11">
      <c r="A239" t="str">
        <f>IF($K239="","",IFERROR(INDEX('Veri Merkezi'!$A$2:$A$1001,$K239),""))</f>
        <v/>
      </c>
      <c r="B239" t="str">
        <f>IF($K239="","",IFERROR(INDEX('Veri Merkezi'!$E$2:$E$1001,$K239),""))</f>
        <v/>
      </c>
      <c r="C239" t="str">
        <f>IF($K239="","",IFERROR(INDEX('Veri Merkezi'!$D$2:$D$1001,$K239),""))</f>
        <v/>
      </c>
      <c r="D239" t="str">
        <f>IF($K239="","",IFERROR(INDEX('Veri Merkezi'!$F$2:$F$1001,$K239),""))</f>
        <v/>
      </c>
      <c r="E239" s="2" t="str">
        <f>IF($K239="","",IFERROR(INDEX('Veri Merkezi'!$G$2:$G$1001,$K239),""))</f>
        <v/>
      </c>
      <c r="F239" t="str">
        <f>IF($K239="","",IFERROR(INDEX('Veri Merkezi'!$H$2:$H$1001,$K239),""))</f>
        <v/>
      </c>
      <c r="G239" t="str">
        <f>IF($K239="","",IFERROR(INDEX('Veri Merkezi'!$R$2:$R$1001,$K239),""))</f>
        <v/>
      </c>
      <c r="H239" t="str">
        <f>IF($K239="","",IFERROR(INDEX('Veri Merkezi'!$S$2:$S$1001,$K239),""))</f>
        <v/>
      </c>
      <c r="I239" s="2" t="str">
        <f>IF($K239="","",IFERROR(INDEX('Veri Merkezi'!$T$2:$T$1001,$K239),""))</f>
        <v/>
      </c>
      <c r="J239" t="str">
        <f>IF($K239="","",IFERROR(INDEX('Veri Merkezi'!$U$2:$U$1001,$K239),""))</f>
        <v/>
      </c>
      <c r="K239" t="str">
        <f>IFERROR(MATCH(ROWS($K$4:K239),'Veri Merkezi'!$X$2:$X$1001,0),"")</f>
        <v/>
      </c>
    </row>
    <row r="240" spans="1:11">
      <c r="A240" t="str">
        <f>IF($K240="","",IFERROR(INDEX('Veri Merkezi'!$A$2:$A$1001,$K240),""))</f>
        <v/>
      </c>
      <c r="B240" t="str">
        <f>IF($K240="","",IFERROR(INDEX('Veri Merkezi'!$E$2:$E$1001,$K240),""))</f>
        <v/>
      </c>
      <c r="C240" t="str">
        <f>IF($K240="","",IFERROR(INDEX('Veri Merkezi'!$D$2:$D$1001,$K240),""))</f>
        <v/>
      </c>
      <c r="D240" t="str">
        <f>IF($K240="","",IFERROR(INDEX('Veri Merkezi'!$F$2:$F$1001,$K240),""))</f>
        <v/>
      </c>
      <c r="E240" s="2" t="str">
        <f>IF($K240="","",IFERROR(INDEX('Veri Merkezi'!$G$2:$G$1001,$K240),""))</f>
        <v/>
      </c>
      <c r="F240" t="str">
        <f>IF($K240="","",IFERROR(INDEX('Veri Merkezi'!$H$2:$H$1001,$K240),""))</f>
        <v/>
      </c>
      <c r="G240" t="str">
        <f>IF($K240="","",IFERROR(INDEX('Veri Merkezi'!$R$2:$R$1001,$K240),""))</f>
        <v/>
      </c>
      <c r="H240" t="str">
        <f>IF($K240="","",IFERROR(INDEX('Veri Merkezi'!$S$2:$S$1001,$K240),""))</f>
        <v/>
      </c>
      <c r="I240" s="2" t="str">
        <f>IF($K240="","",IFERROR(INDEX('Veri Merkezi'!$T$2:$T$1001,$K240),""))</f>
        <v/>
      </c>
      <c r="J240" t="str">
        <f>IF($K240="","",IFERROR(INDEX('Veri Merkezi'!$U$2:$U$1001,$K240),""))</f>
        <v/>
      </c>
      <c r="K240" t="str">
        <f>IFERROR(MATCH(ROWS($K$4:K240),'Veri Merkezi'!$X$2:$X$1001,0),"")</f>
        <v/>
      </c>
    </row>
    <row r="241" spans="1:11">
      <c r="A241" t="str">
        <f>IF($K241="","",IFERROR(INDEX('Veri Merkezi'!$A$2:$A$1001,$K241),""))</f>
        <v/>
      </c>
      <c r="B241" t="str">
        <f>IF($K241="","",IFERROR(INDEX('Veri Merkezi'!$E$2:$E$1001,$K241),""))</f>
        <v/>
      </c>
      <c r="C241" t="str">
        <f>IF($K241="","",IFERROR(INDEX('Veri Merkezi'!$D$2:$D$1001,$K241),""))</f>
        <v/>
      </c>
      <c r="D241" t="str">
        <f>IF($K241="","",IFERROR(INDEX('Veri Merkezi'!$F$2:$F$1001,$K241),""))</f>
        <v/>
      </c>
      <c r="E241" s="2" t="str">
        <f>IF($K241="","",IFERROR(INDEX('Veri Merkezi'!$G$2:$G$1001,$K241),""))</f>
        <v/>
      </c>
      <c r="F241" t="str">
        <f>IF($K241="","",IFERROR(INDEX('Veri Merkezi'!$H$2:$H$1001,$K241),""))</f>
        <v/>
      </c>
      <c r="G241" t="str">
        <f>IF($K241="","",IFERROR(INDEX('Veri Merkezi'!$R$2:$R$1001,$K241),""))</f>
        <v/>
      </c>
      <c r="H241" t="str">
        <f>IF($K241="","",IFERROR(INDEX('Veri Merkezi'!$S$2:$S$1001,$K241),""))</f>
        <v/>
      </c>
      <c r="I241" s="2" t="str">
        <f>IF($K241="","",IFERROR(INDEX('Veri Merkezi'!$T$2:$T$1001,$K241),""))</f>
        <v/>
      </c>
      <c r="J241" t="str">
        <f>IF($K241="","",IFERROR(INDEX('Veri Merkezi'!$U$2:$U$1001,$K241),""))</f>
        <v/>
      </c>
      <c r="K241" t="str">
        <f>IFERROR(MATCH(ROWS($K$4:K241),'Veri Merkezi'!$X$2:$X$1001,0),"")</f>
        <v/>
      </c>
    </row>
    <row r="242" spans="1:11">
      <c r="A242" t="str">
        <f>IF($K242="","",IFERROR(INDEX('Veri Merkezi'!$A$2:$A$1001,$K242),""))</f>
        <v/>
      </c>
      <c r="B242" t="str">
        <f>IF($K242="","",IFERROR(INDEX('Veri Merkezi'!$E$2:$E$1001,$K242),""))</f>
        <v/>
      </c>
      <c r="C242" t="str">
        <f>IF($K242="","",IFERROR(INDEX('Veri Merkezi'!$D$2:$D$1001,$K242),""))</f>
        <v/>
      </c>
      <c r="D242" t="str">
        <f>IF($K242="","",IFERROR(INDEX('Veri Merkezi'!$F$2:$F$1001,$K242),""))</f>
        <v/>
      </c>
      <c r="E242" s="2" t="str">
        <f>IF($K242="","",IFERROR(INDEX('Veri Merkezi'!$G$2:$G$1001,$K242),""))</f>
        <v/>
      </c>
      <c r="F242" t="str">
        <f>IF($K242="","",IFERROR(INDEX('Veri Merkezi'!$H$2:$H$1001,$K242),""))</f>
        <v/>
      </c>
      <c r="G242" t="str">
        <f>IF($K242="","",IFERROR(INDEX('Veri Merkezi'!$R$2:$R$1001,$K242),""))</f>
        <v/>
      </c>
      <c r="H242" t="str">
        <f>IF($K242="","",IFERROR(INDEX('Veri Merkezi'!$S$2:$S$1001,$K242),""))</f>
        <v/>
      </c>
      <c r="I242" s="2" t="str">
        <f>IF($K242="","",IFERROR(INDEX('Veri Merkezi'!$T$2:$T$1001,$K242),""))</f>
        <v/>
      </c>
      <c r="J242" t="str">
        <f>IF($K242="","",IFERROR(INDEX('Veri Merkezi'!$U$2:$U$1001,$K242),""))</f>
        <v/>
      </c>
      <c r="K242" t="str">
        <f>IFERROR(MATCH(ROWS($K$4:K242),'Veri Merkezi'!$X$2:$X$1001,0),"")</f>
        <v/>
      </c>
    </row>
    <row r="243" spans="1:11">
      <c r="A243" t="str">
        <f>IF($K243="","",IFERROR(INDEX('Veri Merkezi'!$A$2:$A$1001,$K243),""))</f>
        <v/>
      </c>
      <c r="B243" t="str">
        <f>IF($K243="","",IFERROR(INDEX('Veri Merkezi'!$E$2:$E$1001,$K243),""))</f>
        <v/>
      </c>
      <c r="C243" t="str">
        <f>IF($K243="","",IFERROR(INDEX('Veri Merkezi'!$D$2:$D$1001,$K243),""))</f>
        <v/>
      </c>
      <c r="D243" t="str">
        <f>IF($K243="","",IFERROR(INDEX('Veri Merkezi'!$F$2:$F$1001,$K243),""))</f>
        <v/>
      </c>
      <c r="E243" s="2" t="str">
        <f>IF($K243="","",IFERROR(INDEX('Veri Merkezi'!$G$2:$G$1001,$K243),""))</f>
        <v/>
      </c>
      <c r="F243" t="str">
        <f>IF($K243="","",IFERROR(INDEX('Veri Merkezi'!$H$2:$H$1001,$K243),""))</f>
        <v/>
      </c>
      <c r="G243" t="str">
        <f>IF($K243="","",IFERROR(INDEX('Veri Merkezi'!$R$2:$R$1001,$K243),""))</f>
        <v/>
      </c>
      <c r="H243" t="str">
        <f>IF($K243="","",IFERROR(INDEX('Veri Merkezi'!$S$2:$S$1001,$K243),""))</f>
        <v/>
      </c>
      <c r="I243" s="2" t="str">
        <f>IF($K243="","",IFERROR(INDEX('Veri Merkezi'!$T$2:$T$1001,$K243),""))</f>
        <v/>
      </c>
      <c r="J243" t="str">
        <f>IF($K243="","",IFERROR(INDEX('Veri Merkezi'!$U$2:$U$1001,$K243),""))</f>
        <v/>
      </c>
      <c r="K243" t="str">
        <f>IFERROR(MATCH(ROWS($K$4:K243),'Veri Merkezi'!$X$2:$X$1001,0),"")</f>
        <v/>
      </c>
    </row>
    <row r="244" spans="1:11">
      <c r="A244" t="str">
        <f>IF($K244="","",IFERROR(INDEX('Veri Merkezi'!$A$2:$A$1001,$K244),""))</f>
        <v/>
      </c>
      <c r="B244" t="str">
        <f>IF($K244="","",IFERROR(INDEX('Veri Merkezi'!$E$2:$E$1001,$K244),""))</f>
        <v/>
      </c>
      <c r="C244" t="str">
        <f>IF($K244="","",IFERROR(INDEX('Veri Merkezi'!$D$2:$D$1001,$K244),""))</f>
        <v/>
      </c>
      <c r="D244" t="str">
        <f>IF($K244="","",IFERROR(INDEX('Veri Merkezi'!$F$2:$F$1001,$K244),""))</f>
        <v/>
      </c>
      <c r="E244" s="2" t="str">
        <f>IF($K244="","",IFERROR(INDEX('Veri Merkezi'!$G$2:$G$1001,$K244),""))</f>
        <v/>
      </c>
      <c r="F244" t="str">
        <f>IF($K244="","",IFERROR(INDEX('Veri Merkezi'!$H$2:$H$1001,$K244),""))</f>
        <v/>
      </c>
      <c r="G244" t="str">
        <f>IF($K244="","",IFERROR(INDEX('Veri Merkezi'!$R$2:$R$1001,$K244),""))</f>
        <v/>
      </c>
      <c r="H244" t="str">
        <f>IF($K244="","",IFERROR(INDEX('Veri Merkezi'!$S$2:$S$1001,$K244),""))</f>
        <v/>
      </c>
      <c r="I244" s="2" t="str">
        <f>IF($K244="","",IFERROR(INDEX('Veri Merkezi'!$T$2:$T$1001,$K244),""))</f>
        <v/>
      </c>
      <c r="J244" t="str">
        <f>IF($K244="","",IFERROR(INDEX('Veri Merkezi'!$U$2:$U$1001,$K244),""))</f>
        <v/>
      </c>
      <c r="K244" t="str">
        <f>IFERROR(MATCH(ROWS($K$4:K244),'Veri Merkezi'!$X$2:$X$1001,0),"")</f>
        <v/>
      </c>
    </row>
    <row r="245" spans="1:11">
      <c r="A245" t="str">
        <f>IF($K245="","",IFERROR(INDEX('Veri Merkezi'!$A$2:$A$1001,$K245),""))</f>
        <v/>
      </c>
      <c r="B245" t="str">
        <f>IF($K245="","",IFERROR(INDEX('Veri Merkezi'!$E$2:$E$1001,$K245),""))</f>
        <v/>
      </c>
      <c r="C245" t="str">
        <f>IF($K245="","",IFERROR(INDEX('Veri Merkezi'!$D$2:$D$1001,$K245),""))</f>
        <v/>
      </c>
      <c r="D245" t="str">
        <f>IF($K245="","",IFERROR(INDEX('Veri Merkezi'!$F$2:$F$1001,$K245),""))</f>
        <v/>
      </c>
      <c r="E245" s="2" t="str">
        <f>IF($K245="","",IFERROR(INDEX('Veri Merkezi'!$G$2:$G$1001,$K245),""))</f>
        <v/>
      </c>
      <c r="F245" t="str">
        <f>IF($K245="","",IFERROR(INDEX('Veri Merkezi'!$H$2:$H$1001,$K245),""))</f>
        <v/>
      </c>
      <c r="G245" t="str">
        <f>IF($K245="","",IFERROR(INDEX('Veri Merkezi'!$R$2:$R$1001,$K245),""))</f>
        <v/>
      </c>
      <c r="H245" t="str">
        <f>IF($K245="","",IFERROR(INDEX('Veri Merkezi'!$S$2:$S$1001,$K245),""))</f>
        <v/>
      </c>
      <c r="I245" s="2" t="str">
        <f>IF($K245="","",IFERROR(INDEX('Veri Merkezi'!$T$2:$T$1001,$K245),""))</f>
        <v/>
      </c>
      <c r="J245" t="str">
        <f>IF($K245="","",IFERROR(INDEX('Veri Merkezi'!$U$2:$U$1001,$K245),""))</f>
        <v/>
      </c>
      <c r="K245" t="str">
        <f>IFERROR(MATCH(ROWS($K$4:K245),'Veri Merkezi'!$X$2:$X$1001,0),"")</f>
        <v/>
      </c>
    </row>
    <row r="246" spans="1:11">
      <c r="A246" t="str">
        <f>IF($K246="","",IFERROR(INDEX('Veri Merkezi'!$A$2:$A$1001,$K246),""))</f>
        <v/>
      </c>
      <c r="B246" t="str">
        <f>IF($K246="","",IFERROR(INDEX('Veri Merkezi'!$E$2:$E$1001,$K246),""))</f>
        <v/>
      </c>
      <c r="C246" t="str">
        <f>IF($K246="","",IFERROR(INDEX('Veri Merkezi'!$D$2:$D$1001,$K246),""))</f>
        <v/>
      </c>
      <c r="D246" t="str">
        <f>IF($K246="","",IFERROR(INDEX('Veri Merkezi'!$F$2:$F$1001,$K246),""))</f>
        <v/>
      </c>
      <c r="E246" s="2" t="str">
        <f>IF($K246="","",IFERROR(INDEX('Veri Merkezi'!$G$2:$G$1001,$K246),""))</f>
        <v/>
      </c>
      <c r="F246" t="str">
        <f>IF($K246="","",IFERROR(INDEX('Veri Merkezi'!$H$2:$H$1001,$K246),""))</f>
        <v/>
      </c>
      <c r="G246" t="str">
        <f>IF($K246="","",IFERROR(INDEX('Veri Merkezi'!$R$2:$R$1001,$K246),""))</f>
        <v/>
      </c>
      <c r="H246" t="str">
        <f>IF($K246="","",IFERROR(INDEX('Veri Merkezi'!$S$2:$S$1001,$K246),""))</f>
        <v/>
      </c>
      <c r="I246" s="2" t="str">
        <f>IF($K246="","",IFERROR(INDEX('Veri Merkezi'!$T$2:$T$1001,$K246),""))</f>
        <v/>
      </c>
      <c r="J246" t="str">
        <f>IF($K246="","",IFERROR(INDEX('Veri Merkezi'!$U$2:$U$1001,$K246),""))</f>
        <v/>
      </c>
      <c r="K246" t="str">
        <f>IFERROR(MATCH(ROWS($K$4:K246),'Veri Merkezi'!$X$2:$X$1001,0),"")</f>
        <v/>
      </c>
    </row>
    <row r="247" spans="1:11">
      <c r="A247" t="str">
        <f>IF($K247="","",IFERROR(INDEX('Veri Merkezi'!$A$2:$A$1001,$K247),""))</f>
        <v/>
      </c>
      <c r="B247" t="str">
        <f>IF($K247="","",IFERROR(INDEX('Veri Merkezi'!$E$2:$E$1001,$K247),""))</f>
        <v/>
      </c>
      <c r="C247" t="str">
        <f>IF($K247="","",IFERROR(INDEX('Veri Merkezi'!$D$2:$D$1001,$K247),""))</f>
        <v/>
      </c>
      <c r="D247" t="str">
        <f>IF($K247="","",IFERROR(INDEX('Veri Merkezi'!$F$2:$F$1001,$K247),""))</f>
        <v/>
      </c>
      <c r="E247" s="2" t="str">
        <f>IF($K247="","",IFERROR(INDEX('Veri Merkezi'!$G$2:$G$1001,$K247),""))</f>
        <v/>
      </c>
      <c r="F247" t="str">
        <f>IF($K247="","",IFERROR(INDEX('Veri Merkezi'!$H$2:$H$1001,$K247),""))</f>
        <v/>
      </c>
      <c r="G247" t="str">
        <f>IF($K247="","",IFERROR(INDEX('Veri Merkezi'!$R$2:$R$1001,$K247),""))</f>
        <v/>
      </c>
      <c r="H247" t="str">
        <f>IF($K247="","",IFERROR(INDEX('Veri Merkezi'!$S$2:$S$1001,$K247),""))</f>
        <v/>
      </c>
      <c r="I247" s="2" t="str">
        <f>IF($K247="","",IFERROR(INDEX('Veri Merkezi'!$T$2:$T$1001,$K247),""))</f>
        <v/>
      </c>
      <c r="J247" t="str">
        <f>IF($K247="","",IFERROR(INDEX('Veri Merkezi'!$U$2:$U$1001,$K247),""))</f>
        <v/>
      </c>
      <c r="K247" t="str">
        <f>IFERROR(MATCH(ROWS($K$4:K247),'Veri Merkezi'!$X$2:$X$1001,0),"")</f>
        <v/>
      </c>
    </row>
    <row r="248" spans="1:11">
      <c r="A248" t="str">
        <f>IF($K248="","",IFERROR(INDEX('Veri Merkezi'!$A$2:$A$1001,$K248),""))</f>
        <v/>
      </c>
      <c r="B248" t="str">
        <f>IF($K248="","",IFERROR(INDEX('Veri Merkezi'!$E$2:$E$1001,$K248),""))</f>
        <v/>
      </c>
      <c r="C248" t="str">
        <f>IF($K248="","",IFERROR(INDEX('Veri Merkezi'!$D$2:$D$1001,$K248),""))</f>
        <v/>
      </c>
      <c r="D248" t="str">
        <f>IF($K248="","",IFERROR(INDEX('Veri Merkezi'!$F$2:$F$1001,$K248),""))</f>
        <v/>
      </c>
      <c r="E248" s="2" t="str">
        <f>IF($K248="","",IFERROR(INDEX('Veri Merkezi'!$G$2:$G$1001,$K248),""))</f>
        <v/>
      </c>
      <c r="F248" t="str">
        <f>IF($K248="","",IFERROR(INDEX('Veri Merkezi'!$H$2:$H$1001,$K248),""))</f>
        <v/>
      </c>
      <c r="G248" t="str">
        <f>IF($K248="","",IFERROR(INDEX('Veri Merkezi'!$R$2:$R$1001,$K248),""))</f>
        <v/>
      </c>
      <c r="H248" t="str">
        <f>IF($K248="","",IFERROR(INDEX('Veri Merkezi'!$S$2:$S$1001,$K248),""))</f>
        <v/>
      </c>
      <c r="I248" s="2" t="str">
        <f>IF($K248="","",IFERROR(INDEX('Veri Merkezi'!$T$2:$T$1001,$K248),""))</f>
        <v/>
      </c>
      <c r="J248" t="str">
        <f>IF($K248="","",IFERROR(INDEX('Veri Merkezi'!$U$2:$U$1001,$K248),""))</f>
        <v/>
      </c>
      <c r="K248" t="str">
        <f>IFERROR(MATCH(ROWS($K$4:K248),'Veri Merkezi'!$X$2:$X$1001,0),"")</f>
        <v/>
      </c>
    </row>
    <row r="249" spans="1:11">
      <c r="A249" t="str">
        <f>IF($K249="","",IFERROR(INDEX('Veri Merkezi'!$A$2:$A$1001,$K249),""))</f>
        <v/>
      </c>
      <c r="B249" t="str">
        <f>IF($K249="","",IFERROR(INDEX('Veri Merkezi'!$E$2:$E$1001,$K249),""))</f>
        <v/>
      </c>
      <c r="C249" t="str">
        <f>IF($K249="","",IFERROR(INDEX('Veri Merkezi'!$D$2:$D$1001,$K249),""))</f>
        <v/>
      </c>
      <c r="D249" t="str">
        <f>IF($K249="","",IFERROR(INDEX('Veri Merkezi'!$F$2:$F$1001,$K249),""))</f>
        <v/>
      </c>
      <c r="E249" s="2" t="str">
        <f>IF($K249="","",IFERROR(INDEX('Veri Merkezi'!$G$2:$G$1001,$K249),""))</f>
        <v/>
      </c>
      <c r="F249" t="str">
        <f>IF($K249="","",IFERROR(INDEX('Veri Merkezi'!$H$2:$H$1001,$K249),""))</f>
        <v/>
      </c>
      <c r="G249" t="str">
        <f>IF($K249="","",IFERROR(INDEX('Veri Merkezi'!$R$2:$R$1001,$K249),""))</f>
        <v/>
      </c>
      <c r="H249" t="str">
        <f>IF($K249="","",IFERROR(INDEX('Veri Merkezi'!$S$2:$S$1001,$K249),""))</f>
        <v/>
      </c>
      <c r="I249" s="2" t="str">
        <f>IF($K249="","",IFERROR(INDEX('Veri Merkezi'!$T$2:$T$1001,$K249),""))</f>
        <v/>
      </c>
      <c r="J249" t="str">
        <f>IF($K249="","",IFERROR(INDEX('Veri Merkezi'!$U$2:$U$1001,$K249),""))</f>
        <v/>
      </c>
      <c r="K249" t="str">
        <f>IFERROR(MATCH(ROWS($K$4:K249),'Veri Merkezi'!$X$2:$X$1001,0),"")</f>
        <v/>
      </c>
    </row>
    <row r="250" spans="1:11">
      <c r="A250" t="str">
        <f>IF($K250="","",IFERROR(INDEX('Veri Merkezi'!$A$2:$A$1001,$K250),""))</f>
        <v/>
      </c>
      <c r="B250" t="str">
        <f>IF($K250="","",IFERROR(INDEX('Veri Merkezi'!$E$2:$E$1001,$K250),""))</f>
        <v/>
      </c>
      <c r="C250" t="str">
        <f>IF($K250="","",IFERROR(INDEX('Veri Merkezi'!$D$2:$D$1001,$K250),""))</f>
        <v/>
      </c>
      <c r="D250" t="str">
        <f>IF($K250="","",IFERROR(INDEX('Veri Merkezi'!$F$2:$F$1001,$K250),""))</f>
        <v/>
      </c>
      <c r="E250" s="2" t="str">
        <f>IF($K250="","",IFERROR(INDEX('Veri Merkezi'!$G$2:$G$1001,$K250),""))</f>
        <v/>
      </c>
      <c r="F250" t="str">
        <f>IF($K250="","",IFERROR(INDEX('Veri Merkezi'!$H$2:$H$1001,$K250),""))</f>
        <v/>
      </c>
      <c r="G250" t="str">
        <f>IF($K250="","",IFERROR(INDEX('Veri Merkezi'!$R$2:$R$1001,$K250),""))</f>
        <v/>
      </c>
      <c r="H250" t="str">
        <f>IF($K250="","",IFERROR(INDEX('Veri Merkezi'!$S$2:$S$1001,$K250),""))</f>
        <v/>
      </c>
      <c r="I250" s="2" t="str">
        <f>IF($K250="","",IFERROR(INDEX('Veri Merkezi'!$T$2:$T$1001,$K250),""))</f>
        <v/>
      </c>
      <c r="J250" t="str">
        <f>IF($K250="","",IFERROR(INDEX('Veri Merkezi'!$U$2:$U$1001,$K250),""))</f>
        <v/>
      </c>
      <c r="K250" t="str">
        <f>IFERROR(MATCH(ROWS($K$4:K250),'Veri Merkezi'!$X$2:$X$1001,0),"")</f>
        <v/>
      </c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3"/>
  <sheetViews>
    <sheetView showGridLines="0" workbookViewId="0">
      <selection activeCell="I30" sqref="I30"/>
    </sheetView>
  </sheetViews>
  <sheetFormatPr baseColWidth="10" defaultColWidth="8.83203125" defaultRowHeight="14"/>
  <cols>
    <col min="1" max="1" width="7" customWidth="1"/>
    <col min="2" max="2" width="29" customWidth="1"/>
    <col min="3" max="3" width="16" customWidth="1"/>
    <col min="4" max="4" width="8" customWidth="1"/>
    <col min="5" max="5" width="23" customWidth="1"/>
    <col min="6" max="6" width="18" customWidth="1"/>
    <col min="7" max="7" width="12" customWidth="1"/>
    <col min="8" max="8" width="13" customWidth="1"/>
    <col min="9" max="9" width="14" customWidth="1"/>
    <col min="10" max="10" width="16" customWidth="1"/>
    <col min="11" max="11" width="20" customWidth="1"/>
    <col min="12" max="12" width="13" hidden="1" customWidth="1"/>
  </cols>
  <sheetData>
    <row r="1" spans="1:12" ht="30" customHeight="1">
      <c r="A1" s="95" t="s">
        <v>187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2" ht="15" customHeight="1"/>
    <row r="3" spans="1:12" ht="20" customHeight="1">
      <c r="A3" s="30" t="s">
        <v>188</v>
      </c>
      <c r="B3" s="30" t="s">
        <v>1</v>
      </c>
      <c r="C3" s="30" t="s">
        <v>5</v>
      </c>
      <c r="D3" s="30" t="s">
        <v>4</v>
      </c>
      <c r="E3" s="30" t="s">
        <v>7</v>
      </c>
      <c r="F3" s="30" t="s">
        <v>189</v>
      </c>
      <c r="G3" s="30" t="s">
        <v>176</v>
      </c>
      <c r="H3" s="30" t="s">
        <v>9</v>
      </c>
      <c r="I3" s="31" t="s">
        <v>19</v>
      </c>
      <c r="J3" s="30" t="s">
        <v>20</v>
      </c>
      <c r="K3" s="30" t="s">
        <v>182</v>
      </c>
    </row>
    <row r="4" spans="1:12" ht="20" customHeight="1">
      <c r="A4" s="8">
        <f ca="1">IF($L4="","",ROWS($A$4:A4))</f>
        <v>1</v>
      </c>
      <c r="B4" s="8" t="str">
        <f ca="1">IF($L4="","",INDEX('Veri Merkezi'!$A$2:$A$1001,$L4))</f>
        <v>WELLITON</v>
      </c>
      <c r="C4" s="8" t="str">
        <f ca="1">IF($L4="","",INDEX('Veri Merkezi'!$E$2:$E$1001,$L4))</f>
        <v>Kanat</v>
      </c>
      <c r="D4" s="8">
        <f ca="1">IF($L4="","",INDEX('Veri Merkezi'!$D$2:$D$1001,$L4))</f>
        <v>26</v>
      </c>
      <c r="E4" s="8" t="str">
        <f ca="1">IF($L4="","",INDEX('Veri Merkezi'!$F$2:$F$1001,$L4))</f>
        <v>FORTALEZA</v>
      </c>
      <c r="F4" s="9">
        <f ca="1">IF($L4="","",INDEX('Veri Merkezi'!$G$2:$G$1001,$L4))</f>
        <v>46356</v>
      </c>
      <c r="G4" s="8">
        <f t="shared" ref="G4:G35" ca="1" si="0">IF(F4="","",F4-TODAY())</f>
        <v>55</v>
      </c>
      <c r="H4" s="8" t="str">
        <f ca="1">IF($L4="","",INDEX('Veri Merkezi'!$H$2:$H$1001,$L4))</f>
        <v/>
      </c>
      <c r="I4" s="8" t="str">
        <f ca="1">IF($L4="","",INDEX('Veri Merkezi'!$R$2:$R$1001,$L4))</f>
        <v/>
      </c>
      <c r="J4" s="8" t="str">
        <f ca="1">IF($L4="","",INDEX('Veri Merkezi'!$S$2:$S$1001,$L4))</f>
        <v/>
      </c>
      <c r="K4" s="8" t="str">
        <f ca="1">IF($L4="","",INDEX('Veri Merkezi'!$U$2:$U$1001,$L4))</f>
        <v>Kanatlar</v>
      </c>
      <c r="L4" s="8">
        <f ca="1">IFERROR(MATCH(ROWS($L$4:L4),'Veri Merkezi'!$W$2:$W$1001,0),"")</f>
        <v>751</v>
      </c>
    </row>
    <row r="5" spans="1:12" ht="20" customHeight="1">
      <c r="A5" s="8">
        <f ca="1">IF($L5="","",ROWS($A$4:A5))</f>
        <v>2</v>
      </c>
      <c r="B5" s="8" t="str">
        <f ca="1">IF($L5="","",INDEX('Veri Merkezi'!$A$2:$A$1001,$L5))</f>
        <v>FILIP AKDEMIR</v>
      </c>
      <c r="C5" s="8" t="str">
        <f ca="1">IF($L5="","",INDEX('Veri Merkezi'!$E$2:$E$1001,$L5))</f>
        <v>Forvet</v>
      </c>
      <c r="D5" s="8">
        <f ca="1">IF($L5="","",INDEX('Veri Merkezi'!$D$2:$D$1001,$L5))</f>
        <v>21</v>
      </c>
      <c r="E5" s="8" t="str">
        <f ca="1">IF($L5="","",INDEX('Veri Merkezi'!$F$2:$F$1001,$L5))</f>
        <v>LUNDS BK</v>
      </c>
      <c r="F5" s="9">
        <f ca="1">IF($L5="","",INDEX('Veri Merkezi'!$G$2:$G$1001,$L5))</f>
        <v>46356</v>
      </c>
      <c r="G5" s="8">
        <f t="shared" ca="1" si="0"/>
        <v>55</v>
      </c>
      <c r="H5" s="8" t="str">
        <f ca="1">IF($L5="","",INDEX('Veri Merkezi'!$H$2:$H$1001,$L5))</f>
        <v>Sarı</v>
      </c>
      <c r="I5" s="8" t="str">
        <f ca="1">IF($L5="","",INDEX('Veri Merkezi'!$R$2:$R$1001,$L5))</f>
        <v/>
      </c>
      <c r="J5" s="8" t="str">
        <f ca="1">IF($L5="","",INDEX('Veri Merkezi'!$S$2:$S$1001,$L5))</f>
        <v>Takip</v>
      </c>
      <c r="K5" s="8" t="str">
        <f ca="1">IF($L5="","",INDEX('Veri Merkezi'!$U$2:$U$1001,$L5))</f>
        <v>Forvetler</v>
      </c>
      <c r="L5" s="8">
        <f ca="1">IFERROR(MATCH(ROWS($L$4:L5),'Veri Merkezi'!$W$2:$W$1001,0),"")</f>
        <v>801</v>
      </c>
    </row>
    <row r="6" spans="1:12" ht="20" customHeight="1">
      <c r="A6" s="8">
        <f ca="1">IF($L6="","",ROWS($A$4:A6))</f>
        <v>3</v>
      </c>
      <c r="B6" s="8" t="str">
        <f ca="1">IF($L6="","",INDEX('Veri Merkezi'!$A$2:$A$1001,$L6))</f>
        <v>ZE IVALDO</v>
      </c>
      <c r="C6" s="8" t="str">
        <f ca="1">IF($L6="","",INDEX('Veri Merkezi'!$E$2:$E$1001,$L6))</f>
        <v>Stoper</v>
      </c>
      <c r="D6" s="8">
        <f ca="1">IF($L6="","",INDEX('Veri Merkezi'!$D$2:$D$1001,$L6))</f>
        <v>29</v>
      </c>
      <c r="E6" s="8" t="str">
        <f ca="1">IF($L6="","",INDEX('Veri Merkezi'!$F$2:$F$1001,$L6))</f>
        <v>REMO</v>
      </c>
      <c r="F6" s="9">
        <f ca="1">IF($L6="","",INDEX('Veri Merkezi'!$G$2:$G$1001,$L6))</f>
        <v>46387</v>
      </c>
      <c r="G6" s="8">
        <f t="shared" ca="1" si="0"/>
        <v>86</v>
      </c>
      <c r="H6" s="8" t="str">
        <f ca="1">IF($L6="","",INDEX('Veri Merkezi'!$H$2:$H$1001,$L6))</f>
        <v>Sarı</v>
      </c>
      <c r="I6" s="8" t="str">
        <f ca="1">IF($L6="","",INDEX('Veri Merkezi'!$R$2:$R$1001,$L6))</f>
        <v/>
      </c>
      <c r="J6" s="8" t="str">
        <f ca="1">IF($L6="","",INDEX('Veri Merkezi'!$S$2:$S$1001,$L6))</f>
        <v>Tekrar İzle</v>
      </c>
      <c r="K6" s="8" t="str">
        <f ca="1">IF($L6="","",INDEX('Veri Merkezi'!$U$2:$U$1001,$L6))</f>
        <v>Stoperler</v>
      </c>
      <c r="L6" s="8">
        <f ca="1">IFERROR(MATCH(ROWS($L$4:L6),'Veri Merkezi'!$W$2:$W$1001,0),"")</f>
        <v>104</v>
      </c>
    </row>
    <row r="7" spans="1:12" ht="20" customHeight="1">
      <c r="A7" s="8">
        <f ca="1">IF($L7="","",ROWS($A$4:A7))</f>
        <v>4</v>
      </c>
      <c r="B7" s="8" t="str">
        <f ca="1">IF($L7="","",INDEX('Veri Merkezi'!$A$2:$A$1001,$L7))</f>
        <v>PEDRO HENRIQUE</v>
      </c>
      <c r="C7" s="8" t="str">
        <f ca="1">IF($L7="","",INDEX('Veri Merkezi'!$E$2:$E$1001,$L7))</f>
        <v>Stoper</v>
      </c>
      <c r="D7" s="8">
        <f ca="1">IF($L7="","",INDEX('Veri Merkezi'!$D$2:$D$1001,$L7))</f>
        <v>31</v>
      </c>
      <c r="E7" s="8" t="str">
        <f ca="1">IF($L7="","",INDEX('Veri Merkezi'!$F$2:$F$1001,$L7))</f>
        <v>RB BRAGANTINO</v>
      </c>
      <c r="F7" s="9">
        <f ca="1">IF($L7="","",INDEX('Veri Merkezi'!$G$2:$G$1001,$L7))</f>
        <v>46387</v>
      </c>
      <c r="G7" s="8">
        <f t="shared" ca="1" si="0"/>
        <v>86</v>
      </c>
      <c r="H7" s="8" t="str">
        <f ca="1">IF($L7="","",INDEX('Veri Merkezi'!$H$2:$H$1001,$L7))</f>
        <v/>
      </c>
      <c r="I7" s="8" t="str">
        <f ca="1">IF($L7="","",INDEX('Veri Merkezi'!$R$2:$R$1001,$L7))</f>
        <v/>
      </c>
      <c r="J7" s="8" t="str">
        <f ca="1">IF($L7="","",INDEX('Veri Merkezi'!$S$2:$S$1001,$L7))</f>
        <v/>
      </c>
      <c r="K7" s="8" t="str">
        <f ca="1">IF($L7="","",INDEX('Veri Merkezi'!$U$2:$U$1001,$L7))</f>
        <v>Stoperler</v>
      </c>
      <c r="L7" s="8">
        <f ca="1">IFERROR(MATCH(ROWS($L$4:L7),'Veri Merkezi'!$W$2:$W$1001,0),"")</f>
        <v>130</v>
      </c>
    </row>
    <row r="8" spans="1:12" ht="20" customHeight="1">
      <c r="A8" s="8">
        <f ca="1">IF($L8="","",ROWS($A$4:A8))</f>
        <v>5</v>
      </c>
      <c r="B8" s="8" t="str">
        <f ca="1">IF($L8="","",INDEX('Veri Merkezi'!$A$2:$A$1001,$L8))</f>
        <v>RODRIGO INSUA</v>
      </c>
      <c r="C8" s="8" t="str">
        <f ca="1">IF($L8="","",INDEX('Veri Merkezi'!$E$2:$E$1001,$L8))</f>
        <v>Sol Bek</v>
      </c>
      <c r="D8" s="8">
        <f ca="1">IF($L8="","",INDEX('Veri Merkezi'!$D$2:$D$1001,$L8))</f>
        <v>28</v>
      </c>
      <c r="E8" s="8" t="str">
        <f ca="1">IF($L8="","",INDEX('Veri Merkezi'!$F$2:$F$1001,$L8))</f>
        <v>BARRACAS</v>
      </c>
      <c r="F8" s="9">
        <f ca="1">IF($L8="","",INDEX('Veri Merkezi'!$G$2:$G$1001,$L8))</f>
        <v>46387</v>
      </c>
      <c r="G8" s="8">
        <f t="shared" ca="1" si="0"/>
        <v>86</v>
      </c>
      <c r="H8" s="8" t="str">
        <f ca="1">IF($L8="","",INDEX('Veri Merkezi'!$H$2:$H$1001,$L8))</f>
        <v>Kırmızı</v>
      </c>
      <c r="I8" s="8" t="str">
        <f ca="1">IF($L8="","",INDEX('Veri Merkezi'!$R$2:$R$1001,$L8))</f>
        <v/>
      </c>
      <c r="J8" s="8" t="str">
        <f ca="1">IF($L8="","",INDEX('Veri Merkezi'!$S$2:$S$1001,$L8))</f>
        <v>Ele</v>
      </c>
      <c r="K8" s="8" t="str">
        <f ca="1">IF($L8="","",INDEX('Veri Merkezi'!$U$2:$U$1001,$L8))</f>
        <v>Sol Bekler</v>
      </c>
      <c r="L8" s="8">
        <f ca="1">IFERROR(MATCH(ROWS($L$4:L8),'Veri Merkezi'!$W$2:$W$1001,0),"")</f>
        <v>304</v>
      </c>
    </row>
    <row r="9" spans="1:12" ht="20" customHeight="1">
      <c r="A9" s="8">
        <f ca="1">IF($L9="","",ROWS($A$4:A9))</f>
        <v>6</v>
      </c>
      <c r="B9" s="8" t="str">
        <f ca="1">IF($L9="","",INDEX('Veri Merkezi'!$A$2:$A$1001,$L9))</f>
        <v>MONCHU</v>
      </c>
      <c r="C9" s="8" t="str">
        <f ca="1">IF($L9="","",INDEX('Veri Merkezi'!$E$2:$E$1001,$L9))</f>
        <v>8 Numara</v>
      </c>
      <c r="D9" s="8">
        <f ca="1">IF($L9="","",INDEX('Veri Merkezi'!$D$2:$D$1001,$L9))</f>
        <v>27</v>
      </c>
      <c r="E9" s="8" t="str">
        <f ca="1">IF($L9="","",INDEX('Veri Merkezi'!$F$2:$F$1001,$L9))</f>
        <v>FC JUAREZ</v>
      </c>
      <c r="F9" s="9">
        <f ca="1">IF($L9="","",INDEX('Veri Merkezi'!$G$2:$G$1001,$L9))</f>
        <v>46387</v>
      </c>
      <c r="G9" s="8">
        <f t="shared" ca="1" si="0"/>
        <v>86</v>
      </c>
      <c r="H9" s="8" t="str">
        <f ca="1">IF($L9="","",INDEX('Veri Merkezi'!$H$2:$H$1001,$L9))</f>
        <v>Yeşil</v>
      </c>
      <c r="I9" s="8" t="str">
        <f ca="1">IF($L9="","",INDEX('Veri Merkezi'!$R$2:$R$1001,$L9))</f>
        <v/>
      </c>
      <c r="J9" s="8" t="str">
        <f ca="1">IF($L9="","",INDEX('Veri Merkezi'!$S$2:$S$1001,$L9))</f>
        <v>A Liste</v>
      </c>
      <c r="K9" s="8" t="str">
        <f ca="1">IF($L9="","",INDEX('Veri Merkezi'!$U$2:$U$1001,$L9))</f>
        <v>8 Numaralar</v>
      </c>
      <c r="L9" s="8">
        <f ca="1">IFERROR(MATCH(ROWS($L$4:L9),'Veri Merkezi'!$W$2:$W$1001,0),"")</f>
        <v>506</v>
      </c>
    </row>
    <row r="10" spans="1:12" ht="20" customHeight="1">
      <c r="A10" s="8">
        <f ca="1">IF($L10="","",ROWS($A$4:A10))</f>
        <v>7</v>
      </c>
      <c r="B10" s="8" t="str">
        <f ca="1">IF($L10="","",INDEX('Veri Merkezi'!$A$2:$A$1001,$L10))</f>
        <v>JIN-GYU KIM</v>
      </c>
      <c r="C10" s="8" t="str">
        <f ca="1">IF($L10="","",INDEX('Veri Merkezi'!$E$2:$E$1001,$L10))</f>
        <v>8 Numara</v>
      </c>
      <c r="D10" s="8">
        <f ca="1">IF($L10="","",INDEX('Veri Merkezi'!$D$2:$D$1001,$L10))</f>
        <v>29</v>
      </c>
      <c r="E10" s="8" t="str">
        <f ca="1">IF($L10="","",INDEX('Veri Merkezi'!$F$2:$F$1001,$L10))</f>
        <v>JEONBUK HYUNDAI</v>
      </c>
      <c r="F10" s="9">
        <f ca="1">IF($L10="","",INDEX('Veri Merkezi'!$G$2:$G$1001,$L10))</f>
        <v>46387</v>
      </c>
      <c r="G10" s="8">
        <f t="shared" ca="1" si="0"/>
        <v>86</v>
      </c>
      <c r="H10" s="8" t="str">
        <f ca="1">IF($L10="","",INDEX('Veri Merkezi'!$H$2:$H$1001,$L10))</f>
        <v/>
      </c>
      <c r="I10" s="8" t="str">
        <f ca="1">IF($L10="","",INDEX('Veri Merkezi'!$R$2:$R$1001,$L10))</f>
        <v/>
      </c>
      <c r="J10" s="8" t="str">
        <f ca="1">IF($L10="","",INDEX('Veri Merkezi'!$S$2:$S$1001,$L10))</f>
        <v/>
      </c>
      <c r="K10" s="8" t="str">
        <f ca="1">IF($L10="","",INDEX('Veri Merkezi'!$U$2:$U$1001,$L10))</f>
        <v>8 Numaralar</v>
      </c>
      <c r="L10" s="8">
        <f ca="1">IFERROR(MATCH(ROWS($L$4:L10),'Veri Merkezi'!$W$2:$W$1001,0),"")</f>
        <v>522</v>
      </c>
    </row>
    <row r="11" spans="1:12" ht="20" customHeight="1">
      <c r="A11" s="8">
        <f ca="1">IF($L11="","",ROWS($A$4:A11))</f>
        <v>8</v>
      </c>
      <c r="B11" s="8" t="str">
        <f ca="1">IF($L11="","",INDEX('Veri Merkezi'!$A$2:$A$1001,$L11))</f>
        <v>ALEHANDRO MARTINEZ</v>
      </c>
      <c r="C11" s="8" t="str">
        <f ca="1">IF($L11="","",INDEX('Veri Merkezi'!$E$2:$E$1001,$L11))</f>
        <v>Kanat</v>
      </c>
      <c r="D11" s="8">
        <f ca="1">IF($L11="","",INDEX('Veri Merkezi'!$D$2:$D$1001,$L11))</f>
        <v>30</v>
      </c>
      <c r="E11" s="8" t="str">
        <f ca="1">IF($L11="","",INDEX('Veri Merkezi'!$F$2:$F$1001,$L11))</f>
        <v>NACIONAL</v>
      </c>
      <c r="F11" s="9">
        <f ca="1">IF($L11="","",INDEX('Veri Merkezi'!$G$2:$G$1001,$L11))</f>
        <v>46387</v>
      </c>
      <c r="G11" s="8">
        <f t="shared" ca="1" si="0"/>
        <v>86</v>
      </c>
      <c r="H11" s="8" t="str">
        <f ca="1">IF($L11="","",INDEX('Veri Merkezi'!$H$2:$H$1001,$L11))</f>
        <v>Kırmızı</v>
      </c>
      <c r="I11" s="8" t="str">
        <f ca="1">IF($L11="","",INDEX('Veri Merkezi'!$R$2:$R$1001,$L11))</f>
        <v/>
      </c>
      <c r="J11" s="8" t="str">
        <f ca="1">IF($L11="","",INDEX('Veri Merkezi'!$S$2:$S$1001,$L11))</f>
        <v>Ele</v>
      </c>
      <c r="K11" s="8" t="str">
        <f ca="1">IF($L11="","",INDEX('Veri Merkezi'!$U$2:$U$1001,$L11))</f>
        <v>Kanatlar</v>
      </c>
      <c r="L11" s="8">
        <f ca="1">IFERROR(MATCH(ROWS($L$4:L11),'Veri Merkezi'!$W$2:$W$1001,0),"")</f>
        <v>702</v>
      </c>
    </row>
    <row r="12" spans="1:12" ht="20" customHeight="1">
      <c r="A12" s="8">
        <f ca="1">IF($L12="","",ROWS($A$4:A12))</f>
        <v>9</v>
      </c>
      <c r="B12" s="8" t="str">
        <f ca="1">IF($L12="","",INDEX('Veri Merkezi'!$A$2:$A$1001,$L12))</f>
        <v>WILLIAN</v>
      </c>
      <c r="C12" s="8" t="str">
        <f ca="1">IF($L12="","",INDEX('Veri Merkezi'!$E$2:$E$1001,$L12))</f>
        <v>Kanat</v>
      </c>
      <c r="D12" s="8">
        <f ca="1">IF($L12="","",INDEX('Veri Merkezi'!$D$2:$D$1001,$L12))</f>
        <v>38</v>
      </c>
      <c r="E12" s="8" t="str">
        <f ca="1">IF($L12="","",INDEX('Veri Merkezi'!$F$2:$F$1001,$L12))</f>
        <v>GRÊMIO</v>
      </c>
      <c r="F12" s="9">
        <f ca="1">IF($L12="","",INDEX('Veri Merkezi'!$G$2:$G$1001,$L12))</f>
        <v>46387</v>
      </c>
      <c r="G12" s="8">
        <f t="shared" ca="1" si="0"/>
        <v>86</v>
      </c>
      <c r="H12" s="8" t="str">
        <f ca="1">IF($L12="","",INDEX('Veri Merkezi'!$H$2:$H$1001,$L12))</f>
        <v/>
      </c>
      <c r="I12" s="8" t="str">
        <f ca="1">IF($L12="","",INDEX('Veri Merkezi'!$R$2:$R$1001,$L12))</f>
        <v/>
      </c>
      <c r="J12" s="8" t="str">
        <f ca="1">IF($L12="","",INDEX('Veri Merkezi'!$S$2:$S$1001,$L12))</f>
        <v/>
      </c>
      <c r="K12" s="8" t="str">
        <f ca="1">IF($L12="","",INDEX('Veri Merkezi'!$U$2:$U$1001,$L12))</f>
        <v>Kanatlar</v>
      </c>
      <c r="L12" s="8">
        <f ca="1">IFERROR(MATCH(ROWS($L$4:L12),'Veri Merkezi'!$W$2:$W$1001,0),"")</f>
        <v>732</v>
      </c>
    </row>
    <row r="13" spans="1:12" ht="20" customHeight="1">
      <c r="A13" s="8">
        <f ca="1">IF($L13="","",ROWS($A$4:A13))</f>
        <v>10</v>
      </c>
      <c r="B13" s="8" t="str">
        <f ca="1">IF($L13="","",INDEX('Veri Merkezi'!$A$2:$A$1001,$L13))</f>
        <v>VITINHO</v>
      </c>
      <c r="C13" s="8" t="str">
        <f ca="1">IF($L13="","",INDEX('Veri Merkezi'!$E$2:$E$1001,$L13))</f>
        <v>Kanat</v>
      </c>
      <c r="D13" s="8">
        <f ca="1">IF($L13="","",INDEX('Veri Merkezi'!$D$2:$D$1001,$L13))</f>
        <v>32</v>
      </c>
      <c r="E13" s="8" t="str">
        <f ca="1">IF($L13="","",INDEX('Veri Merkezi'!$F$2:$F$1001,$L13))</f>
        <v>CORINTHIANS</v>
      </c>
      <c r="F13" s="9">
        <f ca="1">IF($L13="","",INDEX('Veri Merkezi'!$G$2:$G$1001,$L13))</f>
        <v>46387</v>
      </c>
      <c r="G13" s="8">
        <f t="shared" ca="1" si="0"/>
        <v>86</v>
      </c>
      <c r="H13" s="8" t="str">
        <f ca="1">IF($L13="","",INDEX('Veri Merkezi'!$H$2:$H$1001,$L13))</f>
        <v/>
      </c>
      <c r="I13" s="8" t="str">
        <f ca="1">IF($L13="","",INDEX('Veri Merkezi'!$R$2:$R$1001,$L13))</f>
        <v/>
      </c>
      <c r="J13" s="8" t="str">
        <f ca="1">IF($L13="","",INDEX('Veri Merkezi'!$S$2:$S$1001,$L13))</f>
        <v/>
      </c>
      <c r="K13" s="8" t="str">
        <f ca="1">IF($L13="","",INDEX('Veri Merkezi'!$U$2:$U$1001,$L13))</f>
        <v>Kanatlar</v>
      </c>
      <c r="L13" s="8">
        <f ca="1">IFERROR(MATCH(ROWS($L$4:L13),'Veri Merkezi'!$W$2:$W$1001,0),"")</f>
        <v>733</v>
      </c>
    </row>
    <row r="14" spans="1:12" ht="20" customHeight="1">
      <c r="A14" s="8">
        <f ca="1">IF($L14="","",ROWS($A$4:A14))</f>
        <v>11</v>
      </c>
      <c r="B14" s="8" t="str">
        <f ca="1">IF($L14="","",INDEX('Veri Merkezi'!$A$2:$A$1001,$L14))</f>
        <v>MARCOS PAULO</v>
      </c>
      <c r="C14" s="8" t="str">
        <f ca="1">IF($L14="","",INDEX('Veri Merkezi'!$E$2:$E$1001,$L14))</f>
        <v>Kanat</v>
      </c>
      <c r="D14" s="8">
        <f ca="1">IF($L14="","",INDEX('Veri Merkezi'!$D$2:$D$1001,$L14))</f>
        <v>25</v>
      </c>
      <c r="E14" s="8" t="str">
        <f ca="1">IF($L14="","",INDEX('Veri Merkezi'!$F$2:$F$1001,$L14))</f>
        <v>JUVENTUDE</v>
      </c>
      <c r="F14" s="9">
        <f ca="1">IF($L14="","",INDEX('Veri Merkezi'!$G$2:$G$1001,$L14))</f>
        <v>46387</v>
      </c>
      <c r="G14" s="8">
        <f t="shared" ca="1" si="0"/>
        <v>86</v>
      </c>
      <c r="H14" s="8" t="str">
        <f ca="1">IF($L14="","",INDEX('Veri Merkezi'!$H$2:$H$1001,$L14))</f>
        <v/>
      </c>
      <c r="I14" s="8" t="str">
        <f ca="1">IF($L14="","",INDEX('Veri Merkezi'!$R$2:$R$1001,$L14))</f>
        <v/>
      </c>
      <c r="J14" s="8" t="str">
        <f ca="1">IF($L14="","",INDEX('Veri Merkezi'!$S$2:$S$1001,$L14))</f>
        <v/>
      </c>
      <c r="K14" s="8" t="str">
        <f ca="1">IF($L14="","",INDEX('Veri Merkezi'!$U$2:$U$1001,$L14))</f>
        <v>Kanatlar</v>
      </c>
      <c r="L14" s="8">
        <f ca="1">IFERROR(MATCH(ROWS($L$4:L14),'Veri Merkezi'!$W$2:$W$1001,0),"")</f>
        <v>749</v>
      </c>
    </row>
    <row r="15" spans="1:12" ht="20" customHeight="1">
      <c r="A15" s="8">
        <f ca="1">IF($L15="","",ROWS($A$4:A15))</f>
        <v>12</v>
      </c>
      <c r="B15" s="8" t="str">
        <f ca="1">IF($L15="","",INDEX('Veri Merkezi'!$A$2:$A$1001,$L15))</f>
        <v>JAMINTON CAMPAZ</v>
      </c>
      <c r="C15" s="8" t="str">
        <f ca="1">IF($L15="","",INDEX('Veri Merkezi'!$E$2:$E$1001,$L15))</f>
        <v>Kanat</v>
      </c>
      <c r="D15" s="8">
        <f ca="1">IF($L15="","",INDEX('Veri Merkezi'!$D$2:$D$1001,$L15))</f>
        <v>26</v>
      </c>
      <c r="E15" s="8" t="str">
        <f ca="1">IF($L15="","",INDEX('Veri Merkezi'!$F$2:$F$1001,$L15))</f>
        <v>ROSARIO CENTRAL</v>
      </c>
      <c r="F15" s="9">
        <f ca="1">IF($L15="","",INDEX('Veri Merkezi'!$G$2:$G$1001,$L15))</f>
        <v>46387</v>
      </c>
      <c r="G15" s="8">
        <f t="shared" ca="1" si="0"/>
        <v>86</v>
      </c>
      <c r="H15" s="8" t="str">
        <f ca="1">IF($L15="","",INDEX('Veri Merkezi'!$H$2:$H$1001,$L15))</f>
        <v/>
      </c>
      <c r="I15" s="8" t="str">
        <f ca="1">IF($L15="","",INDEX('Veri Merkezi'!$R$2:$R$1001,$L15))</f>
        <v/>
      </c>
      <c r="J15" s="8" t="str">
        <f ca="1">IF($L15="","",INDEX('Veri Merkezi'!$S$2:$S$1001,$L15))</f>
        <v/>
      </c>
      <c r="K15" s="8" t="str">
        <f ca="1">IF($L15="","",INDEX('Veri Merkezi'!$U$2:$U$1001,$L15))</f>
        <v>Kanatlar</v>
      </c>
      <c r="L15" s="8">
        <f ca="1">IFERROR(MATCH(ROWS($L$4:L15),'Veri Merkezi'!$W$2:$W$1001,0),"")</f>
        <v>789</v>
      </c>
    </row>
    <row r="16" spans="1:12" ht="20" customHeight="1">
      <c r="A16" s="8">
        <f ca="1">IF($L16="","",ROWS($A$4:A16))</f>
        <v>13</v>
      </c>
      <c r="B16" s="8" t="str">
        <f ca="1">IF($L16="","",INDEX('Veri Merkezi'!$A$2:$A$1001,$L16))</f>
        <v>DANTE SEALY</v>
      </c>
      <c r="C16" s="8" t="str">
        <f ca="1">IF($L16="","",INDEX('Veri Merkezi'!$E$2:$E$1001,$L16))</f>
        <v>Kanat</v>
      </c>
      <c r="D16" s="8">
        <f ca="1">IF($L16="","",INDEX('Veri Merkezi'!$D$2:$D$1001,$L16))</f>
        <v>23</v>
      </c>
      <c r="E16" s="8" t="str">
        <f ca="1">IF($L16="","",INDEX('Veri Merkezi'!$F$2:$F$1001,$L16))</f>
        <v>COLORADO RAPIDS</v>
      </c>
      <c r="F16" s="9">
        <f ca="1">IF($L16="","",INDEX('Veri Merkezi'!$G$2:$G$1001,$L16))</f>
        <v>46387</v>
      </c>
      <c r="G16" s="8">
        <f t="shared" ca="1" si="0"/>
        <v>86</v>
      </c>
      <c r="H16" s="8" t="str">
        <f ca="1">IF($L16="","",INDEX('Veri Merkezi'!$H$2:$H$1001,$L16))</f>
        <v/>
      </c>
      <c r="I16" s="8" t="str">
        <f ca="1">IF($L16="","",INDEX('Veri Merkezi'!$R$2:$R$1001,$L16))</f>
        <v/>
      </c>
      <c r="J16" s="8" t="str">
        <f ca="1">IF($L16="","",INDEX('Veri Merkezi'!$S$2:$S$1001,$L16))</f>
        <v/>
      </c>
      <c r="K16" s="8" t="str">
        <f ca="1">IF($L16="","",INDEX('Veri Merkezi'!$U$2:$U$1001,$L16))</f>
        <v>Kanatlar</v>
      </c>
      <c r="L16" s="8">
        <f ca="1">IFERROR(MATCH(ROWS($L$4:L16),'Veri Merkezi'!$W$2:$W$1001,0),"")</f>
        <v>791</v>
      </c>
    </row>
    <row r="17" spans="1:12" ht="20" customHeight="1">
      <c r="A17" s="8">
        <f ca="1">IF($L17="","",ROWS($A$4:A17))</f>
        <v>14</v>
      </c>
      <c r="B17" s="8" t="str">
        <f ca="1">IF($L17="","",INDEX('Veri Merkezi'!$A$2:$A$1001,$L17))</f>
        <v>TAWANDA MASWANHISE</v>
      </c>
      <c r="C17" s="8" t="str">
        <f ca="1">IF($L17="","",INDEX('Veri Merkezi'!$E$2:$E$1001,$L17))</f>
        <v>Forvet</v>
      </c>
      <c r="D17" s="8">
        <f ca="1">IF($L17="","",INDEX('Veri Merkezi'!$D$2:$D$1001,$L17))</f>
        <v>23</v>
      </c>
      <c r="E17" s="8" t="str">
        <f ca="1">IF($L17="","",INDEX('Veri Merkezi'!$F$2:$F$1001,$L17))</f>
        <v>MOTHERWELL</v>
      </c>
      <c r="F17" s="9">
        <f ca="1">IF($L17="","",INDEX('Veri Merkezi'!$G$2:$G$1001,$L17))</f>
        <v>46538</v>
      </c>
      <c r="G17" s="8">
        <f t="shared" ca="1" si="0"/>
        <v>237</v>
      </c>
      <c r="H17" s="8" t="str">
        <f ca="1">IF($L17="","",INDEX('Veri Merkezi'!$H$2:$H$1001,$L17))</f>
        <v>Yeşil</v>
      </c>
      <c r="I17" s="8" t="str">
        <f ca="1">IF($L17="","",INDEX('Veri Merkezi'!$R$2:$R$1001,$L17))</f>
        <v/>
      </c>
      <c r="J17" s="8" t="str">
        <f ca="1">IF($L17="","",INDEX('Veri Merkezi'!$S$2:$S$1001,$L17))</f>
        <v>A Liste</v>
      </c>
      <c r="K17" s="8" t="str">
        <f ca="1">IF($L17="","",INDEX('Veri Merkezi'!$U$2:$U$1001,$L17))</f>
        <v>Forvetler</v>
      </c>
      <c r="L17" s="8">
        <f ca="1">IFERROR(MATCH(ROWS($L$4:L17),'Veri Merkezi'!$W$2:$W$1001,0),"")</f>
        <v>804</v>
      </c>
    </row>
    <row r="18" spans="1:12" ht="20" customHeight="1">
      <c r="A18" s="8">
        <f ca="1">IF($L18="","",ROWS($A$4:A18))</f>
        <v>15</v>
      </c>
      <c r="B18" s="8" t="str">
        <f ca="1">IF($L18="","",INDEX('Veri Merkezi'!$A$2:$A$1001,$L18))</f>
        <v>MUJAID SADICK</v>
      </c>
      <c r="C18" s="8" t="str">
        <f ca="1">IF($L18="","",INDEX('Veri Merkezi'!$E$2:$E$1001,$L18))</f>
        <v>Stoper</v>
      </c>
      <c r="D18" s="8">
        <f ca="1">IF($L18="","",INDEX('Veri Merkezi'!$D$2:$D$1001,$L18))</f>
        <v>26</v>
      </c>
      <c r="E18" s="8" t="str">
        <f ca="1">IF($L18="","",INDEX('Veri Merkezi'!$F$2:$F$1001,$L18))</f>
        <v>RAYO VALLECANO</v>
      </c>
      <c r="F18" s="9">
        <f ca="1">IF($L18="","",INDEX('Veri Merkezi'!$G$2:$G$1001,$L18))</f>
        <v>46558</v>
      </c>
      <c r="G18" s="8">
        <f t="shared" ca="1" si="0"/>
        <v>257</v>
      </c>
      <c r="H18" s="8" t="str">
        <f ca="1">IF($L18="","",INDEX('Veri Merkezi'!$H$2:$H$1001,$L18))</f>
        <v>Yeşil</v>
      </c>
      <c r="I18" s="8" t="str">
        <f ca="1">IF($L18="","",INDEX('Veri Merkezi'!$R$2:$R$1001,$L18))</f>
        <v/>
      </c>
      <c r="J18" s="8" t="str">
        <f ca="1">IF($L18="","",INDEX('Veri Merkezi'!$S$2:$S$1001,$L18))</f>
        <v>B Liste</v>
      </c>
      <c r="K18" s="8" t="str">
        <f ca="1">IF($L18="","",INDEX('Veri Merkezi'!$U$2:$U$1001,$L18))</f>
        <v>Stoperler</v>
      </c>
      <c r="L18" s="8">
        <f ca="1">IFERROR(MATCH(ROWS($L$4:L18),'Veri Merkezi'!$W$2:$W$1001,0),"")</f>
        <v>115</v>
      </c>
    </row>
    <row r="19" spans="1:12" ht="20" customHeight="1">
      <c r="A19" s="8">
        <f ca="1">IF($L19="","",ROWS($A$4:A19))</f>
        <v>16</v>
      </c>
      <c r="B19" s="8" t="str">
        <f ca="1">IF($L19="","",INDEX('Veri Merkezi'!$A$2:$A$1001,$L19))</f>
        <v>URAN BISLIMI</v>
      </c>
      <c r="C19" s="8" t="str">
        <f ca="1">IF($L19="","",INDEX('Veri Merkezi'!$E$2:$E$1001,$L19))</f>
        <v>8 Numara</v>
      </c>
      <c r="D19" s="8">
        <f ca="1">IF($L19="","",INDEX('Veri Merkezi'!$D$2:$D$1001,$L19))</f>
        <v>27</v>
      </c>
      <c r="E19" s="8" t="str">
        <f ca="1">IF($L19="","",INDEX('Veri Merkezi'!$F$2:$F$1001,$L19))</f>
        <v>LUGANO</v>
      </c>
      <c r="F19" s="9">
        <f ca="1">IF($L19="","",INDEX('Veri Merkezi'!$G$2:$G$1001,$L19))</f>
        <v>46558</v>
      </c>
      <c r="G19" s="8">
        <f t="shared" ca="1" si="0"/>
        <v>257</v>
      </c>
      <c r="H19" s="8" t="str">
        <f ca="1">IF($L19="","",INDEX('Veri Merkezi'!$H$2:$H$1001,$L19))</f>
        <v>Yeşil</v>
      </c>
      <c r="I19" s="8" t="str">
        <f ca="1">IF($L19="","",INDEX('Veri Merkezi'!$R$2:$R$1001,$L19))</f>
        <v/>
      </c>
      <c r="J19" s="8" t="str">
        <f ca="1">IF($L19="","",INDEX('Veri Merkezi'!$S$2:$S$1001,$L19))</f>
        <v>A Liste</v>
      </c>
      <c r="K19" s="8" t="str">
        <f ca="1">IF($L19="","",INDEX('Veri Merkezi'!$U$2:$U$1001,$L19))</f>
        <v>8 Numaralar</v>
      </c>
      <c r="L19" s="8">
        <f ca="1">IFERROR(MATCH(ROWS($L$4:L19),'Veri Merkezi'!$W$2:$W$1001,0),"")</f>
        <v>503</v>
      </c>
    </row>
    <row r="20" spans="1:12" ht="20" customHeight="1">
      <c r="A20" s="8">
        <f ca="1">IF($L20="","",ROWS($A$4:A20))</f>
        <v>17</v>
      </c>
      <c r="B20" s="8" t="str">
        <f ca="1">IF($L20="","",INDEX('Veri Merkezi'!$A$2:$A$1001,$L20))</f>
        <v>FEDERICO GOTTONI</v>
      </c>
      <c r="C20" s="8" t="str">
        <f ca="1">IF($L20="","",INDEX('Veri Merkezi'!$E$2:$E$1001,$L20))</f>
        <v>Stoper</v>
      </c>
      <c r="D20" s="8">
        <f ca="1">IF($L20="","",INDEX('Veri Merkezi'!$D$2:$D$1001,$L20))</f>
        <v>27</v>
      </c>
      <c r="E20" s="8" t="str">
        <f ca="1">IF($L20="","",INDEX('Veri Merkezi'!$F$2:$F$1001,$L20))</f>
        <v>ASCOLI</v>
      </c>
      <c r="F20" s="9">
        <f ca="1">IF($L20="","",INDEX('Veri Merkezi'!$G$2:$G$1001,$L20))</f>
        <v>46568</v>
      </c>
      <c r="G20" s="8">
        <f t="shared" ca="1" si="0"/>
        <v>267</v>
      </c>
      <c r="H20" s="8" t="str">
        <f ca="1">IF($L20="","",INDEX('Veri Merkezi'!$H$2:$H$1001,$L20))</f>
        <v>Sarı</v>
      </c>
      <c r="I20" s="8" t="str">
        <f ca="1">IF($L20="","",INDEX('Veri Merkezi'!$R$2:$R$1001,$L20))</f>
        <v/>
      </c>
      <c r="J20" s="8" t="str">
        <f ca="1">IF($L20="","",INDEX('Veri Merkezi'!$S$2:$S$1001,$L20))</f>
        <v>B Liste</v>
      </c>
      <c r="K20" s="8" t="str">
        <f ca="1">IF($L20="","",INDEX('Veri Merkezi'!$U$2:$U$1001,$L20))</f>
        <v>Stoperler</v>
      </c>
      <c r="L20" s="8">
        <f ca="1">IFERROR(MATCH(ROWS($L$4:L20),'Veri Merkezi'!$W$2:$W$1001,0),"")</f>
        <v>101</v>
      </c>
    </row>
    <row r="21" spans="1:12" ht="20" customHeight="1">
      <c r="A21" s="8">
        <f ca="1">IF($L21="","",ROWS($A$4:A21))</f>
        <v>18</v>
      </c>
      <c r="B21" s="8" t="str">
        <f ca="1">IF($L21="","",INDEX('Veri Merkezi'!$A$2:$A$1001,$L21))</f>
        <v>AXEL TUANZEBE</v>
      </c>
      <c r="C21" s="8" t="str">
        <f ca="1">IF($L21="","",INDEX('Veri Merkezi'!$E$2:$E$1001,$L21))</f>
        <v>Stoper</v>
      </c>
      <c r="D21" s="8">
        <f ca="1">IF($L21="","",INDEX('Veri Merkezi'!$D$2:$D$1001,$L21))</f>
        <v>28</v>
      </c>
      <c r="E21" s="8" t="str">
        <f ca="1">IF($L21="","",INDEX('Veri Merkezi'!$F$2:$F$1001,$L21))</f>
        <v>AUXERRE</v>
      </c>
      <c r="F21" s="9">
        <f ca="1">IF($L21="","",INDEX('Veri Merkezi'!$G$2:$G$1001,$L21))</f>
        <v>46568</v>
      </c>
      <c r="G21" s="8">
        <f t="shared" ca="1" si="0"/>
        <v>267</v>
      </c>
      <c r="H21" s="8" t="str">
        <f ca="1">IF($L21="","",INDEX('Veri Merkezi'!$H$2:$H$1001,$L21))</f>
        <v>Sarı</v>
      </c>
      <c r="I21" s="8" t="str">
        <f ca="1">IF($L21="","",INDEX('Veri Merkezi'!$R$2:$R$1001,$L21))</f>
        <v/>
      </c>
      <c r="J21" s="8" t="str">
        <f ca="1">IF($L21="","",INDEX('Veri Merkezi'!$S$2:$S$1001,$L21))</f>
        <v>B Liste</v>
      </c>
      <c r="K21" s="8" t="str">
        <f ca="1">IF($L21="","",INDEX('Veri Merkezi'!$U$2:$U$1001,$L21))</f>
        <v>Stoperler</v>
      </c>
      <c r="L21" s="8">
        <f ca="1">IFERROR(MATCH(ROWS($L$4:L21),'Veri Merkezi'!$W$2:$W$1001,0),"")</f>
        <v>109</v>
      </c>
    </row>
    <row r="22" spans="1:12" ht="20" customHeight="1">
      <c r="A22" s="8">
        <f ca="1">IF($L22="","",ROWS($A$4:A22))</f>
        <v>19</v>
      </c>
      <c r="B22" s="8" t="str">
        <f ca="1">IF($L22="","",INDEX('Veri Merkezi'!$A$2:$A$1001,$L22))</f>
        <v>JAKOV MEDIC</v>
      </c>
      <c r="C22" s="8" t="str">
        <f ca="1">IF($L22="","",INDEX('Veri Merkezi'!$E$2:$E$1001,$L22))</f>
        <v>Stoper</v>
      </c>
      <c r="D22" s="8">
        <f ca="1">IF($L22="","",INDEX('Veri Merkezi'!$D$2:$D$1001,$L22))</f>
        <v>28</v>
      </c>
      <c r="E22" s="8" t="str">
        <f ca="1">IF($L22="","",INDEX('Veri Merkezi'!$F$2:$F$1001,$L22))</f>
        <v>UTRECHT</v>
      </c>
      <c r="F22" s="9">
        <f ca="1">IF($L22="","",INDEX('Veri Merkezi'!$G$2:$G$1001,$L22))</f>
        <v>46568</v>
      </c>
      <c r="G22" s="8">
        <f t="shared" ca="1" si="0"/>
        <v>267</v>
      </c>
      <c r="H22" s="8" t="str">
        <f ca="1">IF($L22="","",INDEX('Veri Merkezi'!$H$2:$H$1001,$L22))</f>
        <v>Sarı</v>
      </c>
      <c r="I22" s="8" t="str">
        <f ca="1">IF($L22="","",INDEX('Veri Merkezi'!$R$2:$R$1001,$L22))</f>
        <v/>
      </c>
      <c r="J22" s="8" t="str">
        <f ca="1">IF($L22="","",INDEX('Veri Merkezi'!$S$2:$S$1001,$L22))</f>
        <v>Takip</v>
      </c>
      <c r="K22" s="8" t="str">
        <f ca="1">IF($L22="","",INDEX('Veri Merkezi'!$U$2:$U$1001,$L22))</f>
        <v>Stoperler</v>
      </c>
      <c r="L22" s="8">
        <f ca="1">IFERROR(MATCH(ROWS($L$4:L22),'Veri Merkezi'!$W$2:$W$1001,0),"")</f>
        <v>111</v>
      </c>
    </row>
    <row r="23" spans="1:12" ht="20" customHeight="1">
      <c r="A23" s="8">
        <f ca="1">IF($L23="","",ROWS($A$4:A23))</f>
        <v>20</v>
      </c>
      <c r="B23" s="8" t="str">
        <f ca="1">IF($L23="","",INDEX('Veri Merkezi'!$A$2:$A$1001,$L23))</f>
        <v>AHMED HADZIMUJOVIC</v>
      </c>
      <c r="C23" s="8" t="str">
        <f ca="1">IF($L23="","",INDEX('Veri Merkezi'!$E$2:$E$1001,$L23))</f>
        <v>Stoper</v>
      </c>
      <c r="D23" s="8">
        <f ca="1">IF($L23="","",INDEX('Veri Merkezi'!$D$2:$D$1001,$L23))</f>
        <v>19</v>
      </c>
      <c r="E23" s="8" t="str">
        <f ca="1">IF($L23="","",INDEX('Veri Merkezi'!$F$2:$F$1001,$L23))</f>
        <v>NOVI PAZAR</v>
      </c>
      <c r="F23" s="9">
        <f ca="1">IF($L23="","",INDEX('Veri Merkezi'!$G$2:$G$1001,$L23))</f>
        <v>46568</v>
      </c>
      <c r="G23" s="8">
        <f t="shared" ca="1" si="0"/>
        <v>267</v>
      </c>
      <c r="H23" s="8" t="str">
        <f ca="1">IF($L23="","",INDEX('Veri Merkezi'!$H$2:$H$1001,$L23))</f>
        <v>Sarı</v>
      </c>
      <c r="I23" s="8" t="str">
        <f ca="1">IF($L23="","",INDEX('Veri Merkezi'!$R$2:$R$1001,$L23))</f>
        <v/>
      </c>
      <c r="J23" s="8" t="str">
        <f ca="1">IF($L23="","",INDEX('Veri Merkezi'!$S$2:$S$1001,$L23))</f>
        <v>Takip</v>
      </c>
      <c r="K23" s="8" t="str">
        <f ca="1">IF($L23="","",INDEX('Veri Merkezi'!$U$2:$U$1001,$L23))</f>
        <v>Stoperler</v>
      </c>
      <c r="L23" s="8">
        <f ca="1">IFERROR(MATCH(ROWS($L$4:L23),'Veri Merkezi'!$W$2:$W$1001,0),"")</f>
        <v>116</v>
      </c>
    </row>
    <row r="24" spans="1:12" ht="20" customHeight="1">
      <c r="A24" s="8">
        <f ca="1">IF($L24="","",ROWS($A$4:A24))</f>
        <v>21</v>
      </c>
      <c r="B24" s="8" t="str">
        <f ca="1">IF($L24="","",INDEX('Veri Merkezi'!$A$2:$A$1001,$L24))</f>
        <v>GIVANNI VAN ZWAM</v>
      </c>
      <c r="C24" s="8" t="str">
        <f ca="1">IF($L24="","",INDEX('Veri Merkezi'!$E$2:$E$1001,$L24))</f>
        <v>Stoper</v>
      </c>
      <c r="D24" s="8">
        <f ca="1">IF($L24="","",INDEX('Veri Merkezi'!$D$2:$D$1001,$L24))</f>
        <v>22</v>
      </c>
      <c r="E24" s="8" t="str">
        <f ca="1">IF($L24="","",INDEX('Veri Merkezi'!$F$2:$F$1001,$L24))</f>
        <v>GO AHEAD</v>
      </c>
      <c r="F24" s="9">
        <f ca="1">IF($L24="","",INDEX('Veri Merkezi'!$G$2:$G$1001,$L24))</f>
        <v>46568</v>
      </c>
      <c r="G24" s="8">
        <f t="shared" ca="1" si="0"/>
        <v>267</v>
      </c>
      <c r="H24" s="8" t="str">
        <f ca="1">IF($L24="","",INDEX('Veri Merkezi'!$H$2:$H$1001,$L24))</f>
        <v>Sarı</v>
      </c>
      <c r="I24" s="8" t="str">
        <f ca="1">IF($L24="","",INDEX('Veri Merkezi'!$R$2:$R$1001,$L24))</f>
        <v/>
      </c>
      <c r="J24" s="8" t="str">
        <f ca="1">IF($L24="","",INDEX('Veri Merkezi'!$S$2:$S$1001,$L24))</f>
        <v>B Liste</v>
      </c>
      <c r="K24" s="8" t="str">
        <f ca="1">IF($L24="","",INDEX('Veri Merkezi'!$U$2:$U$1001,$L24))</f>
        <v>Stoperler</v>
      </c>
      <c r="L24" s="8">
        <f ca="1">IFERROR(MATCH(ROWS($L$4:L24),'Veri Merkezi'!$W$2:$W$1001,0),"")</f>
        <v>121</v>
      </c>
    </row>
    <row r="25" spans="1:12" ht="20" customHeight="1">
      <c r="A25" s="8">
        <f ca="1">IF($L25="","",ROWS($A$4:A25))</f>
        <v>22</v>
      </c>
      <c r="B25" s="8" t="str">
        <f ca="1">IF($L25="","",INDEX('Veri Merkezi'!$A$2:$A$1001,$L25))</f>
        <v>MARASH KUMBULLA</v>
      </c>
      <c r="C25" s="8" t="str">
        <f ca="1">IF($L25="","",INDEX('Veri Merkezi'!$E$2:$E$1001,$L25))</f>
        <v>Stoper</v>
      </c>
      <c r="D25" s="8">
        <f ca="1">IF($L25="","",INDEX('Veri Merkezi'!$D$2:$D$1001,$L25))</f>
        <v>26</v>
      </c>
      <c r="E25" s="8" t="str">
        <f ca="1">IF($L25="","",INDEX('Veri Merkezi'!$F$2:$F$1001,$L25))</f>
        <v>RAYO VALLECANO</v>
      </c>
      <c r="F25" s="9">
        <f ca="1">IF($L25="","",INDEX('Veri Merkezi'!$G$2:$G$1001,$L25))</f>
        <v>46568</v>
      </c>
      <c r="G25" s="8">
        <f t="shared" ca="1" si="0"/>
        <v>267</v>
      </c>
      <c r="H25" s="8" t="str">
        <f ca="1">IF($L25="","",INDEX('Veri Merkezi'!$H$2:$H$1001,$L25))</f>
        <v>Kırmızı</v>
      </c>
      <c r="I25" s="8" t="str">
        <f ca="1">IF($L25="","",INDEX('Veri Merkezi'!$R$2:$R$1001,$L25))</f>
        <v/>
      </c>
      <c r="J25" s="8" t="str">
        <f ca="1">IF($L25="","",INDEX('Veri Merkezi'!$S$2:$S$1001,$L25))</f>
        <v>Ele</v>
      </c>
      <c r="K25" s="8" t="str">
        <f ca="1">IF($L25="","",INDEX('Veri Merkezi'!$U$2:$U$1001,$L25))</f>
        <v>Stoperler</v>
      </c>
      <c r="L25" s="8">
        <f ca="1">IFERROR(MATCH(ROWS($L$4:L25),'Veri Merkezi'!$W$2:$W$1001,0),"")</f>
        <v>122</v>
      </c>
    </row>
    <row r="26" spans="1:12" ht="20" customHeight="1">
      <c r="A26" s="8">
        <f ca="1">IF($L26="","",ROWS($A$4:A26))</f>
        <v>23</v>
      </c>
      <c r="B26" s="8" t="str">
        <f ca="1">IF($L26="","",INDEX('Veri Merkezi'!$A$2:$A$1001,$L26))</f>
        <v>CHECK KEITA</v>
      </c>
      <c r="C26" s="8" t="str">
        <f ca="1">IF($L26="","",INDEX('Veri Merkezi'!$E$2:$E$1001,$L26))</f>
        <v>Stoper</v>
      </c>
      <c r="D26" s="8">
        <f ca="1">IF($L26="","",INDEX('Veri Merkezi'!$D$2:$D$1001,$L26))</f>
        <v>23</v>
      </c>
      <c r="E26" s="8" t="str">
        <f ca="1">IF($L26="","",INDEX('Veri Merkezi'!$F$2:$F$1001,$L26))</f>
        <v>ROYAL CHARLEROI SC</v>
      </c>
      <c r="F26" s="9">
        <f ca="1">IF($L26="","",INDEX('Veri Merkezi'!$G$2:$G$1001,$L26))</f>
        <v>46568</v>
      </c>
      <c r="G26" s="8">
        <f t="shared" ca="1" si="0"/>
        <v>267</v>
      </c>
      <c r="H26" s="8" t="str">
        <f ca="1">IF($L26="","",INDEX('Veri Merkezi'!$H$2:$H$1001,$L26))</f>
        <v>Sarı</v>
      </c>
      <c r="I26" s="8" t="str">
        <f ca="1">IF($L26="","",INDEX('Veri Merkezi'!$R$2:$R$1001,$L26))</f>
        <v/>
      </c>
      <c r="J26" s="8" t="str">
        <f ca="1">IF($L26="","",INDEX('Veri Merkezi'!$S$2:$S$1001,$L26))</f>
        <v>Takip</v>
      </c>
      <c r="K26" s="8" t="str">
        <f ca="1">IF($L26="","",INDEX('Veri Merkezi'!$U$2:$U$1001,$L26))</f>
        <v>Stoperler</v>
      </c>
      <c r="L26" s="8">
        <f ca="1">IFERROR(MATCH(ROWS($L$4:L26),'Veri Merkezi'!$W$2:$W$1001,0),"")</f>
        <v>123</v>
      </c>
    </row>
    <row r="27" spans="1:12" ht="20" customHeight="1">
      <c r="A27" s="8">
        <f ca="1">IF($L27="","",ROWS($A$4:A27))</f>
        <v>24</v>
      </c>
      <c r="B27" s="8" t="str">
        <f ca="1">IF($L27="","",INDEX('Veri Merkezi'!$A$2:$A$1001,$L27))</f>
        <v>GIOVANNI VAN ZWAM</v>
      </c>
      <c r="C27" s="8" t="str">
        <f ca="1">IF($L27="","",INDEX('Veri Merkezi'!$E$2:$E$1001,$L27))</f>
        <v>Stoper</v>
      </c>
      <c r="D27" s="8">
        <f ca="1">IF($L27="","",INDEX('Veri Merkezi'!$D$2:$D$1001,$L27))</f>
        <v>22</v>
      </c>
      <c r="E27" s="8" t="str">
        <f ca="1">IF($L27="","",INDEX('Veri Merkezi'!$F$2:$F$1001,$L27))</f>
        <v>GO AHEAD EAGLES</v>
      </c>
      <c r="F27" s="9">
        <f ca="1">IF($L27="","",INDEX('Veri Merkezi'!$G$2:$G$1001,$L27))</f>
        <v>46568</v>
      </c>
      <c r="G27" s="8">
        <f t="shared" ca="1" si="0"/>
        <v>267</v>
      </c>
      <c r="H27" s="8" t="str">
        <f ca="1">IF($L27="","",INDEX('Veri Merkezi'!$H$2:$H$1001,$L27))</f>
        <v>Sarı</v>
      </c>
      <c r="I27" s="8" t="str">
        <f ca="1">IF($L27="","",INDEX('Veri Merkezi'!$R$2:$R$1001,$L27))</f>
        <v/>
      </c>
      <c r="J27" s="8" t="str">
        <f ca="1">IF($L27="","",INDEX('Veri Merkezi'!$S$2:$S$1001,$L27))</f>
        <v>Takip</v>
      </c>
      <c r="K27" s="8" t="str">
        <f ca="1">IF($L27="","",INDEX('Veri Merkezi'!$U$2:$U$1001,$L27))</f>
        <v>Stoperler</v>
      </c>
      <c r="L27" s="8">
        <f ca="1">IFERROR(MATCH(ROWS($L$4:L27),'Veri Merkezi'!$W$2:$W$1001,0),"")</f>
        <v>124</v>
      </c>
    </row>
    <row r="28" spans="1:12" ht="20" customHeight="1">
      <c r="A28" s="8">
        <f ca="1">IF($L28="","",ROWS($A$4:A28))</f>
        <v>25</v>
      </c>
      <c r="B28" s="8" t="str">
        <f ca="1">IF($L28="","",INDEX('Veri Merkezi'!$A$2:$A$1001,$L28))</f>
        <v>ADRIA PEDROSA</v>
      </c>
      <c r="C28" s="8" t="str">
        <f ca="1">IF($L28="","",INDEX('Veri Merkezi'!$E$2:$E$1001,$L28))</f>
        <v>Sol Bek</v>
      </c>
      <c r="D28" s="8">
        <f ca="1">IF($L28="","",INDEX('Veri Merkezi'!$D$2:$D$1001,$L28))</f>
        <v>28</v>
      </c>
      <c r="E28" s="8" t="str">
        <f ca="1">IF($L28="","",INDEX('Veri Merkezi'!$F$2:$F$1001,$L28))</f>
        <v>ROYO VALLECANO</v>
      </c>
      <c r="F28" s="9">
        <f ca="1">IF($L28="","",INDEX('Veri Merkezi'!$G$2:$G$1001,$L28))</f>
        <v>46568</v>
      </c>
      <c r="G28" s="8">
        <f t="shared" ca="1" si="0"/>
        <v>267</v>
      </c>
      <c r="H28" s="8" t="str">
        <f ca="1">IF($L28="","",INDEX('Veri Merkezi'!$H$2:$H$1001,$L28))</f>
        <v>Sarı</v>
      </c>
      <c r="I28" s="8" t="str">
        <f ca="1">IF($L28="","",INDEX('Veri Merkezi'!$R$2:$R$1001,$L28))</f>
        <v/>
      </c>
      <c r="J28" s="8" t="str">
        <f ca="1">IF($L28="","",INDEX('Veri Merkezi'!$S$2:$S$1001,$L28))</f>
        <v>B Liste</v>
      </c>
      <c r="K28" s="8" t="str">
        <f ca="1">IF($L28="","",INDEX('Veri Merkezi'!$U$2:$U$1001,$L28))</f>
        <v>Sol Bekler</v>
      </c>
      <c r="L28" s="8">
        <f ca="1">IFERROR(MATCH(ROWS($L$4:L28),'Veri Merkezi'!$W$2:$W$1001,0),"")</f>
        <v>301</v>
      </c>
    </row>
    <row r="29" spans="1:12" ht="20" customHeight="1">
      <c r="A29" s="8">
        <f ca="1">IF($L29="","",ROWS($A$4:A29))</f>
        <v>26</v>
      </c>
      <c r="B29" s="8" t="str">
        <f ca="1">IF($L29="","",INDEX('Veri Merkezi'!$A$2:$A$1001,$L29))</f>
        <v>LEONARDO LELO</v>
      </c>
      <c r="C29" s="8" t="str">
        <f ca="1">IF($L29="","",INDEX('Veri Merkezi'!$E$2:$E$1001,$L29))</f>
        <v>Sol Bek</v>
      </c>
      <c r="D29" s="8">
        <f ca="1">IF($L29="","",INDEX('Veri Merkezi'!$D$2:$D$1001,$L29))</f>
        <v>26</v>
      </c>
      <c r="E29" s="8" t="str">
        <f ca="1">IF($L29="","",INDEX('Veri Merkezi'!$F$2:$F$1001,$L29))</f>
        <v>ALMERIA</v>
      </c>
      <c r="F29" s="9">
        <f ca="1">IF($L29="","",INDEX('Veri Merkezi'!$G$2:$G$1001,$L29))</f>
        <v>46568</v>
      </c>
      <c r="G29" s="8">
        <f t="shared" ca="1" si="0"/>
        <v>267</v>
      </c>
      <c r="H29" s="8" t="str">
        <f ca="1">IF($L29="","",INDEX('Veri Merkezi'!$H$2:$H$1001,$L29))</f>
        <v>Yeşil</v>
      </c>
      <c r="I29" s="8" t="str">
        <f ca="1">IF($L29="","",INDEX('Veri Merkezi'!$R$2:$R$1001,$L29))</f>
        <v/>
      </c>
      <c r="J29" s="8" t="str">
        <f ca="1">IF($L29="","",INDEX('Veri Merkezi'!$S$2:$S$1001,$L29))</f>
        <v>A Liste</v>
      </c>
      <c r="K29" s="8" t="str">
        <f ca="1">IF($L29="","",INDEX('Veri Merkezi'!$U$2:$U$1001,$L29))</f>
        <v>Sol Bekler</v>
      </c>
      <c r="L29" s="8">
        <f ca="1">IFERROR(MATCH(ROWS($L$4:L29),'Veri Merkezi'!$W$2:$W$1001,0),"")</f>
        <v>306</v>
      </c>
    </row>
    <row r="30" spans="1:12" ht="20" customHeight="1">
      <c r="A30" s="8">
        <f ca="1">IF($L30="","",ROWS($A$4:A30))</f>
        <v>27</v>
      </c>
      <c r="B30" s="8" t="str">
        <f ca="1">IF($L30="","",INDEX('Veri Merkezi'!$A$2:$A$1001,$L30))</f>
        <v>KEVIN CASTANO</v>
      </c>
      <c r="C30" s="8" t="str">
        <f ca="1">IF($L30="","",INDEX('Veri Merkezi'!$E$2:$E$1001,$L30))</f>
        <v>6 Numara</v>
      </c>
      <c r="D30" s="8">
        <f ca="1">IF($L30="","",INDEX('Veri Merkezi'!$D$2:$D$1001,$L30))</f>
        <v>26</v>
      </c>
      <c r="E30" s="8" t="str">
        <f ca="1">IF($L30="","",INDEX('Veri Merkezi'!$F$2:$F$1001,$L30))</f>
        <v>ATLETİCO MG</v>
      </c>
      <c r="F30" s="9">
        <f ca="1">IF($L30="","",INDEX('Veri Merkezi'!$G$2:$G$1001,$L30))</f>
        <v>46568</v>
      </c>
      <c r="G30" s="8">
        <f t="shared" ca="1" si="0"/>
        <v>267</v>
      </c>
      <c r="H30" s="8" t="str">
        <f ca="1">IF($L30="","",INDEX('Veri Merkezi'!$H$2:$H$1001,$L30))</f>
        <v>Sarı</v>
      </c>
      <c r="I30" s="8" t="str">
        <f ca="1">IF($L30="","",INDEX('Veri Merkezi'!$R$2:$R$1001,$L30))</f>
        <v/>
      </c>
      <c r="J30" s="8" t="str">
        <f ca="1">IF($L30="","",INDEX('Veri Merkezi'!$S$2:$S$1001,$L30))</f>
        <v>B Liste</v>
      </c>
      <c r="K30" s="8" t="str">
        <f ca="1">IF($L30="","",INDEX('Veri Merkezi'!$U$2:$U$1001,$L30))</f>
        <v>6 Numaralar</v>
      </c>
      <c r="L30" s="8">
        <f ca="1">IFERROR(MATCH(ROWS($L$4:L30),'Veri Merkezi'!$W$2:$W$1001,0),"")</f>
        <v>404</v>
      </c>
    </row>
    <row r="31" spans="1:12" ht="20" customHeight="1">
      <c r="A31" s="8">
        <f ca="1">IF($L31="","",ROWS($A$4:A31))</f>
        <v>28</v>
      </c>
      <c r="B31" s="8" t="str">
        <f ca="1">IF($L31="","",INDEX('Veri Merkezi'!$A$2:$A$1001,$L31))</f>
        <v>CHARLYS MATHEUS LİMA</v>
      </c>
      <c r="C31" s="8" t="str">
        <f ca="1">IF($L31="","",INDEX('Veri Merkezi'!$E$2:$E$1001,$L31))</f>
        <v>6 Numara</v>
      </c>
      <c r="D31" s="8">
        <f ca="1">IF($L31="","",INDEX('Veri Merkezi'!$D$2:$D$1001,$L31))</f>
        <v>22</v>
      </c>
      <c r="E31" s="8" t="str">
        <f ca="1">IF($L31="","",INDEX('Veri Merkezi'!$F$2:$F$1001,$L31))</f>
        <v>İNTER</v>
      </c>
      <c r="F31" s="9">
        <f ca="1">IF($L31="","",INDEX('Veri Merkezi'!$G$2:$G$1001,$L31))</f>
        <v>46568</v>
      </c>
      <c r="G31" s="8">
        <f t="shared" ca="1" si="0"/>
        <v>267</v>
      </c>
      <c r="H31" s="8" t="str">
        <f ca="1">IF($L31="","",INDEX('Veri Merkezi'!$H$2:$H$1001,$L31))</f>
        <v>Sarı</v>
      </c>
      <c r="I31" s="8" t="str">
        <f ca="1">IF($L31="","",INDEX('Veri Merkezi'!$R$2:$R$1001,$L31))</f>
        <v/>
      </c>
      <c r="J31" s="8" t="str">
        <f ca="1">IF($L31="","",INDEX('Veri Merkezi'!$S$2:$S$1001,$L31))</f>
        <v>Takip</v>
      </c>
      <c r="K31" s="8" t="str">
        <f ca="1">IF($L31="","",INDEX('Veri Merkezi'!$U$2:$U$1001,$L31))</f>
        <v>6 Numaralar</v>
      </c>
      <c r="L31" s="8">
        <f ca="1">IFERROR(MATCH(ROWS($L$4:L31),'Veri Merkezi'!$W$2:$W$1001,0),"")</f>
        <v>408</v>
      </c>
    </row>
    <row r="32" spans="1:12" ht="20" customHeight="1">
      <c r="A32" s="8">
        <f ca="1">IF($L32="","",ROWS($A$4:A32))</f>
        <v>29</v>
      </c>
      <c r="B32" s="8" t="str">
        <f ca="1">IF($L32="","",INDEX('Veri Merkezi'!$A$2:$A$1001,$L32))</f>
        <v>SANDI LOVRIC</v>
      </c>
      <c r="C32" s="8" t="str">
        <f ca="1">IF($L32="","",INDEX('Veri Merkezi'!$E$2:$E$1001,$L32))</f>
        <v>8 Numara</v>
      </c>
      <c r="D32" s="8">
        <f ca="1">IF($L32="","",INDEX('Veri Merkezi'!$D$2:$D$1001,$L32))</f>
        <v>28</v>
      </c>
      <c r="E32" s="8" t="str">
        <f ca="1">IF($L32="","",INDEX('Veri Merkezi'!$F$2:$F$1001,$L32))</f>
        <v>UDINESE</v>
      </c>
      <c r="F32" s="9">
        <f ca="1">IF($L32="","",INDEX('Veri Merkezi'!$G$2:$G$1001,$L32))</f>
        <v>46568</v>
      </c>
      <c r="G32" s="8">
        <f t="shared" ca="1" si="0"/>
        <v>267</v>
      </c>
      <c r="H32" s="8" t="str">
        <f ca="1">IF($L32="","",INDEX('Veri Merkezi'!$H$2:$H$1001,$L32))</f>
        <v>Sarı</v>
      </c>
      <c r="I32" s="8" t="str">
        <f ca="1">IF($L32="","",INDEX('Veri Merkezi'!$R$2:$R$1001,$L32))</f>
        <v/>
      </c>
      <c r="J32" s="8" t="str">
        <f ca="1">IF($L32="","",INDEX('Veri Merkezi'!$S$2:$S$1001,$L32))</f>
        <v>B Liste</v>
      </c>
      <c r="K32" s="8" t="str">
        <f ca="1">IF($L32="","",INDEX('Veri Merkezi'!$U$2:$U$1001,$L32))</f>
        <v>8 Numaralar</v>
      </c>
      <c r="L32" s="8">
        <f ca="1">IFERROR(MATCH(ROWS($L$4:L32),'Veri Merkezi'!$W$2:$W$1001,0),"")</f>
        <v>509</v>
      </c>
    </row>
    <row r="33" spans="1:12" ht="20" customHeight="1">
      <c r="A33" s="8">
        <f ca="1">IF($L33="","",ROWS($A$4:A33))</f>
        <v>30</v>
      </c>
      <c r="B33" s="8" t="str">
        <f ca="1">IF($L33="","",INDEX('Veri Merkezi'!$A$2:$A$1001,$L33))</f>
        <v>GLEN KAMARA</v>
      </c>
      <c r="C33" s="8" t="str">
        <f ca="1">IF($L33="","",INDEX('Veri Merkezi'!$E$2:$E$1001,$L33))</f>
        <v>8 Numara</v>
      </c>
      <c r="D33" s="8">
        <f ca="1">IF($L33="","",INDEX('Veri Merkezi'!$D$2:$D$1001,$L33))</f>
        <v>30</v>
      </c>
      <c r="E33" s="8" t="str">
        <f ca="1">IF($L33="","",INDEX('Veri Merkezi'!$F$2:$F$1001,$L33))</f>
        <v>QPR</v>
      </c>
      <c r="F33" s="9">
        <f ca="1">IF($L33="","",INDEX('Veri Merkezi'!$G$2:$G$1001,$L33))</f>
        <v>46568</v>
      </c>
      <c r="G33" s="8">
        <f t="shared" ca="1" si="0"/>
        <v>267</v>
      </c>
      <c r="H33" s="8" t="str">
        <f ca="1">IF($L33="","",INDEX('Veri Merkezi'!$H$2:$H$1001,$L33))</f>
        <v>Kırmızı</v>
      </c>
      <c r="I33" s="8" t="str">
        <f ca="1">IF($L33="","",INDEX('Veri Merkezi'!$R$2:$R$1001,$L33))</f>
        <v/>
      </c>
      <c r="J33" s="8" t="str">
        <f ca="1">IF($L33="","",INDEX('Veri Merkezi'!$S$2:$S$1001,$L33))</f>
        <v>Ele</v>
      </c>
      <c r="K33" s="8" t="str">
        <f ca="1">IF($L33="","",INDEX('Veri Merkezi'!$U$2:$U$1001,$L33))</f>
        <v>8 Numaralar</v>
      </c>
      <c r="L33" s="8">
        <f ca="1">IFERROR(MATCH(ROWS($L$4:L33),'Veri Merkezi'!$W$2:$W$1001,0),"")</f>
        <v>511</v>
      </c>
    </row>
    <row r="34" spans="1:12" ht="20" customHeight="1">
      <c r="A34" s="8">
        <f ca="1">IF($L34="","",ROWS($A$4:A34))</f>
        <v>31</v>
      </c>
      <c r="B34" s="8" t="str">
        <f ca="1">IF($L34="","",INDEX('Veri Merkezi'!$A$2:$A$1001,$L34))</f>
        <v>JOVAN SLJIVIC</v>
      </c>
      <c r="C34" s="8" t="str">
        <f ca="1">IF($L34="","",INDEX('Veri Merkezi'!$E$2:$E$1001,$L34))</f>
        <v>8 Numara</v>
      </c>
      <c r="D34" s="8">
        <f ca="1">IF($L34="","",INDEX('Veri Merkezi'!$D$2:$D$1001,$L34))</f>
        <v>21</v>
      </c>
      <c r="E34" s="8" t="str">
        <f ca="1">IF($L34="","",INDEX('Veri Merkezi'!$F$2:$F$1001,$L34))</f>
        <v>OFK BEOGRAD</v>
      </c>
      <c r="F34" s="9">
        <f ca="1">IF($L34="","",INDEX('Veri Merkezi'!$G$2:$G$1001,$L34))</f>
        <v>46568</v>
      </c>
      <c r="G34" s="8">
        <f t="shared" ca="1" si="0"/>
        <v>267</v>
      </c>
      <c r="H34" s="8" t="str">
        <f ca="1">IF($L34="","",INDEX('Veri Merkezi'!$H$2:$H$1001,$L34))</f>
        <v>Sarı</v>
      </c>
      <c r="I34" s="8" t="str">
        <f ca="1">IF($L34="","",INDEX('Veri Merkezi'!$R$2:$R$1001,$L34))</f>
        <v/>
      </c>
      <c r="J34" s="8" t="str">
        <f ca="1">IF($L34="","",INDEX('Veri Merkezi'!$S$2:$S$1001,$L34))</f>
        <v>Takip</v>
      </c>
      <c r="K34" s="8" t="str">
        <f ca="1">IF($L34="","",INDEX('Veri Merkezi'!$U$2:$U$1001,$L34))</f>
        <v>8 Numaralar</v>
      </c>
      <c r="L34" s="8">
        <f ca="1">IFERROR(MATCH(ROWS($L$4:L34),'Veri Merkezi'!$W$2:$W$1001,0),"")</f>
        <v>512</v>
      </c>
    </row>
    <row r="35" spans="1:12" ht="20" customHeight="1">
      <c r="A35" s="8">
        <f ca="1">IF($L35="","",ROWS($A$4:A35))</f>
        <v>32</v>
      </c>
      <c r="B35" s="8" t="str">
        <f ca="1">IF($L35="","",INDEX('Veri Merkezi'!$A$2:$A$1001,$L35))</f>
        <v>IVAN ILIC</v>
      </c>
      <c r="C35" s="8" t="str">
        <f ca="1">IF($L35="","",INDEX('Veri Merkezi'!$E$2:$E$1001,$L35))</f>
        <v>8 Numara</v>
      </c>
      <c r="D35" s="8">
        <f ca="1">IF($L35="","",INDEX('Veri Merkezi'!$D$2:$D$1001,$L35))</f>
        <v>25</v>
      </c>
      <c r="E35" s="8" t="str">
        <f ca="1">IF($L35="","",INDEX('Veri Merkezi'!$F$2:$F$1001,$L35))</f>
        <v>LECCE</v>
      </c>
      <c r="F35" s="9">
        <f ca="1">IF($L35="","",INDEX('Veri Merkezi'!$G$2:$G$1001,$L35))</f>
        <v>46568</v>
      </c>
      <c r="G35" s="8">
        <f t="shared" ca="1" si="0"/>
        <v>267</v>
      </c>
      <c r="H35" s="8" t="str">
        <f ca="1">IF($L35="","",INDEX('Veri Merkezi'!$H$2:$H$1001,$L35))</f>
        <v>Yeşil</v>
      </c>
      <c r="I35" s="8" t="str">
        <f ca="1">IF($L35="","",INDEX('Veri Merkezi'!$R$2:$R$1001,$L35))</f>
        <v/>
      </c>
      <c r="J35" s="8" t="str">
        <f ca="1">IF($L35="","",INDEX('Veri Merkezi'!$S$2:$S$1001,$L35))</f>
        <v>A Liste</v>
      </c>
      <c r="K35" s="8" t="str">
        <f ca="1">IF($L35="","",INDEX('Veri Merkezi'!$U$2:$U$1001,$L35))</f>
        <v>8 Numaralar</v>
      </c>
      <c r="L35" s="8">
        <f ca="1">IFERROR(MATCH(ROWS($L$4:L35),'Veri Merkezi'!$W$2:$W$1001,0),"")</f>
        <v>514</v>
      </c>
    </row>
    <row r="36" spans="1:12" ht="20" customHeight="1">
      <c r="A36" s="8">
        <f ca="1">IF($L36="","",ROWS($A$4:A36))</f>
        <v>33</v>
      </c>
      <c r="B36" s="8" t="str">
        <f ca="1">IF($L36="","",INDEX('Veri Merkezi'!$A$2:$A$1001,$L36))</f>
        <v>EBENEZER AKSİNSANMİRO</v>
      </c>
      <c r="C36" s="8" t="str">
        <f ca="1">IF($L36="","",INDEX('Veri Merkezi'!$E$2:$E$1001,$L36))</f>
        <v>8 Numara</v>
      </c>
      <c r="D36" s="8">
        <f ca="1">IF($L36="","",INDEX('Veri Merkezi'!$D$2:$D$1001,$L36))</f>
        <v>21</v>
      </c>
      <c r="E36" s="8" t="str">
        <f ca="1">IF($L36="","",INDEX('Veri Merkezi'!$F$2:$F$1001,$L36))</f>
        <v>MONZA</v>
      </c>
      <c r="F36" s="9">
        <f ca="1">IF($L36="","",INDEX('Veri Merkezi'!$G$2:$G$1001,$L36))</f>
        <v>46568</v>
      </c>
      <c r="G36" s="8">
        <f t="shared" ref="G36:G67" ca="1" si="1">IF(F36="","",F36-TODAY())</f>
        <v>267</v>
      </c>
      <c r="H36" s="8" t="str">
        <f ca="1">IF($L36="","",INDEX('Veri Merkezi'!$H$2:$H$1001,$L36))</f>
        <v>Yeşil</v>
      </c>
      <c r="I36" s="8" t="str">
        <f ca="1">IF($L36="","",INDEX('Veri Merkezi'!$R$2:$R$1001,$L36))</f>
        <v/>
      </c>
      <c r="J36" s="8" t="str">
        <f ca="1">IF($L36="","",INDEX('Veri Merkezi'!$S$2:$S$1001,$L36))</f>
        <v>A Liste</v>
      </c>
      <c r="K36" s="8" t="str">
        <f ca="1">IF($L36="","",INDEX('Veri Merkezi'!$U$2:$U$1001,$L36))</f>
        <v>8 Numaralar</v>
      </c>
      <c r="L36" s="8">
        <f ca="1">IFERROR(MATCH(ROWS($L$4:L36),'Veri Merkezi'!$W$2:$W$1001,0),"")</f>
        <v>515</v>
      </c>
    </row>
    <row r="37" spans="1:12" ht="20" customHeight="1">
      <c r="A37" s="8">
        <f ca="1">IF($L37="","",ROWS($A$4:A37))</f>
        <v>34</v>
      </c>
      <c r="B37" s="8" t="str">
        <f ca="1">IF($L37="","",INDEX('Veri Merkezi'!$A$2:$A$1001,$L37))</f>
        <v>ABDELLAH BAALLAL</v>
      </c>
      <c r="C37" s="8" t="str">
        <f ca="1">IF($L37="","",INDEX('Veri Merkezi'!$E$2:$E$1001,$L37))</f>
        <v>8 Numara</v>
      </c>
      <c r="D37" s="8">
        <f ca="1">IF($L37="","",INDEX('Veri Merkezi'!$D$2:$D$1001,$L37))</f>
        <v>21</v>
      </c>
      <c r="E37" s="8" t="str">
        <f ca="1">IF($L37="","",INDEX('Veri Merkezi'!$F$2:$F$1001,$L37))</f>
        <v>CLERMONT FOOT 63</v>
      </c>
      <c r="F37" s="9">
        <f ca="1">IF($L37="","",INDEX('Veri Merkezi'!$G$2:$G$1001,$L37))</f>
        <v>46568</v>
      </c>
      <c r="G37" s="8">
        <f t="shared" ca="1" si="1"/>
        <v>267</v>
      </c>
      <c r="H37" s="8" t="str">
        <f ca="1">IF($L37="","",INDEX('Veri Merkezi'!$H$2:$H$1001,$L37))</f>
        <v/>
      </c>
      <c r="I37" s="8" t="str">
        <f ca="1">IF($L37="","",INDEX('Veri Merkezi'!$R$2:$R$1001,$L37))</f>
        <v/>
      </c>
      <c r="J37" s="8" t="str">
        <f ca="1">IF($L37="","",INDEX('Veri Merkezi'!$S$2:$S$1001,$L37))</f>
        <v/>
      </c>
      <c r="K37" s="8" t="str">
        <f ca="1">IF($L37="","",INDEX('Veri Merkezi'!$U$2:$U$1001,$L37))</f>
        <v>8 Numaralar</v>
      </c>
      <c r="L37" s="8">
        <f ca="1">IFERROR(MATCH(ROWS($L$4:L37),'Veri Merkezi'!$W$2:$W$1001,0),"")</f>
        <v>516</v>
      </c>
    </row>
    <row r="38" spans="1:12" ht="20" customHeight="1">
      <c r="A38" s="8">
        <f ca="1">IF($L38="","",ROWS($A$4:A38))</f>
        <v>35</v>
      </c>
      <c r="B38" s="8" t="str">
        <f ca="1">IF($L38="","",INDEX('Veri Merkezi'!$A$2:$A$1001,$L38))</f>
        <v>MADY CAMARA</v>
      </c>
      <c r="C38" s="8" t="str">
        <f ca="1">IF($L38="","",INDEX('Veri Merkezi'!$E$2:$E$1001,$L38))</f>
        <v>8 Numara</v>
      </c>
      <c r="D38" s="8">
        <f ca="1">IF($L38="","",INDEX('Veri Merkezi'!$D$2:$D$1001,$L38))</f>
        <v>29</v>
      </c>
      <c r="E38" s="8" t="str">
        <f ca="1">IF($L38="","",INDEX('Veri Merkezi'!$F$2:$F$1001,$L38))</f>
        <v>PAOK</v>
      </c>
      <c r="F38" s="9">
        <f ca="1">IF($L38="","",INDEX('Veri Merkezi'!$G$2:$G$1001,$L38))</f>
        <v>46568</v>
      </c>
      <c r="G38" s="8">
        <f t="shared" ca="1" si="1"/>
        <v>267</v>
      </c>
      <c r="H38" s="8" t="str">
        <f ca="1">IF($L38="","",INDEX('Veri Merkezi'!$H$2:$H$1001,$L38))</f>
        <v/>
      </c>
      <c r="I38" s="8" t="str">
        <f ca="1">IF($L38="","",INDEX('Veri Merkezi'!$R$2:$R$1001,$L38))</f>
        <v/>
      </c>
      <c r="J38" s="8" t="str">
        <f ca="1">IF($L38="","",INDEX('Veri Merkezi'!$S$2:$S$1001,$L38))</f>
        <v/>
      </c>
      <c r="K38" s="8" t="str">
        <f ca="1">IF($L38="","",INDEX('Veri Merkezi'!$U$2:$U$1001,$L38))</f>
        <v>8 Numaralar</v>
      </c>
      <c r="L38" s="8">
        <f ca="1">IFERROR(MATCH(ROWS($L$4:L38),'Veri Merkezi'!$W$2:$W$1001,0),"")</f>
        <v>519</v>
      </c>
    </row>
    <row r="39" spans="1:12" ht="20" customHeight="1">
      <c r="A39" s="8">
        <f ca="1">IF($L39="","",ROWS($A$4:A39))</f>
        <v>36</v>
      </c>
      <c r="B39" s="8" t="str">
        <f ca="1">IF($L39="","",INDEX('Veri Merkezi'!$A$2:$A$1001,$L39))</f>
        <v>JOSH BROWNHILL</v>
      </c>
      <c r="C39" s="8" t="str">
        <f ca="1">IF($L39="","",INDEX('Veri Merkezi'!$E$2:$E$1001,$L39))</f>
        <v>8 Numara</v>
      </c>
      <c r="D39" s="8">
        <f ca="1">IF($L39="","",INDEX('Veri Merkezi'!$D$2:$D$1001,$L39))</f>
        <v>30</v>
      </c>
      <c r="E39" s="8" t="str">
        <f ca="1">IF($L39="","",INDEX('Veri Merkezi'!$F$2:$F$1001,$L39))</f>
        <v>AL-SHABAB FC</v>
      </c>
      <c r="F39" s="9">
        <f ca="1">IF($L39="","",INDEX('Veri Merkezi'!$G$2:$G$1001,$L39))</f>
        <v>46568</v>
      </c>
      <c r="G39" s="8">
        <f t="shared" ca="1" si="1"/>
        <v>267</v>
      </c>
      <c r="H39" s="8" t="str">
        <f ca="1">IF($L39="","",INDEX('Veri Merkezi'!$H$2:$H$1001,$L39))</f>
        <v/>
      </c>
      <c r="I39" s="8" t="str">
        <f ca="1">IF($L39="","",INDEX('Veri Merkezi'!$R$2:$R$1001,$L39))</f>
        <v/>
      </c>
      <c r="J39" s="8" t="str">
        <f ca="1">IF($L39="","",INDEX('Veri Merkezi'!$S$2:$S$1001,$L39))</f>
        <v/>
      </c>
      <c r="K39" s="8" t="str">
        <f ca="1">IF($L39="","",INDEX('Veri Merkezi'!$U$2:$U$1001,$L39))</f>
        <v>8 Numaralar</v>
      </c>
      <c r="L39" s="8">
        <f ca="1">IFERROR(MATCH(ROWS($L$4:L39),'Veri Merkezi'!$W$2:$W$1001,0),"")</f>
        <v>534</v>
      </c>
    </row>
    <row r="40" spans="1:12" ht="20" customHeight="1">
      <c r="A40" s="8">
        <f ca="1">IF($L40="","",ROWS($A$4:A40))</f>
        <v>37</v>
      </c>
      <c r="B40" s="8" t="str">
        <f ca="1">IF($L40="","",INDEX('Veri Merkezi'!$A$2:$A$1001,$L40))</f>
        <v>LORENZO PELLEGRINI</v>
      </c>
      <c r="C40" s="8" t="str">
        <f ca="1">IF($L40="","",INDEX('Veri Merkezi'!$E$2:$E$1001,$L40))</f>
        <v>10 Numara</v>
      </c>
      <c r="D40" s="8">
        <f ca="1">IF($L40="","",INDEX('Veri Merkezi'!$D$2:$D$1001,$L40))</f>
        <v>30</v>
      </c>
      <c r="E40" s="8" t="str">
        <f ca="1">IF($L40="","",INDEX('Veri Merkezi'!$F$2:$F$1001,$L40))</f>
        <v>ROMA</v>
      </c>
      <c r="F40" s="9">
        <f ca="1">IF($L40="","",INDEX('Veri Merkezi'!$G$2:$G$1001,$L40))</f>
        <v>46568</v>
      </c>
      <c r="G40" s="8">
        <f t="shared" ca="1" si="1"/>
        <v>267</v>
      </c>
      <c r="H40" s="8" t="str">
        <f ca="1">IF($L40="","",INDEX('Veri Merkezi'!$H$2:$H$1001,$L40))</f>
        <v>Yeşil</v>
      </c>
      <c r="I40" s="8" t="str">
        <f ca="1">IF($L40="","",INDEX('Veri Merkezi'!$R$2:$R$1001,$L40))</f>
        <v/>
      </c>
      <c r="J40" s="8" t="str">
        <f ca="1">IF($L40="","",INDEX('Veri Merkezi'!$S$2:$S$1001,$L40))</f>
        <v>A Liste</v>
      </c>
      <c r="K40" s="8" t="str">
        <f ca="1">IF($L40="","",INDEX('Veri Merkezi'!$U$2:$U$1001,$L40))</f>
        <v>10 Numaralar</v>
      </c>
      <c r="L40" s="8">
        <f ca="1">IFERROR(MATCH(ROWS($L$4:L40),'Veri Merkezi'!$W$2:$W$1001,0),"")</f>
        <v>603</v>
      </c>
    </row>
    <row r="41" spans="1:12" ht="20" customHeight="1">
      <c r="A41" s="8">
        <f ca="1">IF($L41="","",ROWS($A$4:A41))</f>
        <v>38</v>
      </c>
      <c r="B41" s="8" t="str">
        <f ca="1">IF($L41="","",INDEX('Veri Merkezi'!$A$2:$A$1001,$L41))</f>
        <v>NABİL FEKİR</v>
      </c>
      <c r="C41" s="8" t="str">
        <f ca="1">IF($L41="","",INDEX('Veri Merkezi'!$E$2:$E$1001,$L41))</f>
        <v>10 Numara</v>
      </c>
      <c r="D41" s="8">
        <f ca="1">IF($L41="","",INDEX('Veri Merkezi'!$D$2:$D$1001,$L41))</f>
        <v>33</v>
      </c>
      <c r="E41" s="8" t="str">
        <f ca="1">IF($L41="","",INDEX('Veri Merkezi'!$F$2:$F$1001,$L41))</f>
        <v>ABHA</v>
      </c>
      <c r="F41" s="9">
        <f ca="1">IF($L41="","",INDEX('Veri Merkezi'!$G$2:$G$1001,$L41))</f>
        <v>46568</v>
      </c>
      <c r="G41" s="8">
        <f t="shared" ca="1" si="1"/>
        <v>267</v>
      </c>
      <c r="H41" s="8" t="str">
        <f ca="1">IF($L41="","",INDEX('Veri Merkezi'!$H$2:$H$1001,$L41))</f>
        <v>Kırmızı</v>
      </c>
      <c r="I41" s="8" t="str">
        <f ca="1">IF($L41="","",INDEX('Veri Merkezi'!$R$2:$R$1001,$L41))</f>
        <v/>
      </c>
      <c r="J41" s="8" t="str">
        <f ca="1">IF($L41="","",INDEX('Veri Merkezi'!$S$2:$S$1001,$L41))</f>
        <v>Ele</v>
      </c>
      <c r="K41" s="8" t="str">
        <f ca="1">IF($L41="","",INDEX('Veri Merkezi'!$U$2:$U$1001,$L41))</f>
        <v>10 Numaralar</v>
      </c>
      <c r="L41" s="8">
        <f ca="1">IFERROR(MATCH(ROWS($L$4:L41),'Veri Merkezi'!$W$2:$W$1001,0),"")</f>
        <v>609</v>
      </c>
    </row>
    <row r="42" spans="1:12" ht="20" customHeight="1">
      <c r="A42" s="8">
        <f ca="1">IF($L42="","",ROWS($A$4:A42))</f>
        <v>39</v>
      </c>
      <c r="B42" s="8" t="str">
        <f ca="1">IF($L42="","",INDEX('Veri Merkezi'!$A$2:$A$1001,$L42))</f>
        <v>YANİS MASSOLİN</v>
      </c>
      <c r="C42" s="8" t="str">
        <f ca="1">IF($L42="","",INDEX('Veri Merkezi'!$E$2:$E$1001,$L42))</f>
        <v>10 Numara</v>
      </c>
      <c r="D42" s="8">
        <f ca="1">IF($L42="","",INDEX('Veri Merkezi'!$D$2:$D$1001,$L42))</f>
        <v>24</v>
      </c>
      <c r="E42" s="8" t="str">
        <f ca="1">IF($L42="","",INDEX('Veri Merkezi'!$F$2:$F$1001,$L42))</f>
        <v>CAGLIARI</v>
      </c>
      <c r="F42" s="9">
        <f ca="1">IF($L42="","",INDEX('Veri Merkezi'!$G$2:$G$1001,$L42))</f>
        <v>46568</v>
      </c>
      <c r="G42" s="8">
        <f t="shared" ca="1" si="1"/>
        <v>267</v>
      </c>
      <c r="H42" s="8" t="str">
        <f ca="1">IF($L42="","",INDEX('Veri Merkezi'!$H$2:$H$1001,$L42))</f>
        <v>Yeşil</v>
      </c>
      <c r="I42" s="8" t="str">
        <f ca="1">IF($L42="","",INDEX('Veri Merkezi'!$R$2:$R$1001,$L42))</f>
        <v/>
      </c>
      <c r="J42" s="8" t="str">
        <f ca="1">IF($L42="","",INDEX('Veri Merkezi'!$S$2:$S$1001,$L42))</f>
        <v>A Liste</v>
      </c>
      <c r="K42" s="8" t="str">
        <f ca="1">IF($L42="","",INDEX('Veri Merkezi'!$U$2:$U$1001,$L42))</f>
        <v>10 Numaralar</v>
      </c>
      <c r="L42" s="8">
        <f ca="1">IFERROR(MATCH(ROWS($L$4:L42),'Veri Merkezi'!$W$2:$W$1001,0),"")</f>
        <v>611</v>
      </c>
    </row>
    <row r="43" spans="1:12" ht="20" customHeight="1">
      <c r="A43" s="8">
        <f ca="1">IF($L43="","",ROWS($A$4:A43))</f>
        <v>40</v>
      </c>
      <c r="B43" s="8" t="str">
        <f ca="1">IF($L43="","",INDEX('Veri Merkezi'!$A$2:$A$1001,$L43))</f>
        <v>KENDRY PAEZ</v>
      </c>
      <c r="C43" s="8" t="str">
        <f ca="1">IF($L43="","",INDEX('Veri Merkezi'!$E$2:$E$1001,$L43))</f>
        <v>10 Numara</v>
      </c>
      <c r="D43" s="8">
        <f ca="1">IF($L43="","",INDEX('Veri Merkezi'!$D$2:$D$1001,$L43))</f>
        <v>19</v>
      </c>
      <c r="E43" s="8" t="str">
        <f ca="1">IF($L43="","",INDEX('Veri Merkezi'!$F$2:$F$1001,$L43))</f>
        <v>RIVER PLATE (Chelsea'den kiralık)</v>
      </c>
      <c r="F43" s="9">
        <f ca="1">IF($L43="","",INDEX('Veri Merkezi'!$G$2:$G$1001,$L43))</f>
        <v>46568</v>
      </c>
      <c r="G43" s="8">
        <f t="shared" ca="1" si="1"/>
        <v>267</v>
      </c>
      <c r="H43" s="8" t="str">
        <f ca="1">IF($L43="","",INDEX('Veri Merkezi'!$H$2:$H$1001,$L43))</f>
        <v/>
      </c>
      <c r="I43" s="8" t="str">
        <f ca="1">IF($L43="","",INDEX('Veri Merkezi'!$R$2:$R$1001,$L43))</f>
        <v/>
      </c>
      <c r="J43" s="8" t="str">
        <f ca="1">IF($L43="","",INDEX('Veri Merkezi'!$S$2:$S$1001,$L43))</f>
        <v/>
      </c>
      <c r="K43" s="8" t="str">
        <f ca="1">IF($L43="","",INDEX('Veri Merkezi'!$U$2:$U$1001,$L43))</f>
        <v>10 Numaralar</v>
      </c>
      <c r="L43" s="8">
        <f ca="1">IFERROR(MATCH(ROWS($L$4:L43),'Veri Merkezi'!$W$2:$W$1001,0),"")</f>
        <v>623</v>
      </c>
    </row>
    <row r="44" spans="1:12" ht="20" customHeight="1">
      <c r="A44" s="8">
        <f ca="1">IF($L44="","",ROWS($A$4:A44))</f>
        <v>41</v>
      </c>
      <c r="B44" s="8" t="str">
        <f ca="1">IF($L44="","",INDEX('Veri Merkezi'!$A$2:$A$1001,$L44))</f>
        <v>AHIDERA EJUKE</v>
      </c>
      <c r="C44" s="8" t="str">
        <f ca="1">IF($L44="","",INDEX('Veri Merkezi'!$E$2:$E$1001,$L44))</f>
        <v>Kanat</v>
      </c>
      <c r="D44" s="8">
        <f ca="1">IF($L44="","",INDEX('Veri Merkezi'!$D$2:$D$1001,$L44))</f>
        <v>28</v>
      </c>
      <c r="E44" s="8" t="str">
        <f ca="1">IF($L44="","",INDEX('Veri Merkezi'!$F$2:$F$1001,$L44))</f>
        <v>SEVILLA</v>
      </c>
      <c r="F44" s="9">
        <f ca="1">IF($L44="","",INDEX('Veri Merkezi'!$G$2:$G$1001,$L44))</f>
        <v>46568</v>
      </c>
      <c r="G44" s="8">
        <f t="shared" ca="1" si="1"/>
        <v>267</v>
      </c>
      <c r="H44" s="8" t="str">
        <f ca="1">IF($L44="","",INDEX('Veri Merkezi'!$H$2:$H$1001,$L44))</f>
        <v>Yeşil</v>
      </c>
      <c r="I44" s="8" t="str">
        <f ca="1">IF($L44="","",INDEX('Veri Merkezi'!$R$2:$R$1001,$L44))</f>
        <v/>
      </c>
      <c r="J44" s="8" t="str">
        <f ca="1">IF($L44="","",INDEX('Veri Merkezi'!$S$2:$S$1001,$L44))</f>
        <v>A Liste</v>
      </c>
      <c r="K44" s="8" t="str">
        <f ca="1">IF($L44="","",INDEX('Veri Merkezi'!$U$2:$U$1001,$L44))</f>
        <v>Kanatlar</v>
      </c>
      <c r="L44" s="8">
        <f ca="1">IFERROR(MATCH(ROWS($L$4:L44),'Veri Merkezi'!$W$2:$W$1001,0),"")</f>
        <v>701</v>
      </c>
    </row>
    <row r="45" spans="1:12" ht="20" customHeight="1">
      <c r="A45" s="8">
        <f ca="1">IF($L45="","",ROWS($A$4:A45))</f>
        <v>42</v>
      </c>
      <c r="B45" s="8" t="str">
        <f ca="1">IF($L45="","",INDEX('Veri Merkezi'!$A$2:$A$1001,$L45))</f>
        <v>EMRE ERDOĞAN</v>
      </c>
      <c r="C45" s="8" t="str">
        <f ca="1">IF($L45="","",INDEX('Veri Merkezi'!$E$2:$E$1001,$L45))</f>
        <v>Kanat</v>
      </c>
      <c r="D45" s="8">
        <f ca="1">IF($L45="","",INDEX('Veri Merkezi'!$D$2:$D$1001,$L45))</f>
        <v>19</v>
      </c>
      <c r="E45" s="8" t="str">
        <f ca="1">IF($L45="","",INDEX('Veri Merkezi'!$F$2:$F$1001,$L45))</f>
        <v>1860 MUNIH</v>
      </c>
      <c r="F45" s="9">
        <f ca="1">IF($L45="","",INDEX('Veri Merkezi'!$G$2:$G$1001,$L45))</f>
        <v>46568</v>
      </c>
      <c r="G45" s="8">
        <f t="shared" ca="1" si="1"/>
        <v>267</v>
      </c>
      <c r="H45" s="8" t="str">
        <f ca="1">IF($L45="","",INDEX('Veri Merkezi'!$H$2:$H$1001,$L45))</f>
        <v>Sarı</v>
      </c>
      <c r="I45" s="8" t="str">
        <f ca="1">IF($L45="","",INDEX('Veri Merkezi'!$R$2:$R$1001,$L45))</f>
        <v/>
      </c>
      <c r="J45" s="8" t="str">
        <f ca="1">IF($L45="","",INDEX('Veri Merkezi'!$S$2:$S$1001,$L45))</f>
        <v>Takip</v>
      </c>
      <c r="K45" s="8" t="str">
        <f ca="1">IF($L45="","",INDEX('Veri Merkezi'!$U$2:$U$1001,$L45))</f>
        <v>Kanatlar</v>
      </c>
      <c r="L45" s="8">
        <f ca="1">IFERROR(MATCH(ROWS($L$4:L45),'Veri Merkezi'!$W$2:$W$1001,0),"")</f>
        <v>703</v>
      </c>
    </row>
    <row r="46" spans="1:12" ht="20" customHeight="1">
      <c r="A46" s="8">
        <f ca="1">IF($L46="","",ROWS($A$4:A46))</f>
        <v>43</v>
      </c>
      <c r="B46" s="8" t="str">
        <f ca="1">IF($L46="","",INDEX('Veri Merkezi'!$A$2:$A$1001,$L46))</f>
        <v>GONCALO SOUSA</v>
      </c>
      <c r="C46" s="8" t="str">
        <f ca="1">IF($L46="","",INDEX('Veri Merkezi'!$E$2:$E$1001,$L46))</f>
        <v>Kanat</v>
      </c>
      <c r="D46" s="8">
        <f ca="1">IF($L46="","",INDEX('Veri Merkezi'!$D$2:$D$1001,$L46))</f>
        <v>20</v>
      </c>
      <c r="E46" s="8" t="str">
        <f ca="1">IF($L46="","",INDEX('Veri Merkezi'!$F$2:$F$1001,$L46))</f>
        <v>KOCAELİSPOR/PORTO</v>
      </c>
      <c r="F46" s="9">
        <f ca="1">IF($L46="","",INDEX('Veri Merkezi'!$G$2:$G$1001,$L46))</f>
        <v>46568</v>
      </c>
      <c r="G46" s="8">
        <f t="shared" ca="1" si="1"/>
        <v>267</v>
      </c>
      <c r="H46" s="8" t="str">
        <f ca="1">IF($L46="","",INDEX('Veri Merkezi'!$H$2:$H$1001,$L46))</f>
        <v>Sarı</v>
      </c>
      <c r="I46" s="8" t="str">
        <f ca="1">IF($L46="","",INDEX('Veri Merkezi'!$R$2:$R$1001,$L46))</f>
        <v/>
      </c>
      <c r="J46" s="8" t="str">
        <f ca="1">IF($L46="","",INDEX('Veri Merkezi'!$S$2:$S$1001,$L46))</f>
        <v>Tekrar İzle</v>
      </c>
      <c r="K46" s="8" t="str">
        <f ca="1">IF($L46="","",INDEX('Veri Merkezi'!$U$2:$U$1001,$L46))</f>
        <v>Kanatlar</v>
      </c>
      <c r="L46" s="8">
        <f ca="1">IFERROR(MATCH(ROWS($L$4:L46),'Veri Merkezi'!$W$2:$W$1001,0),"")</f>
        <v>704</v>
      </c>
    </row>
    <row r="47" spans="1:12" ht="20" customHeight="1">
      <c r="A47" s="8">
        <f ca="1">IF($L47="","",ROWS($A$4:A47))</f>
        <v>44</v>
      </c>
      <c r="B47" s="8" t="str">
        <f ca="1">IF($L47="","",INDEX('Veri Merkezi'!$A$2:$A$1001,$L47))</f>
        <v>SAM SILVERE</v>
      </c>
      <c r="C47" s="8" t="str">
        <f ca="1">IF($L47="","",INDEX('Veri Merkezi'!$E$2:$E$1001,$L47))</f>
        <v>Kanat</v>
      </c>
      <c r="D47" s="8">
        <f ca="1">IF($L47="","",INDEX('Veri Merkezi'!$D$2:$D$1001,$L47))</f>
        <v>25</v>
      </c>
      <c r="E47" s="8" t="str">
        <f ca="1">IF($L47="","",INDEX('Veri Merkezi'!$F$2:$F$1001,$L47))</f>
        <v>MK DONS</v>
      </c>
      <c r="F47" s="9">
        <f ca="1">IF($L47="","",INDEX('Veri Merkezi'!$G$2:$G$1001,$L47))</f>
        <v>46568</v>
      </c>
      <c r="G47" s="8">
        <f t="shared" ca="1" si="1"/>
        <v>267</v>
      </c>
      <c r="H47" s="8" t="str">
        <f ca="1">IF($L47="","",INDEX('Veri Merkezi'!$H$2:$H$1001,$L47))</f>
        <v>Kırmızı</v>
      </c>
      <c r="I47" s="8" t="str">
        <f ca="1">IF($L47="","",INDEX('Veri Merkezi'!$R$2:$R$1001,$L47))</f>
        <v/>
      </c>
      <c r="J47" s="8" t="str">
        <f ca="1">IF($L47="","",INDEX('Veri Merkezi'!$S$2:$S$1001,$L47))</f>
        <v>Ele</v>
      </c>
      <c r="K47" s="8" t="str">
        <f ca="1">IF($L47="","",INDEX('Veri Merkezi'!$U$2:$U$1001,$L47))</f>
        <v>Kanatlar</v>
      </c>
      <c r="L47" s="8">
        <f ca="1">IFERROR(MATCH(ROWS($L$4:L47),'Veri Merkezi'!$W$2:$W$1001,0),"")</f>
        <v>707</v>
      </c>
    </row>
    <row r="48" spans="1:12" ht="20" customHeight="1">
      <c r="A48" s="8">
        <f ca="1">IF($L48="","",ROWS($A$4:A48))</f>
        <v>45</v>
      </c>
      <c r="B48" s="8" t="str">
        <f ca="1">IF($L48="","",INDEX('Veri Merkezi'!$A$2:$A$1001,$L48))</f>
        <v>OSWIN APPOLLİS</v>
      </c>
      <c r="C48" s="8" t="str">
        <f ca="1">IF($L48="","",INDEX('Veri Merkezi'!$E$2:$E$1001,$L48))</f>
        <v>Kanat</v>
      </c>
      <c r="D48" s="8">
        <f ca="1">IF($L48="","",INDEX('Veri Merkezi'!$D$2:$D$1001,$L48))</f>
        <v>25</v>
      </c>
      <c r="E48" s="8" t="str">
        <f ca="1">IF($L48="","",INDEX('Veri Merkezi'!$F$2:$F$1001,$L48))</f>
        <v>PİRATES</v>
      </c>
      <c r="F48" s="9">
        <f ca="1">IF($L48="","",INDEX('Veri Merkezi'!$G$2:$G$1001,$L48))</f>
        <v>46568</v>
      </c>
      <c r="G48" s="8">
        <f t="shared" ca="1" si="1"/>
        <v>267</v>
      </c>
      <c r="H48" s="8" t="str">
        <f ca="1">IF($L48="","",INDEX('Veri Merkezi'!$H$2:$H$1001,$L48))</f>
        <v>Sarı</v>
      </c>
      <c r="I48" s="8" t="str">
        <f ca="1">IF($L48="","",INDEX('Veri Merkezi'!$R$2:$R$1001,$L48))</f>
        <v/>
      </c>
      <c r="J48" s="8" t="str">
        <f ca="1">IF($L48="","",INDEX('Veri Merkezi'!$S$2:$S$1001,$L48))</f>
        <v>Tekrar İzle</v>
      </c>
      <c r="K48" s="8" t="str">
        <f ca="1">IF($L48="","",INDEX('Veri Merkezi'!$U$2:$U$1001,$L48))</f>
        <v>Kanatlar</v>
      </c>
      <c r="L48" s="8">
        <f ca="1">IFERROR(MATCH(ROWS($L$4:L48),'Veri Merkezi'!$W$2:$W$1001,0),"")</f>
        <v>716</v>
      </c>
    </row>
    <row r="49" spans="1:12" ht="20" customHeight="1">
      <c r="A49" s="8">
        <f ca="1">IF($L49="","",ROWS($A$4:A49))</f>
        <v>46</v>
      </c>
      <c r="B49" s="8" t="str">
        <f ca="1">IF($L49="","",INDEX('Veri Merkezi'!$A$2:$A$1001,$L49))</f>
        <v>BENJAMIN BOAKYE</v>
      </c>
      <c r="C49" s="8" t="str">
        <f ca="1">IF($L49="","",INDEX('Veri Merkezi'!$E$2:$E$1001,$L49))</f>
        <v>Kanat</v>
      </c>
      <c r="D49" s="8">
        <f ca="1">IF($L49="","",INDEX('Veri Merkezi'!$D$2:$D$1001,$L49))</f>
        <v>21</v>
      </c>
      <c r="E49" s="8" t="str">
        <f ca="1">IF($L49="","",INDEX('Veri Merkezi'!$F$2:$F$1001,$L49))</f>
        <v>BIELEFELD</v>
      </c>
      <c r="F49" s="9">
        <f ca="1">IF($L49="","",INDEX('Veri Merkezi'!$G$2:$G$1001,$L49))</f>
        <v>46568</v>
      </c>
      <c r="G49" s="8">
        <f t="shared" ca="1" si="1"/>
        <v>267</v>
      </c>
      <c r="H49" s="8" t="str">
        <f ca="1">IF($L49="","",INDEX('Veri Merkezi'!$H$2:$H$1001,$L49))</f>
        <v>Kırmızı</v>
      </c>
      <c r="I49" s="8" t="str">
        <f ca="1">IF($L49="","",INDEX('Veri Merkezi'!$R$2:$R$1001,$L49))</f>
        <v/>
      </c>
      <c r="J49" s="8" t="str">
        <f ca="1">IF($L49="","",INDEX('Veri Merkezi'!$S$2:$S$1001,$L49))</f>
        <v>Ele</v>
      </c>
      <c r="K49" s="8" t="str">
        <f ca="1">IF($L49="","",INDEX('Veri Merkezi'!$U$2:$U$1001,$L49))</f>
        <v>Kanatlar</v>
      </c>
      <c r="L49" s="8">
        <f ca="1">IFERROR(MATCH(ROWS($L$4:L49),'Veri Merkezi'!$W$2:$W$1001,0),"")</f>
        <v>717</v>
      </c>
    </row>
    <row r="50" spans="1:12" ht="20" customHeight="1">
      <c r="A50" s="8">
        <f ca="1">IF($L50="","",ROWS($A$4:A50))</f>
        <v>47</v>
      </c>
      <c r="B50" s="8" t="str">
        <f ca="1">IF($L50="","",INDEX('Veri Merkezi'!$A$2:$A$1001,$L50))</f>
        <v>JONATHAN IKONE</v>
      </c>
      <c r="C50" s="8" t="str">
        <f ca="1">IF($L50="","",INDEX('Veri Merkezi'!$E$2:$E$1001,$L50))</f>
        <v>Kanat</v>
      </c>
      <c r="D50" s="8">
        <f ca="1">IF($L50="","",INDEX('Veri Merkezi'!$D$2:$D$1001,$L50))</f>
        <v>28</v>
      </c>
      <c r="E50" s="8" t="str">
        <f ca="1">IF($L50="","",INDEX('Veri Merkezi'!$F$2:$F$1001,$L50))</f>
        <v>PARIS FC</v>
      </c>
      <c r="F50" s="9">
        <f ca="1">IF($L50="","",INDEX('Veri Merkezi'!$G$2:$G$1001,$L50))</f>
        <v>46568</v>
      </c>
      <c r="G50" s="8">
        <f t="shared" ca="1" si="1"/>
        <v>267</v>
      </c>
      <c r="H50" s="8" t="str">
        <f ca="1">IF($L50="","",INDEX('Veri Merkezi'!$H$2:$H$1001,$L50))</f>
        <v>Sarı</v>
      </c>
      <c r="I50" s="8" t="str">
        <f ca="1">IF($L50="","",INDEX('Veri Merkezi'!$R$2:$R$1001,$L50))</f>
        <v/>
      </c>
      <c r="J50" s="8" t="str">
        <f ca="1">IF($L50="","",INDEX('Veri Merkezi'!$S$2:$S$1001,$L50))</f>
        <v>Takip</v>
      </c>
      <c r="K50" s="8" t="str">
        <f ca="1">IF($L50="","",INDEX('Veri Merkezi'!$U$2:$U$1001,$L50))</f>
        <v>Kanatlar</v>
      </c>
      <c r="L50" s="8">
        <f ca="1">IFERROR(MATCH(ROWS($L$4:L50),'Veri Merkezi'!$W$2:$W$1001,0),"")</f>
        <v>719</v>
      </c>
    </row>
    <row r="51" spans="1:12" ht="20" customHeight="1">
      <c r="A51" s="8">
        <f ca="1">IF($L51="","",ROWS($A$4:A51))</f>
        <v>48</v>
      </c>
      <c r="B51" s="8" t="str">
        <f ca="1">IF($L51="","",INDEX('Veri Merkezi'!$A$2:$A$1001,$L51))</f>
        <v>THIAGO CRUZ FERNANDEZ</v>
      </c>
      <c r="C51" s="8" t="str">
        <f ca="1">IF($L51="","",INDEX('Veri Merkezi'!$E$2:$E$1001,$L51))</f>
        <v>Kanat</v>
      </c>
      <c r="D51" s="8">
        <f ca="1">IF($L51="","",INDEX('Veri Merkezi'!$D$2:$D$1001,$L51))</f>
        <v>22</v>
      </c>
      <c r="E51" s="8" t="str">
        <f ca="1">IF($L51="","",INDEX('Veri Merkezi'!$F$2:$F$1001,$L51))</f>
        <v>LEVANTE</v>
      </c>
      <c r="F51" s="9">
        <f ca="1">IF($L51="","",INDEX('Veri Merkezi'!$G$2:$G$1001,$L51))</f>
        <v>46568</v>
      </c>
      <c r="G51" s="8">
        <f t="shared" ca="1" si="1"/>
        <v>267</v>
      </c>
      <c r="H51" s="8" t="str">
        <f ca="1">IF($L51="","",INDEX('Veri Merkezi'!$H$2:$H$1001,$L51))</f>
        <v>Yeşil</v>
      </c>
      <c r="I51" s="8" t="str">
        <f ca="1">IF($L51="","",INDEX('Veri Merkezi'!$R$2:$R$1001,$L51))</f>
        <v/>
      </c>
      <c r="J51" s="8" t="str">
        <f ca="1">IF($L51="","",INDEX('Veri Merkezi'!$S$2:$S$1001,$L51))</f>
        <v>B Liste</v>
      </c>
      <c r="K51" s="8" t="str">
        <f ca="1">IF($L51="","",INDEX('Veri Merkezi'!$U$2:$U$1001,$L51))</f>
        <v>Kanatlar</v>
      </c>
      <c r="L51" s="8">
        <f ca="1">IFERROR(MATCH(ROWS($L$4:L51),'Veri Merkezi'!$W$2:$W$1001,0),"")</f>
        <v>720</v>
      </c>
    </row>
    <row r="52" spans="1:12" ht="20" customHeight="1">
      <c r="A52" s="8">
        <f ca="1">IF($L52="","",ROWS($A$4:A52))</f>
        <v>49</v>
      </c>
      <c r="B52" s="8" t="str">
        <f ca="1">IF($L52="","",INDEX('Veri Merkezi'!$A$2:$A$1001,$L52))</f>
        <v>AMINE HARIT</v>
      </c>
      <c r="C52" s="8" t="str">
        <f ca="1">IF($L52="","",INDEX('Veri Merkezi'!$E$2:$E$1001,$L52))</f>
        <v>Kanat</v>
      </c>
      <c r="D52" s="8">
        <f ca="1">IF($L52="","",INDEX('Veri Merkezi'!$D$2:$D$1001,$L52))</f>
        <v>29</v>
      </c>
      <c r="E52" s="8" t="str">
        <f ca="1">IF($L52="","",INDEX('Veri Merkezi'!$F$2:$F$1001,$L52))</f>
        <v>OLYMPIQUE MARSEILLE</v>
      </c>
      <c r="F52" s="9">
        <f ca="1">IF($L52="","",INDEX('Veri Merkezi'!$G$2:$G$1001,$L52))</f>
        <v>46568</v>
      </c>
      <c r="G52" s="8">
        <f t="shared" ca="1" si="1"/>
        <v>267</v>
      </c>
      <c r="H52" s="8" t="str">
        <f ca="1">IF($L52="","",INDEX('Veri Merkezi'!$H$2:$H$1001,$L52))</f>
        <v/>
      </c>
      <c r="I52" s="8" t="str">
        <f ca="1">IF($L52="","",INDEX('Veri Merkezi'!$R$2:$R$1001,$L52))</f>
        <v/>
      </c>
      <c r="J52" s="8" t="str">
        <f ca="1">IF($L52="","",INDEX('Veri Merkezi'!$S$2:$S$1001,$L52))</f>
        <v/>
      </c>
      <c r="K52" s="8" t="str">
        <f ca="1">IF($L52="","",INDEX('Veri Merkezi'!$U$2:$U$1001,$L52))</f>
        <v>Kanatlar</v>
      </c>
      <c r="L52" s="8">
        <f ca="1">IFERROR(MATCH(ROWS($L$4:L52),'Veri Merkezi'!$W$2:$W$1001,0),"")</f>
        <v>727</v>
      </c>
    </row>
    <row r="53" spans="1:12" ht="20" customHeight="1">
      <c r="A53" s="8">
        <f ca="1">IF($L53="","",ROWS($A$4:A53))</f>
        <v>50</v>
      </c>
      <c r="B53" s="8" t="str">
        <f ca="1">IF($L53="","",INDEX('Veri Merkezi'!$A$2:$A$1001,$L53))</f>
        <v>DIEGO LAINEZ</v>
      </c>
      <c r="C53" s="8" t="str">
        <f ca="1">IF($L53="","",INDEX('Veri Merkezi'!$E$2:$E$1001,$L53))</f>
        <v>Kanat</v>
      </c>
      <c r="D53" s="8">
        <f ca="1">IF($L53="","",INDEX('Veri Merkezi'!$D$2:$D$1001,$L53))</f>
        <v>26</v>
      </c>
      <c r="E53" s="8" t="str">
        <f ca="1">IF($L53="","",INDEX('Veri Merkezi'!$F$2:$F$1001,$L53))</f>
        <v>TIGRES UANL</v>
      </c>
      <c r="F53" s="9">
        <f ca="1">IF($L53="","",INDEX('Veri Merkezi'!$G$2:$G$1001,$L53))</f>
        <v>46568</v>
      </c>
      <c r="G53" s="8">
        <f t="shared" ca="1" si="1"/>
        <v>267</v>
      </c>
      <c r="H53" s="8" t="str">
        <f ca="1">IF($L53="","",INDEX('Veri Merkezi'!$H$2:$H$1001,$L53))</f>
        <v/>
      </c>
      <c r="I53" s="8" t="str">
        <f ca="1">IF($L53="","",INDEX('Veri Merkezi'!$R$2:$R$1001,$L53))</f>
        <v/>
      </c>
      <c r="J53" s="8" t="str">
        <f ca="1">IF($L53="","",INDEX('Veri Merkezi'!$S$2:$S$1001,$L53))</f>
        <v/>
      </c>
      <c r="K53" s="8" t="str">
        <f ca="1">IF($L53="","",INDEX('Veri Merkezi'!$U$2:$U$1001,$L53))</f>
        <v>Kanatlar</v>
      </c>
      <c r="L53" s="8">
        <f ca="1">IFERROR(MATCH(ROWS($L$4:L53),'Veri Merkezi'!$W$2:$W$1001,0),"")</f>
        <v>728</v>
      </c>
    </row>
    <row r="54" spans="1:12" ht="20" customHeight="1">
      <c r="A54" s="8">
        <f ca="1">IF($L54="","",ROWS($A$4:A54))</f>
        <v>51</v>
      </c>
      <c r="B54" s="8" t="str">
        <f ca="1">IF($L54="","",INDEX('Veri Merkezi'!$A$2:$A$1001,$L54))</f>
        <v>YOUNES TAHA</v>
      </c>
      <c r="C54" s="8" t="str">
        <f ca="1">IF($L54="","",INDEX('Veri Merkezi'!$E$2:$E$1001,$L54))</f>
        <v>Kanat</v>
      </c>
      <c r="D54" s="8">
        <f ca="1">IF($L54="","",INDEX('Veri Merkezi'!$D$2:$D$1001,$L54))</f>
        <v>23</v>
      </c>
      <c r="E54" s="8" t="str">
        <f ca="1">IF($L54="","",INDEX('Veri Merkezi'!$F$2:$F$1001,$L54))</f>
        <v>FC TWENTE</v>
      </c>
      <c r="F54" s="9">
        <f ca="1">IF($L54="","",INDEX('Veri Merkezi'!$G$2:$G$1001,$L54))</f>
        <v>46568</v>
      </c>
      <c r="G54" s="8">
        <f t="shared" ca="1" si="1"/>
        <v>267</v>
      </c>
      <c r="H54" s="8" t="str">
        <f ca="1">IF($L54="","",INDEX('Veri Merkezi'!$H$2:$H$1001,$L54))</f>
        <v/>
      </c>
      <c r="I54" s="8" t="str">
        <f ca="1">IF($L54="","",INDEX('Veri Merkezi'!$R$2:$R$1001,$L54))</f>
        <v/>
      </c>
      <c r="J54" s="8" t="str">
        <f ca="1">IF($L54="","",INDEX('Veri Merkezi'!$S$2:$S$1001,$L54))</f>
        <v/>
      </c>
      <c r="K54" s="8" t="str">
        <f ca="1">IF($L54="","",INDEX('Veri Merkezi'!$U$2:$U$1001,$L54))</f>
        <v>Kanatlar</v>
      </c>
      <c r="L54" s="8">
        <f ca="1">IFERROR(MATCH(ROWS($L$4:L54),'Veri Merkezi'!$W$2:$W$1001,0),"")</f>
        <v>729</v>
      </c>
    </row>
    <row r="55" spans="1:12" ht="20" customHeight="1">
      <c r="A55" s="8">
        <f ca="1">IF($L55="","",ROWS($A$4:A55))</f>
        <v>52</v>
      </c>
      <c r="B55" s="8" t="str">
        <f ca="1">IF($L55="","",INDEX('Veri Merkezi'!$A$2:$A$1001,$L55))</f>
        <v>RONALD</v>
      </c>
      <c r="C55" s="8" t="str">
        <f ca="1">IF($L55="","",INDEX('Veri Merkezi'!$E$2:$E$1001,$L55))</f>
        <v>Kanat</v>
      </c>
      <c r="D55" s="8">
        <f ca="1">IF($L55="","",INDEX('Veri Merkezi'!$D$2:$D$1001,$L55))</f>
        <v>25</v>
      </c>
      <c r="E55" s="8" t="str">
        <f ca="1">IF($L55="","",INDEX('Veri Merkezi'!$F$2:$F$1001,$L55))</f>
        <v>SWANSEA CITY</v>
      </c>
      <c r="F55" s="9">
        <f ca="1">IF($L55="","",INDEX('Veri Merkezi'!$G$2:$G$1001,$L55))</f>
        <v>46568</v>
      </c>
      <c r="G55" s="8">
        <f t="shared" ca="1" si="1"/>
        <v>267</v>
      </c>
      <c r="H55" s="8" t="str">
        <f ca="1">IF($L55="","",INDEX('Veri Merkezi'!$H$2:$H$1001,$L55))</f>
        <v/>
      </c>
      <c r="I55" s="8" t="str">
        <f ca="1">IF($L55="","",INDEX('Veri Merkezi'!$R$2:$R$1001,$L55))</f>
        <v/>
      </c>
      <c r="J55" s="8" t="str">
        <f ca="1">IF($L55="","",INDEX('Veri Merkezi'!$S$2:$S$1001,$L55))</f>
        <v/>
      </c>
      <c r="K55" s="8" t="str">
        <f ca="1">IF($L55="","",INDEX('Veri Merkezi'!$U$2:$U$1001,$L55))</f>
        <v>Kanatlar</v>
      </c>
      <c r="L55" s="8">
        <f ca="1">IFERROR(MATCH(ROWS($L$4:L55),'Veri Merkezi'!$W$2:$W$1001,0),"")</f>
        <v>735</v>
      </c>
    </row>
    <row r="56" spans="1:12" ht="20" customHeight="1">
      <c r="A56" s="8">
        <f ca="1">IF($L56="","",ROWS($A$4:A56))</f>
        <v>53</v>
      </c>
      <c r="B56" s="8" t="str">
        <f ca="1">IF($L56="","",INDEX('Veri Merkezi'!$A$2:$A$1001,$L56))</f>
        <v>ADRIAN BLAKE</v>
      </c>
      <c r="C56" s="8" t="str">
        <f ca="1">IF($L56="","",INDEX('Veri Merkezi'!$E$2:$E$1001,$L56))</f>
        <v>Kanat</v>
      </c>
      <c r="D56" s="8">
        <f ca="1">IF($L56="","",INDEX('Veri Merkezi'!$D$2:$D$1001,$L56))</f>
        <v>21</v>
      </c>
      <c r="E56" s="8" t="str">
        <f ca="1">IF($L56="","",INDEX('Veri Merkezi'!$F$2:$F$1001,$L56))</f>
        <v>FC UTRECHT</v>
      </c>
      <c r="F56" s="9">
        <f ca="1">IF($L56="","",INDEX('Veri Merkezi'!$G$2:$G$1001,$L56))</f>
        <v>46568</v>
      </c>
      <c r="G56" s="8">
        <f t="shared" ca="1" si="1"/>
        <v>267</v>
      </c>
      <c r="H56" s="8" t="str">
        <f ca="1">IF($L56="","",INDEX('Veri Merkezi'!$H$2:$H$1001,$L56))</f>
        <v/>
      </c>
      <c r="I56" s="8" t="str">
        <f ca="1">IF($L56="","",INDEX('Veri Merkezi'!$R$2:$R$1001,$L56))</f>
        <v/>
      </c>
      <c r="J56" s="8" t="str">
        <f ca="1">IF($L56="","",INDEX('Veri Merkezi'!$S$2:$S$1001,$L56))</f>
        <v/>
      </c>
      <c r="K56" s="8" t="str">
        <f ca="1">IF($L56="","",INDEX('Veri Merkezi'!$U$2:$U$1001,$L56))</f>
        <v>Kanatlar</v>
      </c>
      <c r="L56" s="8">
        <f ca="1">IFERROR(MATCH(ROWS($L$4:L56),'Veri Merkezi'!$W$2:$W$1001,0),"")</f>
        <v>764</v>
      </c>
    </row>
    <row r="57" spans="1:12" ht="20" customHeight="1">
      <c r="A57" s="8">
        <f ca="1">IF($L57="","",ROWS($A$4:A57))</f>
        <v>54</v>
      </c>
      <c r="B57" s="8" t="str">
        <f ca="1">IF($L57="","",INDEX('Veri Merkezi'!$A$2:$A$1001,$L57))</f>
        <v>IKER BRAVO</v>
      </c>
      <c r="C57" s="8" t="str">
        <f ca="1">IF($L57="","",INDEX('Veri Merkezi'!$E$2:$E$1001,$L57))</f>
        <v>Forvet</v>
      </c>
      <c r="D57" s="8">
        <f ca="1">IF($L57="","",INDEX('Veri Merkezi'!$D$2:$D$1001,$L57))</f>
        <v>21</v>
      </c>
      <c r="E57" s="8" t="str">
        <f ca="1">IF($L57="","",INDEX('Veri Merkezi'!$F$2:$F$1001,$L57))</f>
        <v>WATFORD</v>
      </c>
      <c r="F57" s="9">
        <f ca="1">IF($L57="","",INDEX('Veri Merkezi'!$G$2:$G$1001,$L57))</f>
        <v>46568</v>
      </c>
      <c r="G57" s="8">
        <f t="shared" ca="1" si="1"/>
        <v>267</v>
      </c>
      <c r="H57" s="8" t="str">
        <f ca="1">IF($L57="","",INDEX('Veri Merkezi'!$H$2:$H$1001,$L57))</f>
        <v>Sarı</v>
      </c>
      <c r="I57" s="8" t="str">
        <f ca="1">IF($L57="","",INDEX('Veri Merkezi'!$R$2:$R$1001,$L57))</f>
        <v/>
      </c>
      <c r="J57" s="8" t="str">
        <f ca="1">IF($L57="","",INDEX('Veri Merkezi'!$S$2:$S$1001,$L57))</f>
        <v>Tekrar İzle</v>
      </c>
      <c r="K57" s="8" t="str">
        <f ca="1">IF($L57="","",INDEX('Veri Merkezi'!$U$2:$U$1001,$L57))</f>
        <v>Forvetler</v>
      </c>
      <c r="L57" s="8">
        <f ca="1">IFERROR(MATCH(ROWS($L$4:L57),'Veri Merkezi'!$W$2:$W$1001,0),"")</f>
        <v>809</v>
      </c>
    </row>
    <row r="58" spans="1:12" ht="20" customHeight="1">
      <c r="A58" s="8">
        <f ca="1">IF($L58="","",ROWS($A$4:A58))</f>
        <v>55</v>
      </c>
      <c r="B58" s="8" t="str">
        <f ca="1">IF($L58="","",INDEX('Veri Merkezi'!$A$2:$A$1001,$L58))</f>
        <v>GIFT ORBAN</v>
      </c>
      <c r="C58" s="8" t="str">
        <f ca="1">IF($L58="","",INDEX('Veri Merkezi'!$E$2:$E$1001,$L58))</f>
        <v>Forvet</v>
      </c>
      <c r="D58" s="8">
        <f ca="1">IF($L58="","",INDEX('Veri Merkezi'!$D$2:$D$1001,$L58))</f>
        <v>24</v>
      </c>
      <c r="E58" s="8" t="str">
        <f ca="1">IF($L58="","",INDEX('Veri Merkezi'!$F$2:$F$1001,$L58))</f>
        <v>AMED</v>
      </c>
      <c r="F58" s="9">
        <f ca="1">IF($L58="","",INDEX('Veri Merkezi'!$G$2:$G$1001,$L58))</f>
        <v>46568</v>
      </c>
      <c r="G58" s="8">
        <f t="shared" ca="1" si="1"/>
        <v>267</v>
      </c>
      <c r="H58" s="8" t="str">
        <f ca="1">IF($L58="","",INDEX('Veri Merkezi'!$H$2:$H$1001,$L58))</f>
        <v>Kırmızı</v>
      </c>
      <c r="I58" s="8" t="str">
        <f ca="1">IF($L58="","",INDEX('Veri Merkezi'!$R$2:$R$1001,$L58))</f>
        <v/>
      </c>
      <c r="J58" s="8" t="str">
        <f ca="1">IF($L58="","",INDEX('Veri Merkezi'!$S$2:$S$1001,$L58))</f>
        <v>Ele</v>
      </c>
      <c r="K58" s="8" t="str">
        <f ca="1">IF($L58="","",INDEX('Veri Merkezi'!$U$2:$U$1001,$L58))</f>
        <v>Forvetler</v>
      </c>
      <c r="L58" s="8">
        <f ca="1">IFERROR(MATCH(ROWS($L$4:L58),'Veri Merkezi'!$W$2:$W$1001,0),"")</f>
        <v>813</v>
      </c>
    </row>
    <row r="59" spans="1:12" ht="20" customHeight="1">
      <c r="A59" s="8">
        <f ca="1">IF($L59="","",ROWS($A$4:A59))</f>
        <v>56</v>
      </c>
      <c r="B59" s="8" t="str">
        <f ca="1">IF($L59="","",INDEX('Veri Merkezi'!$A$2:$A$1001,$L59))</f>
        <v>RAFA MIR</v>
      </c>
      <c r="C59" s="8" t="str">
        <f ca="1">IF($L59="","",INDEX('Veri Merkezi'!$E$2:$E$1001,$L59))</f>
        <v>Forvet</v>
      </c>
      <c r="D59" s="8">
        <f ca="1">IF($L59="","",INDEX('Veri Merkezi'!$D$2:$D$1001,$L59))</f>
        <v>29</v>
      </c>
      <c r="E59" s="8" t="str">
        <f ca="1">IF($L59="","",INDEX('Veri Merkezi'!$F$2:$F$1001,$L59))</f>
        <v>ARIS</v>
      </c>
      <c r="F59" s="9">
        <f ca="1">IF($L59="","",INDEX('Veri Merkezi'!$G$2:$G$1001,$L59))</f>
        <v>46568</v>
      </c>
      <c r="G59" s="8">
        <f t="shared" ca="1" si="1"/>
        <v>267</v>
      </c>
      <c r="H59" s="8" t="str">
        <f ca="1">IF($L59="","",INDEX('Veri Merkezi'!$H$2:$H$1001,$L59))</f>
        <v>Yeşil</v>
      </c>
      <c r="I59" s="8" t="str">
        <f ca="1">IF($L59="","",INDEX('Veri Merkezi'!$R$2:$R$1001,$L59))</f>
        <v/>
      </c>
      <c r="J59" s="8" t="str">
        <f ca="1">IF($L59="","",INDEX('Veri Merkezi'!$S$2:$S$1001,$L59))</f>
        <v>B Liste</v>
      </c>
      <c r="K59" s="8" t="str">
        <f ca="1">IF($L59="","",INDEX('Veri Merkezi'!$U$2:$U$1001,$L59))</f>
        <v>Forvetler</v>
      </c>
      <c r="L59" s="8">
        <f ca="1">IFERROR(MATCH(ROWS($L$4:L59),'Veri Merkezi'!$W$2:$W$1001,0),"")</f>
        <v>814</v>
      </c>
    </row>
    <row r="60" spans="1:12" ht="20" customHeight="1">
      <c r="A60" s="8">
        <f ca="1">IF($L60="","",ROWS($A$4:A60))</f>
        <v>57</v>
      </c>
      <c r="B60" s="8" t="str">
        <f ca="1">IF($L60="","",INDEX('Veri Merkezi'!$A$2:$A$1001,$L60))</f>
        <v>CHRISTIAN BENTEKE</v>
      </c>
      <c r="C60" s="8" t="str">
        <f ca="1">IF($L60="","",INDEX('Veri Merkezi'!$E$2:$E$1001,$L60))</f>
        <v>Forvet</v>
      </c>
      <c r="D60" s="8">
        <f ca="1">IF($L60="","",INDEX('Veri Merkezi'!$D$2:$D$1001,$L60))</f>
        <v>35</v>
      </c>
      <c r="E60" s="8" t="str">
        <f ca="1">IF($L60="","",INDEX('Veri Merkezi'!$F$2:$F$1001,$L60))</f>
        <v>AL WAHDA</v>
      </c>
      <c r="F60" s="9">
        <f ca="1">IF($L60="","",INDEX('Veri Merkezi'!$G$2:$G$1001,$L60))</f>
        <v>46568</v>
      </c>
      <c r="G60" s="8">
        <f t="shared" ca="1" si="1"/>
        <v>267</v>
      </c>
      <c r="H60" s="8" t="str">
        <f ca="1">IF($L60="","",INDEX('Veri Merkezi'!$H$2:$H$1001,$L60))</f>
        <v>Kırmızı</v>
      </c>
      <c r="I60" s="8" t="str">
        <f ca="1">IF($L60="","",INDEX('Veri Merkezi'!$R$2:$R$1001,$L60))</f>
        <v/>
      </c>
      <c r="J60" s="8" t="str">
        <f ca="1">IF($L60="","",INDEX('Veri Merkezi'!$S$2:$S$1001,$L60))</f>
        <v>Ele</v>
      </c>
      <c r="K60" s="8" t="str">
        <f ca="1">IF($L60="","",INDEX('Veri Merkezi'!$U$2:$U$1001,$L60))</f>
        <v>Forvetler</v>
      </c>
      <c r="L60" s="8">
        <f ca="1">IFERROR(MATCH(ROWS($L$4:L60),'Veri Merkezi'!$W$2:$W$1001,0),"")</f>
        <v>817</v>
      </c>
    </row>
    <row r="61" spans="1:12" ht="20" customHeight="1">
      <c r="A61" s="8" t="str">
        <f ca="1">IF($L61="","",ROWS($A$4:A61))</f>
        <v/>
      </c>
      <c r="B61" s="8" t="str">
        <f ca="1">IF($L61="","",INDEX('Veri Merkezi'!$A$2:$A$1001,$L61))</f>
        <v/>
      </c>
      <c r="C61" s="8" t="str">
        <f ca="1">IF($L61="","",INDEX('Veri Merkezi'!$E$2:$E$1001,$L61))</f>
        <v/>
      </c>
      <c r="D61" s="8" t="str">
        <f ca="1">IF($L61="","",INDEX('Veri Merkezi'!$D$2:$D$1001,$L61))</f>
        <v/>
      </c>
      <c r="E61" s="8" t="str">
        <f ca="1">IF($L61="","",INDEX('Veri Merkezi'!$F$2:$F$1001,$L61))</f>
        <v/>
      </c>
      <c r="F61" s="9" t="str">
        <f ca="1">IF($L61="","",INDEX('Veri Merkezi'!$G$2:$G$1001,$L61))</f>
        <v/>
      </c>
      <c r="G61" s="8" t="str">
        <f t="shared" ca="1" si="1"/>
        <v/>
      </c>
      <c r="H61" s="8" t="str">
        <f ca="1">IF($L61="","",INDEX('Veri Merkezi'!$H$2:$H$1001,$L61))</f>
        <v/>
      </c>
      <c r="I61" s="8" t="str">
        <f ca="1">IF($L61="","",INDEX('Veri Merkezi'!$R$2:$R$1001,$L61))</f>
        <v/>
      </c>
      <c r="J61" s="8" t="str">
        <f ca="1">IF($L61="","",INDEX('Veri Merkezi'!$S$2:$S$1001,$L61))</f>
        <v/>
      </c>
      <c r="K61" s="8" t="str">
        <f ca="1">IF($L61="","",INDEX('Veri Merkezi'!$U$2:$U$1001,$L61))</f>
        <v/>
      </c>
      <c r="L61" s="8" t="str">
        <f ca="1">IFERROR(MATCH(ROWS($L$4:L61),'Veri Merkezi'!$W$2:$W$1001,0),"")</f>
        <v/>
      </c>
    </row>
    <row r="62" spans="1:12" ht="20" customHeight="1">
      <c r="A62" s="8" t="str">
        <f ca="1">IF($L62="","",ROWS($A$4:A62))</f>
        <v/>
      </c>
      <c r="B62" s="8" t="str">
        <f ca="1">IF($L62="","",INDEX('Veri Merkezi'!$A$2:$A$1001,$L62))</f>
        <v/>
      </c>
      <c r="C62" s="8" t="str">
        <f ca="1">IF($L62="","",INDEX('Veri Merkezi'!$E$2:$E$1001,$L62))</f>
        <v/>
      </c>
      <c r="D62" s="8" t="str">
        <f ca="1">IF($L62="","",INDEX('Veri Merkezi'!$D$2:$D$1001,$L62))</f>
        <v/>
      </c>
      <c r="E62" s="8" t="str">
        <f ca="1">IF($L62="","",INDEX('Veri Merkezi'!$F$2:$F$1001,$L62))</f>
        <v/>
      </c>
      <c r="F62" s="9" t="str">
        <f ca="1">IF($L62="","",INDEX('Veri Merkezi'!$G$2:$G$1001,$L62))</f>
        <v/>
      </c>
      <c r="G62" s="8" t="str">
        <f t="shared" ca="1" si="1"/>
        <v/>
      </c>
      <c r="H62" s="8" t="str">
        <f ca="1">IF($L62="","",INDEX('Veri Merkezi'!$H$2:$H$1001,$L62))</f>
        <v/>
      </c>
      <c r="I62" s="8" t="str">
        <f ca="1">IF($L62="","",INDEX('Veri Merkezi'!$R$2:$R$1001,$L62))</f>
        <v/>
      </c>
      <c r="J62" s="8" t="str">
        <f ca="1">IF($L62="","",INDEX('Veri Merkezi'!$S$2:$S$1001,$L62))</f>
        <v/>
      </c>
      <c r="K62" s="8" t="str">
        <f ca="1">IF($L62="","",INDEX('Veri Merkezi'!$U$2:$U$1001,$L62))</f>
        <v/>
      </c>
      <c r="L62" s="8" t="str">
        <f ca="1">IFERROR(MATCH(ROWS($L$4:L62),'Veri Merkezi'!$W$2:$W$1001,0),"")</f>
        <v/>
      </c>
    </row>
    <row r="63" spans="1:12" ht="20" customHeight="1">
      <c r="A63" s="8" t="str">
        <f ca="1">IF($L63="","",ROWS($A$4:A63))</f>
        <v/>
      </c>
      <c r="B63" s="8" t="str">
        <f ca="1">IF($L63="","",INDEX('Veri Merkezi'!$A$2:$A$1001,$L63))</f>
        <v/>
      </c>
      <c r="C63" s="8" t="str">
        <f ca="1">IF($L63="","",INDEX('Veri Merkezi'!$E$2:$E$1001,$L63))</f>
        <v/>
      </c>
      <c r="D63" s="8" t="str">
        <f ca="1">IF($L63="","",INDEX('Veri Merkezi'!$D$2:$D$1001,$L63))</f>
        <v/>
      </c>
      <c r="E63" s="8" t="str">
        <f ca="1">IF($L63="","",INDEX('Veri Merkezi'!$F$2:$F$1001,$L63))</f>
        <v/>
      </c>
      <c r="F63" s="9" t="str">
        <f ca="1">IF($L63="","",INDEX('Veri Merkezi'!$G$2:$G$1001,$L63))</f>
        <v/>
      </c>
      <c r="G63" s="8" t="str">
        <f t="shared" ca="1" si="1"/>
        <v/>
      </c>
      <c r="H63" s="8" t="str">
        <f ca="1">IF($L63="","",INDEX('Veri Merkezi'!$H$2:$H$1001,$L63))</f>
        <v/>
      </c>
      <c r="I63" s="8" t="str">
        <f ca="1">IF($L63="","",INDEX('Veri Merkezi'!$R$2:$R$1001,$L63))</f>
        <v/>
      </c>
      <c r="J63" s="8" t="str">
        <f ca="1">IF($L63="","",INDEX('Veri Merkezi'!$S$2:$S$1001,$L63))</f>
        <v/>
      </c>
      <c r="K63" s="8" t="str">
        <f ca="1">IF($L63="","",INDEX('Veri Merkezi'!$U$2:$U$1001,$L63))</f>
        <v/>
      </c>
      <c r="L63" s="8" t="str">
        <f ca="1">IFERROR(MATCH(ROWS($L$4:L63),'Veri Merkezi'!$W$2:$W$1001,0),"")</f>
        <v/>
      </c>
    </row>
    <row r="64" spans="1:12" ht="20" customHeight="1">
      <c r="A64" s="8" t="str">
        <f ca="1">IF($L64="","",ROWS($A$4:A64))</f>
        <v/>
      </c>
      <c r="B64" s="8" t="str">
        <f ca="1">IF($L64="","",INDEX('Veri Merkezi'!$A$2:$A$1001,$L64))</f>
        <v/>
      </c>
      <c r="C64" s="8" t="str">
        <f ca="1">IF($L64="","",INDEX('Veri Merkezi'!$E$2:$E$1001,$L64))</f>
        <v/>
      </c>
      <c r="D64" s="8" t="str">
        <f ca="1">IF($L64="","",INDEX('Veri Merkezi'!$D$2:$D$1001,$L64))</f>
        <v/>
      </c>
      <c r="E64" s="8" t="str">
        <f ca="1">IF($L64="","",INDEX('Veri Merkezi'!$F$2:$F$1001,$L64))</f>
        <v/>
      </c>
      <c r="F64" s="9" t="str">
        <f ca="1">IF($L64="","",INDEX('Veri Merkezi'!$G$2:$G$1001,$L64))</f>
        <v/>
      </c>
      <c r="G64" s="8" t="str">
        <f t="shared" ca="1" si="1"/>
        <v/>
      </c>
      <c r="H64" s="8" t="str">
        <f ca="1">IF($L64="","",INDEX('Veri Merkezi'!$H$2:$H$1001,$L64))</f>
        <v/>
      </c>
      <c r="I64" s="8" t="str">
        <f ca="1">IF($L64="","",INDEX('Veri Merkezi'!$R$2:$R$1001,$L64))</f>
        <v/>
      </c>
      <c r="J64" s="8" t="str">
        <f ca="1">IF($L64="","",INDEX('Veri Merkezi'!$S$2:$S$1001,$L64))</f>
        <v/>
      </c>
      <c r="K64" s="8" t="str">
        <f ca="1">IF($L64="","",INDEX('Veri Merkezi'!$U$2:$U$1001,$L64))</f>
        <v/>
      </c>
      <c r="L64" s="8" t="str">
        <f ca="1">IFERROR(MATCH(ROWS($L$4:L64),'Veri Merkezi'!$W$2:$W$1001,0),"")</f>
        <v/>
      </c>
    </row>
    <row r="65" spans="1:12" ht="20" customHeight="1">
      <c r="A65" s="8" t="str">
        <f ca="1">IF($L65="","",ROWS($A$4:A65))</f>
        <v/>
      </c>
      <c r="B65" s="8" t="str">
        <f ca="1">IF($L65="","",INDEX('Veri Merkezi'!$A$2:$A$1001,$L65))</f>
        <v/>
      </c>
      <c r="C65" s="8" t="str">
        <f ca="1">IF($L65="","",INDEX('Veri Merkezi'!$E$2:$E$1001,$L65))</f>
        <v/>
      </c>
      <c r="D65" s="8" t="str">
        <f ca="1">IF($L65="","",INDEX('Veri Merkezi'!$D$2:$D$1001,$L65))</f>
        <v/>
      </c>
      <c r="E65" s="8" t="str">
        <f ca="1">IF($L65="","",INDEX('Veri Merkezi'!$F$2:$F$1001,$L65))</f>
        <v/>
      </c>
      <c r="F65" s="9" t="str">
        <f ca="1">IF($L65="","",INDEX('Veri Merkezi'!$G$2:$G$1001,$L65))</f>
        <v/>
      </c>
      <c r="G65" s="8" t="str">
        <f t="shared" ca="1" si="1"/>
        <v/>
      </c>
      <c r="H65" s="8" t="str">
        <f ca="1">IF($L65="","",INDEX('Veri Merkezi'!$H$2:$H$1001,$L65))</f>
        <v/>
      </c>
      <c r="I65" s="8" t="str">
        <f ca="1">IF($L65="","",INDEX('Veri Merkezi'!$R$2:$R$1001,$L65))</f>
        <v/>
      </c>
      <c r="J65" s="8" t="str">
        <f ca="1">IF($L65="","",INDEX('Veri Merkezi'!$S$2:$S$1001,$L65))</f>
        <v/>
      </c>
      <c r="K65" s="8" t="str">
        <f ca="1">IF($L65="","",INDEX('Veri Merkezi'!$U$2:$U$1001,$L65))</f>
        <v/>
      </c>
      <c r="L65" s="8" t="str">
        <f ca="1">IFERROR(MATCH(ROWS($L$4:L65),'Veri Merkezi'!$W$2:$W$1001,0),"")</f>
        <v/>
      </c>
    </row>
    <row r="66" spans="1:12" ht="20" customHeight="1">
      <c r="A66" s="8" t="str">
        <f ca="1">IF($L66="","",ROWS($A$4:A66))</f>
        <v/>
      </c>
      <c r="B66" s="8" t="str">
        <f ca="1">IF($L66="","",INDEX('Veri Merkezi'!$A$2:$A$1001,$L66))</f>
        <v/>
      </c>
      <c r="C66" s="8" t="str">
        <f ca="1">IF($L66="","",INDEX('Veri Merkezi'!$E$2:$E$1001,$L66))</f>
        <v/>
      </c>
      <c r="D66" s="8" t="str">
        <f ca="1">IF($L66="","",INDEX('Veri Merkezi'!$D$2:$D$1001,$L66))</f>
        <v/>
      </c>
      <c r="E66" s="8" t="str">
        <f ca="1">IF($L66="","",INDEX('Veri Merkezi'!$F$2:$F$1001,$L66))</f>
        <v/>
      </c>
      <c r="F66" s="9" t="str">
        <f ca="1">IF($L66="","",INDEX('Veri Merkezi'!$G$2:$G$1001,$L66))</f>
        <v/>
      </c>
      <c r="G66" s="8" t="str">
        <f t="shared" ca="1" si="1"/>
        <v/>
      </c>
      <c r="H66" s="8" t="str">
        <f ca="1">IF($L66="","",INDEX('Veri Merkezi'!$H$2:$H$1001,$L66))</f>
        <v/>
      </c>
      <c r="I66" s="8" t="str">
        <f ca="1">IF($L66="","",INDEX('Veri Merkezi'!$R$2:$R$1001,$L66))</f>
        <v/>
      </c>
      <c r="J66" s="8" t="str">
        <f ca="1">IF($L66="","",INDEX('Veri Merkezi'!$S$2:$S$1001,$L66))</f>
        <v/>
      </c>
      <c r="K66" s="8" t="str">
        <f ca="1">IF($L66="","",INDEX('Veri Merkezi'!$U$2:$U$1001,$L66))</f>
        <v/>
      </c>
      <c r="L66" s="8" t="str">
        <f ca="1">IFERROR(MATCH(ROWS($L$4:L66),'Veri Merkezi'!$W$2:$W$1001,0),"")</f>
        <v/>
      </c>
    </row>
    <row r="67" spans="1:12" ht="20" customHeight="1">
      <c r="A67" s="8" t="str">
        <f ca="1">IF($L67="","",ROWS($A$4:A67))</f>
        <v/>
      </c>
      <c r="B67" s="8" t="str">
        <f ca="1">IF($L67="","",INDEX('Veri Merkezi'!$A$2:$A$1001,$L67))</f>
        <v/>
      </c>
      <c r="C67" s="8" t="str">
        <f ca="1">IF($L67="","",INDEX('Veri Merkezi'!$E$2:$E$1001,$L67))</f>
        <v/>
      </c>
      <c r="D67" s="8" t="str">
        <f ca="1">IF($L67="","",INDEX('Veri Merkezi'!$D$2:$D$1001,$L67))</f>
        <v/>
      </c>
      <c r="E67" s="8" t="str">
        <f ca="1">IF($L67="","",INDEX('Veri Merkezi'!$F$2:$F$1001,$L67))</f>
        <v/>
      </c>
      <c r="F67" s="9" t="str">
        <f ca="1">IF($L67="","",INDEX('Veri Merkezi'!$G$2:$G$1001,$L67))</f>
        <v/>
      </c>
      <c r="G67" s="8" t="str">
        <f t="shared" ca="1" si="1"/>
        <v/>
      </c>
      <c r="H67" s="8" t="str">
        <f ca="1">IF($L67="","",INDEX('Veri Merkezi'!$H$2:$H$1001,$L67))</f>
        <v/>
      </c>
      <c r="I67" s="8" t="str">
        <f ca="1">IF($L67="","",INDEX('Veri Merkezi'!$R$2:$R$1001,$L67))</f>
        <v/>
      </c>
      <c r="J67" s="8" t="str">
        <f ca="1">IF($L67="","",INDEX('Veri Merkezi'!$S$2:$S$1001,$L67))</f>
        <v/>
      </c>
      <c r="K67" s="8" t="str">
        <f ca="1">IF($L67="","",INDEX('Veri Merkezi'!$U$2:$U$1001,$L67))</f>
        <v/>
      </c>
      <c r="L67" s="8" t="str">
        <f ca="1">IFERROR(MATCH(ROWS($L$4:L67),'Veri Merkezi'!$W$2:$W$1001,0),"")</f>
        <v/>
      </c>
    </row>
    <row r="68" spans="1:12" ht="20" customHeight="1">
      <c r="A68" s="8" t="str">
        <f ca="1">IF($L68="","",ROWS($A$4:A68))</f>
        <v/>
      </c>
      <c r="B68" s="8" t="str">
        <f ca="1">IF($L68="","",INDEX('Veri Merkezi'!$A$2:$A$1001,$L68))</f>
        <v/>
      </c>
      <c r="C68" s="8" t="str">
        <f ca="1">IF($L68="","",INDEX('Veri Merkezi'!$E$2:$E$1001,$L68))</f>
        <v/>
      </c>
      <c r="D68" s="8" t="str">
        <f ca="1">IF($L68="","",INDEX('Veri Merkezi'!$D$2:$D$1001,$L68))</f>
        <v/>
      </c>
      <c r="E68" s="8" t="str">
        <f ca="1">IF($L68="","",INDEX('Veri Merkezi'!$F$2:$F$1001,$L68))</f>
        <v/>
      </c>
      <c r="F68" s="9" t="str">
        <f ca="1">IF($L68="","",INDEX('Veri Merkezi'!$G$2:$G$1001,$L68))</f>
        <v/>
      </c>
      <c r="G68" s="8" t="str">
        <f t="shared" ref="G68:G99" ca="1" si="2">IF(F68="","",F68-TODAY())</f>
        <v/>
      </c>
      <c r="H68" s="8" t="str">
        <f ca="1">IF($L68="","",INDEX('Veri Merkezi'!$H$2:$H$1001,$L68))</f>
        <v/>
      </c>
      <c r="I68" s="8" t="str">
        <f ca="1">IF($L68="","",INDEX('Veri Merkezi'!$R$2:$R$1001,$L68))</f>
        <v/>
      </c>
      <c r="J68" s="8" t="str">
        <f ca="1">IF($L68="","",INDEX('Veri Merkezi'!$S$2:$S$1001,$L68))</f>
        <v/>
      </c>
      <c r="K68" s="8" t="str">
        <f ca="1">IF($L68="","",INDEX('Veri Merkezi'!$U$2:$U$1001,$L68))</f>
        <v/>
      </c>
      <c r="L68" s="8" t="str">
        <f ca="1">IFERROR(MATCH(ROWS($L$4:L68),'Veri Merkezi'!$W$2:$W$1001,0),"")</f>
        <v/>
      </c>
    </row>
    <row r="69" spans="1:12" ht="20" customHeight="1">
      <c r="A69" s="8" t="str">
        <f ca="1">IF($L69="","",ROWS($A$4:A69))</f>
        <v/>
      </c>
      <c r="B69" s="8" t="str">
        <f ca="1">IF($L69="","",INDEX('Veri Merkezi'!$A$2:$A$1001,$L69))</f>
        <v/>
      </c>
      <c r="C69" s="8" t="str">
        <f ca="1">IF($L69="","",INDEX('Veri Merkezi'!$E$2:$E$1001,$L69))</f>
        <v/>
      </c>
      <c r="D69" s="8" t="str">
        <f ca="1">IF($L69="","",INDEX('Veri Merkezi'!$D$2:$D$1001,$L69))</f>
        <v/>
      </c>
      <c r="E69" s="8" t="str">
        <f ca="1">IF($L69="","",INDEX('Veri Merkezi'!$F$2:$F$1001,$L69))</f>
        <v/>
      </c>
      <c r="F69" s="9" t="str">
        <f ca="1">IF($L69="","",INDEX('Veri Merkezi'!$G$2:$G$1001,$L69))</f>
        <v/>
      </c>
      <c r="G69" s="8" t="str">
        <f t="shared" ca="1" si="2"/>
        <v/>
      </c>
      <c r="H69" s="8" t="str">
        <f ca="1">IF($L69="","",INDEX('Veri Merkezi'!$H$2:$H$1001,$L69))</f>
        <v/>
      </c>
      <c r="I69" s="8" t="str">
        <f ca="1">IF($L69="","",INDEX('Veri Merkezi'!$R$2:$R$1001,$L69))</f>
        <v/>
      </c>
      <c r="J69" s="8" t="str">
        <f ca="1">IF($L69="","",INDEX('Veri Merkezi'!$S$2:$S$1001,$L69))</f>
        <v/>
      </c>
      <c r="K69" s="8" t="str">
        <f ca="1">IF($L69="","",INDEX('Veri Merkezi'!$U$2:$U$1001,$L69))</f>
        <v/>
      </c>
      <c r="L69" s="8" t="str">
        <f ca="1">IFERROR(MATCH(ROWS($L$4:L69),'Veri Merkezi'!$W$2:$W$1001,0),"")</f>
        <v/>
      </c>
    </row>
    <row r="70" spans="1:12" ht="20" customHeight="1">
      <c r="A70" s="8" t="str">
        <f ca="1">IF($L70="","",ROWS($A$4:A70))</f>
        <v/>
      </c>
      <c r="B70" s="8" t="str">
        <f ca="1">IF($L70="","",INDEX('Veri Merkezi'!$A$2:$A$1001,$L70))</f>
        <v/>
      </c>
      <c r="C70" s="8" t="str">
        <f ca="1">IF($L70="","",INDEX('Veri Merkezi'!$E$2:$E$1001,$L70))</f>
        <v/>
      </c>
      <c r="D70" s="8" t="str">
        <f ca="1">IF($L70="","",INDEX('Veri Merkezi'!$D$2:$D$1001,$L70))</f>
        <v/>
      </c>
      <c r="E70" s="8" t="str">
        <f ca="1">IF($L70="","",INDEX('Veri Merkezi'!$F$2:$F$1001,$L70))</f>
        <v/>
      </c>
      <c r="F70" s="9" t="str">
        <f ca="1">IF($L70="","",INDEX('Veri Merkezi'!$G$2:$G$1001,$L70))</f>
        <v/>
      </c>
      <c r="G70" s="8" t="str">
        <f t="shared" ca="1" si="2"/>
        <v/>
      </c>
      <c r="H70" s="8" t="str">
        <f ca="1">IF($L70="","",INDEX('Veri Merkezi'!$H$2:$H$1001,$L70))</f>
        <v/>
      </c>
      <c r="I70" s="8" t="str">
        <f ca="1">IF($L70="","",INDEX('Veri Merkezi'!$R$2:$R$1001,$L70))</f>
        <v/>
      </c>
      <c r="J70" s="8" t="str">
        <f ca="1">IF($L70="","",INDEX('Veri Merkezi'!$S$2:$S$1001,$L70))</f>
        <v/>
      </c>
      <c r="K70" s="8" t="str">
        <f ca="1">IF($L70="","",INDEX('Veri Merkezi'!$U$2:$U$1001,$L70))</f>
        <v/>
      </c>
      <c r="L70" s="8" t="str">
        <f ca="1">IFERROR(MATCH(ROWS($L$4:L70),'Veri Merkezi'!$W$2:$W$1001,0),"")</f>
        <v/>
      </c>
    </row>
    <row r="71" spans="1:12" ht="20" customHeight="1">
      <c r="A71" s="8" t="str">
        <f ca="1">IF($L71="","",ROWS($A$4:A71))</f>
        <v/>
      </c>
      <c r="B71" s="8" t="str">
        <f ca="1">IF($L71="","",INDEX('Veri Merkezi'!$A$2:$A$1001,$L71))</f>
        <v/>
      </c>
      <c r="C71" s="8" t="str">
        <f ca="1">IF($L71="","",INDEX('Veri Merkezi'!$E$2:$E$1001,$L71))</f>
        <v/>
      </c>
      <c r="D71" s="8" t="str">
        <f ca="1">IF($L71="","",INDEX('Veri Merkezi'!$D$2:$D$1001,$L71))</f>
        <v/>
      </c>
      <c r="E71" s="8" t="str">
        <f ca="1">IF($L71="","",INDEX('Veri Merkezi'!$F$2:$F$1001,$L71))</f>
        <v/>
      </c>
      <c r="F71" s="9" t="str">
        <f ca="1">IF($L71="","",INDEX('Veri Merkezi'!$G$2:$G$1001,$L71))</f>
        <v/>
      </c>
      <c r="G71" s="8" t="str">
        <f t="shared" ca="1" si="2"/>
        <v/>
      </c>
      <c r="H71" s="8" t="str">
        <f ca="1">IF($L71="","",INDEX('Veri Merkezi'!$H$2:$H$1001,$L71))</f>
        <v/>
      </c>
      <c r="I71" s="8" t="str">
        <f ca="1">IF($L71="","",INDEX('Veri Merkezi'!$R$2:$R$1001,$L71))</f>
        <v/>
      </c>
      <c r="J71" s="8" t="str">
        <f ca="1">IF($L71="","",INDEX('Veri Merkezi'!$S$2:$S$1001,$L71))</f>
        <v/>
      </c>
      <c r="K71" s="8" t="str">
        <f ca="1">IF($L71="","",INDEX('Veri Merkezi'!$U$2:$U$1001,$L71))</f>
        <v/>
      </c>
      <c r="L71" s="8" t="str">
        <f ca="1">IFERROR(MATCH(ROWS($L$4:L71),'Veri Merkezi'!$W$2:$W$1001,0),"")</f>
        <v/>
      </c>
    </row>
    <row r="72" spans="1:12" ht="20" customHeight="1">
      <c r="A72" s="8" t="str">
        <f ca="1">IF($L72="","",ROWS($A$4:A72))</f>
        <v/>
      </c>
      <c r="B72" s="8" t="str">
        <f ca="1">IF($L72="","",INDEX('Veri Merkezi'!$A$2:$A$1001,$L72))</f>
        <v/>
      </c>
      <c r="C72" s="8" t="str">
        <f ca="1">IF($L72="","",INDEX('Veri Merkezi'!$E$2:$E$1001,$L72))</f>
        <v/>
      </c>
      <c r="D72" s="8" t="str">
        <f ca="1">IF($L72="","",INDEX('Veri Merkezi'!$D$2:$D$1001,$L72))</f>
        <v/>
      </c>
      <c r="E72" s="8" t="str">
        <f ca="1">IF($L72="","",INDEX('Veri Merkezi'!$F$2:$F$1001,$L72))</f>
        <v/>
      </c>
      <c r="F72" s="9" t="str">
        <f ca="1">IF($L72="","",INDEX('Veri Merkezi'!$G$2:$G$1001,$L72))</f>
        <v/>
      </c>
      <c r="G72" s="8" t="str">
        <f t="shared" ca="1" si="2"/>
        <v/>
      </c>
      <c r="H72" s="8" t="str">
        <f ca="1">IF($L72="","",INDEX('Veri Merkezi'!$H$2:$H$1001,$L72))</f>
        <v/>
      </c>
      <c r="I72" s="8" t="str">
        <f ca="1">IF($L72="","",INDEX('Veri Merkezi'!$R$2:$R$1001,$L72))</f>
        <v/>
      </c>
      <c r="J72" s="8" t="str">
        <f ca="1">IF($L72="","",INDEX('Veri Merkezi'!$S$2:$S$1001,$L72))</f>
        <v/>
      </c>
      <c r="K72" s="8" t="str">
        <f ca="1">IF($L72="","",INDEX('Veri Merkezi'!$U$2:$U$1001,$L72))</f>
        <v/>
      </c>
      <c r="L72" s="8" t="str">
        <f ca="1">IFERROR(MATCH(ROWS($L$4:L72),'Veri Merkezi'!$W$2:$W$1001,0),"")</f>
        <v/>
      </c>
    </row>
    <row r="73" spans="1:12" ht="20" customHeight="1">
      <c r="A73" s="8" t="str">
        <f ca="1">IF($L73="","",ROWS($A$4:A73))</f>
        <v/>
      </c>
      <c r="B73" s="8" t="str">
        <f ca="1">IF($L73="","",INDEX('Veri Merkezi'!$A$2:$A$1001,$L73))</f>
        <v/>
      </c>
      <c r="C73" s="8" t="str">
        <f ca="1">IF($L73="","",INDEX('Veri Merkezi'!$E$2:$E$1001,$L73))</f>
        <v/>
      </c>
      <c r="D73" s="8" t="str">
        <f ca="1">IF($L73="","",INDEX('Veri Merkezi'!$D$2:$D$1001,$L73))</f>
        <v/>
      </c>
      <c r="E73" s="8" t="str">
        <f ca="1">IF($L73="","",INDEX('Veri Merkezi'!$F$2:$F$1001,$L73))</f>
        <v/>
      </c>
      <c r="F73" s="9" t="str">
        <f ca="1">IF($L73="","",INDEX('Veri Merkezi'!$G$2:$G$1001,$L73))</f>
        <v/>
      </c>
      <c r="G73" s="8" t="str">
        <f t="shared" ca="1" si="2"/>
        <v/>
      </c>
      <c r="H73" s="8" t="str">
        <f ca="1">IF($L73="","",INDEX('Veri Merkezi'!$H$2:$H$1001,$L73))</f>
        <v/>
      </c>
      <c r="I73" s="8" t="str">
        <f ca="1">IF($L73="","",INDEX('Veri Merkezi'!$R$2:$R$1001,$L73))</f>
        <v/>
      </c>
      <c r="J73" s="8" t="str">
        <f ca="1">IF($L73="","",INDEX('Veri Merkezi'!$S$2:$S$1001,$L73))</f>
        <v/>
      </c>
      <c r="K73" s="8" t="str">
        <f ca="1">IF($L73="","",INDEX('Veri Merkezi'!$U$2:$U$1001,$L73))</f>
        <v/>
      </c>
      <c r="L73" s="8" t="str">
        <f ca="1">IFERROR(MATCH(ROWS($L$4:L73),'Veri Merkezi'!$W$2:$W$1001,0),"")</f>
        <v/>
      </c>
    </row>
    <row r="74" spans="1:12" ht="20" customHeight="1">
      <c r="A74" s="8" t="str">
        <f ca="1">IF($L74="","",ROWS($A$4:A74))</f>
        <v/>
      </c>
      <c r="B74" s="8" t="str">
        <f ca="1">IF($L74="","",INDEX('Veri Merkezi'!$A$2:$A$1001,$L74))</f>
        <v/>
      </c>
      <c r="C74" s="8" t="str">
        <f ca="1">IF($L74="","",INDEX('Veri Merkezi'!$E$2:$E$1001,$L74))</f>
        <v/>
      </c>
      <c r="D74" s="8" t="str">
        <f ca="1">IF($L74="","",INDEX('Veri Merkezi'!$D$2:$D$1001,$L74))</f>
        <v/>
      </c>
      <c r="E74" s="8" t="str">
        <f ca="1">IF($L74="","",INDEX('Veri Merkezi'!$F$2:$F$1001,$L74))</f>
        <v/>
      </c>
      <c r="F74" s="9" t="str">
        <f ca="1">IF($L74="","",INDEX('Veri Merkezi'!$G$2:$G$1001,$L74))</f>
        <v/>
      </c>
      <c r="G74" s="8" t="str">
        <f t="shared" ca="1" si="2"/>
        <v/>
      </c>
      <c r="H74" s="8" t="str">
        <f ca="1">IF($L74="","",INDEX('Veri Merkezi'!$H$2:$H$1001,$L74))</f>
        <v/>
      </c>
      <c r="I74" s="8" t="str">
        <f ca="1">IF($L74="","",INDEX('Veri Merkezi'!$R$2:$R$1001,$L74))</f>
        <v/>
      </c>
      <c r="J74" s="8" t="str">
        <f ca="1">IF($L74="","",INDEX('Veri Merkezi'!$S$2:$S$1001,$L74))</f>
        <v/>
      </c>
      <c r="K74" s="8" t="str">
        <f ca="1">IF($L74="","",INDEX('Veri Merkezi'!$U$2:$U$1001,$L74))</f>
        <v/>
      </c>
      <c r="L74" s="8" t="str">
        <f ca="1">IFERROR(MATCH(ROWS($L$4:L74),'Veri Merkezi'!$W$2:$W$1001,0),"")</f>
        <v/>
      </c>
    </row>
    <row r="75" spans="1:12" ht="20" customHeight="1">
      <c r="A75" s="8" t="str">
        <f ca="1">IF($L75="","",ROWS($A$4:A75))</f>
        <v/>
      </c>
      <c r="B75" s="8" t="str">
        <f ca="1">IF($L75="","",INDEX('Veri Merkezi'!$A$2:$A$1001,$L75))</f>
        <v/>
      </c>
      <c r="C75" s="8" t="str">
        <f ca="1">IF($L75="","",INDEX('Veri Merkezi'!$E$2:$E$1001,$L75))</f>
        <v/>
      </c>
      <c r="D75" s="8" t="str">
        <f ca="1">IF($L75="","",INDEX('Veri Merkezi'!$D$2:$D$1001,$L75))</f>
        <v/>
      </c>
      <c r="E75" s="8" t="str">
        <f ca="1">IF($L75="","",INDEX('Veri Merkezi'!$F$2:$F$1001,$L75))</f>
        <v/>
      </c>
      <c r="F75" s="9" t="str">
        <f ca="1">IF($L75="","",INDEX('Veri Merkezi'!$G$2:$G$1001,$L75))</f>
        <v/>
      </c>
      <c r="G75" s="8" t="str">
        <f t="shared" ca="1" si="2"/>
        <v/>
      </c>
      <c r="H75" s="8" t="str">
        <f ca="1">IF($L75="","",INDEX('Veri Merkezi'!$H$2:$H$1001,$L75))</f>
        <v/>
      </c>
      <c r="I75" s="8" t="str">
        <f ca="1">IF($L75="","",INDEX('Veri Merkezi'!$R$2:$R$1001,$L75))</f>
        <v/>
      </c>
      <c r="J75" s="8" t="str">
        <f ca="1">IF($L75="","",INDEX('Veri Merkezi'!$S$2:$S$1001,$L75))</f>
        <v/>
      </c>
      <c r="K75" s="8" t="str">
        <f ca="1">IF($L75="","",INDEX('Veri Merkezi'!$U$2:$U$1001,$L75))</f>
        <v/>
      </c>
      <c r="L75" s="8" t="str">
        <f ca="1">IFERROR(MATCH(ROWS($L$4:L75),'Veri Merkezi'!$W$2:$W$1001,0),"")</f>
        <v/>
      </c>
    </row>
    <row r="76" spans="1:12" ht="20" customHeight="1">
      <c r="A76" s="8" t="str">
        <f ca="1">IF($L76="","",ROWS($A$4:A76))</f>
        <v/>
      </c>
      <c r="B76" s="8" t="str">
        <f ca="1">IF($L76="","",INDEX('Veri Merkezi'!$A$2:$A$1001,$L76))</f>
        <v/>
      </c>
      <c r="C76" s="8" t="str">
        <f ca="1">IF($L76="","",INDEX('Veri Merkezi'!$E$2:$E$1001,$L76))</f>
        <v/>
      </c>
      <c r="D76" s="8" t="str">
        <f ca="1">IF($L76="","",INDEX('Veri Merkezi'!$D$2:$D$1001,$L76))</f>
        <v/>
      </c>
      <c r="E76" s="8" t="str">
        <f ca="1">IF($L76="","",INDEX('Veri Merkezi'!$F$2:$F$1001,$L76))</f>
        <v/>
      </c>
      <c r="F76" s="9" t="str">
        <f ca="1">IF($L76="","",INDEX('Veri Merkezi'!$G$2:$G$1001,$L76))</f>
        <v/>
      </c>
      <c r="G76" s="8" t="str">
        <f t="shared" ca="1" si="2"/>
        <v/>
      </c>
      <c r="H76" s="8" t="str">
        <f ca="1">IF($L76="","",INDEX('Veri Merkezi'!$H$2:$H$1001,$L76))</f>
        <v/>
      </c>
      <c r="I76" s="8" t="str">
        <f ca="1">IF($L76="","",INDEX('Veri Merkezi'!$R$2:$R$1001,$L76))</f>
        <v/>
      </c>
      <c r="J76" s="8" t="str">
        <f ca="1">IF($L76="","",INDEX('Veri Merkezi'!$S$2:$S$1001,$L76))</f>
        <v/>
      </c>
      <c r="K76" s="8" t="str">
        <f ca="1">IF($L76="","",INDEX('Veri Merkezi'!$U$2:$U$1001,$L76))</f>
        <v/>
      </c>
      <c r="L76" s="8" t="str">
        <f ca="1">IFERROR(MATCH(ROWS($L$4:L76),'Veri Merkezi'!$W$2:$W$1001,0),"")</f>
        <v/>
      </c>
    </row>
    <row r="77" spans="1:12" ht="20" customHeight="1">
      <c r="A77" s="8" t="str">
        <f ca="1">IF($L77="","",ROWS($A$4:A77))</f>
        <v/>
      </c>
      <c r="B77" s="8" t="str">
        <f ca="1">IF($L77="","",INDEX('Veri Merkezi'!$A$2:$A$1001,$L77))</f>
        <v/>
      </c>
      <c r="C77" s="8" t="str">
        <f ca="1">IF($L77="","",INDEX('Veri Merkezi'!$E$2:$E$1001,$L77))</f>
        <v/>
      </c>
      <c r="D77" s="8" t="str">
        <f ca="1">IF($L77="","",INDEX('Veri Merkezi'!$D$2:$D$1001,$L77))</f>
        <v/>
      </c>
      <c r="E77" s="8" t="str">
        <f ca="1">IF($L77="","",INDEX('Veri Merkezi'!$F$2:$F$1001,$L77))</f>
        <v/>
      </c>
      <c r="F77" s="9" t="str">
        <f ca="1">IF($L77="","",INDEX('Veri Merkezi'!$G$2:$G$1001,$L77))</f>
        <v/>
      </c>
      <c r="G77" s="8" t="str">
        <f t="shared" ca="1" si="2"/>
        <v/>
      </c>
      <c r="H77" s="8" t="str">
        <f ca="1">IF($L77="","",INDEX('Veri Merkezi'!$H$2:$H$1001,$L77))</f>
        <v/>
      </c>
      <c r="I77" s="8" t="str">
        <f ca="1">IF($L77="","",INDEX('Veri Merkezi'!$R$2:$R$1001,$L77))</f>
        <v/>
      </c>
      <c r="J77" s="8" t="str">
        <f ca="1">IF($L77="","",INDEX('Veri Merkezi'!$S$2:$S$1001,$L77))</f>
        <v/>
      </c>
      <c r="K77" s="8" t="str">
        <f ca="1">IF($L77="","",INDEX('Veri Merkezi'!$U$2:$U$1001,$L77))</f>
        <v/>
      </c>
      <c r="L77" s="8" t="str">
        <f ca="1">IFERROR(MATCH(ROWS($L$4:L77),'Veri Merkezi'!$W$2:$W$1001,0),"")</f>
        <v/>
      </c>
    </row>
    <row r="78" spans="1:12" ht="20" customHeight="1">
      <c r="A78" s="8" t="str">
        <f ca="1">IF($L78="","",ROWS($A$4:A78))</f>
        <v/>
      </c>
      <c r="B78" s="8" t="str">
        <f ca="1">IF($L78="","",INDEX('Veri Merkezi'!$A$2:$A$1001,$L78))</f>
        <v/>
      </c>
      <c r="C78" s="8" t="str">
        <f ca="1">IF($L78="","",INDEX('Veri Merkezi'!$E$2:$E$1001,$L78))</f>
        <v/>
      </c>
      <c r="D78" s="8" t="str">
        <f ca="1">IF($L78="","",INDEX('Veri Merkezi'!$D$2:$D$1001,$L78))</f>
        <v/>
      </c>
      <c r="E78" s="8" t="str">
        <f ca="1">IF($L78="","",INDEX('Veri Merkezi'!$F$2:$F$1001,$L78))</f>
        <v/>
      </c>
      <c r="F78" s="9" t="str">
        <f ca="1">IF($L78="","",INDEX('Veri Merkezi'!$G$2:$G$1001,$L78))</f>
        <v/>
      </c>
      <c r="G78" s="8" t="str">
        <f t="shared" ca="1" si="2"/>
        <v/>
      </c>
      <c r="H78" s="8" t="str">
        <f ca="1">IF($L78="","",INDEX('Veri Merkezi'!$H$2:$H$1001,$L78))</f>
        <v/>
      </c>
      <c r="I78" s="8" t="str">
        <f ca="1">IF($L78="","",INDEX('Veri Merkezi'!$R$2:$R$1001,$L78))</f>
        <v/>
      </c>
      <c r="J78" s="8" t="str">
        <f ca="1">IF($L78="","",INDEX('Veri Merkezi'!$S$2:$S$1001,$L78))</f>
        <v/>
      </c>
      <c r="K78" s="8" t="str">
        <f ca="1">IF($L78="","",INDEX('Veri Merkezi'!$U$2:$U$1001,$L78))</f>
        <v/>
      </c>
      <c r="L78" s="8" t="str">
        <f ca="1">IFERROR(MATCH(ROWS($L$4:L78),'Veri Merkezi'!$W$2:$W$1001,0),"")</f>
        <v/>
      </c>
    </row>
    <row r="79" spans="1:12" ht="20" customHeight="1">
      <c r="A79" s="8" t="str">
        <f ca="1">IF($L79="","",ROWS($A$4:A79))</f>
        <v/>
      </c>
      <c r="B79" s="8" t="str">
        <f ca="1">IF($L79="","",INDEX('Veri Merkezi'!$A$2:$A$1001,$L79))</f>
        <v/>
      </c>
      <c r="C79" s="8" t="str">
        <f ca="1">IF($L79="","",INDEX('Veri Merkezi'!$E$2:$E$1001,$L79))</f>
        <v/>
      </c>
      <c r="D79" s="8" t="str">
        <f ca="1">IF($L79="","",INDEX('Veri Merkezi'!$D$2:$D$1001,$L79))</f>
        <v/>
      </c>
      <c r="E79" s="8" t="str">
        <f ca="1">IF($L79="","",INDEX('Veri Merkezi'!$F$2:$F$1001,$L79))</f>
        <v/>
      </c>
      <c r="F79" s="9" t="str">
        <f ca="1">IF($L79="","",INDEX('Veri Merkezi'!$G$2:$G$1001,$L79))</f>
        <v/>
      </c>
      <c r="G79" s="8" t="str">
        <f t="shared" ca="1" si="2"/>
        <v/>
      </c>
      <c r="H79" s="8" t="str">
        <f ca="1">IF($L79="","",INDEX('Veri Merkezi'!$H$2:$H$1001,$L79))</f>
        <v/>
      </c>
      <c r="I79" s="8" t="str">
        <f ca="1">IF($L79="","",INDEX('Veri Merkezi'!$R$2:$R$1001,$L79))</f>
        <v/>
      </c>
      <c r="J79" s="8" t="str">
        <f ca="1">IF($L79="","",INDEX('Veri Merkezi'!$S$2:$S$1001,$L79))</f>
        <v/>
      </c>
      <c r="K79" s="8" t="str">
        <f ca="1">IF($L79="","",INDEX('Veri Merkezi'!$U$2:$U$1001,$L79))</f>
        <v/>
      </c>
      <c r="L79" s="8" t="str">
        <f ca="1">IFERROR(MATCH(ROWS($L$4:L79),'Veri Merkezi'!$W$2:$W$1001,0),"")</f>
        <v/>
      </c>
    </row>
    <row r="80" spans="1:12" ht="20" customHeight="1">
      <c r="A80" s="8" t="str">
        <f ca="1">IF($L80="","",ROWS($A$4:A80))</f>
        <v/>
      </c>
      <c r="B80" s="8" t="str">
        <f ca="1">IF($L80="","",INDEX('Veri Merkezi'!$A$2:$A$1001,$L80))</f>
        <v/>
      </c>
      <c r="C80" s="8" t="str">
        <f ca="1">IF($L80="","",INDEX('Veri Merkezi'!$E$2:$E$1001,$L80))</f>
        <v/>
      </c>
      <c r="D80" s="8" t="str">
        <f ca="1">IF($L80="","",INDEX('Veri Merkezi'!$D$2:$D$1001,$L80))</f>
        <v/>
      </c>
      <c r="E80" s="8" t="str">
        <f ca="1">IF($L80="","",INDEX('Veri Merkezi'!$F$2:$F$1001,$L80))</f>
        <v/>
      </c>
      <c r="F80" s="9" t="str">
        <f ca="1">IF($L80="","",INDEX('Veri Merkezi'!$G$2:$G$1001,$L80))</f>
        <v/>
      </c>
      <c r="G80" s="8" t="str">
        <f t="shared" ca="1" si="2"/>
        <v/>
      </c>
      <c r="H80" s="8" t="str">
        <f ca="1">IF($L80="","",INDEX('Veri Merkezi'!$H$2:$H$1001,$L80))</f>
        <v/>
      </c>
      <c r="I80" s="8" t="str">
        <f ca="1">IF($L80="","",INDEX('Veri Merkezi'!$R$2:$R$1001,$L80))</f>
        <v/>
      </c>
      <c r="J80" s="8" t="str">
        <f ca="1">IF($L80="","",INDEX('Veri Merkezi'!$S$2:$S$1001,$L80))</f>
        <v/>
      </c>
      <c r="K80" s="8" t="str">
        <f ca="1">IF($L80="","",INDEX('Veri Merkezi'!$U$2:$U$1001,$L80))</f>
        <v/>
      </c>
      <c r="L80" s="8" t="str">
        <f ca="1">IFERROR(MATCH(ROWS($L$4:L80),'Veri Merkezi'!$W$2:$W$1001,0),"")</f>
        <v/>
      </c>
    </row>
    <row r="81" spans="1:12" ht="20" customHeight="1">
      <c r="A81" s="8" t="str">
        <f ca="1">IF($L81="","",ROWS($A$4:A81))</f>
        <v/>
      </c>
      <c r="B81" s="8" t="str">
        <f ca="1">IF($L81="","",INDEX('Veri Merkezi'!$A$2:$A$1001,$L81))</f>
        <v/>
      </c>
      <c r="C81" s="8" t="str">
        <f ca="1">IF($L81="","",INDEX('Veri Merkezi'!$E$2:$E$1001,$L81))</f>
        <v/>
      </c>
      <c r="D81" s="8" t="str">
        <f ca="1">IF($L81="","",INDEX('Veri Merkezi'!$D$2:$D$1001,$L81))</f>
        <v/>
      </c>
      <c r="E81" s="8" t="str">
        <f ca="1">IF($L81="","",INDEX('Veri Merkezi'!$F$2:$F$1001,$L81))</f>
        <v/>
      </c>
      <c r="F81" s="9" t="str">
        <f ca="1">IF($L81="","",INDEX('Veri Merkezi'!$G$2:$G$1001,$L81))</f>
        <v/>
      </c>
      <c r="G81" s="8" t="str">
        <f t="shared" ca="1" si="2"/>
        <v/>
      </c>
      <c r="H81" s="8" t="str">
        <f ca="1">IF($L81="","",INDEX('Veri Merkezi'!$H$2:$H$1001,$L81))</f>
        <v/>
      </c>
      <c r="I81" s="8" t="str">
        <f ca="1">IF($L81="","",INDEX('Veri Merkezi'!$R$2:$R$1001,$L81))</f>
        <v/>
      </c>
      <c r="J81" s="8" t="str">
        <f ca="1">IF($L81="","",INDEX('Veri Merkezi'!$S$2:$S$1001,$L81))</f>
        <v/>
      </c>
      <c r="K81" s="8" t="str">
        <f ca="1">IF($L81="","",INDEX('Veri Merkezi'!$U$2:$U$1001,$L81))</f>
        <v/>
      </c>
      <c r="L81" s="8" t="str">
        <f ca="1">IFERROR(MATCH(ROWS($L$4:L81),'Veri Merkezi'!$W$2:$W$1001,0),"")</f>
        <v/>
      </c>
    </row>
    <row r="82" spans="1:12" ht="20" customHeight="1">
      <c r="A82" s="8" t="str">
        <f ca="1">IF($L82="","",ROWS($A$4:A82))</f>
        <v/>
      </c>
      <c r="B82" s="8" t="str">
        <f ca="1">IF($L82="","",INDEX('Veri Merkezi'!$A$2:$A$1001,$L82))</f>
        <v/>
      </c>
      <c r="C82" s="8" t="str">
        <f ca="1">IF($L82="","",INDEX('Veri Merkezi'!$E$2:$E$1001,$L82))</f>
        <v/>
      </c>
      <c r="D82" s="8" t="str">
        <f ca="1">IF($L82="","",INDEX('Veri Merkezi'!$D$2:$D$1001,$L82))</f>
        <v/>
      </c>
      <c r="E82" s="8" t="str">
        <f ca="1">IF($L82="","",INDEX('Veri Merkezi'!$F$2:$F$1001,$L82))</f>
        <v/>
      </c>
      <c r="F82" s="9" t="str">
        <f ca="1">IF($L82="","",INDEX('Veri Merkezi'!$G$2:$G$1001,$L82))</f>
        <v/>
      </c>
      <c r="G82" s="8" t="str">
        <f t="shared" ca="1" si="2"/>
        <v/>
      </c>
      <c r="H82" s="8" t="str">
        <f ca="1">IF($L82="","",INDEX('Veri Merkezi'!$H$2:$H$1001,$L82))</f>
        <v/>
      </c>
      <c r="I82" s="8" t="str">
        <f ca="1">IF($L82="","",INDEX('Veri Merkezi'!$R$2:$R$1001,$L82))</f>
        <v/>
      </c>
      <c r="J82" s="8" t="str">
        <f ca="1">IF($L82="","",INDEX('Veri Merkezi'!$S$2:$S$1001,$L82))</f>
        <v/>
      </c>
      <c r="K82" s="8" t="str">
        <f ca="1">IF($L82="","",INDEX('Veri Merkezi'!$U$2:$U$1001,$L82))</f>
        <v/>
      </c>
      <c r="L82" s="8" t="str">
        <f ca="1">IFERROR(MATCH(ROWS($L$4:L82),'Veri Merkezi'!$W$2:$W$1001,0),"")</f>
        <v/>
      </c>
    </row>
    <row r="83" spans="1:12" ht="20" customHeight="1">
      <c r="A83" s="8" t="str">
        <f ca="1">IF($L83="","",ROWS($A$4:A83))</f>
        <v/>
      </c>
      <c r="B83" s="8" t="str">
        <f ca="1">IF($L83="","",INDEX('Veri Merkezi'!$A$2:$A$1001,$L83))</f>
        <v/>
      </c>
      <c r="C83" s="8" t="str">
        <f ca="1">IF($L83="","",INDEX('Veri Merkezi'!$E$2:$E$1001,$L83))</f>
        <v/>
      </c>
      <c r="D83" s="8" t="str">
        <f ca="1">IF($L83="","",INDEX('Veri Merkezi'!$D$2:$D$1001,$L83))</f>
        <v/>
      </c>
      <c r="E83" s="8" t="str">
        <f ca="1">IF($L83="","",INDEX('Veri Merkezi'!$F$2:$F$1001,$L83))</f>
        <v/>
      </c>
      <c r="F83" s="9" t="str">
        <f ca="1">IF($L83="","",INDEX('Veri Merkezi'!$G$2:$G$1001,$L83))</f>
        <v/>
      </c>
      <c r="G83" s="8" t="str">
        <f t="shared" ca="1" si="2"/>
        <v/>
      </c>
      <c r="H83" s="8" t="str">
        <f ca="1">IF($L83="","",INDEX('Veri Merkezi'!$H$2:$H$1001,$L83))</f>
        <v/>
      </c>
      <c r="I83" s="8" t="str">
        <f ca="1">IF($L83="","",INDEX('Veri Merkezi'!$R$2:$R$1001,$L83))</f>
        <v/>
      </c>
      <c r="J83" s="8" t="str">
        <f ca="1">IF($L83="","",INDEX('Veri Merkezi'!$S$2:$S$1001,$L83))</f>
        <v/>
      </c>
      <c r="K83" s="8" t="str">
        <f ca="1">IF($L83="","",INDEX('Veri Merkezi'!$U$2:$U$1001,$L83))</f>
        <v/>
      </c>
      <c r="L83" s="8" t="str">
        <f ca="1">IFERROR(MATCH(ROWS($L$4:L83),'Veri Merkezi'!$W$2:$W$1001,0),"")</f>
        <v/>
      </c>
    </row>
    <row r="84" spans="1:12" ht="20" customHeight="1">
      <c r="A84" s="8" t="str">
        <f ca="1">IF($L84="","",ROWS($A$4:A84))</f>
        <v/>
      </c>
      <c r="B84" s="8" t="str">
        <f ca="1">IF($L84="","",INDEX('Veri Merkezi'!$A$2:$A$1001,$L84))</f>
        <v/>
      </c>
      <c r="C84" s="8" t="str">
        <f ca="1">IF($L84="","",INDEX('Veri Merkezi'!$E$2:$E$1001,$L84))</f>
        <v/>
      </c>
      <c r="D84" s="8" t="str">
        <f ca="1">IF($L84="","",INDEX('Veri Merkezi'!$D$2:$D$1001,$L84))</f>
        <v/>
      </c>
      <c r="E84" s="8" t="str">
        <f ca="1">IF($L84="","",INDEX('Veri Merkezi'!$F$2:$F$1001,$L84))</f>
        <v/>
      </c>
      <c r="F84" s="9" t="str">
        <f ca="1">IF($L84="","",INDEX('Veri Merkezi'!$G$2:$G$1001,$L84))</f>
        <v/>
      </c>
      <c r="G84" s="8" t="str">
        <f t="shared" ca="1" si="2"/>
        <v/>
      </c>
      <c r="H84" s="8" t="str">
        <f ca="1">IF($L84="","",INDEX('Veri Merkezi'!$H$2:$H$1001,$L84))</f>
        <v/>
      </c>
      <c r="I84" s="8" t="str">
        <f ca="1">IF($L84="","",INDEX('Veri Merkezi'!$R$2:$R$1001,$L84))</f>
        <v/>
      </c>
      <c r="J84" s="8" t="str">
        <f ca="1">IF($L84="","",INDEX('Veri Merkezi'!$S$2:$S$1001,$L84))</f>
        <v/>
      </c>
      <c r="K84" s="8" t="str">
        <f ca="1">IF($L84="","",INDEX('Veri Merkezi'!$U$2:$U$1001,$L84))</f>
        <v/>
      </c>
      <c r="L84" s="8" t="str">
        <f ca="1">IFERROR(MATCH(ROWS($L$4:L84),'Veri Merkezi'!$W$2:$W$1001,0),"")</f>
        <v/>
      </c>
    </row>
    <row r="85" spans="1:12" ht="20" customHeight="1">
      <c r="A85" s="8" t="str">
        <f ca="1">IF($L85="","",ROWS($A$4:A85))</f>
        <v/>
      </c>
      <c r="B85" s="8" t="str">
        <f ca="1">IF($L85="","",INDEX('Veri Merkezi'!$A$2:$A$1001,$L85))</f>
        <v/>
      </c>
      <c r="C85" s="8" t="str">
        <f ca="1">IF($L85="","",INDEX('Veri Merkezi'!$E$2:$E$1001,$L85))</f>
        <v/>
      </c>
      <c r="D85" s="8" t="str">
        <f ca="1">IF($L85="","",INDEX('Veri Merkezi'!$D$2:$D$1001,$L85))</f>
        <v/>
      </c>
      <c r="E85" s="8" t="str">
        <f ca="1">IF($L85="","",INDEX('Veri Merkezi'!$F$2:$F$1001,$L85))</f>
        <v/>
      </c>
      <c r="F85" s="9" t="str">
        <f ca="1">IF($L85="","",INDEX('Veri Merkezi'!$G$2:$G$1001,$L85))</f>
        <v/>
      </c>
      <c r="G85" s="8" t="str">
        <f t="shared" ca="1" si="2"/>
        <v/>
      </c>
      <c r="H85" s="8" t="str">
        <f ca="1">IF($L85="","",INDEX('Veri Merkezi'!$H$2:$H$1001,$L85))</f>
        <v/>
      </c>
      <c r="I85" s="8" t="str">
        <f ca="1">IF($L85="","",INDEX('Veri Merkezi'!$R$2:$R$1001,$L85))</f>
        <v/>
      </c>
      <c r="J85" s="8" t="str">
        <f ca="1">IF($L85="","",INDEX('Veri Merkezi'!$S$2:$S$1001,$L85))</f>
        <v/>
      </c>
      <c r="K85" s="8" t="str">
        <f ca="1">IF($L85="","",INDEX('Veri Merkezi'!$U$2:$U$1001,$L85))</f>
        <v/>
      </c>
      <c r="L85" s="8" t="str">
        <f ca="1">IFERROR(MATCH(ROWS($L$4:L85),'Veri Merkezi'!$W$2:$W$1001,0),"")</f>
        <v/>
      </c>
    </row>
    <row r="86" spans="1:12" ht="20" customHeight="1">
      <c r="A86" s="8" t="str">
        <f ca="1">IF($L86="","",ROWS($A$4:A86))</f>
        <v/>
      </c>
      <c r="B86" s="8" t="str">
        <f ca="1">IF($L86="","",INDEX('Veri Merkezi'!$A$2:$A$1001,$L86))</f>
        <v/>
      </c>
      <c r="C86" s="8" t="str">
        <f ca="1">IF($L86="","",INDEX('Veri Merkezi'!$E$2:$E$1001,$L86))</f>
        <v/>
      </c>
      <c r="D86" s="8" t="str">
        <f ca="1">IF($L86="","",INDEX('Veri Merkezi'!$D$2:$D$1001,$L86))</f>
        <v/>
      </c>
      <c r="E86" s="8" t="str">
        <f ca="1">IF($L86="","",INDEX('Veri Merkezi'!$F$2:$F$1001,$L86))</f>
        <v/>
      </c>
      <c r="F86" s="9" t="str">
        <f ca="1">IF($L86="","",INDEX('Veri Merkezi'!$G$2:$G$1001,$L86))</f>
        <v/>
      </c>
      <c r="G86" s="8" t="str">
        <f t="shared" ca="1" si="2"/>
        <v/>
      </c>
      <c r="H86" s="8" t="str">
        <f ca="1">IF($L86="","",INDEX('Veri Merkezi'!$H$2:$H$1001,$L86))</f>
        <v/>
      </c>
      <c r="I86" s="8" t="str">
        <f ca="1">IF($L86="","",INDEX('Veri Merkezi'!$R$2:$R$1001,$L86))</f>
        <v/>
      </c>
      <c r="J86" s="8" t="str">
        <f ca="1">IF($L86="","",INDEX('Veri Merkezi'!$S$2:$S$1001,$L86))</f>
        <v/>
      </c>
      <c r="K86" s="8" t="str">
        <f ca="1">IF($L86="","",INDEX('Veri Merkezi'!$U$2:$U$1001,$L86))</f>
        <v/>
      </c>
      <c r="L86" s="8" t="str">
        <f ca="1">IFERROR(MATCH(ROWS($L$4:L86),'Veri Merkezi'!$W$2:$W$1001,0),"")</f>
        <v/>
      </c>
    </row>
    <row r="87" spans="1:12" ht="20" customHeight="1">
      <c r="A87" s="8" t="str">
        <f ca="1">IF($L87="","",ROWS($A$4:A87))</f>
        <v/>
      </c>
      <c r="B87" s="8" t="str">
        <f ca="1">IF($L87="","",INDEX('Veri Merkezi'!$A$2:$A$1001,$L87))</f>
        <v/>
      </c>
      <c r="C87" s="8" t="str">
        <f ca="1">IF($L87="","",INDEX('Veri Merkezi'!$E$2:$E$1001,$L87))</f>
        <v/>
      </c>
      <c r="D87" s="8" t="str">
        <f ca="1">IF($L87="","",INDEX('Veri Merkezi'!$D$2:$D$1001,$L87))</f>
        <v/>
      </c>
      <c r="E87" s="8" t="str">
        <f ca="1">IF($L87="","",INDEX('Veri Merkezi'!$F$2:$F$1001,$L87))</f>
        <v/>
      </c>
      <c r="F87" s="9" t="str">
        <f ca="1">IF($L87="","",INDEX('Veri Merkezi'!$G$2:$G$1001,$L87))</f>
        <v/>
      </c>
      <c r="G87" s="8" t="str">
        <f t="shared" ca="1" si="2"/>
        <v/>
      </c>
      <c r="H87" s="8" t="str">
        <f ca="1">IF($L87="","",INDEX('Veri Merkezi'!$H$2:$H$1001,$L87))</f>
        <v/>
      </c>
      <c r="I87" s="8" t="str">
        <f ca="1">IF($L87="","",INDEX('Veri Merkezi'!$R$2:$R$1001,$L87))</f>
        <v/>
      </c>
      <c r="J87" s="8" t="str">
        <f ca="1">IF($L87="","",INDEX('Veri Merkezi'!$S$2:$S$1001,$L87))</f>
        <v/>
      </c>
      <c r="K87" s="8" t="str">
        <f ca="1">IF($L87="","",INDEX('Veri Merkezi'!$U$2:$U$1001,$L87))</f>
        <v/>
      </c>
      <c r="L87" s="8" t="str">
        <f ca="1">IFERROR(MATCH(ROWS($L$4:L87),'Veri Merkezi'!$W$2:$W$1001,0),"")</f>
        <v/>
      </c>
    </row>
    <row r="88" spans="1:12" ht="20" customHeight="1">
      <c r="A88" s="8" t="str">
        <f ca="1">IF($L88="","",ROWS($A$4:A88))</f>
        <v/>
      </c>
      <c r="B88" s="8" t="str">
        <f ca="1">IF($L88="","",INDEX('Veri Merkezi'!$A$2:$A$1001,$L88))</f>
        <v/>
      </c>
      <c r="C88" s="8" t="str">
        <f ca="1">IF($L88="","",INDEX('Veri Merkezi'!$E$2:$E$1001,$L88))</f>
        <v/>
      </c>
      <c r="D88" s="8" t="str">
        <f ca="1">IF($L88="","",INDEX('Veri Merkezi'!$D$2:$D$1001,$L88))</f>
        <v/>
      </c>
      <c r="E88" s="8" t="str">
        <f ca="1">IF($L88="","",INDEX('Veri Merkezi'!$F$2:$F$1001,$L88))</f>
        <v/>
      </c>
      <c r="F88" s="9" t="str">
        <f ca="1">IF($L88="","",INDEX('Veri Merkezi'!$G$2:$G$1001,$L88))</f>
        <v/>
      </c>
      <c r="G88" s="8" t="str">
        <f t="shared" ca="1" si="2"/>
        <v/>
      </c>
      <c r="H88" s="8" t="str">
        <f ca="1">IF($L88="","",INDEX('Veri Merkezi'!$H$2:$H$1001,$L88))</f>
        <v/>
      </c>
      <c r="I88" s="8" t="str">
        <f ca="1">IF($L88="","",INDEX('Veri Merkezi'!$R$2:$R$1001,$L88))</f>
        <v/>
      </c>
      <c r="J88" s="8" t="str">
        <f ca="1">IF($L88="","",INDEX('Veri Merkezi'!$S$2:$S$1001,$L88))</f>
        <v/>
      </c>
      <c r="K88" s="8" t="str">
        <f ca="1">IF($L88="","",INDEX('Veri Merkezi'!$U$2:$U$1001,$L88))</f>
        <v/>
      </c>
      <c r="L88" s="8" t="str">
        <f ca="1">IFERROR(MATCH(ROWS($L$4:L88),'Veri Merkezi'!$W$2:$W$1001,0),"")</f>
        <v/>
      </c>
    </row>
    <row r="89" spans="1:12" ht="20" customHeight="1">
      <c r="A89" s="8" t="str">
        <f ca="1">IF($L89="","",ROWS($A$4:A89))</f>
        <v/>
      </c>
      <c r="B89" s="8" t="str">
        <f ca="1">IF($L89="","",INDEX('Veri Merkezi'!$A$2:$A$1001,$L89))</f>
        <v/>
      </c>
      <c r="C89" s="8" t="str">
        <f ca="1">IF($L89="","",INDEX('Veri Merkezi'!$E$2:$E$1001,$L89))</f>
        <v/>
      </c>
      <c r="D89" s="8" t="str">
        <f ca="1">IF($L89="","",INDEX('Veri Merkezi'!$D$2:$D$1001,$L89))</f>
        <v/>
      </c>
      <c r="E89" s="8" t="str">
        <f ca="1">IF($L89="","",INDEX('Veri Merkezi'!$F$2:$F$1001,$L89))</f>
        <v/>
      </c>
      <c r="F89" s="9" t="str">
        <f ca="1">IF($L89="","",INDEX('Veri Merkezi'!$G$2:$G$1001,$L89))</f>
        <v/>
      </c>
      <c r="G89" s="8" t="str">
        <f t="shared" ca="1" si="2"/>
        <v/>
      </c>
      <c r="H89" s="8" t="str">
        <f ca="1">IF($L89="","",INDEX('Veri Merkezi'!$H$2:$H$1001,$L89))</f>
        <v/>
      </c>
      <c r="I89" s="8" t="str">
        <f ca="1">IF($L89="","",INDEX('Veri Merkezi'!$R$2:$R$1001,$L89))</f>
        <v/>
      </c>
      <c r="J89" s="8" t="str">
        <f ca="1">IF($L89="","",INDEX('Veri Merkezi'!$S$2:$S$1001,$L89))</f>
        <v/>
      </c>
      <c r="K89" s="8" t="str">
        <f ca="1">IF($L89="","",INDEX('Veri Merkezi'!$U$2:$U$1001,$L89))</f>
        <v/>
      </c>
      <c r="L89" s="8" t="str">
        <f ca="1">IFERROR(MATCH(ROWS($L$4:L89),'Veri Merkezi'!$W$2:$W$1001,0),"")</f>
        <v/>
      </c>
    </row>
    <row r="90" spans="1:12" ht="20" customHeight="1">
      <c r="A90" s="8" t="str">
        <f ca="1">IF($L90="","",ROWS($A$4:A90))</f>
        <v/>
      </c>
      <c r="B90" s="8" t="str">
        <f ca="1">IF($L90="","",INDEX('Veri Merkezi'!$A$2:$A$1001,$L90))</f>
        <v/>
      </c>
      <c r="C90" s="8" t="str">
        <f ca="1">IF($L90="","",INDEX('Veri Merkezi'!$E$2:$E$1001,$L90))</f>
        <v/>
      </c>
      <c r="D90" s="8" t="str">
        <f ca="1">IF($L90="","",INDEX('Veri Merkezi'!$D$2:$D$1001,$L90))</f>
        <v/>
      </c>
      <c r="E90" s="8" t="str">
        <f ca="1">IF($L90="","",INDEX('Veri Merkezi'!$F$2:$F$1001,$L90))</f>
        <v/>
      </c>
      <c r="F90" s="9" t="str">
        <f ca="1">IF($L90="","",INDEX('Veri Merkezi'!$G$2:$G$1001,$L90))</f>
        <v/>
      </c>
      <c r="G90" s="8" t="str">
        <f t="shared" ca="1" si="2"/>
        <v/>
      </c>
      <c r="H90" s="8" t="str">
        <f ca="1">IF($L90="","",INDEX('Veri Merkezi'!$H$2:$H$1001,$L90))</f>
        <v/>
      </c>
      <c r="I90" s="8" t="str">
        <f ca="1">IF($L90="","",INDEX('Veri Merkezi'!$R$2:$R$1001,$L90))</f>
        <v/>
      </c>
      <c r="J90" s="8" t="str">
        <f ca="1">IF($L90="","",INDEX('Veri Merkezi'!$S$2:$S$1001,$L90))</f>
        <v/>
      </c>
      <c r="K90" s="8" t="str">
        <f ca="1">IF($L90="","",INDEX('Veri Merkezi'!$U$2:$U$1001,$L90))</f>
        <v/>
      </c>
      <c r="L90" s="8" t="str">
        <f ca="1">IFERROR(MATCH(ROWS($L$4:L90),'Veri Merkezi'!$W$2:$W$1001,0),"")</f>
        <v/>
      </c>
    </row>
    <row r="91" spans="1:12" ht="20" customHeight="1">
      <c r="A91" s="8" t="str">
        <f ca="1">IF($L91="","",ROWS($A$4:A91))</f>
        <v/>
      </c>
      <c r="B91" s="8" t="str">
        <f ca="1">IF($L91="","",INDEX('Veri Merkezi'!$A$2:$A$1001,$L91))</f>
        <v/>
      </c>
      <c r="C91" s="8" t="str">
        <f ca="1">IF($L91="","",INDEX('Veri Merkezi'!$E$2:$E$1001,$L91))</f>
        <v/>
      </c>
      <c r="D91" s="8" t="str">
        <f ca="1">IF($L91="","",INDEX('Veri Merkezi'!$D$2:$D$1001,$L91))</f>
        <v/>
      </c>
      <c r="E91" s="8" t="str">
        <f ca="1">IF($L91="","",INDEX('Veri Merkezi'!$F$2:$F$1001,$L91))</f>
        <v/>
      </c>
      <c r="F91" s="9" t="str">
        <f ca="1">IF($L91="","",INDEX('Veri Merkezi'!$G$2:$G$1001,$L91))</f>
        <v/>
      </c>
      <c r="G91" s="8" t="str">
        <f t="shared" ca="1" si="2"/>
        <v/>
      </c>
      <c r="H91" s="8" t="str">
        <f ca="1">IF($L91="","",INDEX('Veri Merkezi'!$H$2:$H$1001,$L91))</f>
        <v/>
      </c>
      <c r="I91" s="8" t="str">
        <f ca="1">IF($L91="","",INDEX('Veri Merkezi'!$R$2:$R$1001,$L91))</f>
        <v/>
      </c>
      <c r="J91" s="8" t="str">
        <f ca="1">IF($L91="","",INDEX('Veri Merkezi'!$S$2:$S$1001,$L91))</f>
        <v/>
      </c>
      <c r="K91" s="8" t="str">
        <f ca="1">IF($L91="","",INDEX('Veri Merkezi'!$U$2:$U$1001,$L91))</f>
        <v/>
      </c>
      <c r="L91" s="8" t="str">
        <f ca="1">IFERROR(MATCH(ROWS($L$4:L91),'Veri Merkezi'!$W$2:$W$1001,0),"")</f>
        <v/>
      </c>
    </row>
    <row r="92" spans="1:12" ht="20" customHeight="1">
      <c r="A92" s="8" t="str">
        <f ca="1">IF($L92="","",ROWS($A$4:A92))</f>
        <v/>
      </c>
      <c r="B92" s="8" t="str">
        <f ca="1">IF($L92="","",INDEX('Veri Merkezi'!$A$2:$A$1001,$L92))</f>
        <v/>
      </c>
      <c r="C92" s="8" t="str">
        <f ca="1">IF($L92="","",INDEX('Veri Merkezi'!$E$2:$E$1001,$L92))</f>
        <v/>
      </c>
      <c r="D92" s="8" t="str">
        <f ca="1">IF($L92="","",INDEX('Veri Merkezi'!$D$2:$D$1001,$L92))</f>
        <v/>
      </c>
      <c r="E92" s="8" t="str">
        <f ca="1">IF($L92="","",INDEX('Veri Merkezi'!$F$2:$F$1001,$L92))</f>
        <v/>
      </c>
      <c r="F92" s="9" t="str">
        <f ca="1">IF($L92="","",INDEX('Veri Merkezi'!$G$2:$G$1001,$L92))</f>
        <v/>
      </c>
      <c r="G92" s="8" t="str">
        <f t="shared" ca="1" si="2"/>
        <v/>
      </c>
      <c r="H92" s="8" t="str">
        <f ca="1">IF($L92="","",INDEX('Veri Merkezi'!$H$2:$H$1001,$L92))</f>
        <v/>
      </c>
      <c r="I92" s="8" t="str">
        <f ca="1">IF($L92="","",INDEX('Veri Merkezi'!$R$2:$R$1001,$L92))</f>
        <v/>
      </c>
      <c r="J92" s="8" t="str">
        <f ca="1">IF($L92="","",INDEX('Veri Merkezi'!$S$2:$S$1001,$L92))</f>
        <v/>
      </c>
      <c r="K92" s="8" t="str">
        <f ca="1">IF($L92="","",INDEX('Veri Merkezi'!$U$2:$U$1001,$L92))</f>
        <v/>
      </c>
      <c r="L92" s="8" t="str">
        <f ca="1">IFERROR(MATCH(ROWS($L$4:L92),'Veri Merkezi'!$W$2:$W$1001,0),"")</f>
        <v/>
      </c>
    </row>
    <row r="93" spans="1:12" ht="20" customHeight="1">
      <c r="A93" s="8" t="str">
        <f ca="1">IF($L93="","",ROWS($A$4:A93))</f>
        <v/>
      </c>
      <c r="B93" s="8" t="str">
        <f ca="1">IF($L93="","",INDEX('Veri Merkezi'!$A$2:$A$1001,$L93))</f>
        <v/>
      </c>
      <c r="C93" s="8" t="str">
        <f ca="1">IF($L93="","",INDEX('Veri Merkezi'!$E$2:$E$1001,$L93))</f>
        <v/>
      </c>
      <c r="D93" s="8" t="str">
        <f ca="1">IF($L93="","",INDEX('Veri Merkezi'!$D$2:$D$1001,$L93))</f>
        <v/>
      </c>
      <c r="E93" s="8" t="str">
        <f ca="1">IF($L93="","",INDEX('Veri Merkezi'!$F$2:$F$1001,$L93))</f>
        <v/>
      </c>
      <c r="F93" s="9" t="str">
        <f ca="1">IF($L93="","",INDEX('Veri Merkezi'!$G$2:$G$1001,$L93))</f>
        <v/>
      </c>
      <c r="G93" s="8" t="str">
        <f t="shared" ca="1" si="2"/>
        <v/>
      </c>
      <c r="H93" s="8" t="str">
        <f ca="1">IF($L93="","",INDEX('Veri Merkezi'!$H$2:$H$1001,$L93))</f>
        <v/>
      </c>
      <c r="I93" s="8" t="str">
        <f ca="1">IF($L93="","",INDEX('Veri Merkezi'!$R$2:$R$1001,$L93))</f>
        <v/>
      </c>
      <c r="J93" s="8" t="str">
        <f ca="1">IF($L93="","",INDEX('Veri Merkezi'!$S$2:$S$1001,$L93))</f>
        <v/>
      </c>
      <c r="K93" s="8" t="str">
        <f ca="1">IF($L93="","",INDEX('Veri Merkezi'!$U$2:$U$1001,$L93))</f>
        <v/>
      </c>
      <c r="L93" s="8" t="str">
        <f ca="1">IFERROR(MATCH(ROWS($L$4:L93),'Veri Merkezi'!$W$2:$W$1001,0),"")</f>
        <v/>
      </c>
    </row>
    <row r="94" spans="1:12" ht="20" customHeight="1">
      <c r="A94" s="8" t="str">
        <f ca="1">IF($L94="","",ROWS($A$4:A94))</f>
        <v/>
      </c>
      <c r="B94" s="8" t="str">
        <f ca="1">IF($L94="","",INDEX('Veri Merkezi'!$A$2:$A$1001,$L94))</f>
        <v/>
      </c>
      <c r="C94" s="8" t="str">
        <f ca="1">IF($L94="","",INDEX('Veri Merkezi'!$E$2:$E$1001,$L94))</f>
        <v/>
      </c>
      <c r="D94" s="8" t="str">
        <f ca="1">IF($L94="","",INDEX('Veri Merkezi'!$D$2:$D$1001,$L94))</f>
        <v/>
      </c>
      <c r="E94" s="8" t="str">
        <f ca="1">IF($L94="","",INDEX('Veri Merkezi'!$F$2:$F$1001,$L94))</f>
        <v/>
      </c>
      <c r="F94" s="9" t="str">
        <f ca="1">IF($L94="","",INDEX('Veri Merkezi'!$G$2:$G$1001,$L94))</f>
        <v/>
      </c>
      <c r="G94" s="8" t="str">
        <f t="shared" ca="1" si="2"/>
        <v/>
      </c>
      <c r="H94" s="8" t="str">
        <f ca="1">IF($L94="","",INDEX('Veri Merkezi'!$H$2:$H$1001,$L94))</f>
        <v/>
      </c>
      <c r="I94" s="8" t="str">
        <f ca="1">IF($L94="","",INDEX('Veri Merkezi'!$R$2:$R$1001,$L94))</f>
        <v/>
      </c>
      <c r="J94" s="8" t="str">
        <f ca="1">IF($L94="","",INDEX('Veri Merkezi'!$S$2:$S$1001,$L94))</f>
        <v/>
      </c>
      <c r="K94" s="8" t="str">
        <f ca="1">IF($L94="","",INDEX('Veri Merkezi'!$U$2:$U$1001,$L94))</f>
        <v/>
      </c>
      <c r="L94" s="8" t="str">
        <f ca="1">IFERROR(MATCH(ROWS($L$4:L94),'Veri Merkezi'!$W$2:$W$1001,0),"")</f>
        <v/>
      </c>
    </row>
    <row r="95" spans="1:12" ht="20" customHeight="1">
      <c r="A95" s="8" t="str">
        <f ca="1">IF($L95="","",ROWS($A$4:A95))</f>
        <v/>
      </c>
      <c r="B95" s="8" t="str">
        <f ca="1">IF($L95="","",INDEX('Veri Merkezi'!$A$2:$A$1001,$L95))</f>
        <v/>
      </c>
      <c r="C95" s="8" t="str">
        <f ca="1">IF($L95="","",INDEX('Veri Merkezi'!$E$2:$E$1001,$L95))</f>
        <v/>
      </c>
      <c r="D95" s="8" t="str">
        <f ca="1">IF($L95="","",INDEX('Veri Merkezi'!$D$2:$D$1001,$L95))</f>
        <v/>
      </c>
      <c r="E95" s="8" t="str">
        <f ca="1">IF($L95="","",INDEX('Veri Merkezi'!$F$2:$F$1001,$L95))</f>
        <v/>
      </c>
      <c r="F95" s="9" t="str">
        <f ca="1">IF($L95="","",INDEX('Veri Merkezi'!$G$2:$G$1001,$L95))</f>
        <v/>
      </c>
      <c r="G95" s="8" t="str">
        <f t="shared" ca="1" si="2"/>
        <v/>
      </c>
      <c r="H95" s="8" t="str">
        <f ca="1">IF($L95="","",INDEX('Veri Merkezi'!$H$2:$H$1001,$L95))</f>
        <v/>
      </c>
      <c r="I95" s="8" t="str">
        <f ca="1">IF($L95="","",INDEX('Veri Merkezi'!$R$2:$R$1001,$L95))</f>
        <v/>
      </c>
      <c r="J95" s="8" t="str">
        <f ca="1">IF($L95="","",INDEX('Veri Merkezi'!$S$2:$S$1001,$L95))</f>
        <v/>
      </c>
      <c r="K95" s="8" t="str">
        <f ca="1">IF($L95="","",INDEX('Veri Merkezi'!$U$2:$U$1001,$L95))</f>
        <v/>
      </c>
      <c r="L95" s="8" t="str">
        <f ca="1">IFERROR(MATCH(ROWS($L$4:L95),'Veri Merkezi'!$W$2:$W$1001,0),"")</f>
        <v/>
      </c>
    </row>
    <row r="96" spans="1:12" ht="20" customHeight="1">
      <c r="A96" s="8" t="str">
        <f ca="1">IF($L96="","",ROWS($A$4:A96))</f>
        <v/>
      </c>
      <c r="B96" s="8" t="str">
        <f ca="1">IF($L96="","",INDEX('Veri Merkezi'!$A$2:$A$1001,$L96))</f>
        <v/>
      </c>
      <c r="C96" s="8" t="str">
        <f ca="1">IF($L96="","",INDEX('Veri Merkezi'!$E$2:$E$1001,$L96))</f>
        <v/>
      </c>
      <c r="D96" s="8" t="str">
        <f ca="1">IF($L96="","",INDEX('Veri Merkezi'!$D$2:$D$1001,$L96))</f>
        <v/>
      </c>
      <c r="E96" s="8" t="str">
        <f ca="1">IF($L96="","",INDEX('Veri Merkezi'!$F$2:$F$1001,$L96))</f>
        <v/>
      </c>
      <c r="F96" s="9" t="str">
        <f ca="1">IF($L96="","",INDEX('Veri Merkezi'!$G$2:$G$1001,$L96))</f>
        <v/>
      </c>
      <c r="G96" s="8" t="str">
        <f t="shared" ca="1" si="2"/>
        <v/>
      </c>
      <c r="H96" s="8" t="str">
        <f ca="1">IF($L96="","",INDEX('Veri Merkezi'!$H$2:$H$1001,$L96))</f>
        <v/>
      </c>
      <c r="I96" s="8" t="str">
        <f ca="1">IF($L96="","",INDEX('Veri Merkezi'!$R$2:$R$1001,$L96))</f>
        <v/>
      </c>
      <c r="J96" s="8" t="str">
        <f ca="1">IF($L96="","",INDEX('Veri Merkezi'!$S$2:$S$1001,$L96))</f>
        <v/>
      </c>
      <c r="K96" s="8" t="str">
        <f ca="1">IF($L96="","",INDEX('Veri Merkezi'!$U$2:$U$1001,$L96))</f>
        <v/>
      </c>
      <c r="L96" s="8" t="str">
        <f ca="1">IFERROR(MATCH(ROWS($L$4:L96),'Veri Merkezi'!$W$2:$W$1001,0),"")</f>
        <v/>
      </c>
    </row>
    <row r="97" spans="1:12" ht="20" customHeight="1">
      <c r="A97" s="8" t="str">
        <f ca="1">IF($L97="","",ROWS($A$4:A97))</f>
        <v/>
      </c>
      <c r="B97" s="8" t="str">
        <f ca="1">IF($L97="","",INDEX('Veri Merkezi'!$A$2:$A$1001,$L97))</f>
        <v/>
      </c>
      <c r="C97" s="8" t="str">
        <f ca="1">IF($L97="","",INDEX('Veri Merkezi'!$E$2:$E$1001,$L97))</f>
        <v/>
      </c>
      <c r="D97" s="8" t="str">
        <f ca="1">IF($L97="","",INDEX('Veri Merkezi'!$D$2:$D$1001,$L97))</f>
        <v/>
      </c>
      <c r="E97" s="8" t="str">
        <f ca="1">IF($L97="","",INDEX('Veri Merkezi'!$F$2:$F$1001,$L97))</f>
        <v/>
      </c>
      <c r="F97" s="9" t="str">
        <f ca="1">IF($L97="","",INDEX('Veri Merkezi'!$G$2:$G$1001,$L97))</f>
        <v/>
      </c>
      <c r="G97" s="8" t="str">
        <f t="shared" ca="1" si="2"/>
        <v/>
      </c>
      <c r="H97" s="8" t="str">
        <f ca="1">IF($L97="","",INDEX('Veri Merkezi'!$H$2:$H$1001,$L97))</f>
        <v/>
      </c>
      <c r="I97" s="8" t="str">
        <f ca="1">IF($L97="","",INDEX('Veri Merkezi'!$R$2:$R$1001,$L97))</f>
        <v/>
      </c>
      <c r="J97" s="8" t="str">
        <f ca="1">IF($L97="","",INDEX('Veri Merkezi'!$S$2:$S$1001,$L97))</f>
        <v/>
      </c>
      <c r="K97" s="8" t="str">
        <f ca="1">IF($L97="","",INDEX('Veri Merkezi'!$U$2:$U$1001,$L97))</f>
        <v/>
      </c>
      <c r="L97" s="8" t="str">
        <f ca="1">IFERROR(MATCH(ROWS($L$4:L97),'Veri Merkezi'!$W$2:$W$1001,0),"")</f>
        <v/>
      </c>
    </row>
    <row r="98" spans="1:12" ht="20" customHeight="1">
      <c r="A98" s="8" t="str">
        <f ca="1">IF($L98="","",ROWS($A$4:A98))</f>
        <v/>
      </c>
      <c r="B98" s="8" t="str">
        <f ca="1">IF($L98="","",INDEX('Veri Merkezi'!$A$2:$A$1001,$L98))</f>
        <v/>
      </c>
      <c r="C98" s="8" t="str">
        <f ca="1">IF($L98="","",INDEX('Veri Merkezi'!$E$2:$E$1001,$L98))</f>
        <v/>
      </c>
      <c r="D98" s="8" t="str">
        <f ca="1">IF($L98="","",INDEX('Veri Merkezi'!$D$2:$D$1001,$L98))</f>
        <v/>
      </c>
      <c r="E98" s="8" t="str">
        <f ca="1">IF($L98="","",INDEX('Veri Merkezi'!$F$2:$F$1001,$L98))</f>
        <v/>
      </c>
      <c r="F98" s="9" t="str">
        <f ca="1">IF($L98="","",INDEX('Veri Merkezi'!$G$2:$G$1001,$L98))</f>
        <v/>
      </c>
      <c r="G98" s="8" t="str">
        <f t="shared" ca="1" si="2"/>
        <v/>
      </c>
      <c r="H98" s="8" t="str">
        <f ca="1">IF($L98="","",INDEX('Veri Merkezi'!$H$2:$H$1001,$L98))</f>
        <v/>
      </c>
      <c r="I98" s="8" t="str">
        <f ca="1">IF($L98="","",INDEX('Veri Merkezi'!$R$2:$R$1001,$L98))</f>
        <v/>
      </c>
      <c r="J98" s="8" t="str">
        <f ca="1">IF($L98="","",INDEX('Veri Merkezi'!$S$2:$S$1001,$L98))</f>
        <v/>
      </c>
      <c r="K98" s="8" t="str">
        <f ca="1">IF($L98="","",INDEX('Veri Merkezi'!$U$2:$U$1001,$L98))</f>
        <v/>
      </c>
      <c r="L98" s="8" t="str">
        <f ca="1">IFERROR(MATCH(ROWS($L$4:L98),'Veri Merkezi'!$W$2:$W$1001,0),"")</f>
        <v/>
      </c>
    </row>
    <row r="99" spans="1:12" ht="20" customHeight="1">
      <c r="A99" s="8" t="str">
        <f ca="1">IF($L99="","",ROWS($A$4:A99))</f>
        <v/>
      </c>
      <c r="B99" s="8" t="str">
        <f ca="1">IF($L99="","",INDEX('Veri Merkezi'!$A$2:$A$1001,$L99))</f>
        <v/>
      </c>
      <c r="C99" s="8" t="str">
        <f ca="1">IF($L99="","",INDEX('Veri Merkezi'!$E$2:$E$1001,$L99))</f>
        <v/>
      </c>
      <c r="D99" s="8" t="str">
        <f ca="1">IF($L99="","",INDEX('Veri Merkezi'!$D$2:$D$1001,$L99))</f>
        <v/>
      </c>
      <c r="E99" s="8" t="str">
        <f ca="1">IF($L99="","",INDEX('Veri Merkezi'!$F$2:$F$1001,$L99))</f>
        <v/>
      </c>
      <c r="F99" s="9" t="str">
        <f ca="1">IF($L99="","",INDEX('Veri Merkezi'!$G$2:$G$1001,$L99))</f>
        <v/>
      </c>
      <c r="G99" s="8" t="str">
        <f t="shared" ca="1" si="2"/>
        <v/>
      </c>
      <c r="H99" s="8" t="str">
        <f ca="1">IF($L99="","",INDEX('Veri Merkezi'!$H$2:$H$1001,$L99))</f>
        <v/>
      </c>
      <c r="I99" s="8" t="str">
        <f ca="1">IF($L99="","",INDEX('Veri Merkezi'!$R$2:$R$1001,$L99))</f>
        <v/>
      </c>
      <c r="J99" s="8" t="str">
        <f ca="1">IF($L99="","",INDEX('Veri Merkezi'!$S$2:$S$1001,$L99))</f>
        <v/>
      </c>
      <c r="K99" s="8" t="str">
        <f ca="1">IF($L99="","",INDEX('Veri Merkezi'!$U$2:$U$1001,$L99))</f>
        <v/>
      </c>
      <c r="L99" s="8" t="str">
        <f ca="1">IFERROR(MATCH(ROWS($L$4:L99),'Veri Merkezi'!$W$2:$W$1001,0),"")</f>
        <v/>
      </c>
    </row>
    <row r="100" spans="1:12" ht="20" customHeight="1">
      <c r="A100" s="8" t="str">
        <f ca="1">IF($L100="","",ROWS($A$4:A100))</f>
        <v/>
      </c>
      <c r="B100" s="8" t="str">
        <f ca="1">IF($L100="","",INDEX('Veri Merkezi'!$A$2:$A$1001,$L100))</f>
        <v/>
      </c>
      <c r="C100" s="8" t="str">
        <f ca="1">IF($L100="","",INDEX('Veri Merkezi'!$E$2:$E$1001,$L100))</f>
        <v/>
      </c>
      <c r="D100" s="8" t="str">
        <f ca="1">IF($L100="","",INDEX('Veri Merkezi'!$D$2:$D$1001,$L100))</f>
        <v/>
      </c>
      <c r="E100" s="8" t="str">
        <f ca="1">IF($L100="","",INDEX('Veri Merkezi'!$F$2:$F$1001,$L100))</f>
        <v/>
      </c>
      <c r="F100" s="9" t="str">
        <f ca="1">IF($L100="","",INDEX('Veri Merkezi'!$G$2:$G$1001,$L100))</f>
        <v/>
      </c>
      <c r="G100" s="8" t="str">
        <f t="shared" ref="G100:G103" ca="1" si="3">IF(F100="","",F100-TODAY())</f>
        <v/>
      </c>
      <c r="H100" s="8" t="str">
        <f ca="1">IF($L100="","",INDEX('Veri Merkezi'!$H$2:$H$1001,$L100))</f>
        <v/>
      </c>
      <c r="I100" s="8" t="str">
        <f ca="1">IF($L100="","",INDEX('Veri Merkezi'!$R$2:$R$1001,$L100))</f>
        <v/>
      </c>
      <c r="J100" s="8" t="str">
        <f ca="1">IF($L100="","",INDEX('Veri Merkezi'!$S$2:$S$1001,$L100))</f>
        <v/>
      </c>
      <c r="K100" s="8" t="str">
        <f ca="1">IF($L100="","",INDEX('Veri Merkezi'!$U$2:$U$1001,$L100))</f>
        <v/>
      </c>
      <c r="L100" s="8" t="str">
        <f ca="1">IFERROR(MATCH(ROWS($L$4:L100),'Veri Merkezi'!$W$2:$W$1001,0),"")</f>
        <v/>
      </c>
    </row>
    <row r="101" spans="1:12" ht="20" customHeight="1">
      <c r="A101" s="8" t="str">
        <f ca="1">IF($L101="","",ROWS($A$4:A101))</f>
        <v/>
      </c>
      <c r="B101" s="8" t="str">
        <f ca="1">IF($L101="","",INDEX('Veri Merkezi'!$A$2:$A$1001,$L101))</f>
        <v/>
      </c>
      <c r="C101" s="8" t="str">
        <f ca="1">IF($L101="","",INDEX('Veri Merkezi'!$E$2:$E$1001,$L101))</f>
        <v/>
      </c>
      <c r="D101" s="8" t="str">
        <f ca="1">IF($L101="","",INDEX('Veri Merkezi'!$D$2:$D$1001,$L101))</f>
        <v/>
      </c>
      <c r="E101" s="8" t="str">
        <f ca="1">IF($L101="","",INDEX('Veri Merkezi'!$F$2:$F$1001,$L101))</f>
        <v/>
      </c>
      <c r="F101" s="9" t="str">
        <f ca="1">IF($L101="","",INDEX('Veri Merkezi'!$G$2:$G$1001,$L101))</f>
        <v/>
      </c>
      <c r="G101" s="8" t="str">
        <f t="shared" ca="1" si="3"/>
        <v/>
      </c>
      <c r="H101" s="8" t="str">
        <f ca="1">IF($L101="","",INDEX('Veri Merkezi'!$H$2:$H$1001,$L101))</f>
        <v/>
      </c>
      <c r="I101" s="8" t="str">
        <f ca="1">IF($L101="","",INDEX('Veri Merkezi'!$R$2:$R$1001,$L101))</f>
        <v/>
      </c>
      <c r="J101" s="8" t="str">
        <f ca="1">IF($L101="","",INDEX('Veri Merkezi'!$S$2:$S$1001,$L101))</f>
        <v/>
      </c>
      <c r="K101" s="8" t="str">
        <f ca="1">IF($L101="","",INDEX('Veri Merkezi'!$U$2:$U$1001,$L101))</f>
        <v/>
      </c>
      <c r="L101" s="8" t="str">
        <f ca="1">IFERROR(MATCH(ROWS($L$4:L101),'Veri Merkezi'!$W$2:$W$1001,0),"")</f>
        <v/>
      </c>
    </row>
    <row r="102" spans="1:12" ht="20" customHeight="1">
      <c r="A102" s="8" t="str">
        <f ca="1">IF($L102="","",ROWS($A$4:A102))</f>
        <v/>
      </c>
      <c r="B102" s="8" t="str">
        <f ca="1">IF($L102="","",INDEX('Veri Merkezi'!$A$2:$A$1001,$L102))</f>
        <v/>
      </c>
      <c r="C102" s="8" t="str">
        <f ca="1">IF($L102="","",INDEX('Veri Merkezi'!$E$2:$E$1001,$L102))</f>
        <v/>
      </c>
      <c r="D102" s="8" t="str">
        <f ca="1">IF($L102="","",INDEX('Veri Merkezi'!$D$2:$D$1001,$L102))</f>
        <v/>
      </c>
      <c r="E102" s="8" t="str">
        <f ca="1">IF($L102="","",INDEX('Veri Merkezi'!$F$2:$F$1001,$L102))</f>
        <v/>
      </c>
      <c r="F102" s="9" t="str">
        <f ca="1">IF($L102="","",INDEX('Veri Merkezi'!$G$2:$G$1001,$L102))</f>
        <v/>
      </c>
      <c r="G102" s="8" t="str">
        <f t="shared" ca="1" si="3"/>
        <v/>
      </c>
      <c r="H102" s="8" t="str">
        <f ca="1">IF($L102="","",INDEX('Veri Merkezi'!$H$2:$H$1001,$L102))</f>
        <v/>
      </c>
      <c r="I102" s="8" t="str">
        <f ca="1">IF($L102="","",INDEX('Veri Merkezi'!$R$2:$R$1001,$L102))</f>
        <v/>
      </c>
      <c r="J102" s="8" t="str">
        <f ca="1">IF($L102="","",INDEX('Veri Merkezi'!$S$2:$S$1001,$L102))</f>
        <v/>
      </c>
      <c r="K102" s="8" t="str">
        <f ca="1">IF($L102="","",INDEX('Veri Merkezi'!$U$2:$U$1001,$L102))</f>
        <v/>
      </c>
      <c r="L102" s="8" t="str">
        <f ca="1">IFERROR(MATCH(ROWS($L$4:L102),'Veri Merkezi'!$W$2:$W$1001,0),"")</f>
        <v/>
      </c>
    </row>
    <row r="103" spans="1:12" ht="20" customHeight="1">
      <c r="A103" s="8" t="str">
        <f ca="1">IF($L103="","",ROWS($A$4:A103))</f>
        <v/>
      </c>
      <c r="B103" s="8" t="str">
        <f ca="1">IF($L103="","",INDEX('Veri Merkezi'!$A$2:$A$1001,$L103))</f>
        <v/>
      </c>
      <c r="C103" s="8" t="str">
        <f ca="1">IF($L103="","",INDEX('Veri Merkezi'!$E$2:$E$1001,$L103))</f>
        <v/>
      </c>
      <c r="D103" s="8" t="str">
        <f ca="1">IF($L103="","",INDEX('Veri Merkezi'!$D$2:$D$1001,$L103))</f>
        <v/>
      </c>
      <c r="E103" s="8" t="str">
        <f ca="1">IF($L103="","",INDEX('Veri Merkezi'!$F$2:$F$1001,$L103))</f>
        <v/>
      </c>
      <c r="F103" s="9" t="str">
        <f ca="1">IF($L103="","",INDEX('Veri Merkezi'!$G$2:$G$1001,$L103))</f>
        <v/>
      </c>
      <c r="G103" s="8" t="str">
        <f t="shared" ca="1" si="3"/>
        <v/>
      </c>
      <c r="H103" s="8" t="str">
        <f ca="1">IF($L103="","",INDEX('Veri Merkezi'!$H$2:$H$1001,$L103))</f>
        <v/>
      </c>
      <c r="I103" s="8" t="str">
        <f ca="1">IF($L103="","",INDEX('Veri Merkezi'!$R$2:$R$1001,$L103))</f>
        <v/>
      </c>
      <c r="J103" s="8" t="str">
        <f ca="1">IF($L103="","",INDEX('Veri Merkezi'!$S$2:$S$1001,$L103))</f>
        <v/>
      </c>
      <c r="K103" s="8" t="str">
        <f ca="1">IF($L103="","",INDEX('Veri Merkezi'!$U$2:$U$1001,$L103))</f>
        <v/>
      </c>
      <c r="L103" s="8" t="str">
        <f ca="1">IFERROR(MATCH(ROWS($L$4:L103),'Veri Merkezi'!$W$2:$W$1001,0),"")</f>
        <v/>
      </c>
    </row>
    <row r="104" spans="1:12" ht="20" customHeight="1">
      <c r="A104" s="8" t="str">
        <f ca="1">IF($L104="","",ROWS($A$4:A104))</f>
        <v/>
      </c>
      <c r="B104" s="8" t="str">
        <f ca="1">IF($L104="","",INDEX('Veri Merkezi'!$A$2:$A$1001,$L104))</f>
        <v/>
      </c>
      <c r="C104" s="8" t="str">
        <f ca="1">IF($L104="","",INDEX('Veri Merkezi'!$E$2:$E$1001,$L104))</f>
        <v/>
      </c>
      <c r="D104" s="8" t="str">
        <f ca="1">IF($L104="","",INDEX('Veri Merkezi'!$D$2:$D$1001,$L104))</f>
        <v/>
      </c>
      <c r="E104" s="8" t="str">
        <f ca="1">IF($L104="","",INDEX('Veri Merkezi'!$F$2:$F$1001,$L104))</f>
        <v/>
      </c>
      <c r="F104" s="9" t="str">
        <f ca="1">IF($L104="","",INDEX('Veri Merkezi'!$G$2:$G$1001,$L104))</f>
        <v/>
      </c>
      <c r="H104" s="8" t="str">
        <f ca="1">IF($L104="","",INDEX('Veri Merkezi'!$H$2:$H$1001,$L104))</f>
        <v/>
      </c>
      <c r="I104" s="10" t="str">
        <f ca="1">IF($L104="","",INDEX('Veri Merkezi'!$R$2:$R$1001,$L104))</f>
        <v/>
      </c>
      <c r="J104" s="8" t="str">
        <f ca="1">IF($L104="","",INDEX('Veri Merkezi'!$S$2:$S$1001,$L104))</f>
        <v/>
      </c>
      <c r="K104" s="8" t="str">
        <f ca="1">IF($L104="","",INDEX('Veri Merkezi'!$U$2:$U$1001,$L104))</f>
        <v/>
      </c>
      <c r="L104" s="8" t="str">
        <f ca="1">IFERROR(MATCH(ROWS($L$4:L104),'Veri Merkezi'!$W$2:$W$1001,0),"")</f>
        <v/>
      </c>
    </row>
    <row r="105" spans="1:12" ht="20" customHeight="1">
      <c r="A105" s="8" t="str">
        <f ca="1">IF($L105="","",ROWS($A$4:A105))</f>
        <v/>
      </c>
      <c r="B105" s="8" t="str">
        <f ca="1">IF($L105="","",INDEX('Veri Merkezi'!$A$2:$A$1001,$L105))</f>
        <v/>
      </c>
      <c r="C105" s="8" t="str">
        <f ca="1">IF($L105="","",INDEX('Veri Merkezi'!$E$2:$E$1001,$L105))</f>
        <v/>
      </c>
      <c r="D105" s="8" t="str">
        <f ca="1">IF($L105="","",INDEX('Veri Merkezi'!$D$2:$D$1001,$L105))</f>
        <v/>
      </c>
      <c r="E105" s="8" t="str">
        <f ca="1">IF($L105="","",INDEX('Veri Merkezi'!$F$2:$F$1001,$L105))</f>
        <v/>
      </c>
      <c r="F105" s="9" t="str">
        <f ca="1">IF($L105="","",INDEX('Veri Merkezi'!$G$2:$G$1001,$L105))</f>
        <v/>
      </c>
      <c r="H105" s="8" t="str">
        <f ca="1">IF($L105="","",INDEX('Veri Merkezi'!$H$2:$H$1001,$L105))</f>
        <v/>
      </c>
      <c r="I105" s="10" t="str">
        <f ca="1">IF($L105="","",INDEX('Veri Merkezi'!$R$2:$R$1001,$L105))</f>
        <v/>
      </c>
      <c r="J105" s="8" t="str">
        <f ca="1">IF($L105="","",INDEX('Veri Merkezi'!$S$2:$S$1001,$L105))</f>
        <v/>
      </c>
      <c r="K105" s="8" t="str">
        <f ca="1">IF($L105="","",INDEX('Veri Merkezi'!$U$2:$U$1001,$L105))</f>
        <v/>
      </c>
      <c r="L105" s="8" t="str">
        <f ca="1">IFERROR(MATCH(ROWS($L$4:L105),'Veri Merkezi'!$W$2:$W$1001,0),"")</f>
        <v/>
      </c>
    </row>
    <row r="106" spans="1:12" ht="20" customHeight="1">
      <c r="A106" s="8" t="str">
        <f ca="1">IF($L106="","",ROWS($A$4:A106))</f>
        <v/>
      </c>
      <c r="B106" s="8" t="str">
        <f ca="1">IF($L106="","",INDEX('Veri Merkezi'!$A$2:$A$1001,$L106))</f>
        <v/>
      </c>
      <c r="C106" s="8" t="str">
        <f ca="1">IF($L106="","",INDEX('Veri Merkezi'!$E$2:$E$1001,$L106))</f>
        <v/>
      </c>
      <c r="D106" s="8" t="str">
        <f ca="1">IF($L106="","",INDEX('Veri Merkezi'!$D$2:$D$1001,$L106))</f>
        <v/>
      </c>
      <c r="E106" s="8" t="str">
        <f ca="1">IF($L106="","",INDEX('Veri Merkezi'!$F$2:$F$1001,$L106))</f>
        <v/>
      </c>
      <c r="F106" s="9" t="str">
        <f ca="1">IF($L106="","",INDEX('Veri Merkezi'!$G$2:$G$1001,$L106))</f>
        <v/>
      </c>
      <c r="H106" s="8" t="str">
        <f ca="1">IF($L106="","",INDEX('Veri Merkezi'!$H$2:$H$1001,$L106))</f>
        <v/>
      </c>
      <c r="I106" s="10" t="str">
        <f ca="1">IF($L106="","",INDEX('Veri Merkezi'!$R$2:$R$1001,$L106))</f>
        <v/>
      </c>
      <c r="J106" s="8" t="str">
        <f ca="1">IF($L106="","",INDEX('Veri Merkezi'!$S$2:$S$1001,$L106))</f>
        <v/>
      </c>
      <c r="K106" s="8" t="str">
        <f ca="1">IF($L106="","",INDEX('Veri Merkezi'!$U$2:$U$1001,$L106))</f>
        <v/>
      </c>
      <c r="L106" s="8" t="str">
        <f ca="1">IFERROR(MATCH(ROWS($L$4:L106),'Veri Merkezi'!$W$2:$W$1001,0),"")</f>
        <v/>
      </c>
    </row>
    <row r="107" spans="1:12" ht="20" customHeight="1">
      <c r="A107" s="8" t="str">
        <f ca="1">IF($L107="","",ROWS($A$4:A107))</f>
        <v/>
      </c>
      <c r="B107" s="8" t="str">
        <f ca="1">IF($L107="","",INDEX('Veri Merkezi'!$A$2:$A$1001,$L107))</f>
        <v/>
      </c>
      <c r="C107" s="8" t="str">
        <f ca="1">IF($L107="","",INDEX('Veri Merkezi'!$E$2:$E$1001,$L107))</f>
        <v/>
      </c>
      <c r="D107" s="8" t="str">
        <f ca="1">IF($L107="","",INDEX('Veri Merkezi'!$D$2:$D$1001,$L107))</f>
        <v/>
      </c>
      <c r="E107" s="8" t="str">
        <f ca="1">IF($L107="","",INDEX('Veri Merkezi'!$F$2:$F$1001,$L107))</f>
        <v/>
      </c>
      <c r="F107" s="9" t="str">
        <f ca="1">IF($L107="","",INDEX('Veri Merkezi'!$G$2:$G$1001,$L107))</f>
        <v/>
      </c>
      <c r="H107" s="8" t="str">
        <f ca="1">IF($L107="","",INDEX('Veri Merkezi'!$H$2:$H$1001,$L107))</f>
        <v/>
      </c>
      <c r="I107" s="10" t="str">
        <f ca="1">IF($L107="","",INDEX('Veri Merkezi'!$R$2:$R$1001,$L107))</f>
        <v/>
      </c>
      <c r="J107" s="8" t="str">
        <f ca="1">IF($L107="","",INDEX('Veri Merkezi'!$S$2:$S$1001,$L107))</f>
        <v/>
      </c>
      <c r="K107" s="8" t="str">
        <f ca="1">IF($L107="","",INDEX('Veri Merkezi'!$U$2:$U$1001,$L107))</f>
        <v/>
      </c>
      <c r="L107" s="8" t="str">
        <f ca="1">IFERROR(MATCH(ROWS($L$4:L107),'Veri Merkezi'!$W$2:$W$1001,0),"")</f>
        <v/>
      </c>
    </row>
    <row r="108" spans="1:12" ht="20" customHeight="1">
      <c r="A108" s="8" t="str">
        <f ca="1">IF($L108="","",ROWS($A$4:A108))</f>
        <v/>
      </c>
      <c r="B108" s="8" t="str">
        <f ca="1">IF($L108="","",INDEX('Veri Merkezi'!$A$2:$A$1001,$L108))</f>
        <v/>
      </c>
      <c r="C108" s="8" t="str">
        <f ca="1">IF($L108="","",INDEX('Veri Merkezi'!$E$2:$E$1001,$L108))</f>
        <v/>
      </c>
      <c r="D108" s="8" t="str">
        <f ca="1">IF($L108="","",INDEX('Veri Merkezi'!$D$2:$D$1001,$L108))</f>
        <v/>
      </c>
      <c r="E108" s="8" t="str">
        <f ca="1">IF($L108="","",INDEX('Veri Merkezi'!$F$2:$F$1001,$L108))</f>
        <v/>
      </c>
      <c r="F108" s="9" t="str">
        <f ca="1">IF($L108="","",INDEX('Veri Merkezi'!$G$2:$G$1001,$L108))</f>
        <v/>
      </c>
      <c r="H108" s="8" t="str">
        <f ca="1">IF($L108="","",INDEX('Veri Merkezi'!$H$2:$H$1001,$L108))</f>
        <v/>
      </c>
      <c r="I108" s="10" t="str">
        <f ca="1">IF($L108="","",INDEX('Veri Merkezi'!$R$2:$R$1001,$L108))</f>
        <v/>
      </c>
      <c r="J108" s="8" t="str">
        <f ca="1">IF($L108="","",INDEX('Veri Merkezi'!$S$2:$S$1001,$L108))</f>
        <v/>
      </c>
      <c r="K108" s="8" t="str">
        <f ca="1">IF($L108="","",INDEX('Veri Merkezi'!$U$2:$U$1001,$L108))</f>
        <v/>
      </c>
      <c r="L108" s="8" t="str">
        <f ca="1">IFERROR(MATCH(ROWS($L$4:L108),'Veri Merkezi'!$W$2:$W$1001,0),"")</f>
        <v/>
      </c>
    </row>
    <row r="109" spans="1:12" ht="20" customHeight="1">
      <c r="A109" s="8" t="str">
        <f ca="1">IF($L109="","",ROWS($A$4:A109))</f>
        <v/>
      </c>
      <c r="B109" s="8" t="str">
        <f ca="1">IF($L109="","",INDEX('Veri Merkezi'!$A$2:$A$1001,$L109))</f>
        <v/>
      </c>
      <c r="C109" s="8" t="str">
        <f ca="1">IF($L109="","",INDEX('Veri Merkezi'!$E$2:$E$1001,$L109))</f>
        <v/>
      </c>
      <c r="D109" s="8" t="str">
        <f ca="1">IF($L109="","",INDEX('Veri Merkezi'!$D$2:$D$1001,$L109))</f>
        <v/>
      </c>
      <c r="E109" s="8" t="str">
        <f ca="1">IF($L109="","",INDEX('Veri Merkezi'!$F$2:$F$1001,$L109))</f>
        <v/>
      </c>
      <c r="F109" s="9" t="str">
        <f ca="1">IF($L109="","",INDEX('Veri Merkezi'!$G$2:$G$1001,$L109))</f>
        <v/>
      </c>
      <c r="H109" s="8" t="str">
        <f ca="1">IF($L109="","",INDEX('Veri Merkezi'!$H$2:$H$1001,$L109))</f>
        <v/>
      </c>
      <c r="I109" s="10" t="str">
        <f ca="1">IF($L109="","",INDEX('Veri Merkezi'!$R$2:$R$1001,$L109))</f>
        <v/>
      </c>
      <c r="J109" s="8" t="str">
        <f ca="1">IF($L109="","",INDEX('Veri Merkezi'!$S$2:$S$1001,$L109))</f>
        <v/>
      </c>
      <c r="K109" s="8" t="str">
        <f ca="1">IF($L109="","",INDEX('Veri Merkezi'!$U$2:$U$1001,$L109))</f>
        <v/>
      </c>
      <c r="L109" s="8" t="str">
        <f ca="1">IFERROR(MATCH(ROWS($L$4:L109),'Veri Merkezi'!$W$2:$W$1001,0),"")</f>
        <v/>
      </c>
    </row>
    <row r="110" spans="1:12" ht="20" customHeight="1">
      <c r="A110" s="8" t="str">
        <f ca="1">IF($L110="","",ROWS($A$4:A110))</f>
        <v/>
      </c>
      <c r="B110" s="8" t="str">
        <f ca="1">IF($L110="","",INDEX('Veri Merkezi'!$A$2:$A$1001,$L110))</f>
        <v/>
      </c>
      <c r="C110" s="8" t="str">
        <f ca="1">IF($L110="","",INDEX('Veri Merkezi'!$E$2:$E$1001,$L110))</f>
        <v/>
      </c>
      <c r="D110" s="8" t="str">
        <f ca="1">IF($L110="","",INDEX('Veri Merkezi'!$D$2:$D$1001,$L110))</f>
        <v/>
      </c>
      <c r="E110" s="8" t="str">
        <f ca="1">IF($L110="","",INDEX('Veri Merkezi'!$F$2:$F$1001,$L110))</f>
        <v/>
      </c>
      <c r="F110" s="9" t="str">
        <f ca="1">IF($L110="","",INDEX('Veri Merkezi'!$G$2:$G$1001,$L110))</f>
        <v/>
      </c>
      <c r="H110" s="8" t="str">
        <f ca="1">IF($L110="","",INDEX('Veri Merkezi'!$H$2:$H$1001,$L110))</f>
        <v/>
      </c>
      <c r="I110" s="10" t="str">
        <f ca="1">IF($L110="","",INDEX('Veri Merkezi'!$R$2:$R$1001,$L110))</f>
        <v/>
      </c>
      <c r="J110" s="8" t="str">
        <f ca="1">IF($L110="","",INDEX('Veri Merkezi'!$S$2:$S$1001,$L110))</f>
        <v/>
      </c>
      <c r="K110" s="8" t="str">
        <f ca="1">IF($L110="","",INDEX('Veri Merkezi'!$U$2:$U$1001,$L110))</f>
        <v/>
      </c>
      <c r="L110" s="8" t="str">
        <f ca="1">IFERROR(MATCH(ROWS($L$4:L110),'Veri Merkezi'!$W$2:$W$1001,0),"")</f>
        <v/>
      </c>
    </row>
    <row r="111" spans="1:12" ht="20" customHeight="1">
      <c r="A111" s="8" t="str">
        <f ca="1">IF($L111="","",ROWS($A$4:A111))</f>
        <v/>
      </c>
      <c r="B111" s="8" t="str">
        <f ca="1">IF($L111="","",INDEX('Veri Merkezi'!$A$2:$A$1001,$L111))</f>
        <v/>
      </c>
      <c r="C111" s="8" t="str">
        <f ca="1">IF($L111="","",INDEX('Veri Merkezi'!$E$2:$E$1001,$L111))</f>
        <v/>
      </c>
      <c r="D111" s="8" t="str">
        <f ca="1">IF($L111="","",INDEX('Veri Merkezi'!$D$2:$D$1001,$L111))</f>
        <v/>
      </c>
      <c r="E111" s="8" t="str">
        <f ca="1">IF($L111="","",INDEX('Veri Merkezi'!$F$2:$F$1001,$L111))</f>
        <v/>
      </c>
      <c r="F111" s="9" t="str">
        <f ca="1">IF($L111="","",INDEX('Veri Merkezi'!$G$2:$G$1001,$L111))</f>
        <v/>
      </c>
      <c r="H111" s="8" t="str">
        <f ca="1">IF($L111="","",INDEX('Veri Merkezi'!$H$2:$H$1001,$L111))</f>
        <v/>
      </c>
      <c r="I111" s="10" t="str">
        <f ca="1">IF($L111="","",INDEX('Veri Merkezi'!$R$2:$R$1001,$L111))</f>
        <v/>
      </c>
      <c r="J111" s="8" t="str">
        <f ca="1">IF($L111="","",INDEX('Veri Merkezi'!$S$2:$S$1001,$L111))</f>
        <v/>
      </c>
      <c r="K111" s="8" t="str">
        <f ca="1">IF($L111="","",INDEX('Veri Merkezi'!$U$2:$U$1001,$L111))</f>
        <v/>
      </c>
      <c r="L111" s="8" t="str">
        <f ca="1">IFERROR(MATCH(ROWS($L$4:L111),'Veri Merkezi'!$W$2:$W$1001,0),"")</f>
        <v/>
      </c>
    </row>
    <row r="112" spans="1:12" ht="20" customHeight="1">
      <c r="A112" s="8" t="str">
        <f ca="1">IF($L112="","",ROWS($A$4:A112))</f>
        <v/>
      </c>
      <c r="B112" s="8" t="str">
        <f ca="1">IF($L112="","",INDEX('Veri Merkezi'!$A$2:$A$1001,$L112))</f>
        <v/>
      </c>
      <c r="C112" s="8" t="str">
        <f ca="1">IF($L112="","",INDEX('Veri Merkezi'!$E$2:$E$1001,$L112))</f>
        <v/>
      </c>
      <c r="D112" s="8" t="str">
        <f ca="1">IF($L112="","",INDEX('Veri Merkezi'!$D$2:$D$1001,$L112))</f>
        <v/>
      </c>
      <c r="E112" s="8" t="str">
        <f ca="1">IF($L112="","",INDEX('Veri Merkezi'!$F$2:$F$1001,$L112))</f>
        <v/>
      </c>
      <c r="F112" s="9" t="str">
        <f ca="1">IF($L112="","",INDEX('Veri Merkezi'!$G$2:$G$1001,$L112))</f>
        <v/>
      </c>
      <c r="H112" s="8" t="str">
        <f ca="1">IF($L112="","",INDEX('Veri Merkezi'!$H$2:$H$1001,$L112))</f>
        <v/>
      </c>
      <c r="I112" s="10" t="str">
        <f ca="1">IF($L112="","",INDEX('Veri Merkezi'!$R$2:$R$1001,$L112))</f>
        <v/>
      </c>
      <c r="J112" s="8" t="str">
        <f ca="1">IF($L112="","",INDEX('Veri Merkezi'!$S$2:$S$1001,$L112))</f>
        <v/>
      </c>
      <c r="K112" s="8" t="str">
        <f ca="1">IF($L112="","",INDEX('Veri Merkezi'!$U$2:$U$1001,$L112))</f>
        <v/>
      </c>
      <c r="L112" s="8" t="str">
        <f ca="1">IFERROR(MATCH(ROWS($L$4:L112),'Veri Merkezi'!$W$2:$W$1001,0),"")</f>
        <v/>
      </c>
    </row>
    <row r="113" spans="1:12" ht="20" customHeight="1">
      <c r="A113" s="8" t="str">
        <f ca="1">IF($L113="","",ROWS($A$4:A113))</f>
        <v/>
      </c>
      <c r="B113" s="8" t="str">
        <f ca="1">IF($L113="","",INDEX('Veri Merkezi'!$A$2:$A$1001,$L113))</f>
        <v/>
      </c>
      <c r="C113" s="8" t="str">
        <f ca="1">IF($L113="","",INDEX('Veri Merkezi'!$E$2:$E$1001,$L113))</f>
        <v/>
      </c>
      <c r="D113" s="8" t="str">
        <f ca="1">IF($L113="","",INDEX('Veri Merkezi'!$D$2:$D$1001,$L113))</f>
        <v/>
      </c>
      <c r="E113" s="8" t="str">
        <f ca="1">IF($L113="","",INDEX('Veri Merkezi'!$F$2:$F$1001,$L113))</f>
        <v/>
      </c>
      <c r="F113" s="9" t="str">
        <f ca="1">IF($L113="","",INDEX('Veri Merkezi'!$G$2:$G$1001,$L113))</f>
        <v/>
      </c>
      <c r="H113" s="8" t="str">
        <f ca="1">IF($L113="","",INDEX('Veri Merkezi'!$H$2:$H$1001,$L113))</f>
        <v/>
      </c>
      <c r="I113" s="10" t="str">
        <f ca="1">IF($L113="","",INDEX('Veri Merkezi'!$R$2:$R$1001,$L113))</f>
        <v/>
      </c>
      <c r="J113" s="8" t="str">
        <f ca="1">IF($L113="","",INDEX('Veri Merkezi'!$S$2:$S$1001,$L113))</f>
        <v/>
      </c>
      <c r="K113" s="8" t="str">
        <f ca="1">IF($L113="","",INDEX('Veri Merkezi'!$U$2:$U$1001,$L113))</f>
        <v/>
      </c>
      <c r="L113" s="8" t="str">
        <f ca="1">IFERROR(MATCH(ROWS($L$4:L113),'Veri Merkezi'!$W$2:$W$1001,0),"")</f>
        <v/>
      </c>
    </row>
    <row r="114" spans="1:12" ht="20" customHeight="1">
      <c r="A114" s="8" t="str">
        <f ca="1">IF($L114="","",ROWS($A$4:A114))</f>
        <v/>
      </c>
      <c r="B114" s="8" t="str">
        <f ca="1">IF($L114="","",INDEX('Veri Merkezi'!$A$2:$A$1001,$L114))</f>
        <v/>
      </c>
      <c r="C114" s="8" t="str">
        <f ca="1">IF($L114="","",INDEX('Veri Merkezi'!$E$2:$E$1001,$L114))</f>
        <v/>
      </c>
      <c r="D114" s="8" t="str">
        <f ca="1">IF($L114="","",INDEX('Veri Merkezi'!$D$2:$D$1001,$L114))</f>
        <v/>
      </c>
      <c r="E114" s="8" t="str">
        <f ca="1">IF($L114="","",INDEX('Veri Merkezi'!$F$2:$F$1001,$L114))</f>
        <v/>
      </c>
      <c r="F114" s="9" t="str">
        <f ca="1">IF($L114="","",INDEX('Veri Merkezi'!$G$2:$G$1001,$L114))</f>
        <v/>
      </c>
      <c r="H114" s="8" t="str">
        <f ca="1">IF($L114="","",INDEX('Veri Merkezi'!$H$2:$H$1001,$L114))</f>
        <v/>
      </c>
      <c r="I114" s="10" t="str">
        <f ca="1">IF($L114="","",INDEX('Veri Merkezi'!$R$2:$R$1001,$L114))</f>
        <v/>
      </c>
      <c r="J114" s="8" t="str">
        <f ca="1">IF($L114="","",INDEX('Veri Merkezi'!$S$2:$S$1001,$L114))</f>
        <v/>
      </c>
      <c r="K114" s="8" t="str">
        <f ca="1">IF($L114="","",INDEX('Veri Merkezi'!$U$2:$U$1001,$L114))</f>
        <v/>
      </c>
      <c r="L114" s="8" t="str">
        <f ca="1">IFERROR(MATCH(ROWS($L$4:L114),'Veri Merkezi'!$W$2:$W$1001,0),"")</f>
        <v/>
      </c>
    </row>
    <row r="115" spans="1:12" ht="20" customHeight="1">
      <c r="A115" s="8" t="str">
        <f ca="1">IF($L115="","",ROWS($A$4:A115))</f>
        <v/>
      </c>
      <c r="B115" s="8" t="str">
        <f ca="1">IF($L115="","",INDEX('Veri Merkezi'!$A$2:$A$1001,$L115))</f>
        <v/>
      </c>
      <c r="C115" s="8" t="str">
        <f ca="1">IF($L115="","",INDEX('Veri Merkezi'!$E$2:$E$1001,$L115))</f>
        <v/>
      </c>
      <c r="D115" s="8" t="str">
        <f ca="1">IF($L115="","",INDEX('Veri Merkezi'!$D$2:$D$1001,$L115))</f>
        <v/>
      </c>
      <c r="E115" s="8" t="str">
        <f ca="1">IF($L115="","",INDEX('Veri Merkezi'!$F$2:$F$1001,$L115))</f>
        <v/>
      </c>
      <c r="F115" s="9" t="str">
        <f ca="1">IF($L115="","",INDEX('Veri Merkezi'!$G$2:$G$1001,$L115))</f>
        <v/>
      </c>
      <c r="H115" s="8" t="str">
        <f ca="1">IF($L115="","",INDEX('Veri Merkezi'!$H$2:$H$1001,$L115))</f>
        <v/>
      </c>
      <c r="I115" s="10" t="str">
        <f ca="1">IF($L115="","",INDEX('Veri Merkezi'!$R$2:$R$1001,$L115))</f>
        <v/>
      </c>
      <c r="J115" s="8" t="str">
        <f ca="1">IF($L115="","",INDEX('Veri Merkezi'!$S$2:$S$1001,$L115))</f>
        <v/>
      </c>
      <c r="K115" s="8" t="str">
        <f ca="1">IF($L115="","",INDEX('Veri Merkezi'!$U$2:$U$1001,$L115))</f>
        <v/>
      </c>
      <c r="L115" s="8" t="str">
        <f ca="1">IFERROR(MATCH(ROWS($L$4:L115),'Veri Merkezi'!$W$2:$W$1001,0),"")</f>
        <v/>
      </c>
    </row>
    <row r="116" spans="1:12" ht="20" customHeight="1">
      <c r="A116" s="8" t="str">
        <f ca="1">IF($L116="","",ROWS($A$4:A116))</f>
        <v/>
      </c>
      <c r="B116" s="8" t="str">
        <f ca="1">IF($L116="","",INDEX('Veri Merkezi'!$A$2:$A$1001,$L116))</f>
        <v/>
      </c>
      <c r="C116" s="8" t="str">
        <f ca="1">IF($L116="","",INDEX('Veri Merkezi'!$E$2:$E$1001,$L116))</f>
        <v/>
      </c>
      <c r="D116" s="8" t="str">
        <f ca="1">IF($L116="","",INDEX('Veri Merkezi'!$D$2:$D$1001,$L116))</f>
        <v/>
      </c>
      <c r="E116" s="8" t="str">
        <f ca="1">IF($L116="","",INDEX('Veri Merkezi'!$F$2:$F$1001,$L116))</f>
        <v/>
      </c>
      <c r="F116" s="9" t="str">
        <f ca="1">IF($L116="","",INDEX('Veri Merkezi'!$G$2:$G$1001,$L116))</f>
        <v/>
      </c>
      <c r="H116" s="8" t="str">
        <f ca="1">IF($L116="","",INDEX('Veri Merkezi'!$H$2:$H$1001,$L116))</f>
        <v/>
      </c>
      <c r="I116" s="10" t="str">
        <f ca="1">IF($L116="","",INDEX('Veri Merkezi'!$R$2:$R$1001,$L116))</f>
        <v/>
      </c>
      <c r="J116" s="8" t="str">
        <f ca="1">IF($L116="","",INDEX('Veri Merkezi'!$S$2:$S$1001,$L116))</f>
        <v/>
      </c>
      <c r="K116" s="8" t="str">
        <f ca="1">IF($L116="","",INDEX('Veri Merkezi'!$U$2:$U$1001,$L116))</f>
        <v/>
      </c>
      <c r="L116" s="8" t="str">
        <f ca="1">IFERROR(MATCH(ROWS($L$4:L116),'Veri Merkezi'!$W$2:$W$1001,0),"")</f>
        <v/>
      </c>
    </row>
    <row r="117" spans="1:12" ht="20" customHeight="1">
      <c r="A117" s="8" t="str">
        <f ca="1">IF($L117="","",ROWS($A$4:A117))</f>
        <v/>
      </c>
      <c r="B117" s="8" t="str">
        <f ca="1">IF($L117="","",INDEX('Veri Merkezi'!$A$2:$A$1001,$L117))</f>
        <v/>
      </c>
      <c r="C117" s="8" t="str">
        <f ca="1">IF($L117="","",INDEX('Veri Merkezi'!$E$2:$E$1001,$L117))</f>
        <v/>
      </c>
      <c r="D117" s="8" t="str">
        <f ca="1">IF($L117="","",INDEX('Veri Merkezi'!$D$2:$D$1001,$L117))</f>
        <v/>
      </c>
      <c r="E117" s="8" t="str">
        <f ca="1">IF($L117="","",INDEX('Veri Merkezi'!$F$2:$F$1001,$L117))</f>
        <v/>
      </c>
      <c r="F117" s="9" t="str">
        <f ca="1">IF($L117="","",INDEX('Veri Merkezi'!$G$2:$G$1001,$L117))</f>
        <v/>
      </c>
      <c r="H117" s="8" t="str">
        <f ca="1">IF($L117="","",INDEX('Veri Merkezi'!$H$2:$H$1001,$L117))</f>
        <v/>
      </c>
      <c r="I117" s="10" t="str">
        <f ca="1">IF($L117="","",INDEX('Veri Merkezi'!$R$2:$R$1001,$L117))</f>
        <v/>
      </c>
      <c r="J117" s="8" t="str">
        <f ca="1">IF($L117="","",INDEX('Veri Merkezi'!$S$2:$S$1001,$L117))</f>
        <v/>
      </c>
      <c r="K117" s="8" t="str">
        <f ca="1">IF($L117="","",INDEX('Veri Merkezi'!$U$2:$U$1001,$L117))</f>
        <v/>
      </c>
      <c r="L117" s="8" t="str">
        <f ca="1">IFERROR(MATCH(ROWS($L$4:L117),'Veri Merkezi'!$W$2:$W$1001,0),"")</f>
        <v/>
      </c>
    </row>
    <row r="118" spans="1:12" ht="20" customHeight="1">
      <c r="A118" s="8" t="str">
        <f ca="1">IF($L118="","",ROWS($A$4:A118))</f>
        <v/>
      </c>
      <c r="B118" s="8" t="str">
        <f ca="1">IF($L118="","",INDEX('Veri Merkezi'!$A$2:$A$1001,$L118))</f>
        <v/>
      </c>
      <c r="C118" s="8" t="str">
        <f ca="1">IF($L118="","",INDEX('Veri Merkezi'!$E$2:$E$1001,$L118))</f>
        <v/>
      </c>
      <c r="D118" s="8" t="str">
        <f ca="1">IF($L118="","",INDEX('Veri Merkezi'!$D$2:$D$1001,$L118))</f>
        <v/>
      </c>
      <c r="E118" s="8" t="str">
        <f ca="1">IF($L118="","",INDEX('Veri Merkezi'!$F$2:$F$1001,$L118))</f>
        <v/>
      </c>
      <c r="F118" s="9" t="str">
        <f ca="1">IF($L118="","",INDEX('Veri Merkezi'!$G$2:$G$1001,$L118))</f>
        <v/>
      </c>
      <c r="H118" s="8" t="str">
        <f ca="1">IF($L118="","",INDEX('Veri Merkezi'!$H$2:$H$1001,$L118))</f>
        <v/>
      </c>
      <c r="I118" s="10" t="str">
        <f ca="1">IF($L118="","",INDEX('Veri Merkezi'!$R$2:$R$1001,$L118))</f>
        <v/>
      </c>
      <c r="J118" s="8" t="str">
        <f ca="1">IF($L118="","",INDEX('Veri Merkezi'!$S$2:$S$1001,$L118))</f>
        <v/>
      </c>
      <c r="K118" s="8" t="str">
        <f ca="1">IF($L118="","",INDEX('Veri Merkezi'!$U$2:$U$1001,$L118))</f>
        <v/>
      </c>
      <c r="L118" s="8" t="str">
        <f ca="1">IFERROR(MATCH(ROWS($L$4:L118),'Veri Merkezi'!$W$2:$W$1001,0),"")</f>
        <v/>
      </c>
    </row>
    <row r="119" spans="1:12" ht="20" customHeight="1">
      <c r="A119" s="8" t="str">
        <f ca="1">IF($L119="","",ROWS($A$4:A119))</f>
        <v/>
      </c>
      <c r="B119" s="8" t="str">
        <f ca="1">IF($L119="","",INDEX('Veri Merkezi'!$A$2:$A$1001,$L119))</f>
        <v/>
      </c>
      <c r="C119" s="8" t="str">
        <f ca="1">IF($L119="","",INDEX('Veri Merkezi'!$E$2:$E$1001,$L119))</f>
        <v/>
      </c>
      <c r="D119" s="8" t="str">
        <f ca="1">IF($L119="","",INDEX('Veri Merkezi'!$D$2:$D$1001,$L119))</f>
        <v/>
      </c>
      <c r="E119" s="8" t="str">
        <f ca="1">IF($L119="","",INDEX('Veri Merkezi'!$F$2:$F$1001,$L119))</f>
        <v/>
      </c>
      <c r="F119" s="9" t="str">
        <f ca="1">IF($L119="","",INDEX('Veri Merkezi'!$G$2:$G$1001,$L119))</f>
        <v/>
      </c>
      <c r="H119" s="8" t="str">
        <f ca="1">IF($L119="","",INDEX('Veri Merkezi'!$H$2:$H$1001,$L119))</f>
        <v/>
      </c>
      <c r="I119" s="10" t="str">
        <f ca="1">IF($L119="","",INDEX('Veri Merkezi'!$R$2:$R$1001,$L119))</f>
        <v/>
      </c>
      <c r="J119" s="8" t="str">
        <f ca="1">IF($L119="","",INDEX('Veri Merkezi'!$S$2:$S$1001,$L119))</f>
        <v/>
      </c>
      <c r="K119" s="8" t="str">
        <f ca="1">IF($L119="","",INDEX('Veri Merkezi'!$U$2:$U$1001,$L119))</f>
        <v/>
      </c>
      <c r="L119" s="8" t="str">
        <f ca="1">IFERROR(MATCH(ROWS($L$4:L119),'Veri Merkezi'!$W$2:$W$1001,0),"")</f>
        <v/>
      </c>
    </row>
    <row r="120" spans="1:12" ht="20" customHeight="1">
      <c r="A120" s="8" t="str">
        <f ca="1">IF($L120="","",ROWS($A$4:A120))</f>
        <v/>
      </c>
      <c r="B120" s="8" t="str">
        <f ca="1">IF($L120="","",INDEX('Veri Merkezi'!$A$2:$A$1001,$L120))</f>
        <v/>
      </c>
      <c r="C120" s="8" t="str">
        <f ca="1">IF($L120="","",INDEX('Veri Merkezi'!$E$2:$E$1001,$L120))</f>
        <v/>
      </c>
      <c r="D120" s="8" t="str">
        <f ca="1">IF($L120="","",INDEX('Veri Merkezi'!$D$2:$D$1001,$L120))</f>
        <v/>
      </c>
      <c r="E120" s="8" t="str">
        <f ca="1">IF($L120="","",INDEX('Veri Merkezi'!$F$2:$F$1001,$L120))</f>
        <v/>
      </c>
      <c r="F120" s="9" t="str">
        <f ca="1">IF($L120="","",INDEX('Veri Merkezi'!$G$2:$G$1001,$L120))</f>
        <v/>
      </c>
      <c r="H120" s="8" t="str">
        <f ca="1">IF($L120="","",INDEX('Veri Merkezi'!$H$2:$H$1001,$L120))</f>
        <v/>
      </c>
      <c r="I120" s="10" t="str">
        <f ca="1">IF($L120="","",INDEX('Veri Merkezi'!$R$2:$R$1001,$L120))</f>
        <v/>
      </c>
      <c r="J120" s="8" t="str">
        <f ca="1">IF($L120="","",INDEX('Veri Merkezi'!$S$2:$S$1001,$L120))</f>
        <v/>
      </c>
      <c r="K120" s="8" t="str">
        <f ca="1">IF($L120="","",INDEX('Veri Merkezi'!$U$2:$U$1001,$L120))</f>
        <v/>
      </c>
      <c r="L120" s="8" t="str">
        <f ca="1">IFERROR(MATCH(ROWS($L$4:L120),'Veri Merkezi'!$W$2:$W$1001,0),"")</f>
        <v/>
      </c>
    </row>
    <row r="121" spans="1:12" ht="20" customHeight="1">
      <c r="A121" s="8" t="str">
        <f ca="1">IF($L121="","",ROWS($A$4:A121))</f>
        <v/>
      </c>
      <c r="B121" s="8" t="str">
        <f ca="1">IF($L121="","",INDEX('Veri Merkezi'!$A$2:$A$1001,$L121))</f>
        <v/>
      </c>
      <c r="C121" s="8" t="str">
        <f ca="1">IF($L121="","",INDEX('Veri Merkezi'!$E$2:$E$1001,$L121))</f>
        <v/>
      </c>
      <c r="D121" s="8" t="str">
        <f ca="1">IF($L121="","",INDEX('Veri Merkezi'!$D$2:$D$1001,$L121))</f>
        <v/>
      </c>
      <c r="E121" s="8" t="str">
        <f ca="1">IF($L121="","",INDEX('Veri Merkezi'!$F$2:$F$1001,$L121))</f>
        <v/>
      </c>
      <c r="F121" s="9" t="str">
        <f ca="1">IF($L121="","",INDEX('Veri Merkezi'!$G$2:$G$1001,$L121))</f>
        <v/>
      </c>
      <c r="H121" s="8" t="str">
        <f ca="1">IF($L121="","",INDEX('Veri Merkezi'!$H$2:$H$1001,$L121))</f>
        <v/>
      </c>
      <c r="I121" s="10" t="str">
        <f ca="1">IF($L121="","",INDEX('Veri Merkezi'!$R$2:$R$1001,$L121))</f>
        <v/>
      </c>
      <c r="J121" s="8" t="str">
        <f ca="1">IF($L121="","",INDEX('Veri Merkezi'!$S$2:$S$1001,$L121))</f>
        <v/>
      </c>
      <c r="K121" s="8" t="str">
        <f ca="1">IF($L121="","",INDEX('Veri Merkezi'!$U$2:$U$1001,$L121))</f>
        <v/>
      </c>
      <c r="L121" s="8" t="str">
        <f ca="1">IFERROR(MATCH(ROWS($L$4:L121),'Veri Merkezi'!$W$2:$W$1001,0),"")</f>
        <v/>
      </c>
    </row>
    <row r="122" spans="1:12" ht="20" customHeight="1">
      <c r="A122" s="8" t="str">
        <f ca="1">IF($L122="","",ROWS($A$4:A122))</f>
        <v/>
      </c>
      <c r="B122" s="8" t="str">
        <f ca="1">IF($L122="","",INDEX('Veri Merkezi'!$A$2:$A$1001,$L122))</f>
        <v/>
      </c>
      <c r="C122" s="8" t="str">
        <f ca="1">IF($L122="","",INDEX('Veri Merkezi'!$E$2:$E$1001,$L122))</f>
        <v/>
      </c>
      <c r="D122" s="8" t="str">
        <f ca="1">IF($L122="","",INDEX('Veri Merkezi'!$D$2:$D$1001,$L122))</f>
        <v/>
      </c>
      <c r="E122" s="8" t="str">
        <f ca="1">IF($L122="","",INDEX('Veri Merkezi'!$F$2:$F$1001,$L122))</f>
        <v/>
      </c>
      <c r="F122" s="9" t="str">
        <f ca="1">IF($L122="","",INDEX('Veri Merkezi'!$G$2:$G$1001,$L122))</f>
        <v/>
      </c>
      <c r="H122" s="8" t="str">
        <f ca="1">IF($L122="","",INDEX('Veri Merkezi'!$H$2:$H$1001,$L122))</f>
        <v/>
      </c>
      <c r="I122" s="10" t="str">
        <f ca="1">IF($L122="","",INDEX('Veri Merkezi'!$R$2:$R$1001,$L122))</f>
        <v/>
      </c>
      <c r="J122" s="8" t="str">
        <f ca="1">IF($L122="","",INDEX('Veri Merkezi'!$S$2:$S$1001,$L122))</f>
        <v/>
      </c>
      <c r="K122" s="8" t="str">
        <f ca="1">IF($L122="","",INDEX('Veri Merkezi'!$U$2:$U$1001,$L122))</f>
        <v/>
      </c>
      <c r="L122" s="8" t="str">
        <f ca="1">IFERROR(MATCH(ROWS($L$4:L122),'Veri Merkezi'!$W$2:$W$1001,0),"")</f>
        <v/>
      </c>
    </row>
    <row r="123" spans="1:12" ht="20" customHeight="1">
      <c r="A123" s="8" t="str">
        <f ca="1">IF($L123="","",ROWS($A$4:A123))</f>
        <v/>
      </c>
      <c r="B123" s="8" t="str">
        <f ca="1">IF($L123="","",INDEX('Veri Merkezi'!$A$2:$A$1001,$L123))</f>
        <v/>
      </c>
      <c r="C123" s="8" t="str">
        <f ca="1">IF($L123="","",INDEX('Veri Merkezi'!$E$2:$E$1001,$L123))</f>
        <v/>
      </c>
      <c r="D123" s="8" t="str">
        <f ca="1">IF($L123="","",INDEX('Veri Merkezi'!$D$2:$D$1001,$L123))</f>
        <v/>
      </c>
      <c r="E123" s="8" t="str">
        <f ca="1">IF($L123="","",INDEX('Veri Merkezi'!$F$2:$F$1001,$L123))</f>
        <v/>
      </c>
      <c r="F123" s="9" t="str">
        <f ca="1">IF($L123="","",INDEX('Veri Merkezi'!$G$2:$G$1001,$L123))</f>
        <v/>
      </c>
      <c r="H123" s="8" t="str">
        <f ca="1">IF($L123="","",INDEX('Veri Merkezi'!$H$2:$H$1001,$L123))</f>
        <v/>
      </c>
      <c r="I123" s="10" t="str">
        <f ca="1">IF($L123="","",INDEX('Veri Merkezi'!$R$2:$R$1001,$L123))</f>
        <v/>
      </c>
      <c r="J123" s="8" t="str">
        <f ca="1">IF($L123="","",INDEX('Veri Merkezi'!$S$2:$S$1001,$L123))</f>
        <v/>
      </c>
      <c r="K123" s="8" t="str">
        <f ca="1">IF($L123="","",INDEX('Veri Merkezi'!$U$2:$U$1001,$L123))</f>
        <v/>
      </c>
      <c r="L123" s="8" t="str">
        <f ca="1">IFERROR(MATCH(ROWS($L$4:L123),'Veri Merkezi'!$W$2:$W$1001,0),"")</f>
        <v/>
      </c>
    </row>
    <row r="124" spans="1:12" ht="20" customHeight="1">
      <c r="A124" s="8" t="str">
        <f ca="1">IF($L124="","",ROWS($A$4:A124))</f>
        <v/>
      </c>
      <c r="B124" s="8" t="str">
        <f ca="1">IF($L124="","",INDEX('Veri Merkezi'!$A$2:$A$1001,$L124))</f>
        <v/>
      </c>
      <c r="C124" s="8" t="str">
        <f ca="1">IF($L124="","",INDEX('Veri Merkezi'!$E$2:$E$1001,$L124))</f>
        <v/>
      </c>
      <c r="D124" s="8" t="str">
        <f ca="1">IF($L124="","",INDEX('Veri Merkezi'!$D$2:$D$1001,$L124))</f>
        <v/>
      </c>
      <c r="E124" s="8" t="str">
        <f ca="1">IF($L124="","",INDEX('Veri Merkezi'!$F$2:$F$1001,$L124))</f>
        <v/>
      </c>
      <c r="F124" s="9" t="str">
        <f ca="1">IF($L124="","",INDEX('Veri Merkezi'!$G$2:$G$1001,$L124))</f>
        <v/>
      </c>
      <c r="H124" s="8" t="str">
        <f ca="1">IF($L124="","",INDEX('Veri Merkezi'!$H$2:$H$1001,$L124))</f>
        <v/>
      </c>
      <c r="I124" s="10" t="str">
        <f ca="1">IF($L124="","",INDEX('Veri Merkezi'!$R$2:$R$1001,$L124))</f>
        <v/>
      </c>
      <c r="J124" s="8" t="str">
        <f ca="1">IF($L124="","",INDEX('Veri Merkezi'!$S$2:$S$1001,$L124))</f>
        <v/>
      </c>
      <c r="K124" s="8" t="str">
        <f ca="1">IF($L124="","",INDEX('Veri Merkezi'!$U$2:$U$1001,$L124))</f>
        <v/>
      </c>
      <c r="L124" s="8" t="str">
        <f ca="1">IFERROR(MATCH(ROWS($L$4:L124),'Veri Merkezi'!$W$2:$W$1001,0),"")</f>
        <v/>
      </c>
    </row>
    <row r="125" spans="1:12" ht="20" customHeight="1">
      <c r="A125" s="8" t="str">
        <f ca="1">IF($L125="","",ROWS($A$4:A125))</f>
        <v/>
      </c>
      <c r="B125" s="8" t="str">
        <f ca="1">IF($L125="","",INDEX('Veri Merkezi'!$A$2:$A$1001,$L125))</f>
        <v/>
      </c>
      <c r="C125" s="8" t="str">
        <f ca="1">IF($L125="","",INDEX('Veri Merkezi'!$E$2:$E$1001,$L125))</f>
        <v/>
      </c>
      <c r="D125" s="8" t="str">
        <f ca="1">IF($L125="","",INDEX('Veri Merkezi'!$D$2:$D$1001,$L125))</f>
        <v/>
      </c>
      <c r="E125" s="8" t="str">
        <f ca="1">IF($L125="","",INDEX('Veri Merkezi'!$F$2:$F$1001,$L125))</f>
        <v/>
      </c>
      <c r="F125" s="9" t="str">
        <f ca="1">IF($L125="","",INDEX('Veri Merkezi'!$G$2:$G$1001,$L125))</f>
        <v/>
      </c>
      <c r="H125" s="8" t="str">
        <f ca="1">IF($L125="","",INDEX('Veri Merkezi'!$H$2:$H$1001,$L125))</f>
        <v/>
      </c>
      <c r="I125" s="10" t="str">
        <f ca="1">IF($L125="","",INDEX('Veri Merkezi'!$R$2:$R$1001,$L125))</f>
        <v/>
      </c>
      <c r="J125" s="8" t="str">
        <f ca="1">IF($L125="","",INDEX('Veri Merkezi'!$S$2:$S$1001,$L125))</f>
        <v/>
      </c>
      <c r="K125" s="8" t="str">
        <f ca="1">IF($L125="","",INDEX('Veri Merkezi'!$U$2:$U$1001,$L125))</f>
        <v/>
      </c>
      <c r="L125" s="8" t="str">
        <f ca="1">IFERROR(MATCH(ROWS($L$4:L125),'Veri Merkezi'!$W$2:$W$1001,0),"")</f>
        <v/>
      </c>
    </row>
    <row r="126" spans="1:12" ht="20" customHeight="1">
      <c r="A126" s="8" t="str">
        <f ca="1">IF($L126="","",ROWS($A$4:A126))</f>
        <v/>
      </c>
      <c r="B126" s="8" t="str">
        <f ca="1">IF($L126="","",INDEX('Veri Merkezi'!$A$2:$A$1001,$L126))</f>
        <v/>
      </c>
      <c r="C126" s="8" t="str">
        <f ca="1">IF($L126="","",INDEX('Veri Merkezi'!$E$2:$E$1001,$L126))</f>
        <v/>
      </c>
      <c r="D126" s="8" t="str">
        <f ca="1">IF($L126="","",INDEX('Veri Merkezi'!$D$2:$D$1001,$L126))</f>
        <v/>
      </c>
      <c r="E126" s="8" t="str">
        <f ca="1">IF($L126="","",INDEX('Veri Merkezi'!$F$2:$F$1001,$L126))</f>
        <v/>
      </c>
      <c r="F126" s="9" t="str">
        <f ca="1">IF($L126="","",INDEX('Veri Merkezi'!$G$2:$G$1001,$L126))</f>
        <v/>
      </c>
      <c r="H126" s="8" t="str">
        <f ca="1">IF($L126="","",INDEX('Veri Merkezi'!$H$2:$H$1001,$L126))</f>
        <v/>
      </c>
      <c r="I126" s="10" t="str">
        <f ca="1">IF($L126="","",INDEX('Veri Merkezi'!$R$2:$R$1001,$L126))</f>
        <v/>
      </c>
      <c r="J126" s="8" t="str">
        <f ca="1">IF($L126="","",INDEX('Veri Merkezi'!$S$2:$S$1001,$L126))</f>
        <v/>
      </c>
      <c r="K126" s="8" t="str">
        <f ca="1">IF($L126="","",INDEX('Veri Merkezi'!$U$2:$U$1001,$L126))</f>
        <v/>
      </c>
      <c r="L126" s="8" t="str">
        <f ca="1">IFERROR(MATCH(ROWS($L$4:L126),'Veri Merkezi'!$W$2:$W$1001,0),"")</f>
        <v/>
      </c>
    </row>
    <row r="127" spans="1:12" ht="20" customHeight="1">
      <c r="A127" s="8" t="str">
        <f ca="1">IF($L127="","",ROWS($A$4:A127))</f>
        <v/>
      </c>
      <c r="B127" s="8" t="str">
        <f ca="1">IF($L127="","",INDEX('Veri Merkezi'!$A$2:$A$1001,$L127))</f>
        <v/>
      </c>
      <c r="C127" s="8" t="str">
        <f ca="1">IF($L127="","",INDEX('Veri Merkezi'!$E$2:$E$1001,$L127))</f>
        <v/>
      </c>
      <c r="D127" s="8" t="str">
        <f ca="1">IF($L127="","",INDEX('Veri Merkezi'!$D$2:$D$1001,$L127))</f>
        <v/>
      </c>
      <c r="E127" s="8" t="str">
        <f ca="1">IF($L127="","",INDEX('Veri Merkezi'!$F$2:$F$1001,$L127))</f>
        <v/>
      </c>
      <c r="F127" s="9" t="str">
        <f ca="1">IF($L127="","",INDEX('Veri Merkezi'!$G$2:$G$1001,$L127))</f>
        <v/>
      </c>
      <c r="H127" s="8" t="str">
        <f ca="1">IF($L127="","",INDEX('Veri Merkezi'!$H$2:$H$1001,$L127))</f>
        <v/>
      </c>
      <c r="I127" s="10" t="str">
        <f ca="1">IF($L127="","",INDEX('Veri Merkezi'!$R$2:$R$1001,$L127))</f>
        <v/>
      </c>
      <c r="J127" s="8" t="str">
        <f ca="1">IF($L127="","",INDEX('Veri Merkezi'!$S$2:$S$1001,$L127))</f>
        <v/>
      </c>
      <c r="K127" s="8" t="str">
        <f ca="1">IF($L127="","",INDEX('Veri Merkezi'!$U$2:$U$1001,$L127))</f>
        <v/>
      </c>
      <c r="L127" s="8" t="str">
        <f ca="1">IFERROR(MATCH(ROWS($L$4:L127),'Veri Merkezi'!$W$2:$W$1001,0),"")</f>
        <v/>
      </c>
    </row>
    <row r="128" spans="1:12" ht="20" customHeight="1">
      <c r="A128" s="8" t="str">
        <f ca="1">IF($L128="","",ROWS($A$4:A128))</f>
        <v/>
      </c>
      <c r="B128" s="8" t="str">
        <f ca="1">IF($L128="","",INDEX('Veri Merkezi'!$A$2:$A$1001,$L128))</f>
        <v/>
      </c>
      <c r="C128" s="8" t="str">
        <f ca="1">IF($L128="","",INDEX('Veri Merkezi'!$E$2:$E$1001,$L128))</f>
        <v/>
      </c>
      <c r="D128" s="8" t="str">
        <f ca="1">IF($L128="","",INDEX('Veri Merkezi'!$D$2:$D$1001,$L128))</f>
        <v/>
      </c>
      <c r="E128" s="8" t="str">
        <f ca="1">IF($L128="","",INDEX('Veri Merkezi'!$F$2:$F$1001,$L128))</f>
        <v/>
      </c>
      <c r="F128" s="9" t="str">
        <f ca="1">IF($L128="","",INDEX('Veri Merkezi'!$G$2:$G$1001,$L128))</f>
        <v/>
      </c>
      <c r="H128" s="8" t="str">
        <f ca="1">IF($L128="","",INDEX('Veri Merkezi'!$H$2:$H$1001,$L128))</f>
        <v/>
      </c>
      <c r="I128" s="10" t="str">
        <f ca="1">IF($L128="","",INDEX('Veri Merkezi'!$R$2:$R$1001,$L128))</f>
        <v/>
      </c>
      <c r="J128" s="8" t="str">
        <f ca="1">IF($L128="","",INDEX('Veri Merkezi'!$S$2:$S$1001,$L128))</f>
        <v/>
      </c>
      <c r="K128" s="8" t="str">
        <f ca="1">IF($L128="","",INDEX('Veri Merkezi'!$U$2:$U$1001,$L128))</f>
        <v/>
      </c>
      <c r="L128" s="8" t="str">
        <f ca="1">IFERROR(MATCH(ROWS($L$4:L128),'Veri Merkezi'!$W$2:$W$1001,0),"")</f>
        <v/>
      </c>
    </row>
    <row r="129" spans="1:12" ht="20" customHeight="1">
      <c r="A129" s="8" t="str">
        <f ca="1">IF($L129="","",ROWS($A$4:A129))</f>
        <v/>
      </c>
      <c r="B129" s="8" t="str">
        <f ca="1">IF($L129="","",INDEX('Veri Merkezi'!$A$2:$A$1001,$L129))</f>
        <v/>
      </c>
      <c r="C129" s="8" t="str">
        <f ca="1">IF($L129="","",INDEX('Veri Merkezi'!$E$2:$E$1001,$L129))</f>
        <v/>
      </c>
      <c r="D129" s="8" t="str">
        <f ca="1">IF($L129="","",INDEX('Veri Merkezi'!$D$2:$D$1001,$L129))</f>
        <v/>
      </c>
      <c r="E129" s="8" t="str">
        <f ca="1">IF($L129="","",INDEX('Veri Merkezi'!$F$2:$F$1001,$L129))</f>
        <v/>
      </c>
      <c r="F129" s="9" t="str">
        <f ca="1">IF($L129="","",INDEX('Veri Merkezi'!$G$2:$G$1001,$L129))</f>
        <v/>
      </c>
      <c r="H129" s="8" t="str">
        <f ca="1">IF($L129="","",INDEX('Veri Merkezi'!$H$2:$H$1001,$L129))</f>
        <v/>
      </c>
      <c r="I129" s="10" t="str">
        <f ca="1">IF($L129="","",INDEX('Veri Merkezi'!$R$2:$R$1001,$L129))</f>
        <v/>
      </c>
      <c r="J129" s="8" t="str">
        <f ca="1">IF($L129="","",INDEX('Veri Merkezi'!$S$2:$S$1001,$L129))</f>
        <v/>
      </c>
      <c r="K129" s="8" t="str">
        <f ca="1">IF($L129="","",INDEX('Veri Merkezi'!$U$2:$U$1001,$L129))</f>
        <v/>
      </c>
      <c r="L129" s="8" t="str">
        <f ca="1">IFERROR(MATCH(ROWS($L$4:L129),'Veri Merkezi'!$W$2:$W$1001,0),"")</f>
        <v/>
      </c>
    </row>
    <row r="130" spans="1:12" ht="20" customHeight="1">
      <c r="A130" s="8" t="str">
        <f ca="1">IF($L130="","",ROWS($A$4:A130))</f>
        <v/>
      </c>
      <c r="B130" s="8" t="str">
        <f ca="1">IF($L130="","",INDEX('Veri Merkezi'!$A$2:$A$1001,$L130))</f>
        <v/>
      </c>
      <c r="C130" s="8" t="str">
        <f ca="1">IF($L130="","",INDEX('Veri Merkezi'!$E$2:$E$1001,$L130))</f>
        <v/>
      </c>
      <c r="D130" s="8" t="str">
        <f ca="1">IF($L130="","",INDEX('Veri Merkezi'!$D$2:$D$1001,$L130))</f>
        <v/>
      </c>
      <c r="E130" s="8" t="str">
        <f ca="1">IF($L130="","",INDEX('Veri Merkezi'!$F$2:$F$1001,$L130))</f>
        <v/>
      </c>
      <c r="F130" s="9" t="str">
        <f ca="1">IF($L130="","",INDEX('Veri Merkezi'!$G$2:$G$1001,$L130))</f>
        <v/>
      </c>
      <c r="H130" s="8" t="str">
        <f ca="1">IF($L130="","",INDEX('Veri Merkezi'!$H$2:$H$1001,$L130))</f>
        <v/>
      </c>
      <c r="I130" s="10" t="str">
        <f ca="1">IF($L130="","",INDEX('Veri Merkezi'!$R$2:$R$1001,$L130))</f>
        <v/>
      </c>
      <c r="J130" s="8" t="str">
        <f ca="1">IF($L130="","",INDEX('Veri Merkezi'!$S$2:$S$1001,$L130))</f>
        <v/>
      </c>
      <c r="K130" s="8" t="str">
        <f ca="1">IF($L130="","",INDEX('Veri Merkezi'!$U$2:$U$1001,$L130))</f>
        <v/>
      </c>
      <c r="L130" s="8" t="str">
        <f ca="1">IFERROR(MATCH(ROWS($L$4:L130),'Veri Merkezi'!$W$2:$W$1001,0),"")</f>
        <v/>
      </c>
    </row>
    <row r="131" spans="1:12" ht="20" customHeight="1">
      <c r="A131" s="8" t="str">
        <f ca="1">IF($L131="","",ROWS($A$4:A131))</f>
        <v/>
      </c>
      <c r="B131" s="8" t="str">
        <f ca="1">IF($L131="","",INDEX('Veri Merkezi'!$A$2:$A$1001,$L131))</f>
        <v/>
      </c>
      <c r="C131" s="8" t="str">
        <f ca="1">IF($L131="","",INDEX('Veri Merkezi'!$E$2:$E$1001,$L131))</f>
        <v/>
      </c>
      <c r="D131" s="8" t="str">
        <f ca="1">IF($L131="","",INDEX('Veri Merkezi'!$D$2:$D$1001,$L131))</f>
        <v/>
      </c>
      <c r="E131" s="8" t="str">
        <f ca="1">IF($L131="","",INDEX('Veri Merkezi'!$F$2:$F$1001,$L131))</f>
        <v/>
      </c>
      <c r="F131" s="9" t="str">
        <f ca="1">IF($L131="","",INDEX('Veri Merkezi'!$G$2:$G$1001,$L131))</f>
        <v/>
      </c>
      <c r="H131" s="8" t="str">
        <f ca="1">IF($L131="","",INDEX('Veri Merkezi'!$H$2:$H$1001,$L131))</f>
        <v/>
      </c>
      <c r="I131" s="10" t="str">
        <f ca="1">IF($L131="","",INDEX('Veri Merkezi'!$R$2:$R$1001,$L131))</f>
        <v/>
      </c>
      <c r="J131" s="8" t="str">
        <f ca="1">IF($L131="","",INDEX('Veri Merkezi'!$S$2:$S$1001,$L131))</f>
        <v/>
      </c>
      <c r="K131" s="8" t="str">
        <f ca="1">IF($L131="","",INDEX('Veri Merkezi'!$U$2:$U$1001,$L131))</f>
        <v/>
      </c>
      <c r="L131" s="8" t="str">
        <f ca="1">IFERROR(MATCH(ROWS($L$4:L131),'Veri Merkezi'!$W$2:$W$1001,0),"")</f>
        <v/>
      </c>
    </row>
    <row r="132" spans="1:12" ht="20" customHeight="1">
      <c r="A132" s="8" t="str">
        <f ca="1">IF($L132="","",ROWS($A$4:A132))</f>
        <v/>
      </c>
      <c r="B132" s="8" t="str">
        <f ca="1">IF($L132="","",INDEX('Veri Merkezi'!$A$2:$A$1001,$L132))</f>
        <v/>
      </c>
      <c r="C132" s="8" t="str">
        <f ca="1">IF($L132="","",INDEX('Veri Merkezi'!$E$2:$E$1001,$L132))</f>
        <v/>
      </c>
      <c r="D132" s="8" t="str">
        <f ca="1">IF($L132="","",INDEX('Veri Merkezi'!$D$2:$D$1001,$L132))</f>
        <v/>
      </c>
      <c r="E132" s="8" t="str">
        <f ca="1">IF($L132="","",INDEX('Veri Merkezi'!$F$2:$F$1001,$L132))</f>
        <v/>
      </c>
      <c r="F132" s="9" t="str">
        <f ca="1">IF($L132="","",INDEX('Veri Merkezi'!$G$2:$G$1001,$L132))</f>
        <v/>
      </c>
      <c r="H132" s="8" t="str">
        <f ca="1">IF($L132="","",INDEX('Veri Merkezi'!$H$2:$H$1001,$L132))</f>
        <v/>
      </c>
      <c r="I132" s="10" t="str">
        <f ca="1">IF($L132="","",INDEX('Veri Merkezi'!$R$2:$R$1001,$L132))</f>
        <v/>
      </c>
      <c r="J132" s="8" t="str">
        <f ca="1">IF($L132="","",INDEX('Veri Merkezi'!$S$2:$S$1001,$L132))</f>
        <v/>
      </c>
      <c r="K132" s="8" t="str">
        <f ca="1">IF($L132="","",INDEX('Veri Merkezi'!$U$2:$U$1001,$L132))</f>
        <v/>
      </c>
      <c r="L132" s="8" t="str">
        <f ca="1">IFERROR(MATCH(ROWS($L$4:L132),'Veri Merkezi'!$W$2:$W$1001,0),"")</f>
        <v/>
      </c>
    </row>
    <row r="133" spans="1:12" ht="20" customHeight="1">
      <c r="A133" s="8" t="str">
        <f ca="1">IF($L133="","",ROWS($A$4:A133))</f>
        <v/>
      </c>
      <c r="B133" s="8" t="str">
        <f ca="1">IF($L133="","",INDEX('Veri Merkezi'!$A$2:$A$1001,$L133))</f>
        <v/>
      </c>
      <c r="C133" s="8" t="str">
        <f ca="1">IF($L133="","",INDEX('Veri Merkezi'!$E$2:$E$1001,$L133))</f>
        <v/>
      </c>
      <c r="D133" s="8" t="str">
        <f ca="1">IF($L133="","",INDEX('Veri Merkezi'!$D$2:$D$1001,$L133))</f>
        <v/>
      </c>
      <c r="E133" s="8" t="str">
        <f ca="1">IF($L133="","",INDEX('Veri Merkezi'!$F$2:$F$1001,$L133))</f>
        <v/>
      </c>
      <c r="F133" s="9" t="str">
        <f ca="1">IF($L133="","",INDEX('Veri Merkezi'!$G$2:$G$1001,$L133))</f>
        <v/>
      </c>
      <c r="H133" s="8" t="str">
        <f ca="1">IF($L133="","",INDEX('Veri Merkezi'!$H$2:$H$1001,$L133))</f>
        <v/>
      </c>
      <c r="I133" s="10" t="str">
        <f ca="1">IF($L133="","",INDEX('Veri Merkezi'!$R$2:$R$1001,$L133))</f>
        <v/>
      </c>
      <c r="J133" s="8" t="str">
        <f ca="1">IF($L133="","",INDEX('Veri Merkezi'!$S$2:$S$1001,$L133))</f>
        <v/>
      </c>
      <c r="K133" s="8" t="str">
        <f ca="1">IF($L133="","",INDEX('Veri Merkezi'!$U$2:$U$1001,$L133))</f>
        <v/>
      </c>
      <c r="L133" s="8" t="str">
        <f ca="1">IFERROR(MATCH(ROWS($L$4:L133),'Veri Merkezi'!$W$2:$W$1001,0),"")</f>
        <v/>
      </c>
    </row>
    <row r="134" spans="1:12" ht="20" customHeight="1">
      <c r="A134" s="8" t="str">
        <f ca="1">IF($L134="","",ROWS($A$4:A134))</f>
        <v/>
      </c>
      <c r="B134" s="8" t="str">
        <f ca="1">IF($L134="","",INDEX('Veri Merkezi'!$A$2:$A$1001,$L134))</f>
        <v/>
      </c>
      <c r="C134" s="8" t="str">
        <f ca="1">IF($L134="","",INDEX('Veri Merkezi'!$E$2:$E$1001,$L134))</f>
        <v/>
      </c>
      <c r="D134" s="8" t="str">
        <f ca="1">IF($L134="","",INDEX('Veri Merkezi'!$D$2:$D$1001,$L134))</f>
        <v/>
      </c>
      <c r="E134" s="8" t="str">
        <f ca="1">IF($L134="","",INDEX('Veri Merkezi'!$F$2:$F$1001,$L134))</f>
        <v/>
      </c>
      <c r="F134" s="9" t="str">
        <f ca="1">IF($L134="","",INDEX('Veri Merkezi'!$G$2:$G$1001,$L134))</f>
        <v/>
      </c>
      <c r="H134" s="8" t="str">
        <f ca="1">IF($L134="","",INDEX('Veri Merkezi'!$H$2:$H$1001,$L134))</f>
        <v/>
      </c>
      <c r="I134" s="10" t="str">
        <f ca="1">IF($L134="","",INDEX('Veri Merkezi'!$R$2:$R$1001,$L134))</f>
        <v/>
      </c>
      <c r="J134" s="8" t="str">
        <f ca="1">IF($L134="","",INDEX('Veri Merkezi'!$S$2:$S$1001,$L134))</f>
        <v/>
      </c>
      <c r="K134" s="8" t="str">
        <f ca="1">IF($L134="","",INDEX('Veri Merkezi'!$U$2:$U$1001,$L134))</f>
        <v/>
      </c>
      <c r="L134" s="8" t="str">
        <f ca="1">IFERROR(MATCH(ROWS($L$4:L134),'Veri Merkezi'!$W$2:$W$1001,0),"")</f>
        <v/>
      </c>
    </row>
    <row r="135" spans="1:12" ht="20" customHeight="1">
      <c r="A135" s="8" t="str">
        <f ca="1">IF($L135="","",ROWS($A$4:A135))</f>
        <v/>
      </c>
      <c r="B135" s="8" t="str">
        <f ca="1">IF($L135="","",INDEX('Veri Merkezi'!$A$2:$A$1001,$L135))</f>
        <v/>
      </c>
      <c r="C135" s="8" t="str">
        <f ca="1">IF($L135="","",INDEX('Veri Merkezi'!$E$2:$E$1001,$L135))</f>
        <v/>
      </c>
      <c r="D135" s="8" t="str">
        <f ca="1">IF($L135="","",INDEX('Veri Merkezi'!$D$2:$D$1001,$L135))</f>
        <v/>
      </c>
      <c r="E135" s="8" t="str">
        <f ca="1">IF($L135="","",INDEX('Veri Merkezi'!$F$2:$F$1001,$L135))</f>
        <v/>
      </c>
      <c r="F135" s="9" t="str">
        <f ca="1">IF($L135="","",INDEX('Veri Merkezi'!$G$2:$G$1001,$L135))</f>
        <v/>
      </c>
      <c r="H135" s="8" t="str">
        <f ca="1">IF($L135="","",INDEX('Veri Merkezi'!$H$2:$H$1001,$L135))</f>
        <v/>
      </c>
      <c r="I135" s="10" t="str">
        <f ca="1">IF($L135="","",INDEX('Veri Merkezi'!$R$2:$R$1001,$L135))</f>
        <v/>
      </c>
      <c r="J135" s="8" t="str">
        <f ca="1">IF($L135="","",INDEX('Veri Merkezi'!$S$2:$S$1001,$L135))</f>
        <v/>
      </c>
      <c r="K135" s="8" t="str">
        <f ca="1">IF($L135="","",INDEX('Veri Merkezi'!$U$2:$U$1001,$L135))</f>
        <v/>
      </c>
      <c r="L135" s="8" t="str">
        <f ca="1">IFERROR(MATCH(ROWS($L$4:L135),'Veri Merkezi'!$W$2:$W$1001,0),"")</f>
        <v/>
      </c>
    </row>
    <row r="136" spans="1:12" ht="20" customHeight="1">
      <c r="A136" s="8" t="str">
        <f ca="1">IF($L136="","",ROWS($A$4:A136))</f>
        <v/>
      </c>
      <c r="B136" s="8" t="str">
        <f ca="1">IF($L136="","",INDEX('Veri Merkezi'!$A$2:$A$1001,$L136))</f>
        <v/>
      </c>
      <c r="C136" s="8" t="str">
        <f ca="1">IF($L136="","",INDEX('Veri Merkezi'!$E$2:$E$1001,$L136))</f>
        <v/>
      </c>
      <c r="D136" s="8" t="str">
        <f ca="1">IF($L136="","",INDEX('Veri Merkezi'!$D$2:$D$1001,$L136))</f>
        <v/>
      </c>
      <c r="E136" s="8" t="str">
        <f ca="1">IF($L136="","",INDEX('Veri Merkezi'!$F$2:$F$1001,$L136))</f>
        <v/>
      </c>
      <c r="F136" s="9" t="str">
        <f ca="1">IF($L136="","",INDEX('Veri Merkezi'!$G$2:$G$1001,$L136))</f>
        <v/>
      </c>
      <c r="H136" s="8" t="str">
        <f ca="1">IF($L136="","",INDEX('Veri Merkezi'!$H$2:$H$1001,$L136))</f>
        <v/>
      </c>
      <c r="I136" s="10" t="str">
        <f ca="1">IF($L136="","",INDEX('Veri Merkezi'!$R$2:$R$1001,$L136))</f>
        <v/>
      </c>
      <c r="J136" s="8" t="str">
        <f ca="1">IF($L136="","",INDEX('Veri Merkezi'!$S$2:$S$1001,$L136))</f>
        <v/>
      </c>
      <c r="K136" s="8" t="str">
        <f ca="1">IF($L136="","",INDEX('Veri Merkezi'!$U$2:$U$1001,$L136))</f>
        <v/>
      </c>
      <c r="L136" s="8" t="str">
        <f ca="1">IFERROR(MATCH(ROWS($L$4:L136),'Veri Merkezi'!$W$2:$W$1001,0),"")</f>
        <v/>
      </c>
    </row>
    <row r="137" spans="1:12" ht="20" customHeight="1">
      <c r="A137" s="8" t="str">
        <f ca="1">IF($L137="","",ROWS($A$4:A137))</f>
        <v/>
      </c>
      <c r="B137" s="8" t="str">
        <f ca="1">IF($L137="","",INDEX('Veri Merkezi'!$A$2:$A$1001,$L137))</f>
        <v/>
      </c>
      <c r="C137" s="8" t="str">
        <f ca="1">IF($L137="","",INDEX('Veri Merkezi'!$E$2:$E$1001,$L137))</f>
        <v/>
      </c>
      <c r="D137" s="8" t="str">
        <f ca="1">IF($L137="","",INDEX('Veri Merkezi'!$D$2:$D$1001,$L137))</f>
        <v/>
      </c>
      <c r="E137" s="8" t="str">
        <f ca="1">IF($L137="","",INDEX('Veri Merkezi'!$F$2:$F$1001,$L137))</f>
        <v/>
      </c>
      <c r="F137" s="9" t="str">
        <f ca="1">IF($L137="","",INDEX('Veri Merkezi'!$G$2:$G$1001,$L137))</f>
        <v/>
      </c>
      <c r="H137" s="8" t="str">
        <f ca="1">IF($L137="","",INDEX('Veri Merkezi'!$H$2:$H$1001,$L137))</f>
        <v/>
      </c>
      <c r="I137" s="10" t="str">
        <f ca="1">IF($L137="","",INDEX('Veri Merkezi'!$R$2:$R$1001,$L137))</f>
        <v/>
      </c>
      <c r="J137" s="8" t="str">
        <f ca="1">IF($L137="","",INDEX('Veri Merkezi'!$S$2:$S$1001,$L137))</f>
        <v/>
      </c>
      <c r="K137" s="8" t="str">
        <f ca="1">IF($L137="","",INDEX('Veri Merkezi'!$U$2:$U$1001,$L137))</f>
        <v/>
      </c>
      <c r="L137" s="8" t="str">
        <f ca="1">IFERROR(MATCH(ROWS($L$4:L137),'Veri Merkezi'!$W$2:$W$1001,0),"")</f>
        <v/>
      </c>
    </row>
    <row r="138" spans="1:12" ht="20" customHeight="1">
      <c r="A138" s="8" t="str">
        <f ca="1">IF($L138="","",ROWS($A$4:A138))</f>
        <v/>
      </c>
      <c r="B138" s="8" t="str">
        <f ca="1">IF($L138="","",INDEX('Veri Merkezi'!$A$2:$A$1001,$L138))</f>
        <v/>
      </c>
      <c r="C138" s="8" t="str">
        <f ca="1">IF($L138="","",INDEX('Veri Merkezi'!$E$2:$E$1001,$L138))</f>
        <v/>
      </c>
      <c r="D138" s="8" t="str">
        <f ca="1">IF($L138="","",INDEX('Veri Merkezi'!$D$2:$D$1001,$L138))</f>
        <v/>
      </c>
      <c r="E138" s="8" t="str">
        <f ca="1">IF($L138="","",INDEX('Veri Merkezi'!$F$2:$F$1001,$L138))</f>
        <v/>
      </c>
      <c r="F138" s="9" t="str">
        <f ca="1">IF($L138="","",INDEX('Veri Merkezi'!$G$2:$G$1001,$L138))</f>
        <v/>
      </c>
      <c r="H138" s="8" t="str">
        <f ca="1">IF($L138="","",INDEX('Veri Merkezi'!$H$2:$H$1001,$L138))</f>
        <v/>
      </c>
      <c r="I138" s="10" t="str">
        <f ca="1">IF($L138="","",INDEX('Veri Merkezi'!$R$2:$R$1001,$L138))</f>
        <v/>
      </c>
      <c r="J138" s="8" t="str">
        <f ca="1">IF($L138="","",INDEX('Veri Merkezi'!$S$2:$S$1001,$L138))</f>
        <v/>
      </c>
      <c r="K138" s="8" t="str">
        <f ca="1">IF($L138="","",INDEX('Veri Merkezi'!$U$2:$U$1001,$L138))</f>
        <v/>
      </c>
      <c r="L138" s="8" t="str">
        <f ca="1">IFERROR(MATCH(ROWS($L$4:L138),'Veri Merkezi'!$W$2:$W$1001,0),"")</f>
        <v/>
      </c>
    </row>
    <row r="139" spans="1:12" ht="20" customHeight="1">
      <c r="A139" s="8" t="str">
        <f ca="1">IF($L139="","",ROWS($A$4:A139))</f>
        <v/>
      </c>
      <c r="B139" s="8" t="str">
        <f ca="1">IF($L139="","",INDEX('Veri Merkezi'!$A$2:$A$1001,$L139))</f>
        <v/>
      </c>
      <c r="C139" s="8" t="str">
        <f ca="1">IF($L139="","",INDEX('Veri Merkezi'!$E$2:$E$1001,$L139))</f>
        <v/>
      </c>
      <c r="D139" s="8" t="str">
        <f ca="1">IF($L139="","",INDEX('Veri Merkezi'!$D$2:$D$1001,$L139))</f>
        <v/>
      </c>
      <c r="E139" s="8" t="str">
        <f ca="1">IF($L139="","",INDEX('Veri Merkezi'!$F$2:$F$1001,$L139))</f>
        <v/>
      </c>
      <c r="F139" s="9" t="str">
        <f ca="1">IF($L139="","",INDEX('Veri Merkezi'!$G$2:$G$1001,$L139))</f>
        <v/>
      </c>
      <c r="H139" s="8" t="str">
        <f ca="1">IF($L139="","",INDEX('Veri Merkezi'!$H$2:$H$1001,$L139))</f>
        <v/>
      </c>
      <c r="I139" s="10" t="str">
        <f ca="1">IF($L139="","",INDEX('Veri Merkezi'!$R$2:$R$1001,$L139))</f>
        <v/>
      </c>
      <c r="J139" s="8" t="str">
        <f ca="1">IF($L139="","",INDEX('Veri Merkezi'!$S$2:$S$1001,$L139))</f>
        <v/>
      </c>
      <c r="K139" s="8" t="str">
        <f ca="1">IF($L139="","",INDEX('Veri Merkezi'!$U$2:$U$1001,$L139))</f>
        <v/>
      </c>
      <c r="L139" s="8" t="str">
        <f ca="1">IFERROR(MATCH(ROWS($L$4:L139),'Veri Merkezi'!$W$2:$W$1001,0),"")</f>
        <v/>
      </c>
    </row>
    <row r="140" spans="1:12" ht="20" customHeight="1">
      <c r="A140" s="8" t="str">
        <f ca="1">IF($L140="","",ROWS($A$4:A140))</f>
        <v/>
      </c>
      <c r="B140" s="8" t="str">
        <f ca="1">IF($L140="","",INDEX('Veri Merkezi'!$A$2:$A$1001,$L140))</f>
        <v/>
      </c>
      <c r="C140" s="8" t="str">
        <f ca="1">IF($L140="","",INDEX('Veri Merkezi'!$E$2:$E$1001,$L140))</f>
        <v/>
      </c>
      <c r="D140" s="8" t="str">
        <f ca="1">IF($L140="","",INDEX('Veri Merkezi'!$D$2:$D$1001,$L140))</f>
        <v/>
      </c>
      <c r="E140" s="8" t="str">
        <f ca="1">IF($L140="","",INDEX('Veri Merkezi'!$F$2:$F$1001,$L140))</f>
        <v/>
      </c>
      <c r="F140" s="9" t="str">
        <f ca="1">IF($L140="","",INDEX('Veri Merkezi'!$G$2:$G$1001,$L140))</f>
        <v/>
      </c>
      <c r="H140" s="8" t="str">
        <f ca="1">IF($L140="","",INDEX('Veri Merkezi'!$H$2:$H$1001,$L140))</f>
        <v/>
      </c>
      <c r="I140" s="10" t="str">
        <f ca="1">IF($L140="","",INDEX('Veri Merkezi'!$R$2:$R$1001,$L140))</f>
        <v/>
      </c>
      <c r="J140" s="8" t="str">
        <f ca="1">IF($L140="","",INDEX('Veri Merkezi'!$S$2:$S$1001,$L140))</f>
        <v/>
      </c>
      <c r="K140" s="8" t="str">
        <f ca="1">IF($L140="","",INDEX('Veri Merkezi'!$U$2:$U$1001,$L140))</f>
        <v/>
      </c>
      <c r="L140" s="8" t="str">
        <f ca="1">IFERROR(MATCH(ROWS($L$4:L140),'Veri Merkezi'!$W$2:$W$1001,0),"")</f>
        <v/>
      </c>
    </row>
    <row r="141" spans="1:12" ht="20" customHeight="1">
      <c r="A141" s="8" t="str">
        <f ca="1">IF($L141="","",ROWS($A$4:A141))</f>
        <v/>
      </c>
      <c r="B141" s="8" t="str">
        <f ca="1">IF($L141="","",INDEX('Veri Merkezi'!$A$2:$A$1001,$L141))</f>
        <v/>
      </c>
      <c r="C141" s="8" t="str">
        <f ca="1">IF($L141="","",INDEX('Veri Merkezi'!$E$2:$E$1001,$L141))</f>
        <v/>
      </c>
      <c r="D141" s="8" t="str">
        <f ca="1">IF($L141="","",INDEX('Veri Merkezi'!$D$2:$D$1001,$L141))</f>
        <v/>
      </c>
      <c r="E141" s="8" t="str">
        <f ca="1">IF($L141="","",INDEX('Veri Merkezi'!$F$2:$F$1001,$L141))</f>
        <v/>
      </c>
      <c r="F141" s="9" t="str">
        <f ca="1">IF($L141="","",INDEX('Veri Merkezi'!$G$2:$G$1001,$L141))</f>
        <v/>
      </c>
      <c r="H141" s="8" t="str">
        <f ca="1">IF($L141="","",INDEX('Veri Merkezi'!$H$2:$H$1001,$L141))</f>
        <v/>
      </c>
      <c r="I141" s="10" t="str">
        <f ca="1">IF($L141="","",INDEX('Veri Merkezi'!$R$2:$R$1001,$L141))</f>
        <v/>
      </c>
      <c r="J141" s="8" t="str">
        <f ca="1">IF($L141="","",INDEX('Veri Merkezi'!$S$2:$S$1001,$L141))</f>
        <v/>
      </c>
      <c r="K141" s="8" t="str">
        <f ca="1">IF($L141="","",INDEX('Veri Merkezi'!$U$2:$U$1001,$L141))</f>
        <v/>
      </c>
      <c r="L141" s="8" t="str">
        <f ca="1">IFERROR(MATCH(ROWS($L$4:L141),'Veri Merkezi'!$W$2:$W$1001,0),"")</f>
        <v/>
      </c>
    </row>
    <row r="142" spans="1:12" ht="20" customHeight="1">
      <c r="A142" s="8" t="str">
        <f ca="1">IF($L142="","",ROWS($A$4:A142))</f>
        <v/>
      </c>
      <c r="B142" s="8" t="str">
        <f ca="1">IF($L142="","",INDEX('Veri Merkezi'!$A$2:$A$1001,$L142))</f>
        <v/>
      </c>
      <c r="C142" s="8" t="str">
        <f ca="1">IF($L142="","",INDEX('Veri Merkezi'!$E$2:$E$1001,$L142))</f>
        <v/>
      </c>
      <c r="D142" s="8" t="str">
        <f ca="1">IF($L142="","",INDEX('Veri Merkezi'!$D$2:$D$1001,$L142))</f>
        <v/>
      </c>
      <c r="E142" s="8" t="str">
        <f ca="1">IF($L142="","",INDEX('Veri Merkezi'!$F$2:$F$1001,$L142))</f>
        <v/>
      </c>
      <c r="F142" s="9" t="str">
        <f ca="1">IF($L142="","",INDEX('Veri Merkezi'!$G$2:$G$1001,$L142))</f>
        <v/>
      </c>
      <c r="H142" s="8" t="str">
        <f ca="1">IF($L142="","",INDEX('Veri Merkezi'!$H$2:$H$1001,$L142))</f>
        <v/>
      </c>
      <c r="I142" s="10" t="str">
        <f ca="1">IF($L142="","",INDEX('Veri Merkezi'!$R$2:$R$1001,$L142))</f>
        <v/>
      </c>
      <c r="J142" s="8" t="str">
        <f ca="1">IF($L142="","",INDEX('Veri Merkezi'!$S$2:$S$1001,$L142))</f>
        <v/>
      </c>
      <c r="K142" s="8" t="str">
        <f ca="1">IF($L142="","",INDEX('Veri Merkezi'!$U$2:$U$1001,$L142))</f>
        <v/>
      </c>
      <c r="L142" s="8" t="str">
        <f ca="1">IFERROR(MATCH(ROWS($L$4:L142),'Veri Merkezi'!$W$2:$W$1001,0),"")</f>
        <v/>
      </c>
    </row>
    <row r="143" spans="1:12" ht="20" customHeight="1">
      <c r="A143" s="8" t="str">
        <f ca="1">IF($L143="","",ROWS($A$4:A143))</f>
        <v/>
      </c>
      <c r="B143" s="8" t="str">
        <f ca="1">IF($L143="","",INDEX('Veri Merkezi'!$A$2:$A$1001,$L143))</f>
        <v/>
      </c>
      <c r="C143" s="8" t="str">
        <f ca="1">IF($L143="","",INDEX('Veri Merkezi'!$E$2:$E$1001,$L143))</f>
        <v/>
      </c>
      <c r="D143" s="8" t="str">
        <f ca="1">IF($L143="","",INDEX('Veri Merkezi'!$D$2:$D$1001,$L143))</f>
        <v/>
      </c>
      <c r="E143" s="8" t="str">
        <f ca="1">IF($L143="","",INDEX('Veri Merkezi'!$F$2:$F$1001,$L143))</f>
        <v/>
      </c>
      <c r="F143" s="9" t="str">
        <f ca="1">IF($L143="","",INDEX('Veri Merkezi'!$G$2:$G$1001,$L143))</f>
        <v/>
      </c>
      <c r="H143" s="8" t="str">
        <f ca="1">IF($L143="","",INDEX('Veri Merkezi'!$H$2:$H$1001,$L143))</f>
        <v/>
      </c>
      <c r="I143" s="10" t="str">
        <f ca="1">IF($L143="","",INDEX('Veri Merkezi'!$R$2:$R$1001,$L143))</f>
        <v/>
      </c>
      <c r="J143" s="8" t="str">
        <f ca="1">IF($L143="","",INDEX('Veri Merkezi'!$S$2:$S$1001,$L143))</f>
        <v/>
      </c>
      <c r="K143" s="8" t="str">
        <f ca="1">IF($L143="","",INDEX('Veri Merkezi'!$U$2:$U$1001,$L143))</f>
        <v/>
      </c>
      <c r="L143" s="8" t="str">
        <f ca="1">IFERROR(MATCH(ROWS($L$4:L143),'Veri Merkezi'!$W$2:$W$1001,0),"")</f>
        <v/>
      </c>
    </row>
    <row r="144" spans="1:12" ht="20" customHeight="1">
      <c r="A144" s="8" t="str">
        <f ca="1">IF($L144="","",ROWS($A$4:A144))</f>
        <v/>
      </c>
      <c r="B144" s="8" t="str">
        <f ca="1">IF($L144="","",INDEX('Veri Merkezi'!$A$2:$A$1001,$L144))</f>
        <v/>
      </c>
      <c r="C144" s="8" t="str">
        <f ca="1">IF($L144="","",INDEX('Veri Merkezi'!$E$2:$E$1001,$L144))</f>
        <v/>
      </c>
      <c r="D144" s="8" t="str">
        <f ca="1">IF($L144="","",INDEX('Veri Merkezi'!$D$2:$D$1001,$L144))</f>
        <v/>
      </c>
      <c r="E144" s="8" t="str">
        <f ca="1">IF($L144="","",INDEX('Veri Merkezi'!$F$2:$F$1001,$L144))</f>
        <v/>
      </c>
      <c r="F144" s="9" t="str">
        <f ca="1">IF($L144="","",INDEX('Veri Merkezi'!$G$2:$G$1001,$L144))</f>
        <v/>
      </c>
      <c r="H144" s="8" t="str">
        <f ca="1">IF($L144="","",INDEX('Veri Merkezi'!$H$2:$H$1001,$L144))</f>
        <v/>
      </c>
      <c r="I144" s="10" t="str">
        <f ca="1">IF($L144="","",INDEX('Veri Merkezi'!$R$2:$R$1001,$L144))</f>
        <v/>
      </c>
      <c r="J144" s="8" t="str">
        <f ca="1">IF($L144="","",INDEX('Veri Merkezi'!$S$2:$S$1001,$L144))</f>
        <v/>
      </c>
      <c r="K144" s="8" t="str">
        <f ca="1">IF($L144="","",INDEX('Veri Merkezi'!$U$2:$U$1001,$L144))</f>
        <v/>
      </c>
      <c r="L144" s="8" t="str">
        <f ca="1">IFERROR(MATCH(ROWS($L$4:L144),'Veri Merkezi'!$W$2:$W$1001,0),"")</f>
        <v/>
      </c>
    </row>
    <row r="145" spans="1:12" ht="20" customHeight="1">
      <c r="A145" s="8" t="str">
        <f ca="1">IF($L145="","",ROWS($A$4:A145))</f>
        <v/>
      </c>
      <c r="B145" s="8" t="str">
        <f ca="1">IF($L145="","",INDEX('Veri Merkezi'!$A$2:$A$1001,$L145))</f>
        <v/>
      </c>
      <c r="C145" s="8" t="str">
        <f ca="1">IF($L145="","",INDEX('Veri Merkezi'!$E$2:$E$1001,$L145))</f>
        <v/>
      </c>
      <c r="D145" s="8" t="str">
        <f ca="1">IF($L145="","",INDEX('Veri Merkezi'!$D$2:$D$1001,$L145))</f>
        <v/>
      </c>
      <c r="E145" s="8" t="str">
        <f ca="1">IF($L145="","",INDEX('Veri Merkezi'!$F$2:$F$1001,$L145))</f>
        <v/>
      </c>
      <c r="F145" s="9" t="str">
        <f ca="1">IF($L145="","",INDEX('Veri Merkezi'!$G$2:$G$1001,$L145))</f>
        <v/>
      </c>
      <c r="H145" s="8" t="str">
        <f ca="1">IF($L145="","",INDEX('Veri Merkezi'!$H$2:$H$1001,$L145))</f>
        <v/>
      </c>
      <c r="I145" s="10" t="str">
        <f ca="1">IF($L145="","",INDEX('Veri Merkezi'!$R$2:$R$1001,$L145))</f>
        <v/>
      </c>
      <c r="J145" s="8" t="str">
        <f ca="1">IF($L145="","",INDEX('Veri Merkezi'!$S$2:$S$1001,$L145))</f>
        <v/>
      </c>
      <c r="K145" s="8" t="str">
        <f ca="1">IF($L145="","",INDEX('Veri Merkezi'!$U$2:$U$1001,$L145))</f>
        <v/>
      </c>
      <c r="L145" s="8" t="str">
        <f ca="1">IFERROR(MATCH(ROWS($L$4:L145),'Veri Merkezi'!$W$2:$W$1001,0),"")</f>
        <v/>
      </c>
    </row>
    <row r="146" spans="1:12" ht="20" customHeight="1">
      <c r="A146" s="8" t="str">
        <f ca="1">IF($L146="","",ROWS($A$4:A146))</f>
        <v/>
      </c>
      <c r="B146" s="8" t="str">
        <f ca="1">IF($L146="","",INDEX('Veri Merkezi'!$A$2:$A$1001,$L146))</f>
        <v/>
      </c>
      <c r="C146" s="8" t="str">
        <f ca="1">IF($L146="","",INDEX('Veri Merkezi'!$E$2:$E$1001,$L146))</f>
        <v/>
      </c>
      <c r="D146" s="8" t="str">
        <f ca="1">IF($L146="","",INDEX('Veri Merkezi'!$D$2:$D$1001,$L146))</f>
        <v/>
      </c>
      <c r="E146" s="8" t="str">
        <f ca="1">IF($L146="","",INDEX('Veri Merkezi'!$F$2:$F$1001,$L146))</f>
        <v/>
      </c>
      <c r="F146" s="9" t="str">
        <f ca="1">IF($L146="","",INDEX('Veri Merkezi'!$G$2:$G$1001,$L146))</f>
        <v/>
      </c>
      <c r="H146" s="8" t="str">
        <f ca="1">IF($L146="","",INDEX('Veri Merkezi'!$H$2:$H$1001,$L146))</f>
        <v/>
      </c>
      <c r="I146" s="10" t="str">
        <f ca="1">IF($L146="","",INDEX('Veri Merkezi'!$R$2:$R$1001,$L146))</f>
        <v/>
      </c>
      <c r="J146" s="8" t="str">
        <f ca="1">IF($L146="","",INDEX('Veri Merkezi'!$S$2:$S$1001,$L146))</f>
        <v/>
      </c>
      <c r="K146" s="8" t="str">
        <f ca="1">IF($L146="","",INDEX('Veri Merkezi'!$U$2:$U$1001,$L146))</f>
        <v/>
      </c>
      <c r="L146" s="8" t="str">
        <f ca="1">IFERROR(MATCH(ROWS($L$4:L146),'Veri Merkezi'!$W$2:$W$1001,0),"")</f>
        <v/>
      </c>
    </row>
    <row r="147" spans="1:12" ht="20" customHeight="1">
      <c r="A147" s="8" t="str">
        <f ca="1">IF($L147="","",ROWS($A$4:A147))</f>
        <v/>
      </c>
      <c r="B147" s="8" t="str">
        <f ca="1">IF($L147="","",INDEX('Veri Merkezi'!$A$2:$A$1001,$L147))</f>
        <v/>
      </c>
      <c r="C147" s="8" t="str">
        <f ca="1">IF($L147="","",INDEX('Veri Merkezi'!$E$2:$E$1001,$L147))</f>
        <v/>
      </c>
      <c r="D147" s="8" t="str">
        <f ca="1">IF($L147="","",INDEX('Veri Merkezi'!$D$2:$D$1001,$L147))</f>
        <v/>
      </c>
      <c r="E147" s="8" t="str">
        <f ca="1">IF($L147="","",INDEX('Veri Merkezi'!$F$2:$F$1001,$L147))</f>
        <v/>
      </c>
      <c r="F147" s="9" t="str">
        <f ca="1">IF($L147="","",INDEX('Veri Merkezi'!$G$2:$G$1001,$L147))</f>
        <v/>
      </c>
      <c r="H147" s="8" t="str">
        <f ca="1">IF($L147="","",INDEX('Veri Merkezi'!$H$2:$H$1001,$L147))</f>
        <v/>
      </c>
      <c r="I147" s="10" t="str">
        <f ca="1">IF($L147="","",INDEX('Veri Merkezi'!$R$2:$R$1001,$L147))</f>
        <v/>
      </c>
      <c r="J147" s="8" t="str">
        <f ca="1">IF($L147="","",INDEX('Veri Merkezi'!$S$2:$S$1001,$L147))</f>
        <v/>
      </c>
      <c r="K147" s="8" t="str">
        <f ca="1">IF($L147="","",INDEX('Veri Merkezi'!$U$2:$U$1001,$L147))</f>
        <v/>
      </c>
      <c r="L147" s="8" t="str">
        <f ca="1">IFERROR(MATCH(ROWS($L$4:L147),'Veri Merkezi'!$W$2:$W$1001,0),"")</f>
        <v/>
      </c>
    </row>
    <row r="148" spans="1:12" ht="20" customHeight="1">
      <c r="A148" s="8" t="str">
        <f ca="1">IF($L148="","",ROWS($A$4:A148))</f>
        <v/>
      </c>
      <c r="B148" s="8" t="str">
        <f ca="1">IF($L148="","",INDEX('Veri Merkezi'!$A$2:$A$1001,$L148))</f>
        <v/>
      </c>
      <c r="C148" s="8" t="str">
        <f ca="1">IF($L148="","",INDEX('Veri Merkezi'!$E$2:$E$1001,$L148))</f>
        <v/>
      </c>
      <c r="D148" s="8" t="str">
        <f ca="1">IF($L148="","",INDEX('Veri Merkezi'!$D$2:$D$1001,$L148))</f>
        <v/>
      </c>
      <c r="E148" s="8" t="str">
        <f ca="1">IF($L148="","",INDEX('Veri Merkezi'!$F$2:$F$1001,$L148))</f>
        <v/>
      </c>
      <c r="F148" s="9" t="str">
        <f ca="1">IF($L148="","",INDEX('Veri Merkezi'!$G$2:$G$1001,$L148))</f>
        <v/>
      </c>
      <c r="H148" s="8" t="str">
        <f ca="1">IF($L148="","",INDEX('Veri Merkezi'!$H$2:$H$1001,$L148))</f>
        <v/>
      </c>
      <c r="I148" s="10" t="str">
        <f ca="1">IF($L148="","",INDEX('Veri Merkezi'!$R$2:$R$1001,$L148))</f>
        <v/>
      </c>
      <c r="J148" s="8" t="str">
        <f ca="1">IF($L148="","",INDEX('Veri Merkezi'!$S$2:$S$1001,$L148))</f>
        <v/>
      </c>
      <c r="K148" s="8" t="str">
        <f ca="1">IF($L148="","",INDEX('Veri Merkezi'!$U$2:$U$1001,$L148))</f>
        <v/>
      </c>
      <c r="L148" s="8" t="str">
        <f ca="1">IFERROR(MATCH(ROWS($L$4:L148),'Veri Merkezi'!$W$2:$W$1001,0),"")</f>
        <v/>
      </c>
    </row>
    <row r="149" spans="1:12" ht="20" customHeight="1">
      <c r="A149" s="8" t="str">
        <f ca="1">IF($L149="","",ROWS($A$4:A149))</f>
        <v/>
      </c>
      <c r="B149" s="8" t="str">
        <f ca="1">IF($L149="","",INDEX('Veri Merkezi'!$A$2:$A$1001,$L149))</f>
        <v/>
      </c>
      <c r="C149" s="8" t="str">
        <f ca="1">IF($L149="","",INDEX('Veri Merkezi'!$E$2:$E$1001,$L149))</f>
        <v/>
      </c>
      <c r="D149" s="8" t="str">
        <f ca="1">IF($L149="","",INDEX('Veri Merkezi'!$D$2:$D$1001,$L149))</f>
        <v/>
      </c>
      <c r="E149" s="8" t="str">
        <f ca="1">IF($L149="","",INDEX('Veri Merkezi'!$F$2:$F$1001,$L149))</f>
        <v/>
      </c>
      <c r="F149" s="9" t="str">
        <f ca="1">IF($L149="","",INDEX('Veri Merkezi'!$G$2:$G$1001,$L149))</f>
        <v/>
      </c>
      <c r="H149" s="8" t="str">
        <f ca="1">IF($L149="","",INDEX('Veri Merkezi'!$H$2:$H$1001,$L149))</f>
        <v/>
      </c>
      <c r="I149" s="10" t="str">
        <f ca="1">IF($L149="","",INDEX('Veri Merkezi'!$R$2:$R$1001,$L149))</f>
        <v/>
      </c>
      <c r="J149" s="8" t="str">
        <f ca="1">IF($L149="","",INDEX('Veri Merkezi'!$S$2:$S$1001,$L149))</f>
        <v/>
      </c>
      <c r="K149" s="8" t="str">
        <f ca="1">IF($L149="","",INDEX('Veri Merkezi'!$U$2:$U$1001,$L149))</f>
        <v/>
      </c>
      <c r="L149" s="8" t="str">
        <f ca="1">IFERROR(MATCH(ROWS($L$4:L149),'Veri Merkezi'!$W$2:$W$1001,0),"")</f>
        <v/>
      </c>
    </row>
    <row r="150" spans="1:12" ht="20" customHeight="1">
      <c r="A150" s="8" t="str">
        <f ca="1">IF($L150="","",ROWS($A$4:A150))</f>
        <v/>
      </c>
      <c r="B150" s="8" t="str">
        <f ca="1">IF($L150="","",INDEX('Veri Merkezi'!$A$2:$A$1001,$L150))</f>
        <v/>
      </c>
      <c r="C150" s="8" t="str">
        <f ca="1">IF($L150="","",INDEX('Veri Merkezi'!$E$2:$E$1001,$L150))</f>
        <v/>
      </c>
      <c r="D150" s="8" t="str">
        <f ca="1">IF($L150="","",INDEX('Veri Merkezi'!$D$2:$D$1001,$L150))</f>
        <v/>
      </c>
      <c r="E150" s="8" t="str">
        <f ca="1">IF($L150="","",INDEX('Veri Merkezi'!$F$2:$F$1001,$L150))</f>
        <v/>
      </c>
      <c r="F150" s="9" t="str">
        <f ca="1">IF($L150="","",INDEX('Veri Merkezi'!$G$2:$G$1001,$L150))</f>
        <v/>
      </c>
      <c r="H150" s="8" t="str">
        <f ca="1">IF($L150="","",INDEX('Veri Merkezi'!$H$2:$H$1001,$L150))</f>
        <v/>
      </c>
      <c r="I150" s="10" t="str">
        <f ca="1">IF($L150="","",INDEX('Veri Merkezi'!$R$2:$R$1001,$L150))</f>
        <v/>
      </c>
      <c r="J150" s="8" t="str">
        <f ca="1">IF($L150="","",INDEX('Veri Merkezi'!$S$2:$S$1001,$L150))</f>
        <v/>
      </c>
      <c r="K150" s="8" t="str">
        <f ca="1">IF($L150="","",INDEX('Veri Merkezi'!$U$2:$U$1001,$L150))</f>
        <v/>
      </c>
      <c r="L150" s="8" t="str">
        <f ca="1">IFERROR(MATCH(ROWS($L$4:L150),'Veri Merkezi'!$W$2:$W$1001,0),"")</f>
        <v/>
      </c>
    </row>
    <row r="151" spans="1:12" ht="20" customHeight="1">
      <c r="A151" s="8" t="str">
        <f ca="1">IF($L151="","",ROWS($A$4:A151))</f>
        <v/>
      </c>
      <c r="B151" s="8" t="str">
        <f ca="1">IF($L151="","",INDEX('Veri Merkezi'!$A$2:$A$1001,$L151))</f>
        <v/>
      </c>
      <c r="C151" s="8" t="str">
        <f ca="1">IF($L151="","",INDEX('Veri Merkezi'!$E$2:$E$1001,$L151))</f>
        <v/>
      </c>
      <c r="D151" s="8" t="str">
        <f ca="1">IF($L151="","",INDEX('Veri Merkezi'!$D$2:$D$1001,$L151))</f>
        <v/>
      </c>
      <c r="E151" s="8" t="str">
        <f ca="1">IF($L151="","",INDEX('Veri Merkezi'!$F$2:$F$1001,$L151))</f>
        <v/>
      </c>
      <c r="F151" s="9" t="str">
        <f ca="1">IF($L151="","",INDEX('Veri Merkezi'!$G$2:$G$1001,$L151))</f>
        <v/>
      </c>
      <c r="H151" s="8" t="str">
        <f ca="1">IF($L151="","",INDEX('Veri Merkezi'!$H$2:$H$1001,$L151))</f>
        <v/>
      </c>
      <c r="I151" s="10" t="str">
        <f ca="1">IF($L151="","",INDEX('Veri Merkezi'!$R$2:$R$1001,$L151))</f>
        <v/>
      </c>
      <c r="J151" s="8" t="str">
        <f ca="1">IF($L151="","",INDEX('Veri Merkezi'!$S$2:$S$1001,$L151))</f>
        <v/>
      </c>
      <c r="K151" s="8" t="str">
        <f ca="1">IF($L151="","",INDEX('Veri Merkezi'!$U$2:$U$1001,$L151))</f>
        <v/>
      </c>
      <c r="L151" s="8" t="str">
        <f ca="1">IFERROR(MATCH(ROWS($L$4:L151),'Veri Merkezi'!$W$2:$W$1001,0),"")</f>
        <v/>
      </c>
    </row>
    <row r="152" spans="1:12" ht="20" customHeight="1">
      <c r="A152" s="8" t="str">
        <f ca="1">IF($L152="","",ROWS($A$4:A152))</f>
        <v/>
      </c>
      <c r="B152" s="8" t="str">
        <f ca="1">IF($L152="","",INDEX('Veri Merkezi'!$A$2:$A$1001,$L152))</f>
        <v/>
      </c>
      <c r="C152" s="8" t="str">
        <f ca="1">IF($L152="","",INDEX('Veri Merkezi'!$E$2:$E$1001,$L152))</f>
        <v/>
      </c>
      <c r="D152" s="8" t="str">
        <f ca="1">IF($L152="","",INDEX('Veri Merkezi'!$D$2:$D$1001,$L152))</f>
        <v/>
      </c>
      <c r="E152" s="8" t="str">
        <f ca="1">IF($L152="","",INDEX('Veri Merkezi'!$F$2:$F$1001,$L152))</f>
        <v/>
      </c>
      <c r="F152" s="9" t="str">
        <f ca="1">IF($L152="","",INDEX('Veri Merkezi'!$G$2:$G$1001,$L152))</f>
        <v/>
      </c>
      <c r="H152" s="8" t="str">
        <f ca="1">IF($L152="","",INDEX('Veri Merkezi'!$H$2:$H$1001,$L152))</f>
        <v/>
      </c>
      <c r="I152" s="10" t="str">
        <f ca="1">IF($L152="","",INDEX('Veri Merkezi'!$R$2:$R$1001,$L152))</f>
        <v/>
      </c>
      <c r="J152" s="8" t="str">
        <f ca="1">IF($L152="","",INDEX('Veri Merkezi'!$S$2:$S$1001,$L152))</f>
        <v/>
      </c>
      <c r="K152" s="8" t="str">
        <f ca="1">IF($L152="","",INDEX('Veri Merkezi'!$U$2:$U$1001,$L152))</f>
        <v/>
      </c>
      <c r="L152" s="8" t="str">
        <f ca="1">IFERROR(MATCH(ROWS($L$4:L152),'Veri Merkezi'!$W$2:$W$1001,0),"")</f>
        <v/>
      </c>
    </row>
    <row r="153" spans="1:12" ht="20" customHeight="1">
      <c r="A153" s="8" t="str">
        <f ca="1">IF($L153="","",ROWS($A$4:A153))</f>
        <v/>
      </c>
      <c r="B153" s="8" t="str">
        <f ca="1">IF($L153="","",INDEX('Veri Merkezi'!$A$2:$A$1001,$L153))</f>
        <v/>
      </c>
      <c r="C153" s="8" t="str">
        <f ca="1">IF($L153="","",INDEX('Veri Merkezi'!$E$2:$E$1001,$L153))</f>
        <v/>
      </c>
      <c r="D153" s="8" t="str">
        <f ca="1">IF($L153="","",INDEX('Veri Merkezi'!$D$2:$D$1001,$L153))</f>
        <v/>
      </c>
      <c r="E153" s="8" t="str">
        <f ca="1">IF($L153="","",INDEX('Veri Merkezi'!$F$2:$F$1001,$L153))</f>
        <v/>
      </c>
      <c r="F153" s="9" t="str">
        <f ca="1">IF($L153="","",INDEX('Veri Merkezi'!$G$2:$G$1001,$L153))</f>
        <v/>
      </c>
      <c r="H153" s="8" t="str">
        <f ca="1">IF($L153="","",INDEX('Veri Merkezi'!$H$2:$H$1001,$L153))</f>
        <v/>
      </c>
      <c r="I153" s="10" t="str">
        <f ca="1">IF($L153="","",INDEX('Veri Merkezi'!$R$2:$R$1001,$L153))</f>
        <v/>
      </c>
      <c r="J153" s="8" t="str">
        <f ca="1">IF($L153="","",INDEX('Veri Merkezi'!$S$2:$S$1001,$L153))</f>
        <v/>
      </c>
      <c r="K153" s="8" t="str">
        <f ca="1">IF($L153="","",INDEX('Veri Merkezi'!$U$2:$U$1001,$L153))</f>
        <v/>
      </c>
      <c r="L153" s="8" t="str">
        <f ca="1">IFERROR(MATCH(ROWS($L$4:L153),'Veri Merkezi'!$W$2:$W$1001,0),"")</f>
        <v/>
      </c>
    </row>
    <row r="154" spans="1:12" ht="20" customHeight="1">
      <c r="A154" s="8" t="str">
        <f ca="1">IF($L154="","",ROWS($A$4:A154))</f>
        <v/>
      </c>
      <c r="B154" s="8" t="str">
        <f ca="1">IF($L154="","",INDEX('Veri Merkezi'!$A$2:$A$1001,$L154))</f>
        <v/>
      </c>
      <c r="C154" s="8" t="str">
        <f ca="1">IF($L154="","",INDEX('Veri Merkezi'!$E$2:$E$1001,$L154))</f>
        <v/>
      </c>
      <c r="D154" s="8" t="str">
        <f ca="1">IF($L154="","",INDEX('Veri Merkezi'!$D$2:$D$1001,$L154))</f>
        <v/>
      </c>
      <c r="E154" s="8" t="str">
        <f ca="1">IF($L154="","",INDEX('Veri Merkezi'!$F$2:$F$1001,$L154))</f>
        <v/>
      </c>
      <c r="F154" s="9" t="str">
        <f ca="1">IF($L154="","",INDEX('Veri Merkezi'!$G$2:$G$1001,$L154))</f>
        <v/>
      </c>
      <c r="H154" s="8" t="str">
        <f ca="1">IF($L154="","",INDEX('Veri Merkezi'!$H$2:$H$1001,$L154))</f>
        <v/>
      </c>
      <c r="I154" s="10" t="str">
        <f ca="1">IF($L154="","",INDEX('Veri Merkezi'!$R$2:$R$1001,$L154))</f>
        <v/>
      </c>
      <c r="J154" s="8" t="str">
        <f ca="1">IF($L154="","",INDEX('Veri Merkezi'!$S$2:$S$1001,$L154))</f>
        <v/>
      </c>
      <c r="K154" s="8" t="str">
        <f ca="1">IF($L154="","",INDEX('Veri Merkezi'!$U$2:$U$1001,$L154))</f>
        <v/>
      </c>
      <c r="L154" s="8" t="str">
        <f ca="1">IFERROR(MATCH(ROWS($L$4:L154),'Veri Merkezi'!$W$2:$W$1001,0),"")</f>
        <v/>
      </c>
    </row>
    <row r="155" spans="1:12" ht="20" customHeight="1">
      <c r="A155" s="8" t="str">
        <f ca="1">IF($L155="","",ROWS($A$4:A155))</f>
        <v/>
      </c>
      <c r="B155" s="8" t="str">
        <f ca="1">IF($L155="","",INDEX('Veri Merkezi'!$A$2:$A$1001,$L155))</f>
        <v/>
      </c>
      <c r="C155" s="8" t="str">
        <f ca="1">IF($L155="","",INDEX('Veri Merkezi'!$E$2:$E$1001,$L155))</f>
        <v/>
      </c>
      <c r="D155" s="8" t="str">
        <f ca="1">IF($L155="","",INDEX('Veri Merkezi'!$D$2:$D$1001,$L155))</f>
        <v/>
      </c>
      <c r="E155" s="8" t="str">
        <f ca="1">IF($L155="","",INDEX('Veri Merkezi'!$F$2:$F$1001,$L155))</f>
        <v/>
      </c>
      <c r="F155" s="9" t="str">
        <f ca="1">IF($L155="","",INDEX('Veri Merkezi'!$G$2:$G$1001,$L155))</f>
        <v/>
      </c>
      <c r="H155" s="8" t="str">
        <f ca="1">IF($L155="","",INDEX('Veri Merkezi'!$H$2:$H$1001,$L155))</f>
        <v/>
      </c>
      <c r="I155" s="10" t="str">
        <f ca="1">IF($L155="","",INDEX('Veri Merkezi'!$R$2:$R$1001,$L155))</f>
        <v/>
      </c>
      <c r="J155" s="8" t="str">
        <f ca="1">IF($L155="","",INDEX('Veri Merkezi'!$S$2:$S$1001,$L155))</f>
        <v/>
      </c>
      <c r="K155" s="8" t="str">
        <f ca="1">IF($L155="","",INDEX('Veri Merkezi'!$U$2:$U$1001,$L155))</f>
        <v/>
      </c>
      <c r="L155" s="8" t="str">
        <f ca="1">IFERROR(MATCH(ROWS($L$4:L155),'Veri Merkezi'!$W$2:$W$1001,0),"")</f>
        <v/>
      </c>
    </row>
    <row r="156" spans="1:12" ht="20" customHeight="1">
      <c r="A156" s="8" t="str">
        <f ca="1">IF($L156="","",ROWS($A$4:A156))</f>
        <v/>
      </c>
      <c r="B156" s="8" t="str">
        <f ca="1">IF($L156="","",INDEX('Veri Merkezi'!$A$2:$A$1001,$L156))</f>
        <v/>
      </c>
      <c r="C156" s="8" t="str">
        <f ca="1">IF($L156="","",INDEX('Veri Merkezi'!$E$2:$E$1001,$L156))</f>
        <v/>
      </c>
      <c r="D156" s="8" t="str">
        <f ca="1">IF($L156="","",INDEX('Veri Merkezi'!$D$2:$D$1001,$L156))</f>
        <v/>
      </c>
      <c r="E156" s="8" t="str">
        <f ca="1">IF($L156="","",INDEX('Veri Merkezi'!$F$2:$F$1001,$L156))</f>
        <v/>
      </c>
      <c r="F156" s="9" t="str">
        <f ca="1">IF($L156="","",INDEX('Veri Merkezi'!$G$2:$G$1001,$L156))</f>
        <v/>
      </c>
      <c r="H156" s="8" t="str">
        <f ca="1">IF($L156="","",INDEX('Veri Merkezi'!$H$2:$H$1001,$L156))</f>
        <v/>
      </c>
      <c r="I156" s="10" t="str">
        <f ca="1">IF($L156="","",INDEX('Veri Merkezi'!$R$2:$R$1001,$L156))</f>
        <v/>
      </c>
      <c r="J156" s="8" t="str">
        <f ca="1">IF($L156="","",INDEX('Veri Merkezi'!$S$2:$S$1001,$L156))</f>
        <v/>
      </c>
      <c r="K156" s="8" t="str">
        <f ca="1">IF($L156="","",INDEX('Veri Merkezi'!$U$2:$U$1001,$L156))</f>
        <v/>
      </c>
      <c r="L156" s="8" t="str">
        <f ca="1">IFERROR(MATCH(ROWS($L$4:L156),'Veri Merkezi'!$W$2:$W$1001,0),"")</f>
        <v/>
      </c>
    </row>
    <row r="157" spans="1:12" ht="20" customHeight="1">
      <c r="A157" s="8" t="str">
        <f ca="1">IF($L157="","",ROWS($A$4:A157))</f>
        <v/>
      </c>
      <c r="B157" s="8" t="str">
        <f ca="1">IF($L157="","",INDEX('Veri Merkezi'!$A$2:$A$1001,$L157))</f>
        <v/>
      </c>
      <c r="C157" s="8" t="str">
        <f ca="1">IF($L157="","",INDEX('Veri Merkezi'!$E$2:$E$1001,$L157))</f>
        <v/>
      </c>
      <c r="D157" s="8" t="str">
        <f ca="1">IF($L157="","",INDEX('Veri Merkezi'!$D$2:$D$1001,$L157))</f>
        <v/>
      </c>
      <c r="E157" s="8" t="str">
        <f ca="1">IF($L157="","",INDEX('Veri Merkezi'!$F$2:$F$1001,$L157))</f>
        <v/>
      </c>
      <c r="F157" s="9" t="str">
        <f ca="1">IF($L157="","",INDEX('Veri Merkezi'!$G$2:$G$1001,$L157))</f>
        <v/>
      </c>
      <c r="H157" s="8" t="str">
        <f ca="1">IF($L157="","",INDEX('Veri Merkezi'!$H$2:$H$1001,$L157))</f>
        <v/>
      </c>
      <c r="I157" s="10" t="str">
        <f ca="1">IF($L157="","",INDEX('Veri Merkezi'!$R$2:$R$1001,$L157))</f>
        <v/>
      </c>
      <c r="J157" s="8" t="str">
        <f ca="1">IF($L157="","",INDEX('Veri Merkezi'!$S$2:$S$1001,$L157))</f>
        <v/>
      </c>
      <c r="K157" s="8" t="str">
        <f ca="1">IF($L157="","",INDEX('Veri Merkezi'!$U$2:$U$1001,$L157))</f>
        <v/>
      </c>
      <c r="L157" s="8" t="str">
        <f ca="1">IFERROR(MATCH(ROWS($L$4:L157),'Veri Merkezi'!$W$2:$W$1001,0),"")</f>
        <v/>
      </c>
    </row>
    <row r="158" spans="1:12" ht="20" customHeight="1">
      <c r="A158" s="8" t="str">
        <f ca="1">IF($L158="","",ROWS($A$4:A158))</f>
        <v/>
      </c>
      <c r="B158" s="8" t="str">
        <f ca="1">IF($L158="","",INDEX('Veri Merkezi'!$A$2:$A$1001,$L158))</f>
        <v/>
      </c>
      <c r="C158" s="8" t="str">
        <f ca="1">IF($L158="","",INDEX('Veri Merkezi'!$E$2:$E$1001,$L158))</f>
        <v/>
      </c>
      <c r="D158" s="8" t="str">
        <f ca="1">IF($L158="","",INDEX('Veri Merkezi'!$D$2:$D$1001,$L158))</f>
        <v/>
      </c>
      <c r="E158" s="8" t="str">
        <f ca="1">IF($L158="","",INDEX('Veri Merkezi'!$F$2:$F$1001,$L158))</f>
        <v/>
      </c>
      <c r="F158" s="9" t="str">
        <f ca="1">IF($L158="","",INDEX('Veri Merkezi'!$G$2:$G$1001,$L158))</f>
        <v/>
      </c>
      <c r="H158" s="8" t="str">
        <f ca="1">IF($L158="","",INDEX('Veri Merkezi'!$H$2:$H$1001,$L158))</f>
        <v/>
      </c>
      <c r="I158" s="10" t="str">
        <f ca="1">IF($L158="","",INDEX('Veri Merkezi'!$R$2:$R$1001,$L158))</f>
        <v/>
      </c>
      <c r="J158" s="8" t="str">
        <f ca="1">IF($L158="","",INDEX('Veri Merkezi'!$S$2:$S$1001,$L158))</f>
        <v/>
      </c>
      <c r="K158" s="8" t="str">
        <f ca="1">IF($L158="","",INDEX('Veri Merkezi'!$U$2:$U$1001,$L158))</f>
        <v/>
      </c>
      <c r="L158" s="8" t="str">
        <f ca="1">IFERROR(MATCH(ROWS($L$4:L158),'Veri Merkezi'!$W$2:$W$1001,0),"")</f>
        <v/>
      </c>
    </row>
    <row r="159" spans="1:12" ht="20" customHeight="1">
      <c r="A159" s="8" t="str">
        <f ca="1">IF($L159="","",ROWS($A$4:A159))</f>
        <v/>
      </c>
      <c r="B159" s="8" t="str">
        <f ca="1">IF($L159="","",INDEX('Veri Merkezi'!$A$2:$A$1001,$L159))</f>
        <v/>
      </c>
      <c r="C159" s="8" t="str">
        <f ca="1">IF($L159="","",INDEX('Veri Merkezi'!$E$2:$E$1001,$L159))</f>
        <v/>
      </c>
      <c r="D159" s="8" t="str">
        <f ca="1">IF($L159="","",INDEX('Veri Merkezi'!$D$2:$D$1001,$L159))</f>
        <v/>
      </c>
      <c r="E159" s="8" t="str">
        <f ca="1">IF($L159="","",INDEX('Veri Merkezi'!$F$2:$F$1001,$L159))</f>
        <v/>
      </c>
      <c r="F159" s="9" t="str">
        <f ca="1">IF($L159="","",INDEX('Veri Merkezi'!$G$2:$G$1001,$L159))</f>
        <v/>
      </c>
      <c r="H159" s="8" t="str">
        <f ca="1">IF($L159="","",INDEX('Veri Merkezi'!$H$2:$H$1001,$L159))</f>
        <v/>
      </c>
      <c r="I159" s="10" t="str">
        <f ca="1">IF($L159="","",INDEX('Veri Merkezi'!$R$2:$R$1001,$L159))</f>
        <v/>
      </c>
      <c r="J159" s="8" t="str">
        <f ca="1">IF($L159="","",INDEX('Veri Merkezi'!$S$2:$S$1001,$L159))</f>
        <v/>
      </c>
      <c r="K159" s="8" t="str">
        <f ca="1">IF($L159="","",INDEX('Veri Merkezi'!$U$2:$U$1001,$L159))</f>
        <v/>
      </c>
      <c r="L159" s="8" t="str">
        <f ca="1">IFERROR(MATCH(ROWS($L$4:L159),'Veri Merkezi'!$W$2:$W$1001,0),"")</f>
        <v/>
      </c>
    </row>
    <row r="160" spans="1:12" ht="20" customHeight="1">
      <c r="A160" s="8" t="str">
        <f ca="1">IF($L160="","",ROWS($A$4:A160))</f>
        <v/>
      </c>
      <c r="B160" s="8" t="str">
        <f ca="1">IF($L160="","",INDEX('Veri Merkezi'!$A$2:$A$1001,$L160))</f>
        <v/>
      </c>
      <c r="C160" s="8" t="str">
        <f ca="1">IF($L160="","",INDEX('Veri Merkezi'!$E$2:$E$1001,$L160))</f>
        <v/>
      </c>
      <c r="D160" s="8" t="str">
        <f ca="1">IF($L160="","",INDEX('Veri Merkezi'!$D$2:$D$1001,$L160))</f>
        <v/>
      </c>
      <c r="E160" s="8" t="str">
        <f ca="1">IF($L160="","",INDEX('Veri Merkezi'!$F$2:$F$1001,$L160))</f>
        <v/>
      </c>
      <c r="F160" s="9" t="str">
        <f ca="1">IF($L160="","",INDEX('Veri Merkezi'!$G$2:$G$1001,$L160))</f>
        <v/>
      </c>
      <c r="H160" s="8" t="str">
        <f ca="1">IF($L160="","",INDEX('Veri Merkezi'!$H$2:$H$1001,$L160))</f>
        <v/>
      </c>
      <c r="I160" s="10" t="str">
        <f ca="1">IF($L160="","",INDEX('Veri Merkezi'!$R$2:$R$1001,$L160))</f>
        <v/>
      </c>
      <c r="J160" s="8" t="str">
        <f ca="1">IF($L160="","",INDEX('Veri Merkezi'!$S$2:$S$1001,$L160))</f>
        <v/>
      </c>
      <c r="K160" s="8" t="str">
        <f ca="1">IF($L160="","",INDEX('Veri Merkezi'!$U$2:$U$1001,$L160))</f>
        <v/>
      </c>
      <c r="L160" s="8" t="str">
        <f ca="1">IFERROR(MATCH(ROWS($L$4:L160),'Veri Merkezi'!$W$2:$W$1001,0),"")</f>
        <v/>
      </c>
    </row>
    <row r="161" spans="1:12" ht="20" customHeight="1">
      <c r="A161" s="8" t="str">
        <f ca="1">IF($L161="","",ROWS($A$4:A161))</f>
        <v/>
      </c>
      <c r="B161" s="8" t="str">
        <f ca="1">IF($L161="","",INDEX('Veri Merkezi'!$A$2:$A$1001,$L161))</f>
        <v/>
      </c>
      <c r="C161" s="8" t="str">
        <f ca="1">IF($L161="","",INDEX('Veri Merkezi'!$E$2:$E$1001,$L161))</f>
        <v/>
      </c>
      <c r="D161" s="8" t="str">
        <f ca="1">IF($L161="","",INDEX('Veri Merkezi'!$D$2:$D$1001,$L161))</f>
        <v/>
      </c>
      <c r="E161" s="8" t="str">
        <f ca="1">IF($L161="","",INDEX('Veri Merkezi'!$F$2:$F$1001,$L161))</f>
        <v/>
      </c>
      <c r="F161" s="9" t="str">
        <f ca="1">IF($L161="","",INDEX('Veri Merkezi'!$G$2:$G$1001,$L161))</f>
        <v/>
      </c>
      <c r="H161" s="8" t="str">
        <f ca="1">IF($L161="","",INDEX('Veri Merkezi'!$H$2:$H$1001,$L161))</f>
        <v/>
      </c>
      <c r="I161" s="10" t="str">
        <f ca="1">IF($L161="","",INDEX('Veri Merkezi'!$R$2:$R$1001,$L161))</f>
        <v/>
      </c>
      <c r="J161" s="8" t="str">
        <f ca="1">IF($L161="","",INDEX('Veri Merkezi'!$S$2:$S$1001,$L161))</f>
        <v/>
      </c>
      <c r="K161" s="8" t="str">
        <f ca="1">IF($L161="","",INDEX('Veri Merkezi'!$U$2:$U$1001,$L161))</f>
        <v/>
      </c>
      <c r="L161" s="8" t="str">
        <f ca="1">IFERROR(MATCH(ROWS($L$4:L161),'Veri Merkezi'!$W$2:$W$1001,0),"")</f>
        <v/>
      </c>
    </row>
    <row r="162" spans="1:12" ht="20" customHeight="1">
      <c r="A162" s="8" t="str">
        <f ca="1">IF($L162="","",ROWS($A$4:A162))</f>
        <v/>
      </c>
      <c r="B162" s="8" t="str">
        <f ca="1">IF($L162="","",INDEX('Veri Merkezi'!$A$2:$A$1001,$L162))</f>
        <v/>
      </c>
      <c r="C162" s="8" t="str">
        <f ca="1">IF($L162="","",INDEX('Veri Merkezi'!$E$2:$E$1001,$L162))</f>
        <v/>
      </c>
      <c r="D162" s="8" t="str">
        <f ca="1">IF($L162="","",INDEX('Veri Merkezi'!$D$2:$D$1001,$L162))</f>
        <v/>
      </c>
      <c r="E162" s="8" t="str">
        <f ca="1">IF($L162="","",INDEX('Veri Merkezi'!$F$2:$F$1001,$L162))</f>
        <v/>
      </c>
      <c r="F162" s="9" t="str">
        <f ca="1">IF($L162="","",INDEX('Veri Merkezi'!$G$2:$G$1001,$L162))</f>
        <v/>
      </c>
      <c r="H162" s="8" t="str">
        <f ca="1">IF($L162="","",INDEX('Veri Merkezi'!$H$2:$H$1001,$L162))</f>
        <v/>
      </c>
      <c r="I162" s="10" t="str">
        <f ca="1">IF($L162="","",INDEX('Veri Merkezi'!$R$2:$R$1001,$L162))</f>
        <v/>
      </c>
      <c r="J162" s="8" t="str">
        <f ca="1">IF($L162="","",INDEX('Veri Merkezi'!$S$2:$S$1001,$L162))</f>
        <v/>
      </c>
      <c r="K162" s="8" t="str">
        <f ca="1">IF($L162="","",INDEX('Veri Merkezi'!$U$2:$U$1001,$L162))</f>
        <v/>
      </c>
      <c r="L162" s="8" t="str">
        <f ca="1">IFERROR(MATCH(ROWS($L$4:L162),'Veri Merkezi'!$W$2:$W$1001,0),"")</f>
        <v/>
      </c>
    </row>
    <row r="163" spans="1:12" ht="20" customHeight="1">
      <c r="A163" s="8" t="str">
        <f ca="1">IF($L163="","",ROWS($A$4:A163))</f>
        <v/>
      </c>
      <c r="B163" s="8" t="str">
        <f ca="1">IF($L163="","",INDEX('Veri Merkezi'!$A$2:$A$1001,$L163))</f>
        <v/>
      </c>
      <c r="C163" s="8" t="str">
        <f ca="1">IF($L163="","",INDEX('Veri Merkezi'!$E$2:$E$1001,$L163))</f>
        <v/>
      </c>
      <c r="D163" s="8" t="str">
        <f ca="1">IF($L163="","",INDEX('Veri Merkezi'!$D$2:$D$1001,$L163))</f>
        <v/>
      </c>
      <c r="E163" s="8" t="str">
        <f ca="1">IF($L163="","",INDEX('Veri Merkezi'!$F$2:$F$1001,$L163))</f>
        <v/>
      </c>
      <c r="F163" s="9" t="str">
        <f ca="1">IF($L163="","",INDEX('Veri Merkezi'!$G$2:$G$1001,$L163))</f>
        <v/>
      </c>
      <c r="H163" s="8" t="str">
        <f ca="1">IF($L163="","",INDEX('Veri Merkezi'!$H$2:$H$1001,$L163))</f>
        <v/>
      </c>
      <c r="I163" s="10" t="str">
        <f ca="1">IF($L163="","",INDEX('Veri Merkezi'!$R$2:$R$1001,$L163))</f>
        <v/>
      </c>
      <c r="J163" s="8" t="str">
        <f ca="1">IF($L163="","",INDEX('Veri Merkezi'!$S$2:$S$1001,$L163))</f>
        <v/>
      </c>
      <c r="K163" s="8" t="str">
        <f ca="1">IF($L163="","",INDEX('Veri Merkezi'!$U$2:$U$1001,$L163))</f>
        <v/>
      </c>
      <c r="L163" s="8" t="str">
        <f ca="1">IFERROR(MATCH(ROWS($L$4:L163),'Veri Merkezi'!$W$2:$W$1001,0),"")</f>
        <v/>
      </c>
    </row>
    <row r="164" spans="1:12" ht="20" customHeight="1">
      <c r="A164" s="8" t="str">
        <f ca="1">IF($L164="","",ROWS($A$4:A164))</f>
        <v/>
      </c>
      <c r="B164" s="8" t="str">
        <f ca="1">IF($L164="","",INDEX('Veri Merkezi'!$A$2:$A$1001,$L164))</f>
        <v/>
      </c>
      <c r="C164" s="8" t="str">
        <f ca="1">IF($L164="","",INDEX('Veri Merkezi'!$E$2:$E$1001,$L164))</f>
        <v/>
      </c>
      <c r="D164" s="8" t="str">
        <f ca="1">IF($L164="","",INDEX('Veri Merkezi'!$D$2:$D$1001,$L164))</f>
        <v/>
      </c>
      <c r="E164" s="8" t="str">
        <f ca="1">IF($L164="","",INDEX('Veri Merkezi'!$F$2:$F$1001,$L164))</f>
        <v/>
      </c>
      <c r="F164" s="9" t="str">
        <f ca="1">IF($L164="","",INDEX('Veri Merkezi'!$G$2:$G$1001,$L164))</f>
        <v/>
      </c>
      <c r="H164" s="8" t="str">
        <f ca="1">IF($L164="","",INDEX('Veri Merkezi'!$H$2:$H$1001,$L164))</f>
        <v/>
      </c>
      <c r="I164" s="10" t="str">
        <f ca="1">IF($L164="","",INDEX('Veri Merkezi'!$R$2:$R$1001,$L164))</f>
        <v/>
      </c>
      <c r="J164" s="8" t="str">
        <f ca="1">IF($L164="","",INDEX('Veri Merkezi'!$S$2:$S$1001,$L164))</f>
        <v/>
      </c>
      <c r="K164" s="8" t="str">
        <f ca="1">IF($L164="","",INDEX('Veri Merkezi'!$U$2:$U$1001,$L164))</f>
        <v/>
      </c>
      <c r="L164" s="8" t="str">
        <f ca="1">IFERROR(MATCH(ROWS($L$4:L164),'Veri Merkezi'!$W$2:$W$1001,0),"")</f>
        <v/>
      </c>
    </row>
    <row r="165" spans="1:12" ht="20" customHeight="1">
      <c r="A165" s="8" t="str">
        <f ca="1">IF($L165="","",ROWS($A$4:A165))</f>
        <v/>
      </c>
      <c r="B165" s="8" t="str">
        <f ca="1">IF($L165="","",INDEX('Veri Merkezi'!$A$2:$A$1001,$L165))</f>
        <v/>
      </c>
      <c r="C165" s="8" t="str">
        <f ca="1">IF($L165="","",INDEX('Veri Merkezi'!$E$2:$E$1001,$L165))</f>
        <v/>
      </c>
      <c r="D165" s="8" t="str">
        <f ca="1">IF($L165="","",INDEX('Veri Merkezi'!$D$2:$D$1001,$L165))</f>
        <v/>
      </c>
      <c r="E165" s="8" t="str">
        <f ca="1">IF($L165="","",INDEX('Veri Merkezi'!$F$2:$F$1001,$L165))</f>
        <v/>
      </c>
      <c r="F165" s="9" t="str">
        <f ca="1">IF($L165="","",INDEX('Veri Merkezi'!$G$2:$G$1001,$L165))</f>
        <v/>
      </c>
      <c r="H165" s="8" t="str">
        <f ca="1">IF($L165="","",INDEX('Veri Merkezi'!$H$2:$H$1001,$L165))</f>
        <v/>
      </c>
      <c r="I165" s="10" t="str">
        <f ca="1">IF($L165="","",INDEX('Veri Merkezi'!$R$2:$R$1001,$L165))</f>
        <v/>
      </c>
      <c r="J165" s="8" t="str">
        <f ca="1">IF($L165="","",INDEX('Veri Merkezi'!$S$2:$S$1001,$L165))</f>
        <v/>
      </c>
      <c r="K165" s="8" t="str">
        <f ca="1">IF($L165="","",INDEX('Veri Merkezi'!$U$2:$U$1001,$L165))</f>
        <v/>
      </c>
      <c r="L165" s="8" t="str">
        <f ca="1">IFERROR(MATCH(ROWS($L$4:L165),'Veri Merkezi'!$W$2:$W$1001,0),"")</f>
        <v/>
      </c>
    </row>
    <row r="166" spans="1:12" ht="20" customHeight="1">
      <c r="A166" s="8" t="str">
        <f ca="1">IF($L166="","",ROWS($A$4:A166))</f>
        <v/>
      </c>
      <c r="B166" s="8" t="str">
        <f ca="1">IF($L166="","",INDEX('Veri Merkezi'!$A$2:$A$1001,$L166))</f>
        <v/>
      </c>
      <c r="C166" s="8" t="str">
        <f ca="1">IF($L166="","",INDEX('Veri Merkezi'!$E$2:$E$1001,$L166))</f>
        <v/>
      </c>
      <c r="D166" s="8" t="str">
        <f ca="1">IF($L166="","",INDEX('Veri Merkezi'!$D$2:$D$1001,$L166))</f>
        <v/>
      </c>
      <c r="E166" s="8" t="str">
        <f ca="1">IF($L166="","",INDEX('Veri Merkezi'!$F$2:$F$1001,$L166))</f>
        <v/>
      </c>
      <c r="F166" s="9" t="str">
        <f ca="1">IF($L166="","",INDEX('Veri Merkezi'!$G$2:$G$1001,$L166))</f>
        <v/>
      </c>
      <c r="H166" s="8" t="str">
        <f ca="1">IF($L166="","",INDEX('Veri Merkezi'!$H$2:$H$1001,$L166))</f>
        <v/>
      </c>
      <c r="I166" s="10" t="str">
        <f ca="1">IF($L166="","",INDEX('Veri Merkezi'!$R$2:$R$1001,$L166))</f>
        <v/>
      </c>
      <c r="J166" s="8" t="str">
        <f ca="1">IF($L166="","",INDEX('Veri Merkezi'!$S$2:$S$1001,$L166))</f>
        <v/>
      </c>
      <c r="K166" s="8" t="str">
        <f ca="1">IF($L166="","",INDEX('Veri Merkezi'!$U$2:$U$1001,$L166))</f>
        <v/>
      </c>
      <c r="L166" s="8" t="str">
        <f ca="1">IFERROR(MATCH(ROWS($L$4:L166),'Veri Merkezi'!$W$2:$W$1001,0),"")</f>
        <v/>
      </c>
    </row>
    <row r="167" spans="1:12" ht="20" customHeight="1">
      <c r="A167" s="8" t="str">
        <f ca="1">IF($L167="","",ROWS($A$4:A167))</f>
        <v/>
      </c>
      <c r="B167" s="8" t="str">
        <f ca="1">IF($L167="","",INDEX('Veri Merkezi'!$A$2:$A$1001,$L167))</f>
        <v/>
      </c>
      <c r="C167" s="8" t="str">
        <f ca="1">IF($L167="","",INDEX('Veri Merkezi'!$E$2:$E$1001,$L167))</f>
        <v/>
      </c>
      <c r="D167" s="8" t="str">
        <f ca="1">IF($L167="","",INDEX('Veri Merkezi'!$D$2:$D$1001,$L167))</f>
        <v/>
      </c>
      <c r="E167" s="8" t="str">
        <f ca="1">IF($L167="","",INDEX('Veri Merkezi'!$F$2:$F$1001,$L167))</f>
        <v/>
      </c>
      <c r="F167" s="9" t="str">
        <f ca="1">IF($L167="","",INDEX('Veri Merkezi'!$G$2:$G$1001,$L167))</f>
        <v/>
      </c>
      <c r="H167" s="8" t="str">
        <f ca="1">IF($L167="","",INDEX('Veri Merkezi'!$H$2:$H$1001,$L167))</f>
        <v/>
      </c>
      <c r="I167" s="10" t="str">
        <f ca="1">IF($L167="","",INDEX('Veri Merkezi'!$R$2:$R$1001,$L167))</f>
        <v/>
      </c>
      <c r="J167" s="8" t="str">
        <f ca="1">IF($L167="","",INDEX('Veri Merkezi'!$S$2:$S$1001,$L167))</f>
        <v/>
      </c>
      <c r="K167" s="8" t="str">
        <f ca="1">IF($L167="","",INDEX('Veri Merkezi'!$U$2:$U$1001,$L167))</f>
        <v/>
      </c>
      <c r="L167" s="8" t="str">
        <f ca="1">IFERROR(MATCH(ROWS($L$4:L167),'Veri Merkezi'!$W$2:$W$1001,0),"")</f>
        <v/>
      </c>
    </row>
    <row r="168" spans="1:12" ht="20" customHeight="1">
      <c r="A168" s="8" t="str">
        <f ca="1">IF($L168="","",ROWS($A$4:A168))</f>
        <v/>
      </c>
      <c r="B168" s="8" t="str">
        <f ca="1">IF($L168="","",INDEX('Veri Merkezi'!$A$2:$A$1001,$L168))</f>
        <v/>
      </c>
      <c r="C168" s="8" t="str">
        <f ca="1">IF($L168="","",INDEX('Veri Merkezi'!$E$2:$E$1001,$L168))</f>
        <v/>
      </c>
      <c r="D168" s="8" t="str">
        <f ca="1">IF($L168="","",INDEX('Veri Merkezi'!$D$2:$D$1001,$L168))</f>
        <v/>
      </c>
      <c r="E168" s="8" t="str">
        <f ca="1">IF($L168="","",INDEX('Veri Merkezi'!$F$2:$F$1001,$L168))</f>
        <v/>
      </c>
      <c r="F168" s="9" t="str">
        <f ca="1">IF($L168="","",INDEX('Veri Merkezi'!$G$2:$G$1001,$L168))</f>
        <v/>
      </c>
      <c r="H168" s="8" t="str">
        <f ca="1">IF($L168="","",INDEX('Veri Merkezi'!$H$2:$H$1001,$L168))</f>
        <v/>
      </c>
      <c r="I168" s="10" t="str">
        <f ca="1">IF($L168="","",INDEX('Veri Merkezi'!$R$2:$R$1001,$L168))</f>
        <v/>
      </c>
      <c r="J168" s="8" t="str">
        <f ca="1">IF($L168="","",INDEX('Veri Merkezi'!$S$2:$S$1001,$L168))</f>
        <v/>
      </c>
      <c r="K168" s="8" t="str">
        <f ca="1">IF($L168="","",INDEX('Veri Merkezi'!$U$2:$U$1001,$L168))</f>
        <v/>
      </c>
      <c r="L168" s="8" t="str">
        <f ca="1">IFERROR(MATCH(ROWS($L$4:L168),'Veri Merkezi'!$W$2:$W$1001,0),"")</f>
        <v/>
      </c>
    </row>
    <row r="169" spans="1:12" ht="20" customHeight="1">
      <c r="A169" s="8" t="str">
        <f ca="1">IF($L169="","",ROWS($A$4:A169))</f>
        <v/>
      </c>
      <c r="B169" s="8" t="str">
        <f ca="1">IF($L169="","",INDEX('Veri Merkezi'!$A$2:$A$1001,$L169))</f>
        <v/>
      </c>
      <c r="C169" s="8" t="str">
        <f ca="1">IF($L169="","",INDEX('Veri Merkezi'!$E$2:$E$1001,$L169))</f>
        <v/>
      </c>
      <c r="D169" s="8" t="str">
        <f ca="1">IF($L169="","",INDEX('Veri Merkezi'!$D$2:$D$1001,$L169))</f>
        <v/>
      </c>
      <c r="E169" s="8" t="str">
        <f ca="1">IF($L169="","",INDEX('Veri Merkezi'!$F$2:$F$1001,$L169))</f>
        <v/>
      </c>
      <c r="F169" s="9" t="str">
        <f ca="1">IF($L169="","",INDEX('Veri Merkezi'!$G$2:$G$1001,$L169))</f>
        <v/>
      </c>
      <c r="H169" s="8" t="str">
        <f ca="1">IF($L169="","",INDEX('Veri Merkezi'!$H$2:$H$1001,$L169))</f>
        <v/>
      </c>
      <c r="I169" s="10" t="str">
        <f ca="1">IF($L169="","",INDEX('Veri Merkezi'!$R$2:$R$1001,$L169))</f>
        <v/>
      </c>
      <c r="J169" s="8" t="str">
        <f ca="1">IF($L169="","",INDEX('Veri Merkezi'!$S$2:$S$1001,$L169))</f>
        <v/>
      </c>
      <c r="K169" s="8" t="str">
        <f ca="1">IF($L169="","",INDEX('Veri Merkezi'!$U$2:$U$1001,$L169))</f>
        <v/>
      </c>
      <c r="L169" s="8" t="str">
        <f ca="1">IFERROR(MATCH(ROWS($L$4:L169),'Veri Merkezi'!$W$2:$W$1001,0),"")</f>
        <v/>
      </c>
    </row>
    <row r="170" spans="1:12" ht="20" customHeight="1">
      <c r="A170" s="8" t="str">
        <f ca="1">IF($L170="","",ROWS($A$4:A170))</f>
        <v/>
      </c>
      <c r="B170" s="8" t="str">
        <f ca="1">IF($L170="","",INDEX('Veri Merkezi'!$A$2:$A$1001,$L170))</f>
        <v/>
      </c>
      <c r="C170" s="8" t="str">
        <f ca="1">IF($L170="","",INDEX('Veri Merkezi'!$E$2:$E$1001,$L170))</f>
        <v/>
      </c>
      <c r="D170" s="8" t="str">
        <f ca="1">IF($L170="","",INDEX('Veri Merkezi'!$D$2:$D$1001,$L170))</f>
        <v/>
      </c>
      <c r="E170" s="8" t="str">
        <f ca="1">IF($L170="","",INDEX('Veri Merkezi'!$F$2:$F$1001,$L170))</f>
        <v/>
      </c>
      <c r="F170" s="9" t="str">
        <f ca="1">IF($L170="","",INDEX('Veri Merkezi'!$G$2:$G$1001,$L170))</f>
        <v/>
      </c>
      <c r="H170" s="8" t="str">
        <f ca="1">IF($L170="","",INDEX('Veri Merkezi'!$H$2:$H$1001,$L170))</f>
        <v/>
      </c>
      <c r="I170" s="10" t="str">
        <f ca="1">IF($L170="","",INDEX('Veri Merkezi'!$R$2:$R$1001,$L170))</f>
        <v/>
      </c>
      <c r="J170" s="8" t="str">
        <f ca="1">IF($L170="","",INDEX('Veri Merkezi'!$S$2:$S$1001,$L170))</f>
        <v/>
      </c>
      <c r="K170" s="8" t="str">
        <f ca="1">IF($L170="","",INDEX('Veri Merkezi'!$U$2:$U$1001,$L170))</f>
        <v/>
      </c>
      <c r="L170" s="8" t="str">
        <f ca="1">IFERROR(MATCH(ROWS($L$4:L170),'Veri Merkezi'!$W$2:$W$1001,0),"")</f>
        <v/>
      </c>
    </row>
    <row r="171" spans="1:12" ht="20" customHeight="1">
      <c r="A171" s="8" t="str">
        <f ca="1">IF($L171="","",ROWS($A$4:A171))</f>
        <v/>
      </c>
      <c r="B171" s="8" t="str">
        <f ca="1">IF($L171="","",INDEX('Veri Merkezi'!$A$2:$A$1001,$L171))</f>
        <v/>
      </c>
      <c r="C171" s="8" t="str">
        <f ca="1">IF($L171="","",INDEX('Veri Merkezi'!$E$2:$E$1001,$L171))</f>
        <v/>
      </c>
      <c r="D171" s="8" t="str">
        <f ca="1">IF($L171="","",INDEX('Veri Merkezi'!$D$2:$D$1001,$L171))</f>
        <v/>
      </c>
      <c r="E171" s="8" t="str">
        <f ca="1">IF($L171="","",INDEX('Veri Merkezi'!$F$2:$F$1001,$L171))</f>
        <v/>
      </c>
      <c r="F171" s="9" t="str">
        <f ca="1">IF($L171="","",INDEX('Veri Merkezi'!$G$2:$G$1001,$L171))</f>
        <v/>
      </c>
      <c r="H171" s="8" t="str">
        <f ca="1">IF($L171="","",INDEX('Veri Merkezi'!$H$2:$H$1001,$L171))</f>
        <v/>
      </c>
      <c r="I171" s="10" t="str">
        <f ca="1">IF($L171="","",INDEX('Veri Merkezi'!$R$2:$R$1001,$L171))</f>
        <v/>
      </c>
      <c r="J171" s="8" t="str">
        <f ca="1">IF($L171="","",INDEX('Veri Merkezi'!$S$2:$S$1001,$L171))</f>
        <v/>
      </c>
      <c r="K171" s="8" t="str">
        <f ca="1">IF($L171="","",INDEX('Veri Merkezi'!$U$2:$U$1001,$L171))</f>
        <v/>
      </c>
      <c r="L171" s="8" t="str">
        <f ca="1">IFERROR(MATCH(ROWS($L$4:L171),'Veri Merkezi'!$W$2:$W$1001,0),"")</f>
        <v/>
      </c>
    </row>
    <row r="172" spans="1:12" ht="20" customHeight="1">
      <c r="A172" s="8" t="str">
        <f ca="1">IF($L172="","",ROWS($A$4:A172))</f>
        <v/>
      </c>
      <c r="B172" s="8" t="str">
        <f ca="1">IF($L172="","",INDEX('Veri Merkezi'!$A$2:$A$1001,$L172))</f>
        <v/>
      </c>
      <c r="C172" s="8" t="str">
        <f ca="1">IF($L172="","",INDEX('Veri Merkezi'!$E$2:$E$1001,$L172))</f>
        <v/>
      </c>
      <c r="D172" s="8" t="str">
        <f ca="1">IF($L172="","",INDEX('Veri Merkezi'!$D$2:$D$1001,$L172))</f>
        <v/>
      </c>
      <c r="E172" s="8" t="str">
        <f ca="1">IF($L172="","",INDEX('Veri Merkezi'!$F$2:$F$1001,$L172))</f>
        <v/>
      </c>
      <c r="F172" s="9" t="str">
        <f ca="1">IF($L172="","",INDEX('Veri Merkezi'!$G$2:$G$1001,$L172))</f>
        <v/>
      </c>
      <c r="H172" s="8" t="str">
        <f ca="1">IF($L172="","",INDEX('Veri Merkezi'!$H$2:$H$1001,$L172))</f>
        <v/>
      </c>
      <c r="I172" s="10" t="str">
        <f ca="1">IF($L172="","",INDEX('Veri Merkezi'!$R$2:$R$1001,$L172))</f>
        <v/>
      </c>
      <c r="J172" s="8" t="str">
        <f ca="1">IF($L172="","",INDEX('Veri Merkezi'!$S$2:$S$1001,$L172))</f>
        <v/>
      </c>
      <c r="K172" s="8" t="str">
        <f ca="1">IF($L172="","",INDEX('Veri Merkezi'!$U$2:$U$1001,$L172))</f>
        <v/>
      </c>
      <c r="L172" s="8" t="str">
        <f ca="1">IFERROR(MATCH(ROWS($L$4:L172),'Veri Merkezi'!$W$2:$W$1001,0),"")</f>
        <v/>
      </c>
    </row>
    <row r="173" spans="1:12" ht="20" customHeight="1">
      <c r="A173" s="8" t="str">
        <f ca="1">IF($L173="","",ROWS($A$4:A173))</f>
        <v/>
      </c>
      <c r="B173" s="8" t="str">
        <f ca="1">IF($L173="","",INDEX('Veri Merkezi'!$A$2:$A$1001,$L173))</f>
        <v/>
      </c>
      <c r="C173" s="8" t="str">
        <f ca="1">IF($L173="","",INDEX('Veri Merkezi'!$E$2:$E$1001,$L173))</f>
        <v/>
      </c>
      <c r="D173" s="8" t="str">
        <f ca="1">IF($L173="","",INDEX('Veri Merkezi'!$D$2:$D$1001,$L173))</f>
        <v/>
      </c>
      <c r="E173" s="8" t="str">
        <f ca="1">IF($L173="","",INDEX('Veri Merkezi'!$F$2:$F$1001,$L173))</f>
        <v/>
      </c>
      <c r="F173" s="9" t="str">
        <f ca="1">IF($L173="","",INDEX('Veri Merkezi'!$G$2:$G$1001,$L173))</f>
        <v/>
      </c>
      <c r="H173" s="8" t="str">
        <f ca="1">IF($L173="","",INDEX('Veri Merkezi'!$H$2:$H$1001,$L173))</f>
        <v/>
      </c>
      <c r="I173" s="10" t="str">
        <f ca="1">IF($L173="","",INDEX('Veri Merkezi'!$R$2:$R$1001,$L173))</f>
        <v/>
      </c>
      <c r="J173" s="8" t="str">
        <f ca="1">IF($L173="","",INDEX('Veri Merkezi'!$S$2:$S$1001,$L173))</f>
        <v/>
      </c>
      <c r="K173" s="8" t="str">
        <f ca="1">IF($L173="","",INDEX('Veri Merkezi'!$U$2:$U$1001,$L173))</f>
        <v/>
      </c>
      <c r="L173" s="8" t="str">
        <f ca="1">IFERROR(MATCH(ROWS($L$4:L173),'Veri Merkezi'!$W$2:$W$1001,0),"")</f>
        <v/>
      </c>
    </row>
    <row r="174" spans="1:12" ht="20" customHeight="1">
      <c r="A174" s="8" t="str">
        <f ca="1">IF($L174="","",ROWS($A$4:A174))</f>
        <v/>
      </c>
      <c r="B174" s="8" t="str">
        <f ca="1">IF($L174="","",INDEX('Veri Merkezi'!$A$2:$A$1001,$L174))</f>
        <v/>
      </c>
      <c r="C174" s="8" t="str">
        <f ca="1">IF($L174="","",INDEX('Veri Merkezi'!$E$2:$E$1001,$L174))</f>
        <v/>
      </c>
      <c r="D174" s="8" t="str">
        <f ca="1">IF($L174="","",INDEX('Veri Merkezi'!$D$2:$D$1001,$L174))</f>
        <v/>
      </c>
      <c r="E174" s="8" t="str">
        <f ca="1">IF($L174="","",INDEX('Veri Merkezi'!$F$2:$F$1001,$L174))</f>
        <v/>
      </c>
      <c r="F174" s="9" t="str">
        <f ca="1">IF($L174="","",INDEX('Veri Merkezi'!$G$2:$G$1001,$L174))</f>
        <v/>
      </c>
      <c r="H174" s="8" t="str">
        <f ca="1">IF($L174="","",INDEX('Veri Merkezi'!$H$2:$H$1001,$L174))</f>
        <v/>
      </c>
      <c r="I174" s="10" t="str">
        <f ca="1">IF($L174="","",INDEX('Veri Merkezi'!$R$2:$R$1001,$L174))</f>
        <v/>
      </c>
      <c r="J174" s="8" t="str">
        <f ca="1">IF($L174="","",INDEX('Veri Merkezi'!$S$2:$S$1001,$L174))</f>
        <v/>
      </c>
      <c r="K174" s="8" t="str">
        <f ca="1">IF($L174="","",INDEX('Veri Merkezi'!$U$2:$U$1001,$L174))</f>
        <v/>
      </c>
      <c r="L174" s="8" t="str">
        <f ca="1">IFERROR(MATCH(ROWS($L$4:L174),'Veri Merkezi'!$W$2:$W$1001,0),"")</f>
        <v/>
      </c>
    </row>
    <row r="175" spans="1:12" ht="20" customHeight="1">
      <c r="A175" s="8" t="str">
        <f ca="1">IF($L175="","",ROWS($A$4:A175))</f>
        <v/>
      </c>
      <c r="B175" s="8" t="str">
        <f ca="1">IF($L175="","",INDEX('Veri Merkezi'!$A$2:$A$1001,$L175))</f>
        <v/>
      </c>
      <c r="C175" s="8" t="str">
        <f ca="1">IF($L175="","",INDEX('Veri Merkezi'!$E$2:$E$1001,$L175))</f>
        <v/>
      </c>
      <c r="D175" s="8" t="str">
        <f ca="1">IF($L175="","",INDEX('Veri Merkezi'!$D$2:$D$1001,$L175))</f>
        <v/>
      </c>
      <c r="E175" s="8" t="str">
        <f ca="1">IF($L175="","",INDEX('Veri Merkezi'!$F$2:$F$1001,$L175))</f>
        <v/>
      </c>
      <c r="F175" s="9" t="str">
        <f ca="1">IF($L175="","",INDEX('Veri Merkezi'!$G$2:$G$1001,$L175))</f>
        <v/>
      </c>
      <c r="H175" s="8" t="str">
        <f ca="1">IF($L175="","",INDEX('Veri Merkezi'!$H$2:$H$1001,$L175))</f>
        <v/>
      </c>
      <c r="I175" s="10" t="str">
        <f ca="1">IF($L175="","",INDEX('Veri Merkezi'!$R$2:$R$1001,$L175))</f>
        <v/>
      </c>
      <c r="J175" s="8" t="str">
        <f ca="1">IF($L175="","",INDEX('Veri Merkezi'!$S$2:$S$1001,$L175))</f>
        <v/>
      </c>
      <c r="K175" s="8" t="str">
        <f ca="1">IF($L175="","",INDEX('Veri Merkezi'!$U$2:$U$1001,$L175))</f>
        <v/>
      </c>
      <c r="L175" s="8" t="str">
        <f ca="1">IFERROR(MATCH(ROWS($L$4:L175),'Veri Merkezi'!$W$2:$W$1001,0),"")</f>
        <v/>
      </c>
    </row>
    <row r="176" spans="1:12" ht="20" customHeight="1">
      <c r="A176" s="8" t="str">
        <f ca="1">IF($L176="","",ROWS($A$4:A176))</f>
        <v/>
      </c>
      <c r="B176" s="8" t="str">
        <f ca="1">IF($L176="","",INDEX('Veri Merkezi'!$A$2:$A$1001,$L176))</f>
        <v/>
      </c>
      <c r="C176" s="8" t="str">
        <f ca="1">IF($L176="","",INDEX('Veri Merkezi'!$E$2:$E$1001,$L176))</f>
        <v/>
      </c>
      <c r="D176" s="8" t="str">
        <f ca="1">IF($L176="","",INDEX('Veri Merkezi'!$D$2:$D$1001,$L176))</f>
        <v/>
      </c>
      <c r="E176" s="8" t="str">
        <f ca="1">IF($L176="","",INDEX('Veri Merkezi'!$F$2:$F$1001,$L176))</f>
        <v/>
      </c>
      <c r="F176" s="9" t="str">
        <f ca="1">IF($L176="","",INDEX('Veri Merkezi'!$G$2:$G$1001,$L176))</f>
        <v/>
      </c>
      <c r="H176" s="8" t="str">
        <f ca="1">IF($L176="","",INDEX('Veri Merkezi'!$H$2:$H$1001,$L176))</f>
        <v/>
      </c>
      <c r="I176" s="10" t="str">
        <f ca="1">IF($L176="","",INDEX('Veri Merkezi'!$R$2:$R$1001,$L176))</f>
        <v/>
      </c>
      <c r="J176" s="8" t="str">
        <f ca="1">IF($L176="","",INDEX('Veri Merkezi'!$S$2:$S$1001,$L176))</f>
        <v/>
      </c>
      <c r="K176" s="8" t="str">
        <f ca="1">IF($L176="","",INDEX('Veri Merkezi'!$U$2:$U$1001,$L176))</f>
        <v/>
      </c>
      <c r="L176" s="8" t="str">
        <f ca="1">IFERROR(MATCH(ROWS($L$4:L176),'Veri Merkezi'!$W$2:$W$1001,0),"")</f>
        <v/>
      </c>
    </row>
    <row r="177" spans="1:12" ht="20" customHeight="1">
      <c r="A177" s="8" t="str">
        <f ca="1">IF($L177="","",ROWS($A$4:A177))</f>
        <v/>
      </c>
      <c r="B177" s="8" t="str">
        <f ca="1">IF($L177="","",INDEX('Veri Merkezi'!$A$2:$A$1001,$L177))</f>
        <v/>
      </c>
      <c r="C177" s="8" t="str">
        <f ca="1">IF($L177="","",INDEX('Veri Merkezi'!$E$2:$E$1001,$L177))</f>
        <v/>
      </c>
      <c r="D177" s="8" t="str">
        <f ca="1">IF($L177="","",INDEX('Veri Merkezi'!$D$2:$D$1001,$L177))</f>
        <v/>
      </c>
      <c r="E177" s="8" t="str">
        <f ca="1">IF($L177="","",INDEX('Veri Merkezi'!$F$2:$F$1001,$L177))</f>
        <v/>
      </c>
      <c r="F177" s="9" t="str">
        <f ca="1">IF($L177="","",INDEX('Veri Merkezi'!$G$2:$G$1001,$L177))</f>
        <v/>
      </c>
      <c r="H177" s="8" t="str">
        <f ca="1">IF($L177="","",INDEX('Veri Merkezi'!$H$2:$H$1001,$L177))</f>
        <v/>
      </c>
      <c r="I177" s="10" t="str">
        <f ca="1">IF($L177="","",INDEX('Veri Merkezi'!$R$2:$R$1001,$L177))</f>
        <v/>
      </c>
      <c r="J177" s="8" t="str">
        <f ca="1">IF($L177="","",INDEX('Veri Merkezi'!$S$2:$S$1001,$L177))</f>
        <v/>
      </c>
      <c r="K177" s="8" t="str">
        <f ca="1">IF($L177="","",INDEX('Veri Merkezi'!$U$2:$U$1001,$L177))</f>
        <v/>
      </c>
      <c r="L177" s="8" t="str">
        <f ca="1">IFERROR(MATCH(ROWS($L$4:L177),'Veri Merkezi'!$W$2:$W$1001,0),"")</f>
        <v/>
      </c>
    </row>
    <row r="178" spans="1:12" ht="20" customHeight="1">
      <c r="A178" s="8" t="str">
        <f ca="1">IF($L178="","",ROWS($A$4:A178))</f>
        <v/>
      </c>
      <c r="B178" s="8" t="str">
        <f ca="1">IF($L178="","",INDEX('Veri Merkezi'!$A$2:$A$1001,$L178))</f>
        <v/>
      </c>
      <c r="C178" s="8" t="str">
        <f ca="1">IF($L178="","",INDEX('Veri Merkezi'!$E$2:$E$1001,$L178))</f>
        <v/>
      </c>
      <c r="D178" s="8" t="str">
        <f ca="1">IF($L178="","",INDEX('Veri Merkezi'!$D$2:$D$1001,$L178))</f>
        <v/>
      </c>
      <c r="E178" s="8" t="str">
        <f ca="1">IF($L178="","",INDEX('Veri Merkezi'!$F$2:$F$1001,$L178))</f>
        <v/>
      </c>
      <c r="F178" s="9" t="str">
        <f ca="1">IF($L178="","",INDEX('Veri Merkezi'!$G$2:$G$1001,$L178))</f>
        <v/>
      </c>
      <c r="H178" s="8" t="str">
        <f ca="1">IF($L178="","",INDEX('Veri Merkezi'!$H$2:$H$1001,$L178))</f>
        <v/>
      </c>
      <c r="I178" s="10" t="str">
        <f ca="1">IF($L178="","",INDEX('Veri Merkezi'!$R$2:$R$1001,$L178))</f>
        <v/>
      </c>
      <c r="J178" s="8" t="str">
        <f ca="1">IF($L178="","",INDEX('Veri Merkezi'!$S$2:$S$1001,$L178))</f>
        <v/>
      </c>
      <c r="K178" s="8" t="str">
        <f ca="1">IF($L178="","",INDEX('Veri Merkezi'!$U$2:$U$1001,$L178))</f>
        <v/>
      </c>
      <c r="L178" s="8" t="str">
        <f ca="1">IFERROR(MATCH(ROWS($L$4:L178),'Veri Merkezi'!$W$2:$W$1001,0),"")</f>
        <v/>
      </c>
    </row>
    <row r="179" spans="1:12" ht="20" customHeight="1">
      <c r="A179" s="8" t="str">
        <f ca="1">IF($L179="","",ROWS($A$4:A179))</f>
        <v/>
      </c>
      <c r="B179" s="8" t="str">
        <f ca="1">IF($L179="","",INDEX('Veri Merkezi'!$A$2:$A$1001,$L179))</f>
        <v/>
      </c>
      <c r="C179" s="8" t="str">
        <f ca="1">IF($L179="","",INDEX('Veri Merkezi'!$E$2:$E$1001,$L179))</f>
        <v/>
      </c>
      <c r="D179" s="8" t="str">
        <f ca="1">IF($L179="","",INDEX('Veri Merkezi'!$D$2:$D$1001,$L179))</f>
        <v/>
      </c>
      <c r="E179" s="8" t="str">
        <f ca="1">IF($L179="","",INDEX('Veri Merkezi'!$F$2:$F$1001,$L179))</f>
        <v/>
      </c>
      <c r="F179" s="9" t="str">
        <f ca="1">IF($L179="","",INDEX('Veri Merkezi'!$G$2:$G$1001,$L179))</f>
        <v/>
      </c>
      <c r="H179" s="8" t="str">
        <f ca="1">IF($L179="","",INDEX('Veri Merkezi'!$H$2:$H$1001,$L179))</f>
        <v/>
      </c>
      <c r="I179" s="10" t="str">
        <f ca="1">IF($L179="","",INDEX('Veri Merkezi'!$R$2:$R$1001,$L179))</f>
        <v/>
      </c>
      <c r="J179" s="8" t="str">
        <f ca="1">IF($L179="","",INDEX('Veri Merkezi'!$S$2:$S$1001,$L179))</f>
        <v/>
      </c>
      <c r="K179" s="8" t="str">
        <f ca="1">IF($L179="","",INDEX('Veri Merkezi'!$U$2:$U$1001,$L179))</f>
        <v/>
      </c>
      <c r="L179" s="8" t="str">
        <f ca="1">IFERROR(MATCH(ROWS($L$4:L179),'Veri Merkezi'!$W$2:$W$1001,0),"")</f>
        <v/>
      </c>
    </row>
    <row r="180" spans="1:12" ht="20" customHeight="1">
      <c r="A180" s="8" t="str">
        <f ca="1">IF($L180="","",ROWS($A$4:A180))</f>
        <v/>
      </c>
      <c r="B180" s="8" t="str">
        <f ca="1">IF($L180="","",INDEX('Veri Merkezi'!$A$2:$A$1001,$L180))</f>
        <v/>
      </c>
      <c r="C180" s="8" t="str">
        <f ca="1">IF($L180="","",INDEX('Veri Merkezi'!$E$2:$E$1001,$L180))</f>
        <v/>
      </c>
      <c r="D180" s="8" t="str">
        <f ca="1">IF($L180="","",INDEX('Veri Merkezi'!$D$2:$D$1001,$L180))</f>
        <v/>
      </c>
      <c r="E180" s="8" t="str">
        <f ca="1">IF($L180="","",INDEX('Veri Merkezi'!$F$2:$F$1001,$L180))</f>
        <v/>
      </c>
      <c r="F180" s="9" t="str">
        <f ca="1">IF($L180="","",INDEX('Veri Merkezi'!$G$2:$G$1001,$L180))</f>
        <v/>
      </c>
      <c r="H180" s="8" t="str">
        <f ca="1">IF($L180="","",INDEX('Veri Merkezi'!$H$2:$H$1001,$L180))</f>
        <v/>
      </c>
      <c r="I180" s="10" t="str">
        <f ca="1">IF($L180="","",INDEX('Veri Merkezi'!$R$2:$R$1001,$L180))</f>
        <v/>
      </c>
      <c r="J180" s="8" t="str">
        <f ca="1">IF($L180="","",INDEX('Veri Merkezi'!$S$2:$S$1001,$L180))</f>
        <v/>
      </c>
      <c r="K180" s="8" t="str">
        <f ca="1">IF($L180="","",INDEX('Veri Merkezi'!$U$2:$U$1001,$L180))</f>
        <v/>
      </c>
      <c r="L180" s="8" t="str">
        <f ca="1">IFERROR(MATCH(ROWS($L$4:L180),'Veri Merkezi'!$W$2:$W$1001,0),"")</f>
        <v/>
      </c>
    </row>
    <row r="181" spans="1:12" ht="20" customHeight="1">
      <c r="A181" s="8" t="str">
        <f ca="1">IF($L181="","",ROWS($A$4:A181))</f>
        <v/>
      </c>
      <c r="B181" s="8" t="str">
        <f ca="1">IF($L181="","",INDEX('Veri Merkezi'!$A$2:$A$1001,$L181))</f>
        <v/>
      </c>
      <c r="C181" s="8" t="str">
        <f ca="1">IF($L181="","",INDEX('Veri Merkezi'!$E$2:$E$1001,$L181))</f>
        <v/>
      </c>
      <c r="D181" s="8" t="str">
        <f ca="1">IF($L181="","",INDEX('Veri Merkezi'!$D$2:$D$1001,$L181))</f>
        <v/>
      </c>
      <c r="E181" s="8" t="str">
        <f ca="1">IF($L181="","",INDEX('Veri Merkezi'!$F$2:$F$1001,$L181))</f>
        <v/>
      </c>
      <c r="F181" s="9" t="str">
        <f ca="1">IF($L181="","",INDEX('Veri Merkezi'!$G$2:$G$1001,$L181))</f>
        <v/>
      </c>
      <c r="H181" s="8" t="str">
        <f ca="1">IF($L181="","",INDEX('Veri Merkezi'!$H$2:$H$1001,$L181))</f>
        <v/>
      </c>
      <c r="I181" s="10" t="str">
        <f ca="1">IF($L181="","",INDEX('Veri Merkezi'!$R$2:$R$1001,$L181))</f>
        <v/>
      </c>
      <c r="J181" s="8" t="str">
        <f ca="1">IF($L181="","",INDEX('Veri Merkezi'!$S$2:$S$1001,$L181))</f>
        <v/>
      </c>
      <c r="K181" s="8" t="str">
        <f ca="1">IF($L181="","",INDEX('Veri Merkezi'!$U$2:$U$1001,$L181))</f>
        <v/>
      </c>
      <c r="L181" s="8" t="str">
        <f ca="1">IFERROR(MATCH(ROWS($L$4:L181),'Veri Merkezi'!$W$2:$W$1001,0),"")</f>
        <v/>
      </c>
    </row>
    <row r="182" spans="1:12" ht="20" customHeight="1">
      <c r="A182" s="8" t="str">
        <f ca="1">IF($L182="","",ROWS($A$4:A182))</f>
        <v/>
      </c>
      <c r="B182" s="8" t="str">
        <f ca="1">IF($L182="","",INDEX('Veri Merkezi'!$A$2:$A$1001,$L182))</f>
        <v/>
      </c>
      <c r="C182" s="8" t="str">
        <f ca="1">IF($L182="","",INDEX('Veri Merkezi'!$E$2:$E$1001,$L182))</f>
        <v/>
      </c>
      <c r="D182" s="8" t="str">
        <f ca="1">IF($L182="","",INDEX('Veri Merkezi'!$D$2:$D$1001,$L182))</f>
        <v/>
      </c>
      <c r="E182" s="8" t="str">
        <f ca="1">IF($L182="","",INDEX('Veri Merkezi'!$F$2:$F$1001,$L182))</f>
        <v/>
      </c>
      <c r="F182" s="9" t="str">
        <f ca="1">IF($L182="","",INDEX('Veri Merkezi'!$G$2:$G$1001,$L182))</f>
        <v/>
      </c>
      <c r="H182" s="8" t="str">
        <f ca="1">IF($L182="","",INDEX('Veri Merkezi'!$H$2:$H$1001,$L182))</f>
        <v/>
      </c>
      <c r="I182" s="10" t="str">
        <f ca="1">IF($L182="","",INDEX('Veri Merkezi'!$R$2:$R$1001,$L182))</f>
        <v/>
      </c>
      <c r="J182" s="8" t="str">
        <f ca="1">IF($L182="","",INDEX('Veri Merkezi'!$S$2:$S$1001,$L182))</f>
        <v/>
      </c>
      <c r="K182" s="8" t="str">
        <f ca="1">IF($L182="","",INDEX('Veri Merkezi'!$U$2:$U$1001,$L182))</f>
        <v/>
      </c>
      <c r="L182" s="8" t="str">
        <f ca="1">IFERROR(MATCH(ROWS($L$4:L182),'Veri Merkezi'!$W$2:$W$1001,0),"")</f>
        <v/>
      </c>
    </row>
    <row r="183" spans="1:12" ht="20" customHeight="1">
      <c r="A183" s="8" t="str">
        <f ca="1">IF($L183="","",ROWS($A$4:A183))</f>
        <v/>
      </c>
      <c r="B183" s="8" t="str">
        <f ca="1">IF($L183="","",INDEX('Veri Merkezi'!$A$2:$A$1001,$L183))</f>
        <v/>
      </c>
      <c r="C183" s="8" t="str">
        <f ca="1">IF($L183="","",INDEX('Veri Merkezi'!$E$2:$E$1001,$L183))</f>
        <v/>
      </c>
      <c r="D183" s="8" t="str">
        <f ca="1">IF($L183="","",INDEX('Veri Merkezi'!$D$2:$D$1001,$L183))</f>
        <v/>
      </c>
      <c r="E183" s="8" t="str">
        <f ca="1">IF($L183="","",INDEX('Veri Merkezi'!$F$2:$F$1001,$L183))</f>
        <v/>
      </c>
      <c r="F183" s="9" t="str">
        <f ca="1">IF($L183="","",INDEX('Veri Merkezi'!$G$2:$G$1001,$L183))</f>
        <v/>
      </c>
      <c r="H183" s="8" t="str">
        <f ca="1">IF($L183="","",INDEX('Veri Merkezi'!$H$2:$H$1001,$L183))</f>
        <v/>
      </c>
      <c r="I183" s="10" t="str">
        <f ca="1">IF($L183="","",INDEX('Veri Merkezi'!$R$2:$R$1001,$L183))</f>
        <v/>
      </c>
      <c r="J183" s="8" t="str">
        <f ca="1">IF($L183="","",INDEX('Veri Merkezi'!$S$2:$S$1001,$L183))</f>
        <v/>
      </c>
      <c r="K183" s="8" t="str">
        <f ca="1">IF($L183="","",INDEX('Veri Merkezi'!$U$2:$U$1001,$L183))</f>
        <v/>
      </c>
      <c r="L183" s="8" t="str">
        <f ca="1">IFERROR(MATCH(ROWS($L$4:L183),'Veri Merkezi'!$W$2:$W$1001,0),"")</f>
        <v/>
      </c>
    </row>
    <row r="184" spans="1:12" ht="20" customHeight="1">
      <c r="A184" s="8" t="str">
        <f ca="1">IF($L184="","",ROWS($A$4:A184))</f>
        <v/>
      </c>
      <c r="B184" s="8" t="str">
        <f ca="1">IF($L184="","",INDEX('Veri Merkezi'!$A$2:$A$1001,$L184))</f>
        <v/>
      </c>
      <c r="C184" s="8" t="str">
        <f ca="1">IF($L184="","",INDEX('Veri Merkezi'!$E$2:$E$1001,$L184))</f>
        <v/>
      </c>
      <c r="D184" s="8" t="str">
        <f ca="1">IF($L184="","",INDEX('Veri Merkezi'!$D$2:$D$1001,$L184))</f>
        <v/>
      </c>
      <c r="E184" s="8" t="str">
        <f ca="1">IF($L184="","",INDEX('Veri Merkezi'!$F$2:$F$1001,$L184))</f>
        <v/>
      </c>
      <c r="F184" s="9" t="str">
        <f ca="1">IF($L184="","",INDEX('Veri Merkezi'!$G$2:$G$1001,$L184))</f>
        <v/>
      </c>
      <c r="H184" s="8" t="str">
        <f ca="1">IF($L184="","",INDEX('Veri Merkezi'!$H$2:$H$1001,$L184))</f>
        <v/>
      </c>
      <c r="I184" s="10" t="str">
        <f ca="1">IF($L184="","",INDEX('Veri Merkezi'!$R$2:$R$1001,$L184))</f>
        <v/>
      </c>
      <c r="J184" s="8" t="str">
        <f ca="1">IF($L184="","",INDEX('Veri Merkezi'!$S$2:$S$1001,$L184))</f>
        <v/>
      </c>
      <c r="K184" s="8" t="str">
        <f ca="1">IF($L184="","",INDEX('Veri Merkezi'!$U$2:$U$1001,$L184))</f>
        <v/>
      </c>
      <c r="L184" s="8" t="str">
        <f ca="1">IFERROR(MATCH(ROWS($L$4:L184),'Veri Merkezi'!$W$2:$W$1001,0),"")</f>
        <v/>
      </c>
    </row>
    <row r="185" spans="1:12" ht="20" customHeight="1">
      <c r="A185" s="8" t="str">
        <f ca="1">IF($L185="","",ROWS($A$4:A185))</f>
        <v/>
      </c>
      <c r="B185" s="8" t="str">
        <f ca="1">IF($L185="","",INDEX('Veri Merkezi'!$A$2:$A$1001,$L185))</f>
        <v/>
      </c>
      <c r="C185" s="8" t="str">
        <f ca="1">IF($L185="","",INDEX('Veri Merkezi'!$E$2:$E$1001,$L185))</f>
        <v/>
      </c>
      <c r="D185" s="8" t="str">
        <f ca="1">IF($L185="","",INDEX('Veri Merkezi'!$D$2:$D$1001,$L185))</f>
        <v/>
      </c>
      <c r="E185" s="8" t="str">
        <f ca="1">IF($L185="","",INDEX('Veri Merkezi'!$F$2:$F$1001,$L185))</f>
        <v/>
      </c>
      <c r="F185" s="9" t="str">
        <f ca="1">IF($L185="","",INDEX('Veri Merkezi'!$G$2:$G$1001,$L185))</f>
        <v/>
      </c>
      <c r="H185" s="8" t="str">
        <f ca="1">IF($L185="","",INDEX('Veri Merkezi'!$H$2:$H$1001,$L185))</f>
        <v/>
      </c>
      <c r="I185" s="10" t="str">
        <f ca="1">IF($L185="","",INDEX('Veri Merkezi'!$R$2:$R$1001,$L185))</f>
        <v/>
      </c>
      <c r="J185" s="8" t="str">
        <f ca="1">IF($L185="","",INDEX('Veri Merkezi'!$S$2:$S$1001,$L185))</f>
        <v/>
      </c>
      <c r="K185" s="8" t="str">
        <f ca="1">IF($L185="","",INDEX('Veri Merkezi'!$U$2:$U$1001,$L185))</f>
        <v/>
      </c>
      <c r="L185" s="8" t="str">
        <f ca="1">IFERROR(MATCH(ROWS($L$4:L185),'Veri Merkezi'!$W$2:$W$1001,0),"")</f>
        <v/>
      </c>
    </row>
    <row r="186" spans="1:12" ht="20" customHeight="1">
      <c r="A186" s="8" t="str">
        <f ca="1">IF($L186="","",ROWS($A$4:A186))</f>
        <v/>
      </c>
      <c r="B186" s="8" t="str">
        <f ca="1">IF($L186="","",INDEX('Veri Merkezi'!$A$2:$A$1001,$L186))</f>
        <v/>
      </c>
      <c r="C186" s="8" t="str">
        <f ca="1">IF($L186="","",INDEX('Veri Merkezi'!$E$2:$E$1001,$L186))</f>
        <v/>
      </c>
      <c r="D186" s="8" t="str">
        <f ca="1">IF($L186="","",INDEX('Veri Merkezi'!$D$2:$D$1001,$L186))</f>
        <v/>
      </c>
      <c r="E186" s="8" t="str">
        <f ca="1">IF($L186="","",INDEX('Veri Merkezi'!$F$2:$F$1001,$L186))</f>
        <v/>
      </c>
      <c r="F186" s="9" t="str">
        <f ca="1">IF($L186="","",INDEX('Veri Merkezi'!$G$2:$G$1001,$L186))</f>
        <v/>
      </c>
      <c r="H186" s="8" t="str">
        <f ca="1">IF($L186="","",INDEX('Veri Merkezi'!$H$2:$H$1001,$L186))</f>
        <v/>
      </c>
      <c r="I186" s="10" t="str">
        <f ca="1">IF($L186="","",INDEX('Veri Merkezi'!$R$2:$R$1001,$L186))</f>
        <v/>
      </c>
      <c r="J186" s="8" t="str">
        <f ca="1">IF($L186="","",INDEX('Veri Merkezi'!$S$2:$S$1001,$L186))</f>
        <v/>
      </c>
      <c r="K186" s="8" t="str">
        <f ca="1">IF($L186="","",INDEX('Veri Merkezi'!$U$2:$U$1001,$L186))</f>
        <v/>
      </c>
      <c r="L186" s="8" t="str">
        <f ca="1">IFERROR(MATCH(ROWS($L$4:L186),'Veri Merkezi'!$W$2:$W$1001,0),"")</f>
        <v/>
      </c>
    </row>
    <row r="187" spans="1:12" ht="20" customHeight="1">
      <c r="A187" s="8" t="str">
        <f ca="1">IF($L187="","",ROWS($A$4:A187))</f>
        <v/>
      </c>
      <c r="B187" s="8" t="str">
        <f ca="1">IF($L187="","",INDEX('Veri Merkezi'!$A$2:$A$1001,$L187))</f>
        <v/>
      </c>
      <c r="C187" s="8" t="str">
        <f ca="1">IF($L187="","",INDEX('Veri Merkezi'!$E$2:$E$1001,$L187))</f>
        <v/>
      </c>
      <c r="D187" s="8" t="str">
        <f ca="1">IF($L187="","",INDEX('Veri Merkezi'!$D$2:$D$1001,$L187))</f>
        <v/>
      </c>
      <c r="E187" s="8" t="str">
        <f ca="1">IF($L187="","",INDEX('Veri Merkezi'!$F$2:$F$1001,$L187))</f>
        <v/>
      </c>
      <c r="F187" s="9" t="str">
        <f ca="1">IF($L187="","",INDEX('Veri Merkezi'!$G$2:$G$1001,$L187))</f>
        <v/>
      </c>
      <c r="H187" s="8" t="str">
        <f ca="1">IF($L187="","",INDEX('Veri Merkezi'!$H$2:$H$1001,$L187))</f>
        <v/>
      </c>
      <c r="I187" s="10" t="str">
        <f ca="1">IF($L187="","",INDEX('Veri Merkezi'!$R$2:$R$1001,$L187))</f>
        <v/>
      </c>
      <c r="J187" s="8" t="str">
        <f ca="1">IF($L187="","",INDEX('Veri Merkezi'!$S$2:$S$1001,$L187))</f>
        <v/>
      </c>
      <c r="K187" s="8" t="str">
        <f ca="1">IF($L187="","",INDEX('Veri Merkezi'!$U$2:$U$1001,$L187))</f>
        <v/>
      </c>
      <c r="L187" s="8" t="str">
        <f ca="1">IFERROR(MATCH(ROWS($L$4:L187),'Veri Merkezi'!$W$2:$W$1001,0),"")</f>
        <v/>
      </c>
    </row>
    <row r="188" spans="1:12" ht="20" customHeight="1">
      <c r="A188" s="8" t="str">
        <f ca="1">IF($L188="","",ROWS($A$4:A188))</f>
        <v/>
      </c>
      <c r="B188" s="8" t="str">
        <f ca="1">IF($L188="","",INDEX('Veri Merkezi'!$A$2:$A$1001,$L188))</f>
        <v/>
      </c>
      <c r="C188" s="8" t="str">
        <f ca="1">IF($L188="","",INDEX('Veri Merkezi'!$E$2:$E$1001,$L188))</f>
        <v/>
      </c>
      <c r="D188" s="8" t="str">
        <f ca="1">IF($L188="","",INDEX('Veri Merkezi'!$D$2:$D$1001,$L188))</f>
        <v/>
      </c>
      <c r="E188" s="8" t="str">
        <f ca="1">IF($L188="","",INDEX('Veri Merkezi'!$F$2:$F$1001,$L188))</f>
        <v/>
      </c>
      <c r="F188" s="9" t="str">
        <f ca="1">IF($L188="","",INDEX('Veri Merkezi'!$G$2:$G$1001,$L188))</f>
        <v/>
      </c>
      <c r="H188" s="8" t="str">
        <f ca="1">IF($L188="","",INDEX('Veri Merkezi'!$H$2:$H$1001,$L188))</f>
        <v/>
      </c>
      <c r="I188" s="10" t="str">
        <f ca="1">IF($L188="","",INDEX('Veri Merkezi'!$R$2:$R$1001,$L188))</f>
        <v/>
      </c>
      <c r="J188" s="8" t="str">
        <f ca="1">IF($L188="","",INDEX('Veri Merkezi'!$S$2:$S$1001,$L188))</f>
        <v/>
      </c>
      <c r="K188" s="8" t="str">
        <f ca="1">IF($L188="","",INDEX('Veri Merkezi'!$U$2:$U$1001,$L188))</f>
        <v/>
      </c>
      <c r="L188" s="8" t="str">
        <f ca="1">IFERROR(MATCH(ROWS($L$4:L188),'Veri Merkezi'!$W$2:$W$1001,0),"")</f>
        <v/>
      </c>
    </row>
    <row r="189" spans="1:12" ht="20" customHeight="1">
      <c r="A189" s="8" t="str">
        <f ca="1">IF($L189="","",ROWS($A$4:A189))</f>
        <v/>
      </c>
      <c r="B189" s="8" t="str">
        <f ca="1">IF($L189="","",INDEX('Veri Merkezi'!$A$2:$A$1001,$L189))</f>
        <v/>
      </c>
      <c r="C189" s="8" t="str">
        <f ca="1">IF($L189="","",INDEX('Veri Merkezi'!$E$2:$E$1001,$L189))</f>
        <v/>
      </c>
      <c r="D189" s="8" t="str">
        <f ca="1">IF($L189="","",INDEX('Veri Merkezi'!$D$2:$D$1001,$L189))</f>
        <v/>
      </c>
      <c r="E189" s="8" t="str">
        <f ca="1">IF($L189="","",INDEX('Veri Merkezi'!$F$2:$F$1001,$L189))</f>
        <v/>
      </c>
      <c r="F189" s="9" t="str">
        <f ca="1">IF($L189="","",INDEX('Veri Merkezi'!$G$2:$G$1001,$L189))</f>
        <v/>
      </c>
      <c r="H189" s="8" t="str">
        <f ca="1">IF($L189="","",INDEX('Veri Merkezi'!$H$2:$H$1001,$L189))</f>
        <v/>
      </c>
      <c r="I189" s="10" t="str">
        <f ca="1">IF($L189="","",INDEX('Veri Merkezi'!$R$2:$R$1001,$L189))</f>
        <v/>
      </c>
      <c r="J189" s="8" t="str">
        <f ca="1">IF($L189="","",INDEX('Veri Merkezi'!$S$2:$S$1001,$L189))</f>
        <v/>
      </c>
      <c r="K189" s="8" t="str">
        <f ca="1">IF($L189="","",INDEX('Veri Merkezi'!$U$2:$U$1001,$L189))</f>
        <v/>
      </c>
      <c r="L189" s="8" t="str">
        <f ca="1">IFERROR(MATCH(ROWS($L$4:L189),'Veri Merkezi'!$W$2:$W$1001,0),"")</f>
        <v/>
      </c>
    </row>
    <row r="190" spans="1:12" ht="20" customHeight="1">
      <c r="A190" s="8" t="str">
        <f ca="1">IF($L190="","",ROWS($A$4:A190))</f>
        <v/>
      </c>
      <c r="B190" s="8" t="str">
        <f ca="1">IF($L190="","",INDEX('Veri Merkezi'!$A$2:$A$1001,$L190))</f>
        <v/>
      </c>
      <c r="C190" s="8" t="str">
        <f ca="1">IF($L190="","",INDEX('Veri Merkezi'!$E$2:$E$1001,$L190))</f>
        <v/>
      </c>
      <c r="D190" s="8" t="str">
        <f ca="1">IF($L190="","",INDEX('Veri Merkezi'!$D$2:$D$1001,$L190))</f>
        <v/>
      </c>
      <c r="E190" s="8" t="str">
        <f ca="1">IF($L190="","",INDEX('Veri Merkezi'!$F$2:$F$1001,$L190))</f>
        <v/>
      </c>
      <c r="F190" s="9" t="str">
        <f ca="1">IF($L190="","",INDEX('Veri Merkezi'!$G$2:$G$1001,$L190))</f>
        <v/>
      </c>
      <c r="H190" s="8" t="str">
        <f ca="1">IF($L190="","",INDEX('Veri Merkezi'!$H$2:$H$1001,$L190))</f>
        <v/>
      </c>
      <c r="I190" s="10" t="str">
        <f ca="1">IF($L190="","",INDEX('Veri Merkezi'!$R$2:$R$1001,$L190))</f>
        <v/>
      </c>
      <c r="J190" s="8" t="str">
        <f ca="1">IF($L190="","",INDEX('Veri Merkezi'!$S$2:$S$1001,$L190))</f>
        <v/>
      </c>
      <c r="K190" s="8" t="str">
        <f ca="1">IF($L190="","",INDEX('Veri Merkezi'!$U$2:$U$1001,$L190))</f>
        <v/>
      </c>
      <c r="L190" s="8" t="str">
        <f ca="1">IFERROR(MATCH(ROWS($L$4:L190),'Veri Merkezi'!$W$2:$W$1001,0),"")</f>
        <v/>
      </c>
    </row>
    <row r="191" spans="1:12" ht="20" customHeight="1">
      <c r="A191" s="8" t="str">
        <f ca="1">IF($L191="","",ROWS($A$4:A191))</f>
        <v/>
      </c>
      <c r="B191" s="8" t="str">
        <f ca="1">IF($L191="","",INDEX('Veri Merkezi'!$A$2:$A$1001,$L191))</f>
        <v/>
      </c>
      <c r="C191" s="8" t="str">
        <f ca="1">IF($L191="","",INDEX('Veri Merkezi'!$E$2:$E$1001,$L191))</f>
        <v/>
      </c>
      <c r="D191" s="8" t="str">
        <f ca="1">IF($L191="","",INDEX('Veri Merkezi'!$D$2:$D$1001,$L191))</f>
        <v/>
      </c>
      <c r="E191" s="8" t="str">
        <f ca="1">IF($L191="","",INDEX('Veri Merkezi'!$F$2:$F$1001,$L191))</f>
        <v/>
      </c>
      <c r="F191" s="9" t="str">
        <f ca="1">IF($L191="","",INDEX('Veri Merkezi'!$G$2:$G$1001,$L191))</f>
        <v/>
      </c>
      <c r="H191" s="8" t="str">
        <f ca="1">IF($L191="","",INDEX('Veri Merkezi'!$H$2:$H$1001,$L191))</f>
        <v/>
      </c>
      <c r="I191" s="10" t="str">
        <f ca="1">IF($L191="","",INDEX('Veri Merkezi'!$R$2:$R$1001,$L191))</f>
        <v/>
      </c>
      <c r="J191" s="8" t="str">
        <f ca="1">IF($L191="","",INDEX('Veri Merkezi'!$S$2:$S$1001,$L191))</f>
        <v/>
      </c>
      <c r="K191" s="8" t="str">
        <f ca="1">IF($L191="","",INDEX('Veri Merkezi'!$U$2:$U$1001,$L191))</f>
        <v/>
      </c>
      <c r="L191" s="8" t="str">
        <f ca="1">IFERROR(MATCH(ROWS($L$4:L191),'Veri Merkezi'!$W$2:$W$1001,0),"")</f>
        <v/>
      </c>
    </row>
    <row r="192" spans="1:12" ht="20" customHeight="1">
      <c r="A192" s="8" t="str">
        <f ca="1">IF($L192="","",ROWS($A$4:A192))</f>
        <v/>
      </c>
      <c r="B192" s="8" t="str">
        <f ca="1">IF($L192="","",INDEX('Veri Merkezi'!$A$2:$A$1001,$L192))</f>
        <v/>
      </c>
      <c r="C192" s="8" t="str">
        <f ca="1">IF($L192="","",INDEX('Veri Merkezi'!$E$2:$E$1001,$L192))</f>
        <v/>
      </c>
      <c r="D192" s="8" t="str">
        <f ca="1">IF($L192="","",INDEX('Veri Merkezi'!$D$2:$D$1001,$L192))</f>
        <v/>
      </c>
      <c r="E192" s="8" t="str">
        <f ca="1">IF($L192="","",INDEX('Veri Merkezi'!$F$2:$F$1001,$L192))</f>
        <v/>
      </c>
      <c r="F192" s="9" t="str">
        <f ca="1">IF($L192="","",INDEX('Veri Merkezi'!$G$2:$G$1001,$L192))</f>
        <v/>
      </c>
      <c r="H192" s="8" t="str">
        <f ca="1">IF($L192="","",INDEX('Veri Merkezi'!$H$2:$H$1001,$L192))</f>
        <v/>
      </c>
      <c r="I192" s="10" t="str">
        <f ca="1">IF($L192="","",INDEX('Veri Merkezi'!$R$2:$R$1001,$L192))</f>
        <v/>
      </c>
      <c r="J192" s="8" t="str">
        <f ca="1">IF($L192="","",INDEX('Veri Merkezi'!$S$2:$S$1001,$L192))</f>
        <v/>
      </c>
      <c r="K192" s="8" t="str">
        <f ca="1">IF($L192="","",INDEX('Veri Merkezi'!$U$2:$U$1001,$L192))</f>
        <v/>
      </c>
      <c r="L192" s="8" t="str">
        <f ca="1">IFERROR(MATCH(ROWS($L$4:L192),'Veri Merkezi'!$W$2:$W$1001,0),"")</f>
        <v/>
      </c>
    </row>
    <row r="193" spans="1:12" ht="20" customHeight="1">
      <c r="A193" s="8" t="str">
        <f ca="1">IF($L193="","",ROWS($A$4:A193))</f>
        <v/>
      </c>
      <c r="B193" s="8" t="str">
        <f ca="1">IF($L193="","",INDEX('Veri Merkezi'!$A$2:$A$1001,$L193))</f>
        <v/>
      </c>
      <c r="C193" s="8" t="str">
        <f ca="1">IF($L193="","",INDEX('Veri Merkezi'!$E$2:$E$1001,$L193))</f>
        <v/>
      </c>
      <c r="D193" s="8" t="str">
        <f ca="1">IF($L193="","",INDEX('Veri Merkezi'!$D$2:$D$1001,$L193))</f>
        <v/>
      </c>
      <c r="E193" s="8" t="str">
        <f ca="1">IF($L193="","",INDEX('Veri Merkezi'!$F$2:$F$1001,$L193))</f>
        <v/>
      </c>
      <c r="F193" s="9" t="str">
        <f ca="1">IF($L193="","",INDEX('Veri Merkezi'!$G$2:$G$1001,$L193))</f>
        <v/>
      </c>
      <c r="H193" s="8" t="str">
        <f ca="1">IF($L193="","",INDEX('Veri Merkezi'!$H$2:$H$1001,$L193))</f>
        <v/>
      </c>
      <c r="I193" s="10" t="str">
        <f ca="1">IF($L193="","",INDEX('Veri Merkezi'!$R$2:$R$1001,$L193))</f>
        <v/>
      </c>
      <c r="J193" s="8" t="str">
        <f ca="1">IF($L193="","",INDEX('Veri Merkezi'!$S$2:$S$1001,$L193))</f>
        <v/>
      </c>
      <c r="K193" s="8" t="str">
        <f ca="1">IF($L193="","",INDEX('Veri Merkezi'!$U$2:$U$1001,$L193))</f>
        <v/>
      </c>
      <c r="L193" s="8" t="str">
        <f ca="1">IFERROR(MATCH(ROWS($L$4:L193),'Veri Merkezi'!$W$2:$W$1001,0),"")</f>
        <v/>
      </c>
    </row>
    <row r="194" spans="1:12" ht="20" customHeight="1">
      <c r="A194" s="8" t="str">
        <f ca="1">IF($L194="","",ROWS($A$4:A194))</f>
        <v/>
      </c>
      <c r="B194" s="8" t="str">
        <f ca="1">IF($L194="","",INDEX('Veri Merkezi'!$A$2:$A$1001,$L194))</f>
        <v/>
      </c>
      <c r="C194" s="8" t="str">
        <f ca="1">IF($L194="","",INDEX('Veri Merkezi'!$E$2:$E$1001,$L194))</f>
        <v/>
      </c>
      <c r="D194" s="8" t="str">
        <f ca="1">IF($L194="","",INDEX('Veri Merkezi'!$D$2:$D$1001,$L194))</f>
        <v/>
      </c>
      <c r="E194" s="8" t="str">
        <f ca="1">IF($L194="","",INDEX('Veri Merkezi'!$F$2:$F$1001,$L194))</f>
        <v/>
      </c>
      <c r="F194" s="9" t="str">
        <f ca="1">IF($L194="","",INDEX('Veri Merkezi'!$G$2:$G$1001,$L194))</f>
        <v/>
      </c>
      <c r="H194" s="8" t="str">
        <f ca="1">IF($L194="","",INDEX('Veri Merkezi'!$H$2:$H$1001,$L194))</f>
        <v/>
      </c>
      <c r="I194" s="10" t="str">
        <f ca="1">IF($L194="","",INDEX('Veri Merkezi'!$R$2:$R$1001,$L194))</f>
        <v/>
      </c>
      <c r="J194" s="8" t="str">
        <f ca="1">IF($L194="","",INDEX('Veri Merkezi'!$S$2:$S$1001,$L194))</f>
        <v/>
      </c>
      <c r="K194" s="8" t="str">
        <f ca="1">IF($L194="","",INDEX('Veri Merkezi'!$U$2:$U$1001,$L194))</f>
        <v/>
      </c>
      <c r="L194" s="8" t="str">
        <f ca="1">IFERROR(MATCH(ROWS($L$4:L194),'Veri Merkezi'!$W$2:$W$1001,0),"")</f>
        <v/>
      </c>
    </row>
    <row r="195" spans="1:12" ht="20" customHeight="1">
      <c r="A195" s="8" t="str">
        <f ca="1">IF($L195="","",ROWS($A$4:A195))</f>
        <v/>
      </c>
      <c r="B195" s="8" t="str">
        <f ca="1">IF($L195="","",INDEX('Veri Merkezi'!$A$2:$A$1001,$L195))</f>
        <v/>
      </c>
      <c r="C195" s="8" t="str">
        <f ca="1">IF($L195="","",INDEX('Veri Merkezi'!$E$2:$E$1001,$L195))</f>
        <v/>
      </c>
      <c r="D195" s="8" t="str">
        <f ca="1">IF($L195="","",INDEX('Veri Merkezi'!$D$2:$D$1001,$L195))</f>
        <v/>
      </c>
      <c r="E195" s="8" t="str">
        <f ca="1">IF($L195="","",INDEX('Veri Merkezi'!$F$2:$F$1001,$L195))</f>
        <v/>
      </c>
      <c r="F195" s="9" t="str">
        <f ca="1">IF($L195="","",INDEX('Veri Merkezi'!$G$2:$G$1001,$L195))</f>
        <v/>
      </c>
      <c r="H195" s="8" t="str">
        <f ca="1">IF($L195="","",INDEX('Veri Merkezi'!$H$2:$H$1001,$L195))</f>
        <v/>
      </c>
      <c r="I195" s="10" t="str">
        <f ca="1">IF($L195="","",INDEX('Veri Merkezi'!$R$2:$R$1001,$L195))</f>
        <v/>
      </c>
      <c r="J195" s="8" t="str">
        <f ca="1">IF($L195="","",INDEX('Veri Merkezi'!$S$2:$S$1001,$L195))</f>
        <v/>
      </c>
      <c r="K195" s="8" t="str">
        <f ca="1">IF($L195="","",INDEX('Veri Merkezi'!$U$2:$U$1001,$L195))</f>
        <v/>
      </c>
      <c r="L195" s="8" t="str">
        <f ca="1">IFERROR(MATCH(ROWS($L$4:L195),'Veri Merkezi'!$W$2:$W$1001,0),"")</f>
        <v/>
      </c>
    </row>
    <row r="196" spans="1:12" ht="20" customHeight="1">
      <c r="A196" s="8" t="str">
        <f ca="1">IF($L196="","",ROWS($A$4:A196))</f>
        <v/>
      </c>
      <c r="B196" s="8" t="str">
        <f ca="1">IF($L196="","",INDEX('Veri Merkezi'!$A$2:$A$1001,$L196))</f>
        <v/>
      </c>
      <c r="C196" s="8" t="str">
        <f ca="1">IF($L196="","",INDEX('Veri Merkezi'!$E$2:$E$1001,$L196))</f>
        <v/>
      </c>
      <c r="D196" s="8" t="str">
        <f ca="1">IF($L196="","",INDEX('Veri Merkezi'!$D$2:$D$1001,$L196))</f>
        <v/>
      </c>
      <c r="E196" s="8" t="str">
        <f ca="1">IF($L196="","",INDEX('Veri Merkezi'!$F$2:$F$1001,$L196))</f>
        <v/>
      </c>
      <c r="F196" s="9" t="str">
        <f ca="1">IF($L196="","",INDEX('Veri Merkezi'!$G$2:$G$1001,$L196))</f>
        <v/>
      </c>
      <c r="H196" s="8" t="str">
        <f ca="1">IF($L196="","",INDEX('Veri Merkezi'!$H$2:$H$1001,$L196))</f>
        <v/>
      </c>
      <c r="I196" s="10" t="str">
        <f ca="1">IF($L196="","",INDEX('Veri Merkezi'!$R$2:$R$1001,$L196))</f>
        <v/>
      </c>
      <c r="J196" s="8" t="str">
        <f ca="1">IF($L196="","",INDEX('Veri Merkezi'!$S$2:$S$1001,$L196))</f>
        <v/>
      </c>
      <c r="K196" s="8" t="str">
        <f ca="1">IF($L196="","",INDEX('Veri Merkezi'!$U$2:$U$1001,$L196))</f>
        <v/>
      </c>
      <c r="L196" s="8" t="str">
        <f ca="1">IFERROR(MATCH(ROWS($L$4:L196),'Veri Merkezi'!$W$2:$W$1001,0),"")</f>
        <v/>
      </c>
    </row>
    <row r="197" spans="1:12" ht="20" customHeight="1">
      <c r="A197" s="8" t="str">
        <f ca="1">IF($L197="","",ROWS($A$4:A197))</f>
        <v/>
      </c>
      <c r="B197" s="8" t="str">
        <f ca="1">IF($L197="","",INDEX('Veri Merkezi'!$A$2:$A$1001,$L197))</f>
        <v/>
      </c>
      <c r="C197" s="8" t="str">
        <f ca="1">IF($L197="","",INDEX('Veri Merkezi'!$E$2:$E$1001,$L197))</f>
        <v/>
      </c>
      <c r="D197" s="8" t="str">
        <f ca="1">IF($L197="","",INDEX('Veri Merkezi'!$D$2:$D$1001,$L197))</f>
        <v/>
      </c>
      <c r="E197" s="8" t="str">
        <f ca="1">IF($L197="","",INDEX('Veri Merkezi'!$F$2:$F$1001,$L197))</f>
        <v/>
      </c>
      <c r="F197" s="9" t="str">
        <f ca="1">IF($L197="","",INDEX('Veri Merkezi'!$G$2:$G$1001,$L197))</f>
        <v/>
      </c>
      <c r="H197" s="8" t="str">
        <f ca="1">IF($L197="","",INDEX('Veri Merkezi'!$H$2:$H$1001,$L197))</f>
        <v/>
      </c>
      <c r="I197" s="10" t="str">
        <f ca="1">IF($L197="","",INDEX('Veri Merkezi'!$R$2:$R$1001,$L197))</f>
        <v/>
      </c>
      <c r="J197" s="8" t="str">
        <f ca="1">IF($L197="","",INDEX('Veri Merkezi'!$S$2:$S$1001,$L197))</f>
        <v/>
      </c>
      <c r="K197" s="8" t="str">
        <f ca="1">IF($L197="","",INDEX('Veri Merkezi'!$U$2:$U$1001,$L197))</f>
        <v/>
      </c>
      <c r="L197" s="8" t="str">
        <f ca="1">IFERROR(MATCH(ROWS($L$4:L197),'Veri Merkezi'!$W$2:$W$1001,0),"")</f>
        <v/>
      </c>
    </row>
    <row r="198" spans="1:12" ht="20" customHeight="1">
      <c r="A198" s="8" t="str">
        <f ca="1">IF($L198="","",ROWS($A$4:A198))</f>
        <v/>
      </c>
      <c r="B198" s="8" t="str">
        <f ca="1">IF($L198="","",INDEX('Veri Merkezi'!$A$2:$A$1001,$L198))</f>
        <v/>
      </c>
      <c r="C198" s="8" t="str">
        <f ca="1">IF($L198="","",INDEX('Veri Merkezi'!$E$2:$E$1001,$L198))</f>
        <v/>
      </c>
      <c r="D198" s="8" t="str">
        <f ca="1">IF($L198="","",INDEX('Veri Merkezi'!$D$2:$D$1001,$L198))</f>
        <v/>
      </c>
      <c r="E198" s="8" t="str">
        <f ca="1">IF($L198="","",INDEX('Veri Merkezi'!$F$2:$F$1001,$L198))</f>
        <v/>
      </c>
      <c r="F198" s="9" t="str">
        <f ca="1">IF($L198="","",INDEX('Veri Merkezi'!$G$2:$G$1001,$L198))</f>
        <v/>
      </c>
      <c r="H198" s="8" t="str">
        <f ca="1">IF($L198="","",INDEX('Veri Merkezi'!$H$2:$H$1001,$L198))</f>
        <v/>
      </c>
      <c r="I198" s="10" t="str">
        <f ca="1">IF($L198="","",INDEX('Veri Merkezi'!$R$2:$R$1001,$L198))</f>
        <v/>
      </c>
      <c r="J198" s="8" t="str">
        <f ca="1">IF($L198="","",INDEX('Veri Merkezi'!$S$2:$S$1001,$L198))</f>
        <v/>
      </c>
      <c r="K198" s="8" t="str">
        <f ca="1">IF($L198="","",INDEX('Veri Merkezi'!$U$2:$U$1001,$L198))</f>
        <v/>
      </c>
      <c r="L198" s="8" t="str">
        <f ca="1">IFERROR(MATCH(ROWS($L$4:L198),'Veri Merkezi'!$W$2:$W$1001,0),"")</f>
        <v/>
      </c>
    </row>
    <row r="199" spans="1:12" ht="20" customHeight="1">
      <c r="A199" s="8" t="str">
        <f ca="1">IF($L199="","",ROWS($A$4:A199))</f>
        <v/>
      </c>
      <c r="B199" s="8" t="str">
        <f ca="1">IF($L199="","",INDEX('Veri Merkezi'!$A$2:$A$1001,$L199))</f>
        <v/>
      </c>
      <c r="C199" s="8" t="str">
        <f ca="1">IF($L199="","",INDEX('Veri Merkezi'!$E$2:$E$1001,$L199))</f>
        <v/>
      </c>
      <c r="D199" s="8" t="str">
        <f ca="1">IF($L199="","",INDEX('Veri Merkezi'!$D$2:$D$1001,$L199))</f>
        <v/>
      </c>
      <c r="E199" s="8" t="str">
        <f ca="1">IF($L199="","",INDEX('Veri Merkezi'!$F$2:$F$1001,$L199))</f>
        <v/>
      </c>
      <c r="F199" s="9" t="str">
        <f ca="1">IF($L199="","",INDEX('Veri Merkezi'!$G$2:$G$1001,$L199))</f>
        <v/>
      </c>
      <c r="H199" s="8" t="str">
        <f ca="1">IF($L199="","",INDEX('Veri Merkezi'!$H$2:$H$1001,$L199))</f>
        <v/>
      </c>
      <c r="I199" s="10" t="str">
        <f ca="1">IF($L199="","",INDEX('Veri Merkezi'!$R$2:$R$1001,$L199))</f>
        <v/>
      </c>
      <c r="J199" s="8" t="str">
        <f ca="1">IF($L199="","",INDEX('Veri Merkezi'!$S$2:$S$1001,$L199))</f>
        <v/>
      </c>
      <c r="K199" s="8" t="str">
        <f ca="1">IF($L199="","",INDEX('Veri Merkezi'!$U$2:$U$1001,$L199))</f>
        <v/>
      </c>
      <c r="L199" s="8" t="str">
        <f ca="1">IFERROR(MATCH(ROWS($L$4:L199),'Veri Merkezi'!$W$2:$W$1001,0),"")</f>
        <v/>
      </c>
    </row>
    <row r="200" spans="1:12" ht="20" customHeight="1">
      <c r="A200" s="8" t="str">
        <f ca="1">IF($L200="","",ROWS($A$4:A200))</f>
        <v/>
      </c>
      <c r="B200" s="8" t="str">
        <f ca="1">IF($L200="","",INDEX('Veri Merkezi'!$A$2:$A$1001,$L200))</f>
        <v/>
      </c>
      <c r="C200" s="8" t="str">
        <f ca="1">IF($L200="","",INDEX('Veri Merkezi'!$E$2:$E$1001,$L200))</f>
        <v/>
      </c>
      <c r="D200" s="8" t="str">
        <f ca="1">IF($L200="","",INDEX('Veri Merkezi'!$D$2:$D$1001,$L200))</f>
        <v/>
      </c>
      <c r="E200" s="8" t="str">
        <f ca="1">IF($L200="","",INDEX('Veri Merkezi'!$F$2:$F$1001,$L200))</f>
        <v/>
      </c>
      <c r="F200" s="9" t="str">
        <f ca="1">IF($L200="","",INDEX('Veri Merkezi'!$G$2:$G$1001,$L200))</f>
        <v/>
      </c>
      <c r="H200" s="8" t="str">
        <f ca="1">IF($L200="","",INDEX('Veri Merkezi'!$H$2:$H$1001,$L200))</f>
        <v/>
      </c>
      <c r="I200" s="10" t="str">
        <f ca="1">IF($L200="","",INDEX('Veri Merkezi'!$R$2:$R$1001,$L200))</f>
        <v/>
      </c>
      <c r="J200" s="8" t="str">
        <f ca="1">IF($L200="","",INDEX('Veri Merkezi'!$S$2:$S$1001,$L200))</f>
        <v/>
      </c>
      <c r="K200" s="8" t="str">
        <f ca="1">IF($L200="","",INDEX('Veri Merkezi'!$U$2:$U$1001,$L200))</f>
        <v/>
      </c>
      <c r="L200" s="8" t="str">
        <f ca="1">IFERROR(MATCH(ROWS($L$4:L200),'Veri Merkezi'!$W$2:$W$1001,0),"")</f>
        <v/>
      </c>
    </row>
    <row r="201" spans="1:12" ht="20" customHeight="1">
      <c r="A201" s="8" t="str">
        <f ca="1">IF($L201="","",ROWS($A$4:A201))</f>
        <v/>
      </c>
      <c r="B201" s="8" t="str">
        <f ca="1">IF($L201="","",INDEX('Veri Merkezi'!$A$2:$A$1001,$L201))</f>
        <v/>
      </c>
      <c r="C201" s="8" t="str">
        <f ca="1">IF($L201="","",INDEX('Veri Merkezi'!$E$2:$E$1001,$L201))</f>
        <v/>
      </c>
      <c r="D201" s="8" t="str">
        <f ca="1">IF($L201="","",INDEX('Veri Merkezi'!$D$2:$D$1001,$L201))</f>
        <v/>
      </c>
      <c r="E201" s="8" t="str">
        <f ca="1">IF($L201="","",INDEX('Veri Merkezi'!$F$2:$F$1001,$L201))</f>
        <v/>
      </c>
      <c r="F201" s="9" t="str">
        <f ca="1">IF($L201="","",INDEX('Veri Merkezi'!$G$2:$G$1001,$L201))</f>
        <v/>
      </c>
      <c r="H201" s="8" t="str">
        <f ca="1">IF($L201="","",INDEX('Veri Merkezi'!$H$2:$H$1001,$L201))</f>
        <v/>
      </c>
      <c r="I201" s="10" t="str">
        <f ca="1">IF($L201="","",INDEX('Veri Merkezi'!$R$2:$R$1001,$L201))</f>
        <v/>
      </c>
      <c r="J201" s="8" t="str">
        <f ca="1">IF($L201="","",INDEX('Veri Merkezi'!$S$2:$S$1001,$L201))</f>
        <v/>
      </c>
      <c r="K201" s="8" t="str">
        <f ca="1">IF($L201="","",INDEX('Veri Merkezi'!$U$2:$U$1001,$L201))</f>
        <v/>
      </c>
      <c r="L201" s="8" t="str">
        <f ca="1">IFERROR(MATCH(ROWS($L$4:L201),'Veri Merkezi'!$W$2:$W$1001,0),"")</f>
        <v/>
      </c>
    </row>
    <row r="202" spans="1:12" ht="20" customHeight="1">
      <c r="A202" s="8" t="str">
        <f ca="1">IF($L202="","",ROWS($A$4:A202))</f>
        <v/>
      </c>
      <c r="B202" s="8" t="str">
        <f ca="1">IF($L202="","",INDEX('Veri Merkezi'!$A$2:$A$1001,$L202))</f>
        <v/>
      </c>
      <c r="C202" s="8" t="str">
        <f ca="1">IF($L202="","",INDEX('Veri Merkezi'!$E$2:$E$1001,$L202))</f>
        <v/>
      </c>
      <c r="D202" s="8" t="str">
        <f ca="1">IF($L202="","",INDEX('Veri Merkezi'!$D$2:$D$1001,$L202))</f>
        <v/>
      </c>
      <c r="E202" s="8" t="str">
        <f ca="1">IF($L202="","",INDEX('Veri Merkezi'!$F$2:$F$1001,$L202))</f>
        <v/>
      </c>
      <c r="F202" s="9" t="str">
        <f ca="1">IF($L202="","",INDEX('Veri Merkezi'!$G$2:$G$1001,$L202))</f>
        <v/>
      </c>
      <c r="H202" s="8" t="str">
        <f ca="1">IF($L202="","",INDEX('Veri Merkezi'!$H$2:$H$1001,$L202))</f>
        <v/>
      </c>
      <c r="I202" s="10" t="str">
        <f ca="1">IF($L202="","",INDEX('Veri Merkezi'!$R$2:$R$1001,$L202))</f>
        <v/>
      </c>
      <c r="J202" s="8" t="str">
        <f ca="1">IF($L202="","",INDEX('Veri Merkezi'!$S$2:$S$1001,$L202))</f>
        <v/>
      </c>
      <c r="K202" s="8" t="str">
        <f ca="1">IF($L202="","",INDEX('Veri Merkezi'!$U$2:$U$1001,$L202))</f>
        <v/>
      </c>
      <c r="L202" s="8" t="str">
        <f ca="1">IFERROR(MATCH(ROWS($L$4:L202),'Veri Merkezi'!$W$2:$W$1001,0),"")</f>
        <v/>
      </c>
    </row>
    <row r="203" spans="1:12" ht="20" customHeight="1">
      <c r="A203" s="8" t="str">
        <f ca="1">IF($L203="","",ROWS($A$4:A203))</f>
        <v/>
      </c>
      <c r="B203" s="8" t="str">
        <f ca="1">IF($L203="","",INDEX('Veri Merkezi'!$A$2:$A$1001,$L203))</f>
        <v/>
      </c>
      <c r="C203" s="8" t="str">
        <f ca="1">IF($L203="","",INDEX('Veri Merkezi'!$E$2:$E$1001,$L203))</f>
        <v/>
      </c>
      <c r="D203" s="8" t="str">
        <f ca="1">IF($L203="","",INDEX('Veri Merkezi'!$D$2:$D$1001,$L203))</f>
        <v/>
      </c>
      <c r="E203" s="8" t="str">
        <f ca="1">IF($L203="","",INDEX('Veri Merkezi'!$F$2:$F$1001,$L203))</f>
        <v/>
      </c>
      <c r="F203" s="9" t="str">
        <f ca="1">IF($L203="","",INDEX('Veri Merkezi'!$G$2:$G$1001,$L203))</f>
        <v/>
      </c>
      <c r="H203" s="8" t="str">
        <f ca="1">IF($L203="","",INDEX('Veri Merkezi'!$H$2:$H$1001,$L203))</f>
        <v/>
      </c>
      <c r="I203" s="10" t="str">
        <f ca="1">IF($L203="","",INDEX('Veri Merkezi'!$R$2:$R$1001,$L203))</f>
        <v/>
      </c>
      <c r="J203" s="8" t="str">
        <f ca="1">IF($L203="","",INDEX('Veri Merkezi'!$S$2:$S$1001,$L203))</f>
        <v/>
      </c>
      <c r="K203" s="8" t="str">
        <f ca="1">IF($L203="","",INDEX('Veri Merkezi'!$U$2:$U$1001,$L203))</f>
        <v/>
      </c>
      <c r="L203" s="8" t="str">
        <f ca="1">IFERROR(MATCH(ROWS($L$4:L203),'Veri Merkezi'!$W$2:$W$1001,0),"")</f>
        <v/>
      </c>
    </row>
    <row r="204" spans="1:12" ht="20" customHeight="1">
      <c r="A204" s="8" t="str">
        <f ca="1">IF($L204="","",ROWS($A$4:A204))</f>
        <v/>
      </c>
      <c r="B204" s="8" t="str">
        <f ca="1">IF($L204="","",INDEX('Veri Merkezi'!$A$2:$A$1001,$L204))</f>
        <v/>
      </c>
      <c r="C204" s="8" t="str">
        <f ca="1">IF($L204="","",INDEX('Veri Merkezi'!$E$2:$E$1001,$L204))</f>
        <v/>
      </c>
      <c r="D204" s="8" t="str">
        <f ca="1">IF($L204="","",INDEX('Veri Merkezi'!$D$2:$D$1001,$L204))</f>
        <v/>
      </c>
      <c r="E204" s="8" t="str">
        <f ca="1">IF($L204="","",INDEX('Veri Merkezi'!$F$2:$F$1001,$L204))</f>
        <v/>
      </c>
      <c r="F204" s="9" t="str">
        <f ca="1">IF($L204="","",INDEX('Veri Merkezi'!$G$2:$G$1001,$L204))</f>
        <v/>
      </c>
      <c r="H204" s="8" t="str">
        <f ca="1">IF($L204="","",INDEX('Veri Merkezi'!$H$2:$H$1001,$L204))</f>
        <v/>
      </c>
      <c r="I204" s="10" t="str">
        <f ca="1">IF($L204="","",INDEX('Veri Merkezi'!$R$2:$R$1001,$L204))</f>
        <v/>
      </c>
      <c r="J204" s="8" t="str">
        <f ca="1">IF($L204="","",INDEX('Veri Merkezi'!$S$2:$S$1001,$L204))</f>
        <v/>
      </c>
      <c r="K204" s="8" t="str">
        <f ca="1">IF($L204="","",INDEX('Veri Merkezi'!$U$2:$U$1001,$L204))</f>
        <v/>
      </c>
      <c r="L204" s="8" t="str">
        <f ca="1">IFERROR(MATCH(ROWS($L$4:L204),'Veri Merkezi'!$W$2:$W$1001,0),"")</f>
        <v/>
      </c>
    </row>
    <row r="205" spans="1:12" ht="20" customHeight="1">
      <c r="A205" s="8" t="str">
        <f ca="1">IF($L205="","",ROWS($A$4:A205))</f>
        <v/>
      </c>
      <c r="B205" s="8" t="str">
        <f ca="1">IF($L205="","",INDEX('Veri Merkezi'!$A$2:$A$1001,$L205))</f>
        <v/>
      </c>
      <c r="C205" s="8" t="str">
        <f ca="1">IF($L205="","",INDEX('Veri Merkezi'!$E$2:$E$1001,$L205))</f>
        <v/>
      </c>
      <c r="D205" s="8" t="str">
        <f ca="1">IF($L205="","",INDEX('Veri Merkezi'!$D$2:$D$1001,$L205))</f>
        <v/>
      </c>
      <c r="E205" s="8" t="str">
        <f ca="1">IF($L205="","",INDEX('Veri Merkezi'!$F$2:$F$1001,$L205))</f>
        <v/>
      </c>
      <c r="F205" s="9" t="str">
        <f ca="1">IF($L205="","",INDEX('Veri Merkezi'!$G$2:$G$1001,$L205))</f>
        <v/>
      </c>
      <c r="H205" s="8" t="str">
        <f ca="1">IF($L205="","",INDEX('Veri Merkezi'!$H$2:$H$1001,$L205))</f>
        <v/>
      </c>
      <c r="I205" s="10" t="str">
        <f ca="1">IF($L205="","",INDEX('Veri Merkezi'!$R$2:$R$1001,$L205))</f>
        <v/>
      </c>
      <c r="J205" s="8" t="str">
        <f ca="1">IF($L205="","",INDEX('Veri Merkezi'!$S$2:$S$1001,$L205))</f>
        <v/>
      </c>
      <c r="K205" s="8" t="str">
        <f ca="1">IF($L205="","",INDEX('Veri Merkezi'!$U$2:$U$1001,$L205))</f>
        <v/>
      </c>
      <c r="L205" s="8" t="str">
        <f ca="1">IFERROR(MATCH(ROWS($L$4:L205),'Veri Merkezi'!$W$2:$W$1001,0),"")</f>
        <v/>
      </c>
    </row>
    <row r="206" spans="1:12" ht="20" customHeight="1">
      <c r="A206" s="8" t="str">
        <f ca="1">IF($L206="","",ROWS($A$4:A206))</f>
        <v/>
      </c>
      <c r="B206" s="8" t="str">
        <f ca="1">IF($L206="","",INDEX('Veri Merkezi'!$A$2:$A$1001,$L206))</f>
        <v/>
      </c>
      <c r="C206" s="8" t="str">
        <f ca="1">IF($L206="","",INDEX('Veri Merkezi'!$E$2:$E$1001,$L206))</f>
        <v/>
      </c>
      <c r="D206" s="8" t="str">
        <f ca="1">IF($L206="","",INDEX('Veri Merkezi'!$D$2:$D$1001,$L206))</f>
        <v/>
      </c>
      <c r="E206" s="8" t="str">
        <f ca="1">IF($L206="","",INDEX('Veri Merkezi'!$F$2:$F$1001,$L206))</f>
        <v/>
      </c>
      <c r="F206" s="9" t="str">
        <f ca="1">IF($L206="","",INDEX('Veri Merkezi'!$G$2:$G$1001,$L206))</f>
        <v/>
      </c>
      <c r="H206" s="8" t="str">
        <f ca="1">IF($L206="","",INDEX('Veri Merkezi'!$H$2:$H$1001,$L206))</f>
        <v/>
      </c>
      <c r="I206" s="10" t="str">
        <f ca="1">IF($L206="","",INDEX('Veri Merkezi'!$R$2:$R$1001,$L206))</f>
        <v/>
      </c>
      <c r="J206" s="8" t="str">
        <f ca="1">IF($L206="","",INDEX('Veri Merkezi'!$S$2:$S$1001,$L206))</f>
        <v/>
      </c>
      <c r="K206" s="8" t="str">
        <f ca="1">IF($L206="","",INDEX('Veri Merkezi'!$U$2:$U$1001,$L206))</f>
        <v/>
      </c>
      <c r="L206" s="8" t="str">
        <f ca="1">IFERROR(MATCH(ROWS($L$4:L206),'Veri Merkezi'!$W$2:$W$1001,0),"")</f>
        <v/>
      </c>
    </row>
    <row r="207" spans="1:12" ht="20" customHeight="1">
      <c r="A207" s="8" t="str">
        <f ca="1">IF($L207="","",ROWS($A$4:A207))</f>
        <v/>
      </c>
      <c r="B207" s="8" t="str">
        <f ca="1">IF($L207="","",INDEX('Veri Merkezi'!$A$2:$A$1001,$L207))</f>
        <v/>
      </c>
      <c r="C207" s="8" t="str">
        <f ca="1">IF($L207="","",INDEX('Veri Merkezi'!$E$2:$E$1001,$L207))</f>
        <v/>
      </c>
      <c r="D207" s="8" t="str">
        <f ca="1">IF($L207="","",INDEX('Veri Merkezi'!$D$2:$D$1001,$L207))</f>
        <v/>
      </c>
      <c r="E207" s="8" t="str">
        <f ca="1">IF($L207="","",INDEX('Veri Merkezi'!$F$2:$F$1001,$L207))</f>
        <v/>
      </c>
      <c r="F207" s="9" t="str">
        <f ca="1">IF($L207="","",INDEX('Veri Merkezi'!$G$2:$G$1001,$L207))</f>
        <v/>
      </c>
      <c r="H207" s="8" t="str">
        <f ca="1">IF($L207="","",INDEX('Veri Merkezi'!$H$2:$H$1001,$L207))</f>
        <v/>
      </c>
      <c r="I207" s="10" t="str">
        <f ca="1">IF($L207="","",INDEX('Veri Merkezi'!$R$2:$R$1001,$L207))</f>
        <v/>
      </c>
      <c r="J207" s="8" t="str">
        <f ca="1">IF($L207="","",INDEX('Veri Merkezi'!$S$2:$S$1001,$L207))</f>
        <v/>
      </c>
      <c r="K207" s="8" t="str">
        <f ca="1">IF($L207="","",INDEX('Veri Merkezi'!$U$2:$U$1001,$L207))</f>
        <v/>
      </c>
      <c r="L207" s="8" t="str">
        <f ca="1">IFERROR(MATCH(ROWS($L$4:L207),'Veri Merkezi'!$W$2:$W$1001,0),"")</f>
        <v/>
      </c>
    </row>
    <row r="208" spans="1:12" ht="20" customHeight="1">
      <c r="A208" s="8" t="str">
        <f ca="1">IF($L208="","",ROWS($A$4:A208))</f>
        <v/>
      </c>
      <c r="B208" s="8" t="str">
        <f ca="1">IF($L208="","",INDEX('Veri Merkezi'!$A$2:$A$1001,$L208))</f>
        <v/>
      </c>
      <c r="C208" s="8" t="str">
        <f ca="1">IF($L208="","",INDEX('Veri Merkezi'!$E$2:$E$1001,$L208))</f>
        <v/>
      </c>
      <c r="D208" s="8" t="str">
        <f ca="1">IF($L208="","",INDEX('Veri Merkezi'!$D$2:$D$1001,$L208))</f>
        <v/>
      </c>
      <c r="E208" s="8" t="str">
        <f ca="1">IF($L208="","",INDEX('Veri Merkezi'!$F$2:$F$1001,$L208))</f>
        <v/>
      </c>
      <c r="F208" s="9" t="str">
        <f ca="1">IF($L208="","",INDEX('Veri Merkezi'!$G$2:$G$1001,$L208))</f>
        <v/>
      </c>
      <c r="H208" s="8" t="str">
        <f ca="1">IF($L208="","",INDEX('Veri Merkezi'!$H$2:$H$1001,$L208))</f>
        <v/>
      </c>
      <c r="I208" s="10" t="str">
        <f ca="1">IF($L208="","",INDEX('Veri Merkezi'!$R$2:$R$1001,$L208))</f>
        <v/>
      </c>
      <c r="J208" s="8" t="str">
        <f ca="1">IF($L208="","",INDEX('Veri Merkezi'!$S$2:$S$1001,$L208))</f>
        <v/>
      </c>
      <c r="K208" s="8" t="str">
        <f ca="1">IF($L208="","",INDEX('Veri Merkezi'!$U$2:$U$1001,$L208))</f>
        <v/>
      </c>
      <c r="L208" s="8" t="str">
        <f ca="1">IFERROR(MATCH(ROWS($L$4:L208),'Veri Merkezi'!$W$2:$W$1001,0),"")</f>
        <v/>
      </c>
    </row>
    <row r="209" spans="1:12" ht="20" customHeight="1">
      <c r="A209" s="8" t="str">
        <f ca="1">IF($L209="","",ROWS($A$4:A209))</f>
        <v/>
      </c>
      <c r="B209" s="8" t="str">
        <f ca="1">IF($L209="","",INDEX('Veri Merkezi'!$A$2:$A$1001,$L209))</f>
        <v/>
      </c>
      <c r="C209" s="8" t="str">
        <f ca="1">IF($L209="","",INDEX('Veri Merkezi'!$E$2:$E$1001,$L209))</f>
        <v/>
      </c>
      <c r="D209" s="8" t="str">
        <f ca="1">IF($L209="","",INDEX('Veri Merkezi'!$D$2:$D$1001,$L209))</f>
        <v/>
      </c>
      <c r="E209" s="8" t="str">
        <f ca="1">IF($L209="","",INDEX('Veri Merkezi'!$F$2:$F$1001,$L209))</f>
        <v/>
      </c>
      <c r="F209" s="9" t="str">
        <f ca="1">IF($L209="","",INDEX('Veri Merkezi'!$G$2:$G$1001,$L209))</f>
        <v/>
      </c>
      <c r="H209" s="8" t="str">
        <f ca="1">IF($L209="","",INDEX('Veri Merkezi'!$H$2:$H$1001,$L209))</f>
        <v/>
      </c>
      <c r="I209" s="10" t="str">
        <f ca="1">IF($L209="","",INDEX('Veri Merkezi'!$R$2:$R$1001,$L209))</f>
        <v/>
      </c>
      <c r="J209" s="8" t="str">
        <f ca="1">IF($L209="","",INDEX('Veri Merkezi'!$S$2:$S$1001,$L209))</f>
        <v/>
      </c>
      <c r="K209" s="8" t="str">
        <f ca="1">IF($L209="","",INDEX('Veri Merkezi'!$U$2:$U$1001,$L209))</f>
        <v/>
      </c>
      <c r="L209" s="8" t="str">
        <f ca="1">IFERROR(MATCH(ROWS($L$4:L209),'Veri Merkezi'!$W$2:$W$1001,0),"")</f>
        <v/>
      </c>
    </row>
    <row r="210" spans="1:12" ht="20" customHeight="1">
      <c r="A210" s="8" t="str">
        <f ca="1">IF($L210="","",ROWS($A$4:A210))</f>
        <v/>
      </c>
      <c r="B210" s="8" t="str">
        <f ca="1">IF($L210="","",INDEX('Veri Merkezi'!$A$2:$A$1001,$L210))</f>
        <v/>
      </c>
      <c r="C210" s="8" t="str">
        <f ca="1">IF($L210="","",INDEX('Veri Merkezi'!$E$2:$E$1001,$L210))</f>
        <v/>
      </c>
      <c r="D210" s="8" t="str">
        <f ca="1">IF($L210="","",INDEX('Veri Merkezi'!$D$2:$D$1001,$L210))</f>
        <v/>
      </c>
      <c r="E210" s="8" t="str">
        <f ca="1">IF($L210="","",INDEX('Veri Merkezi'!$F$2:$F$1001,$L210))</f>
        <v/>
      </c>
      <c r="F210" s="9" t="str">
        <f ca="1">IF($L210="","",INDEX('Veri Merkezi'!$G$2:$G$1001,$L210))</f>
        <v/>
      </c>
      <c r="H210" s="8" t="str">
        <f ca="1">IF($L210="","",INDEX('Veri Merkezi'!$H$2:$H$1001,$L210))</f>
        <v/>
      </c>
      <c r="I210" s="10" t="str">
        <f ca="1">IF($L210="","",INDEX('Veri Merkezi'!$R$2:$R$1001,$L210))</f>
        <v/>
      </c>
      <c r="J210" s="8" t="str">
        <f ca="1">IF($L210="","",INDEX('Veri Merkezi'!$S$2:$S$1001,$L210))</f>
        <v/>
      </c>
      <c r="K210" s="8" t="str">
        <f ca="1">IF($L210="","",INDEX('Veri Merkezi'!$U$2:$U$1001,$L210))</f>
        <v/>
      </c>
      <c r="L210" s="8" t="str">
        <f ca="1">IFERROR(MATCH(ROWS($L$4:L210),'Veri Merkezi'!$W$2:$W$1001,0),"")</f>
        <v/>
      </c>
    </row>
    <row r="211" spans="1:12" ht="20" customHeight="1">
      <c r="A211" s="8" t="str">
        <f ca="1">IF($L211="","",ROWS($A$4:A211))</f>
        <v/>
      </c>
      <c r="B211" s="8" t="str">
        <f ca="1">IF($L211="","",INDEX('Veri Merkezi'!$A$2:$A$1001,$L211))</f>
        <v/>
      </c>
      <c r="C211" s="8" t="str">
        <f ca="1">IF($L211="","",INDEX('Veri Merkezi'!$E$2:$E$1001,$L211))</f>
        <v/>
      </c>
      <c r="D211" s="8" t="str">
        <f ca="1">IF($L211="","",INDEX('Veri Merkezi'!$D$2:$D$1001,$L211))</f>
        <v/>
      </c>
      <c r="E211" s="8" t="str">
        <f ca="1">IF($L211="","",INDEX('Veri Merkezi'!$F$2:$F$1001,$L211))</f>
        <v/>
      </c>
      <c r="F211" s="9" t="str">
        <f ca="1">IF($L211="","",INDEX('Veri Merkezi'!$G$2:$G$1001,$L211))</f>
        <v/>
      </c>
      <c r="H211" s="8" t="str">
        <f ca="1">IF($L211="","",INDEX('Veri Merkezi'!$H$2:$H$1001,$L211))</f>
        <v/>
      </c>
      <c r="I211" s="10" t="str">
        <f ca="1">IF($L211="","",INDEX('Veri Merkezi'!$R$2:$R$1001,$L211))</f>
        <v/>
      </c>
      <c r="J211" s="8" t="str">
        <f ca="1">IF($L211="","",INDEX('Veri Merkezi'!$S$2:$S$1001,$L211))</f>
        <v/>
      </c>
      <c r="K211" s="8" t="str">
        <f ca="1">IF($L211="","",INDEX('Veri Merkezi'!$U$2:$U$1001,$L211))</f>
        <v/>
      </c>
      <c r="L211" s="8" t="str">
        <f ca="1">IFERROR(MATCH(ROWS($L$4:L211),'Veri Merkezi'!$W$2:$W$1001,0),"")</f>
        <v/>
      </c>
    </row>
    <row r="212" spans="1:12" ht="20" customHeight="1">
      <c r="A212" s="8" t="str">
        <f ca="1">IF($L212="","",ROWS($A$4:A212))</f>
        <v/>
      </c>
      <c r="B212" s="8" t="str">
        <f ca="1">IF($L212="","",INDEX('Veri Merkezi'!$A$2:$A$1001,$L212))</f>
        <v/>
      </c>
      <c r="C212" s="8" t="str">
        <f ca="1">IF($L212="","",INDEX('Veri Merkezi'!$E$2:$E$1001,$L212))</f>
        <v/>
      </c>
      <c r="D212" s="8" t="str">
        <f ca="1">IF($L212="","",INDEX('Veri Merkezi'!$D$2:$D$1001,$L212))</f>
        <v/>
      </c>
      <c r="E212" s="8" t="str">
        <f ca="1">IF($L212="","",INDEX('Veri Merkezi'!$F$2:$F$1001,$L212))</f>
        <v/>
      </c>
      <c r="F212" s="9" t="str">
        <f ca="1">IF($L212="","",INDEX('Veri Merkezi'!$G$2:$G$1001,$L212))</f>
        <v/>
      </c>
      <c r="H212" s="8" t="str">
        <f ca="1">IF($L212="","",INDEX('Veri Merkezi'!$H$2:$H$1001,$L212))</f>
        <v/>
      </c>
      <c r="I212" s="10" t="str">
        <f ca="1">IF($L212="","",INDEX('Veri Merkezi'!$R$2:$R$1001,$L212))</f>
        <v/>
      </c>
      <c r="J212" s="8" t="str">
        <f ca="1">IF($L212="","",INDEX('Veri Merkezi'!$S$2:$S$1001,$L212))</f>
        <v/>
      </c>
      <c r="K212" s="8" t="str">
        <f ca="1">IF($L212="","",INDEX('Veri Merkezi'!$U$2:$U$1001,$L212))</f>
        <v/>
      </c>
      <c r="L212" s="8" t="str">
        <f ca="1">IFERROR(MATCH(ROWS($L$4:L212),'Veri Merkezi'!$W$2:$W$1001,0),"")</f>
        <v/>
      </c>
    </row>
    <row r="213" spans="1:12" ht="20" customHeight="1">
      <c r="A213" s="8" t="str">
        <f ca="1">IF($L213="","",ROWS($A$4:A213))</f>
        <v/>
      </c>
      <c r="B213" s="8" t="str">
        <f ca="1">IF($L213="","",INDEX('Veri Merkezi'!$A$2:$A$1001,$L213))</f>
        <v/>
      </c>
      <c r="C213" s="8" t="str">
        <f ca="1">IF($L213="","",INDEX('Veri Merkezi'!$E$2:$E$1001,$L213))</f>
        <v/>
      </c>
      <c r="D213" s="8" t="str">
        <f ca="1">IF($L213="","",INDEX('Veri Merkezi'!$D$2:$D$1001,$L213))</f>
        <v/>
      </c>
      <c r="E213" s="8" t="str">
        <f ca="1">IF($L213="","",INDEX('Veri Merkezi'!$F$2:$F$1001,$L213))</f>
        <v/>
      </c>
      <c r="F213" s="9" t="str">
        <f ca="1">IF($L213="","",INDEX('Veri Merkezi'!$G$2:$G$1001,$L213))</f>
        <v/>
      </c>
      <c r="H213" s="8" t="str">
        <f ca="1">IF($L213="","",INDEX('Veri Merkezi'!$H$2:$H$1001,$L213))</f>
        <v/>
      </c>
      <c r="I213" s="10" t="str">
        <f ca="1">IF($L213="","",INDEX('Veri Merkezi'!$R$2:$R$1001,$L213))</f>
        <v/>
      </c>
      <c r="J213" s="8" t="str">
        <f ca="1">IF($L213="","",INDEX('Veri Merkezi'!$S$2:$S$1001,$L213))</f>
        <v/>
      </c>
      <c r="K213" s="8" t="str">
        <f ca="1">IF($L213="","",INDEX('Veri Merkezi'!$U$2:$U$1001,$L213))</f>
        <v/>
      </c>
      <c r="L213" s="8" t="str">
        <f ca="1">IFERROR(MATCH(ROWS($L$4:L213),'Veri Merkezi'!$W$2:$W$1001,0),"")</f>
        <v/>
      </c>
    </row>
    <row r="214" spans="1:12" ht="20" customHeight="1">
      <c r="A214" s="8" t="str">
        <f ca="1">IF($L214="","",ROWS($A$4:A214))</f>
        <v/>
      </c>
      <c r="B214" s="8" t="str">
        <f ca="1">IF($L214="","",INDEX('Veri Merkezi'!$A$2:$A$1001,$L214))</f>
        <v/>
      </c>
      <c r="C214" s="8" t="str">
        <f ca="1">IF($L214="","",INDEX('Veri Merkezi'!$E$2:$E$1001,$L214))</f>
        <v/>
      </c>
      <c r="D214" s="8" t="str">
        <f ca="1">IF($L214="","",INDEX('Veri Merkezi'!$D$2:$D$1001,$L214))</f>
        <v/>
      </c>
      <c r="E214" s="8" t="str">
        <f ca="1">IF($L214="","",INDEX('Veri Merkezi'!$F$2:$F$1001,$L214))</f>
        <v/>
      </c>
      <c r="F214" s="9" t="str">
        <f ca="1">IF($L214="","",INDEX('Veri Merkezi'!$G$2:$G$1001,$L214))</f>
        <v/>
      </c>
      <c r="H214" s="8" t="str">
        <f ca="1">IF($L214="","",INDEX('Veri Merkezi'!$H$2:$H$1001,$L214))</f>
        <v/>
      </c>
      <c r="I214" s="10" t="str">
        <f ca="1">IF($L214="","",INDEX('Veri Merkezi'!$R$2:$R$1001,$L214))</f>
        <v/>
      </c>
      <c r="J214" s="8" t="str">
        <f ca="1">IF($L214="","",INDEX('Veri Merkezi'!$S$2:$S$1001,$L214))</f>
        <v/>
      </c>
      <c r="K214" s="8" t="str">
        <f ca="1">IF($L214="","",INDEX('Veri Merkezi'!$U$2:$U$1001,$L214))</f>
        <v/>
      </c>
      <c r="L214" s="8" t="str">
        <f ca="1">IFERROR(MATCH(ROWS($L$4:L214),'Veri Merkezi'!$W$2:$W$1001,0),"")</f>
        <v/>
      </c>
    </row>
    <row r="215" spans="1:12" ht="20" customHeight="1">
      <c r="A215" s="8" t="str">
        <f ca="1">IF($L215="","",ROWS($A$4:A215))</f>
        <v/>
      </c>
      <c r="B215" s="8" t="str">
        <f ca="1">IF($L215="","",INDEX('Veri Merkezi'!$A$2:$A$1001,$L215))</f>
        <v/>
      </c>
      <c r="C215" s="8" t="str">
        <f ca="1">IF($L215="","",INDEX('Veri Merkezi'!$E$2:$E$1001,$L215))</f>
        <v/>
      </c>
      <c r="D215" s="8" t="str">
        <f ca="1">IF($L215="","",INDEX('Veri Merkezi'!$D$2:$D$1001,$L215))</f>
        <v/>
      </c>
      <c r="E215" s="8" t="str">
        <f ca="1">IF($L215="","",INDEX('Veri Merkezi'!$F$2:$F$1001,$L215))</f>
        <v/>
      </c>
      <c r="F215" s="9" t="str">
        <f ca="1">IF($L215="","",INDEX('Veri Merkezi'!$G$2:$G$1001,$L215))</f>
        <v/>
      </c>
      <c r="H215" s="8" t="str">
        <f ca="1">IF($L215="","",INDEX('Veri Merkezi'!$H$2:$H$1001,$L215))</f>
        <v/>
      </c>
      <c r="I215" s="10" t="str">
        <f ca="1">IF($L215="","",INDEX('Veri Merkezi'!$R$2:$R$1001,$L215))</f>
        <v/>
      </c>
      <c r="J215" s="8" t="str">
        <f ca="1">IF($L215="","",INDEX('Veri Merkezi'!$S$2:$S$1001,$L215))</f>
        <v/>
      </c>
      <c r="K215" s="8" t="str">
        <f ca="1">IF($L215="","",INDEX('Veri Merkezi'!$U$2:$U$1001,$L215))</f>
        <v/>
      </c>
      <c r="L215" s="8" t="str">
        <f ca="1">IFERROR(MATCH(ROWS($L$4:L215),'Veri Merkezi'!$W$2:$W$1001,0),"")</f>
        <v/>
      </c>
    </row>
    <row r="216" spans="1:12" ht="20" customHeight="1">
      <c r="A216" s="8" t="str">
        <f ca="1">IF($L216="","",ROWS($A$4:A216))</f>
        <v/>
      </c>
      <c r="B216" s="8" t="str">
        <f ca="1">IF($L216="","",INDEX('Veri Merkezi'!$A$2:$A$1001,$L216))</f>
        <v/>
      </c>
      <c r="C216" s="8" t="str">
        <f ca="1">IF($L216="","",INDEX('Veri Merkezi'!$E$2:$E$1001,$L216))</f>
        <v/>
      </c>
      <c r="D216" s="8" t="str">
        <f ca="1">IF($L216="","",INDEX('Veri Merkezi'!$D$2:$D$1001,$L216))</f>
        <v/>
      </c>
      <c r="E216" s="8" t="str">
        <f ca="1">IF($L216="","",INDEX('Veri Merkezi'!$F$2:$F$1001,$L216))</f>
        <v/>
      </c>
      <c r="F216" s="9" t="str">
        <f ca="1">IF($L216="","",INDEX('Veri Merkezi'!$G$2:$G$1001,$L216))</f>
        <v/>
      </c>
      <c r="H216" s="8" t="str">
        <f ca="1">IF($L216="","",INDEX('Veri Merkezi'!$H$2:$H$1001,$L216))</f>
        <v/>
      </c>
      <c r="I216" s="10" t="str">
        <f ca="1">IF($L216="","",INDEX('Veri Merkezi'!$R$2:$R$1001,$L216))</f>
        <v/>
      </c>
      <c r="J216" s="8" t="str">
        <f ca="1">IF($L216="","",INDEX('Veri Merkezi'!$S$2:$S$1001,$L216))</f>
        <v/>
      </c>
      <c r="K216" s="8" t="str">
        <f ca="1">IF($L216="","",INDEX('Veri Merkezi'!$U$2:$U$1001,$L216))</f>
        <v/>
      </c>
      <c r="L216" s="8" t="str">
        <f ca="1">IFERROR(MATCH(ROWS($L$4:L216),'Veri Merkezi'!$W$2:$W$1001,0),"")</f>
        <v/>
      </c>
    </row>
    <row r="217" spans="1:12" ht="20" customHeight="1">
      <c r="A217" s="8" t="str">
        <f ca="1">IF($L217="","",ROWS($A$4:A217))</f>
        <v/>
      </c>
      <c r="B217" s="8" t="str">
        <f ca="1">IF($L217="","",INDEX('Veri Merkezi'!$A$2:$A$1001,$L217))</f>
        <v/>
      </c>
      <c r="C217" s="8" t="str">
        <f ca="1">IF($L217="","",INDEX('Veri Merkezi'!$E$2:$E$1001,$L217))</f>
        <v/>
      </c>
      <c r="D217" s="8" t="str">
        <f ca="1">IF($L217="","",INDEX('Veri Merkezi'!$D$2:$D$1001,$L217))</f>
        <v/>
      </c>
      <c r="E217" s="8" t="str">
        <f ca="1">IF($L217="","",INDEX('Veri Merkezi'!$F$2:$F$1001,$L217))</f>
        <v/>
      </c>
      <c r="F217" s="9" t="str">
        <f ca="1">IF($L217="","",INDEX('Veri Merkezi'!$G$2:$G$1001,$L217))</f>
        <v/>
      </c>
      <c r="H217" s="8" t="str">
        <f ca="1">IF($L217="","",INDEX('Veri Merkezi'!$H$2:$H$1001,$L217))</f>
        <v/>
      </c>
      <c r="I217" s="10" t="str">
        <f ca="1">IF($L217="","",INDEX('Veri Merkezi'!$R$2:$R$1001,$L217))</f>
        <v/>
      </c>
      <c r="J217" s="8" t="str">
        <f ca="1">IF($L217="","",INDEX('Veri Merkezi'!$S$2:$S$1001,$L217))</f>
        <v/>
      </c>
      <c r="K217" s="8" t="str">
        <f ca="1">IF($L217="","",INDEX('Veri Merkezi'!$U$2:$U$1001,$L217))</f>
        <v/>
      </c>
      <c r="L217" s="8" t="str">
        <f ca="1">IFERROR(MATCH(ROWS($L$4:L217),'Veri Merkezi'!$W$2:$W$1001,0),"")</f>
        <v/>
      </c>
    </row>
    <row r="218" spans="1:12" ht="20" customHeight="1">
      <c r="A218" s="8" t="str">
        <f ca="1">IF($L218="","",ROWS($A$4:A218))</f>
        <v/>
      </c>
      <c r="B218" s="8" t="str">
        <f ca="1">IF($L218="","",INDEX('Veri Merkezi'!$A$2:$A$1001,$L218))</f>
        <v/>
      </c>
      <c r="C218" s="8" t="str">
        <f ca="1">IF($L218="","",INDEX('Veri Merkezi'!$E$2:$E$1001,$L218))</f>
        <v/>
      </c>
      <c r="D218" s="8" t="str">
        <f ca="1">IF($L218="","",INDEX('Veri Merkezi'!$D$2:$D$1001,$L218))</f>
        <v/>
      </c>
      <c r="E218" s="8" t="str">
        <f ca="1">IF($L218="","",INDEX('Veri Merkezi'!$F$2:$F$1001,$L218))</f>
        <v/>
      </c>
      <c r="F218" s="9" t="str">
        <f ca="1">IF($L218="","",INDEX('Veri Merkezi'!$G$2:$G$1001,$L218))</f>
        <v/>
      </c>
      <c r="H218" s="8" t="str">
        <f ca="1">IF($L218="","",INDEX('Veri Merkezi'!$H$2:$H$1001,$L218))</f>
        <v/>
      </c>
      <c r="I218" s="10" t="str">
        <f ca="1">IF($L218="","",INDEX('Veri Merkezi'!$R$2:$R$1001,$L218))</f>
        <v/>
      </c>
      <c r="J218" s="8" t="str">
        <f ca="1">IF($L218="","",INDEX('Veri Merkezi'!$S$2:$S$1001,$L218))</f>
        <v/>
      </c>
      <c r="K218" s="8" t="str">
        <f ca="1">IF($L218="","",INDEX('Veri Merkezi'!$U$2:$U$1001,$L218))</f>
        <v/>
      </c>
      <c r="L218" s="8" t="str">
        <f ca="1">IFERROR(MATCH(ROWS($L$4:L218),'Veri Merkezi'!$W$2:$W$1001,0),"")</f>
        <v/>
      </c>
    </row>
    <row r="219" spans="1:12" ht="20" customHeight="1">
      <c r="A219" s="8" t="str">
        <f ca="1">IF($L219="","",ROWS($A$4:A219))</f>
        <v/>
      </c>
      <c r="B219" s="8" t="str">
        <f ca="1">IF($L219="","",INDEX('Veri Merkezi'!$A$2:$A$1001,$L219))</f>
        <v/>
      </c>
      <c r="C219" s="8" t="str">
        <f ca="1">IF($L219="","",INDEX('Veri Merkezi'!$E$2:$E$1001,$L219))</f>
        <v/>
      </c>
      <c r="D219" s="8" t="str">
        <f ca="1">IF($L219="","",INDEX('Veri Merkezi'!$D$2:$D$1001,$L219))</f>
        <v/>
      </c>
      <c r="E219" s="8" t="str">
        <f ca="1">IF($L219="","",INDEX('Veri Merkezi'!$F$2:$F$1001,$L219))</f>
        <v/>
      </c>
      <c r="F219" s="9" t="str">
        <f ca="1">IF($L219="","",INDEX('Veri Merkezi'!$G$2:$G$1001,$L219))</f>
        <v/>
      </c>
      <c r="H219" s="8" t="str">
        <f ca="1">IF($L219="","",INDEX('Veri Merkezi'!$H$2:$H$1001,$L219))</f>
        <v/>
      </c>
      <c r="I219" s="10" t="str">
        <f ca="1">IF($L219="","",INDEX('Veri Merkezi'!$R$2:$R$1001,$L219))</f>
        <v/>
      </c>
      <c r="J219" s="8" t="str">
        <f ca="1">IF($L219="","",INDEX('Veri Merkezi'!$S$2:$S$1001,$L219))</f>
        <v/>
      </c>
      <c r="K219" s="8" t="str">
        <f ca="1">IF($L219="","",INDEX('Veri Merkezi'!$U$2:$U$1001,$L219))</f>
        <v/>
      </c>
      <c r="L219" s="8" t="str">
        <f ca="1">IFERROR(MATCH(ROWS($L$4:L219),'Veri Merkezi'!$W$2:$W$1001,0),"")</f>
        <v/>
      </c>
    </row>
    <row r="220" spans="1:12" ht="20" customHeight="1">
      <c r="A220" s="8" t="str">
        <f ca="1">IF($L220="","",ROWS($A$4:A220))</f>
        <v/>
      </c>
      <c r="B220" s="8" t="str">
        <f ca="1">IF($L220="","",INDEX('Veri Merkezi'!$A$2:$A$1001,$L220))</f>
        <v/>
      </c>
      <c r="C220" s="8" t="str">
        <f ca="1">IF($L220="","",INDEX('Veri Merkezi'!$E$2:$E$1001,$L220))</f>
        <v/>
      </c>
      <c r="D220" s="8" t="str">
        <f ca="1">IF($L220="","",INDEX('Veri Merkezi'!$D$2:$D$1001,$L220))</f>
        <v/>
      </c>
      <c r="E220" s="8" t="str">
        <f ca="1">IF($L220="","",INDEX('Veri Merkezi'!$F$2:$F$1001,$L220))</f>
        <v/>
      </c>
      <c r="F220" s="9" t="str">
        <f ca="1">IF($L220="","",INDEX('Veri Merkezi'!$G$2:$G$1001,$L220))</f>
        <v/>
      </c>
      <c r="H220" s="8" t="str">
        <f ca="1">IF($L220="","",INDEX('Veri Merkezi'!$H$2:$H$1001,$L220))</f>
        <v/>
      </c>
      <c r="I220" s="10" t="str">
        <f ca="1">IF($L220="","",INDEX('Veri Merkezi'!$R$2:$R$1001,$L220))</f>
        <v/>
      </c>
      <c r="J220" s="8" t="str">
        <f ca="1">IF($L220="","",INDEX('Veri Merkezi'!$S$2:$S$1001,$L220))</f>
        <v/>
      </c>
      <c r="K220" s="8" t="str">
        <f ca="1">IF($L220="","",INDEX('Veri Merkezi'!$U$2:$U$1001,$L220))</f>
        <v/>
      </c>
      <c r="L220" s="8" t="str">
        <f ca="1">IFERROR(MATCH(ROWS($L$4:L220),'Veri Merkezi'!$W$2:$W$1001,0),"")</f>
        <v/>
      </c>
    </row>
    <row r="221" spans="1:12" ht="20" customHeight="1">
      <c r="A221" s="8" t="str">
        <f ca="1">IF($L221="","",ROWS($A$4:A221))</f>
        <v/>
      </c>
      <c r="B221" s="8" t="str">
        <f ca="1">IF($L221="","",INDEX('Veri Merkezi'!$A$2:$A$1001,$L221))</f>
        <v/>
      </c>
      <c r="C221" s="8" t="str">
        <f ca="1">IF($L221="","",INDEX('Veri Merkezi'!$E$2:$E$1001,$L221))</f>
        <v/>
      </c>
      <c r="D221" s="8" t="str">
        <f ca="1">IF($L221="","",INDEX('Veri Merkezi'!$D$2:$D$1001,$L221))</f>
        <v/>
      </c>
      <c r="E221" s="8" t="str">
        <f ca="1">IF($L221="","",INDEX('Veri Merkezi'!$F$2:$F$1001,$L221))</f>
        <v/>
      </c>
      <c r="F221" s="9" t="str">
        <f ca="1">IF($L221="","",INDEX('Veri Merkezi'!$G$2:$G$1001,$L221))</f>
        <v/>
      </c>
      <c r="H221" s="8" t="str">
        <f ca="1">IF($L221="","",INDEX('Veri Merkezi'!$H$2:$H$1001,$L221))</f>
        <v/>
      </c>
      <c r="I221" s="10" t="str">
        <f ca="1">IF($L221="","",INDEX('Veri Merkezi'!$R$2:$R$1001,$L221))</f>
        <v/>
      </c>
      <c r="J221" s="8" t="str">
        <f ca="1">IF($L221="","",INDEX('Veri Merkezi'!$S$2:$S$1001,$L221))</f>
        <v/>
      </c>
      <c r="K221" s="8" t="str">
        <f ca="1">IF($L221="","",INDEX('Veri Merkezi'!$U$2:$U$1001,$L221))</f>
        <v/>
      </c>
      <c r="L221" s="8" t="str">
        <f ca="1">IFERROR(MATCH(ROWS($L$4:L221),'Veri Merkezi'!$W$2:$W$1001,0),"")</f>
        <v/>
      </c>
    </row>
    <row r="222" spans="1:12" ht="20" customHeight="1">
      <c r="A222" s="8" t="str">
        <f ca="1">IF($L222="","",ROWS($A$4:A222))</f>
        <v/>
      </c>
      <c r="B222" s="8" t="str">
        <f ca="1">IF($L222="","",INDEX('Veri Merkezi'!$A$2:$A$1001,$L222))</f>
        <v/>
      </c>
      <c r="C222" s="8" t="str">
        <f ca="1">IF($L222="","",INDEX('Veri Merkezi'!$E$2:$E$1001,$L222))</f>
        <v/>
      </c>
      <c r="D222" s="8" t="str">
        <f ca="1">IF($L222="","",INDEX('Veri Merkezi'!$D$2:$D$1001,$L222))</f>
        <v/>
      </c>
      <c r="E222" s="8" t="str">
        <f ca="1">IF($L222="","",INDEX('Veri Merkezi'!$F$2:$F$1001,$L222))</f>
        <v/>
      </c>
      <c r="F222" s="9" t="str">
        <f ca="1">IF($L222="","",INDEX('Veri Merkezi'!$G$2:$G$1001,$L222))</f>
        <v/>
      </c>
      <c r="H222" s="8" t="str">
        <f ca="1">IF($L222="","",INDEX('Veri Merkezi'!$H$2:$H$1001,$L222))</f>
        <v/>
      </c>
      <c r="I222" s="10" t="str">
        <f ca="1">IF($L222="","",INDEX('Veri Merkezi'!$R$2:$R$1001,$L222))</f>
        <v/>
      </c>
      <c r="J222" s="8" t="str">
        <f ca="1">IF($L222="","",INDEX('Veri Merkezi'!$S$2:$S$1001,$L222))</f>
        <v/>
      </c>
      <c r="K222" s="8" t="str">
        <f ca="1">IF($L222="","",INDEX('Veri Merkezi'!$U$2:$U$1001,$L222))</f>
        <v/>
      </c>
      <c r="L222" s="8" t="str">
        <f ca="1">IFERROR(MATCH(ROWS($L$4:L222),'Veri Merkezi'!$W$2:$W$1001,0),"")</f>
        <v/>
      </c>
    </row>
    <row r="223" spans="1:12" ht="20" customHeight="1">
      <c r="A223" s="8" t="str">
        <f ca="1">IF($L223="","",ROWS($A$4:A223))</f>
        <v/>
      </c>
      <c r="B223" s="8" t="str">
        <f ca="1">IF($L223="","",INDEX('Veri Merkezi'!$A$2:$A$1001,$L223))</f>
        <v/>
      </c>
      <c r="C223" s="8" t="str">
        <f ca="1">IF($L223="","",INDEX('Veri Merkezi'!$E$2:$E$1001,$L223))</f>
        <v/>
      </c>
      <c r="D223" s="8" t="str">
        <f ca="1">IF($L223="","",INDEX('Veri Merkezi'!$D$2:$D$1001,$L223))</f>
        <v/>
      </c>
      <c r="E223" s="8" t="str">
        <f ca="1">IF($L223="","",INDEX('Veri Merkezi'!$F$2:$F$1001,$L223))</f>
        <v/>
      </c>
      <c r="F223" s="9" t="str">
        <f ca="1">IF($L223="","",INDEX('Veri Merkezi'!$G$2:$G$1001,$L223))</f>
        <v/>
      </c>
      <c r="H223" s="8" t="str">
        <f ca="1">IF($L223="","",INDEX('Veri Merkezi'!$H$2:$H$1001,$L223))</f>
        <v/>
      </c>
      <c r="I223" s="10" t="str">
        <f ca="1">IF($L223="","",INDEX('Veri Merkezi'!$R$2:$R$1001,$L223))</f>
        <v/>
      </c>
      <c r="J223" s="8" t="str">
        <f ca="1">IF($L223="","",INDEX('Veri Merkezi'!$S$2:$S$1001,$L223))</f>
        <v/>
      </c>
      <c r="K223" s="8" t="str">
        <f ca="1">IF($L223="","",INDEX('Veri Merkezi'!$U$2:$U$1001,$L223))</f>
        <v/>
      </c>
      <c r="L223" s="8" t="str">
        <f ca="1">IFERROR(MATCH(ROWS($L$4:L223),'Veri Merkezi'!$W$2:$W$1001,0),"")</f>
        <v/>
      </c>
    </row>
    <row r="224" spans="1:12" ht="20" customHeight="1">
      <c r="A224" s="8" t="str">
        <f ca="1">IF($L224="","",ROWS($A$4:A224))</f>
        <v/>
      </c>
      <c r="B224" s="8" t="str">
        <f ca="1">IF($L224="","",INDEX('Veri Merkezi'!$A$2:$A$1001,$L224))</f>
        <v/>
      </c>
      <c r="C224" s="8" t="str">
        <f ca="1">IF($L224="","",INDEX('Veri Merkezi'!$E$2:$E$1001,$L224))</f>
        <v/>
      </c>
      <c r="D224" s="8" t="str">
        <f ca="1">IF($L224="","",INDEX('Veri Merkezi'!$D$2:$D$1001,$L224))</f>
        <v/>
      </c>
      <c r="E224" s="8" t="str">
        <f ca="1">IF($L224="","",INDEX('Veri Merkezi'!$F$2:$F$1001,$L224))</f>
        <v/>
      </c>
      <c r="F224" s="9" t="str">
        <f ca="1">IF($L224="","",INDEX('Veri Merkezi'!$G$2:$G$1001,$L224))</f>
        <v/>
      </c>
      <c r="H224" s="8" t="str">
        <f ca="1">IF($L224="","",INDEX('Veri Merkezi'!$H$2:$H$1001,$L224))</f>
        <v/>
      </c>
      <c r="I224" s="10" t="str">
        <f ca="1">IF($L224="","",INDEX('Veri Merkezi'!$R$2:$R$1001,$L224))</f>
        <v/>
      </c>
      <c r="J224" s="8" t="str">
        <f ca="1">IF($L224="","",INDEX('Veri Merkezi'!$S$2:$S$1001,$L224))</f>
        <v/>
      </c>
      <c r="K224" s="8" t="str">
        <f ca="1">IF($L224="","",INDEX('Veri Merkezi'!$U$2:$U$1001,$L224))</f>
        <v/>
      </c>
      <c r="L224" s="8" t="str">
        <f ca="1">IFERROR(MATCH(ROWS($L$4:L224),'Veri Merkezi'!$W$2:$W$1001,0),"")</f>
        <v/>
      </c>
    </row>
    <row r="225" spans="1:12" ht="20" customHeight="1">
      <c r="A225" s="8" t="str">
        <f ca="1">IF($L225="","",ROWS($A$4:A225))</f>
        <v/>
      </c>
      <c r="B225" s="8" t="str">
        <f ca="1">IF($L225="","",INDEX('Veri Merkezi'!$A$2:$A$1001,$L225))</f>
        <v/>
      </c>
      <c r="C225" s="8" t="str">
        <f ca="1">IF($L225="","",INDEX('Veri Merkezi'!$E$2:$E$1001,$L225))</f>
        <v/>
      </c>
      <c r="D225" s="8" t="str">
        <f ca="1">IF($L225="","",INDEX('Veri Merkezi'!$D$2:$D$1001,$L225))</f>
        <v/>
      </c>
      <c r="E225" s="8" t="str">
        <f ca="1">IF($L225="","",INDEX('Veri Merkezi'!$F$2:$F$1001,$L225))</f>
        <v/>
      </c>
      <c r="F225" s="9" t="str">
        <f ca="1">IF($L225="","",INDEX('Veri Merkezi'!$G$2:$G$1001,$L225))</f>
        <v/>
      </c>
      <c r="H225" s="8" t="str">
        <f ca="1">IF($L225="","",INDEX('Veri Merkezi'!$H$2:$H$1001,$L225))</f>
        <v/>
      </c>
      <c r="I225" s="10" t="str">
        <f ca="1">IF($L225="","",INDEX('Veri Merkezi'!$R$2:$R$1001,$L225))</f>
        <v/>
      </c>
      <c r="J225" s="8" t="str">
        <f ca="1">IF($L225="","",INDEX('Veri Merkezi'!$S$2:$S$1001,$L225))</f>
        <v/>
      </c>
      <c r="K225" s="8" t="str">
        <f ca="1">IF($L225="","",INDEX('Veri Merkezi'!$U$2:$U$1001,$L225))</f>
        <v/>
      </c>
      <c r="L225" s="8" t="str">
        <f ca="1">IFERROR(MATCH(ROWS($L$4:L225),'Veri Merkezi'!$W$2:$W$1001,0),"")</f>
        <v/>
      </c>
    </row>
    <row r="226" spans="1:12" ht="20" customHeight="1">
      <c r="A226" s="8" t="str">
        <f ca="1">IF($L226="","",ROWS($A$4:A226))</f>
        <v/>
      </c>
      <c r="B226" s="8" t="str">
        <f ca="1">IF($L226="","",INDEX('Veri Merkezi'!$A$2:$A$1001,$L226))</f>
        <v/>
      </c>
      <c r="C226" s="8" t="str">
        <f ca="1">IF($L226="","",INDEX('Veri Merkezi'!$E$2:$E$1001,$L226))</f>
        <v/>
      </c>
      <c r="D226" s="8" t="str">
        <f ca="1">IF($L226="","",INDEX('Veri Merkezi'!$D$2:$D$1001,$L226))</f>
        <v/>
      </c>
      <c r="E226" s="8" t="str">
        <f ca="1">IF($L226="","",INDEX('Veri Merkezi'!$F$2:$F$1001,$L226))</f>
        <v/>
      </c>
      <c r="F226" s="9" t="str">
        <f ca="1">IF($L226="","",INDEX('Veri Merkezi'!$G$2:$G$1001,$L226))</f>
        <v/>
      </c>
      <c r="H226" s="8" t="str">
        <f ca="1">IF($L226="","",INDEX('Veri Merkezi'!$H$2:$H$1001,$L226))</f>
        <v/>
      </c>
      <c r="I226" s="10" t="str">
        <f ca="1">IF($L226="","",INDEX('Veri Merkezi'!$R$2:$R$1001,$L226))</f>
        <v/>
      </c>
      <c r="J226" s="8" t="str">
        <f ca="1">IF($L226="","",INDEX('Veri Merkezi'!$S$2:$S$1001,$L226))</f>
        <v/>
      </c>
      <c r="K226" s="8" t="str">
        <f ca="1">IF($L226="","",INDEX('Veri Merkezi'!$U$2:$U$1001,$L226))</f>
        <v/>
      </c>
      <c r="L226" s="8" t="str">
        <f ca="1">IFERROR(MATCH(ROWS($L$4:L226),'Veri Merkezi'!$W$2:$W$1001,0),"")</f>
        <v/>
      </c>
    </row>
    <row r="227" spans="1:12" ht="20" customHeight="1">
      <c r="A227" s="8" t="str">
        <f ca="1">IF($L227="","",ROWS($A$4:A227))</f>
        <v/>
      </c>
      <c r="B227" s="8" t="str">
        <f ca="1">IF($L227="","",INDEX('Veri Merkezi'!$A$2:$A$1001,$L227))</f>
        <v/>
      </c>
      <c r="C227" s="8" t="str">
        <f ca="1">IF($L227="","",INDEX('Veri Merkezi'!$E$2:$E$1001,$L227))</f>
        <v/>
      </c>
      <c r="D227" s="8" t="str">
        <f ca="1">IF($L227="","",INDEX('Veri Merkezi'!$D$2:$D$1001,$L227))</f>
        <v/>
      </c>
      <c r="E227" s="8" t="str">
        <f ca="1">IF($L227="","",INDEX('Veri Merkezi'!$F$2:$F$1001,$L227))</f>
        <v/>
      </c>
      <c r="F227" s="9" t="str">
        <f ca="1">IF($L227="","",INDEX('Veri Merkezi'!$G$2:$G$1001,$L227))</f>
        <v/>
      </c>
      <c r="H227" s="8" t="str">
        <f ca="1">IF($L227="","",INDEX('Veri Merkezi'!$H$2:$H$1001,$L227))</f>
        <v/>
      </c>
      <c r="I227" s="10" t="str">
        <f ca="1">IF($L227="","",INDEX('Veri Merkezi'!$R$2:$R$1001,$L227))</f>
        <v/>
      </c>
      <c r="J227" s="8" t="str">
        <f ca="1">IF($L227="","",INDEX('Veri Merkezi'!$S$2:$S$1001,$L227))</f>
        <v/>
      </c>
      <c r="K227" s="8" t="str">
        <f ca="1">IF($L227="","",INDEX('Veri Merkezi'!$U$2:$U$1001,$L227))</f>
        <v/>
      </c>
      <c r="L227" s="8" t="str">
        <f ca="1">IFERROR(MATCH(ROWS($L$4:L227),'Veri Merkezi'!$W$2:$W$1001,0),"")</f>
        <v/>
      </c>
    </row>
    <row r="228" spans="1:12" ht="20" customHeight="1">
      <c r="A228" s="8" t="str">
        <f ca="1">IF($L228="","",ROWS($A$4:A228))</f>
        <v/>
      </c>
      <c r="B228" s="8" t="str">
        <f ca="1">IF($L228="","",INDEX('Veri Merkezi'!$A$2:$A$1001,$L228))</f>
        <v/>
      </c>
      <c r="C228" s="8" t="str">
        <f ca="1">IF($L228="","",INDEX('Veri Merkezi'!$E$2:$E$1001,$L228))</f>
        <v/>
      </c>
      <c r="D228" s="8" t="str">
        <f ca="1">IF($L228="","",INDEX('Veri Merkezi'!$D$2:$D$1001,$L228))</f>
        <v/>
      </c>
      <c r="E228" s="8" t="str">
        <f ca="1">IF($L228="","",INDEX('Veri Merkezi'!$F$2:$F$1001,$L228))</f>
        <v/>
      </c>
      <c r="F228" s="9" t="str">
        <f ca="1">IF($L228="","",INDEX('Veri Merkezi'!$G$2:$G$1001,$L228))</f>
        <v/>
      </c>
      <c r="H228" s="8" t="str">
        <f ca="1">IF($L228="","",INDEX('Veri Merkezi'!$H$2:$H$1001,$L228))</f>
        <v/>
      </c>
      <c r="I228" s="10" t="str">
        <f ca="1">IF($L228="","",INDEX('Veri Merkezi'!$R$2:$R$1001,$L228))</f>
        <v/>
      </c>
      <c r="J228" s="8" t="str">
        <f ca="1">IF($L228="","",INDEX('Veri Merkezi'!$S$2:$S$1001,$L228))</f>
        <v/>
      </c>
      <c r="K228" s="8" t="str">
        <f ca="1">IF($L228="","",INDEX('Veri Merkezi'!$U$2:$U$1001,$L228))</f>
        <v/>
      </c>
      <c r="L228" s="8" t="str">
        <f ca="1">IFERROR(MATCH(ROWS($L$4:L228),'Veri Merkezi'!$W$2:$W$1001,0),"")</f>
        <v/>
      </c>
    </row>
    <row r="229" spans="1:12" ht="20" customHeight="1">
      <c r="A229" s="8" t="str">
        <f ca="1">IF($L229="","",ROWS($A$4:A229))</f>
        <v/>
      </c>
      <c r="B229" s="8" t="str">
        <f ca="1">IF($L229="","",INDEX('Veri Merkezi'!$A$2:$A$1001,$L229))</f>
        <v/>
      </c>
      <c r="C229" s="8" t="str">
        <f ca="1">IF($L229="","",INDEX('Veri Merkezi'!$E$2:$E$1001,$L229))</f>
        <v/>
      </c>
      <c r="D229" s="8" t="str">
        <f ca="1">IF($L229="","",INDEX('Veri Merkezi'!$D$2:$D$1001,$L229))</f>
        <v/>
      </c>
      <c r="E229" s="8" t="str">
        <f ca="1">IF($L229="","",INDEX('Veri Merkezi'!$F$2:$F$1001,$L229))</f>
        <v/>
      </c>
      <c r="F229" s="9" t="str">
        <f ca="1">IF($L229="","",INDEX('Veri Merkezi'!$G$2:$G$1001,$L229))</f>
        <v/>
      </c>
      <c r="H229" s="8" t="str">
        <f ca="1">IF($L229="","",INDEX('Veri Merkezi'!$H$2:$H$1001,$L229))</f>
        <v/>
      </c>
      <c r="I229" s="10" t="str">
        <f ca="1">IF($L229="","",INDEX('Veri Merkezi'!$R$2:$R$1001,$L229))</f>
        <v/>
      </c>
      <c r="J229" s="8" t="str">
        <f ca="1">IF($L229="","",INDEX('Veri Merkezi'!$S$2:$S$1001,$L229))</f>
        <v/>
      </c>
      <c r="K229" s="8" t="str">
        <f ca="1">IF($L229="","",INDEX('Veri Merkezi'!$U$2:$U$1001,$L229))</f>
        <v/>
      </c>
      <c r="L229" s="8" t="str">
        <f ca="1">IFERROR(MATCH(ROWS($L$4:L229),'Veri Merkezi'!$W$2:$W$1001,0),"")</f>
        <v/>
      </c>
    </row>
    <row r="230" spans="1:12" ht="20" customHeight="1">
      <c r="A230" s="8" t="str">
        <f ca="1">IF($L230="","",ROWS($A$4:A230))</f>
        <v/>
      </c>
      <c r="B230" s="8" t="str">
        <f ca="1">IF($L230="","",INDEX('Veri Merkezi'!$A$2:$A$1001,$L230))</f>
        <v/>
      </c>
      <c r="C230" s="8" t="str">
        <f ca="1">IF($L230="","",INDEX('Veri Merkezi'!$E$2:$E$1001,$L230))</f>
        <v/>
      </c>
      <c r="D230" s="8" t="str">
        <f ca="1">IF($L230="","",INDEX('Veri Merkezi'!$D$2:$D$1001,$L230))</f>
        <v/>
      </c>
      <c r="E230" s="8" t="str">
        <f ca="1">IF($L230="","",INDEX('Veri Merkezi'!$F$2:$F$1001,$L230))</f>
        <v/>
      </c>
      <c r="F230" s="9" t="str">
        <f ca="1">IF($L230="","",INDEX('Veri Merkezi'!$G$2:$G$1001,$L230))</f>
        <v/>
      </c>
      <c r="H230" s="8" t="str">
        <f ca="1">IF($L230="","",INDEX('Veri Merkezi'!$H$2:$H$1001,$L230))</f>
        <v/>
      </c>
      <c r="I230" s="10" t="str">
        <f ca="1">IF($L230="","",INDEX('Veri Merkezi'!$R$2:$R$1001,$L230))</f>
        <v/>
      </c>
      <c r="J230" s="8" t="str">
        <f ca="1">IF($L230="","",INDEX('Veri Merkezi'!$S$2:$S$1001,$L230))</f>
        <v/>
      </c>
      <c r="K230" s="8" t="str">
        <f ca="1">IF($L230="","",INDEX('Veri Merkezi'!$U$2:$U$1001,$L230))</f>
        <v/>
      </c>
      <c r="L230" s="8" t="str">
        <f ca="1">IFERROR(MATCH(ROWS($L$4:L230),'Veri Merkezi'!$W$2:$W$1001,0),"")</f>
        <v/>
      </c>
    </row>
    <row r="231" spans="1:12" ht="20" customHeight="1">
      <c r="A231" s="8" t="str">
        <f ca="1">IF($L231="","",ROWS($A$4:A231))</f>
        <v/>
      </c>
      <c r="B231" s="8" t="str">
        <f ca="1">IF($L231="","",INDEX('Veri Merkezi'!$A$2:$A$1001,$L231))</f>
        <v/>
      </c>
      <c r="C231" s="8" t="str">
        <f ca="1">IF($L231="","",INDEX('Veri Merkezi'!$E$2:$E$1001,$L231))</f>
        <v/>
      </c>
      <c r="D231" s="8" t="str">
        <f ca="1">IF($L231="","",INDEX('Veri Merkezi'!$D$2:$D$1001,$L231))</f>
        <v/>
      </c>
      <c r="E231" s="8" t="str">
        <f ca="1">IF($L231="","",INDEX('Veri Merkezi'!$F$2:$F$1001,$L231))</f>
        <v/>
      </c>
      <c r="F231" s="9" t="str">
        <f ca="1">IF($L231="","",INDEX('Veri Merkezi'!$G$2:$G$1001,$L231))</f>
        <v/>
      </c>
      <c r="H231" s="8" t="str">
        <f ca="1">IF($L231="","",INDEX('Veri Merkezi'!$H$2:$H$1001,$L231))</f>
        <v/>
      </c>
      <c r="I231" s="10" t="str">
        <f ca="1">IF($L231="","",INDEX('Veri Merkezi'!$R$2:$R$1001,$L231))</f>
        <v/>
      </c>
      <c r="J231" s="8" t="str">
        <f ca="1">IF($L231="","",INDEX('Veri Merkezi'!$S$2:$S$1001,$L231))</f>
        <v/>
      </c>
      <c r="K231" s="8" t="str">
        <f ca="1">IF($L231="","",INDEX('Veri Merkezi'!$U$2:$U$1001,$L231))</f>
        <v/>
      </c>
      <c r="L231" s="8" t="str">
        <f ca="1">IFERROR(MATCH(ROWS($L$4:L231),'Veri Merkezi'!$W$2:$W$1001,0),"")</f>
        <v/>
      </c>
    </row>
    <row r="232" spans="1:12" ht="20" customHeight="1">
      <c r="A232" s="8" t="str">
        <f ca="1">IF($L232="","",ROWS($A$4:A232))</f>
        <v/>
      </c>
      <c r="B232" s="8" t="str">
        <f ca="1">IF($L232="","",INDEX('Veri Merkezi'!$A$2:$A$1001,$L232))</f>
        <v/>
      </c>
      <c r="C232" s="8" t="str">
        <f ca="1">IF($L232="","",INDEX('Veri Merkezi'!$E$2:$E$1001,$L232))</f>
        <v/>
      </c>
      <c r="D232" s="8" t="str">
        <f ca="1">IF($L232="","",INDEX('Veri Merkezi'!$D$2:$D$1001,$L232))</f>
        <v/>
      </c>
      <c r="E232" s="8" t="str">
        <f ca="1">IF($L232="","",INDEX('Veri Merkezi'!$F$2:$F$1001,$L232))</f>
        <v/>
      </c>
      <c r="F232" s="9" t="str">
        <f ca="1">IF($L232="","",INDEX('Veri Merkezi'!$G$2:$G$1001,$L232))</f>
        <v/>
      </c>
      <c r="H232" s="8" t="str">
        <f ca="1">IF($L232="","",INDEX('Veri Merkezi'!$H$2:$H$1001,$L232))</f>
        <v/>
      </c>
      <c r="I232" s="10" t="str">
        <f ca="1">IF($L232="","",INDEX('Veri Merkezi'!$R$2:$R$1001,$L232))</f>
        <v/>
      </c>
      <c r="J232" s="8" t="str">
        <f ca="1">IF($L232="","",INDEX('Veri Merkezi'!$S$2:$S$1001,$L232))</f>
        <v/>
      </c>
      <c r="K232" s="8" t="str">
        <f ca="1">IF($L232="","",INDEX('Veri Merkezi'!$U$2:$U$1001,$L232))</f>
        <v/>
      </c>
      <c r="L232" s="8" t="str">
        <f ca="1">IFERROR(MATCH(ROWS($L$4:L232),'Veri Merkezi'!$W$2:$W$1001,0),"")</f>
        <v/>
      </c>
    </row>
    <row r="233" spans="1:12" ht="20" customHeight="1">
      <c r="A233" s="8" t="str">
        <f ca="1">IF($L233="","",ROWS($A$4:A233))</f>
        <v/>
      </c>
      <c r="B233" s="8" t="str">
        <f ca="1">IF($L233="","",INDEX('Veri Merkezi'!$A$2:$A$1001,$L233))</f>
        <v/>
      </c>
      <c r="C233" s="8" t="str">
        <f ca="1">IF($L233="","",INDEX('Veri Merkezi'!$E$2:$E$1001,$L233))</f>
        <v/>
      </c>
      <c r="D233" s="8" t="str">
        <f ca="1">IF($L233="","",INDEX('Veri Merkezi'!$D$2:$D$1001,$L233))</f>
        <v/>
      </c>
      <c r="E233" s="8" t="str">
        <f ca="1">IF($L233="","",INDEX('Veri Merkezi'!$F$2:$F$1001,$L233))</f>
        <v/>
      </c>
      <c r="F233" s="9" t="str">
        <f ca="1">IF($L233="","",INDEX('Veri Merkezi'!$G$2:$G$1001,$L233))</f>
        <v/>
      </c>
      <c r="H233" s="8" t="str">
        <f ca="1">IF($L233="","",INDEX('Veri Merkezi'!$H$2:$H$1001,$L233))</f>
        <v/>
      </c>
      <c r="I233" s="10" t="str">
        <f ca="1">IF($L233="","",INDEX('Veri Merkezi'!$R$2:$R$1001,$L233))</f>
        <v/>
      </c>
      <c r="J233" s="8" t="str">
        <f ca="1">IF($L233="","",INDEX('Veri Merkezi'!$S$2:$S$1001,$L233))</f>
        <v/>
      </c>
      <c r="K233" s="8" t="str">
        <f ca="1">IF($L233="","",INDEX('Veri Merkezi'!$U$2:$U$1001,$L233))</f>
        <v/>
      </c>
      <c r="L233" s="8" t="str">
        <f ca="1">IFERROR(MATCH(ROWS($L$4:L233),'Veri Merkezi'!$W$2:$W$1001,0),"")</f>
        <v/>
      </c>
    </row>
    <row r="234" spans="1:12" ht="20" customHeight="1">
      <c r="A234" s="8" t="str">
        <f ca="1">IF($L234="","",ROWS($A$4:A234))</f>
        <v/>
      </c>
      <c r="B234" s="8" t="str">
        <f ca="1">IF($L234="","",INDEX('Veri Merkezi'!$A$2:$A$1001,$L234))</f>
        <v/>
      </c>
      <c r="C234" s="8" t="str">
        <f ca="1">IF($L234="","",INDEX('Veri Merkezi'!$E$2:$E$1001,$L234))</f>
        <v/>
      </c>
      <c r="D234" s="8" t="str">
        <f ca="1">IF($L234="","",INDEX('Veri Merkezi'!$D$2:$D$1001,$L234))</f>
        <v/>
      </c>
      <c r="E234" s="8" t="str">
        <f ca="1">IF($L234="","",INDEX('Veri Merkezi'!$F$2:$F$1001,$L234))</f>
        <v/>
      </c>
      <c r="F234" s="9" t="str">
        <f ca="1">IF($L234="","",INDEX('Veri Merkezi'!$G$2:$G$1001,$L234))</f>
        <v/>
      </c>
      <c r="H234" s="8" t="str">
        <f ca="1">IF($L234="","",INDEX('Veri Merkezi'!$H$2:$H$1001,$L234))</f>
        <v/>
      </c>
      <c r="I234" s="10" t="str">
        <f ca="1">IF($L234="","",INDEX('Veri Merkezi'!$R$2:$R$1001,$L234))</f>
        <v/>
      </c>
      <c r="J234" s="8" t="str">
        <f ca="1">IF($L234="","",INDEX('Veri Merkezi'!$S$2:$S$1001,$L234))</f>
        <v/>
      </c>
      <c r="K234" s="8" t="str">
        <f ca="1">IF($L234="","",INDEX('Veri Merkezi'!$U$2:$U$1001,$L234))</f>
        <v/>
      </c>
      <c r="L234" s="8" t="str">
        <f ca="1">IFERROR(MATCH(ROWS($L$4:L234),'Veri Merkezi'!$W$2:$W$1001,0),"")</f>
        <v/>
      </c>
    </row>
    <row r="235" spans="1:12" ht="20" customHeight="1">
      <c r="A235" s="8" t="str">
        <f ca="1">IF($L235="","",ROWS($A$4:A235))</f>
        <v/>
      </c>
      <c r="B235" s="8" t="str">
        <f ca="1">IF($L235="","",INDEX('Veri Merkezi'!$A$2:$A$1001,$L235))</f>
        <v/>
      </c>
      <c r="C235" s="8" t="str">
        <f ca="1">IF($L235="","",INDEX('Veri Merkezi'!$E$2:$E$1001,$L235))</f>
        <v/>
      </c>
      <c r="D235" s="8" t="str">
        <f ca="1">IF($L235="","",INDEX('Veri Merkezi'!$D$2:$D$1001,$L235))</f>
        <v/>
      </c>
      <c r="E235" s="8" t="str">
        <f ca="1">IF($L235="","",INDEX('Veri Merkezi'!$F$2:$F$1001,$L235))</f>
        <v/>
      </c>
      <c r="F235" s="9" t="str">
        <f ca="1">IF($L235="","",INDEX('Veri Merkezi'!$G$2:$G$1001,$L235))</f>
        <v/>
      </c>
      <c r="H235" s="8" t="str">
        <f ca="1">IF($L235="","",INDEX('Veri Merkezi'!$H$2:$H$1001,$L235))</f>
        <v/>
      </c>
      <c r="I235" s="10" t="str">
        <f ca="1">IF($L235="","",INDEX('Veri Merkezi'!$R$2:$R$1001,$L235))</f>
        <v/>
      </c>
      <c r="J235" s="8" t="str">
        <f ca="1">IF($L235="","",INDEX('Veri Merkezi'!$S$2:$S$1001,$L235))</f>
        <v/>
      </c>
      <c r="K235" s="8" t="str">
        <f ca="1">IF($L235="","",INDEX('Veri Merkezi'!$U$2:$U$1001,$L235))</f>
        <v/>
      </c>
      <c r="L235" s="8" t="str">
        <f ca="1">IFERROR(MATCH(ROWS($L$4:L235),'Veri Merkezi'!$W$2:$W$1001,0),"")</f>
        <v/>
      </c>
    </row>
    <row r="236" spans="1:12" ht="20" customHeight="1">
      <c r="A236" s="8" t="str">
        <f ca="1">IF($L236="","",ROWS($A$4:A236))</f>
        <v/>
      </c>
      <c r="B236" s="8" t="str">
        <f ca="1">IF($L236="","",INDEX('Veri Merkezi'!$A$2:$A$1001,$L236))</f>
        <v/>
      </c>
      <c r="C236" s="8" t="str">
        <f ca="1">IF($L236="","",INDEX('Veri Merkezi'!$E$2:$E$1001,$L236))</f>
        <v/>
      </c>
      <c r="D236" s="8" t="str">
        <f ca="1">IF($L236="","",INDEX('Veri Merkezi'!$D$2:$D$1001,$L236))</f>
        <v/>
      </c>
      <c r="E236" s="8" t="str">
        <f ca="1">IF($L236="","",INDEX('Veri Merkezi'!$F$2:$F$1001,$L236))</f>
        <v/>
      </c>
      <c r="F236" s="9" t="str">
        <f ca="1">IF($L236="","",INDEX('Veri Merkezi'!$G$2:$G$1001,$L236))</f>
        <v/>
      </c>
      <c r="H236" s="8" t="str">
        <f ca="1">IF($L236="","",INDEX('Veri Merkezi'!$H$2:$H$1001,$L236))</f>
        <v/>
      </c>
      <c r="I236" s="10" t="str">
        <f ca="1">IF($L236="","",INDEX('Veri Merkezi'!$R$2:$R$1001,$L236))</f>
        <v/>
      </c>
      <c r="J236" s="8" t="str">
        <f ca="1">IF($L236="","",INDEX('Veri Merkezi'!$S$2:$S$1001,$L236))</f>
        <v/>
      </c>
      <c r="K236" s="8" t="str">
        <f ca="1">IF($L236="","",INDEX('Veri Merkezi'!$U$2:$U$1001,$L236))</f>
        <v/>
      </c>
      <c r="L236" s="8" t="str">
        <f ca="1">IFERROR(MATCH(ROWS($L$4:L236),'Veri Merkezi'!$W$2:$W$1001,0),"")</f>
        <v/>
      </c>
    </row>
    <row r="237" spans="1:12" ht="20" customHeight="1">
      <c r="A237" s="8" t="str">
        <f ca="1">IF($L237="","",ROWS($A$4:A237))</f>
        <v/>
      </c>
      <c r="B237" s="8" t="str">
        <f ca="1">IF($L237="","",INDEX('Veri Merkezi'!$A$2:$A$1001,$L237))</f>
        <v/>
      </c>
      <c r="C237" s="8" t="str">
        <f ca="1">IF($L237="","",INDEX('Veri Merkezi'!$E$2:$E$1001,$L237))</f>
        <v/>
      </c>
      <c r="D237" s="8" t="str">
        <f ca="1">IF($L237="","",INDEX('Veri Merkezi'!$D$2:$D$1001,$L237))</f>
        <v/>
      </c>
      <c r="E237" s="8" t="str">
        <f ca="1">IF($L237="","",INDEX('Veri Merkezi'!$F$2:$F$1001,$L237))</f>
        <v/>
      </c>
      <c r="F237" s="9" t="str">
        <f ca="1">IF($L237="","",INDEX('Veri Merkezi'!$G$2:$G$1001,$L237))</f>
        <v/>
      </c>
      <c r="H237" s="8" t="str">
        <f ca="1">IF($L237="","",INDEX('Veri Merkezi'!$H$2:$H$1001,$L237))</f>
        <v/>
      </c>
      <c r="I237" s="10" t="str">
        <f ca="1">IF($L237="","",INDEX('Veri Merkezi'!$R$2:$R$1001,$L237))</f>
        <v/>
      </c>
      <c r="J237" s="8" t="str">
        <f ca="1">IF($L237="","",INDEX('Veri Merkezi'!$S$2:$S$1001,$L237))</f>
        <v/>
      </c>
      <c r="K237" s="8" t="str">
        <f ca="1">IF($L237="","",INDEX('Veri Merkezi'!$U$2:$U$1001,$L237))</f>
        <v/>
      </c>
      <c r="L237" s="8" t="str">
        <f ca="1">IFERROR(MATCH(ROWS($L$4:L237),'Veri Merkezi'!$W$2:$W$1001,0),"")</f>
        <v/>
      </c>
    </row>
    <row r="238" spans="1:12" ht="20" customHeight="1">
      <c r="A238" s="8" t="str">
        <f ca="1">IF($L238="","",ROWS($A$4:A238))</f>
        <v/>
      </c>
      <c r="B238" s="8" t="str">
        <f ca="1">IF($L238="","",INDEX('Veri Merkezi'!$A$2:$A$1001,$L238))</f>
        <v/>
      </c>
      <c r="C238" s="8" t="str">
        <f ca="1">IF($L238="","",INDEX('Veri Merkezi'!$E$2:$E$1001,$L238))</f>
        <v/>
      </c>
      <c r="D238" s="8" t="str">
        <f ca="1">IF($L238="","",INDEX('Veri Merkezi'!$D$2:$D$1001,$L238))</f>
        <v/>
      </c>
      <c r="E238" s="8" t="str">
        <f ca="1">IF($L238="","",INDEX('Veri Merkezi'!$F$2:$F$1001,$L238))</f>
        <v/>
      </c>
      <c r="F238" s="9" t="str">
        <f ca="1">IF($L238="","",INDEX('Veri Merkezi'!$G$2:$G$1001,$L238))</f>
        <v/>
      </c>
      <c r="H238" s="8" t="str">
        <f ca="1">IF($L238="","",INDEX('Veri Merkezi'!$H$2:$H$1001,$L238))</f>
        <v/>
      </c>
      <c r="I238" s="10" t="str">
        <f ca="1">IF($L238="","",INDEX('Veri Merkezi'!$R$2:$R$1001,$L238))</f>
        <v/>
      </c>
      <c r="J238" s="8" t="str">
        <f ca="1">IF($L238="","",INDEX('Veri Merkezi'!$S$2:$S$1001,$L238))</f>
        <v/>
      </c>
      <c r="K238" s="8" t="str">
        <f ca="1">IF($L238="","",INDEX('Veri Merkezi'!$U$2:$U$1001,$L238))</f>
        <v/>
      </c>
      <c r="L238" s="8" t="str">
        <f ca="1">IFERROR(MATCH(ROWS($L$4:L238),'Veri Merkezi'!$W$2:$W$1001,0),"")</f>
        <v/>
      </c>
    </row>
    <row r="239" spans="1:12" ht="20" customHeight="1">
      <c r="A239" s="8" t="str">
        <f ca="1">IF($L239="","",ROWS($A$4:A239))</f>
        <v/>
      </c>
      <c r="B239" s="8" t="str">
        <f ca="1">IF($L239="","",INDEX('Veri Merkezi'!$A$2:$A$1001,$L239))</f>
        <v/>
      </c>
      <c r="C239" s="8" t="str">
        <f ca="1">IF($L239="","",INDEX('Veri Merkezi'!$E$2:$E$1001,$L239))</f>
        <v/>
      </c>
      <c r="D239" s="8" t="str">
        <f ca="1">IF($L239="","",INDEX('Veri Merkezi'!$D$2:$D$1001,$L239))</f>
        <v/>
      </c>
      <c r="E239" s="8" t="str">
        <f ca="1">IF($L239="","",INDEX('Veri Merkezi'!$F$2:$F$1001,$L239))</f>
        <v/>
      </c>
      <c r="F239" s="9" t="str">
        <f ca="1">IF($L239="","",INDEX('Veri Merkezi'!$G$2:$G$1001,$L239))</f>
        <v/>
      </c>
      <c r="H239" s="8" t="str">
        <f ca="1">IF($L239="","",INDEX('Veri Merkezi'!$H$2:$H$1001,$L239))</f>
        <v/>
      </c>
      <c r="I239" s="10" t="str">
        <f ca="1">IF($L239="","",INDEX('Veri Merkezi'!$R$2:$R$1001,$L239))</f>
        <v/>
      </c>
      <c r="J239" s="8" t="str">
        <f ca="1">IF($L239="","",INDEX('Veri Merkezi'!$S$2:$S$1001,$L239))</f>
        <v/>
      </c>
      <c r="K239" s="8" t="str">
        <f ca="1">IF($L239="","",INDEX('Veri Merkezi'!$U$2:$U$1001,$L239))</f>
        <v/>
      </c>
      <c r="L239" s="8" t="str">
        <f ca="1">IFERROR(MATCH(ROWS($L$4:L239),'Veri Merkezi'!$W$2:$W$1001,0),"")</f>
        <v/>
      </c>
    </row>
    <row r="240" spans="1:12" ht="20" customHeight="1">
      <c r="A240" s="8" t="str">
        <f ca="1">IF($L240="","",ROWS($A$4:A240))</f>
        <v/>
      </c>
      <c r="B240" s="8" t="str">
        <f ca="1">IF($L240="","",INDEX('Veri Merkezi'!$A$2:$A$1001,$L240))</f>
        <v/>
      </c>
      <c r="C240" s="8" t="str">
        <f ca="1">IF($L240="","",INDEX('Veri Merkezi'!$E$2:$E$1001,$L240))</f>
        <v/>
      </c>
      <c r="D240" s="8" t="str">
        <f ca="1">IF($L240="","",INDEX('Veri Merkezi'!$D$2:$D$1001,$L240))</f>
        <v/>
      </c>
      <c r="E240" s="8" t="str">
        <f ca="1">IF($L240="","",INDEX('Veri Merkezi'!$F$2:$F$1001,$L240))</f>
        <v/>
      </c>
      <c r="F240" s="9" t="str">
        <f ca="1">IF($L240="","",INDEX('Veri Merkezi'!$G$2:$G$1001,$L240))</f>
        <v/>
      </c>
      <c r="H240" s="8" t="str">
        <f ca="1">IF($L240="","",INDEX('Veri Merkezi'!$H$2:$H$1001,$L240))</f>
        <v/>
      </c>
      <c r="I240" s="10" t="str">
        <f ca="1">IF($L240="","",INDEX('Veri Merkezi'!$R$2:$R$1001,$L240))</f>
        <v/>
      </c>
      <c r="J240" s="8" t="str">
        <f ca="1">IF($L240="","",INDEX('Veri Merkezi'!$S$2:$S$1001,$L240))</f>
        <v/>
      </c>
      <c r="K240" s="8" t="str">
        <f ca="1">IF($L240="","",INDEX('Veri Merkezi'!$U$2:$U$1001,$L240))</f>
        <v/>
      </c>
      <c r="L240" s="8" t="str">
        <f ca="1">IFERROR(MATCH(ROWS($L$4:L240),'Veri Merkezi'!$W$2:$W$1001,0),"")</f>
        <v/>
      </c>
    </row>
    <row r="241" spans="1:12" ht="20" customHeight="1">
      <c r="A241" s="8" t="str">
        <f ca="1">IF($L241="","",ROWS($A$4:A241))</f>
        <v/>
      </c>
      <c r="B241" s="8" t="str">
        <f ca="1">IF($L241="","",INDEX('Veri Merkezi'!$A$2:$A$1001,$L241))</f>
        <v/>
      </c>
      <c r="C241" s="8" t="str">
        <f ca="1">IF($L241="","",INDEX('Veri Merkezi'!$E$2:$E$1001,$L241))</f>
        <v/>
      </c>
      <c r="D241" s="8" t="str">
        <f ca="1">IF($L241="","",INDEX('Veri Merkezi'!$D$2:$D$1001,$L241))</f>
        <v/>
      </c>
      <c r="E241" s="8" t="str">
        <f ca="1">IF($L241="","",INDEX('Veri Merkezi'!$F$2:$F$1001,$L241))</f>
        <v/>
      </c>
      <c r="F241" s="9" t="str">
        <f ca="1">IF($L241="","",INDEX('Veri Merkezi'!$G$2:$G$1001,$L241))</f>
        <v/>
      </c>
      <c r="H241" s="8" t="str">
        <f ca="1">IF($L241="","",INDEX('Veri Merkezi'!$H$2:$H$1001,$L241))</f>
        <v/>
      </c>
      <c r="I241" s="10" t="str">
        <f ca="1">IF($L241="","",INDEX('Veri Merkezi'!$R$2:$R$1001,$L241))</f>
        <v/>
      </c>
      <c r="J241" s="8" t="str">
        <f ca="1">IF($L241="","",INDEX('Veri Merkezi'!$S$2:$S$1001,$L241))</f>
        <v/>
      </c>
      <c r="K241" s="8" t="str">
        <f ca="1">IF($L241="","",INDEX('Veri Merkezi'!$U$2:$U$1001,$L241))</f>
        <v/>
      </c>
      <c r="L241" s="8" t="str">
        <f ca="1">IFERROR(MATCH(ROWS($L$4:L241),'Veri Merkezi'!$W$2:$W$1001,0),"")</f>
        <v/>
      </c>
    </row>
    <row r="242" spans="1:12" ht="20" customHeight="1">
      <c r="A242" s="8" t="str">
        <f ca="1">IF($L242="","",ROWS($A$4:A242))</f>
        <v/>
      </c>
      <c r="B242" s="8" t="str">
        <f ca="1">IF($L242="","",INDEX('Veri Merkezi'!$A$2:$A$1001,$L242))</f>
        <v/>
      </c>
      <c r="C242" s="8" t="str">
        <f ca="1">IF($L242="","",INDEX('Veri Merkezi'!$E$2:$E$1001,$L242))</f>
        <v/>
      </c>
      <c r="D242" s="8" t="str">
        <f ca="1">IF($L242="","",INDEX('Veri Merkezi'!$D$2:$D$1001,$L242))</f>
        <v/>
      </c>
      <c r="E242" s="8" t="str">
        <f ca="1">IF($L242="","",INDEX('Veri Merkezi'!$F$2:$F$1001,$L242))</f>
        <v/>
      </c>
      <c r="F242" s="9" t="str">
        <f ca="1">IF($L242="","",INDEX('Veri Merkezi'!$G$2:$G$1001,$L242))</f>
        <v/>
      </c>
      <c r="H242" s="8" t="str">
        <f ca="1">IF($L242="","",INDEX('Veri Merkezi'!$H$2:$H$1001,$L242))</f>
        <v/>
      </c>
      <c r="I242" s="10" t="str">
        <f ca="1">IF($L242="","",INDEX('Veri Merkezi'!$R$2:$R$1001,$L242))</f>
        <v/>
      </c>
      <c r="J242" s="8" t="str">
        <f ca="1">IF($L242="","",INDEX('Veri Merkezi'!$S$2:$S$1001,$L242))</f>
        <v/>
      </c>
      <c r="K242" s="8" t="str">
        <f ca="1">IF($L242="","",INDEX('Veri Merkezi'!$U$2:$U$1001,$L242))</f>
        <v/>
      </c>
      <c r="L242" s="8" t="str">
        <f ca="1">IFERROR(MATCH(ROWS($L$4:L242),'Veri Merkezi'!$W$2:$W$1001,0),"")</f>
        <v/>
      </c>
    </row>
    <row r="243" spans="1:12" ht="20" customHeight="1">
      <c r="A243" s="8" t="str">
        <f ca="1">IF($L243="","",ROWS($A$4:A243))</f>
        <v/>
      </c>
      <c r="B243" s="8" t="str">
        <f ca="1">IF($L243="","",INDEX('Veri Merkezi'!$A$2:$A$1001,$L243))</f>
        <v/>
      </c>
      <c r="C243" s="8" t="str">
        <f ca="1">IF($L243="","",INDEX('Veri Merkezi'!$E$2:$E$1001,$L243))</f>
        <v/>
      </c>
      <c r="D243" s="8" t="str">
        <f ca="1">IF($L243="","",INDEX('Veri Merkezi'!$D$2:$D$1001,$L243))</f>
        <v/>
      </c>
      <c r="E243" s="8" t="str">
        <f ca="1">IF($L243="","",INDEX('Veri Merkezi'!$F$2:$F$1001,$L243))</f>
        <v/>
      </c>
      <c r="F243" s="9" t="str">
        <f ca="1">IF($L243="","",INDEX('Veri Merkezi'!$G$2:$G$1001,$L243))</f>
        <v/>
      </c>
      <c r="H243" s="8" t="str">
        <f ca="1">IF($L243="","",INDEX('Veri Merkezi'!$H$2:$H$1001,$L243))</f>
        <v/>
      </c>
      <c r="I243" s="10" t="str">
        <f ca="1">IF($L243="","",INDEX('Veri Merkezi'!$R$2:$R$1001,$L243))</f>
        <v/>
      </c>
      <c r="J243" s="8" t="str">
        <f ca="1">IF($L243="","",INDEX('Veri Merkezi'!$S$2:$S$1001,$L243))</f>
        <v/>
      </c>
      <c r="K243" s="8" t="str">
        <f ca="1">IF($L243="","",INDEX('Veri Merkezi'!$U$2:$U$1001,$L243))</f>
        <v/>
      </c>
      <c r="L243" s="8" t="str">
        <f ca="1">IFERROR(MATCH(ROWS($L$4:L243),'Veri Merkezi'!$W$2:$W$1001,0),"")</f>
        <v/>
      </c>
    </row>
    <row r="244" spans="1:12" ht="20" customHeight="1">
      <c r="A244" s="8" t="str">
        <f ca="1">IF($L244="","",ROWS($A$4:A244))</f>
        <v/>
      </c>
      <c r="B244" s="8" t="str">
        <f ca="1">IF($L244="","",INDEX('Veri Merkezi'!$A$2:$A$1001,$L244))</f>
        <v/>
      </c>
      <c r="C244" s="8" t="str">
        <f ca="1">IF($L244="","",INDEX('Veri Merkezi'!$E$2:$E$1001,$L244))</f>
        <v/>
      </c>
      <c r="D244" s="8" t="str">
        <f ca="1">IF($L244="","",INDEX('Veri Merkezi'!$D$2:$D$1001,$L244))</f>
        <v/>
      </c>
      <c r="E244" s="8" t="str">
        <f ca="1">IF($L244="","",INDEX('Veri Merkezi'!$F$2:$F$1001,$L244))</f>
        <v/>
      </c>
      <c r="F244" s="9" t="str">
        <f ca="1">IF($L244="","",INDEX('Veri Merkezi'!$G$2:$G$1001,$L244))</f>
        <v/>
      </c>
      <c r="H244" s="8" t="str">
        <f ca="1">IF($L244="","",INDEX('Veri Merkezi'!$H$2:$H$1001,$L244))</f>
        <v/>
      </c>
      <c r="I244" s="10" t="str">
        <f ca="1">IF($L244="","",INDEX('Veri Merkezi'!$R$2:$R$1001,$L244))</f>
        <v/>
      </c>
      <c r="J244" s="8" t="str">
        <f ca="1">IF($L244="","",INDEX('Veri Merkezi'!$S$2:$S$1001,$L244))</f>
        <v/>
      </c>
      <c r="K244" s="8" t="str">
        <f ca="1">IF($L244="","",INDEX('Veri Merkezi'!$U$2:$U$1001,$L244))</f>
        <v/>
      </c>
      <c r="L244" s="8" t="str">
        <f ca="1">IFERROR(MATCH(ROWS($L$4:L244),'Veri Merkezi'!$W$2:$W$1001,0),"")</f>
        <v/>
      </c>
    </row>
    <row r="245" spans="1:12" ht="20" customHeight="1">
      <c r="A245" s="8" t="str">
        <f ca="1">IF($L245="","",ROWS($A$4:A245))</f>
        <v/>
      </c>
      <c r="B245" s="8" t="str">
        <f ca="1">IF($L245="","",INDEX('Veri Merkezi'!$A$2:$A$1001,$L245))</f>
        <v/>
      </c>
      <c r="C245" s="8" t="str">
        <f ca="1">IF($L245="","",INDEX('Veri Merkezi'!$E$2:$E$1001,$L245))</f>
        <v/>
      </c>
      <c r="D245" s="8" t="str">
        <f ca="1">IF($L245="","",INDEX('Veri Merkezi'!$D$2:$D$1001,$L245))</f>
        <v/>
      </c>
      <c r="E245" s="8" t="str">
        <f ca="1">IF($L245="","",INDEX('Veri Merkezi'!$F$2:$F$1001,$L245))</f>
        <v/>
      </c>
      <c r="F245" s="9" t="str">
        <f ca="1">IF($L245="","",INDEX('Veri Merkezi'!$G$2:$G$1001,$L245))</f>
        <v/>
      </c>
      <c r="H245" s="8" t="str">
        <f ca="1">IF($L245="","",INDEX('Veri Merkezi'!$H$2:$H$1001,$L245))</f>
        <v/>
      </c>
      <c r="I245" s="10" t="str">
        <f ca="1">IF($L245="","",INDEX('Veri Merkezi'!$R$2:$R$1001,$L245))</f>
        <v/>
      </c>
      <c r="J245" s="8" t="str">
        <f ca="1">IF($L245="","",INDEX('Veri Merkezi'!$S$2:$S$1001,$L245))</f>
        <v/>
      </c>
      <c r="K245" s="8" t="str">
        <f ca="1">IF($L245="","",INDEX('Veri Merkezi'!$U$2:$U$1001,$L245))</f>
        <v/>
      </c>
      <c r="L245" s="8" t="str">
        <f ca="1">IFERROR(MATCH(ROWS($L$4:L245),'Veri Merkezi'!$W$2:$W$1001,0),"")</f>
        <v/>
      </c>
    </row>
    <row r="246" spans="1:12" ht="20" customHeight="1">
      <c r="A246" s="8" t="str">
        <f ca="1">IF($L246="","",ROWS($A$4:A246))</f>
        <v/>
      </c>
      <c r="B246" s="8" t="str">
        <f ca="1">IF($L246="","",INDEX('Veri Merkezi'!$A$2:$A$1001,$L246))</f>
        <v/>
      </c>
      <c r="C246" s="8" t="str">
        <f ca="1">IF($L246="","",INDEX('Veri Merkezi'!$E$2:$E$1001,$L246))</f>
        <v/>
      </c>
      <c r="D246" s="8" t="str">
        <f ca="1">IF($L246="","",INDEX('Veri Merkezi'!$D$2:$D$1001,$L246))</f>
        <v/>
      </c>
      <c r="E246" s="8" t="str">
        <f ca="1">IF($L246="","",INDEX('Veri Merkezi'!$F$2:$F$1001,$L246))</f>
        <v/>
      </c>
      <c r="F246" s="9" t="str">
        <f ca="1">IF($L246="","",INDEX('Veri Merkezi'!$G$2:$G$1001,$L246))</f>
        <v/>
      </c>
      <c r="H246" s="8" t="str">
        <f ca="1">IF($L246="","",INDEX('Veri Merkezi'!$H$2:$H$1001,$L246))</f>
        <v/>
      </c>
      <c r="I246" s="10" t="str">
        <f ca="1">IF($L246="","",INDEX('Veri Merkezi'!$R$2:$R$1001,$L246))</f>
        <v/>
      </c>
      <c r="J246" s="8" t="str">
        <f ca="1">IF($L246="","",INDEX('Veri Merkezi'!$S$2:$S$1001,$L246))</f>
        <v/>
      </c>
      <c r="K246" s="8" t="str">
        <f ca="1">IF($L246="","",INDEX('Veri Merkezi'!$U$2:$U$1001,$L246))</f>
        <v/>
      </c>
      <c r="L246" s="8" t="str">
        <f ca="1">IFERROR(MATCH(ROWS($L$4:L246),'Veri Merkezi'!$W$2:$W$1001,0),"")</f>
        <v/>
      </c>
    </row>
    <row r="247" spans="1:12" ht="20" customHeight="1">
      <c r="A247" s="8" t="str">
        <f ca="1">IF($L247="","",ROWS($A$4:A247))</f>
        <v/>
      </c>
      <c r="B247" s="8" t="str">
        <f ca="1">IF($L247="","",INDEX('Veri Merkezi'!$A$2:$A$1001,$L247))</f>
        <v/>
      </c>
      <c r="C247" s="8" t="str">
        <f ca="1">IF($L247="","",INDEX('Veri Merkezi'!$E$2:$E$1001,$L247))</f>
        <v/>
      </c>
      <c r="D247" s="8" t="str">
        <f ca="1">IF($L247="","",INDEX('Veri Merkezi'!$D$2:$D$1001,$L247))</f>
        <v/>
      </c>
      <c r="E247" s="8" t="str">
        <f ca="1">IF($L247="","",INDEX('Veri Merkezi'!$F$2:$F$1001,$L247))</f>
        <v/>
      </c>
      <c r="F247" s="9" t="str">
        <f ca="1">IF($L247="","",INDEX('Veri Merkezi'!$G$2:$G$1001,$L247))</f>
        <v/>
      </c>
      <c r="H247" s="8" t="str">
        <f ca="1">IF($L247="","",INDEX('Veri Merkezi'!$H$2:$H$1001,$L247))</f>
        <v/>
      </c>
      <c r="I247" s="10" t="str">
        <f ca="1">IF($L247="","",INDEX('Veri Merkezi'!$R$2:$R$1001,$L247))</f>
        <v/>
      </c>
      <c r="J247" s="8" t="str">
        <f ca="1">IF($L247="","",INDEX('Veri Merkezi'!$S$2:$S$1001,$L247))</f>
        <v/>
      </c>
      <c r="K247" s="8" t="str">
        <f ca="1">IF($L247="","",INDEX('Veri Merkezi'!$U$2:$U$1001,$L247))</f>
        <v/>
      </c>
      <c r="L247" s="8" t="str">
        <f ca="1">IFERROR(MATCH(ROWS($L$4:L247),'Veri Merkezi'!$W$2:$W$1001,0),"")</f>
        <v/>
      </c>
    </row>
    <row r="248" spans="1:12" ht="20" customHeight="1">
      <c r="A248" s="8" t="str">
        <f ca="1">IF($L248="","",ROWS($A$4:A248))</f>
        <v/>
      </c>
      <c r="B248" s="8" t="str">
        <f ca="1">IF($L248="","",INDEX('Veri Merkezi'!$A$2:$A$1001,$L248))</f>
        <v/>
      </c>
      <c r="C248" s="8" t="str">
        <f ca="1">IF($L248="","",INDEX('Veri Merkezi'!$E$2:$E$1001,$L248))</f>
        <v/>
      </c>
      <c r="D248" s="8" t="str">
        <f ca="1">IF($L248="","",INDEX('Veri Merkezi'!$D$2:$D$1001,$L248))</f>
        <v/>
      </c>
      <c r="E248" s="8" t="str">
        <f ca="1">IF($L248="","",INDEX('Veri Merkezi'!$F$2:$F$1001,$L248))</f>
        <v/>
      </c>
      <c r="F248" s="9" t="str">
        <f ca="1">IF($L248="","",INDEX('Veri Merkezi'!$G$2:$G$1001,$L248))</f>
        <v/>
      </c>
      <c r="H248" s="8" t="str">
        <f ca="1">IF($L248="","",INDEX('Veri Merkezi'!$H$2:$H$1001,$L248))</f>
        <v/>
      </c>
      <c r="I248" s="10" t="str">
        <f ca="1">IF($L248="","",INDEX('Veri Merkezi'!$R$2:$R$1001,$L248))</f>
        <v/>
      </c>
      <c r="J248" s="8" t="str">
        <f ca="1">IF($L248="","",INDEX('Veri Merkezi'!$S$2:$S$1001,$L248))</f>
        <v/>
      </c>
      <c r="K248" s="8" t="str">
        <f ca="1">IF($L248="","",INDEX('Veri Merkezi'!$U$2:$U$1001,$L248))</f>
        <v/>
      </c>
      <c r="L248" s="8" t="str">
        <f ca="1">IFERROR(MATCH(ROWS($L$4:L248),'Veri Merkezi'!$W$2:$W$1001,0),"")</f>
        <v/>
      </c>
    </row>
    <row r="249" spans="1:12" ht="20" customHeight="1">
      <c r="A249" s="8" t="str">
        <f ca="1">IF($L249="","",ROWS($A$4:A249))</f>
        <v/>
      </c>
      <c r="B249" s="8" t="str">
        <f ca="1">IF($L249="","",INDEX('Veri Merkezi'!$A$2:$A$1001,$L249))</f>
        <v/>
      </c>
      <c r="C249" s="8" t="str">
        <f ca="1">IF($L249="","",INDEX('Veri Merkezi'!$E$2:$E$1001,$L249))</f>
        <v/>
      </c>
      <c r="D249" s="8" t="str">
        <f ca="1">IF($L249="","",INDEX('Veri Merkezi'!$D$2:$D$1001,$L249))</f>
        <v/>
      </c>
      <c r="E249" s="8" t="str">
        <f ca="1">IF($L249="","",INDEX('Veri Merkezi'!$F$2:$F$1001,$L249))</f>
        <v/>
      </c>
      <c r="F249" s="9" t="str">
        <f ca="1">IF($L249="","",INDEX('Veri Merkezi'!$G$2:$G$1001,$L249))</f>
        <v/>
      </c>
      <c r="H249" s="8" t="str">
        <f ca="1">IF($L249="","",INDEX('Veri Merkezi'!$H$2:$H$1001,$L249))</f>
        <v/>
      </c>
      <c r="I249" s="10" t="str">
        <f ca="1">IF($L249="","",INDEX('Veri Merkezi'!$R$2:$R$1001,$L249))</f>
        <v/>
      </c>
      <c r="J249" s="8" t="str">
        <f ca="1">IF($L249="","",INDEX('Veri Merkezi'!$S$2:$S$1001,$L249))</f>
        <v/>
      </c>
      <c r="K249" s="8" t="str">
        <f ca="1">IF($L249="","",INDEX('Veri Merkezi'!$U$2:$U$1001,$L249))</f>
        <v/>
      </c>
      <c r="L249" s="8" t="str">
        <f ca="1">IFERROR(MATCH(ROWS($L$4:L249),'Veri Merkezi'!$W$2:$W$1001,0),"")</f>
        <v/>
      </c>
    </row>
    <row r="250" spans="1:12" ht="20" customHeight="1">
      <c r="A250" s="8" t="str">
        <f ca="1">IF($L250="","",ROWS($A$4:A250))</f>
        <v/>
      </c>
      <c r="B250" s="8" t="str">
        <f ca="1">IF($L250="","",INDEX('Veri Merkezi'!$A$2:$A$1001,$L250))</f>
        <v/>
      </c>
      <c r="C250" s="8" t="str">
        <f ca="1">IF($L250="","",INDEX('Veri Merkezi'!$E$2:$E$1001,$L250))</f>
        <v/>
      </c>
      <c r="D250" s="8" t="str">
        <f ca="1">IF($L250="","",INDEX('Veri Merkezi'!$D$2:$D$1001,$L250))</f>
        <v/>
      </c>
      <c r="E250" s="8" t="str">
        <f ca="1">IF($L250="","",INDEX('Veri Merkezi'!$F$2:$F$1001,$L250))</f>
        <v/>
      </c>
      <c r="F250" s="9" t="str">
        <f ca="1">IF($L250="","",INDEX('Veri Merkezi'!$G$2:$G$1001,$L250))</f>
        <v/>
      </c>
      <c r="H250" s="8" t="str">
        <f ca="1">IF($L250="","",INDEX('Veri Merkezi'!$H$2:$H$1001,$L250))</f>
        <v/>
      </c>
      <c r="I250" s="10" t="str">
        <f ca="1">IF($L250="","",INDEX('Veri Merkezi'!$R$2:$R$1001,$L250))</f>
        <v/>
      </c>
      <c r="J250" s="8" t="str">
        <f ca="1">IF($L250="","",INDEX('Veri Merkezi'!$S$2:$S$1001,$L250))</f>
        <v/>
      </c>
      <c r="K250" s="8" t="str">
        <f ca="1">IF($L250="","",INDEX('Veri Merkezi'!$U$2:$U$1001,$L250))</f>
        <v/>
      </c>
      <c r="L250" s="8" t="str">
        <f ca="1">IFERROR(MATCH(ROWS($L$4:L250),'Veri Merkezi'!$W$2:$W$1001,0),"")</f>
        <v/>
      </c>
    </row>
    <row r="251" spans="1:12" ht="20" customHeight="1">
      <c r="A251" s="8" t="str">
        <f ca="1">IF($L251="","",ROWS($A$4:A251))</f>
        <v/>
      </c>
      <c r="B251" s="8" t="str">
        <f ca="1">IF($L251="","",INDEX('Veri Merkezi'!$A$2:$A$1001,$L251))</f>
        <v/>
      </c>
      <c r="C251" s="8" t="str">
        <f ca="1">IF($L251="","",INDEX('Veri Merkezi'!$E$2:$E$1001,$L251))</f>
        <v/>
      </c>
      <c r="D251" s="8" t="str">
        <f ca="1">IF($L251="","",INDEX('Veri Merkezi'!$D$2:$D$1001,$L251))</f>
        <v/>
      </c>
      <c r="E251" s="8" t="str">
        <f ca="1">IF($L251="","",INDEX('Veri Merkezi'!$F$2:$F$1001,$L251))</f>
        <v/>
      </c>
      <c r="F251" s="9" t="str">
        <f ca="1">IF($L251="","",INDEX('Veri Merkezi'!$G$2:$G$1001,$L251))</f>
        <v/>
      </c>
      <c r="H251" s="8" t="str">
        <f ca="1">IF($L251="","",INDEX('Veri Merkezi'!$H$2:$H$1001,$L251))</f>
        <v/>
      </c>
      <c r="I251" s="10" t="str">
        <f ca="1">IF($L251="","",INDEX('Veri Merkezi'!$R$2:$R$1001,$L251))</f>
        <v/>
      </c>
      <c r="J251" s="8" t="str">
        <f ca="1">IF($L251="","",INDEX('Veri Merkezi'!$S$2:$S$1001,$L251))</f>
        <v/>
      </c>
      <c r="K251" s="8" t="str">
        <f ca="1">IF($L251="","",INDEX('Veri Merkezi'!$U$2:$U$1001,$L251))</f>
        <v/>
      </c>
      <c r="L251" s="8" t="str">
        <f ca="1">IFERROR(MATCH(ROWS($L$4:L251),'Veri Merkezi'!$W$2:$W$1001,0),"")</f>
        <v/>
      </c>
    </row>
    <row r="252" spans="1:12" ht="20" customHeight="1">
      <c r="A252" s="8" t="str">
        <f ca="1">IF($L252="","",ROWS($A$4:A252))</f>
        <v/>
      </c>
      <c r="B252" s="8" t="str">
        <f ca="1">IF($L252="","",INDEX('Veri Merkezi'!$A$2:$A$1001,$L252))</f>
        <v/>
      </c>
      <c r="C252" s="8" t="str">
        <f ca="1">IF($L252="","",INDEX('Veri Merkezi'!$E$2:$E$1001,$L252))</f>
        <v/>
      </c>
      <c r="D252" s="8" t="str">
        <f ca="1">IF($L252="","",INDEX('Veri Merkezi'!$D$2:$D$1001,$L252))</f>
        <v/>
      </c>
      <c r="E252" s="8" t="str">
        <f ca="1">IF($L252="","",INDEX('Veri Merkezi'!$F$2:$F$1001,$L252))</f>
        <v/>
      </c>
      <c r="F252" s="9" t="str">
        <f ca="1">IF($L252="","",INDEX('Veri Merkezi'!$G$2:$G$1001,$L252))</f>
        <v/>
      </c>
      <c r="H252" s="8" t="str">
        <f ca="1">IF($L252="","",INDEX('Veri Merkezi'!$H$2:$H$1001,$L252))</f>
        <v/>
      </c>
      <c r="I252" s="10" t="str">
        <f ca="1">IF($L252="","",INDEX('Veri Merkezi'!$R$2:$R$1001,$L252))</f>
        <v/>
      </c>
      <c r="J252" s="8" t="str">
        <f ca="1">IF($L252="","",INDEX('Veri Merkezi'!$S$2:$S$1001,$L252))</f>
        <v/>
      </c>
      <c r="K252" s="8" t="str">
        <f ca="1">IF($L252="","",INDEX('Veri Merkezi'!$U$2:$U$1001,$L252))</f>
        <v/>
      </c>
      <c r="L252" s="8" t="str">
        <f ca="1">IFERROR(MATCH(ROWS($L$4:L252),'Veri Merkezi'!$W$2:$W$1001,0),"")</f>
        <v/>
      </c>
    </row>
    <row r="253" spans="1:12" ht="20" customHeight="1">
      <c r="A253" s="8" t="str">
        <f ca="1">IF($L253="","",ROWS($A$4:A253))</f>
        <v/>
      </c>
      <c r="B253" s="8" t="str">
        <f ca="1">IF($L253="","",INDEX('Veri Merkezi'!$A$2:$A$1001,$L253))</f>
        <v/>
      </c>
      <c r="C253" s="8" t="str">
        <f ca="1">IF($L253="","",INDEX('Veri Merkezi'!$E$2:$E$1001,$L253))</f>
        <v/>
      </c>
      <c r="D253" s="8" t="str">
        <f ca="1">IF($L253="","",INDEX('Veri Merkezi'!$D$2:$D$1001,$L253))</f>
        <v/>
      </c>
      <c r="E253" s="8" t="str">
        <f ca="1">IF($L253="","",INDEX('Veri Merkezi'!$F$2:$F$1001,$L253))</f>
        <v/>
      </c>
      <c r="F253" s="9" t="str">
        <f ca="1">IF($L253="","",INDEX('Veri Merkezi'!$G$2:$G$1001,$L253))</f>
        <v/>
      </c>
      <c r="H253" s="8" t="str">
        <f ca="1">IF($L253="","",INDEX('Veri Merkezi'!$H$2:$H$1001,$L253))</f>
        <v/>
      </c>
      <c r="I253" s="10" t="str">
        <f ca="1">IF($L253="","",INDEX('Veri Merkezi'!$R$2:$R$1001,$L253))</f>
        <v/>
      </c>
      <c r="J253" s="8" t="str">
        <f ca="1">IF($L253="","",INDEX('Veri Merkezi'!$S$2:$S$1001,$L253))</f>
        <v/>
      </c>
      <c r="K253" s="8" t="str">
        <f ca="1">IF($L253="","",INDEX('Veri Merkezi'!$U$2:$U$1001,$L253))</f>
        <v/>
      </c>
      <c r="L253" s="8" t="str">
        <f ca="1">IFERROR(MATCH(ROWS($L$4:L253),'Veri Merkezi'!$W$2:$W$1001,0),"")</f>
        <v/>
      </c>
    </row>
    <row r="254" spans="1:12" ht="20" customHeight="1">
      <c r="A254" s="8" t="str">
        <f ca="1">IF($L254="","",ROWS($A$4:A254))</f>
        <v/>
      </c>
      <c r="B254" s="8" t="str">
        <f ca="1">IF($L254="","",INDEX('Veri Merkezi'!$A$2:$A$1001,$L254))</f>
        <v/>
      </c>
      <c r="C254" s="8" t="str">
        <f ca="1">IF($L254="","",INDEX('Veri Merkezi'!$E$2:$E$1001,$L254))</f>
        <v/>
      </c>
      <c r="D254" s="8" t="str">
        <f ca="1">IF($L254="","",INDEX('Veri Merkezi'!$D$2:$D$1001,$L254))</f>
        <v/>
      </c>
      <c r="E254" s="8" t="str">
        <f ca="1">IF($L254="","",INDEX('Veri Merkezi'!$F$2:$F$1001,$L254))</f>
        <v/>
      </c>
      <c r="F254" s="9" t="str">
        <f ca="1">IF($L254="","",INDEX('Veri Merkezi'!$G$2:$G$1001,$L254))</f>
        <v/>
      </c>
      <c r="H254" s="8" t="str">
        <f ca="1">IF($L254="","",INDEX('Veri Merkezi'!$H$2:$H$1001,$L254))</f>
        <v/>
      </c>
      <c r="I254" s="10" t="str">
        <f ca="1">IF($L254="","",INDEX('Veri Merkezi'!$R$2:$R$1001,$L254))</f>
        <v/>
      </c>
      <c r="J254" s="8" t="str">
        <f ca="1">IF($L254="","",INDEX('Veri Merkezi'!$S$2:$S$1001,$L254))</f>
        <v/>
      </c>
      <c r="K254" s="8" t="str">
        <f ca="1">IF($L254="","",INDEX('Veri Merkezi'!$U$2:$U$1001,$L254))</f>
        <v/>
      </c>
      <c r="L254" s="8" t="str">
        <f ca="1">IFERROR(MATCH(ROWS($L$4:L254),'Veri Merkezi'!$W$2:$W$1001,0),"")</f>
        <v/>
      </c>
    </row>
    <row r="255" spans="1:12" ht="20" customHeight="1">
      <c r="A255" s="8" t="str">
        <f ca="1">IF($L255="","",ROWS($A$4:A255))</f>
        <v/>
      </c>
      <c r="B255" s="8" t="str">
        <f ca="1">IF($L255="","",INDEX('Veri Merkezi'!$A$2:$A$1001,$L255))</f>
        <v/>
      </c>
      <c r="C255" s="8" t="str">
        <f ca="1">IF($L255="","",INDEX('Veri Merkezi'!$E$2:$E$1001,$L255))</f>
        <v/>
      </c>
      <c r="D255" s="8" t="str">
        <f ca="1">IF($L255="","",INDEX('Veri Merkezi'!$D$2:$D$1001,$L255))</f>
        <v/>
      </c>
      <c r="E255" s="8" t="str">
        <f ca="1">IF($L255="","",INDEX('Veri Merkezi'!$F$2:$F$1001,$L255))</f>
        <v/>
      </c>
      <c r="F255" s="9" t="str">
        <f ca="1">IF($L255="","",INDEX('Veri Merkezi'!$G$2:$G$1001,$L255))</f>
        <v/>
      </c>
      <c r="H255" s="8" t="str">
        <f ca="1">IF($L255="","",INDEX('Veri Merkezi'!$H$2:$H$1001,$L255))</f>
        <v/>
      </c>
      <c r="I255" s="10" t="str">
        <f ca="1">IF($L255="","",INDEX('Veri Merkezi'!$R$2:$R$1001,$L255))</f>
        <v/>
      </c>
      <c r="J255" s="8" t="str">
        <f ca="1">IF($L255="","",INDEX('Veri Merkezi'!$S$2:$S$1001,$L255))</f>
        <v/>
      </c>
      <c r="K255" s="8" t="str">
        <f ca="1">IF($L255="","",INDEX('Veri Merkezi'!$U$2:$U$1001,$L255))</f>
        <v/>
      </c>
      <c r="L255" s="8" t="str">
        <f ca="1">IFERROR(MATCH(ROWS($L$4:L255),'Veri Merkezi'!$W$2:$W$1001,0),"")</f>
        <v/>
      </c>
    </row>
    <row r="256" spans="1:12" ht="20" customHeight="1">
      <c r="A256" s="8" t="str">
        <f ca="1">IF($L256="","",ROWS($A$4:A256))</f>
        <v/>
      </c>
      <c r="B256" s="8" t="str">
        <f ca="1">IF($L256="","",INDEX('Veri Merkezi'!$A$2:$A$1001,$L256))</f>
        <v/>
      </c>
      <c r="C256" s="8" t="str">
        <f ca="1">IF($L256="","",INDEX('Veri Merkezi'!$E$2:$E$1001,$L256))</f>
        <v/>
      </c>
      <c r="D256" s="8" t="str">
        <f ca="1">IF($L256="","",INDEX('Veri Merkezi'!$D$2:$D$1001,$L256))</f>
        <v/>
      </c>
      <c r="E256" s="8" t="str">
        <f ca="1">IF($L256="","",INDEX('Veri Merkezi'!$F$2:$F$1001,$L256))</f>
        <v/>
      </c>
      <c r="F256" s="9" t="str">
        <f ca="1">IF($L256="","",INDEX('Veri Merkezi'!$G$2:$G$1001,$L256))</f>
        <v/>
      </c>
      <c r="H256" s="8" t="str">
        <f ca="1">IF($L256="","",INDEX('Veri Merkezi'!$H$2:$H$1001,$L256))</f>
        <v/>
      </c>
      <c r="I256" s="10" t="str">
        <f ca="1">IF($L256="","",INDEX('Veri Merkezi'!$R$2:$R$1001,$L256))</f>
        <v/>
      </c>
      <c r="J256" s="8" t="str">
        <f ca="1">IF($L256="","",INDEX('Veri Merkezi'!$S$2:$S$1001,$L256))</f>
        <v/>
      </c>
      <c r="K256" s="8" t="str">
        <f ca="1">IF($L256="","",INDEX('Veri Merkezi'!$U$2:$U$1001,$L256))</f>
        <v/>
      </c>
      <c r="L256" s="8" t="str">
        <f ca="1">IFERROR(MATCH(ROWS($L$4:L256),'Veri Merkezi'!$W$2:$W$1001,0),"")</f>
        <v/>
      </c>
    </row>
    <row r="257" spans="1:12" ht="20" customHeight="1">
      <c r="A257" s="8" t="str">
        <f ca="1">IF($L257="","",ROWS($A$4:A257))</f>
        <v/>
      </c>
      <c r="B257" s="8" t="str">
        <f ca="1">IF($L257="","",INDEX('Veri Merkezi'!$A$2:$A$1001,$L257))</f>
        <v/>
      </c>
      <c r="C257" s="8" t="str">
        <f ca="1">IF($L257="","",INDEX('Veri Merkezi'!$E$2:$E$1001,$L257))</f>
        <v/>
      </c>
      <c r="D257" s="8" t="str">
        <f ca="1">IF($L257="","",INDEX('Veri Merkezi'!$D$2:$D$1001,$L257))</f>
        <v/>
      </c>
      <c r="E257" s="8" t="str">
        <f ca="1">IF($L257="","",INDEX('Veri Merkezi'!$F$2:$F$1001,$L257))</f>
        <v/>
      </c>
      <c r="F257" s="9" t="str">
        <f ca="1">IF($L257="","",INDEX('Veri Merkezi'!$G$2:$G$1001,$L257))</f>
        <v/>
      </c>
      <c r="H257" s="8" t="str">
        <f ca="1">IF($L257="","",INDEX('Veri Merkezi'!$H$2:$H$1001,$L257))</f>
        <v/>
      </c>
      <c r="I257" s="10" t="str">
        <f ca="1">IF($L257="","",INDEX('Veri Merkezi'!$R$2:$R$1001,$L257))</f>
        <v/>
      </c>
      <c r="J257" s="8" t="str">
        <f ca="1">IF($L257="","",INDEX('Veri Merkezi'!$S$2:$S$1001,$L257))</f>
        <v/>
      </c>
      <c r="K257" s="8" t="str">
        <f ca="1">IF($L257="","",INDEX('Veri Merkezi'!$U$2:$U$1001,$L257))</f>
        <v/>
      </c>
      <c r="L257" s="8" t="str">
        <f ca="1">IFERROR(MATCH(ROWS($L$4:L257),'Veri Merkezi'!$W$2:$W$1001,0),"")</f>
        <v/>
      </c>
    </row>
    <row r="258" spans="1:12" ht="20" customHeight="1">
      <c r="A258" s="8" t="str">
        <f ca="1">IF($L258="","",ROWS($A$4:A258))</f>
        <v/>
      </c>
      <c r="B258" s="8" t="str">
        <f ca="1">IF($L258="","",INDEX('Veri Merkezi'!$A$2:$A$1001,$L258))</f>
        <v/>
      </c>
      <c r="C258" s="8" t="str">
        <f ca="1">IF($L258="","",INDEX('Veri Merkezi'!$E$2:$E$1001,$L258))</f>
        <v/>
      </c>
      <c r="D258" s="8" t="str">
        <f ca="1">IF($L258="","",INDEX('Veri Merkezi'!$D$2:$D$1001,$L258))</f>
        <v/>
      </c>
      <c r="E258" s="8" t="str">
        <f ca="1">IF($L258="","",INDEX('Veri Merkezi'!$F$2:$F$1001,$L258))</f>
        <v/>
      </c>
      <c r="F258" s="9" t="str">
        <f ca="1">IF($L258="","",INDEX('Veri Merkezi'!$G$2:$G$1001,$L258))</f>
        <v/>
      </c>
      <c r="H258" s="8" t="str">
        <f ca="1">IF($L258="","",INDEX('Veri Merkezi'!$H$2:$H$1001,$L258))</f>
        <v/>
      </c>
      <c r="I258" s="10" t="str">
        <f ca="1">IF($L258="","",INDEX('Veri Merkezi'!$R$2:$R$1001,$L258))</f>
        <v/>
      </c>
      <c r="J258" s="8" t="str">
        <f ca="1">IF($L258="","",INDEX('Veri Merkezi'!$S$2:$S$1001,$L258))</f>
        <v/>
      </c>
      <c r="K258" s="8" t="str">
        <f ca="1">IF($L258="","",INDEX('Veri Merkezi'!$U$2:$U$1001,$L258))</f>
        <v/>
      </c>
      <c r="L258" s="8" t="str">
        <f ca="1">IFERROR(MATCH(ROWS($L$4:L258),'Veri Merkezi'!$W$2:$W$1001,0),"")</f>
        <v/>
      </c>
    </row>
    <row r="259" spans="1:12" ht="20" customHeight="1">
      <c r="A259" s="8" t="str">
        <f ca="1">IF($L259="","",ROWS($A$4:A259))</f>
        <v/>
      </c>
      <c r="B259" s="8" t="str">
        <f ca="1">IF($L259="","",INDEX('Veri Merkezi'!$A$2:$A$1001,$L259))</f>
        <v/>
      </c>
      <c r="C259" s="8" t="str">
        <f ca="1">IF($L259="","",INDEX('Veri Merkezi'!$E$2:$E$1001,$L259))</f>
        <v/>
      </c>
      <c r="D259" s="8" t="str">
        <f ca="1">IF($L259="","",INDEX('Veri Merkezi'!$D$2:$D$1001,$L259))</f>
        <v/>
      </c>
      <c r="E259" s="8" t="str">
        <f ca="1">IF($L259="","",INDEX('Veri Merkezi'!$F$2:$F$1001,$L259))</f>
        <v/>
      </c>
      <c r="F259" s="9" t="str">
        <f ca="1">IF($L259="","",INDEX('Veri Merkezi'!$G$2:$G$1001,$L259))</f>
        <v/>
      </c>
      <c r="H259" s="8" t="str">
        <f ca="1">IF($L259="","",INDEX('Veri Merkezi'!$H$2:$H$1001,$L259))</f>
        <v/>
      </c>
      <c r="I259" s="10" t="str">
        <f ca="1">IF($L259="","",INDEX('Veri Merkezi'!$R$2:$R$1001,$L259))</f>
        <v/>
      </c>
      <c r="J259" s="8" t="str">
        <f ca="1">IF($L259="","",INDEX('Veri Merkezi'!$S$2:$S$1001,$L259))</f>
        <v/>
      </c>
      <c r="K259" s="8" t="str">
        <f ca="1">IF($L259="","",INDEX('Veri Merkezi'!$U$2:$U$1001,$L259))</f>
        <v/>
      </c>
      <c r="L259" s="8" t="str">
        <f ca="1">IFERROR(MATCH(ROWS($L$4:L259),'Veri Merkezi'!$W$2:$W$1001,0),"")</f>
        <v/>
      </c>
    </row>
    <row r="260" spans="1:12" ht="20" customHeight="1">
      <c r="A260" s="8" t="str">
        <f ca="1">IF($L260="","",ROWS($A$4:A260))</f>
        <v/>
      </c>
      <c r="B260" s="8" t="str">
        <f ca="1">IF($L260="","",INDEX('Veri Merkezi'!$A$2:$A$1001,$L260))</f>
        <v/>
      </c>
      <c r="C260" s="8" t="str">
        <f ca="1">IF($L260="","",INDEX('Veri Merkezi'!$E$2:$E$1001,$L260))</f>
        <v/>
      </c>
      <c r="D260" s="8" t="str">
        <f ca="1">IF($L260="","",INDEX('Veri Merkezi'!$D$2:$D$1001,$L260))</f>
        <v/>
      </c>
      <c r="E260" s="8" t="str">
        <f ca="1">IF($L260="","",INDEX('Veri Merkezi'!$F$2:$F$1001,$L260))</f>
        <v/>
      </c>
      <c r="F260" s="9" t="str">
        <f ca="1">IF($L260="","",INDEX('Veri Merkezi'!$G$2:$G$1001,$L260))</f>
        <v/>
      </c>
      <c r="H260" s="8" t="str">
        <f ca="1">IF($L260="","",INDEX('Veri Merkezi'!$H$2:$H$1001,$L260))</f>
        <v/>
      </c>
      <c r="I260" s="10" t="str">
        <f ca="1">IF($L260="","",INDEX('Veri Merkezi'!$R$2:$R$1001,$L260))</f>
        <v/>
      </c>
      <c r="J260" s="8" t="str">
        <f ca="1">IF($L260="","",INDEX('Veri Merkezi'!$S$2:$S$1001,$L260))</f>
        <v/>
      </c>
      <c r="K260" s="8" t="str">
        <f ca="1">IF($L260="","",INDEX('Veri Merkezi'!$U$2:$U$1001,$L260))</f>
        <v/>
      </c>
      <c r="L260" s="8" t="str">
        <f ca="1">IFERROR(MATCH(ROWS($L$4:L260),'Veri Merkezi'!$W$2:$W$1001,0),"")</f>
        <v/>
      </c>
    </row>
    <row r="261" spans="1:12" ht="20" customHeight="1">
      <c r="A261" s="8" t="str">
        <f ca="1">IF($L261="","",ROWS($A$4:A261))</f>
        <v/>
      </c>
      <c r="B261" s="8" t="str">
        <f ca="1">IF($L261="","",INDEX('Veri Merkezi'!$A$2:$A$1001,$L261))</f>
        <v/>
      </c>
      <c r="C261" s="8" t="str">
        <f ca="1">IF($L261="","",INDEX('Veri Merkezi'!$E$2:$E$1001,$L261))</f>
        <v/>
      </c>
      <c r="D261" s="8" t="str">
        <f ca="1">IF($L261="","",INDEX('Veri Merkezi'!$D$2:$D$1001,$L261))</f>
        <v/>
      </c>
      <c r="E261" s="8" t="str">
        <f ca="1">IF($L261="","",INDEX('Veri Merkezi'!$F$2:$F$1001,$L261))</f>
        <v/>
      </c>
      <c r="F261" s="9" t="str">
        <f ca="1">IF($L261="","",INDEX('Veri Merkezi'!$G$2:$G$1001,$L261))</f>
        <v/>
      </c>
      <c r="H261" s="8" t="str">
        <f ca="1">IF($L261="","",INDEX('Veri Merkezi'!$H$2:$H$1001,$L261))</f>
        <v/>
      </c>
      <c r="I261" s="10" t="str">
        <f ca="1">IF($L261="","",INDEX('Veri Merkezi'!$R$2:$R$1001,$L261))</f>
        <v/>
      </c>
      <c r="J261" s="8" t="str">
        <f ca="1">IF($L261="","",INDEX('Veri Merkezi'!$S$2:$S$1001,$L261))</f>
        <v/>
      </c>
      <c r="K261" s="8" t="str">
        <f ca="1">IF($L261="","",INDEX('Veri Merkezi'!$U$2:$U$1001,$L261))</f>
        <v/>
      </c>
      <c r="L261" s="8" t="str">
        <f ca="1">IFERROR(MATCH(ROWS($L$4:L261),'Veri Merkezi'!$W$2:$W$1001,0),"")</f>
        <v/>
      </c>
    </row>
    <row r="262" spans="1:12" ht="20" customHeight="1">
      <c r="A262" s="8" t="str">
        <f ca="1">IF($L262="","",ROWS($A$4:A262))</f>
        <v/>
      </c>
      <c r="B262" s="8" t="str">
        <f ca="1">IF($L262="","",INDEX('Veri Merkezi'!$A$2:$A$1001,$L262))</f>
        <v/>
      </c>
      <c r="C262" s="8" t="str">
        <f ca="1">IF($L262="","",INDEX('Veri Merkezi'!$E$2:$E$1001,$L262))</f>
        <v/>
      </c>
      <c r="D262" s="8" t="str">
        <f ca="1">IF($L262="","",INDEX('Veri Merkezi'!$D$2:$D$1001,$L262))</f>
        <v/>
      </c>
      <c r="E262" s="8" t="str">
        <f ca="1">IF($L262="","",INDEX('Veri Merkezi'!$F$2:$F$1001,$L262))</f>
        <v/>
      </c>
      <c r="F262" s="9" t="str">
        <f ca="1">IF($L262="","",INDEX('Veri Merkezi'!$G$2:$G$1001,$L262))</f>
        <v/>
      </c>
      <c r="H262" s="8" t="str">
        <f ca="1">IF($L262="","",INDEX('Veri Merkezi'!$H$2:$H$1001,$L262))</f>
        <v/>
      </c>
      <c r="I262" s="10" t="str">
        <f ca="1">IF($L262="","",INDEX('Veri Merkezi'!$R$2:$R$1001,$L262))</f>
        <v/>
      </c>
      <c r="J262" s="8" t="str">
        <f ca="1">IF($L262="","",INDEX('Veri Merkezi'!$S$2:$S$1001,$L262))</f>
        <v/>
      </c>
      <c r="K262" s="8" t="str">
        <f ca="1">IF($L262="","",INDEX('Veri Merkezi'!$U$2:$U$1001,$L262))</f>
        <v/>
      </c>
      <c r="L262" s="8" t="str">
        <f ca="1">IFERROR(MATCH(ROWS($L$4:L262),'Veri Merkezi'!$W$2:$W$1001,0),"")</f>
        <v/>
      </c>
    </row>
    <row r="263" spans="1:12" ht="20" customHeight="1">
      <c r="A263" s="8" t="str">
        <f ca="1">IF($L263="","",ROWS($A$4:A263))</f>
        <v/>
      </c>
      <c r="B263" s="8" t="str">
        <f ca="1">IF($L263="","",INDEX('Veri Merkezi'!$A$2:$A$1001,$L263))</f>
        <v/>
      </c>
      <c r="C263" s="8" t="str">
        <f ca="1">IF($L263="","",INDEX('Veri Merkezi'!$E$2:$E$1001,$L263))</f>
        <v/>
      </c>
      <c r="D263" s="8" t="str">
        <f ca="1">IF($L263="","",INDEX('Veri Merkezi'!$D$2:$D$1001,$L263))</f>
        <v/>
      </c>
      <c r="E263" s="8" t="str">
        <f ca="1">IF($L263="","",INDEX('Veri Merkezi'!$F$2:$F$1001,$L263))</f>
        <v/>
      </c>
      <c r="F263" s="9" t="str">
        <f ca="1">IF($L263="","",INDEX('Veri Merkezi'!$G$2:$G$1001,$L263))</f>
        <v/>
      </c>
      <c r="H263" s="8" t="str">
        <f ca="1">IF($L263="","",INDEX('Veri Merkezi'!$H$2:$H$1001,$L263))</f>
        <v/>
      </c>
      <c r="I263" s="10" t="str">
        <f ca="1">IF($L263="","",INDEX('Veri Merkezi'!$R$2:$R$1001,$L263))</f>
        <v/>
      </c>
      <c r="J263" s="8" t="str">
        <f ca="1">IF($L263="","",INDEX('Veri Merkezi'!$S$2:$S$1001,$L263))</f>
        <v/>
      </c>
      <c r="K263" s="8" t="str">
        <f ca="1">IF($L263="","",INDEX('Veri Merkezi'!$U$2:$U$1001,$L263))</f>
        <v/>
      </c>
      <c r="L263" s="8" t="str">
        <f ca="1">IFERROR(MATCH(ROWS($L$4:L263),'Veri Merkezi'!$W$2:$W$1001,0),"")</f>
        <v/>
      </c>
    </row>
    <row r="264" spans="1:12" ht="20" customHeight="1">
      <c r="A264" s="8" t="str">
        <f ca="1">IF($L264="","",ROWS($A$4:A264))</f>
        <v/>
      </c>
      <c r="B264" s="8" t="str">
        <f ca="1">IF($L264="","",INDEX('Veri Merkezi'!$A$2:$A$1001,$L264))</f>
        <v/>
      </c>
      <c r="C264" s="8" t="str">
        <f ca="1">IF($L264="","",INDEX('Veri Merkezi'!$E$2:$E$1001,$L264))</f>
        <v/>
      </c>
      <c r="D264" s="8" t="str">
        <f ca="1">IF($L264="","",INDEX('Veri Merkezi'!$D$2:$D$1001,$L264))</f>
        <v/>
      </c>
      <c r="E264" s="8" t="str">
        <f ca="1">IF($L264="","",INDEX('Veri Merkezi'!$F$2:$F$1001,$L264))</f>
        <v/>
      </c>
      <c r="F264" s="9" t="str">
        <f ca="1">IF($L264="","",INDEX('Veri Merkezi'!$G$2:$G$1001,$L264))</f>
        <v/>
      </c>
      <c r="H264" s="8" t="str">
        <f ca="1">IF($L264="","",INDEX('Veri Merkezi'!$H$2:$H$1001,$L264))</f>
        <v/>
      </c>
      <c r="I264" s="10" t="str">
        <f ca="1">IF($L264="","",INDEX('Veri Merkezi'!$R$2:$R$1001,$L264))</f>
        <v/>
      </c>
      <c r="J264" s="8" t="str">
        <f ca="1">IF($L264="","",INDEX('Veri Merkezi'!$S$2:$S$1001,$L264))</f>
        <v/>
      </c>
      <c r="K264" s="8" t="str">
        <f ca="1">IF($L264="","",INDEX('Veri Merkezi'!$U$2:$U$1001,$L264))</f>
        <v/>
      </c>
      <c r="L264" s="8" t="str">
        <f ca="1">IFERROR(MATCH(ROWS($L$4:L264),'Veri Merkezi'!$W$2:$W$1001,0),"")</f>
        <v/>
      </c>
    </row>
    <row r="265" spans="1:12" ht="20" customHeight="1">
      <c r="A265" s="8" t="str">
        <f ca="1">IF($L265="","",ROWS($A$4:A265))</f>
        <v/>
      </c>
      <c r="B265" s="8" t="str">
        <f ca="1">IF($L265="","",INDEX('Veri Merkezi'!$A$2:$A$1001,$L265))</f>
        <v/>
      </c>
      <c r="C265" s="8" t="str">
        <f ca="1">IF($L265="","",INDEX('Veri Merkezi'!$E$2:$E$1001,$L265))</f>
        <v/>
      </c>
      <c r="D265" s="8" t="str">
        <f ca="1">IF($L265="","",INDEX('Veri Merkezi'!$D$2:$D$1001,$L265))</f>
        <v/>
      </c>
      <c r="E265" s="8" t="str">
        <f ca="1">IF($L265="","",INDEX('Veri Merkezi'!$F$2:$F$1001,$L265))</f>
        <v/>
      </c>
      <c r="F265" s="9" t="str">
        <f ca="1">IF($L265="","",INDEX('Veri Merkezi'!$G$2:$G$1001,$L265))</f>
        <v/>
      </c>
      <c r="H265" s="8" t="str">
        <f ca="1">IF($L265="","",INDEX('Veri Merkezi'!$H$2:$H$1001,$L265))</f>
        <v/>
      </c>
      <c r="I265" s="10" t="str">
        <f ca="1">IF($L265="","",INDEX('Veri Merkezi'!$R$2:$R$1001,$L265))</f>
        <v/>
      </c>
      <c r="J265" s="8" t="str">
        <f ca="1">IF($L265="","",INDEX('Veri Merkezi'!$S$2:$S$1001,$L265))</f>
        <v/>
      </c>
      <c r="K265" s="8" t="str">
        <f ca="1">IF($L265="","",INDEX('Veri Merkezi'!$U$2:$U$1001,$L265))</f>
        <v/>
      </c>
      <c r="L265" s="8" t="str">
        <f ca="1">IFERROR(MATCH(ROWS($L$4:L265),'Veri Merkezi'!$W$2:$W$1001,0),"")</f>
        <v/>
      </c>
    </row>
    <row r="266" spans="1:12" ht="20" customHeight="1">
      <c r="A266" s="8" t="str">
        <f ca="1">IF($L266="","",ROWS($A$4:A266))</f>
        <v/>
      </c>
      <c r="B266" s="8" t="str">
        <f ca="1">IF($L266="","",INDEX('Veri Merkezi'!$A$2:$A$1001,$L266))</f>
        <v/>
      </c>
      <c r="C266" s="8" t="str">
        <f ca="1">IF($L266="","",INDEX('Veri Merkezi'!$E$2:$E$1001,$L266))</f>
        <v/>
      </c>
      <c r="D266" s="8" t="str">
        <f ca="1">IF($L266="","",INDEX('Veri Merkezi'!$D$2:$D$1001,$L266))</f>
        <v/>
      </c>
      <c r="E266" s="8" t="str">
        <f ca="1">IF($L266="","",INDEX('Veri Merkezi'!$F$2:$F$1001,$L266))</f>
        <v/>
      </c>
      <c r="F266" s="9" t="str">
        <f ca="1">IF($L266="","",INDEX('Veri Merkezi'!$G$2:$G$1001,$L266))</f>
        <v/>
      </c>
      <c r="H266" s="8" t="str">
        <f ca="1">IF($L266="","",INDEX('Veri Merkezi'!$H$2:$H$1001,$L266))</f>
        <v/>
      </c>
      <c r="I266" s="10" t="str">
        <f ca="1">IF($L266="","",INDEX('Veri Merkezi'!$R$2:$R$1001,$L266))</f>
        <v/>
      </c>
      <c r="J266" s="8" t="str">
        <f ca="1">IF($L266="","",INDEX('Veri Merkezi'!$S$2:$S$1001,$L266))</f>
        <v/>
      </c>
      <c r="K266" s="8" t="str">
        <f ca="1">IF($L266="","",INDEX('Veri Merkezi'!$U$2:$U$1001,$L266))</f>
        <v/>
      </c>
      <c r="L266" s="8" t="str">
        <f ca="1">IFERROR(MATCH(ROWS($L$4:L266),'Veri Merkezi'!$W$2:$W$1001,0),"")</f>
        <v/>
      </c>
    </row>
    <row r="267" spans="1:12" ht="20" customHeight="1">
      <c r="A267" s="8" t="str">
        <f ca="1">IF($L267="","",ROWS($A$4:A267))</f>
        <v/>
      </c>
      <c r="B267" s="8" t="str">
        <f ca="1">IF($L267="","",INDEX('Veri Merkezi'!$A$2:$A$1001,$L267))</f>
        <v/>
      </c>
      <c r="C267" s="8" t="str">
        <f ca="1">IF($L267="","",INDEX('Veri Merkezi'!$E$2:$E$1001,$L267))</f>
        <v/>
      </c>
      <c r="D267" s="8" t="str">
        <f ca="1">IF($L267="","",INDEX('Veri Merkezi'!$D$2:$D$1001,$L267))</f>
        <v/>
      </c>
      <c r="E267" s="8" t="str">
        <f ca="1">IF($L267="","",INDEX('Veri Merkezi'!$F$2:$F$1001,$L267))</f>
        <v/>
      </c>
      <c r="F267" s="9" t="str">
        <f ca="1">IF($L267="","",INDEX('Veri Merkezi'!$G$2:$G$1001,$L267))</f>
        <v/>
      </c>
      <c r="H267" s="8" t="str">
        <f ca="1">IF($L267="","",INDEX('Veri Merkezi'!$H$2:$H$1001,$L267))</f>
        <v/>
      </c>
      <c r="I267" s="10" t="str">
        <f ca="1">IF($L267="","",INDEX('Veri Merkezi'!$R$2:$R$1001,$L267))</f>
        <v/>
      </c>
      <c r="J267" s="8" t="str">
        <f ca="1">IF($L267="","",INDEX('Veri Merkezi'!$S$2:$S$1001,$L267))</f>
        <v/>
      </c>
      <c r="K267" s="8" t="str">
        <f ca="1">IF($L267="","",INDEX('Veri Merkezi'!$U$2:$U$1001,$L267))</f>
        <v/>
      </c>
      <c r="L267" s="8" t="str">
        <f ca="1">IFERROR(MATCH(ROWS($L$4:L267),'Veri Merkezi'!$W$2:$W$1001,0),"")</f>
        <v/>
      </c>
    </row>
    <row r="268" spans="1:12" ht="20" customHeight="1">
      <c r="A268" s="8" t="str">
        <f ca="1">IF($L268="","",ROWS($A$4:A268))</f>
        <v/>
      </c>
      <c r="B268" s="8" t="str">
        <f ca="1">IF($L268="","",INDEX('Veri Merkezi'!$A$2:$A$1001,$L268))</f>
        <v/>
      </c>
      <c r="C268" s="8" t="str">
        <f ca="1">IF($L268="","",INDEX('Veri Merkezi'!$E$2:$E$1001,$L268))</f>
        <v/>
      </c>
      <c r="D268" s="8" t="str">
        <f ca="1">IF($L268="","",INDEX('Veri Merkezi'!$D$2:$D$1001,$L268))</f>
        <v/>
      </c>
      <c r="E268" s="8" t="str">
        <f ca="1">IF($L268="","",INDEX('Veri Merkezi'!$F$2:$F$1001,$L268))</f>
        <v/>
      </c>
      <c r="F268" s="9" t="str">
        <f ca="1">IF($L268="","",INDEX('Veri Merkezi'!$G$2:$G$1001,$L268))</f>
        <v/>
      </c>
      <c r="H268" s="8" t="str">
        <f ca="1">IF($L268="","",INDEX('Veri Merkezi'!$H$2:$H$1001,$L268))</f>
        <v/>
      </c>
      <c r="I268" s="10" t="str">
        <f ca="1">IF($L268="","",INDEX('Veri Merkezi'!$R$2:$R$1001,$L268))</f>
        <v/>
      </c>
      <c r="J268" s="8" t="str">
        <f ca="1">IF($L268="","",INDEX('Veri Merkezi'!$S$2:$S$1001,$L268))</f>
        <v/>
      </c>
      <c r="K268" s="8" t="str">
        <f ca="1">IF($L268="","",INDEX('Veri Merkezi'!$U$2:$U$1001,$L268))</f>
        <v/>
      </c>
      <c r="L268" s="8" t="str">
        <f ca="1">IFERROR(MATCH(ROWS($L$4:L268),'Veri Merkezi'!$W$2:$W$1001,0),"")</f>
        <v/>
      </c>
    </row>
    <row r="269" spans="1:12" ht="20" customHeight="1">
      <c r="A269" s="8" t="str">
        <f ca="1">IF($L269="","",ROWS($A$4:A269))</f>
        <v/>
      </c>
      <c r="B269" s="8" t="str">
        <f ca="1">IF($L269="","",INDEX('Veri Merkezi'!$A$2:$A$1001,$L269))</f>
        <v/>
      </c>
      <c r="C269" s="8" t="str">
        <f ca="1">IF($L269="","",INDEX('Veri Merkezi'!$E$2:$E$1001,$L269))</f>
        <v/>
      </c>
      <c r="D269" s="8" t="str">
        <f ca="1">IF($L269="","",INDEX('Veri Merkezi'!$D$2:$D$1001,$L269))</f>
        <v/>
      </c>
      <c r="E269" s="8" t="str">
        <f ca="1">IF($L269="","",INDEX('Veri Merkezi'!$F$2:$F$1001,$L269))</f>
        <v/>
      </c>
      <c r="F269" s="9" t="str">
        <f ca="1">IF($L269="","",INDEX('Veri Merkezi'!$G$2:$G$1001,$L269))</f>
        <v/>
      </c>
      <c r="H269" s="8" t="str">
        <f ca="1">IF($L269="","",INDEX('Veri Merkezi'!$H$2:$H$1001,$L269))</f>
        <v/>
      </c>
      <c r="I269" s="10" t="str">
        <f ca="1">IF($L269="","",INDEX('Veri Merkezi'!$R$2:$R$1001,$L269))</f>
        <v/>
      </c>
      <c r="J269" s="8" t="str">
        <f ca="1">IF($L269="","",INDEX('Veri Merkezi'!$S$2:$S$1001,$L269))</f>
        <v/>
      </c>
      <c r="K269" s="8" t="str">
        <f ca="1">IF($L269="","",INDEX('Veri Merkezi'!$U$2:$U$1001,$L269))</f>
        <v/>
      </c>
      <c r="L269" s="8" t="str">
        <f ca="1">IFERROR(MATCH(ROWS($L$4:L269),'Veri Merkezi'!$W$2:$W$1001,0),"")</f>
        <v/>
      </c>
    </row>
    <row r="270" spans="1:12" ht="20" customHeight="1">
      <c r="A270" s="8" t="str">
        <f ca="1">IF($L270="","",ROWS($A$4:A270))</f>
        <v/>
      </c>
      <c r="B270" s="8" t="str">
        <f ca="1">IF($L270="","",INDEX('Veri Merkezi'!$A$2:$A$1001,$L270))</f>
        <v/>
      </c>
      <c r="C270" s="8" t="str">
        <f ca="1">IF($L270="","",INDEX('Veri Merkezi'!$E$2:$E$1001,$L270))</f>
        <v/>
      </c>
      <c r="D270" s="8" t="str">
        <f ca="1">IF($L270="","",INDEX('Veri Merkezi'!$D$2:$D$1001,$L270))</f>
        <v/>
      </c>
      <c r="E270" s="8" t="str">
        <f ca="1">IF($L270="","",INDEX('Veri Merkezi'!$F$2:$F$1001,$L270))</f>
        <v/>
      </c>
      <c r="F270" s="9" t="str">
        <f ca="1">IF($L270="","",INDEX('Veri Merkezi'!$G$2:$G$1001,$L270))</f>
        <v/>
      </c>
      <c r="H270" s="8" t="str">
        <f ca="1">IF($L270="","",INDEX('Veri Merkezi'!$H$2:$H$1001,$L270))</f>
        <v/>
      </c>
      <c r="I270" s="10" t="str">
        <f ca="1">IF($L270="","",INDEX('Veri Merkezi'!$R$2:$R$1001,$L270))</f>
        <v/>
      </c>
      <c r="J270" s="8" t="str">
        <f ca="1">IF($L270="","",INDEX('Veri Merkezi'!$S$2:$S$1001,$L270))</f>
        <v/>
      </c>
      <c r="K270" s="8" t="str">
        <f ca="1">IF($L270="","",INDEX('Veri Merkezi'!$U$2:$U$1001,$L270))</f>
        <v/>
      </c>
      <c r="L270" s="8" t="str">
        <f ca="1">IFERROR(MATCH(ROWS($L$4:L270),'Veri Merkezi'!$W$2:$W$1001,0),"")</f>
        <v/>
      </c>
    </row>
    <row r="271" spans="1:12" ht="20" customHeight="1">
      <c r="A271" s="8" t="str">
        <f ca="1">IF($L271="","",ROWS($A$4:A271))</f>
        <v/>
      </c>
      <c r="B271" s="8" t="str">
        <f ca="1">IF($L271="","",INDEX('Veri Merkezi'!$A$2:$A$1001,$L271))</f>
        <v/>
      </c>
      <c r="C271" s="8" t="str">
        <f ca="1">IF($L271="","",INDEX('Veri Merkezi'!$E$2:$E$1001,$L271))</f>
        <v/>
      </c>
      <c r="D271" s="8" t="str">
        <f ca="1">IF($L271="","",INDEX('Veri Merkezi'!$D$2:$D$1001,$L271))</f>
        <v/>
      </c>
      <c r="E271" s="8" t="str">
        <f ca="1">IF($L271="","",INDEX('Veri Merkezi'!$F$2:$F$1001,$L271))</f>
        <v/>
      </c>
      <c r="F271" s="9" t="str">
        <f ca="1">IF($L271="","",INDEX('Veri Merkezi'!$G$2:$G$1001,$L271))</f>
        <v/>
      </c>
      <c r="H271" s="8" t="str">
        <f ca="1">IF($L271="","",INDEX('Veri Merkezi'!$H$2:$H$1001,$L271))</f>
        <v/>
      </c>
      <c r="I271" s="10" t="str">
        <f ca="1">IF($L271="","",INDEX('Veri Merkezi'!$R$2:$R$1001,$L271))</f>
        <v/>
      </c>
      <c r="J271" s="8" t="str">
        <f ca="1">IF($L271="","",INDEX('Veri Merkezi'!$S$2:$S$1001,$L271))</f>
        <v/>
      </c>
      <c r="K271" s="8" t="str">
        <f ca="1">IF($L271="","",INDEX('Veri Merkezi'!$U$2:$U$1001,$L271))</f>
        <v/>
      </c>
      <c r="L271" s="8" t="str">
        <f ca="1">IFERROR(MATCH(ROWS($L$4:L271),'Veri Merkezi'!$W$2:$W$1001,0),"")</f>
        <v/>
      </c>
    </row>
    <row r="272" spans="1:12" ht="20" customHeight="1">
      <c r="A272" s="8" t="str">
        <f ca="1">IF($L272="","",ROWS($A$4:A272))</f>
        <v/>
      </c>
      <c r="B272" s="8" t="str">
        <f ca="1">IF($L272="","",INDEX('Veri Merkezi'!$A$2:$A$1001,$L272))</f>
        <v/>
      </c>
      <c r="C272" s="8" t="str">
        <f ca="1">IF($L272="","",INDEX('Veri Merkezi'!$E$2:$E$1001,$L272))</f>
        <v/>
      </c>
      <c r="D272" s="8" t="str">
        <f ca="1">IF($L272="","",INDEX('Veri Merkezi'!$D$2:$D$1001,$L272))</f>
        <v/>
      </c>
      <c r="E272" s="8" t="str">
        <f ca="1">IF($L272="","",INDEX('Veri Merkezi'!$F$2:$F$1001,$L272))</f>
        <v/>
      </c>
      <c r="F272" s="9" t="str">
        <f ca="1">IF($L272="","",INDEX('Veri Merkezi'!$G$2:$G$1001,$L272))</f>
        <v/>
      </c>
      <c r="H272" s="8" t="str">
        <f ca="1">IF($L272="","",INDEX('Veri Merkezi'!$H$2:$H$1001,$L272))</f>
        <v/>
      </c>
      <c r="I272" s="10" t="str">
        <f ca="1">IF($L272="","",INDEX('Veri Merkezi'!$R$2:$R$1001,$L272))</f>
        <v/>
      </c>
      <c r="J272" s="8" t="str">
        <f ca="1">IF($L272="","",INDEX('Veri Merkezi'!$S$2:$S$1001,$L272))</f>
        <v/>
      </c>
      <c r="K272" s="8" t="str">
        <f ca="1">IF($L272="","",INDEX('Veri Merkezi'!$U$2:$U$1001,$L272))</f>
        <v/>
      </c>
      <c r="L272" s="8" t="str">
        <f ca="1">IFERROR(MATCH(ROWS($L$4:L272),'Veri Merkezi'!$W$2:$W$1001,0),"")</f>
        <v/>
      </c>
    </row>
    <row r="273" spans="1:12" ht="20" customHeight="1">
      <c r="A273" s="8" t="str">
        <f ca="1">IF($L273="","",ROWS($A$4:A273))</f>
        <v/>
      </c>
      <c r="B273" s="8" t="str">
        <f ca="1">IF($L273="","",INDEX('Veri Merkezi'!$A$2:$A$1001,$L273))</f>
        <v/>
      </c>
      <c r="C273" s="8" t="str">
        <f ca="1">IF($L273="","",INDEX('Veri Merkezi'!$E$2:$E$1001,$L273))</f>
        <v/>
      </c>
      <c r="D273" s="8" t="str">
        <f ca="1">IF($L273="","",INDEX('Veri Merkezi'!$D$2:$D$1001,$L273))</f>
        <v/>
      </c>
      <c r="E273" s="8" t="str">
        <f ca="1">IF($L273="","",INDEX('Veri Merkezi'!$F$2:$F$1001,$L273))</f>
        <v/>
      </c>
      <c r="F273" s="9" t="str">
        <f ca="1">IF($L273="","",INDEX('Veri Merkezi'!$G$2:$G$1001,$L273))</f>
        <v/>
      </c>
      <c r="H273" s="8" t="str">
        <f ca="1">IF($L273="","",INDEX('Veri Merkezi'!$H$2:$H$1001,$L273))</f>
        <v/>
      </c>
      <c r="I273" s="10" t="str">
        <f ca="1">IF($L273="","",INDEX('Veri Merkezi'!$R$2:$R$1001,$L273))</f>
        <v/>
      </c>
      <c r="J273" s="8" t="str">
        <f ca="1">IF($L273="","",INDEX('Veri Merkezi'!$S$2:$S$1001,$L273))</f>
        <v/>
      </c>
      <c r="K273" s="8" t="str">
        <f ca="1">IF($L273="","",INDEX('Veri Merkezi'!$U$2:$U$1001,$L273))</f>
        <v/>
      </c>
      <c r="L273" s="8" t="str">
        <f ca="1">IFERROR(MATCH(ROWS($L$4:L273),'Veri Merkezi'!$W$2:$W$1001,0),"")</f>
        <v/>
      </c>
    </row>
    <row r="274" spans="1:12" ht="20" customHeight="1">
      <c r="A274" s="8" t="str">
        <f ca="1">IF($L274="","",ROWS($A$4:A274))</f>
        <v/>
      </c>
      <c r="B274" s="8" t="str">
        <f ca="1">IF($L274="","",INDEX('Veri Merkezi'!$A$2:$A$1001,$L274))</f>
        <v/>
      </c>
      <c r="C274" s="8" t="str">
        <f ca="1">IF($L274="","",INDEX('Veri Merkezi'!$E$2:$E$1001,$L274))</f>
        <v/>
      </c>
      <c r="D274" s="8" t="str">
        <f ca="1">IF($L274="","",INDEX('Veri Merkezi'!$D$2:$D$1001,$L274))</f>
        <v/>
      </c>
      <c r="E274" s="8" t="str">
        <f ca="1">IF($L274="","",INDEX('Veri Merkezi'!$F$2:$F$1001,$L274))</f>
        <v/>
      </c>
      <c r="F274" s="9" t="str">
        <f ca="1">IF($L274="","",INDEX('Veri Merkezi'!$G$2:$G$1001,$L274))</f>
        <v/>
      </c>
      <c r="H274" s="8" t="str">
        <f ca="1">IF($L274="","",INDEX('Veri Merkezi'!$H$2:$H$1001,$L274))</f>
        <v/>
      </c>
      <c r="I274" s="10" t="str">
        <f ca="1">IF($L274="","",INDEX('Veri Merkezi'!$R$2:$R$1001,$L274))</f>
        <v/>
      </c>
      <c r="J274" s="8" t="str">
        <f ca="1">IF($L274="","",INDEX('Veri Merkezi'!$S$2:$S$1001,$L274))</f>
        <v/>
      </c>
      <c r="K274" s="8" t="str">
        <f ca="1">IF($L274="","",INDEX('Veri Merkezi'!$U$2:$U$1001,$L274))</f>
        <v/>
      </c>
      <c r="L274" s="8" t="str">
        <f ca="1">IFERROR(MATCH(ROWS($L$4:L274),'Veri Merkezi'!$W$2:$W$1001,0),"")</f>
        <v/>
      </c>
    </row>
    <row r="275" spans="1:12" ht="20" customHeight="1">
      <c r="A275" s="8" t="str">
        <f ca="1">IF($L275="","",ROWS($A$4:A275))</f>
        <v/>
      </c>
      <c r="B275" s="8" t="str">
        <f ca="1">IF($L275="","",INDEX('Veri Merkezi'!$A$2:$A$1001,$L275))</f>
        <v/>
      </c>
      <c r="C275" s="8" t="str">
        <f ca="1">IF($L275="","",INDEX('Veri Merkezi'!$E$2:$E$1001,$L275))</f>
        <v/>
      </c>
      <c r="D275" s="8" t="str">
        <f ca="1">IF($L275="","",INDEX('Veri Merkezi'!$D$2:$D$1001,$L275))</f>
        <v/>
      </c>
      <c r="E275" s="8" t="str">
        <f ca="1">IF($L275="","",INDEX('Veri Merkezi'!$F$2:$F$1001,$L275))</f>
        <v/>
      </c>
      <c r="F275" s="9" t="str">
        <f ca="1">IF($L275="","",INDEX('Veri Merkezi'!$G$2:$G$1001,$L275))</f>
        <v/>
      </c>
      <c r="H275" s="8" t="str">
        <f ca="1">IF($L275="","",INDEX('Veri Merkezi'!$H$2:$H$1001,$L275))</f>
        <v/>
      </c>
      <c r="I275" s="10" t="str">
        <f ca="1">IF($L275="","",INDEX('Veri Merkezi'!$R$2:$R$1001,$L275))</f>
        <v/>
      </c>
      <c r="J275" s="8" t="str">
        <f ca="1">IF($L275="","",INDEX('Veri Merkezi'!$S$2:$S$1001,$L275))</f>
        <v/>
      </c>
      <c r="K275" s="8" t="str">
        <f ca="1">IF($L275="","",INDEX('Veri Merkezi'!$U$2:$U$1001,$L275))</f>
        <v/>
      </c>
      <c r="L275" s="8" t="str">
        <f ca="1">IFERROR(MATCH(ROWS($L$4:L275),'Veri Merkezi'!$W$2:$W$1001,0),"")</f>
        <v/>
      </c>
    </row>
    <row r="276" spans="1:12" ht="20" customHeight="1">
      <c r="A276" s="8" t="str">
        <f ca="1">IF($L276="","",ROWS($A$4:A276))</f>
        <v/>
      </c>
      <c r="B276" s="8" t="str">
        <f ca="1">IF($L276="","",INDEX('Veri Merkezi'!$A$2:$A$1001,$L276))</f>
        <v/>
      </c>
      <c r="C276" s="8" t="str">
        <f ca="1">IF($L276="","",INDEX('Veri Merkezi'!$E$2:$E$1001,$L276))</f>
        <v/>
      </c>
      <c r="D276" s="8" t="str">
        <f ca="1">IF($L276="","",INDEX('Veri Merkezi'!$D$2:$D$1001,$L276))</f>
        <v/>
      </c>
      <c r="E276" s="8" t="str">
        <f ca="1">IF($L276="","",INDEX('Veri Merkezi'!$F$2:$F$1001,$L276))</f>
        <v/>
      </c>
      <c r="F276" s="9" t="str">
        <f ca="1">IF($L276="","",INDEX('Veri Merkezi'!$G$2:$G$1001,$L276))</f>
        <v/>
      </c>
      <c r="H276" s="8" t="str">
        <f ca="1">IF($L276="","",INDEX('Veri Merkezi'!$H$2:$H$1001,$L276))</f>
        <v/>
      </c>
      <c r="I276" s="10" t="str">
        <f ca="1">IF($L276="","",INDEX('Veri Merkezi'!$R$2:$R$1001,$L276))</f>
        <v/>
      </c>
      <c r="J276" s="8" t="str">
        <f ca="1">IF($L276="","",INDEX('Veri Merkezi'!$S$2:$S$1001,$L276))</f>
        <v/>
      </c>
      <c r="K276" s="8" t="str">
        <f ca="1">IF($L276="","",INDEX('Veri Merkezi'!$U$2:$U$1001,$L276))</f>
        <v/>
      </c>
      <c r="L276" s="8" t="str">
        <f ca="1">IFERROR(MATCH(ROWS($L$4:L276),'Veri Merkezi'!$W$2:$W$1001,0),"")</f>
        <v/>
      </c>
    </row>
    <row r="277" spans="1:12" ht="20" customHeight="1">
      <c r="A277" s="8" t="str">
        <f ca="1">IF($L277="","",ROWS($A$4:A277))</f>
        <v/>
      </c>
      <c r="B277" s="8" t="str">
        <f ca="1">IF($L277="","",INDEX('Veri Merkezi'!$A$2:$A$1001,$L277))</f>
        <v/>
      </c>
      <c r="C277" s="8" t="str">
        <f ca="1">IF($L277="","",INDEX('Veri Merkezi'!$E$2:$E$1001,$L277))</f>
        <v/>
      </c>
      <c r="D277" s="8" t="str">
        <f ca="1">IF($L277="","",INDEX('Veri Merkezi'!$D$2:$D$1001,$L277))</f>
        <v/>
      </c>
      <c r="E277" s="8" t="str">
        <f ca="1">IF($L277="","",INDEX('Veri Merkezi'!$F$2:$F$1001,$L277))</f>
        <v/>
      </c>
      <c r="F277" s="9" t="str">
        <f ca="1">IF($L277="","",INDEX('Veri Merkezi'!$G$2:$G$1001,$L277))</f>
        <v/>
      </c>
      <c r="H277" s="8" t="str">
        <f ca="1">IF($L277="","",INDEX('Veri Merkezi'!$H$2:$H$1001,$L277))</f>
        <v/>
      </c>
      <c r="I277" s="10" t="str">
        <f ca="1">IF($L277="","",INDEX('Veri Merkezi'!$R$2:$R$1001,$L277))</f>
        <v/>
      </c>
      <c r="J277" s="8" t="str">
        <f ca="1">IF($L277="","",INDEX('Veri Merkezi'!$S$2:$S$1001,$L277))</f>
        <v/>
      </c>
      <c r="K277" s="8" t="str">
        <f ca="1">IF($L277="","",INDEX('Veri Merkezi'!$U$2:$U$1001,$L277))</f>
        <v/>
      </c>
      <c r="L277" s="8" t="str">
        <f ca="1">IFERROR(MATCH(ROWS($L$4:L277),'Veri Merkezi'!$W$2:$W$1001,0),"")</f>
        <v/>
      </c>
    </row>
    <row r="278" spans="1:12" ht="20" customHeight="1">
      <c r="A278" s="8" t="str">
        <f ca="1">IF($L278="","",ROWS($A$4:A278))</f>
        <v/>
      </c>
      <c r="B278" s="8" t="str">
        <f ca="1">IF($L278="","",INDEX('Veri Merkezi'!$A$2:$A$1001,$L278))</f>
        <v/>
      </c>
      <c r="C278" s="8" t="str">
        <f ca="1">IF($L278="","",INDEX('Veri Merkezi'!$E$2:$E$1001,$L278))</f>
        <v/>
      </c>
      <c r="D278" s="8" t="str">
        <f ca="1">IF($L278="","",INDEX('Veri Merkezi'!$D$2:$D$1001,$L278))</f>
        <v/>
      </c>
      <c r="E278" s="8" t="str">
        <f ca="1">IF($L278="","",INDEX('Veri Merkezi'!$F$2:$F$1001,$L278))</f>
        <v/>
      </c>
      <c r="F278" s="9" t="str">
        <f ca="1">IF($L278="","",INDEX('Veri Merkezi'!$G$2:$G$1001,$L278))</f>
        <v/>
      </c>
      <c r="H278" s="8" t="str">
        <f ca="1">IF($L278="","",INDEX('Veri Merkezi'!$H$2:$H$1001,$L278))</f>
        <v/>
      </c>
      <c r="I278" s="10" t="str">
        <f ca="1">IF($L278="","",INDEX('Veri Merkezi'!$R$2:$R$1001,$L278))</f>
        <v/>
      </c>
      <c r="J278" s="8" t="str">
        <f ca="1">IF($L278="","",INDEX('Veri Merkezi'!$S$2:$S$1001,$L278))</f>
        <v/>
      </c>
      <c r="K278" s="8" t="str">
        <f ca="1">IF($L278="","",INDEX('Veri Merkezi'!$U$2:$U$1001,$L278))</f>
        <v/>
      </c>
      <c r="L278" s="8" t="str">
        <f ca="1">IFERROR(MATCH(ROWS($L$4:L278),'Veri Merkezi'!$W$2:$W$1001,0),"")</f>
        <v/>
      </c>
    </row>
    <row r="279" spans="1:12" ht="20" customHeight="1">
      <c r="A279" s="8" t="str">
        <f ca="1">IF($L279="","",ROWS($A$4:A279))</f>
        <v/>
      </c>
      <c r="B279" s="8" t="str">
        <f ca="1">IF($L279="","",INDEX('Veri Merkezi'!$A$2:$A$1001,$L279))</f>
        <v/>
      </c>
      <c r="C279" s="8" t="str">
        <f ca="1">IF($L279="","",INDEX('Veri Merkezi'!$E$2:$E$1001,$L279))</f>
        <v/>
      </c>
      <c r="D279" s="8" t="str">
        <f ca="1">IF($L279="","",INDEX('Veri Merkezi'!$D$2:$D$1001,$L279))</f>
        <v/>
      </c>
      <c r="E279" s="8" t="str">
        <f ca="1">IF($L279="","",INDEX('Veri Merkezi'!$F$2:$F$1001,$L279))</f>
        <v/>
      </c>
      <c r="F279" s="9" t="str">
        <f ca="1">IF($L279="","",INDEX('Veri Merkezi'!$G$2:$G$1001,$L279))</f>
        <v/>
      </c>
      <c r="H279" s="8" t="str">
        <f ca="1">IF($L279="","",INDEX('Veri Merkezi'!$H$2:$H$1001,$L279))</f>
        <v/>
      </c>
      <c r="I279" s="10" t="str">
        <f ca="1">IF($L279="","",INDEX('Veri Merkezi'!$R$2:$R$1001,$L279))</f>
        <v/>
      </c>
      <c r="J279" s="8" t="str">
        <f ca="1">IF($L279="","",INDEX('Veri Merkezi'!$S$2:$S$1001,$L279))</f>
        <v/>
      </c>
      <c r="K279" s="8" t="str">
        <f ca="1">IF($L279="","",INDEX('Veri Merkezi'!$U$2:$U$1001,$L279))</f>
        <v/>
      </c>
      <c r="L279" s="8" t="str">
        <f ca="1">IFERROR(MATCH(ROWS($L$4:L279),'Veri Merkezi'!$W$2:$W$1001,0),"")</f>
        <v/>
      </c>
    </row>
    <row r="280" spans="1:12" ht="20" customHeight="1">
      <c r="A280" s="8" t="str">
        <f ca="1">IF($L280="","",ROWS($A$4:A280))</f>
        <v/>
      </c>
      <c r="B280" s="8" t="str">
        <f ca="1">IF($L280="","",INDEX('Veri Merkezi'!$A$2:$A$1001,$L280))</f>
        <v/>
      </c>
      <c r="C280" s="8" t="str">
        <f ca="1">IF($L280="","",INDEX('Veri Merkezi'!$E$2:$E$1001,$L280))</f>
        <v/>
      </c>
      <c r="D280" s="8" t="str">
        <f ca="1">IF($L280="","",INDEX('Veri Merkezi'!$D$2:$D$1001,$L280))</f>
        <v/>
      </c>
      <c r="E280" s="8" t="str">
        <f ca="1">IF($L280="","",INDEX('Veri Merkezi'!$F$2:$F$1001,$L280))</f>
        <v/>
      </c>
      <c r="F280" s="9" t="str">
        <f ca="1">IF($L280="","",INDEX('Veri Merkezi'!$G$2:$G$1001,$L280))</f>
        <v/>
      </c>
      <c r="H280" s="8" t="str">
        <f ca="1">IF($L280="","",INDEX('Veri Merkezi'!$H$2:$H$1001,$L280))</f>
        <v/>
      </c>
      <c r="I280" s="10" t="str">
        <f ca="1">IF($L280="","",INDEX('Veri Merkezi'!$R$2:$R$1001,$L280))</f>
        <v/>
      </c>
      <c r="J280" s="8" t="str">
        <f ca="1">IF($L280="","",INDEX('Veri Merkezi'!$S$2:$S$1001,$L280))</f>
        <v/>
      </c>
      <c r="K280" s="8" t="str">
        <f ca="1">IF($L280="","",INDEX('Veri Merkezi'!$U$2:$U$1001,$L280))</f>
        <v/>
      </c>
      <c r="L280" s="8" t="str">
        <f ca="1">IFERROR(MATCH(ROWS($L$4:L280),'Veri Merkezi'!$W$2:$W$1001,0),"")</f>
        <v/>
      </c>
    </row>
    <row r="281" spans="1:12" ht="20" customHeight="1">
      <c r="A281" s="8" t="str">
        <f ca="1">IF($L281="","",ROWS($A$4:A281))</f>
        <v/>
      </c>
      <c r="B281" s="8" t="str">
        <f ca="1">IF($L281="","",INDEX('Veri Merkezi'!$A$2:$A$1001,$L281))</f>
        <v/>
      </c>
      <c r="C281" s="8" t="str">
        <f ca="1">IF($L281="","",INDEX('Veri Merkezi'!$E$2:$E$1001,$L281))</f>
        <v/>
      </c>
      <c r="D281" s="8" t="str">
        <f ca="1">IF($L281="","",INDEX('Veri Merkezi'!$D$2:$D$1001,$L281))</f>
        <v/>
      </c>
      <c r="E281" s="8" t="str">
        <f ca="1">IF($L281="","",INDEX('Veri Merkezi'!$F$2:$F$1001,$L281))</f>
        <v/>
      </c>
      <c r="F281" s="9" t="str">
        <f ca="1">IF($L281="","",INDEX('Veri Merkezi'!$G$2:$G$1001,$L281))</f>
        <v/>
      </c>
      <c r="H281" s="8" t="str">
        <f ca="1">IF($L281="","",INDEX('Veri Merkezi'!$H$2:$H$1001,$L281))</f>
        <v/>
      </c>
      <c r="I281" s="10" t="str">
        <f ca="1">IF($L281="","",INDEX('Veri Merkezi'!$R$2:$R$1001,$L281))</f>
        <v/>
      </c>
      <c r="J281" s="8" t="str">
        <f ca="1">IF($L281="","",INDEX('Veri Merkezi'!$S$2:$S$1001,$L281))</f>
        <v/>
      </c>
      <c r="K281" s="8" t="str">
        <f ca="1">IF($L281="","",INDEX('Veri Merkezi'!$U$2:$U$1001,$L281))</f>
        <v/>
      </c>
      <c r="L281" s="8" t="str">
        <f ca="1">IFERROR(MATCH(ROWS($L$4:L281),'Veri Merkezi'!$W$2:$W$1001,0),"")</f>
        <v/>
      </c>
    </row>
    <row r="282" spans="1:12" ht="20" customHeight="1">
      <c r="A282" s="8" t="str">
        <f ca="1">IF($L282="","",ROWS($A$4:A282))</f>
        <v/>
      </c>
      <c r="B282" s="8" t="str">
        <f ca="1">IF($L282="","",INDEX('Veri Merkezi'!$A$2:$A$1001,$L282))</f>
        <v/>
      </c>
      <c r="C282" s="8" t="str">
        <f ca="1">IF($L282="","",INDEX('Veri Merkezi'!$E$2:$E$1001,$L282))</f>
        <v/>
      </c>
      <c r="D282" s="8" t="str">
        <f ca="1">IF($L282="","",INDEX('Veri Merkezi'!$D$2:$D$1001,$L282))</f>
        <v/>
      </c>
      <c r="E282" s="8" t="str">
        <f ca="1">IF($L282="","",INDEX('Veri Merkezi'!$F$2:$F$1001,$L282))</f>
        <v/>
      </c>
      <c r="F282" s="9" t="str">
        <f ca="1">IF($L282="","",INDEX('Veri Merkezi'!$G$2:$G$1001,$L282))</f>
        <v/>
      </c>
      <c r="H282" s="8" t="str">
        <f ca="1">IF($L282="","",INDEX('Veri Merkezi'!$H$2:$H$1001,$L282))</f>
        <v/>
      </c>
      <c r="I282" s="10" t="str">
        <f ca="1">IF($L282="","",INDEX('Veri Merkezi'!$R$2:$R$1001,$L282))</f>
        <v/>
      </c>
      <c r="J282" s="8" t="str">
        <f ca="1">IF($L282="","",INDEX('Veri Merkezi'!$S$2:$S$1001,$L282))</f>
        <v/>
      </c>
      <c r="K282" s="8" t="str">
        <f ca="1">IF($L282="","",INDEX('Veri Merkezi'!$U$2:$U$1001,$L282))</f>
        <v/>
      </c>
      <c r="L282" s="8" t="str">
        <f ca="1">IFERROR(MATCH(ROWS($L$4:L282),'Veri Merkezi'!$W$2:$W$1001,0),"")</f>
        <v/>
      </c>
    </row>
    <row r="283" spans="1:12" ht="20" customHeight="1">
      <c r="A283" s="8" t="str">
        <f ca="1">IF($L283="","",ROWS($A$4:A283))</f>
        <v/>
      </c>
      <c r="B283" s="8" t="str">
        <f ca="1">IF($L283="","",INDEX('Veri Merkezi'!$A$2:$A$1001,$L283))</f>
        <v/>
      </c>
      <c r="C283" s="8" t="str">
        <f ca="1">IF($L283="","",INDEX('Veri Merkezi'!$E$2:$E$1001,$L283))</f>
        <v/>
      </c>
      <c r="D283" s="8" t="str">
        <f ca="1">IF($L283="","",INDEX('Veri Merkezi'!$D$2:$D$1001,$L283))</f>
        <v/>
      </c>
      <c r="E283" s="8" t="str">
        <f ca="1">IF($L283="","",INDEX('Veri Merkezi'!$F$2:$F$1001,$L283))</f>
        <v/>
      </c>
      <c r="F283" s="9" t="str">
        <f ca="1">IF($L283="","",INDEX('Veri Merkezi'!$G$2:$G$1001,$L283))</f>
        <v/>
      </c>
      <c r="H283" s="8" t="str">
        <f ca="1">IF($L283="","",INDEX('Veri Merkezi'!$H$2:$H$1001,$L283))</f>
        <v/>
      </c>
      <c r="I283" s="10" t="str">
        <f ca="1">IF($L283="","",INDEX('Veri Merkezi'!$R$2:$R$1001,$L283))</f>
        <v/>
      </c>
      <c r="J283" s="8" t="str">
        <f ca="1">IF($L283="","",INDEX('Veri Merkezi'!$S$2:$S$1001,$L283))</f>
        <v/>
      </c>
      <c r="K283" s="8" t="str">
        <f ca="1">IF($L283="","",INDEX('Veri Merkezi'!$U$2:$U$1001,$L283))</f>
        <v/>
      </c>
      <c r="L283" s="8" t="str">
        <f ca="1">IFERROR(MATCH(ROWS($L$4:L283),'Veri Merkezi'!$W$2:$W$1001,0),"")</f>
        <v/>
      </c>
    </row>
    <row r="284" spans="1:12" ht="20" customHeight="1">
      <c r="A284" s="8" t="str">
        <f ca="1">IF($L284="","",ROWS($A$4:A284))</f>
        <v/>
      </c>
      <c r="B284" s="8" t="str">
        <f ca="1">IF($L284="","",INDEX('Veri Merkezi'!$A$2:$A$1001,$L284))</f>
        <v/>
      </c>
      <c r="C284" s="8" t="str">
        <f ca="1">IF($L284="","",INDEX('Veri Merkezi'!$E$2:$E$1001,$L284))</f>
        <v/>
      </c>
      <c r="D284" s="8" t="str">
        <f ca="1">IF($L284="","",INDEX('Veri Merkezi'!$D$2:$D$1001,$L284))</f>
        <v/>
      </c>
      <c r="E284" s="8" t="str">
        <f ca="1">IF($L284="","",INDEX('Veri Merkezi'!$F$2:$F$1001,$L284))</f>
        <v/>
      </c>
      <c r="F284" s="9" t="str">
        <f ca="1">IF($L284="","",INDEX('Veri Merkezi'!$G$2:$G$1001,$L284))</f>
        <v/>
      </c>
      <c r="H284" s="8" t="str">
        <f ca="1">IF($L284="","",INDEX('Veri Merkezi'!$H$2:$H$1001,$L284))</f>
        <v/>
      </c>
      <c r="I284" s="10" t="str">
        <f ca="1">IF($L284="","",INDEX('Veri Merkezi'!$R$2:$R$1001,$L284))</f>
        <v/>
      </c>
      <c r="J284" s="8" t="str">
        <f ca="1">IF($L284="","",INDEX('Veri Merkezi'!$S$2:$S$1001,$L284))</f>
        <v/>
      </c>
      <c r="K284" s="8" t="str">
        <f ca="1">IF($L284="","",INDEX('Veri Merkezi'!$U$2:$U$1001,$L284))</f>
        <v/>
      </c>
      <c r="L284" s="8" t="str">
        <f ca="1">IFERROR(MATCH(ROWS($L$4:L284),'Veri Merkezi'!$W$2:$W$1001,0),"")</f>
        <v/>
      </c>
    </row>
    <row r="285" spans="1:12" ht="20" customHeight="1">
      <c r="A285" s="8" t="str">
        <f ca="1">IF($L285="","",ROWS($A$4:A285))</f>
        <v/>
      </c>
      <c r="B285" s="8" t="str">
        <f ca="1">IF($L285="","",INDEX('Veri Merkezi'!$A$2:$A$1001,$L285))</f>
        <v/>
      </c>
      <c r="C285" s="8" t="str">
        <f ca="1">IF($L285="","",INDEX('Veri Merkezi'!$E$2:$E$1001,$L285))</f>
        <v/>
      </c>
      <c r="D285" s="8" t="str">
        <f ca="1">IF($L285="","",INDEX('Veri Merkezi'!$D$2:$D$1001,$L285))</f>
        <v/>
      </c>
      <c r="E285" s="8" t="str">
        <f ca="1">IF($L285="","",INDEX('Veri Merkezi'!$F$2:$F$1001,$L285))</f>
        <v/>
      </c>
      <c r="F285" s="9" t="str">
        <f ca="1">IF($L285="","",INDEX('Veri Merkezi'!$G$2:$G$1001,$L285))</f>
        <v/>
      </c>
      <c r="H285" s="8" t="str">
        <f ca="1">IF($L285="","",INDEX('Veri Merkezi'!$H$2:$H$1001,$L285))</f>
        <v/>
      </c>
      <c r="I285" s="10" t="str">
        <f ca="1">IF($L285="","",INDEX('Veri Merkezi'!$R$2:$R$1001,$L285))</f>
        <v/>
      </c>
      <c r="J285" s="8" t="str">
        <f ca="1">IF($L285="","",INDEX('Veri Merkezi'!$S$2:$S$1001,$L285))</f>
        <v/>
      </c>
      <c r="K285" s="8" t="str">
        <f ca="1">IF($L285="","",INDEX('Veri Merkezi'!$U$2:$U$1001,$L285))</f>
        <v/>
      </c>
      <c r="L285" s="8" t="str">
        <f ca="1">IFERROR(MATCH(ROWS($L$4:L285),'Veri Merkezi'!$W$2:$W$1001,0),"")</f>
        <v/>
      </c>
    </row>
    <row r="286" spans="1:12" ht="20" customHeight="1">
      <c r="A286" s="8" t="str">
        <f ca="1">IF($L286="","",ROWS($A$4:A286))</f>
        <v/>
      </c>
      <c r="B286" s="8" t="str">
        <f ca="1">IF($L286="","",INDEX('Veri Merkezi'!$A$2:$A$1001,$L286))</f>
        <v/>
      </c>
      <c r="C286" s="8" t="str">
        <f ca="1">IF($L286="","",INDEX('Veri Merkezi'!$E$2:$E$1001,$L286))</f>
        <v/>
      </c>
      <c r="D286" s="8" t="str">
        <f ca="1">IF($L286="","",INDEX('Veri Merkezi'!$D$2:$D$1001,$L286))</f>
        <v/>
      </c>
      <c r="E286" s="8" t="str">
        <f ca="1">IF($L286="","",INDEX('Veri Merkezi'!$F$2:$F$1001,$L286))</f>
        <v/>
      </c>
      <c r="F286" s="9" t="str">
        <f ca="1">IF($L286="","",INDEX('Veri Merkezi'!$G$2:$G$1001,$L286))</f>
        <v/>
      </c>
      <c r="H286" s="8" t="str">
        <f ca="1">IF($L286="","",INDEX('Veri Merkezi'!$H$2:$H$1001,$L286))</f>
        <v/>
      </c>
      <c r="I286" s="10" t="str">
        <f ca="1">IF($L286="","",INDEX('Veri Merkezi'!$R$2:$R$1001,$L286))</f>
        <v/>
      </c>
      <c r="J286" s="8" t="str">
        <f ca="1">IF($L286="","",INDEX('Veri Merkezi'!$S$2:$S$1001,$L286))</f>
        <v/>
      </c>
      <c r="K286" s="8" t="str">
        <f ca="1">IF($L286="","",INDEX('Veri Merkezi'!$U$2:$U$1001,$L286))</f>
        <v/>
      </c>
      <c r="L286" s="8" t="str">
        <f ca="1">IFERROR(MATCH(ROWS($L$4:L286),'Veri Merkezi'!$W$2:$W$1001,0),"")</f>
        <v/>
      </c>
    </row>
    <row r="287" spans="1:12" ht="20" customHeight="1">
      <c r="A287" s="8" t="str">
        <f ca="1">IF($L287="","",ROWS($A$4:A287))</f>
        <v/>
      </c>
      <c r="B287" s="8" t="str">
        <f ca="1">IF($L287="","",INDEX('Veri Merkezi'!$A$2:$A$1001,$L287))</f>
        <v/>
      </c>
      <c r="C287" s="8" t="str">
        <f ca="1">IF($L287="","",INDEX('Veri Merkezi'!$E$2:$E$1001,$L287))</f>
        <v/>
      </c>
      <c r="D287" s="8" t="str">
        <f ca="1">IF($L287="","",INDEX('Veri Merkezi'!$D$2:$D$1001,$L287))</f>
        <v/>
      </c>
      <c r="E287" s="8" t="str">
        <f ca="1">IF($L287="","",INDEX('Veri Merkezi'!$F$2:$F$1001,$L287))</f>
        <v/>
      </c>
      <c r="F287" s="9" t="str">
        <f ca="1">IF($L287="","",INDEX('Veri Merkezi'!$G$2:$G$1001,$L287))</f>
        <v/>
      </c>
      <c r="H287" s="8" t="str">
        <f ca="1">IF($L287="","",INDEX('Veri Merkezi'!$H$2:$H$1001,$L287))</f>
        <v/>
      </c>
      <c r="I287" s="10" t="str">
        <f ca="1">IF($L287="","",INDEX('Veri Merkezi'!$R$2:$R$1001,$L287))</f>
        <v/>
      </c>
      <c r="J287" s="8" t="str">
        <f ca="1">IF($L287="","",INDEX('Veri Merkezi'!$S$2:$S$1001,$L287))</f>
        <v/>
      </c>
      <c r="K287" s="8" t="str">
        <f ca="1">IF($L287="","",INDEX('Veri Merkezi'!$U$2:$U$1001,$L287))</f>
        <v/>
      </c>
      <c r="L287" s="8" t="str">
        <f ca="1">IFERROR(MATCH(ROWS($L$4:L287),'Veri Merkezi'!$W$2:$W$1001,0),"")</f>
        <v/>
      </c>
    </row>
    <row r="288" spans="1:12" ht="20" customHeight="1">
      <c r="A288" s="8" t="str">
        <f ca="1">IF($L288="","",ROWS($A$4:A288))</f>
        <v/>
      </c>
      <c r="B288" s="8" t="str">
        <f ca="1">IF($L288="","",INDEX('Veri Merkezi'!$A$2:$A$1001,$L288))</f>
        <v/>
      </c>
      <c r="C288" s="8" t="str">
        <f ca="1">IF($L288="","",INDEX('Veri Merkezi'!$E$2:$E$1001,$L288))</f>
        <v/>
      </c>
      <c r="D288" s="8" t="str">
        <f ca="1">IF($L288="","",INDEX('Veri Merkezi'!$D$2:$D$1001,$L288))</f>
        <v/>
      </c>
      <c r="E288" s="8" t="str">
        <f ca="1">IF($L288="","",INDEX('Veri Merkezi'!$F$2:$F$1001,$L288))</f>
        <v/>
      </c>
      <c r="F288" s="9" t="str">
        <f ca="1">IF($L288="","",INDEX('Veri Merkezi'!$G$2:$G$1001,$L288))</f>
        <v/>
      </c>
      <c r="H288" s="8" t="str">
        <f ca="1">IF($L288="","",INDEX('Veri Merkezi'!$H$2:$H$1001,$L288))</f>
        <v/>
      </c>
      <c r="I288" s="10" t="str">
        <f ca="1">IF($L288="","",INDEX('Veri Merkezi'!$R$2:$R$1001,$L288))</f>
        <v/>
      </c>
      <c r="J288" s="8" t="str">
        <f ca="1">IF($L288="","",INDEX('Veri Merkezi'!$S$2:$S$1001,$L288))</f>
        <v/>
      </c>
      <c r="K288" s="8" t="str">
        <f ca="1">IF($L288="","",INDEX('Veri Merkezi'!$U$2:$U$1001,$L288))</f>
        <v/>
      </c>
      <c r="L288" s="8" t="str">
        <f ca="1">IFERROR(MATCH(ROWS($L$4:L288),'Veri Merkezi'!$W$2:$W$1001,0),"")</f>
        <v/>
      </c>
    </row>
    <row r="289" spans="1:12" ht="20" customHeight="1">
      <c r="A289" s="8" t="str">
        <f ca="1">IF($L289="","",ROWS($A$4:A289))</f>
        <v/>
      </c>
      <c r="B289" s="8" t="str">
        <f ca="1">IF($L289="","",INDEX('Veri Merkezi'!$A$2:$A$1001,$L289))</f>
        <v/>
      </c>
      <c r="C289" s="8" t="str">
        <f ca="1">IF($L289="","",INDEX('Veri Merkezi'!$E$2:$E$1001,$L289))</f>
        <v/>
      </c>
      <c r="D289" s="8" t="str">
        <f ca="1">IF($L289="","",INDEX('Veri Merkezi'!$D$2:$D$1001,$L289))</f>
        <v/>
      </c>
      <c r="E289" s="8" t="str">
        <f ca="1">IF($L289="","",INDEX('Veri Merkezi'!$F$2:$F$1001,$L289))</f>
        <v/>
      </c>
      <c r="F289" s="9" t="str">
        <f ca="1">IF($L289="","",INDEX('Veri Merkezi'!$G$2:$G$1001,$L289))</f>
        <v/>
      </c>
      <c r="H289" s="8" t="str">
        <f ca="1">IF($L289="","",INDEX('Veri Merkezi'!$H$2:$H$1001,$L289))</f>
        <v/>
      </c>
      <c r="I289" s="10" t="str">
        <f ca="1">IF($L289="","",INDEX('Veri Merkezi'!$R$2:$R$1001,$L289))</f>
        <v/>
      </c>
      <c r="J289" s="8" t="str">
        <f ca="1">IF($L289="","",INDEX('Veri Merkezi'!$S$2:$S$1001,$L289))</f>
        <v/>
      </c>
      <c r="K289" s="8" t="str">
        <f ca="1">IF($L289="","",INDEX('Veri Merkezi'!$U$2:$U$1001,$L289))</f>
        <v/>
      </c>
      <c r="L289" s="8" t="str">
        <f ca="1">IFERROR(MATCH(ROWS($L$4:L289),'Veri Merkezi'!$W$2:$W$1001,0),"")</f>
        <v/>
      </c>
    </row>
    <row r="290" spans="1:12" ht="20" customHeight="1">
      <c r="A290" s="8" t="str">
        <f ca="1">IF($L290="","",ROWS($A$4:A290))</f>
        <v/>
      </c>
      <c r="B290" s="8" t="str">
        <f ca="1">IF($L290="","",INDEX('Veri Merkezi'!$A$2:$A$1001,$L290))</f>
        <v/>
      </c>
      <c r="C290" s="8" t="str">
        <f ca="1">IF($L290="","",INDEX('Veri Merkezi'!$E$2:$E$1001,$L290))</f>
        <v/>
      </c>
      <c r="D290" s="8" t="str">
        <f ca="1">IF($L290="","",INDEX('Veri Merkezi'!$D$2:$D$1001,$L290))</f>
        <v/>
      </c>
      <c r="E290" s="8" t="str">
        <f ca="1">IF($L290="","",INDEX('Veri Merkezi'!$F$2:$F$1001,$L290))</f>
        <v/>
      </c>
      <c r="F290" s="9" t="str">
        <f ca="1">IF($L290="","",INDEX('Veri Merkezi'!$G$2:$G$1001,$L290))</f>
        <v/>
      </c>
      <c r="H290" s="8" t="str">
        <f ca="1">IF($L290="","",INDEX('Veri Merkezi'!$H$2:$H$1001,$L290))</f>
        <v/>
      </c>
      <c r="I290" s="10" t="str">
        <f ca="1">IF($L290="","",INDEX('Veri Merkezi'!$R$2:$R$1001,$L290))</f>
        <v/>
      </c>
      <c r="J290" s="8" t="str">
        <f ca="1">IF($L290="","",INDEX('Veri Merkezi'!$S$2:$S$1001,$L290))</f>
        <v/>
      </c>
      <c r="K290" s="8" t="str">
        <f ca="1">IF($L290="","",INDEX('Veri Merkezi'!$U$2:$U$1001,$L290))</f>
        <v/>
      </c>
      <c r="L290" s="8" t="str">
        <f ca="1">IFERROR(MATCH(ROWS($L$4:L290),'Veri Merkezi'!$W$2:$W$1001,0),"")</f>
        <v/>
      </c>
    </row>
    <row r="291" spans="1:12" ht="20" customHeight="1">
      <c r="A291" s="8" t="str">
        <f ca="1">IF($L291="","",ROWS($A$4:A291))</f>
        <v/>
      </c>
      <c r="B291" s="8" t="str">
        <f ca="1">IF($L291="","",INDEX('Veri Merkezi'!$A$2:$A$1001,$L291))</f>
        <v/>
      </c>
      <c r="C291" s="8" t="str">
        <f ca="1">IF($L291="","",INDEX('Veri Merkezi'!$E$2:$E$1001,$L291))</f>
        <v/>
      </c>
      <c r="D291" s="8" t="str">
        <f ca="1">IF($L291="","",INDEX('Veri Merkezi'!$D$2:$D$1001,$L291))</f>
        <v/>
      </c>
      <c r="E291" s="8" t="str">
        <f ca="1">IF($L291="","",INDEX('Veri Merkezi'!$F$2:$F$1001,$L291))</f>
        <v/>
      </c>
      <c r="F291" s="9" t="str">
        <f ca="1">IF($L291="","",INDEX('Veri Merkezi'!$G$2:$G$1001,$L291))</f>
        <v/>
      </c>
      <c r="H291" s="8" t="str">
        <f ca="1">IF($L291="","",INDEX('Veri Merkezi'!$H$2:$H$1001,$L291))</f>
        <v/>
      </c>
      <c r="I291" s="10" t="str">
        <f ca="1">IF($L291="","",INDEX('Veri Merkezi'!$R$2:$R$1001,$L291))</f>
        <v/>
      </c>
      <c r="J291" s="8" t="str">
        <f ca="1">IF($L291="","",INDEX('Veri Merkezi'!$S$2:$S$1001,$L291))</f>
        <v/>
      </c>
      <c r="K291" s="8" t="str">
        <f ca="1">IF($L291="","",INDEX('Veri Merkezi'!$U$2:$U$1001,$L291))</f>
        <v/>
      </c>
      <c r="L291" s="8" t="str">
        <f ca="1">IFERROR(MATCH(ROWS($L$4:L291),'Veri Merkezi'!$W$2:$W$1001,0),"")</f>
        <v/>
      </c>
    </row>
    <row r="292" spans="1:12" ht="20" customHeight="1">
      <c r="A292" s="8" t="str">
        <f ca="1">IF($L292="","",ROWS($A$4:A292))</f>
        <v/>
      </c>
      <c r="B292" s="8" t="str">
        <f ca="1">IF($L292="","",INDEX('Veri Merkezi'!$A$2:$A$1001,$L292))</f>
        <v/>
      </c>
      <c r="C292" s="8" t="str">
        <f ca="1">IF($L292="","",INDEX('Veri Merkezi'!$E$2:$E$1001,$L292))</f>
        <v/>
      </c>
      <c r="D292" s="8" t="str">
        <f ca="1">IF($L292="","",INDEX('Veri Merkezi'!$D$2:$D$1001,$L292))</f>
        <v/>
      </c>
      <c r="E292" s="8" t="str">
        <f ca="1">IF($L292="","",INDEX('Veri Merkezi'!$F$2:$F$1001,$L292))</f>
        <v/>
      </c>
      <c r="F292" s="9" t="str">
        <f ca="1">IF($L292="","",INDEX('Veri Merkezi'!$G$2:$G$1001,$L292))</f>
        <v/>
      </c>
      <c r="H292" s="8" t="str">
        <f ca="1">IF($L292="","",INDEX('Veri Merkezi'!$H$2:$H$1001,$L292))</f>
        <v/>
      </c>
      <c r="I292" s="10" t="str">
        <f ca="1">IF($L292="","",INDEX('Veri Merkezi'!$R$2:$R$1001,$L292))</f>
        <v/>
      </c>
      <c r="J292" s="8" t="str">
        <f ca="1">IF($L292="","",INDEX('Veri Merkezi'!$S$2:$S$1001,$L292))</f>
        <v/>
      </c>
      <c r="K292" s="8" t="str">
        <f ca="1">IF($L292="","",INDEX('Veri Merkezi'!$U$2:$U$1001,$L292))</f>
        <v/>
      </c>
      <c r="L292" s="8" t="str">
        <f ca="1">IFERROR(MATCH(ROWS($L$4:L292),'Veri Merkezi'!$W$2:$W$1001,0),"")</f>
        <v/>
      </c>
    </row>
    <row r="293" spans="1:12" ht="20" customHeight="1">
      <c r="A293" s="8" t="str">
        <f ca="1">IF($L293="","",ROWS($A$4:A293))</f>
        <v/>
      </c>
      <c r="B293" s="8" t="str">
        <f ca="1">IF($L293="","",INDEX('Veri Merkezi'!$A$2:$A$1001,$L293))</f>
        <v/>
      </c>
      <c r="C293" s="8" t="str">
        <f ca="1">IF($L293="","",INDEX('Veri Merkezi'!$E$2:$E$1001,$L293))</f>
        <v/>
      </c>
      <c r="D293" s="8" t="str">
        <f ca="1">IF($L293="","",INDEX('Veri Merkezi'!$D$2:$D$1001,$L293))</f>
        <v/>
      </c>
      <c r="E293" s="8" t="str">
        <f ca="1">IF($L293="","",INDEX('Veri Merkezi'!$F$2:$F$1001,$L293))</f>
        <v/>
      </c>
      <c r="F293" s="9" t="str">
        <f ca="1">IF($L293="","",INDEX('Veri Merkezi'!$G$2:$G$1001,$L293))</f>
        <v/>
      </c>
      <c r="H293" s="8" t="str">
        <f ca="1">IF($L293="","",INDEX('Veri Merkezi'!$H$2:$H$1001,$L293))</f>
        <v/>
      </c>
      <c r="I293" s="10" t="str">
        <f ca="1">IF($L293="","",INDEX('Veri Merkezi'!$R$2:$R$1001,$L293))</f>
        <v/>
      </c>
      <c r="J293" s="8" t="str">
        <f ca="1">IF($L293="","",INDEX('Veri Merkezi'!$S$2:$S$1001,$L293))</f>
        <v/>
      </c>
      <c r="K293" s="8" t="str">
        <f ca="1">IF($L293="","",INDEX('Veri Merkezi'!$U$2:$U$1001,$L293))</f>
        <v/>
      </c>
      <c r="L293" s="8" t="str">
        <f ca="1">IFERROR(MATCH(ROWS($L$4:L293),'Veri Merkezi'!$W$2:$W$1001,0),"")</f>
        <v/>
      </c>
    </row>
    <row r="294" spans="1:12" ht="20" customHeight="1">
      <c r="A294" s="8" t="str">
        <f ca="1">IF($L294="","",ROWS($A$4:A294))</f>
        <v/>
      </c>
      <c r="B294" s="8" t="str">
        <f ca="1">IF($L294="","",INDEX('Veri Merkezi'!$A$2:$A$1001,$L294))</f>
        <v/>
      </c>
      <c r="C294" s="8" t="str">
        <f ca="1">IF($L294="","",INDEX('Veri Merkezi'!$E$2:$E$1001,$L294))</f>
        <v/>
      </c>
      <c r="D294" s="8" t="str">
        <f ca="1">IF($L294="","",INDEX('Veri Merkezi'!$D$2:$D$1001,$L294))</f>
        <v/>
      </c>
      <c r="E294" s="8" t="str">
        <f ca="1">IF($L294="","",INDEX('Veri Merkezi'!$F$2:$F$1001,$L294))</f>
        <v/>
      </c>
      <c r="F294" s="9" t="str">
        <f ca="1">IF($L294="","",INDEX('Veri Merkezi'!$G$2:$G$1001,$L294))</f>
        <v/>
      </c>
      <c r="H294" s="8" t="str">
        <f ca="1">IF($L294="","",INDEX('Veri Merkezi'!$H$2:$H$1001,$L294))</f>
        <v/>
      </c>
      <c r="I294" s="10" t="str">
        <f ca="1">IF($L294="","",INDEX('Veri Merkezi'!$R$2:$R$1001,$L294))</f>
        <v/>
      </c>
      <c r="J294" s="8" t="str">
        <f ca="1">IF($L294="","",INDEX('Veri Merkezi'!$S$2:$S$1001,$L294))</f>
        <v/>
      </c>
      <c r="K294" s="8" t="str">
        <f ca="1">IF($L294="","",INDEX('Veri Merkezi'!$U$2:$U$1001,$L294))</f>
        <v/>
      </c>
      <c r="L294" s="8" t="str">
        <f ca="1">IFERROR(MATCH(ROWS($L$4:L294),'Veri Merkezi'!$W$2:$W$1001,0),"")</f>
        <v/>
      </c>
    </row>
    <row r="295" spans="1:12" ht="20" customHeight="1">
      <c r="A295" s="8" t="str">
        <f ca="1">IF($L295="","",ROWS($A$4:A295))</f>
        <v/>
      </c>
      <c r="B295" s="8" t="str">
        <f ca="1">IF($L295="","",INDEX('Veri Merkezi'!$A$2:$A$1001,$L295))</f>
        <v/>
      </c>
      <c r="C295" s="8" t="str">
        <f ca="1">IF($L295="","",INDEX('Veri Merkezi'!$E$2:$E$1001,$L295))</f>
        <v/>
      </c>
      <c r="D295" s="8" t="str">
        <f ca="1">IF($L295="","",INDEX('Veri Merkezi'!$D$2:$D$1001,$L295))</f>
        <v/>
      </c>
      <c r="E295" s="8" t="str">
        <f ca="1">IF($L295="","",INDEX('Veri Merkezi'!$F$2:$F$1001,$L295))</f>
        <v/>
      </c>
      <c r="F295" s="9" t="str">
        <f ca="1">IF($L295="","",INDEX('Veri Merkezi'!$G$2:$G$1001,$L295))</f>
        <v/>
      </c>
      <c r="H295" s="8" t="str">
        <f ca="1">IF($L295="","",INDEX('Veri Merkezi'!$H$2:$H$1001,$L295))</f>
        <v/>
      </c>
      <c r="I295" s="10" t="str">
        <f ca="1">IF($L295="","",INDEX('Veri Merkezi'!$R$2:$R$1001,$L295))</f>
        <v/>
      </c>
      <c r="J295" s="8" t="str">
        <f ca="1">IF($L295="","",INDEX('Veri Merkezi'!$S$2:$S$1001,$L295))</f>
        <v/>
      </c>
      <c r="K295" s="8" t="str">
        <f ca="1">IF($L295="","",INDEX('Veri Merkezi'!$U$2:$U$1001,$L295))</f>
        <v/>
      </c>
      <c r="L295" s="8" t="str">
        <f ca="1">IFERROR(MATCH(ROWS($L$4:L295),'Veri Merkezi'!$W$2:$W$1001,0),"")</f>
        <v/>
      </c>
    </row>
    <row r="296" spans="1:12" ht="20" customHeight="1">
      <c r="A296" s="8" t="str">
        <f ca="1">IF($L296="","",ROWS($A$4:A296))</f>
        <v/>
      </c>
      <c r="B296" s="8" t="str">
        <f ca="1">IF($L296="","",INDEX('Veri Merkezi'!$A$2:$A$1001,$L296))</f>
        <v/>
      </c>
      <c r="C296" s="8" t="str">
        <f ca="1">IF($L296="","",INDEX('Veri Merkezi'!$E$2:$E$1001,$L296))</f>
        <v/>
      </c>
      <c r="D296" s="8" t="str">
        <f ca="1">IF($L296="","",INDEX('Veri Merkezi'!$D$2:$D$1001,$L296))</f>
        <v/>
      </c>
      <c r="E296" s="8" t="str">
        <f ca="1">IF($L296="","",INDEX('Veri Merkezi'!$F$2:$F$1001,$L296))</f>
        <v/>
      </c>
      <c r="F296" s="9" t="str">
        <f ca="1">IF($L296="","",INDEX('Veri Merkezi'!$G$2:$G$1001,$L296))</f>
        <v/>
      </c>
      <c r="H296" s="8" t="str">
        <f ca="1">IF($L296="","",INDEX('Veri Merkezi'!$H$2:$H$1001,$L296))</f>
        <v/>
      </c>
      <c r="I296" s="10" t="str">
        <f ca="1">IF($L296="","",INDEX('Veri Merkezi'!$R$2:$R$1001,$L296))</f>
        <v/>
      </c>
      <c r="J296" s="8" t="str">
        <f ca="1">IF($L296="","",INDEX('Veri Merkezi'!$S$2:$S$1001,$L296))</f>
        <v/>
      </c>
      <c r="K296" s="8" t="str">
        <f ca="1">IF($L296="","",INDEX('Veri Merkezi'!$U$2:$U$1001,$L296))</f>
        <v/>
      </c>
      <c r="L296" s="8" t="str">
        <f ca="1">IFERROR(MATCH(ROWS($L$4:L296),'Veri Merkezi'!$W$2:$W$1001,0),"")</f>
        <v/>
      </c>
    </row>
    <row r="297" spans="1:12" ht="20" customHeight="1">
      <c r="A297" s="8" t="str">
        <f ca="1">IF($L297="","",ROWS($A$4:A297))</f>
        <v/>
      </c>
      <c r="B297" s="8" t="str">
        <f ca="1">IF($L297="","",INDEX('Veri Merkezi'!$A$2:$A$1001,$L297))</f>
        <v/>
      </c>
      <c r="C297" s="8" t="str">
        <f ca="1">IF($L297="","",INDEX('Veri Merkezi'!$E$2:$E$1001,$L297))</f>
        <v/>
      </c>
      <c r="D297" s="8" t="str">
        <f ca="1">IF($L297="","",INDEX('Veri Merkezi'!$D$2:$D$1001,$L297))</f>
        <v/>
      </c>
      <c r="E297" s="8" t="str">
        <f ca="1">IF($L297="","",INDEX('Veri Merkezi'!$F$2:$F$1001,$L297))</f>
        <v/>
      </c>
      <c r="F297" s="9" t="str">
        <f ca="1">IF($L297="","",INDEX('Veri Merkezi'!$G$2:$G$1001,$L297))</f>
        <v/>
      </c>
      <c r="H297" s="8" t="str">
        <f ca="1">IF($L297="","",INDEX('Veri Merkezi'!$H$2:$H$1001,$L297))</f>
        <v/>
      </c>
      <c r="I297" s="10" t="str">
        <f ca="1">IF($L297="","",INDEX('Veri Merkezi'!$R$2:$R$1001,$L297))</f>
        <v/>
      </c>
      <c r="J297" s="8" t="str">
        <f ca="1">IF($L297="","",INDEX('Veri Merkezi'!$S$2:$S$1001,$L297))</f>
        <v/>
      </c>
      <c r="K297" s="8" t="str">
        <f ca="1">IF($L297="","",INDEX('Veri Merkezi'!$U$2:$U$1001,$L297))</f>
        <v/>
      </c>
      <c r="L297" s="8" t="str">
        <f ca="1">IFERROR(MATCH(ROWS($L$4:L297),'Veri Merkezi'!$W$2:$W$1001,0),"")</f>
        <v/>
      </c>
    </row>
    <row r="298" spans="1:12" ht="20" customHeight="1">
      <c r="A298" s="8" t="str">
        <f ca="1">IF($L298="","",ROWS($A$4:A298))</f>
        <v/>
      </c>
      <c r="B298" s="8" t="str">
        <f ca="1">IF($L298="","",INDEX('Veri Merkezi'!$A$2:$A$1001,$L298))</f>
        <v/>
      </c>
      <c r="C298" s="8" t="str">
        <f ca="1">IF($L298="","",INDEX('Veri Merkezi'!$E$2:$E$1001,$L298))</f>
        <v/>
      </c>
      <c r="D298" s="8" t="str">
        <f ca="1">IF($L298="","",INDEX('Veri Merkezi'!$D$2:$D$1001,$L298))</f>
        <v/>
      </c>
      <c r="E298" s="8" t="str">
        <f ca="1">IF($L298="","",INDEX('Veri Merkezi'!$F$2:$F$1001,$L298))</f>
        <v/>
      </c>
      <c r="F298" s="9" t="str">
        <f ca="1">IF($L298="","",INDEX('Veri Merkezi'!$G$2:$G$1001,$L298))</f>
        <v/>
      </c>
      <c r="H298" s="8" t="str">
        <f ca="1">IF($L298="","",INDEX('Veri Merkezi'!$H$2:$H$1001,$L298))</f>
        <v/>
      </c>
      <c r="I298" s="10" t="str">
        <f ca="1">IF($L298="","",INDEX('Veri Merkezi'!$R$2:$R$1001,$L298))</f>
        <v/>
      </c>
      <c r="J298" s="8" t="str">
        <f ca="1">IF($L298="","",INDEX('Veri Merkezi'!$S$2:$S$1001,$L298))</f>
        <v/>
      </c>
      <c r="K298" s="8" t="str">
        <f ca="1">IF($L298="","",INDEX('Veri Merkezi'!$U$2:$U$1001,$L298))</f>
        <v/>
      </c>
      <c r="L298" s="8" t="str">
        <f ca="1">IFERROR(MATCH(ROWS($L$4:L298),'Veri Merkezi'!$W$2:$W$1001,0),"")</f>
        <v/>
      </c>
    </row>
    <row r="299" spans="1:12" ht="20" customHeight="1">
      <c r="A299" s="8" t="str">
        <f ca="1">IF($L299="","",ROWS($A$4:A299))</f>
        <v/>
      </c>
      <c r="B299" s="8" t="str">
        <f ca="1">IF($L299="","",INDEX('Veri Merkezi'!$A$2:$A$1001,$L299))</f>
        <v/>
      </c>
      <c r="C299" s="8" t="str">
        <f ca="1">IF($L299="","",INDEX('Veri Merkezi'!$E$2:$E$1001,$L299))</f>
        <v/>
      </c>
      <c r="D299" s="8" t="str">
        <f ca="1">IF($L299="","",INDEX('Veri Merkezi'!$D$2:$D$1001,$L299))</f>
        <v/>
      </c>
      <c r="E299" s="8" t="str">
        <f ca="1">IF($L299="","",INDEX('Veri Merkezi'!$F$2:$F$1001,$L299))</f>
        <v/>
      </c>
      <c r="F299" s="9" t="str">
        <f ca="1">IF($L299="","",INDEX('Veri Merkezi'!$G$2:$G$1001,$L299))</f>
        <v/>
      </c>
      <c r="H299" s="8" t="str">
        <f ca="1">IF($L299="","",INDEX('Veri Merkezi'!$H$2:$H$1001,$L299))</f>
        <v/>
      </c>
      <c r="I299" s="10" t="str">
        <f ca="1">IF($L299="","",INDEX('Veri Merkezi'!$R$2:$R$1001,$L299))</f>
        <v/>
      </c>
      <c r="J299" s="8" t="str">
        <f ca="1">IF($L299="","",INDEX('Veri Merkezi'!$S$2:$S$1001,$L299))</f>
        <v/>
      </c>
      <c r="K299" s="8" t="str">
        <f ca="1">IF($L299="","",INDEX('Veri Merkezi'!$U$2:$U$1001,$L299))</f>
        <v/>
      </c>
      <c r="L299" s="8" t="str">
        <f ca="1">IFERROR(MATCH(ROWS($L$4:L299),'Veri Merkezi'!$W$2:$W$1001,0),"")</f>
        <v/>
      </c>
    </row>
    <row r="300" spans="1:12" ht="20" customHeight="1">
      <c r="A300" s="8" t="str">
        <f ca="1">IF($L300="","",ROWS($A$4:A300))</f>
        <v/>
      </c>
      <c r="B300" s="8" t="str">
        <f ca="1">IF($L300="","",INDEX('Veri Merkezi'!$A$2:$A$1001,$L300))</f>
        <v/>
      </c>
      <c r="C300" s="8" t="str">
        <f ca="1">IF($L300="","",INDEX('Veri Merkezi'!$E$2:$E$1001,$L300))</f>
        <v/>
      </c>
      <c r="D300" s="8" t="str">
        <f ca="1">IF($L300="","",INDEX('Veri Merkezi'!$D$2:$D$1001,$L300))</f>
        <v/>
      </c>
      <c r="E300" s="8" t="str">
        <f ca="1">IF($L300="","",INDEX('Veri Merkezi'!$F$2:$F$1001,$L300))</f>
        <v/>
      </c>
      <c r="F300" s="9" t="str">
        <f ca="1">IF($L300="","",INDEX('Veri Merkezi'!$G$2:$G$1001,$L300))</f>
        <v/>
      </c>
      <c r="H300" s="8" t="str">
        <f ca="1">IF($L300="","",INDEX('Veri Merkezi'!$H$2:$H$1001,$L300))</f>
        <v/>
      </c>
      <c r="I300" s="10" t="str">
        <f ca="1">IF($L300="","",INDEX('Veri Merkezi'!$R$2:$R$1001,$L300))</f>
        <v/>
      </c>
      <c r="J300" s="8" t="str">
        <f ca="1">IF($L300="","",INDEX('Veri Merkezi'!$S$2:$S$1001,$L300))</f>
        <v/>
      </c>
      <c r="K300" s="8" t="str">
        <f ca="1">IF($L300="","",INDEX('Veri Merkezi'!$U$2:$U$1001,$L300))</f>
        <v/>
      </c>
      <c r="L300" s="8" t="str">
        <f ca="1">IFERROR(MATCH(ROWS($L$4:L300),'Veri Merkezi'!$W$2:$W$1001,0),"")</f>
        <v/>
      </c>
    </row>
    <row r="301" spans="1:12" ht="20" customHeight="1">
      <c r="A301" s="8" t="str">
        <f ca="1">IF($L301="","",ROWS($A$4:A301))</f>
        <v/>
      </c>
      <c r="B301" s="8" t="str">
        <f ca="1">IF($L301="","",INDEX('Veri Merkezi'!$A$2:$A$1001,$L301))</f>
        <v/>
      </c>
      <c r="C301" s="8" t="str">
        <f ca="1">IF($L301="","",INDEX('Veri Merkezi'!$E$2:$E$1001,$L301))</f>
        <v/>
      </c>
      <c r="D301" s="8" t="str">
        <f ca="1">IF($L301="","",INDEX('Veri Merkezi'!$D$2:$D$1001,$L301))</f>
        <v/>
      </c>
      <c r="E301" s="8" t="str">
        <f ca="1">IF($L301="","",INDEX('Veri Merkezi'!$F$2:$F$1001,$L301))</f>
        <v/>
      </c>
      <c r="F301" s="9" t="str">
        <f ca="1">IF($L301="","",INDEX('Veri Merkezi'!$G$2:$G$1001,$L301))</f>
        <v/>
      </c>
      <c r="H301" s="8" t="str">
        <f ca="1">IF($L301="","",INDEX('Veri Merkezi'!$H$2:$H$1001,$L301))</f>
        <v/>
      </c>
      <c r="I301" s="10" t="str">
        <f ca="1">IF($L301="","",INDEX('Veri Merkezi'!$R$2:$R$1001,$L301))</f>
        <v/>
      </c>
      <c r="J301" s="8" t="str">
        <f ca="1">IF($L301="","",INDEX('Veri Merkezi'!$S$2:$S$1001,$L301))</f>
        <v/>
      </c>
      <c r="K301" s="8" t="str">
        <f ca="1">IF($L301="","",INDEX('Veri Merkezi'!$U$2:$U$1001,$L301))</f>
        <v/>
      </c>
      <c r="L301" s="8" t="str">
        <f ca="1">IFERROR(MATCH(ROWS($L$4:L301),'Veri Merkezi'!$W$2:$W$1001,0),"")</f>
        <v/>
      </c>
    </row>
    <row r="302" spans="1:12" ht="20" customHeight="1">
      <c r="A302" s="8" t="str">
        <f ca="1">IF($L302="","",ROWS($A$4:A302))</f>
        <v/>
      </c>
      <c r="B302" s="8" t="str">
        <f ca="1">IF($L302="","",INDEX('Veri Merkezi'!$A$2:$A$1001,$L302))</f>
        <v/>
      </c>
      <c r="C302" s="8" t="str">
        <f ca="1">IF($L302="","",INDEX('Veri Merkezi'!$E$2:$E$1001,$L302))</f>
        <v/>
      </c>
      <c r="D302" s="8" t="str">
        <f ca="1">IF($L302="","",INDEX('Veri Merkezi'!$D$2:$D$1001,$L302))</f>
        <v/>
      </c>
      <c r="E302" s="8" t="str">
        <f ca="1">IF($L302="","",INDEX('Veri Merkezi'!$F$2:$F$1001,$L302))</f>
        <v/>
      </c>
      <c r="F302" s="9" t="str">
        <f ca="1">IF($L302="","",INDEX('Veri Merkezi'!$G$2:$G$1001,$L302))</f>
        <v/>
      </c>
      <c r="H302" s="8" t="str">
        <f ca="1">IF($L302="","",INDEX('Veri Merkezi'!$H$2:$H$1001,$L302))</f>
        <v/>
      </c>
      <c r="I302" s="10" t="str">
        <f ca="1">IF($L302="","",INDEX('Veri Merkezi'!$R$2:$R$1001,$L302))</f>
        <v/>
      </c>
      <c r="J302" s="8" t="str">
        <f ca="1">IF($L302="","",INDEX('Veri Merkezi'!$S$2:$S$1001,$L302))</f>
        <v/>
      </c>
      <c r="K302" s="8" t="str">
        <f ca="1">IF($L302="","",INDEX('Veri Merkezi'!$U$2:$U$1001,$L302))</f>
        <v/>
      </c>
      <c r="L302" s="8" t="str">
        <f ca="1">IFERROR(MATCH(ROWS($L$4:L302),'Veri Merkezi'!$W$2:$W$1001,0),"")</f>
        <v/>
      </c>
    </row>
    <row r="303" spans="1:12" ht="20" customHeight="1">
      <c r="A303" s="8" t="str">
        <f ca="1">IF($L303="","",ROWS($A$4:A303))</f>
        <v/>
      </c>
      <c r="B303" s="8" t="str">
        <f ca="1">IF($L303="","",INDEX('Veri Merkezi'!$A$2:$A$1001,$L303))</f>
        <v/>
      </c>
      <c r="C303" s="8" t="str">
        <f ca="1">IF($L303="","",INDEX('Veri Merkezi'!$E$2:$E$1001,$L303))</f>
        <v/>
      </c>
      <c r="D303" s="8" t="str">
        <f ca="1">IF($L303="","",INDEX('Veri Merkezi'!$D$2:$D$1001,$L303))</f>
        <v/>
      </c>
      <c r="E303" s="8" t="str">
        <f ca="1">IF($L303="","",INDEX('Veri Merkezi'!$F$2:$F$1001,$L303))</f>
        <v/>
      </c>
      <c r="F303" s="9" t="str">
        <f ca="1">IF($L303="","",INDEX('Veri Merkezi'!$G$2:$G$1001,$L303))</f>
        <v/>
      </c>
      <c r="H303" s="8" t="str">
        <f ca="1">IF($L303="","",INDEX('Veri Merkezi'!$H$2:$H$1001,$L303))</f>
        <v/>
      </c>
      <c r="I303" s="10" t="str">
        <f ca="1">IF($L303="","",INDEX('Veri Merkezi'!$R$2:$R$1001,$L303))</f>
        <v/>
      </c>
      <c r="J303" s="8" t="str">
        <f ca="1">IF($L303="","",INDEX('Veri Merkezi'!$S$2:$S$1001,$L303))</f>
        <v/>
      </c>
      <c r="K303" s="8" t="str">
        <f ca="1">IF($L303="","",INDEX('Veri Merkezi'!$U$2:$U$1001,$L303))</f>
        <v/>
      </c>
      <c r="L303" s="8" t="str">
        <f ca="1">IFERROR(MATCH(ROWS($L$4:L303),'Veri Merkezi'!$W$2:$W$1001,0),"")</f>
        <v/>
      </c>
    </row>
    <row r="304" spans="1:12" ht="20" customHeight="1">
      <c r="A304" s="8" t="str">
        <f ca="1">IF($L304="","",ROWS($A$4:A304))</f>
        <v/>
      </c>
      <c r="B304" s="8" t="str">
        <f ca="1">IF($L304="","",INDEX('Veri Merkezi'!$A$2:$A$1001,$L304))</f>
        <v/>
      </c>
      <c r="C304" s="8" t="str">
        <f ca="1">IF($L304="","",INDEX('Veri Merkezi'!$E$2:$E$1001,$L304))</f>
        <v/>
      </c>
      <c r="D304" s="8" t="str">
        <f ca="1">IF($L304="","",INDEX('Veri Merkezi'!$D$2:$D$1001,$L304))</f>
        <v/>
      </c>
      <c r="E304" s="8" t="str">
        <f ca="1">IF($L304="","",INDEX('Veri Merkezi'!$F$2:$F$1001,$L304))</f>
        <v/>
      </c>
      <c r="F304" s="9" t="str">
        <f ca="1">IF($L304="","",INDEX('Veri Merkezi'!$G$2:$G$1001,$L304))</f>
        <v/>
      </c>
      <c r="H304" s="8" t="str">
        <f ca="1">IF($L304="","",INDEX('Veri Merkezi'!$H$2:$H$1001,$L304))</f>
        <v/>
      </c>
      <c r="I304" s="10" t="str">
        <f ca="1">IF($L304="","",INDEX('Veri Merkezi'!$R$2:$R$1001,$L304))</f>
        <v/>
      </c>
      <c r="J304" s="8" t="str">
        <f ca="1">IF($L304="","",INDEX('Veri Merkezi'!$S$2:$S$1001,$L304))</f>
        <v/>
      </c>
      <c r="K304" s="8" t="str">
        <f ca="1">IF($L304="","",INDEX('Veri Merkezi'!$U$2:$U$1001,$L304))</f>
        <v/>
      </c>
      <c r="L304" s="8" t="str">
        <f ca="1">IFERROR(MATCH(ROWS($L$4:L304),'Veri Merkezi'!$W$2:$W$1001,0),"")</f>
        <v/>
      </c>
    </row>
    <row r="305" spans="1:12" ht="20" customHeight="1">
      <c r="A305" s="8" t="str">
        <f ca="1">IF($L305="","",ROWS($A$4:A305))</f>
        <v/>
      </c>
      <c r="B305" s="8" t="str">
        <f ca="1">IF($L305="","",INDEX('Veri Merkezi'!$A$2:$A$1001,$L305))</f>
        <v/>
      </c>
      <c r="C305" s="8" t="str">
        <f ca="1">IF($L305="","",INDEX('Veri Merkezi'!$E$2:$E$1001,$L305))</f>
        <v/>
      </c>
      <c r="D305" s="8" t="str">
        <f ca="1">IF($L305="","",INDEX('Veri Merkezi'!$D$2:$D$1001,$L305))</f>
        <v/>
      </c>
      <c r="E305" s="8" t="str">
        <f ca="1">IF($L305="","",INDEX('Veri Merkezi'!$F$2:$F$1001,$L305))</f>
        <v/>
      </c>
      <c r="F305" s="9" t="str">
        <f ca="1">IF($L305="","",INDEX('Veri Merkezi'!$G$2:$G$1001,$L305))</f>
        <v/>
      </c>
      <c r="H305" s="8" t="str">
        <f ca="1">IF($L305="","",INDEX('Veri Merkezi'!$H$2:$H$1001,$L305))</f>
        <v/>
      </c>
      <c r="I305" s="10" t="str">
        <f ca="1">IF($L305="","",INDEX('Veri Merkezi'!$R$2:$R$1001,$L305))</f>
        <v/>
      </c>
      <c r="J305" s="8" t="str">
        <f ca="1">IF($L305="","",INDEX('Veri Merkezi'!$S$2:$S$1001,$L305))</f>
        <v/>
      </c>
      <c r="K305" s="8" t="str">
        <f ca="1">IF($L305="","",INDEX('Veri Merkezi'!$U$2:$U$1001,$L305))</f>
        <v/>
      </c>
      <c r="L305" s="8" t="str">
        <f ca="1">IFERROR(MATCH(ROWS($L$4:L305),'Veri Merkezi'!$W$2:$W$1001,0),"")</f>
        <v/>
      </c>
    </row>
    <row r="306" spans="1:12" ht="20" customHeight="1">
      <c r="A306" s="8" t="str">
        <f ca="1">IF($L306="","",ROWS($A$4:A306))</f>
        <v/>
      </c>
      <c r="B306" s="8" t="str">
        <f ca="1">IF($L306="","",INDEX('Veri Merkezi'!$A$2:$A$1001,$L306))</f>
        <v/>
      </c>
      <c r="C306" s="8" t="str">
        <f ca="1">IF($L306="","",INDEX('Veri Merkezi'!$E$2:$E$1001,$L306))</f>
        <v/>
      </c>
      <c r="D306" s="8" t="str">
        <f ca="1">IF($L306="","",INDEX('Veri Merkezi'!$D$2:$D$1001,$L306))</f>
        <v/>
      </c>
      <c r="E306" s="8" t="str">
        <f ca="1">IF($L306="","",INDEX('Veri Merkezi'!$F$2:$F$1001,$L306))</f>
        <v/>
      </c>
      <c r="F306" s="9" t="str">
        <f ca="1">IF($L306="","",INDEX('Veri Merkezi'!$G$2:$G$1001,$L306))</f>
        <v/>
      </c>
      <c r="H306" s="8" t="str">
        <f ca="1">IF($L306="","",INDEX('Veri Merkezi'!$H$2:$H$1001,$L306))</f>
        <v/>
      </c>
      <c r="I306" s="10" t="str">
        <f ca="1">IF($L306="","",INDEX('Veri Merkezi'!$R$2:$R$1001,$L306))</f>
        <v/>
      </c>
      <c r="J306" s="8" t="str">
        <f ca="1">IF($L306="","",INDEX('Veri Merkezi'!$S$2:$S$1001,$L306))</f>
        <v/>
      </c>
      <c r="K306" s="8" t="str">
        <f ca="1">IF($L306="","",INDEX('Veri Merkezi'!$U$2:$U$1001,$L306))</f>
        <v/>
      </c>
      <c r="L306" s="8" t="str">
        <f ca="1">IFERROR(MATCH(ROWS($L$4:L306),'Veri Merkezi'!$W$2:$W$1001,0),"")</f>
        <v/>
      </c>
    </row>
    <row r="307" spans="1:12" ht="20" customHeight="1">
      <c r="A307" s="8" t="str">
        <f ca="1">IF($L307="","",ROWS($A$4:A307))</f>
        <v/>
      </c>
      <c r="B307" s="8" t="str">
        <f ca="1">IF($L307="","",INDEX('Veri Merkezi'!$A$2:$A$1001,$L307))</f>
        <v/>
      </c>
      <c r="C307" s="8" t="str">
        <f ca="1">IF($L307="","",INDEX('Veri Merkezi'!$E$2:$E$1001,$L307))</f>
        <v/>
      </c>
      <c r="D307" s="8" t="str">
        <f ca="1">IF($L307="","",INDEX('Veri Merkezi'!$D$2:$D$1001,$L307))</f>
        <v/>
      </c>
      <c r="E307" s="8" t="str">
        <f ca="1">IF($L307="","",INDEX('Veri Merkezi'!$F$2:$F$1001,$L307))</f>
        <v/>
      </c>
      <c r="F307" s="9" t="str">
        <f ca="1">IF($L307="","",INDEX('Veri Merkezi'!$G$2:$G$1001,$L307))</f>
        <v/>
      </c>
      <c r="H307" s="8" t="str">
        <f ca="1">IF($L307="","",INDEX('Veri Merkezi'!$H$2:$H$1001,$L307))</f>
        <v/>
      </c>
      <c r="I307" s="10" t="str">
        <f ca="1">IF($L307="","",INDEX('Veri Merkezi'!$R$2:$R$1001,$L307))</f>
        <v/>
      </c>
      <c r="J307" s="8" t="str">
        <f ca="1">IF($L307="","",INDEX('Veri Merkezi'!$S$2:$S$1001,$L307))</f>
        <v/>
      </c>
      <c r="K307" s="8" t="str">
        <f ca="1">IF($L307="","",INDEX('Veri Merkezi'!$U$2:$U$1001,$L307))</f>
        <v/>
      </c>
      <c r="L307" s="8" t="str">
        <f ca="1">IFERROR(MATCH(ROWS($L$4:L307),'Veri Merkezi'!$W$2:$W$1001,0),"")</f>
        <v/>
      </c>
    </row>
    <row r="308" spans="1:12" ht="20" customHeight="1">
      <c r="A308" s="8" t="str">
        <f ca="1">IF($L308="","",ROWS($A$4:A308))</f>
        <v/>
      </c>
      <c r="B308" s="8" t="str">
        <f ca="1">IF($L308="","",INDEX('Veri Merkezi'!$A$2:$A$1001,$L308))</f>
        <v/>
      </c>
      <c r="C308" s="8" t="str">
        <f ca="1">IF($L308="","",INDEX('Veri Merkezi'!$E$2:$E$1001,$L308))</f>
        <v/>
      </c>
      <c r="D308" s="8" t="str">
        <f ca="1">IF($L308="","",INDEX('Veri Merkezi'!$D$2:$D$1001,$L308))</f>
        <v/>
      </c>
      <c r="E308" s="8" t="str">
        <f ca="1">IF($L308="","",INDEX('Veri Merkezi'!$F$2:$F$1001,$L308))</f>
        <v/>
      </c>
      <c r="F308" s="9" t="str">
        <f ca="1">IF($L308="","",INDEX('Veri Merkezi'!$G$2:$G$1001,$L308))</f>
        <v/>
      </c>
      <c r="H308" s="8" t="str">
        <f ca="1">IF($L308="","",INDEX('Veri Merkezi'!$H$2:$H$1001,$L308))</f>
        <v/>
      </c>
      <c r="I308" s="10" t="str">
        <f ca="1">IF($L308="","",INDEX('Veri Merkezi'!$R$2:$R$1001,$L308))</f>
        <v/>
      </c>
      <c r="J308" s="8" t="str">
        <f ca="1">IF($L308="","",INDEX('Veri Merkezi'!$S$2:$S$1001,$L308))</f>
        <v/>
      </c>
      <c r="K308" s="8" t="str">
        <f ca="1">IF($L308="","",INDEX('Veri Merkezi'!$U$2:$U$1001,$L308))</f>
        <v/>
      </c>
      <c r="L308" s="8" t="str">
        <f ca="1">IFERROR(MATCH(ROWS($L$4:L308),'Veri Merkezi'!$W$2:$W$1001,0),"")</f>
        <v/>
      </c>
    </row>
    <row r="309" spans="1:12" ht="20" customHeight="1">
      <c r="A309" s="8" t="str">
        <f ca="1">IF($L309="","",ROWS($A$4:A309))</f>
        <v/>
      </c>
      <c r="B309" s="8" t="str">
        <f ca="1">IF($L309="","",INDEX('Veri Merkezi'!$A$2:$A$1001,$L309))</f>
        <v/>
      </c>
      <c r="C309" s="8" t="str">
        <f ca="1">IF($L309="","",INDEX('Veri Merkezi'!$E$2:$E$1001,$L309))</f>
        <v/>
      </c>
      <c r="D309" s="8" t="str">
        <f ca="1">IF($L309="","",INDEX('Veri Merkezi'!$D$2:$D$1001,$L309))</f>
        <v/>
      </c>
      <c r="E309" s="8" t="str">
        <f ca="1">IF($L309="","",INDEX('Veri Merkezi'!$F$2:$F$1001,$L309))</f>
        <v/>
      </c>
      <c r="F309" s="9" t="str">
        <f ca="1">IF($L309="","",INDEX('Veri Merkezi'!$G$2:$G$1001,$L309))</f>
        <v/>
      </c>
      <c r="H309" s="8" t="str">
        <f ca="1">IF($L309="","",INDEX('Veri Merkezi'!$H$2:$H$1001,$L309))</f>
        <v/>
      </c>
      <c r="I309" s="10" t="str">
        <f ca="1">IF($L309="","",INDEX('Veri Merkezi'!$R$2:$R$1001,$L309))</f>
        <v/>
      </c>
      <c r="J309" s="8" t="str">
        <f ca="1">IF($L309="","",INDEX('Veri Merkezi'!$S$2:$S$1001,$L309))</f>
        <v/>
      </c>
      <c r="K309" s="8" t="str">
        <f ca="1">IF($L309="","",INDEX('Veri Merkezi'!$U$2:$U$1001,$L309))</f>
        <v/>
      </c>
      <c r="L309" s="8" t="str">
        <f ca="1">IFERROR(MATCH(ROWS($L$4:L309),'Veri Merkezi'!$W$2:$W$1001,0),"")</f>
        <v/>
      </c>
    </row>
    <row r="310" spans="1:12" ht="20" customHeight="1">
      <c r="A310" s="8" t="str">
        <f ca="1">IF($L310="","",ROWS($A$4:A310))</f>
        <v/>
      </c>
      <c r="B310" s="8" t="str">
        <f ca="1">IF($L310="","",INDEX('Veri Merkezi'!$A$2:$A$1001,$L310))</f>
        <v/>
      </c>
      <c r="C310" s="8" t="str">
        <f ca="1">IF($L310="","",INDEX('Veri Merkezi'!$E$2:$E$1001,$L310))</f>
        <v/>
      </c>
      <c r="D310" s="8" t="str">
        <f ca="1">IF($L310="","",INDEX('Veri Merkezi'!$D$2:$D$1001,$L310))</f>
        <v/>
      </c>
      <c r="E310" s="8" t="str">
        <f ca="1">IF($L310="","",INDEX('Veri Merkezi'!$F$2:$F$1001,$L310))</f>
        <v/>
      </c>
      <c r="F310" s="9" t="str">
        <f ca="1">IF($L310="","",INDEX('Veri Merkezi'!$G$2:$G$1001,$L310))</f>
        <v/>
      </c>
      <c r="H310" s="8" t="str">
        <f ca="1">IF($L310="","",INDEX('Veri Merkezi'!$H$2:$H$1001,$L310))</f>
        <v/>
      </c>
      <c r="I310" s="10" t="str">
        <f ca="1">IF($L310="","",INDEX('Veri Merkezi'!$R$2:$R$1001,$L310))</f>
        <v/>
      </c>
      <c r="J310" s="8" t="str">
        <f ca="1">IF($L310="","",INDEX('Veri Merkezi'!$S$2:$S$1001,$L310))</f>
        <v/>
      </c>
      <c r="K310" s="8" t="str">
        <f ca="1">IF($L310="","",INDEX('Veri Merkezi'!$U$2:$U$1001,$L310))</f>
        <v/>
      </c>
      <c r="L310" s="8" t="str">
        <f ca="1">IFERROR(MATCH(ROWS($L$4:L310),'Veri Merkezi'!$W$2:$W$1001,0),"")</f>
        <v/>
      </c>
    </row>
    <row r="311" spans="1:12" ht="20" customHeight="1">
      <c r="A311" s="8" t="str">
        <f ca="1">IF($L311="","",ROWS($A$4:A311))</f>
        <v/>
      </c>
      <c r="B311" s="8" t="str">
        <f ca="1">IF($L311="","",INDEX('Veri Merkezi'!$A$2:$A$1001,$L311))</f>
        <v/>
      </c>
      <c r="C311" s="8" t="str">
        <f ca="1">IF($L311="","",INDEX('Veri Merkezi'!$E$2:$E$1001,$L311))</f>
        <v/>
      </c>
      <c r="D311" s="8" t="str">
        <f ca="1">IF($L311="","",INDEX('Veri Merkezi'!$D$2:$D$1001,$L311))</f>
        <v/>
      </c>
      <c r="E311" s="8" t="str">
        <f ca="1">IF($L311="","",INDEX('Veri Merkezi'!$F$2:$F$1001,$L311))</f>
        <v/>
      </c>
      <c r="F311" s="9" t="str">
        <f ca="1">IF($L311="","",INDEX('Veri Merkezi'!$G$2:$G$1001,$L311))</f>
        <v/>
      </c>
      <c r="H311" s="8" t="str">
        <f ca="1">IF($L311="","",INDEX('Veri Merkezi'!$H$2:$H$1001,$L311))</f>
        <v/>
      </c>
      <c r="I311" s="10" t="str">
        <f ca="1">IF($L311="","",INDEX('Veri Merkezi'!$R$2:$R$1001,$L311))</f>
        <v/>
      </c>
      <c r="J311" s="8" t="str">
        <f ca="1">IF($L311="","",INDEX('Veri Merkezi'!$S$2:$S$1001,$L311))</f>
        <v/>
      </c>
      <c r="K311" s="8" t="str">
        <f ca="1">IF($L311="","",INDEX('Veri Merkezi'!$U$2:$U$1001,$L311))</f>
        <v/>
      </c>
      <c r="L311" s="8" t="str">
        <f ca="1">IFERROR(MATCH(ROWS($L$4:L311),'Veri Merkezi'!$W$2:$W$1001,0),"")</f>
        <v/>
      </c>
    </row>
    <row r="312" spans="1:12" ht="20" customHeight="1">
      <c r="A312" s="8" t="str">
        <f ca="1">IF($L312="","",ROWS($A$4:A312))</f>
        <v/>
      </c>
      <c r="B312" s="8" t="str">
        <f ca="1">IF($L312="","",INDEX('Veri Merkezi'!$A$2:$A$1001,$L312))</f>
        <v/>
      </c>
      <c r="C312" s="8" t="str">
        <f ca="1">IF($L312="","",INDEX('Veri Merkezi'!$E$2:$E$1001,$L312))</f>
        <v/>
      </c>
      <c r="D312" s="8" t="str">
        <f ca="1">IF($L312="","",INDEX('Veri Merkezi'!$D$2:$D$1001,$L312))</f>
        <v/>
      </c>
      <c r="E312" s="8" t="str">
        <f ca="1">IF($L312="","",INDEX('Veri Merkezi'!$F$2:$F$1001,$L312))</f>
        <v/>
      </c>
      <c r="F312" s="9" t="str">
        <f ca="1">IF($L312="","",INDEX('Veri Merkezi'!$G$2:$G$1001,$L312))</f>
        <v/>
      </c>
      <c r="H312" s="8" t="str">
        <f ca="1">IF($L312="","",INDEX('Veri Merkezi'!$H$2:$H$1001,$L312))</f>
        <v/>
      </c>
      <c r="I312" s="10" t="str">
        <f ca="1">IF($L312="","",INDEX('Veri Merkezi'!$R$2:$R$1001,$L312))</f>
        <v/>
      </c>
      <c r="J312" s="8" t="str">
        <f ca="1">IF($L312="","",INDEX('Veri Merkezi'!$S$2:$S$1001,$L312))</f>
        <v/>
      </c>
      <c r="K312" s="8" t="str">
        <f ca="1">IF($L312="","",INDEX('Veri Merkezi'!$U$2:$U$1001,$L312))</f>
        <v/>
      </c>
      <c r="L312" s="8" t="str">
        <f ca="1">IFERROR(MATCH(ROWS($L$4:L312),'Veri Merkezi'!$W$2:$W$1001,0),"")</f>
        <v/>
      </c>
    </row>
    <row r="313" spans="1:12" ht="20" customHeight="1">
      <c r="A313" s="8" t="str">
        <f ca="1">IF($L313="","",ROWS($A$4:A313))</f>
        <v/>
      </c>
      <c r="B313" s="8" t="str">
        <f ca="1">IF($L313="","",INDEX('Veri Merkezi'!$A$2:$A$1001,$L313))</f>
        <v/>
      </c>
      <c r="C313" s="8" t="str">
        <f ca="1">IF($L313="","",INDEX('Veri Merkezi'!$E$2:$E$1001,$L313))</f>
        <v/>
      </c>
      <c r="D313" s="8" t="str">
        <f ca="1">IF($L313="","",INDEX('Veri Merkezi'!$D$2:$D$1001,$L313))</f>
        <v/>
      </c>
      <c r="E313" s="8" t="str">
        <f ca="1">IF($L313="","",INDEX('Veri Merkezi'!$F$2:$F$1001,$L313))</f>
        <v/>
      </c>
      <c r="F313" s="9" t="str">
        <f ca="1">IF($L313="","",INDEX('Veri Merkezi'!$G$2:$G$1001,$L313))</f>
        <v/>
      </c>
      <c r="H313" s="8" t="str">
        <f ca="1">IF($L313="","",INDEX('Veri Merkezi'!$H$2:$H$1001,$L313))</f>
        <v/>
      </c>
      <c r="I313" s="10" t="str">
        <f ca="1">IF($L313="","",INDEX('Veri Merkezi'!$R$2:$R$1001,$L313))</f>
        <v/>
      </c>
      <c r="J313" s="8" t="str">
        <f ca="1">IF($L313="","",INDEX('Veri Merkezi'!$S$2:$S$1001,$L313))</f>
        <v/>
      </c>
      <c r="K313" s="8" t="str">
        <f ca="1">IF($L313="","",INDEX('Veri Merkezi'!$U$2:$U$1001,$L313))</f>
        <v/>
      </c>
      <c r="L313" s="8" t="str">
        <f ca="1">IFERROR(MATCH(ROWS($L$4:L313),'Veri Merkezi'!$W$2:$W$1001,0),"")</f>
        <v/>
      </c>
    </row>
    <row r="314" spans="1:12" ht="20" customHeight="1">
      <c r="A314" s="8" t="str">
        <f ca="1">IF($L314="","",ROWS($A$4:A314))</f>
        <v/>
      </c>
      <c r="B314" s="8" t="str">
        <f ca="1">IF($L314="","",INDEX('Veri Merkezi'!$A$2:$A$1001,$L314))</f>
        <v/>
      </c>
      <c r="C314" s="8" t="str">
        <f ca="1">IF($L314="","",INDEX('Veri Merkezi'!$E$2:$E$1001,$L314))</f>
        <v/>
      </c>
      <c r="D314" s="8" t="str">
        <f ca="1">IF($L314="","",INDEX('Veri Merkezi'!$D$2:$D$1001,$L314))</f>
        <v/>
      </c>
      <c r="E314" s="8" t="str">
        <f ca="1">IF($L314="","",INDEX('Veri Merkezi'!$F$2:$F$1001,$L314))</f>
        <v/>
      </c>
      <c r="F314" s="9" t="str">
        <f ca="1">IF($L314="","",INDEX('Veri Merkezi'!$G$2:$G$1001,$L314))</f>
        <v/>
      </c>
      <c r="H314" s="8" t="str">
        <f ca="1">IF($L314="","",INDEX('Veri Merkezi'!$H$2:$H$1001,$L314))</f>
        <v/>
      </c>
      <c r="I314" s="10" t="str">
        <f ca="1">IF($L314="","",INDEX('Veri Merkezi'!$R$2:$R$1001,$L314))</f>
        <v/>
      </c>
      <c r="J314" s="8" t="str">
        <f ca="1">IF($L314="","",INDEX('Veri Merkezi'!$S$2:$S$1001,$L314))</f>
        <v/>
      </c>
      <c r="K314" s="8" t="str">
        <f ca="1">IF($L314="","",INDEX('Veri Merkezi'!$U$2:$U$1001,$L314))</f>
        <v/>
      </c>
      <c r="L314" s="8" t="str">
        <f ca="1">IFERROR(MATCH(ROWS($L$4:L314),'Veri Merkezi'!$W$2:$W$1001,0),"")</f>
        <v/>
      </c>
    </row>
    <row r="315" spans="1:12" ht="20" customHeight="1">
      <c r="A315" s="8" t="str">
        <f ca="1">IF($L315="","",ROWS($A$4:A315))</f>
        <v/>
      </c>
      <c r="B315" s="8" t="str">
        <f ca="1">IF($L315="","",INDEX('Veri Merkezi'!$A$2:$A$1001,$L315))</f>
        <v/>
      </c>
      <c r="C315" s="8" t="str">
        <f ca="1">IF($L315="","",INDEX('Veri Merkezi'!$E$2:$E$1001,$L315))</f>
        <v/>
      </c>
      <c r="D315" s="8" t="str">
        <f ca="1">IF($L315="","",INDEX('Veri Merkezi'!$D$2:$D$1001,$L315))</f>
        <v/>
      </c>
      <c r="E315" s="8" t="str">
        <f ca="1">IF($L315="","",INDEX('Veri Merkezi'!$F$2:$F$1001,$L315))</f>
        <v/>
      </c>
      <c r="F315" s="9" t="str">
        <f ca="1">IF($L315="","",INDEX('Veri Merkezi'!$G$2:$G$1001,$L315))</f>
        <v/>
      </c>
      <c r="H315" s="8" t="str">
        <f ca="1">IF($L315="","",INDEX('Veri Merkezi'!$H$2:$H$1001,$L315))</f>
        <v/>
      </c>
      <c r="I315" s="10" t="str">
        <f ca="1">IF($L315="","",INDEX('Veri Merkezi'!$R$2:$R$1001,$L315))</f>
        <v/>
      </c>
      <c r="J315" s="8" t="str">
        <f ca="1">IF($L315="","",INDEX('Veri Merkezi'!$S$2:$S$1001,$L315))</f>
        <v/>
      </c>
      <c r="K315" s="8" t="str">
        <f ca="1">IF($L315="","",INDEX('Veri Merkezi'!$U$2:$U$1001,$L315))</f>
        <v/>
      </c>
      <c r="L315" s="8" t="str">
        <f ca="1">IFERROR(MATCH(ROWS($L$4:L315),'Veri Merkezi'!$W$2:$W$1001,0),"")</f>
        <v/>
      </c>
    </row>
    <row r="316" spans="1:12" ht="20" customHeight="1">
      <c r="A316" s="8" t="str">
        <f ca="1">IF($L316="","",ROWS($A$4:A316))</f>
        <v/>
      </c>
      <c r="B316" s="8" t="str">
        <f ca="1">IF($L316="","",INDEX('Veri Merkezi'!$A$2:$A$1001,$L316))</f>
        <v/>
      </c>
      <c r="C316" s="8" t="str">
        <f ca="1">IF($L316="","",INDEX('Veri Merkezi'!$E$2:$E$1001,$L316))</f>
        <v/>
      </c>
      <c r="D316" s="8" t="str">
        <f ca="1">IF($L316="","",INDEX('Veri Merkezi'!$D$2:$D$1001,$L316))</f>
        <v/>
      </c>
      <c r="E316" s="8" t="str">
        <f ca="1">IF($L316="","",INDEX('Veri Merkezi'!$F$2:$F$1001,$L316))</f>
        <v/>
      </c>
      <c r="F316" s="9" t="str">
        <f ca="1">IF($L316="","",INDEX('Veri Merkezi'!$G$2:$G$1001,$L316))</f>
        <v/>
      </c>
      <c r="H316" s="8" t="str">
        <f ca="1">IF($L316="","",INDEX('Veri Merkezi'!$H$2:$H$1001,$L316))</f>
        <v/>
      </c>
      <c r="I316" s="10" t="str">
        <f ca="1">IF($L316="","",INDEX('Veri Merkezi'!$R$2:$R$1001,$L316))</f>
        <v/>
      </c>
      <c r="J316" s="8" t="str">
        <f ca="1">IF($L316="","",INDEX('Veri Merkezi'!$S$2:$S$1001,$L316))</f>
        <v/>
      </c>
      <c r="K316" s="8" t="str">
        <f ca="1">IF($L316="","",INDEX('Veri Merkezi'!$U$2:$U$1001,$L316))</f>
        <v/>
      </c>
      <c r="L316" s="8" t="str">
        <f ca="1">IFERROR(MATCH(ROWS($L$4:L316),'Veri Merkezi'!$W$2:$W$1001,0),"")</f>
        <v/>
      </c>
    </row>
    <row r="317" spans="1:12" ht="20" customHeight="1">
      <c r="A317" s="8" t="str">
        <f ca="1">IF($L317="","",ROWS($A$4:A317))</f>
        <v/>
      </c>
      <c r="B317" s="8" t="str">
        <f ca="1">IF($L317="","",INDEX('Veri Merkezi'!$A$2:$A$1001,$L317))</f>
        <v/>
      </c>
      <c r="C317" s="8" t="str">
        <f ca="1">IF($L317="","",INDEX('Veri Merkezi'!$E$2:$E$1001,$L317))</f>
        <v/>
      </c>
      <c r="D317" s="8" t="str">
        <f ca="1">IF($L317="","",INDEX('Veri Merkezi'!$D$2:$D$1001,$L317))</f>
        <v/>
      </c>
      <c r="E317" s="8" t="str">
        <f ca="1">IF($L317="","",INDEX('Veri Merkezi'!$F$2:$F$1001,$L317))</f>
        <v/>
      </c>
      <c r="F317" s="9" t="str">
        <f ca="1">IF($L317="","",INDEX('Veri Merkezi'!$G$2:$G$1001,$L317))</f>
        <v/>
      </c>
      <c r="H317" s="8" t="str">
        <f ca="1">IF($L317="","",INDEX('Veri Merkezi'!$H$2:$H$1001,$L317))</f>
        <v/>
      </c>
      <c r="I317" s="10" t="str">
        <f ca="1">IF($L317="","",INDEX('Veri Merkezi'!$R$2:$R$1001,$L317))</f>
        <v/>
      </c>
      <c r="J317" s="8" t="str">
        <f ca="1">IF($L317="","",INDEX('Veri Merkezi'!$S$2:$S$1001,$L317))</f>
        <v/>
      </c>
      <c r="K317" s="8" t="str">
        <f ca="1">IF($L317="","",INDEX('Veri Merkezi'!$U$2:$U$1001,$L317))</f>
        <v/>
      </c>
      <c r="L317" s="8" t="str">
        <f ca="1">IFERROR(MATCH(ROWS($L$4:L317),'Veri Merkezi'!$W$2:$W$1001,0),"")</f>
        <v/>
      </c>
    </row>
    <row r="318" spans="1:12" ht="20" customHeight="1">
      <c r="A318" s="8" t="str">
        <f ca="1">IF($L318="","",ROWS($A$4:A318))</f>
        <v/>
      </c>
      <c r="B318" s="8" t="str">
        <f ca="1">IF($L318="","",INDEX('Veri Merkezi'!$A$2:$A$1001,$L318))</f>
        <v/>
      </c>
      <c r="C318" s="8" t="str">
        <f ca="1">IF($L318="","",INDEX('Veri Merkezi'!$E$2:$E$1001,$L318))</f>
        <v/>
      </c>
      <c r="D318" s="8" t="str">
        <f ca="1">IF($L318="","",INDEX('Veri Merkezi'!$D$2:$D$1001,$L318))</f>
        <v/>
      </c>
      <c r="E318" s="8" t="str">
        <f ca="1">IF($L318="","",INDEX('Veri Merkezi'!$F$2:$F$1001,$L318))</f>
        <v/>
      </c>
      <c r="F318" s="9" t="str">
        <f ca="1">IF($L318="","",INDEX('Veri Merkezi'!$G$2:$G$1001,$L318))</f>
        <v/>
      </c>
      <c r="H318" s="8" t="str">
        <f ca="1">IF($L318="","",INDEX('Veri Merkezi'!$H$2:$H$1001,$L318))</f>
        <v/>
      </c>
      <c r="I318" s="10" t="str">
        <f ca="1">IF($L318="","",INDEX('Veri Merkezi'!$R$2:$R$1001,$L318))</f>
        <v/>
      </c>
      <c r="J318" s="8" t="str">
        <f ca="1">IF($L318="","",INDEX('Veri Merkezi'!$S$2:$S$1001,$L318))</f>
        <v/>
      </c>
      <c r="K318" s="8" t="str">
        <f ca="1">IF($L318="","",INDEX('Veri Merkezi'!$U$2:$U$1001,$L318))</f>
        <v/>
      </c>
      <c r="L318" s="8" t="str">
        <f ca="1">IFERROR(MATCH(ROWS($L$4:L318),'Veri Merkezi'!$W$2:$W$1001,0),"")</f>
        <v/>
      </c>
    </row>
    <row r="319" spans="1:12" ht="20" customHeight="1">
      <c r="A319" s="8" t="str">
        <f ca="1">IF($L319="","",ROWS($A$4:A319))</f>
        <v/>
      </c>
      <c r="B319" s="8" t="str">
        <f ca="1">IF($L319="","",INDEX('Veri Merkezi'!$A$2:$A$1001,$L319))</f>
        <v/>
      </c>
      <c r="C319" s="8" t="str">
        <f ca="1">IF($L319="","",INDEX('Veri Merkezi'!$E$2:$E$1001,$L319))</f>
        <v/>
      </c>
      <c r="D319" s="8" t="str">
        <f ca="1">IF($L319="","",INDEX('Veri Merkezi'!$D$2:$D$1001,$L319))</f>
        <v/>
      </c>
      <c r="E319" s="8" t="str">
        <f ca="1">IF($L319="","",INDEX('Veri Merkezi'!$F$2:$F$1001,$L319))</f>
        <v/>
      </c>
      <c r="F319" s="9" t="str">
        <f ca="1">IF($L319="","",INDEX('Veri Merkezi'!$G$2:$G$1001,$L319))</f>
        <v/>
      </c>
      <c r="H319" s="8" t="str">
        <f ca="1">IF($L319="","",INDEX('Veri Merkezi'!$H$2:$H$1001,$L319))</f>
        <v/>
      </c>
      <c r="I319" s="10" t="str">
        <f ca="1">IF($L319="","",INDEX('Veri Merkezi'!$R$2:$R$1001,$L319))</f>
        <v/>
      </c>
      <c r="J319" s="8" t="str">
        <f ca="1">IF($L319="","",INDEX('Veri Merkezi'!$S$2:$S$1001,$L319))</f>
        <v/>
      </c>
      <c r="K319" s="8" t="str">
        <f ca="1">IF($L319="","",INDEX('Veri Merkezi'!$U$2:$U$1001,$L319))</f>
        <v/>
      </c>
      <c r="L319" s="8" t="str">
        <f ca="1">IFERROR(MATCH(ROWS($L$4:L319),'Veri Merkezi'!$W$2:$W$1001,0),"")</f>
        <v/>
      </c>
    </row>
    <row r="320" spans="1:12" ht="20" customHeight="1">
      <c r="A320" s="8" t="str">
        <f ca="1">IF($L320="","",ROWS($A$4:A320))</f>
        <v/>
      </c>
      <c r="B320" s="8" t="str">
        <f ca="1">IF($L320="","",INDEX('Veri Merkezi'!$A$2:$A$1001,$L320))</f>
        <v/>
      </c>
      <c r="C320" s="8" t="str">
        <f ca="1">IF($L320="","",INDEX('Veri Merkezi'!$E$2:$E$1001,$L320))</f>
        <v/>
      </c>
      <c r="D320" s="8" t="str">
        <f ca="1">IF($L320="","",INDEX('Veri Merkezi'!$D$2:$D$1001,$L320))</f>
        <v/>
      </c>
      <c r="E320" s="8" t="str">
        <f ca="1">IF($L320="","",INDEX('Veri Merkezi'!$F$2:$F$1001,$L320))</f>
        <v/>
      </c>
      <c r="F320" s="9" t="str">
        <f ca="1">IF($L320="","",INDEX('Veri Merkezi'!$G$2:$G$1001,$L320))</f>
        <v/>
      </c>
      <c r="H320" s="8" t="str">
        <f ca="1">IF($L320="","",INDEX('Veri Merkezi'!$H$2:$H$1001,$L320))</f>
        <v/>
      </c>
      <c r="I320" s="10" t="str">
        <f ca="1">IF($L320="","",INDEX('Veri Merkezi'!$R$2:$R$1001,$L320))</f>
        <v/>
      </c>
      <c r="J320" s="8" t="str">
        <f ca="1">IF($L320="","",INDEX('Veri Merkezi'!$S$2:$S$1001,$L320))</f>
        <v/>
      </c>
      <c r="K320" s="8" t="str">
        <f ca="1">IF($L320="","",INDEX('Veri Merkezi'!$U$2:$U$1001,$L320))</f>
        <v/>
      </c>
      <c r="L320" s="8" t="str">
        <f ca="1">IFERROR(MATCH(ROWS($L$4:L320),'Veri Merkezi'!$W$2:$W$1001,0),"")</f>
        <v/>
      </c>
    </row>
    <row r="321" spans="1:12" ht="20" customHeight="1">
      <c r="A321" s="8" t="str">
        <f ca="1">IF($L321="","",ROWS($A$4:A321))</f>
        <v/>
      </c>
      <c r="B321" s="8" t="str">
        <f ca="1">IF($L321="","",INDEX('Veri Merkezi'!$A$2:$A$1001,$L321))</f>
        <v/>
      </c>
      <c r="C321" s="8" t="str">
        <f ca="1">IF($L321="","",INDEX('Veri Merkezi'!$E$2:$E$1001,$L321))</f>
        <v/>
      </c>
      <c r="D321" s="8" t="str">
        <f ca="1">IF($L321="","",INDEX('Veri Merkezi'!$D$2:$D$1001,$L321))</f>
        <v/>
      </c>
      <c r="E321" s="8" t="str">
        <f ca="1">IF($L321="","",INDEX('Veri Merkezi'!$F$2:$F$1001,$L321))</f>
        <v/>
      </c>
      <c r="F321" s="9" t="str">
        <f ca="1">IF($L321="","",INDEX('Veri Merkezi'!$G$2:$G$1001,$L321))</f>
        <v/>
      </c>
      <c r="H321" s="8" t="str">
        <f ca="1">IF($L321="","",INDEX('Veri Merkezi'!$H$2:$H$1001,$L321))</f>
        <v/>
      </c>
      <c r="I321" s="10" t="str">
        <f ca="1">IF($L321="","",INDEX('Veri Merkezi'!$R$2:$R$1001,$L321))</f>
        <v/>
      </c>
      <c r="J321" s="8" t="str">
        <f ca="1">IF($L321="","",INDEX('Veri Merkezi'!$S$2:$S$1001,$L321))</f>
        <v/>
      </c>
      <c r="K321" s="8" t="str">
        <f ca="1">IF($L321="","",INDEX('Veri Merkezi'!$U$2:$U$1001,$L321))</f>
        <v/>
      </c>
      <c r="L321" s="8" t="str">
        <f ca="1">IFERROR(MATCH(ROWS($L$4:L321),'Veri Merkezi'!$W$2:$W$1001,0),"")</f>
        <v/>
      </c>
    </row>
    <row r="322" spans="1:12" ht="20" customHeight="1">
      <c r="A322" s="8" t="str">
        <f ca="1">IF($L322="","",ROWS($A$4:A322))</f>
        <v/>
      </c>
      <c r="B322" s="8" t="str">
        <f ca="1">IF($L322="","",INDEX('Veri Merkezi'!$A$2:$A$1001,$L322))</f>
        <v/>
      </c>
      <c r="C322" s="8" t="str">
        <f ca="1">IF($L322="","",INDEX('Veri Merkezi'!$E$2:$E$1001,$L322))</f>
        <v/>
      </c>
      <c r="D322" s="8" t="str">
        <f ca="1">IF($L322="","",INDEX('Veri Merkezi'!$D$2:$D$1001,$L322))</f>
        <v/>
      </c>
      <c r="E322" s="8" t="str">
        <f ca="1">IF($L322="","",INDEX('Veri Merkezi'!$F$2:$F$1001,$L322))</f>
        <v/>
      </c>
      <c r="F322" s="9" t="str">
        <f ca="1">IF($L322="","",INDEX('Veri Merkezi'!$G$2:$G$1001,$L322))</f>
        <v/>
      </c>
      <c r="H322" s="8" t="str">
        <f ca="1">IF($L322="","",INDEX('Veri Merkezi'!$H$2:$H$1001,$L322))</f>
        <v/>
      </c>
      <c r="I322" s="10" t="str">
        <f ca="1">IF($L322="","",INDEX('Veri Merkezi'!$R$2:$R$1001,$L322))</f>
        <v/>
      </c>
      <c r="J322" s="8" t="str">
        <f ca="1">IF($L322="","",INDEX('Veri Merkezi'!$S$2:$S$1001,$L322))</f>
        <v/>
      </c>
      <c r="K322" s="8" t="str">
        <f ca="1">IF($L322="","",INDEX('Veri Merkezi'!$U$2:$U$1001,$L322))</f>
        <v/>
      </c>
      <c r="L322" s="8" t="str">
        <f ca="1">IFERROR(MATCH(ROWS($L$4:L322),'Veri Merkezi'!$W$2:$W$1001,0),"")</f>
        <v/>
      </c>
    </row>
    <row r="323" spans="1:12" ht="20" customHeight="1">
      <c r="A323" s="8" t="str">
        <f ca="1">IF($L323="","",ROWS($A$4:A323))</f>
        <v/>
      </c>
      <c r="B323" s="8" t="str">
        <f ca="1">IF($L323="","",INDEX('Veri Merkezi'!$A$2:$A$1001,$L323))</f>
        <v/>
      </c>
      <c r="C323" s="8" t="str">
        <f ca="1">IF($L323="","",INDEX('Veri Merkezi'!$E$2:$E$1001,$L323))</f>
        <v/>
      </c>
      <c r="D323" s="8" t="str">
        <f ca="1">IF($L323="","",INDEX('Veri Merkezi'!$D$2:$D$1001,$L323))</f>
        <v/>
      </c>
      <c r="E323" s="8" t="str">
        <f ca="1">IF($L323="","",INDEX('Veri Merkezi'!$F$2:$F$1001,$L323))</f>
        <v/>
      </c>
      <c r="F323" s="9" t="str">
        <f ca="1">IF($L323="","",INDEX('Veri Merkezi'!$G$2:$G$1001,$L323))</f>
        <v/>
      </c>
      <c r="H323" s="8" t="str">
        <f ca="1">IF($L323="","",INDEX('Veri Merkezi'!$H$2:$H$1001,$L323))</f>
        <v/>
      </c>
      <c r="I323" s="10" t="str">
        <f ca="1">IF($L323="","",INDEX('Veri Merkezi'!$R$2:$R$1001,$L323))</f>
        <v/>
      </c>
      <c r="J323" s="8" t="str">
        <f ca="1">IF($L323="","",INDEX('Veri Merkezi'!$S$2:$S$1001,$L323))</f>
        <v/>
      </c>
      <c r="K323" s="8" t="str">
        <f ca="1">IF($L323="","",INDEX('Veri Merkezi'!$U$2:$U$1001,$L323))</f>
        <v/>
      </c>
      <c r="L323" s="8" t="str">
        <f ca="1">IFERROR(MATCH(ROWS($L$4:L323),'Veri Merkezi'!$W$2:$W$1001,0),"")</f>
        <v/>
      </c>
    </row>
    <row r="324" spans="1:12" ht="20" customHeight="1">
      <c r="A324" s="8" t="str">
        <f ca="1">IF($L324="","",ROWS($A$4:A324))</f>
        <v/>
      </c>
      <c r="B324" s="8" t="str">
        <f ca="1">IF($L324="","",INDEX('Veri Merkezi'!$A$2:$A$1001,$L324))</f>
        <v/>
      </c>
      <c r="C324" s="8" t="str">
        <f ca="1">IF($L324="","",INDEX('Veri Merkezi'!$E$2:$E$1001,$L324))</f>
        <v/>
      </c>
      <c r="D324" s="8" t="str">
        <f ca="1">IF($L324="","",INDEX('Veri Merkezi'!$D$2:$D$1001,$L324))</f>
        <v/>
      </c>
      <c r="E324" s="8" t="str">
        <f ca="1">IF($L324="","",INDEX('Veri Merkezi'!$F$2:$F$1001,$L324))</f>
        <v/>
      </c>
      <c r="F324" s="9" t="str">
        <f ca="1">IF($L324="","",INDEX('Veri Merkezi'!$G$2:$G$1001,$L324))</f>
        <v/>
      </c>
      <c r="H324" s="8" t="str">
        <f ca="1">IF($L324="","",INDEX('Veri Merkezi'!$H$2:$H$1001,$L324))</f>
        <v/>
      </c>
      <c r="I324" s="10" t="str">
        <f ca="1">IF($L324="","",INDEX('Veri Merkezi'!$R$2:$R$1001,$L324))</f>
        <v/>
      </c>
      <c r="J324" s="8" t="str">
        <f ca="1">IF($L324="","",INDEX('Veri Merkezi'!$S$2:$S$1001,$L324))</f>
        <v/>
      </c>
      <c r="K324" s="8" t="str">
        <f ca="1">IF($L324="","",INDEX('Veri Merkezi'!$U$2:$U$1001,$L324))</f>
        <v/>
      </c>
      <c r="L324" s="8" t="str">
        <f ca="1">IFERROR(MATCH(ROWS($L$4:L324),'Veri Merkezi'!$W$2:$W$1001,0),"")</f>
        <v/>
      </c>
    </row>
    <row r="325" spans="1:12" ht="20" customHeight="1">
      <c r="A325" s="8" t="str">
        <f ca="1">IF($L325="","",ROWS($A$4:A325))</f>
        <v/>
      </c>
      <c r="B325" s="8" t="str">
        <f ca="1">IF($L325="","",INDEX('Veri Merkezi'!$A$2:$A$1001,$L325))</f>
        <v/>
      </c>
      <c r="C325" s="8" t="str">
        <f ca="1">IF($L325="","",INDEX('Veri Merkezi'!$E$2:$E$1001,$L325))</f>
        <v/>
      </c>
      <c r="D325" s="8" t="str">
        <f ca="1">IF($L325="","",INDEX('Veri Merkezi'!$D$2:$D$1001,$L325))</f>
        <v/>
      </c>
      <c r="E325" s="8" t="str">
        <f ca="1">IF($L325="","",INDEX('Veri Merkezi'!$F$2:$F$1001,$L325))</f>
        <v/>
      </c>
      <c r="F325" s="9" t="str">
        <f ca="1">IF($L325="","",INDEX('Veri Merkezi'!$G$2:$G$1001,$L325))</f>
        <v/>
      </c>
      <c r="H325" s="8" t="str">
        <f ca="1">IF($L325="","",INDEX('Veri Merkezi'!$H$2:$H$1001,$L325))</f>
        <v/>
      </c>
      <c r="I325" s="10" t="str">
        <f ca="1">IF($L325="","",INDEX('Veri Merkezi'!$R$2:$R$1001,$L325))</f>
        <v/>
      </c>
      <c r="J325" s="8" t="str">
        <f ca="1">IF($L325="","",INDEX('Veri Merkezi'!$S$2:$S$1001,$L325))</f>
        <v/>
      </c>
      <c r="K325" s="8" t="str">
        <f ca="1">IF($L325="","",INDEX('Veri Merkezi'!$U$2:$U$1001,$L325))</f>
        <v/>
      </c>
      <c r="L325" s="8" t="str">
        <f ca="1">IFERROR(MATCH(ROWS($L$4:L325),'Veri Merkezi'!$W$2:$W$1001,0),"")</f>
        <v/>
      </c>
    </row>
    <row r="326" spans="1:12" ht="20" customHeight="1">
      <c r="A326" s="8" t="str">
        <f ca="1">IF($L326="","",ROWS($A$4:A326))</f>
        <v/>
      </c>
      <c r="B326" s="8" t="str">
        <f ca="1">IF($L326="","",INDEX('Veri Merkezi'!$A$2:$A$1001,$L326))</f>
        <v/>
      </c>
      <c r="C326" s="8" t="str">
        <f ca="1">IF($L326="","",INDEX('Veri Merkezi'!$E$2:$E$1001,$L326))</f>
        <v/>
      </c>
      <c r="D326" s="8" t="str">
        <f ca="1">IF($L326="","",INDEX('Veri Merkezi'!$D$2:$D$1001,$L326))</f>
        <v/>
      </c>
      <c r="E326" s="8" t="str">
        <f ca="1">IF($L326="","",INDEX('Veri Merkezi'!$F$2:$F$1001,$L326))</f>
        <v/>
      </c>
      <c r="F326" s="9" t="str">
        <f ca="1">IF($L326="","",INDEX('Veri Merkezi'!$G$2:$G$1001,$L326))</f>
        <v/>
      </c>
      <c r="H326" s="8" t="str">
        <f ca="1">IF($L326="","",INDEX('Veri Merkezi'!$H$2:$H$1001,$L326))</f>
        <v/>
      </c>
      <c r="I326" s="10" t="str">
        <f ca="1">IF($L326="","",INDEX('Veri Merkezi'!$R$2:$R$1001,$L326))</f>
        <v/>
      </c>
      <c r="J326" s="8" t="str">
        <f ca="1">IF($L326="","",INDEX('Veri Merkezi'!$S$2:$S$1001,$L326))</f>
        <v/>
      </c>
      <c r="K326" s="8" t="str">
        <f ca="1">IF($L326="","",INDEX('Veri Merkezi'!$U$2:$U$1001,$L326))</f>
        <v/>
      </c>
      <c r="L326" s="8" t="str">
        <f ca="1">IFERROR(MATCH(ROWS($L$4:L326),'Veri Merkezi'!$W$2:$W$1001,0),"")</f>
        <v/>
      </c>
    </row>
    <row r="327" spans="1:12" ht="20" customHeight="1">
      <c r="A327" s="8" t="str">
        <f ca="1">IF($L327="","",ROWS($A$4:A327))</f>
        <v/>
      </c>
      <c r="B327" s="8" t="str">
        <f ca="1">IF($L327="","",INDEX('Veri Merkezi'!$A$2:$A$1001,$L327))</f>
        <v/>
      </c>
      <c r="C327" s="8" t="str">
        <f ca="1">IF($L327="","",INDEX('Veri Merkezi'!$E$2:$E$1001,$L327))</f>
        <v/>
      </c>
      <c r="D327" s="8" t="str">
        <f ca="1">IF($L327="","",INDEX('Veri Merkezi'!$D$2:$D$1001,$L327))</f>
        <v/>
      </c>
      <c r="E327" s="8" t="str">
        <f ca="1">IF($L327="","",INDEX('Veri Merkezi'!$F$2:$F$1001,$L327))</f>
        <v/>
      </c>
      <c r="F327" s="9" t="str">
        <f ca="1">IF($L327="","",INDEX('Veri Merkezi'!$G$2:$G$1001,$L327))</f>
        <v/>
      </c>
      <c r="H327" s="8" t="str">
        <f ca="1">IF($L327="","",INDEX('Veri Merkezi'!$H$2:$H$1001,$L327))</f>
        <v/>
      </c>
      <c r="I327" s="10" t="str">
        <f ca="1">IF($L327="","",INDEX('Veri Merkezi'!$R$2:$R$1001,$L327))</f>
        <v/>
      </c>
      <c r="J327" s="8" t="str">
        <f ca="1">IF($L327="","",INDEX('Veri Merkezi'!$S$2:$S$1001,$L327))</f>
        <v/>
      </c>
      <c r="K327" s="8" t="str">
        <f ca="1">IF($L327="","",INDEX('Veri Merkezi'!$U$2:$U$1001,$L327))</f>
        <v/>
      </c>
      <c r="L327" s="8" t="str">
        <f ca="1">IFERROR(MATCH(ROWS($L$4:L327),'Veri Merkezi'!$W$2:$W$1001,0),"")</f>
        <v/>
      </c>
    </row>
    <row r="328" spans="1:12" ht="20" customHeight="1">
      <c r="A328" s="8" t="str">
        <f ca="1">IF($L328="","",ROWS($A$4:A328))</f>
        <v/>
      </c>
      <c r="B328" s="8" t="str">
        <f ca="1">IF($L328="","",INDEX('Veri Merkezi'!$A$2:$A$1001,$L328))</f>
        <v/>
      </c>
      <c r="C328" s="8" t="str">
        <f ca="1">IF($L328="","",INDEX('Veri Merkezi'!$E$2:$E$1001,$L328))</f>
        <v/>
      </c>
      <c r="D328" s="8" t="str">
        <f ca="1">IF($L328="","",INDEX('Veri Merkezi'!$D$2:$D$1001,$L328))</f>
        <v/>
      </c>
      <c r="E328" s="8" t="str">
        <f ca="1">IF($L328="","",INDEX('Veri Merkezi'!$F$2:$F$1001,$L328))</f>
        <v/>
      </c>
      <c r="F328" s="9" t="str">
        <f ca="1">IF($L328="","",INDEX('Veri Merkezi'!$G$2:$G$1001,$L328))</f>
        <v/>
      </c>
      <c r="H328" s="8" t="str">
        <f ca="1">IF($L328="","",INDEX('Veri Merkezi'!$H$2:$H$1001,$L328))</f>
        <v/>
      </c>
      <c r="I328" s="10" t="str">
        <f ca="1">IF($L328="","",INDEX('Veri Merkezi'!$R$2:$R$1001,$L328))</f>
        <v/>
      </c>
      <c r="J328" s="8" t="str">
        <f ca="1">IF($L328="","",INDEX('Veri Merkezi'!$S$2:$S$1001,$L328))</f>
        <v/>
      </c>
      <c r="K328" s="8" t="str">
        <f ca="1">IF($L328="","",INDEX('Veri Merkezi'!$U$2:$U$1001,$L328))</f>
        <v/>
      </c>
      <c r="L328" s="8" t="str">
        <f ca="1">IFERROR(MATCH(ROWS($L$4:L328),'Veri Merkezi'!$W$2:$W$1001,0),"")</f>
        <v/>
      </c>
    </row>
    <row r="329" spans="1:12" ht="20" customHeight="1">
      <c r="A329" s="8" t="str">
        <f ca="1">IF($L329="","",ROWS($A$4:A329))</f>
        <v/>
      </c>
      <c r="B329" s="8" t="str">
        <f ca="1">IF($L329="","",INDEX('Veri Merkezi'!$A$2:$A$1001,$L329))</f>
        <v/>
      </c>
      <c r="C329" s="8" t="str">
        <f ca="1">IF($L329="","",INDEX('Veri Merkezi'!$E$2:$E$1001,$L329))</f>
        <v/>
      </c>
      <c r="D329" s="8" t="str">
        <f ca="1">IF($L329="","",INDEX('Veri Merkezi'!$D$2:$D$1001,$L329))</f>
        <v/>
      </c>
      <c r="E329" s="8" t="str">
        <f ca="1">IF($L329="","",INDEX('Veri Merkezi'!$F$2:$F$1001,$L329))</f>
        <v/>
      </c>
      <c r="F329" s="9" t="str">
        <f ca="1">IF($L329="","",INDEX('Veri Merkezi'!$G$2:$G$1001,$L329))</f>
        <v/>
      </c>
      <c r="H329" s="8" t="str">
        <f ca="1">IF($L329="","",INDEX('Veri Merkezi'!$H$2:$H$1001,$L329))</f>
        <v/>
      </c>
      <c r="I329" s="10" t="str">
        <f ca="1">IF($L329="","",INDEX('Veri Merkezi'!$R$2:$R$1001,$L329))</f>
        <v/>
      </c>
      <c r="J329" s="8" t="str">
        <f ca="1">IF($L329="","",INDEX('Veri Merkezi'!$S$2:$S$1001,$L329))</f>
        <v/>
      </c>
      <c r="K329" s="8" t="str">
        <f ca="1">IF($L329="","",INDEX('Veri Merkezi'!$U$2:$U$1001,$L329))</f>
        <v/>
      </c>
      <c r="L329" s="8" t="str">
        <f ca="1">IFERROR(MATCH(ROWS($L$4:L329),'Veri Merkezi'!$W$2:$W$1001,0),"")</f>
        <v/>
      </c>
    </row>
    <row r="330" spans="1:12" ht="20" customHeight="1">
      <c r="A330" s="8" t="str">
        <f ca="1">IF($L330="","",ROWS($A$4:A330))</f>
        <v/>
      </c>
      <c r="B330" s="8" t="str">
        <f ca="1">IF($L330="","",INDEX('Veri Merkezi'!$A$2:$A$1001,$L330))</f>
        <v/>
      </c>
      <c r="C330" s="8" t="str">
        <f ca="1">IF($L330="","",INDEX('Veri Merkezi'!$E$2:$E$1001,$L330))</f>
        <v/>
      </c>
      <c r="D330" s="8" t="str">
        <f ca="1">IF($L330="","",INDEX('Veri Merkezi'!$D$2:$D$1001,$L330))</f>
        <v/>
      </c>
      <c r="E330" s="8" t="str">
        <f ca="1">IF($L330="","",INDEX('Veri Merkezi'!$F$2:$F$1001,$L330))</f>
        <v/>
      </c>
      <c r="F330" s="9" t="str">
        <f ca="1">IF($L330="","",INDEX('Veri Merkezi'!$G$2:$G$1001,$L330))</f>
        <v/>
      </c>
      <c r="H330" s="8" t="str">
        <f ca="1">IF($L330="","",INDEX('Veri Merkezi'!$H$2:$H$1001,$L330))</f>
        <v/>
      </c>
      <c r="I330" s="10" t="str">
        <f ca="1">IF($L330="","",INDEX('Veri Merkezi'!$R$2:$R$1001,$L330))</f>
        <v/>
      </c>
      <c r="J330" s="8" t="str">
        <f ca="1">IF($L330="","",INDEX('Veri Merkezi'!$S$2:$S$1001,$L330))</f>
        <v/>
      </c>
      <c r="K330" s="8" t="str">
        <f ca="1">IF($L330="","",INDEX('Veri Merkezi'!$U$2:$U$1001,$L330))</f>
        <v/>
      </c>
      <c r="L330" s="8" t="str">
        <f ca="1">IFERROR(MATCH(ROWS($L$4:L330),'Veri Merkezi'!$W$2:$W$1001,0),"")</f>
        <v/>
      </c>
    </row>
    <row r="331" spans="1:12" ht="20" customHeight="1">
      <c r="A331" s="8" t="str">
        <f ca="1">IF($L331="","",ROWS($A$4:A331))</f>
        <v/>
      </c>
      <c r="B331" s="8" t="str">
        <f ca="1">IF($L331="","",INDEX('Veri Merkezi'!$A$2:$A$1001,$L331))</f>
        <v/>
      </c>
      <c r="C331" s="8" t="str">
        <f ca="1">IF($L331="","",INDEX('Veri Merkezi'!$E$2:$E$1001,$L331))</f>
        <v/>
      </c>
      <c r="D331" s="8" t="str">
        <f ca="1">IF($L331="","",INDEX('Veri Merkezi'!$D$2:$D$1001,$L331))</f>
        <v/>
      </c>
      <c r="E331" s="8" t="str">
        <f ca="1">IF($L331="","",INDEX('Veri Merkezi'!$F$2:$F$1001,$L331))</f>
        <v/>
      </c>
      <c r="F331" s="9" t="str">
        <f ca="1">IF($L331="","",INDEX('Veri Merkezi'!$G$2:$G$1001,$L331))</f>
        <v/>
      </c>
      <c r="H331" s="8" t="str">
        <f ca="1">IF($L331="","",INDEX('Veri Merkezi'!$H$2:$H$1001,$L331))</f>
        <v/>
      </c>
      <c r="I331" s="10" t="str">
        <f ca="1">IF($L331="","",INDEX('Veri Merkezi'!$R$2:$R$1001,$L331))</f>
        <v/>
      </c>
      <c r="J331" s="8" t="str">
        <f ca="1">IF($L331="","",INDEX('Veri Merkezi'!$S$2:$S$1001,$L331))</f>
        <v/>
      </c>
      <c r="K331" s="8" t="str">
        <f ca="1">IF($L331="","",INDEX('Veri Merkezi'!$U$2:$U$1001,$L331))</f>
        <v/>
      </c>
      <c r="L331" s="8" t="str">
        <f ca="1">IFERROR(MATCH(ROWS($L$4:L331),'Veri Merkezi'!$W$2:$W$1001,0),"")</f>
        <v/>
      </c>
    </row>
    <row r="332" spans="1:12" ht="20" customHeight="1">
      <c r="A332" s="8" t="str">
        <f ca="1">IF($L332="","",ROWS($A$4:A332))</f>
        <v/>
      </c>
      <c r="B332" s="8" t="str">
        <f ca="1">IF($L332="","",INDEX('Veri Merkezi'!$A$2:$A$1001,$L332))</f>
        <v/>
      </c>
      <c r="C332" s="8" t="str">
        <f ca="1">IF($L332="","",INDEX('Veri Merkezi'!$E$2:$E$1001,$L332))</f>
        <v/>
      </c>
      <c r="D332" s="8" t="str">
        <f ca="1">IF($L332="","",INDEX('Veri Merkezi'!$D$2:$D$1001,$L332))</f>
        <v/>
      </c>
      <c r="E332" s="8" t="str">
        <f ca="1">IF($L332="","",INDEX('Veri Merkezi'!$F$2:$F$1001,$L332))</f>
        <v/>
      </c>
      <c r="F332" s="9" t="str">
        <f ca="1">IF($L332="","",INDEX('Veri Merkezi'!$G$2:$G$1001,$L332))</f>
        <v/>
      </c>
      <c r="H332" s="8" t="str">
        <f ca="1">IF($L332="","",INDEX('Veri Merkezi'!$H$2:$H$1001,$L332))</f>
        <v/>
      </c>
      <c r="I332" s="10" t="str">
        <f ca="1">IF($L332="","",INDEX('Veri Merkezi'!$R$2:$R$1001,$L332))</f>
        <v/>
      </c>
      <c r="J332" s="8" t="str">
        <f ca="1">IF($L332="","",INDEX('Veri Merkezi'!$S$2:$S$1001,$L332))</f>
        <v/>
      </c>
      <c r="K332" s="8" t="str">
        <f ca="1">IF($L332="","",INDEX('Veri Merkezi'!$U$2:$U$1001,$L332))</f>
        <v/>
      </c>
      <c r="L332" s="8" t="str">
        <f ca="1">IFERROR(MATCH(ROWS($L$4:L332),'Veri Merkezi'!$W$2:$W$1001,0),"")</f>
        <v/>
      </c>
    </row>
    <row r="333" spans="1:12" ht="20" customHeight="1">
      <c r="A333" s="8" t="str">
        <f ca="1">IF($L333="","",ROWS($A$4:A333))</f>
        <v/>
      </c>
      <c r="B333" s="8" t="str">
        <f ca="1">IF($L333="","",INDEX('Veri Merkezi'!$A$2:$A$1001,$L333))</f>
        <v/>
      </c>
      <c r="C333" s="8" t="str">
        <f ca="1">IF($L333="","",INDEX('Veri Merkezi'!$E$2:$E$1001,$L333))</f>
        <v/>
      </c>
      <c r="D333" s="8" t="str">
        <f ca="1">IF($L333="","",INDEX('Veri Merkezi'!$D$2:$D$1001,$L333))</f>
        <v/>
      </c>
      <c r="E333" s="8" t="str">
        <f ca="1">IF($L333="","",INDEX('Veri Merkezi'!$F$2:$F$1001,$L333))</f>
        <v/>
      </c>
      <c r="F333" s="9" t="str">
        <f ca="1">IF($L333="","",INDEX('Veri Merkezi'!$G$2:$G$1001,$L333))</f>
        <v/>
      </c>
      <c r="H333" s="8" t="str">
        <f ca="1">IF($L333="","",INDEX('Veri Merkezi'!$H$2:$H$1001,$L333))</f>
        <v/>
      </c>
      <c r="I333" s="10" t="str">
        <f ca="1">IF($L333="","",INDEX('Veri Merkezi'!$R$2:$R$1001,$L333))</f>
        <v/>
      </c>
      <c r="J333" s="8" t="str">
        <f ca="1">IF($L333="","",INDEX('Veri Merkezi'!$S$2:$S$1001,$L333))</f>
        <v/>
      </c>
      <c r="K333" s="8" t="str">
        <f ca="1">IF($L333="","",INDEX('Veri Merkezi'!$U$2:$U$1001,$L333))</f>
        <v/>
      </c>
      <c r="L333" s="8" t="str">
        <f ca="1">IFERROR(MATCH(ROWS($L$4:L333),'Veri Merkezi'!$W$2:$W$1001,0),"")</f>
        <v/>
      </c>
    </row>
    <row r="334" spans="1:12" ht="20" customHeight="1">
      <c r="A334" s="8" t="str">
        <f ca="1">IF($L334="","",ROWS($A$4:A334))</f>
        <v/>
      </c>
      <c r="B334" s="8" t="str">
        <f ca="1">IF($L334="","",INDEX('Veri Merkezi'!$A$2:$A$1001,$L334))</f>
        <v/>
      </c>
      <c r="C334" s="8" t="str">
        <f ca="1">IF($L334="","",INDEX('Veri Merkezi'!$E$2:$E$1001,$L334))</f>
        <v/>
      </c>
      <c r="D334" s="8" t="str">
        <f ca="1">IF($L334="","",INDEX('Veri Merkezi'!$D$2:$D$1001,$L334))</f>
        <v/>
      </c>
      <c r="E334" s="8" t="str">
        <f ca="1">IF($L334="","",INDEX('Veri Merkezi'!$F$2:$F$1001,$L334))</f>
        <v/>
      </c>
      <c r="F334" s="9" t="str">
        <f ca="1">IF($L334="","",INDEX('Veri Merkezi'!$G$2:$G$1001,$L334))</f>
        <v/>
      </c>
      <c r="H334" s="8" t="str">
        <f ca="1">IF($L334="","",INDEX('Veri Merkezi'!$H$2:$H$1001,$L334))</f>
        <v/>
      </c>
      <c r="I334" s="10" t="str">
        <f ca="1">IF($L334="","",INDEX('Veri Merkezi'!$R$2:$R$1001,$L334))</f>
        <v/>
      </c>
      <c r="J334" s="8" t="str">
        <f ca="1">IF($L334="","",INDEX('Veri Merkezi'!$S$2:$S$1001,$L334))</f>
        <v/>
      </c>
      <c r="K334" s="8" t="str">
        <f ca="1">IF($L334="","",INDEX('Veri Merkezi'!$U$2:$U$1001,$L334))</f>
        <v/>
      </c>
      <c r="L334" s="8" t="str">
        <f ca="1">IFERROR(MATCH(ROWS($L$4:L334),'Veri Merkezi'!$W$2:$W$1001,0),"")</f>
        <v/>
      </c>
    </row>
    <row r="335" spans="1:12" ht="20" customHeight="1">
      <c r="A335" s="8" t="str">
        <f ca="1">IF($L335="","",ROWS($A$4:A335))</f>
        <v/>
      </c>
      <c r="B335" s="8" t="str">
        <f ca="1">IF($L335="","",INDEX('Veri Merkezi'!$A$2:$A$1001,$L335))</f>
        <v/>
      </c>
      <c r="C335" s="8" t="str">
        <f ca="1">IF($L335="","",INDEX('Veri Merkezi'!$E$2:$E$1001,$L335))</f>
        <v/>
      </c>
      <c r="D335" s="8" t="str">
        <f ca="1">IF($L335="","",INDEX('Veri Merkezi'!$D$2:$D$1001,$L335))</f>
        <v/>
      </c>
      <c r="E335" s="8" t="str">
        <f ca="1">IF($L335="","",INDEX('Veri Merkezi'!$F$2:$F$1001,$L335))</f>
        <v/>
      </c>
      <c r="F335" s="9" t="str">
        <f ca="1">IF($L335="","",INDEX('Veri Merkezi'!$G$2:$G$1001,$L335))</f>
        <v/>
      </c>
      <c r="H335" s="8" t="str">
        <f ca="1">IF($L335="","",INDEX('Veri Merkezi'!$H$2:$H$1001,$L335))</f>
        <v/>
      </c>
      <c r="I335" s="10" t="str">
        <f ca="1">IF($L335="","",INDEX('Veri Merkezi'!$R$2:$R$1001,$L335))</f>
        <v/>
      </c>
      <c r="J335" s="8" t="str">
        <f ca="1">IF($L335="","",INDEX('Veri Merkezi'!$S$2:$S$1001,$L335))</f>
        <v/>
      </c>
      <c r="K335" s="8" t="str">
        <f ca="1">IF($L335="","",INDEX('Veri Merkezi'!$U$2:$U$1001,$L335))</f>
        <v/>
      </c>
      <c r="L335" s="8" t="str">
        <f ca="1">IFERROR(MATCH(ROWS($L$4:L335),'Veri Merkezi'!$W$2:$W$1001,0),"")</f>
        <v/>
      </c>
    </row>
    <row r="336" spans="1:12" ht="20" customHeight="1">
      <c r="A336" s="8" t="str">
        <f ca="1">IF($L336="","",ROWS($A$4:A336))</f>
        <v/>
      </c>
      <c r="B336" s="8" t="str">
        <f ca="1">IF($L336="","",INDEX('Veri Merkezi'!$A$2:$A$1001,$L336))</f>
        <v/>
      </c>
      <c r="C336" s="8" t="str">
        <f ca="1">IF($L336="","",INDEX('Veri Merkezi'!$E$2:$E$1001,$L336))</f>
        <v/>
      </c>
      <c r="D336" s="8" t="str">
        <f ca="1">IF($L336="","",INDEX('Veri Merkezi'!$D$2:$D$1001,$L336))</f>
        <v/>
      </c>
      <c r="E336" s="8" t="str">
        <f ca="1">IF($L336="","",INDEX('Veri Merkezi'!$F$2:$F$1001,$L336))</f>
        <v/>
      </c>
      <c r="F336" s="9" t="str">
        <f ca="1">IF($L336="","",INDEX('Veri Merkezi'!$G$2:$G$1001,$L336))</f>
        <v/>
      </c>
      <c r="H336" s="8" t="str">
        <f ca="1">IF($L336="","",INDEX('Veri Merkezi'!$H$2:$H$1001,$L336))</f>
        <v/>
      </c>
      <c r="I336" s="10" t="str">
        <f ca="1">IF($L336="","",INDEX('Veri Merkezi'!$R$2:$R$1001,$L336))</f>
        <v/>
      </c>
      <c r="J336" s="8" t="str">
        <f ca="1">IF($L336="","",INDEX('Veri Merkezi'!$S$2:$S$1001,$L336))</f>
        <v/>
      </c>
      <c r="K336" s="8" t="str">
        <f ca="1">IF($L336="","",INDEX('Veri Merkezi'!$U$2:$U$1001,$L336))</f>
        <v/>
      </c>
      <c r="L336" s="8" t="str">
        <f ca="1">IFERROR(MATCH(ROWS($L$4:L336),'Veri Merkezi'!$W$2:$W$1001,0),"")</f>
        <v/>
      </c>
    </row>
    <row r="337" spans="1:12" ht="20" customHeight="1">
      <c r="A337" s="8" t="str">
        <f ca="1">IF($L337="","",ROWS($A$4:A337))</f>
        <v/>
      </c>
      <c r="B337" s="8" t="str">
        <f ca="1">IF($L337="","",INDEX('Veri Merkezi'!$A$2:$A$1001,$L337))</f>
        <v/>
      </c>
      <c r="C337" s="8" t="str">
        <f ca="1">IF($L337="","",INDEX('Veri Merkezi'!$E$2:$E$1001,$L337))</f>
        <v/>
      </c>
      <c r="D337" s="8" t="str">
        <f ca="1">IF($L337="","",INDEX('Veri Merkezi'!$D$2:$D$1001,$L337))</f>
        <v/>
      </c>
      <c r="E337" s="8" t="str">
        <f ca="1">IF($L337="","",INDEX('Veri Merkezi'!$F$2:$F$1001,$L337))</f>
        <v/>
      </c>
      <c r="F337" s="9" t="str">
        <f ca="1">IF($L337="","",INDEX('Veri Merkezi'!$G$2:$G$1001,$L337))</f>
        <v/>
      </c>
      <c r="H337" s="8" t="str">
        <f ca="1">IF($L337="","",INDEX('Veri Merkezi'!$H$2:$H$1001,$L337))</f>
        <v/>
      </c>
      <c r="I337" s="10" t="str">
        <f ca="1">IF($L337="","",INDEX('Veri Merkezi'!$R$2:$R$1001,$L337))</f>
        <v/>
      </c>
      <c r="J337" s="8" t="str">
        <f ca="1">IF($L337="","",INDEX('Veri Merkezi'!$S$2:$S$1001,$L337))</f>
        <v/>
      </c>
      <c r="K337" s="8" t="str">
        <f ca="1">IF($L337="","",INDEX('Veri Merkezi'!$U$2:$U$1001,$L337))</f>
        <v/>
      </c>
      <c r="L337" s="8" t="str">
        <f ca="1">IFERROR(MATCH(ROWS($L$4:L337),'Veri Merkezi'!$W$2:$W$1001,0),"")</f>
        <v/>
      </c>
    </row>
    <row r="338" spans="1:12" ht="20" customHeight="1">
      <c r="A338" s="8" t="str">
        <f ca="1">IF($L338="","",ROWS($A$4:A338))</f>
        <v/>
      </c>
      <c r="B338" s="8" t="str">
        <f ca="1">IF($L338="","",INDEX('Veri Merkezi'!$A$2:$A$1001,$L338))</f>
        <v/>
      </c>
      <c r="C338" s="8" t="str">
        <f ca="1">IF($L338="","",INDEX('Veri Merkezi'!$E$2:$E$1001,$L338))</f>
        <v/>
      </c>
      <c r="D338" s="8" t="str">
        <f ca="1">IF($L338="","",INDEX('Veri Merkezi'!$D$2:$D$1001,$L338))</f>
        <v/>
      </c>
      <c r="E338" s="8" t="str">
        <f ca="1">IF($L338="","",INDEX('Veri Merkezi'!$F$2:$F$1001,$L338))</f>
        <v/>
      </c>
      <c r="F338" s="9" t="str">
        <f ca="1">IF($L338="","",INDEX('Veri Merkezi'!$G$2:$G$1001,$L338))</f>
        <v/>
      </c>
      <c r="H338" s="8" t="str">
        <f ca="1">IF($L338="","",INDEX('Veri Merkezi'!$H$2:$H$1001,$L338))</f>
        <v/>
      </c>
      <c r="I338" s="10" t="str">
        <f ca="1">IF($L338="","",INDEX('Veri Merkezi'!$R$2:$R$1001,$L338))</f>
        <v/>
      </c>
      <c r="J338" s="8" t="str">
        <f ca="1">IF($L338="","",INDEX('Veri Merkezi'!$S$2:$S$1001,$L338))</f>
        <v/>
      </c>
      <c r="K338" s="8" t="str">
        <f ca="1">IF($L338="","",INDEX('Veri Merkezi'!$U$2:$U$1001,$L338))</f>
        <v/>
      </c>
      <c r="L338" s="8" t="str">
        <f ca="1">IFERROR(MATCH(ROWS($L$4:L338),'Veri Merkezi'!$W$2:$W$1001,0),"")</f>
        <v/>
      </c>
    </row>
    <row r="339" spans="1:12" ht="20" customHeight="1">
      <c r="A339" s="8" t="str">
        <f ca="1">IF($L339="","",ROWS($A$4:A339))</f>
        <v/>
      </c>
      <c r="B339" s="8" t="str">
        <f ca="1">IF($L339="","",INDEX('Veri Merkezi'!$A$2:$A$1001,$L339))</f>
        <v/>
      </c>
      <c r="C339" s="8" t="str">
        <f ca="1">IF($L339="","",INDEX('Veri Merkezi'!$E$2:$E$1001,$L339))</f>
        <v/>
      </c>
      <c r="D339" s="8" t="str">
        <f ca="1">IF($L339="","",INDEX('Veri Merkezi'!$D$2:$D$1001,$L339))</f>
        <v/>
      </c>
      <c r="E339" s="8" t="str">
        <f ca="1">IF($L339="","",INDEX('Veri Merkezi'!$F$2:$F$1001,$L339))</f>
        <v/>
      </c>
      <c r="F339" s="9" t="str">
        <f ca="1">IF($L339="","",INDEX('Veri Merkezi'!$G$2:$G$1001,$L339))</f>
        <v/>
      </c>
      <c r="H339" s="8" t="str">
        <f ca="1">IF($L339="","",INDEX('Veri Merkezi'!$H$2:$H$1001,$L339))</f>
        <v/>
      </c>
      <c r="I339" s="10" t="str">
        <f ca="1">IF($L339="","",INDEX('Veri Merkezi'!$R$2:$R$1001,$L339))</f>
        <v/>
      </c>
      <c r="J339" s="8" t="str">
        <f ca="1">IF($L339="","",INDEX('Veri Merkezi'!$S$2:$S$1001,$L339))</f>
        <v/>
      </c>
      <c r="K339" s="8" t="str">
        <f ca="1">IF($L339="","",INDEX('Veri Merkezi'!$U$2:$U$1001,$L339))</f>
        <v/>
      </c>
      <c r="L339" s="8" t="str">
        <f ca="1">IFERROR(MATCH(ROWS($L$4:L339),'Veri Merkezi'!$W$2:$W$1001,0),"")</f>
        <v/>
      </c>
    </row>
    <row r="340" spans="1:12" ht="20" customHeight="1">
      <c r="A340" s="8" t="str">
        <f ca="1">IF($L340="","",ROWS($A$4:A340))</f>
        <v/>
      </c>
      <c r="B340" s="8" t="str">
        <f ca="1">IF($L340="","",INDEX('Veri Merkezi'!$A$2:$A$1001,$L340))</f>
        <v/>
      </c>
      <c r="C340" s="8" t="str">
        <f ca="1">IF($L340="","",INDEX('Veri Merkezi'!$E$2:$E$1001,$L340))</f>
        <v/>
      </c>
      <c r="D340" s="8" t="str">
        <f ca="1">IF($L340="","",INDEX('Veri Merkezi'!$D$2:$D$1001,$L340))</f>
        <v/>
      </c>
      <c r="E340" s="8" t="str">
        <f ca="1">IF($L340="","",INDEX('Veri Merkezi'!$F$2:$F$1001,$L340))</f>
        <v/>
      </c>
      <c r="F340" s="9" t="str">
        <f ca="1">IF($L340="","",INDEX('Veri Merkezi'!$G$2:$G$1001,$L340))</f>
        <v/>
      </c>
      <c r="H340" s="8" t="str">
        <f ca="1">IF($L340="","",INDEX('Veri Merkezi'!$H$2:$H$1001,$L340))</f>
        <v/>
      </c>
      <c r="I340" s="10" t="str">
        <f ca="1">IF($L340="","",INDEX('Veri Merkezi'!$R$2:$R$1001,$L340))</f>
        <v/>
      </c>
      <c r="J340" s="8" t="str">
        <f ca="1">IF($L340="","",INDEX('Veri Merkezi'!$S$2:$S$1001,$L340))</f>
        <v/>
      </c>
      <c r="K340" s="8" t="str">
        <f ca="1">IF($L340="","",INDEX('Veri Merkezi'!$U$2:$U$1001,$L340))</f>
        <v/>
      </c>
      <c r="L340" s="8" t="str">
        <f ca="1">IFERROR(MATCH(ROWS($L$4:L340),'Veri Merkezi'!$W$2:$W$1001,0),"")</f>
        <v/>
      </c>
    </row>
    <row r="341" spans="1:12" ht="20" customHeight="1">
      <c r="A341" s="8" t="str">
        <f ca="1">IF($L341="","",ROWS($A$4:A341))</f>
        <v/>
      </c>
      <c r="B341" s="8" t="str">
        <f ca="1">IF($L341="","",INDEX('Veri Merkezi'!$A$2:$A$1001,$L341))</f>
        <v/>
      </c>
      <c r="C341" s="8" t="str">
        <f ca="1">IF($L341="","",INDEX('Veri Merkezi'!$E$2:$E$1001,$L341))</f>
        <v/>
      </c>
      <c r="D341" s="8" t="str">
        <f ca="1">IF($L341="","",INDEX('Veri Merkezi'!$D$2:$D$1001,$L341))</f>
        <v/>
      </c>
      <c r="E341" s="8" t="str">
        <f ca="1">IF($L341="","",INDEX('Veri Merkezi'!$F$2:$F$1001,$L341))</f>
        <v/>
      </c>
      <c r="F341" s="9" t="str">
        <f ca="1">IF($L341="","",INDEX('Veri Merkezi'!$G$2:$G$1001,$L341))</f>
        <v/>
      </c>
      <c r="H341" s="8" t="str">
        <f ca="1">IF($L341="","",INDEX('Veri Merkezi'!$H$2:$H$1001,$L341))</f>
        <v/>
      </c>
      <c r="I341" s="10" t="str">
        <f ca="1">IF($L341="","",INDEX('Veri Merkezi'!$R$2:$R$1001,$L341))</f>
        <v/>
      </c>
      <c r="J341" s="8" t="str">
        <f ca="1">IF($L341="","",INDEX('Veri Merkezi'!$S$2:$S$1001,$L341))</f>
        <v/>
      </c>
      <c r="K341" s="8" t="str">
        <f ca="1">IF($L341="","",INDEX('Veri Merkezi'!$U$2:$U$1001,$L341))</f>
        <v/>
      </c>
      <c r="L341" s="8" t="str">
        <f ca="1">IFERROR(MATCH(ROWS($L$4:L341),'Veri Merkezi'!$W$2:$W$1001,0),"")</f>
        <v/>
      </c>
    </row>
    <row r="342" spans="1:12" ht="20" customHeight="1">
      <c r="A342" s="8" t="str">
        <f ca="1">IF($L342="","",ROWS($A$4:A342))</f>
        <v/>
      </c>
      <c r="B342" s="8" t="str">
        <f ca="1">IF($L342="","",INDEX('Veri Merkezi'!$A$2:$A$1001,$L342))</f>
        <v/>
      </c>
      <c r="C342" s="8" t="str">
        <f ca="1">IF($L342="","",INDEX('Veri Merkezi'!$E$2:$E$1001,$L342))</f>
        <v/>
      </c>
      <c r="D342" s="8" t="str">
        <f ca="1">IF($L342="","",INDEX('Veri Merkezi'!$D$2:$D$1001,$L342))</f>
        <v/>
      </c>
      <c r="E342" s="8" t="str">
        <f ca="1">IF($L342="","",INDEX('Veri Merkezi'!$F$2:$F$1001,$L342))</f>
        <v/>
      </c>
      <c r="F342" s="9" t="str">
        <f ca="1">IF($L342="","",INDEX('Veri Merkezi'!$G$2:$G$1001,$L342))</f>
        <v/>
      </c>
      <c r="H342" s="8" t="str">
        <f ca="1">IF($L342="","",INDEX('Veri Merkezi'!$H$2:$H$1001,$L342))</f>
        <v/>
      </c>
      <c r="I342" s="10" t="str">
        <f ca="1">IF($L342="","",INDEX('Veri Merkezi'!$R$2:$R$1001,$L342))</f>
        <v/>
      </c>
      <c r="J342" s="8" t="str">
        <f ca="1">IF($L342="","",INDEX('Veri Merkezi'!$S$2:$S$1001,$L342))</f>
        <v/>
      </c>
      <c r="K342" s="8" t="str">
        <f ca="1">IF($L342="","",INDEX('Veri Merkezi'!$U$2:$U$1001,$L342))</f>
        <v/>
      </c>
      <c r="L342" s="8" t="str">
        <f ca="1">IFERROR(MATCH(ROWS($L$4:L342),'Veri Merkezi'!$W$2:$W$1001,0),"")</f>
        <v/>
      </c>
    </row>
    <row r="343" spans="1:12" ht="20" customHeight="1">
      <c r="A343" s="8" t="str">
        <f ca="1">IF($L343="","",ROWS($A$4:A343))</f>
        <v/>
      </c>
      <c r="B343" s="8" t="str">
        <f ca="1">IF($L343="","",INDEX('Veri Merkezi'!$A$2:$A$1001,$L343))</f>
        <v/>
      </c>
      <c r="C343" s="8" t="str">
        <f ca="1">IF($L343="","",INDEX('Veri Merkezi'!$E$2:$E$1001,$L343))</f>
        <v/>
      </c>
      <c r="D343" s="8" t="str">
        <f ca="1">IF($L343="","",INDEX('Veri Merkezi'!$D$2:$D$1001,$L343))</f>
        <v/>
      </c>
      <c r="E343" s="8" t="str">
        <f ca="1">IF($L343="","",INDEX('Veri Merkezi'!$F$2:$F$1001,$L343))</f>
        <v/>
      </c>
      <c r="F343" s="9" t="str">
        <f ca="1">IF($L343="","",INDEX('Veri Merkezi'!$G$2:$G$1001,$L343))</f>
        <v/>
      </c>
      <c r="H343" s="8" t="str">
        <f ca="1">IF($L343="","",INDEX('Veri Merkezi'!$H$2:$H$1001,$L343))</f>
        <v/>
      </c>
      <c r="I343" s="10" t="str">
        <f ca="1">IF($L343="","",INDEX('Veri Merkezi'!$R$2:$R$1001,$L343))</f>
        <v/>
      </c>
      <c r="J343" s="8" t="str">
        <f ca="1">IF($L343="","",INDEX('Veri Merkezi'!$S$2:$S$1001,$L343))</f>
        <v/>
      </c>
      <c r="K343" s="8" t="str">
        <f ca="1">IF($L343="","",INDEX('Veri Merkezi'!$U$2:$U$1001,$L343))</f>
        <v/>
      </c>
      <c r="L343" s="8" t="str">
        <f ca="1">IFERROR(MATCH(ROWS($L$4:L343),'Veri Merkezi'!$W$2:$W$1001,0),"")</f>
        <v/>
      </c>
    </row>
    <row r="344" spans="1:12" ht="20" customHeight="1">
      <c r="A344" s="8" t="str">
        <f ca="1">IF($L344="","",ROWS($A$4:A344))</f>
        <v/>
      </c>
      <c r="B344" s="8" t="str">
        <f ca="1">IF($L344="","",INDEX('Veri Merkezi'!$A$2:$A$1001,$L344))</f>
        <v/>
      </c>
      <c r="C344" s="8" t="str">
        <f ca="1">IF($L344="","",INDEX('Veri Merkezi'!$E$2:$E$1001,$L344))</f>
        <v/>
      </c>
      <c r="D344" s="8" t="str">
        <f ca="1">IF($L344="","",INDEX('Veri Merkezi'!$D$2:$D$1001,$L344))</f>
        <v/>
      </c>
      <c r="E344" s="8" t="str">
        <f ca="1">IF($L344="","",INDEX('Veri Merkezi'!$F$2:$F$1001,$L344))</f>
        <v/>
      </c>
      <c r="F344" s="9" t="str">
        <f ca="1">IF($L344="","",INDEX('Veri Merkezi'!$G$2:$G$1001,$L344))</f>
        <v/>
      </c>
      <c r="H344" s="8" t="str">
        <f ca="1">IF($L344="","",INDEX('Veri Merkezi'!$H$2:$H$1001,$L344))</f>
        <v/>
      </c>
      <c r="I344" s="10" t="str">
        <f ca="1">IF($L344="","",INDEX('Veri Merkezi'!$R$2:$R$1001,$L344))</f>
        <v/>
      </c>
      <c r="J344" s="8" t="str">
        <f ca="1">IF($L344="","",INDEX('Veri Merkezi'!$S$2:$S$1001,$L344))</f>
        <v/>
      </c>
      <c r="K344" s="8" t="str">
        <f ca="1">IF($L344="","",INDEX('Veri Merkezi'!$U$2:$U$1001,$L344))</f>
        <v/>
      </c>
      <c r="L344" s="8" t="str">
        <f ca="1">IFERROR(MATCH(ROWS($L$4:L344),'Veri Merkezi'!$W$2:$W$1001,0),"")</f>
        <v/>
      </c>
    </row>
    <row r="345" spans="1:12" ht="20" customHeight="1">
      <c r="A345" s="8" t="str">
        <f ca="1">IF($L345="","",ROWS($A$4:A345))</f>
        <v/>
      </c>
      <c r="B345" s="8" t="str">
        <f ca="1">IF($L345="","",INDEX('Veri Merkezi'!$A$2:$A$1001,$L345))</f>
        <v/>
      </c>
      <c r="C345" s="8" t="str">
        <f ca="1">IF($L345="","",INDEX('Veri Merkezi'!$E$2:$E$1001,$L345))</f>
        <v/>
      </c>
      <c r="D345" s="8" t="str">
        <f ca="1">IF($L345="","",INDEX('Veri Merkezi'!$D$2:$D$1001,$L345))</f>
        <v/>
      </c>
      <c r="E345" s="8" t="str">
        <f ca="1">IF($L345="","",INDEX('Veri Merkezi'!$F$2:$F$1001,$L345))</f>
        <v/>
      </c>
      <c r="F345" s="9" t="str">
        <f ca="1">IF($L345="","",INDEX('Veri Merkezi'!$G$2:$G$1001,$L345))</f>
        <v/>
      </c>
      <c r="H345" s="8" t="str">
        <f ca="1">IF($L345="","",INDEX('Veri Merkezi'!$H$2:$H$1001,$L345))</f>
        <v/>
      </c>
      <c r="I345" s="10" t="str">
        <f ca="1">IF($L345="","",INDEX('Veri Merkezi'!$R$2:$R$1001,$L345))</f>
        <v/>
      </c>
      <c r="J345" s="8" t="str">
        <f ca="1">IF($L345="","",INDEX('Veri Merkezi'!$S$2:$S$1001,$L345))</f>
        <v/>
      </c>
      <c r="K345" s="8" t="str">
        <f ca="1">IF($L345="","",INDEX('Veri Merkezi'!$U$2:$U$1001,$L345))</f>
        <v/>
      </c>
      <c r="L345" s="8" t="str">
        <f ca="1">IFERROR(MATCH(ROWS($L$4:L345),'Veri Merkezi'!$W$2:$W$1001,0),"")</f>
        <v/>
      </c>
    </row>
    <row r="346" spans="1:12" ht="20" customHeight="1">
      <c r="A346" s="8" t="str">
        <f ca="1">IF($L346="","",ROWS($A$4:A346))</f>
        <v/>
      </c>
      <c r="B346" s="8" t="str">
        <f ca="1">IF($L346="","",INDEX('Veri Merkezi'!$A$2:$A$1001,$L346))</f>
        <v/>
      </c>
      <c r="C346" s="8" t="str">
        <f ca="1">IF($L346="","",INDEX('Veri Merkezi'!$E$2:$E$1001,$L346))</f>
        <v/>
      </c>
      <c r="D346" s="8" t="str">
        <f ca="1">IF($L346="","",INDEX('Veri Merkezi'!$D$2:$D$1001,$L346))</f>
        <v/>
      </c>
      <c r="E346" s="8" t="str">
        <f ca="1">IF($L346="","",INDEX('Veri Merkezi'!$F$2:$F$1001,$L346))</f>
        <v/>
      </c>
      <c r="F346" s="9" t="str">
        <f ca="1">IF($L346="","",INDEX('Veri Merkezi'!$G$2:$G$1001,$L346))</f>
        <v/>
      </c>
      <c r="H346" s="8" t="str">
        <f ca="1">IF($L346="","",INDEX('Veri Merkezi'!$H$2:$H$1001,$L346))</f>
        <v/>
      </c>
      <c r="I346" s="10" t="str">
        <f ca="1">IF($L346="","",INDEX('Veri Merkezi'!$R$2:$R$1001,$L346))</f>
        <v/>
      </c>
      <c r="J346" s="8" t="str">
        <f ca="1">IF($L346="","",INDEX('Veri Merkezi'!$S$2:$S$1001,$L346))</f>
        <v/>
      </c>
      <c r="K346" s="8" t="str">
        <f ca="1">IF($L346="","",INDEX('Veri Merkezi'!$U$2:$U$1001,$L346))</f>
        <v/>
      </c>
      <c r="L346" s="8" t="str">
        <f ca="1">IFERROR(MATCH(ROWS($L$4:L346),'Veri Merkezi'!$W$2:$W$1001,0),"")</f>
        <v/>
      </c>
    </row>
    <row r="347" spans="1:12" ht="20" customHeight="1">
      <c r="A347" s="8" t="str">
        <f ca="1">IF($L347="","",ROWS($A$4:A347))</f>
        <v/>
      </c>
      <c r="B347" s="8" t="str">
        <f ca="1">IF($L347="","",INDEX('Veri Merkezi'!$A$2:$A$1001,$L347))</f>
        <v/>
      </c>
      <c r="C347" s="8" t="str">
        <f ca="1">IF($L347="","",INDEX('Veri Merkezi'!$E$2:$E$1001,$L347))</f>
        <v/>
      </c>
      <c r="D347" s="8" t="str">
        <f ca="1">IF($L347="","",INDEX('Veri Merkezi'!$D$2:$D$1001,$L347))</f>
        <v/>
      </c>
      <c r="E347" s="8" t="str">
        <f ca="1">IF($L347="","",INDEX('Veri Merkezi'!$F$2:$F$1001,$L347))</f>
        <v/>
      </c>
      <c r="F347" s="9" t="str">
        <f ca="1">IF($L347="","",INDEX('Veri Merkezi'!$G$2:$G$1001,$L347))</f>
        <v/>
      </c>
      <c r="H347" s="8" t="str">
        <f ca="1">IF($L347="","",INDEX('Veri Merkezi'!$H$2:$H$1001,$L347))</f>
        <v/>
      </c>
      <c r="I347" s="10" t="str">
        <f ca="1">IF($L347="","",INDEX('Veri Merkezi'!$R$2:$R$1001,$L347))</f>
        <v/>
      </c>
      <c r="J347" s="8" t="str">
        <f ca="1">IF($L347="","",INDEX('Veri Merkezi'!$S$2:$S$1001,$L347))</f>
        <v/>
      </c>
      <c r="K347" s="8" t="str">
        <f ca="1">IF($L347="","",INDEX('Veri Merkezi'!$U$2:$U$1001,$L347))</f>
        <v/>
      </c>
      <c r="L347" s="8" t="str">
        <f ca="1">IFERROR(MATCH(ROWS($L$4:L347),'Veri Merkezi'!$W$2:$W$1001,0),"")</f>
        <v/>
      </c>
    </row>
    <row r="348" spans="1:12" ht="20" customHeight="1">
      <c r="A348" s="8" t="str">
        <f ca="1">IF($L348="","",ROWS($A$4:A348))</f>
        <v/>
      </c>
      <c r="B348" s="8" t="str">
        <f ca="1">IF($L348="","",INDEX('Veri Merkezi'!$A$2:$A$1001,$L348))</f>
        <v/>
      </c>
      <c r="C348" s="8" t="str">
        <f ca="1">IF($L348="","",INDEX('Veri Merkezi'!$E$2:$E$1001,$L348))</f>
        <v/>
      </c>
      <c r="D348" s="8" t="str">
        <f ca="1">IF($L348="","",INDEX('Veri Merkezi'!$D$2:$D$1001,$L348))</f>
        <v/>
      </c>
      <c r="E348" s="8" t="str">
        <f ca="1">IF($L348="","",INDEX('Veri Merkezi'!$F$2:$F$1001,$L348))</f>
        <v/>
      </c>
      <c r="F348" s="9" t="str">
        <f ca="1">IF($L348="","",INDEX('Veri Merkezi'!$G$2:$G$1001,$L348))</f>
        <v/>
      </c>
      <c r="H348" s="8" t="str">
        <f ca="1">IF($L348="","",INDEX('Veri Merkezi'!$H$2:$H$1001,$L348))</f>
        <v/>
      </c>
      <c r="I348" s="10" t="str">
        <f ca="1">IF($L348="","",INDEX('Veri Merkezi'!$R$2:$R$1001,$L348))</f>
        <v/>
      </c>
      <c r="J348" s="8" t="str">
        <f ca="1">IF($L348="","",INDEX('Veri Merkezi'!$S$2:$S$1001,$L348))</f>
        <v/>
      </c>
      <c r="K348" s="8" t="str">
        <f ca="1">IF($L348="","",INDEX('Veri Merkezi'!$U$2:$U$1001,$L348))</f>
        <v/>
      </c>
      <c r="L348" s="8" t="str">
        <f ca="1">IFERROR(MATCH(ROWS($L$4:L348),'Veri Merkezi'!$W$2:$W$1001,0),"")</f>
        <v/>
      </c>
    </row>
    <row r="349" spans="1:12" ht="20" customHeight="1">
      <c r="A349" s="8" t="str">
        <f ca="1">IF($L349="","",ROWS($A$4:A349))</f>
        <v/>
      </c>
      <c r="B349" s="8" t="str">
        <f ca="1">IF($L349="","",INDEX('Veri Merkezi'!$A$2:$A$1001,$L349))</f>
        <v/>
      </c>
      <c r="C349" s="8" t="str">
        <f ca="1">IF($L349="","",INDEX('Veri Merkezi'!$E$2:$E$1001,$L349))</f>
        <v/>
      </c>
      <c r="D349" s="8" t="str">
        <f ca="1">IF($L349="","",INDEX('Veri Merkezi'!$D$2:$D$1001,$L349))</f>
        <v/>
      </c>
      <c r="E349" s="8" t="str">
        <f ca="1">IF($L349="","",INDEX('Veri Merkezi'!$F$2:$F$1001,$L349))</f>
        <v/>
      </c>
      <c r="F349" s="9" t="str">
        <f ca="1">IF($L349="","",INDEX('Veri Merkezi'!$G$2:$G$1001,$L349))</f>
        <v/>
      </c>
      <c r="H349" s="8" t="str">
        <f ca="1">IF($L349="","",INDEX('Veri Merkezi'!$H$2:$H$1001,$L349))</f>
        <v/>
      </c>
      <c r="I349" s="10" t="str">
        <f ca="1">IF($L349="","",INDEX('Veri Merkezi'!$R$2:$R$1001,$L349))</f>
        <v/>
      </c>
      <c r="J349" s="8" t="str">
        <f ca="1">IF($L349="","",INDEX('Veri Merkezi'!$S$2:$S$1001,$L349))</f>
        <v/>
      </c>
      <c r="K349" s="8" t="str">
        <f ca="1">IF($L349="","",INDEX('Veri Merkezi'!$U$2:$U$1001,$L349))</f>
        <v/>
      </c>
      <c r="L349" s="8" t="str">
        <f ca="1">IFERROR(MATCH(ROWS($L$4:L349),'Veri Merkezi'!$W$2:$W$1001,0),"")</f>
        <v/>
      </c>
    </row>
    <row r="350" spans="1:12" ht="20" customHeight="1">
      <c r="A350" s="8" t="str">
        <f ca="1">IF($L350="","",ROWS($A$4:A350))</f>
        <v/>
      </c>
      <c r="B350" s="8" t="str">
        <f ca="1">IF($L350="","",INDEX('Veri Merkezi'!$A$2:$A$1001,$L350))</f>
        <v/>
      </c>
      <c r="C350" s="8" t="str">
        <f ca="1">IF($L350="","",INDEX('Veri Merkezi'!$E$2:$E$1001,$L350))</f>
        <v/>
      </c>
      <c r="D350" s="8" t="str">
        <f ca="1">IF($L350="","",INDEX('Veri Merkezi'!$D$2:$D$1001,$L350))</f>
        <v/>
      </c>
      <c r="E350" s="8" t="str">
        <f ca="1">IF($L350="","",INDEX('Veri Merkezi'!$F$2:$F$1001,$L350))</f>
        <v/>
      </c>
      <c r="F350" s="9" t="str">
        <f ca="1">IF($L350="","",INDEX('Veri Merkezi'!$G$2:$G$1001,$L350))</f>
        <v/>
      </c>
      <c r="H350" s="8" t="str">
        <f ca="1">IF($L350="","",INDEX('Veri Merkezi'!$H$2:$H$1001,$L350))</f>
        <v/>
      </c>
      <c r="I350" s="10" t="str">
        <f ca="1">IF($L350="","",INDEX('Veri Merkezi'!$R$2:$R$1001,$L350))</f>
        <v/>
      </c>
      <c r="J350" s="8" t="str">
        <f ca="1">IF($L350="","",INDEX('Veri Merkezi'!$S$2:$S$1001,$L350))</f>
        <v/>
      </c>
      <c r="K350" s="8" t="str">
        <f ca="1">IF($L350="","",INDEX('Veri Merkezi'!$U$2:$U$1001,$L350))</f>
        <v/>
      </c>
      <c r="L350" s="8" t="str">
        <f ca="1">IFERROR(MATCH(ROWS($L$4:L350),'Veri Merkezi'!$W$2:$W$1001,0),"")</f>
        <v/>
      </c>
    </row>
    <row r="351" spans="1:12" ht="20" customHeight="1">
      <c r="A351" s="8" t="str">
        <f ca="1">IF($L351="","",ROWS($A$4:A351))</f>
        <v/>
      </c>
      <c r="B351" s="8" t="str">
        <f ca="1">IF($L351="","",INDEX('Veri Merkezi'!$A$2:$A$1001,$L351))</f>
        <v/>
      </c>
      <c r="C351" s="8" t="str">
        <f ca="1">IF($L351="","",INDEX('Veri Merkezi'!$E$2:$E$1001,$L351))</f>
        <v/>
      </c>
      <c r="D351" s="8" t="str">
        <f ca="1">IF($L351="","",INDEX('Veri Merkezi'!$D$2:$D$1001,$L351))</f>
        <v/>
      </c>
      <c r="E351" s="8" t="str">
        <f ca="1">IF($L351="","",INDEX('Veri Merkezi'!$F$2:$F$1001,$L351))</f>
        <v/>
      </c>
      <c r="F351" s="9" t="str">
        <f ca="1">IF($L351="","",INDEX('Veri Merkezi'!$G$2:$G$1001,$L351))</f>
        <v/>
      </c>
      <c r="H351" s="8" t="str">
        <f ca="1">IF($L351="","",INDEX('Veri Merkezi'!$H$2:$H$1001,$L351))</f>
        <v/>
      </c>
      <c r="I351" s="10" t="str">
        <f ca="1">IF($L351="","",INDEX('Veri Merkezi'!$R$2:$R$1001,$L351))</f>
        <v/>
      </c>
      <c r="J351" s="8" t="str">
        <f ca="1">IF($L351="","",INDEX('Veri Merkezi'!$S$2:$S$1001,$L351))</f>
        <v/>
      </c>
      <c r="K351" s="8" t="str">
        <f ca="1">IF($L351="","",INDEX('Veri Merkezi'!$U$2:$U$1001,$L351))</f>
        <v/>
      </c>
      <c r="L351" s="8" t="str">
        <f ca="1">IFERROR(MATCH(ROWS($L$4:L351),'Veri Merkezi'!$W$2:$W$1001,0),"")</f>
        <v/>
      </c>
    </row>
    <row r="352" spans="1:12" ht="20" customHeight="1">
      <c r="A352" s="8" t="str">
        <f ca="1">IF($L352="","",ROWS($A$4:A352))</f>
        <v/>
      </c>
      <c r="B352" s="8" t="str">
        <f ca="1">IF($L352="","",INDEX('Veri Merkezi'!$A$2:$A$1001,$L352))</f>
        <v/>
      </c>
      <c r="C352" s="8" t="str">
        <f ca="1">IF($L352="","",INDEX('Veri Merkezi'!$E$2:$E$1001,$L352))</f>
        <v/>
      </c>
      <c r="D352" s="8" t="str">
        <f ca="1">IF($L352="","",INDEX('Veri Merkezi'!$D$2:$D$1001,$L352))</f>
        <v/>
      </c>
      <c r="E352" s="8" t="str">
        <f ca="1">IF($L352="","",INDEX('Veri Merkezi'!$F$2:$F$1001,$L352))</f>
        <v/>
      </c>
      <c r="F352" s="9" t="str">
        <f ca="1">IF($L352="","",INDEX('Veri Merkezi'!$G$2:$G$1001,$L352))</f>
        <v/>
      </c>
      <c r="H352" s="8" t="str">
        <f ca="1">IF($L352="","",INDEX('Veri Merkezi'!$H$2:$H$1001,$L352))</f>
        <v/>
      </c>
      <c r="I352" s="10" t="str">
        <f ca="1">IF($L352="","",INDEX('Veri Merkezi'!$R$2:$R$1001,$L352))</f>
        <v/>
      </c>
      <c r="J352" s="8" t="str">
        <f ca="1">IF($L352="","",INDEX('Veri Merkezi'!$S$2:$S$1001,$L352))</f>
        <v/>
      </c>
      <c r="K352" s="8" t="str">
        <f ca="1">IF($L352="","",INDEX('Veri Merkezi'!$U$2:$U$1001,$L352))</f>
        <v/>
      </c>
      <c r="L352" s="8" t="str">
        <f ca="1">IFERROR(MATCH(ROWS($L$4:L352),'Veri Merkezi'!$W$2:$W$1001,0),"")</f>
        <v/>
      </c>
    </row>
    <row r="353" spans="1:12" ht="20" customHeight="1">
      <c r="A353" s="8" t="str">
        <f ca="1">IF($L353="","",ROWS($A$4:A353))</f>
        <v/>
      </c>
      <c r="B353" s="8" t="str">
        <f ca="1">IF($L353="","",INDEX('Veri Merkezi'!$A$2:$A$1001,$L353))</f>
        <v/>
      </c>
      <c r="C353" s="8" t="str">
        <f ca="1">IF($L353="","",INDEX('Veri Merkezi'!$E$2:$E$1001,$L353))</f>
        <v/>
      </c>
      <c r="D353" s="8" t="str">
        <f ca="1">IF($L353="","",INDEX('Veri Merkezi'!$D$2:$D$1001,$L353))</f>
        <v/>
      </c>
      <c r="E353" s="8" t="str">
        <f ca="1">IF($L353="","",INDEX('Veri Merkezi'!$F$2:$F$1001,$L353))</f>
        <v/>
      </c>
      <c r="F353" s="9" t="str">
        <f ca="1">IF($L353="","",INDEX('Veri Merkezi'!$G$2:$G$1001,$L353))</f>
        <v/>
      </c>
      <c r="H353" s="8" t="str">
        <f ca="1">IF($L353="","",INDEX('Veri Merkezi'!$H$2:$H$1001,$L353))</f>
        <v/>
      </c>
      <c r="I353" s="10" t="str">
        <f ca="1">IF($L353="","",INDEX('Veri Merkezi'!$R$2:$R$1001,$L353))</f>
        <v/>
      </c>
      <c r="J353" s="8" t="str">
        <f ca="1">IF($L353="","",INDEX('Veri Merkezi'!$S$2:$S$1001,$L353))</f>
        <v/>
      </c>
      <c r="K353" s="8" t="str">
        <f ca="1">IF($L353="","",INDEX('Veri Merkezi'!$U$2:$U$1001,$L353))</f>
        <v/>
      </c>
      <c r="L353" s="8" t="str">
        <f ca="1">IFERROR(MATCH(ROWS($L$4:L353),'Veri Merkezi'!$W$2:$W$1001,0),"")</f>
        <v/>
      </c>
    </row>
    <row r="354" spans="1:12" ht="20" customHeight="1">
      <c r="A354" s="8" t="str">
        <f ca="1">IF($L354="","",ROWS($A$4:A354))</f>
        <v/>
      </c>
      <c r="B354" s="8" t="str">
        <f ca="1">IF($L354="","",INDEX('Veri Merkezi'!$A$2:$A$1001,$L354))</f>
        <v/>
      </c>
      <c r="C354" s="8" t="str">
        <f ca="1">IF($L354="","",INDEX('Veri Merkezi'!$E$2:$E$1001,$L354))</f>
        <v/>
      </c>
      <c r="D354" s="8" t="str">
        <f ca="1">IF($L354="","",INDEX('Veri Merkezi'!$D$2:$D$1001,$L354))</f>
        <v/>
      </c>
      <c r="E354" s="8" t="str">
        <f ca="1">IF($L354="","",INDEX('Veri Merkezi'!$F$2:$F$1001,$L354))</f>
        <v/>
      </c>
      <c r="F354" s="9" t="str">
        <f ca="1">IF($L354="","",INDEX('Veri Merkezi'!$G$2:$G$1001,$L354))</f>
        <v/>
      </c>
      <c r="H354" s="8" t="str">
        <f ca="1">IF($L354="","",INDEX('Veri Merkezi'!$H$2:$H$1001,$L354))</f>
        <v/>
      </c>
      <c r="I354" s="10" t="str">
        <f ca="1">IF($L354="","",INDEX('Veri Merkezi'!$R$2:$R$1001,$L354))</f>
        <v/>
      </c>
      <c r="J354" s="8" t="str">
        <f ca="1">IF($L354="","",INDEX('Veri Merkezi'!$S$2:$S$1001,$L354))</f>
        <v/>
      </c>
      <c r="K354" s="8" t="str">
        <f ca="1">IF($L354="","",INDEX('Veri Merkezi'!$U$2:$U$1001,$L354))</f>
        <v/>
      </c>
      <c r="L354" s="8" t="str">
        <f ca="1">IFERROR(MATCH(ROWS($L$4:L354),'Veri Merkezi'!$W$2:$W$1001,0),"")</f>
        <v/>
      </c>
    </row>
    <row r="355" spans="1:12" ht="20" customHeight="1">
      <c r="A355" s="8" t="str">
        <f ca="1">IF($L355="","",ROWS($A$4:A355))</f>
        <v/>
      </c>
      <c r="B355" s="8" t="str">
        <f ca="1">IF($L355="","",INDEX('Veri Merkezi'!$A$2:$A$1001,$L355))</f>
        <v/>
      </c>
      <c r="C355" s="8" t="str">
        <f ca="1">IF($L355="","",INDEX('Veri Merkezi'!$E$2:$E$1001,$L355))</f>
        <v/>
      </c>
      <c r="D355" s="8" t="str">
        <f ca="1">IF($L355="","",INDEX('Veri Merkezi'!$D$2:$D$1001,$L355))</f>
        <v/>
      </c>
      <c r="E355" s="8" t="str">
        <f ca="1">IF($L355="","",INDEX('Veri Merkezi'!$F$2:$F$1001,$L355))</f>
        <v/>
      </c>
      <c r="F355" s="9" t="str">
        <f ca="1">IF($L355="","",INDEX('Veri Merkezi'!$G$2:$G$1001,$L355))</f>
        <v/>
      </c>
      <c r="H355" s="8" t="str">
        <f ca="1">IF($L355="","",INDEX('Veri Merkezi'!$H$2:$H$1001,$L355))</f>
        <v/>
      </c>
      <c r="I355" s="10" t="str">
        <f ca="1">IF($L355="","",INDEX('Veri Merkezi'!$R$2:$R$1001,$L355))</f>
        <v/>
      </c>
      <c r="J355" s="8" t="str">
        <f ca="1">IF($L355="","",INDEX('Veri Merkezi'!$S$2:$S$1001,$L355))</f>
        <v/>
      </c>
      <c r="K355" s="8" t="str">
        <f ca="1">IF($L355="","",INDEX('Veri Merkezi'!$U$2:$U$1001,$L355))</f>
        <v/>
      </c>
      <c r="L355" s="8" t="str">
        <f ca="1">IFERROR(MATCH(ROWS($L$4:L355),'Veri Merkezi'!$W$2:$W$1001,0),"")</f>
        <v/>
      </c>
    </row>
    <row r="356" spans="1:12" ht="20" customHeight="1">
      <c r="A356" s="8" t="str">
        <f ca="1">IF($L356="","",ROWS($A$4:A356))</f>
        <v/>
      </c>
      <c r="B356" s="8" t="str">
        <f ca="1">IF($L356="","",INDEX('Veri Merkezi'!$A$2:$A$1001,$L356))</f>
        <v/>
      </c>
      <c r="C356" s="8" t="str">
        <f ca="1">IF($L356="","",INDEX('Veri Merkezi'!$E$2:$E$1001,$L356))</f>
        <v/>
      </c>
      <c r="D356" s="8" t="str">
        <f ca="1">IF($L356="","",INDEX('Veri Merkezi'!$D$2:$D$1001,$L356))</f>
        <v/>
      </c>
      <c r="E356" s="8" t="str">
        <f ca="1">IF($L356="","",INDEX('Veri Merkezi'!$F$2:$F$1001,$L356))</f>
        <v/>
      </c>
      <c r="F356" s="9" t="str">
        <f ca="1">IF($L356="","",INDEX('Veri Merkezi'!$G$2:$G$1001,$L356))</f>
        <v/>
      </c>
      <c r="H356" s="8" t="str">
        <f ca="1">IF($L356="","",INDEX('Veri Merkezi'!$H$2:$H$1001,$L356))</f>
        <v/>
      </c>
      <c r="I356" s="10" t="str">
        <f ca="1">IF($L356="","",INDEX('Veri Merkezi'!$R$2:$R$1001,$L356))</f>
        <v/>
      </c>
      <c r="J356" s="8" t="str">
        <f ca="1">IF($L356="","",INDEX('Veri Merkezi'!$S$2:$S$1001,$L356))</f>
        <v/>
      </c>
      <c r="K356" s="8" t="str">
        <f ca="1">IF($L356="","",INDEX('Veri Merkezi'!$U$2:$U$1001,$L356))</f>
        <v/>
      </c>
      <c r="L356" s="8" t="str">
        <f ca="1">IFERROR(MATCH(ROWS($L$4:L356),'Veri Merkezi'!$W$2:$W$1001,0),"")</f>
        <v/>
      </c>
    </row>
    <row r="357" spans="1:12" ht="20" customHeight="1">
      <c r="A357" s="8" t="str">
        <f ca="1">IF($L357="","",ROWS($A$4:A357))</f>
        <v/>
      </c>
      <c r="B357" s="8" t="str">
        <f ca="1">IF($L357="","",INDEX('Veri Merkezi'!$A$2:$A$1001,$L357))</f>
        <v/>
      </c>
      <c r="C357" s="8" t="str">
        <f ca="1">IF($L357="","",INDEX('Veri Merkezi'!$E$2:$E$1001,$L357))</f>
        <v/>
      </c>
      <c r="D357" s="8" t="str">
        <f ca="1">IF($L357="","",INDEX('Veri Merkezi'!$D$2:$D$1001,$L357))</f>
        <v/>
      </c>
      <c r="E357" s="8" t="str">
        <f ca="1">IF($L357="","",INDEX('Veri Merkezi'!$F$2:$F$1001,$L357))</f>
        <v/>
      </c>
      <c r="F357" s="9" t="str">
        <f ca="1">IF($L357="","",INDEX('Veri Merkezi'!$G$2:$G$1001,$L357))</f>
        <v/>
      </c>
      <c r="H357" s="8" t="str">
        <f ca="1">IF($L357="","",INDEX('Veri Merkezi'!$H$2:$H$1001,$L357))</f>
        <v/>
      </c>
      <c r="I357" s="10" t="str">
        <f ca="1">IF($L357="","",INDEX('Veri Merkezi'!$R$2:$R$1001,$L357))</f>
        <v/>
      </c>
      <c r="J357" s="8" t="str">
        <f ca="1">IF($L357="","",INDEX('Veri Merkezi'!$S$2:$S$1001,$L357))</f>
        <v/>
      </c>
      <c r="K357" s="8" t="str">
        <f ca="1">IF($L357="","",INDEX('Veri Merkezi'!$U$2:$U$1001,$L357))</f>
        <v/>
      </c>
      <c r="L357" s="8" t="str">
        <f ca="1">IFERROR(MATCH(ROWS($L$4:L357),'Veri Merkezi'!$W$2:$W$1001,0),"")</f>
        <v/>
      </c>
    </row>
    <row r="358" spans="1:12" ht="20" customHeight="1">
      <c r="A358" s="8" t="str">
        <f ca="1">IF($L358="","",ROWS($A$4:A358))</f>
        <v/>
      </c>
      <c r="B358" s="8" t="str">
        <f ca="1">IF($L358="","",INDEX('Veri Merkezi'!$A$2:$A$1001,$L358))</f>
        <v/>
      </c>
      <c r="C358" s="8" t="str">
        <f ca="1">IF($L358="","",INDEX('Veri Merkezi'!$E$2:$E$1001,$L358))</f>
        <v/>
      </c>
      <c r="D358" s="8" t="str">
        <f ca="1">IF($L358="","",INDEX('Veri Merkezi'!$D$2:$D$1001,$L358))</f>
        <v/>
      </c>
      <c r="E358" s="8" t="str">
        <f ca="1">IF($L358="","",INDEX('Veri Merkezi'!$F$2:$F$1001,$L358))</f>
        <v/>
      </c>
      <c r="F358" s="9" t="str">
        <f ca="1">IF($L358="","",INDEX('Veri Merkezi'!$G$2:$G$1001,$L358))</f>
        <v/>
      </c>
      <c r="H358" s="8" t="str">
        <f ca="1">IF($L358="","",INDEX('Veri Merkezi'!$H$2:$H$1001,$L358))</f>
        <v/>
      </c>
      <c r="I358" s="10" t="str">
        <f ca="1">IF($L358="","",INDEX('Veri Merkezi'!$R$2:$R$1001,$L358))</f>
        <v/>
      </c>
      <c r="J358" s="8" t="str">
        <f ca="1">IF($L358="","",INDEX('Veri Merkezi'!$S$2:$S$1001,$L358))</f>
        <v/>
      </c>
      <c r="K358" s="8" t="str">
        <f ca="1">IF($L358="","",INDEX('Veri Merkezi'!$U$2:$U$1001,$L358))</f>
        <v/>
      </c>
      <c r="L358" s="8" t="str">
        <f ca="1">IFERROR(MATCH(ROWS($L$4:L358),'Veri Merkezi'!$W$2:$W$1001,0),"")</f>
        <v/>
      </c>
    </row>
    <row r="359" spans="1:12" ht="20" customHeight="1">
      <c r="A359" s="8" t="str">
        <f ca="1">IF($L359="","",ROWS($A$4:A359))</f>
        <v/>
      </c>
      <c r="B359" s="8" t="str">
        <f ca="1">IF($L359="","",INDEX('Veri Merkezi'!$A$2:$A$1001,$L359))</f>
        <v/>
      </c>
      <c r="C359" s="8" t="str">
        <f ca="1">IF($L359="","",INDEX('Veri Merkezi'!$E$2:$E$1001,$L359))</f>
        <v/>
      </c>
      <c r="D359" s="8" t="str">
        <f ca="1">IF($L359="","",INDEX('Veri Merkezi'!$D$2:$D$1001,$L359))</f>
        <v/>
      </c>
      <c r="E359" s="8" t="str">
        <f ca="1">IF($L359="","",INDEX('Veri Merkezi'!$F$2:$F$1001,$L359))</f>
        <v/>
      </c>
      <c r="F359" s="9" t="str">
        <f ca="1">IF($L359="","",INDEX('Veri Merkezi'!$G$2:$G$1001,$L359))</f>
        <v/>
      </c>
      <c r="H359" s="8" t="str">
        <f ca="1">IF($L359="","",INDEX('Veri Merkezi'!$H$2:$H$1001,$L359))</f>
        <v/>
      </c>
      <c r="I359" s="10" t="str">
        <f ca="1">IF($L359="","",INDEX('Veri Merkezi'!$R$2:$R$1001,$L359))</f>
        <v/>
      </c>
      <c r="J359" s="8" t="str">
        <f ca="1">IF($L359="","",INDEX('Veri Merkezi'!$S$2:$S$1001,$L359))</f>
        <v/>
      </c>
      <c r="K359" s="8" t="str">
        <f ca="1">IF($L359="","",INDEX('Veri Merkezi'!$U$2:$U$1001,$L359))</f>
        <v/>
      </c>
      <c r="L359" s="8" t="str">
        <f ca="1">IFERROR(MATCH(ROWS($L$4:L359),'Veri Merkezi'!$W$2:$W$1001,0),"")</f>
        <v/>
      </c>
    </row>
    <row r="360" spans="1:12" ht="20" customHeight="1">
      <c r="A360" s="8" t="str">
        <f ca="1">IF($L360="","",ROWS($A$4:A360))</f>
        <v/>
      </c>
      <c r="B360" s="8" t="str">
        <f ca="1">IF($L360="","",INDEX('Veri Merkezi'!$A$2:$A$1001,$L360))</f>
        <v/>
      </c>
      <c r="C360" s="8" t="str">
        <f ca="1">IF($L360="","",INDEX('Veri Merkezi'!$E$2:$E$1001,$L360))</f>
        <v/>
      </c>
      <c r="D360" s="8" t="str">
        <f ca="1">IF($L360="","",INDEX('Veri Merkezi'!$D$2:$D$1001,$L360))</f>
        <v/>
      </c>
      <c r="E360" s="8" t="str">
        <f ca="1">IF($L360="","",INDEX('Veri Merkezi'!$F$2:$F$1001,$L360))</f>
        <v/>
      </c>
      <c r="F360" s="9" t="str">
        <f ca="1">IF($L360="","",INDEX('Veri Merkezi'!$G$2:$G$1001,$L360))</f>
        <v/>
      </c>
      <c r="H360" s="8" t="str">
        <f ca="1">IF($L360="","",INDEX('Veri Merkezi'!$H$2:$H$1001,$L360))</f>
        <v/>
      </c>
      <c r="I360" s="10" t="str">
        <f ca="1">IF($L360="","",INDEX('Veri Merkezi'!$R$2:$R$1001,$L360))</f>
        <v/>
      </c>
      <c r="J360" s="8" t="str">
        <f ca="1">IF($L360="","",INDEX('Veri Merkezi'!$S$2:$S$1001,$L360))</f>
        <v/>
      </c>
      <c r="K360" s="8" t="str">
        <f ca="1">IF($L360="","",INDEX('Veri Merkezi'!$U$2:$U$1001,$L360))</f>
        <v/>
      </c>
      <c r="L360" s="8" t="str">
        <f ca="1">IFERROR(MATCH(ROWS($L$4:L360),'Veri Merkezi'!$W$2:$W$1001,0),"")</f>
        <v/>
      </c>
    </row>
    <row r="361" spans="1:12" ht="20" customHeight="1">
      <c r="A361" s="8" t="str">
        <f ca="1">IF($L361="","",ROWS($A$4:A361))</f>
        <v/>
      </c>
      <c r="B361" s="8" t="str">
        <f ca="1">IF($L361="","",INDEX('Veri Merkezi'!$A$2:$A$1001,$L361))</f>
        <v/>
      </c>
      <c r="C361" s="8" t="str">
        <f ca="1">IF($L361="","",INDEX('Veri Merkezi'!$E$2:$E$1001,$L361))</f>
        <v/>
      </c>
      <c r="D361" s="8" t="str">
        <f ca="1">IF($L361="","",INDEX('Veri Merkezi'!$D$2:$D$1001,$L361))</f>
        <v/>
      </c>
      <c r="E361" s="8" t="str">
        <f ca="1">IF($L361="","",INDEX('Veri Merkezi'!$F$2:$F$1001,$L361))</f>
        <v/>
      </c>
      <c r="F361" s="9" t="str">
        <f ca="1">IF($L361="","",INDEX('Veri Merkezi'!$G$2:$G$1001,$L361))</f>
        <v/>
      </c>
      <c r="H361" s="8" t="str">
        <f ca="1">IF($L361="","",INDEX('Veri Merkezi'!$H$2:$H$1001,$L361))</f>
        <v/>
      </c>
      <c r="I361" s="10" t="str">
        <f ca="1">IF($L361="","",INDEX('Veri Merkezi'!$R$2:$R$1001,$L361))</f>
        <v/>
      </c>
      <c r="J361" s="8" t="str">
        <f ca="1">IF($L361="","",INDEX('Veri Merkezi'!$S$2:$S$1001,$L361))</f>
        <v/>
      </c>
      <c r="K361" s="8" t="str">
        <f ca="1">IF($L361="","",INDEX('Veri Merkezi'!$U$2:$U$1001,$L361))</f>
        <v/>
      </c>
      <c r="L361" s="8" t="str">
        <f ca="1">IFERROR(MATCH(ROWS($L$4:L361),'Veri Merkezi'!$W$2:$W$1001,0),"")</f>
        <v/>
      </c>
    </row>
    <row r="362" spans="1:12" ht="20" customHeight="1">
      <c r="A362" s="8" t="str">
        <f ca="1">IF($L362="","",ROWS($A$4:A362))</f>
        <v/>
      </c>
      <c r="B362" s="8" t="str">
        <f ca="1">IF($L362="","",INDEX('Veri Merkezi'!$A$2:$A$1001,$L362))</f>
        <v/>
      </c>
      <c r="C362" s="8" t="str">
        <f ca="1">IF($L362="","",INDEX('Veri Merkezi'!$E$2:$E$1001,$L362))</f>
        <v/>
      </c>
      <c r="D362" s="8" t="str">
        <f ca="1">IF($L362="","",INDEX('Veri Merkezi'!$D$2:$D$1001,$L362))</f>
        <v/>
      </c>
      <c r="E362" s="8" t="str">
        <f ca="1">IF($L362="","",INDEX('Veri Merkezi'!$F$2:$F$1001,$L362))</f>
        <v/>
      </c>
      <c r="F362" s="9" t="str">
        <f ca="1">IF($L362="","",INDEX('Veri Merkezi'!$G$2:$G$1001,$L362))</f>
        <v/>
      </c>
      <c r="H362" s="8" t="str">
        <f ca="1">IF($L362="","",INDEX('Veri Merkezi'!$H$2:$H$1001,$L362))</f>
        <v/>
      </c>
      <c r="I362" s="10" t="str">
        <f ca="1">IF($L362="","",INDEX('Veri Merkezi'!$R$2:$R$1001,$L362))</f>
        <v/>
      </c>
      <c r="J362" s="8" t="str">
        <f ca="1">IF($L362="","",INDEX('Veri Merkezi'!$S$2:$S$1001,$L362))</f>
        <v/>
      </c>
      <c r="K362" s="8" t="str">
        <f ca="1">IF($L362="","",INDEX('Veri Merkezi'!$U$2:$U$1001,$L362))</f>
        <v/>
      </c>
      <c r="L362" s="8" t="str">
        <f ca="1">IFERROR(MATCH(ROWS($L$4:L362),'Veri Merkezi'!$W$2:$W$1001,0),"")</f>
        <v/>
      </c>
    </row>
    <row r="363" spans="1:12" ht="20" customHeight="1">
      <c r="A363" s="8" t="str">
        <f ca="1">IF($L363="","",ROWS($A$4:A363))</f>
        <v/>
      </c>
      <c r="B363" s="8" t="str">
        <f ca="1">IF($L363="","",INDEX('Veri Merkezi'!$A$2:$A$1001,$L363))</f>
        <v/>
      </c>
      <c r="C363" s="8" t="str">
        <f ca="1">IF($L363="","",INDEX('Veri Merkezi'!$E$2:$E$1001,$L363))</f>
        <v/>
      </c>
      <c r="D363" s="8" t="str">
        <f ca="1">IF($L363="","",INDEX('Veri Merkezi'!$D$2:$D$1001,$L363))</f>
        <v/>
      </c>
      <c r="E363" s="8" t="str">
        <f ca="1">IF($L363="","",INDEX('Veri Merkezi'!$F$2:$F$1001,$L363))</f>
        <v/>
      </c>
      <c r="F363" s="9" t="str">
        <f ca="1">IF($L363="","",INDEX('Veri Merkezi'!$G$2:$G$1001,$L363))</f>
        <v/>
      </c>
      <c r="H363" s="8" t="str">
        <f ca="1">IF($L363="","",INDEX('Veri Merkezi'!$H$2:$H$1001,$L363))</f>
        <v/>
      </c>
      <c r="I363" s="10" t="str">
        <f ca="1">IF($L363="","",INDEX('Veri Merkezi'!$R$2:$R$1001,$L363))</f>
        <v/>
      </c>
      <c r="J363" s="8" t="str">
        <f ca="1">IF($L363="","",INDEX('Veri Merkezi'!$S$2:$S$1001,$L363))</f>
        <v/>
      </c>
      <c r="K363" s="8" t="str">
        <f ca="1">IF($L363="","",INDEX('Veri Merkezi'!$U$2:$U$1001,$L363))</f>
        <v/>
      </c>
      <c r="L363" s="8" t="str">
        <f ca="1">IFERROR(MATCH(ROWS($L$4:L363),'Veri Merkezi'!$W$2:$W$1001,0),"")</f>
        <v/>
      </c>
    </row>
    <row r="364" spans="1:12" ht="20" customHeight="1">
      <c r="A364" s="8" t="str">
        <f ca="1">IF($L364="","",ROWS($A$4:A364))</f>
        <v/>
      </c>
      <c r="B364" s="8" t="str">
        <f ca="1">IF($L364="","",INDEX('Veri Merkezi'!$A$2:$A$1001,$L364))</f>
        <v/>
      </c>
      <c r="C364" s="8" t="str">
        <f ca="1">IF($L364="","",INDEX('Veri Merkezi'!$E$2:$E$1001,$L364))</f>
        <v/>
      </c>
      <c r="D364" s="8" t="str">
        <f ca="1">IF($L364="","",INDEX('Veri Merkezi'!$D$2:$D$1001,$L364))</f>
        <v/>
      </c>
      <c r="E364" s="8" t="str">
        <f ca="1">IF($L364="","",INDEX('Veri Merkezi'!$F$2:$F$1001,$L364))</f>
        <v/>
      </c>
      <c r="F364" s="9" t="str">
        <f ca="1">IF($L364="","",INDEX('Veri Merkezi'!$G$2:$G$1001,$L364))</f>
        <v/>
      </c>
      <c r="H364" s="8" t="str">
        <f ca="1">IF($L364="","",INDEX('Veri Merkezi'!$H$2:$H$1001,$L364))</f>
        <v/>
      </c>
      <c r="I364" s="10" t="str">
        <f ca="1">IF($L364="","",INDEX('Veri Merkezi'!$R$2:$R$1001,$L364))</f>
        <v/>
      </c>
      <c r="J364" s="8" t="str">
        <f ca="1">IF($L364="","",INDEX('Veri Merkezi'!$S$2:$S$1001,$L364))</f>
        <v/>
      </c>
      <c r="K364" s="8" t="str">
        <f ca="1">IF($L364="","",INDEX('Veri Merkezi'!$U$2:$U$1001,$L364))</f>
        <v/>
      </c>
      <c r="L364" s="8" t="str">
        <f ca="1">IFERROR(MATCH(ROWS($L$4:L364),'Veri Merkezi'!$W$2:$W$1001,0),"")</f>
        <v/>
      </c>
    </row>
    <row r="365" spans="1:12" ht="20" customHeight="1">
      <c r="A365" s="8" t="str">
        <f ca="1">IF($L365="","",ROWS($A$4:A365))</f>
        <v/>
      </c>
      <c r="B365" s="8" t="str">
        <f ca="1">IF($L365="","",INDEX('Veri Merkezi'!$A$2:$A$1001,$L365))</f>
        <v/>
      </c>
      <c r="C365" s="8" t="str">
        <f ca="1">IF($L365="","",INDEX('Veri Merkezi'!$E$2:$E$1001,$L365))</f>
        <v/>
      </c>
      <c r="D365" s="8" t="str">
        <f ca="1">IF($L365="","",INDEX('Veri Merkezi'!$D$2:$D$1001,$L365))</f>
        <v/>
      </c>
      <c r="E365" s="8" t="str">
        <f ca="1">IF($L365="","",INDEX('Veri Merkezi'!$F$2:$F$1001,$L365))</f>
        <v/>
      </c>
      <c r="F365" s="9" t="str">
        <f ca="1">IF($L365="","",INDEX('Veri Merkezi'!$G$2:$G$1001,$L365))</f>
        <v/>
      </c>
      <c r="H365" s="8" t="str">
        <f ca="1">IF($L365="","",INDEX('Veri Merkezi'!$H$2:$H$1001,$L365))</f>
        <v/>
      </c>
      <c r="I365" s="10" t="str">
        <f ca="1">IF($L365="","",INDEX('Veri Merkezi'!$R$2:$R$1001,$L365))</f>
        <v/>
      </c>
      <c r="J365" s="8" t="str">
        <f ca="1">IF($L365="","",INDEX('Veri Merkezi'!$S$2:$S$1001,$L365))</f>
        <v/>
      </c>
      <c r="K365" s="8" t="str">
        <f ca="1">IF($L365="","",INDEX('Veri Merkezi'!$U$2:$U$1001,$L365))</f>
        <v/>
      </c>
      <c r="L365" s="8" t="str">
        <f ca="1">IFERROR(MATCH(ROWS($L$4:L365),'Veri Merkezi'!$W$2:$W$1001,0),"")</f>
        <v/>
      </c>
    </row>
    <row r="366" spans="1:12" ht="20" customHeight="1">
      <c r="A366" s="8" t="str">
        <f ca="1">IF($L366="","",ROWS($A$4:A366))</f>
        <v/>
      </c>
      <c r="B366" s="8" t="str">
        <f ca="1">IF($L366="","",INDEX('Veri Merkezi'!$A$2:$A$1001,$L366))</f>
        <v/>
      </c>
      <c r="C366" s="8" t="str">
        <f ca="1">IF($L366="","",INDEX('Veri Merkezi'!$E$2:$E$1001,$L366))</f>
        <v/>
      </c>
      <c r="D366" s="8" t="str">
        <f ca="1">IF($L366="","",INDEX('Veri Merkezi'!$D$2:$D$1001,$L366))</f>
        <v/>
      </c>
      <c r="E366" s="8" t="str">
        <f ca="1">IF($L366="","",INDEX('Veri Merkezi'!$F$2:$F$1001,$L366))</f>
        <v/>
      </c>
      <c r="F366" s="9" t="str">
        <f ca="1">IF($L366="","",INDEX('Veri Merkezi'!$G$2:$G$1001,$L366))</f>
        <v/>
      </c>
      <c r="H366" s="8" t="str">
        <f ca="1">IF($L366="","",INDEX('Veri Merkezi'!$H$2:$H$1001,$L366))</f>
        <v/>
      </c>
      <c r="I366" s="10" t="str">
        <f ca="1">IF($L366="","",INDEX('Veri Merkezi'!$R$2:$R$1001,$L366))</f>
        <v/>
      </c>
      <c r="J366" s="8" t="str">
        <f ca="1">IF($L366="","",INDEX('Veri Merkezi'!$S$2:$S$1001,$L366))</f>
        <v/>
      </c>
      <c r="K366" s="8" t="str">
        <f ca="1">IF($L366="","",INDEX('Veri Merkezi'!$U$2:$U$1001,$L366))</f>
        <v/>
      </c>
      <c r="L366" s="8" t="str">
        <f ca="1">IFERROR(MATCH(ROWS($L$4:L366),'Veri Merkezi'!$W$2:$W$1001,0),"")</f>
        <v/>
      </c>
    </row>
    <row r="367" spans="1:12" ht="20" customHeight="1">
      <c r="A367" s="8" t="str">
        <f ca="1">IF($L367="","",ROWS($A$4:A367))</f>
        <v/>
      </c>
      <c r="B367" s="8" t="str">
        <f ca="1">IF($L367="","",INDEX('Veri Merkezi'!$A$2:$A$1001,$L367))</f>
        <v/>
      </c>
      <c r="C367" s="8" t="str">
        <f ca="1">IF($L367="","",INDEX('Veri Merkezi'!$E$2:$E$1001,$L367))</f>
        <v/>
      </c>
      <c r="D367" s="8" t="str">
        <f ca="1">IF($L367="","",INDEX('Veri Merkezi'!$D$2:$D$1001,$L367))</f>
        <v/>
      </c>
      <c r="E367" s="8" t="str">
        <f ca="1">IF($L367="","",INDEX('Veri Merkezi'!$F$2:$F$1001,$L367))</f>
        <v/>
      </c>
      <c r="F367" s="9" t="str">
        <f ca="1">IF($L367="","",INDEX('Veri Merkezi'!$G$2:$G$1001,$L367))</f>
        <v/>
      </c>
      <c r="H367" s="8" t="str">
        <f ca="1">IF($L367="","",INDEX('Veri Merkezi'!$H$2:$H$1001,$L367))</f>
        <v/>
      </c>
      <c r="I367" s="10" t="str">
        <f ca="1">IF($L367="","",INDEX('Veri Merkezi'!$R$2:$R$1001,$L367))</f>
        <v/>
      </c>
      <c r="J367" s="8" t="str">
        <f ca="1">IF($L367="","",INDEX('Veri Merkezi'!$S$2:$S$1001,$L367))</f>
        <v/>
      </c>
      <c r="K367" s="8" t="str">
        <f ca="1">IF($L367="","",INDEX('Veri Merkezi'!$U$2:$U$1001,$L367))</f>
        <v/>
      </c>
      <c r="L367" s="8" t="str">
        <f ca="1">IFERROR(MATCH(ROWS($L$4:L367),'Veri Merkezi'!$W$2:$W$1001,0),"")</f>
        <v/>
      </c>
    </row>
    <row r="368" spans="1:12" ht="20" customHeight="1">
      <c r="A368" s="8" t="str">
        <f ca="1">IF($L368="","",ROWS($A$4:A368))</f>
        <v/>
      </c>
      <c r="B368" s="8" t="str">
        <f ca="1">IF($L368="","",INDEX('Veri Merkezi'!$A$2:$A$1001,$L368))</f>
        <v/>
      </c>
      <c r="C368" s="8" t="str">
        <f ca="1">IF($L368="","",INDEX('Veri Merkezi'!$E$2:$E$1001,$L368))</f>
        <v/>
      </c>
      <c r="D368" s="8" t="str">
        <f ca="1">IF($L368="","",INDEX('Veri Merkezi'!$D$2:$D$1001,$L368))</f>
        <v/>
      </c>
      <c r="E368" s="8" t="str">
        <f ca="1">IF($L368="","",INDEX('Veri Merkezi'!$F$2:$F$1001,$L368))</f>
        <v/>
      </c>
      <c r="F368" s="9" t="str">
        <f ca="1">IF($L368="","",INDEX('Veri Merkezi'!$G$2:$G$1001,$L368))</f>
        <v/>
      </c>
      <c r="H368" s="8" t="str">
        <f ca="1">IF($L368="","",INDEX('Veri Merkezi'!$H$2:$H$1001,$L368))</f>
        <v/>
      </c>
      <c r="I368" s="10" t="str">
        <f ca="1">IF($L368="","",INDEX('Veri Merkezi'!$R$2:$R$1001,$L368))</f>
        <v/>
      </c>
      <c r="J368" s="8" t="str">
        <f ca="1">IF($L368="","",INDEX('Veri Merkezi'!$S$2:$S$1001,$L368))</f>
        <v/>
      </c>
      <c r="K368" s="8" t="str">
        <f ca="1">IF($L368="","",INDEX('Veri Merkezi'!$U$2:$U$1001,$L368))</f>
        <v/>
      </c>
      <c r="L368" s="8" t="str">
        <f ca="1">IFERROR(MATCH(ROWS($L$4:L368),'Veri Merkezi'!$W$2:$W$1001,0),"")</f>
        <v/>
      </c>
    </row>
    <row r="369" spans="1:12" ht="20" customHeight="1">
      <c r="A369" s="8" t="str">
        <f ca="1">IF($L369="","",ROWS($A$4:A369))</f>
        <v/>
      </c>
      <c r="B369" s="8" t="str">
        <f ca="1">IF($L369="","",INDEX('Veri Merkezi'!$A$2:$A$1001,$L369))</f>
        <v/>
      </c>
      <c r="C369" s="8" t="str">
        <f ca="1">IF($L369="","",INDEX('Veri Merkezi'!$E$2:$E$1001,$L369))</f>
        <v/>
      </c>
      <c r="D369" s="8" t="str">
        <f ca="1">IF($L369="","",INDEX('Veri Merkezi'!$D$2:$D$1001,$L369))</f>
        <v/>
      </c>
      <c r="E369" s="8" t="str">
        <f ca="1">IF($L369="","",INDEX('Veri Merkezi'!$F$2:$F$1001,$L369))</f>
        <v/>
      </c>
      <c r="F369" s="9" t="str">
        <f ca="1">IF($L369="","",INDEX('Veri Merkezi'!$G$2:$G$1001,$L369))</f>
        <v/>
      </c>
      <c r="H369" s="8" t="str">
        <f ca="1">IF($L369="","",INDEX('Veri Merkezi'!$H$2:$H$1001,$L369))</f>
        <v/>
      </c>
      <c r="I369" s="10" t="str">
        <f ca="1">IF($L369="","",INDEX('Veri Merkezi'!$R$2:$R$1001,$L369))</f>
        <v/>
      </c>
      <c r="J369" s="8" t="str">
        <f ca="1">IF($L369="","",INDEX('Veri Merkezi'!$S$2:$S$1001,$L369))</f>
        <v/>
      </c>
      <c r="K369" s="8" t="str">
        <f ca="1">IF($L369="","",INDEX('Veri Merkezi'!$U$2:$U$1001,$L369))</f>
        <v/>
      </c>
      <c r="L369" s="8" t="str">
        <f ca="1">IFERROR(MATCH(ROWS($L$4:L369),'Veri Merkezi'!$W$2:$W$1001,0),"")</f>
        <v/>
      </c>
    </row>
    <row r="370" spans="1:12" ht="20" customHeight="1">
      <c r="A370" s="8" t="str">
        <f ca="1">IF($L370="","",ROWS($A$4:A370))</f>
        <v/>
      </c>
      <c r="B370" s="8" t="str">
        <f ca="1">IF($L370="","",INDEX('Veri Merkezi'!$A$2:$A$1001,$L370))</f>
        <v/>
      </c>
      <c r="C370" s="8" t="str">
        <f ca="1">IF($L370="","",INDEX('Veri Merkezi'!$E$2:$E$1001,$L370))</f>
        <v/>
      </c>
      <c r="D370" s="8" t="str">
        <f ca="1">IF($L370="","",INDEX('Veri Merkezi'!$D$2:$D$1001,$L370))</f>
        <v/>
      </c>
      <c r="E370" s="8" t="str">
        <f ca="1">IF($L370="","",INDEX('Veri Merkezi'!$F$2:$F$1001,$L370))</f>
        <v/>
      </c>
      <c r="F370" s="9" t="str">
        <f ca="1">IF($L370="","",INDEX('Veri Merkezi'!$G$2:$G$1001,$L370))</f>
        <v/>
      </c>
      <c r="H370" s="8" t="str">
        <f ca="1">IF($L370="","",INDEX('Veri Merkezi'!$H$2:$H$1001,$L370))</f>
        <v/>
      </c>
      <c r="I370" s="10" t="str">
        <f ca="1">IF($L370="","",INDEX('Veri Merkezi'!$R$2:$R$1001,$L370))</f>
        <v/>
      </c>
      <c r="J370" s="8" t="str">
        <f ca="1">IF($L370="","",INDEX('Veri Merkezi'!$S$2:$S$1001,$L370))</f>
        <v/>
      </c>
      <c r="K370" s="8" t="str">
        <f ca="1">IF($L370="","",INDEX('Veri Merkezi'!$U$2:$U$1001,$L370))</f>
        <v/>
      </c>
      <c r="L370" s="8" t="str">
        <f ca="1">IFERROR(MATCH(ROWS($L$4:L370),'Veri Merkezi'!$W$2:$W$1001,0),"")</f>
        <v/>
      </c>
    </row>
    <row r="371" spans="1:12" ht="20" customHeight="1">
      <c r="A371" s="8" t="str">
        <f ca="1">IF($L371="","",ROWS($A$4:A371))</f>
        <v/>
      </c>
      <c r="B371" s="8" t="str">
        <f ca="1">IF($L371="","",INDEX('Veri Merkezi'!$A$2:$A$1001,$L371))</f>
        <v/>
      </c>
      <c r="C371" s="8" t="str">
        <f ca="1">IF($L371="","",INDEX('Veri Merkezi'!$E$2:$E$1001,$L371))</f>
        <v/>
      </c>
      <c r="D371" s="8" t="str">
        <f ca="1">IF($L371="","",INDEX('Veri Merkezi'!$D$2:$D$1001,$L371))</f>
        <v/>
      </c>
      <c r="E371" s="8" t="str">
        <f ca="1">IF($L371="","",INDEX('Veri Merkezi'!$F$2:$F$1001,$L371))</f>
        <v/>
      </c>
      <c r="F371" s="9" t="str">
        <f ca="1">IF($L371="","",INDEX('Veri Merkezi'!$G$2:$G$1001,$L371))</f>
        <v/>
      </c>
      <c r="H371" s="8" t="str">
        <f ca="1">IF($L371="","",INDEX('Veri Merkezi'!$H$2:$H$1001,$L371))</f>
        <v/>
      </c>
      <c r="I371" s="10" t="str">
        <f ca="1">IF($L371="","",INDEX('Veri Merkezi'!$R$2:$R$1001,$L371))</f>
        <v/>
      </c>
      <c r="J371" s="8" t="str">
        <f ca="1">IF($L371="","",INDEX('Veri Merkezi'!$S$2:$S$1001,$L371))</f>
        <v/>
      </c>
      <c r="K371" s="8" t="str">
        <f ca="1">IF($L371="","",INDEX('Veri Merkezi'!$U$2:$U$1001,$L371))</f>
        <v/>
      </c>
      <c r="L371" s="8" t="str">
        <f ca="1">IFERROR(MATCH(ROWS($L$4:L371),'Veri Merkezi'!$W$2:$W$1001,0),"")</f>
        <v/>
      </c>
    </row>
    <row r="372" spans="1:12" ht="20" customHeight="1">
      <c r="A372" s="8" t="str">
        <f ca="1">IF($L372="","",ROWS($A$4:A372))</f>
        <v/>
      </c>
      <c r="B372" s="8" t="str">
        <f ca="1">IF($L372="","",INDEX('Veri Merkezi'!$A$2:$A$1001,$L372))</f>
        <v/>
      </c>
      <c r="C372" s="8" t="str">
        <f ca="1">IF($L372="","",INDEX('Veri Merkezi'!$E$2:$E$1001,$L372))</f>
        <v/>
      </c>
      <c r="D372" s="8" t="str">
        <f ca="1">IF($L372="","",INDEX('Veri Merkezi'!$D$2:$D$1001,$L372))</f>
        <v/>
      </c>
      <c r="E372" s="8" t="str">
        <f ca="1">IF($L372="","",INDEX('Veri Merkezi'!$F$2:$F$1001,$L372))</f>
        <v/>
      </c>
      <c r="F372" s="9" t="str">
        <f ca="1">IF($L372="","",INDEX('Veri Merkezi'!$G$2:$G$1001,$L372))</f>
        <v/>
      </c>
      <c r="H372" s="8" t="str">
        <f ca="1">IF($L372="","",INDEX('Veri Merkezi'!$H$2:$H$1001,$L372))</f>
        <v/>
      </c>
      <c r="I372" s="10" t="str">
        <f ca="1">IF($L372="","",INDEX('Veri Merkezi'!$R$2:$R$1001,$L372))</f>
        <v/>
      </c>
      <c r="J372" s="8" t="str">
        <f ca="1">IF($L372="","",INDEX('Veri Merkezi'!$S$2:$S$1001,$L372))</f>
        <v/>
      </c>
      <c r="K372" s="8" t="str">
        <f ca="1">IF($L372="","",INDEX('Veri Merkezi'!$U$2:$U$1001,$L372))</f>
        <v/>
      </c>
      <c r="L372" s="8" t="str">
        <f ca="1">IFERROR(MATCH(ROWS($L$4:L372),'Veri Merkezi'!$W$2:$W$1001,0),"")</f>
        <v/>
      </c>
    </row>
    <row r="373" spans="1:12" ht="20" customHeight="1">
      <c r="A373" s="8" t="str">
        <f ca="1">IF($L373="","",ROWS($A$4:A373))</f>
        <v/>
      </c>
      <c r="B373" s="8" t="str">
        <f ca="1">IF($L373="","",INDEX('Veri Merkezi'!$A$2:$A$1001,$L373))</f>
        <v/>
      </c>
      <c r="C373" s="8" t="str">
        <f ca="1">IF($L373="","",INDEX('Veri Merkezi'!$E$2:$E$1001,$L373))</f>
        <v/>
      </c>
      <c r="D373" s="8" t="str">
        <f ca="1">IF($L373="","",INDEX('Veri Merkezi'!$D$2:$D$1001,$L373))</f>
        <v/>
      </c>
      <c r="E373" s="8" t="str">
        <f ca="1">IF($L373="","",INDEX('Veri Merkezi'!$F$2:$F$1001,$L373))</f>
        <v/>
      </c>
      <c r="F373" s="9" t="str">
        <f ca="1">IF($L373="","",INDEX('Veri Merkezi'!$G$2:$G$1001,$L373))</f>
        <v/>
      </c>
      <c r="H373" s="8" t="str">
        <f ca="1">IF($L373="","",INDEX('Veri Merkezi'!$H$2:$H$1001,$L373))</f>
        <v/>
      </c>
      <c r="I373" s="10" t="str">
        <f ca="1">IF($L373="","",INDEX('Veri Merkezi'!$R$2:$R$1001,$L373))</f>
        <v/>
      </c>
      <c r="J373" s="8" t="str">
        <f ca="1">IF($L373="","",INDEX('Veri Merkezi'!$S$2:$S$1001,$L373))</f>
        <v/>
      </c>
      <c r="K373" s="8" t="str">
        <f ca="1">IF($L373="","",INDEX('Veri Merkezi'!$U$2:$U$1001,$L373))</f>
        <v/>
      </c>
      <c r="L373" s="8" t="str">
        <f ca="1">IFERROR(MATCH(ROWS($L$4:L373),'Veri Merkezi'!$W$2:$W$1001,0),"")</f>
        <v/>
      </c>
    </row>
    <row r="374" spans="1:12" ht="20" customHeight="1">
      <c r="A374" s="8" t="str">
        <f ca="1">IF($L374="","",ROWS($A$4:A374))</f>
        <v/>
      </c>
      <c r="B374" s="8" t="str">
        <f ca="1">IF($L374="","",INDEX('Veri Merkezi'!$A$2:$A$1001,$L374))</f>
        <v/>
      </c>
      <c r="C374" s="8" t="str">
        <f ca="1">IF($L374="","",INDEX('Veri Merkezi'!$E$2:$E$1001,$L374))</f>
        <v/>
      </c>
      <c r="D374" s="8" t="str">
        <f ca="1">IF($L374="","",INDEX('Veri Merkezi'!$D$2:$D$1001,$L374))</f>
        <v/>
      </c>
      <c r="E374" s="8" t="str">
        <f ca="1">IF($L374="","",INDEX('Veri Merkezi'!$F$2:$F$1001,$L374))</f>
        <v/>
      </c>
      <c r="F374" s="9" t="str">
        <f ca="1">IF($L374="","",INDEX('Veri Merkezi'!$G$2:$G$1001,$L374))</f>
        <v/>
      </c>
      <c r="H374" s="8" t="str">
        <f ca="1">IF($L374="","",INDEX('Veri Merkezi'!$H$2:$H$1001,$L374))</f>
        <v/>
      </c>
      <c r="I374" s="10" t="str">
        <f ca="1">IF($L374="","",INDEX('Veri Merkezi'!$R$2:$R$1001,$L374))</f>
        <v/>
      </c>
      <c r="J374" s="8" t="str">
        <f ca="1">IF($L374="","",INDEX('Veri Merkezi'!$S$2:$S$1001,$L374))</f>
        <v/>
      </c>
      <c r="K374" s="8" t="str">
        <f ca="1">IF($L374="","",INDEX('Veri Merkezi'!$U$2:$U$1001,$L374))</f>
        <v/>
      </c>
      <c r="L374" s="8" t="str">
        <f ca="1">IFERROR(MATCH(ROWS($L$4:L374),'Veri Merkezi'!$W$2:$W$1001,0),"")</f>
        <v/>
      </c>
    </row>
    <row r="375" spans="1:12" ht="20" customHeight="1">
      <c r="A375" s="8" t="str">
        <f ca="1">IF($L375="","",ROWS($A$4:A375))</f>
        <v/>
      </c>
      <c r="B375" s="8" t="str">
        <f ca="1">IF($L375="","",INDEX('Veri Merkezi'!$A$2:$A$1001,$L375))</f>
        <v/>
      </c>
      <c r="C375" s="8" t="str">
        <f ca="1">IF($L375="","",INDEX('Veri Merkezi'!$E$2:$E$1001,$L375))</f>
        <v/>
      </c>
      <c r="D375" s="8" t="str">
        <f ca="1">IF($L375="","",INDEX('Veri Merkezi'!$D$2:$D$1001,$L375))</f>
        <v/>
      </c>
      <c r="E375" s="8" t="str">
        <f ca="1">IF($L375="","",INDEX('Veri Merkezi'!$F$2:$F$1001,$L375))</f>
        <v/>
      </c>
      <c r="F375" s="9" t="str">
        <f ca="1">IF($L375="","",INDEX('Veri Merkezi'!$G$2:$G$1001,$L375))</f>
        <v/>
      </c>
      <c r="H375" s="8" t="str">
        <f ca="1">IF($L375="","",INDEX('Veri Merkezi'!$H$2:$H$1001,$L375))</f>
        <v/>
      </c>
      <c r="I375" s="10" t="str">
        <f ca="1">IF($L375="","",INDEX('Veri Merkezi'!$R$2:$R$1001,$L375))</f>
        <v/>
      </c>
      <c r="J375" s="8" t="str">
        <f ca="1">IF($L375="","",INDEX('Veri Merkezi'!$S$2:$S$1001,$L375))</f>
        <v/>
      </c>
      <c r="K375" s="8" t="str">
        <f ca="1">IF($L375="","",INDEX('Veri Merkezi'!$U$2:$U$1001,$L375))</f>
        <v/>
      </c>
      <c r="L375" s="8" t="str">
        <f ca="1">IFERROR(MATCH(ROWS($L$4:L375),'Veri Merkezi'!$W$2:$W$1001,0),"")</f>
        <v/>
      </c>
    </row>
    <row r="376" spans="1:12" ht="20" customHeight="1">
      <c r="A376" s="8" t="str">
        <f ca="1">IF($L376="","",ROWS($A$4:A376))</f>
        <v/>
      </c>
      <c r="B376" s="8" t="str">
        <f ca="1">IF($L376="","",INDEX('Veri Merkezi'!$A$2:$A$1001,$L376))</f>
        <v/>
      </c>
      <c r="C376" s="8" t="str">
        <f ca="1">IF($L376="","",INDEX('Veri Merkezi'!$E$2:$E$1001,$L376))</f>
        <v/>
      </c>
      <c r="D376" s="8" t="str">
        <f ca="1">IF($L376="","",INDEX('Veri Merkezi'!$D$2:$D$1001,$L376))</f>
        <v/>
      </c>
      <c r="E376" s="8" t="str">
        <f ca="1">IF($L376="","",INDEX('Veri Merkezi'!$F$2:$F$1001,$L376))</f>
        <v/>
      </c>
      <c r="F376" s="9" t="str">
        <f ca="1">IF($L376="","",INDEX('Veri Merkezi'!$G$2:$G$1001,$L376))</f>
        <v/>
      </c>
      <c r="H376" s="8" t="str">
        <f ca="1">IF($L376="","",INDEX('Veri Merkezi'!$H$2:$H$1001,$L376))</f>
        <v/>
      </c>
      <c r="I376" s="10" t="str">
        <f ca="1">IF($L376="","",INDEX('Veri Merkezi'!$R$2:$R$1001,$L376))</f>
        <v/>
      </c>
      <c r="J376" s="8" t="str">
        <f ca="1">IF($L376="","",INDEX('Veri Merkezi'!$S$2:$S$1001,$L376))</f>
        <v/>
      </c>
      <c r="K376" s="8" t="str">
        <f ca="1">IF($L376="","",INDEX('Veri Merkezi'!$U$2:$U$1001,$L376))</f>
        <v/>
      </c>
      <c r="L376" s="8" t="str">
        <f ca="1">IFERROR(MATCH(ROWS($L$4:L376),'Veri Merkezi'!$W$2:$W$1001,0),"")</f>
        <v/>
      </c>
    </row>
    <row r="377" spans="1:12" ht="20" customHeight="1">
      <c r="A377" s="8" t="str">
        <f ca="1">IF($L377="","",ROWS($A$4:A377))</f>
        <v/>
      </c>
      <c r="B377" s="8" t="str">
        <f ca="1">IF($L377="","",INDEX('Veri Merkezi'!$A$2:$A$1001,$L377))</f>
        <v/>
      </c>
      <c r="C377" s="8" t="str">
        <f ca="1">IF($L377="","",INDEX('Veri Merkezi'!$E$2:$E$1001,$L377))</f>
        <v/>
      </c>
      <c r="D377" s="8" t="str">
        <f ca="1">IF($L377="","",INDEX('Veri Merkezi'!$D$2:$D$1001,$L377))</f>
        <v/>
      </c>
      <c r="E377" s="8" t="str">
        <f ca="1">IF($L377="","",INDEX('Veri Merkezi'!$F$2:$F$1001,$L377))</f>
        <v/>
      </c>
      <c r="F377" s="9" t="str">
        <f ca="1">IF($L377="","",INDEX('Veri Merkezi'!$G$2:$G$1001,$L377))</f>
        <v/>
      </c>
      <c r="H377" s="8" t="str">
        <f ca="1">IF($L377="","",INDEX('Veri Merkezi'!$H$2:$H$1001,$L377))</f>
        <v/>
      </c>
      <c r="I377" s="10" t="str">
        <f ca="1">IF($L377="","",INDEX('Veri Merkezi'!$R$2:$R$1001,$L377))</f>
        <v/>
      </c>
      <c r="J377" s="8" t="str">
        <f ca="1">IF($L377="","",INDEX('Veri Merkezi'!$S$2:$S$1001,$L377))</f>
        <v/>
      </c>
      <c r="K377" s="8" t="str">
        <f ca="1">IF($L377="","",INDEX('Veri Merkezi'!$U$2:$U$1001,$L377))</f>
        <v/>
      </c>
      <c r="L377" s="8" t="str">
        <f ca="1">IFERROR(MATCH(ROWS($L$4:L377),'Veri Merkezi'!$W$2:$W$1001,0),"")</f>
        <v/>
      </c>
    </row>
    <row r="378" spans="1:12" ht="20" customHeight="1">
      <c r="A378" s="8" t="str">
        <f ca="1">IF($L378="","",ROWS($A$4:A378))</f>
        <v/>
      </c>
      <c r="B378" s="8" t="str">
        <f ca="1">IF($L378="","",INDEX('Veri Merkezi'!$A$2:$A$1001,$L378))</f>
        <v/>
      </c>
      <c r="C378" s="8" t="str">
        <f ca="1">IF($L378="","",INDEX('Veri Merkezi'!$E$2:$E$1001,$L378))</f>
        <v/>
      </c>
      <c r="D378" s="8" t="str">
        <f ca="1">IF($L378="","",INDEX('Veri Merkezi'!$D$2:$D$1001,$L378))</f>
        <v/>
      </c>
      <c r="E378" s="8" t="str">
        <f ca="1">IF($L378="","",INDEX('Veri Merkezi'!$F$2:$F$1001,$L378))</f>
        <v/>
      </c>
      <c r="F378" s="9" t="str">
        <f ca="1">IF($L378="","",INDEX('Veri Merkezi'!$G$2:$G$1001,$L378))</f>
        <v/>
      </c>
      <c r="H378" s="8" t="str">
        <f ca="1">IF($L378="","",INDEX('Veri Merkezi'!$H$2:$H$1001,$L378))</f>
        <v/>
      </c>
      <c r="I378" s="10" t="str">
        <f ca="1">IF($L378="","",INDEX('Veri Merkezi'!$R$2:$R$1001,$L378))</f>
        <v/>
      </c>
      <c r="J378" s="8" t="str">
        <f ca="1">IF($L378="","",INDEX('Veri Merkezi'!$S$2:$S$1001,$L378))</f>
        <v/>
      </c>
      <c r="K378" s="8" t="str">
        <f ca="1">IF($L378="","",INDEX('Veri Merkezi'!$U$2:$U$1001,$L378))</f>
        <v/>
      </c>
      <c r="L378" s="8" t="str">
        <f ca="1">IFERROR(MATCH(ROWS($L$4:L378),'Veri Merkezi'!$W$2:$W$1001,0),"")</f>
        <v/>
      </c>
    </row>
    <row r="379" spans="1:12" ht="20" customHeight="1">
      <c r="A379" s="8" t="str">
        <f ca="1">IF($L379="","",ROWS($A$4:A379))</f>
        <v/>
      </c>
      <c r="B379" s="8" t="str">
        <f ca="1">IF($L379="","",INDEX('Veri Merkezi'!$A$2:$A$1001,$L379))</f>
        <v/>
      </c>
      <c r="C379" s="8" t="str">
        <f ca="1">IF($L379="","",INDEX('Veri Merkezi'!$E$2:$E$1001,$L379))</f>
        <v/>
      </c>
      <c r="D379" s="8" t="str">
        <f ca="1">IF($L379="","",INDEX('Veri Merkezi'!$D$2:$D$1001,$L379))</f>
        <v/>
      </c>
      <c r="E379" s="8" t="str">
        <f ca="1">IF($L379="","",INDEX('Veri Merkezi'!$F$2:$F$1001,$L379))</f>
        <v/>
      </c>
      <c r="F379" s="9" t="str">
        <f ca="1">IF($L379="","",INDEX('Veri Merkezi'!$G$2:$G$1001,$L379))</f>
        <v/>
      </c>
      <c r="H379" s="8" t="str">
        <f ca="1">IF($L379="","",INDEX('Veri Merkezi'!$H$2:$H$1001,$L379))</f>
        <v/>
      </c>
      <c r="I379" s="10" t="str">
        <f ca="1">IF($L379="","",INDEX('Veri Merkezi'!$R$2:$R$1001,$L379))</f>
        <v/>
      </c>
      <c r="J379" s="8" t="str">
        <f ca="1">IF($L379="","",INDEX('Veri Merkezi'!$S$2:$S$1001,$L379))</f>
        <v/>
      </c>
      <c r="K379" s="8" t="str">
        <f ca="1">IF($L379="","",INDEX('Veri Merkezi'!$U$2:$U$1001,$L379))</f>
        <v/>
      </c>
      <c r="L379" s="8" t="str">
        <f ca="1">IFERROR(MATCH(ROWS($L$4:L379),'Veri Merkezi'!$W$2:$W$1001,0),"")</f>
        <v/>
      </c>
    </row>
    <row r="380" spans="1:12" ht="20" customHeight="1">
      <c r="A380" s="8" t="str">
        <f ca="1">IF($L380="","",ROWS($A$4:A380))</f>
        <v/>
      </c>
      <c r="B380" s="8" t="str">
        <f ca="1">IF($L380="","",INDEX('Veri Merkezi'!$A$2:$A$1001,$L380))</f>
        <v/>
      </c>
      <c r="C380" s="8" t="str">
        <f ca="1">IF($L380="","",INDEX('Veri Merkezi'!$E$2:$E$1001,$L380))</f>
        <v/>
      </c>
      <c r="D380" s="8" t="str">
        <f ca="1">IF($L380="","",INDEX('Veri Merkezi'!$D$2:$D$1001,$L380))</f>
        <v/>
      </c>
      <c r="E380" s="8" t="str">
        <f ca="1">IF($L380="","",INDEX('Veri Merkezi'!$F$2:$F$1001,$L380))</f>
        <v/>
      </c>
      <c r="F380" s="9" t="str">
        <f ca="1">IF($L380="","",INDEX('Veri Merkezi'!$G$2:$G$1001,$L380))</f>
        <v/>
      </c>
      <c r="H380" s="8" t="str">
        <f ca="1">IF($L380="","",INDEX('Veri Merkezi'!$H$2:$H$1001,$L380))</f>
        <v/>
      </c>
      <c r="I380" s="10" t="str">
        <f ca="1">IF($L380="","",INDEX('Veri Merkezi'!$R$2:$R$1001,$L380))</f>
        <v/>
      </c>
      <c r="J380" s="8" t="str">
        <f ca="1">IF($L380="","",INDEX('Veri Merkezi'!$S$2:$S$1001,$L380))</f>
        <v/>
      </c>
      <c r="K380" s="8" t="str">
        <f ca="1">IF($L380="","",INDEX('Veri Merkezi'!$U$2:$U$1001,$L380))</f>
        <v/>
      </c>
      <c r="L380" s="8" t="str">
        <f ca="1">IFERROR(MATCH(ROWS($L$4:L380),'Veri Merkezi'!$W$2:$W$1001,0),"")</f>
        <v/>
      </c>
    </row>
    <row r="381" spans="1:12" ht="20" customHeight="1">
      <c r="A381" s="8" t="str">
        <f ca="1">IF($L381="","",ROWS($A$4:A381))</f>
        <v/>
      </c>
      <c r="B381" s="8" t="str">
        <f ca="1">IF($L381="","",INDEX('Veri Merkezi'!$A$2:$A$1001,$L381))</f>
        <v/>
      </c>
      <c r="C381" s="8" t="str">
        <f ca="1">IF($L381="","",INDEX('Veri Merkezi'!$E$2:$E$1001,$L381))</f>
        <v/>
      </c>
      <c r="D381" s="8" t="str">
        <f ca="1">IF($L381="","",INDEX('Veri Merkezi'!$D$2:$D$1001,$L381))</f>
        <v/>
      </c>
      <c r="E381" s="8" t="str">
        <f ca="1">IF($L381="","",INDEX('Veri Merkezi'!$F$2:$F$1001,$L381))</f>
        <v/>
      </c>
      <c r="F381" s="9" t="str">
        <f ca="1">IF($L381="","",INDEX('Veri Merkezi'!$G$2:$G$1001,$L381))</f>
        <v/>
      </c>
      <c r="H381" s="8" t="str">
        <f ca="1">IF($L381="","",INDEX('Veri Merkezi'!$H$2:$H$1001,$L381))</f>
        <v/>
      </c>
      <c r="I381" s="10" t="str">
        <f ca="1">IF($L381="","",INDEX('Veri Merkezi'!$R$2:$R$1001,$L381))</f>
        <v/>
      </c>
      <c r="J381" s="8" t="str">
        <f ca="1">IF($L381="","",INDEX('Veri Merkezi'!$S$2:$S$1001,$L381))</f>
        <v/>
      </c>
      <c r="K381" s="8" t="str">
        <f ca="1">IF($L381="","",INDEX('Veri Merkezi'!$U$2:$U$1001,$L381))</f>
        <v/>
      </c>
      <c r="L381" s="8" t="str">
        <f ca="1">IFERROR(MATCH(ROWS($L$4:L381),'Veri Merkezi'!$W$2:$W$1001,0),"")</f>
        <v/>
      </c>
    </row>
    <row r="382" spans="1:12" ht="20" customHeight="1">
      <c r="A382" s="8" t="str">
        <f ca="1">IF($L382="","",ROWS($A$4:A382))</f>
        <v/>
      </c>
      <c r="B382" s="8" t="str">
        <f ca="1">IF($L382="","",INDEX('Veri Merkezi'!$A$2:$A$1001,$L382))</f>
        <v/>
      </c>
      <c r="C382" s="8" t="str">
        <f ca="1">IF($L382="","",INDEX('Veri Merkezi'!$E$2:$E$1001,$L382))</f>
        <v/>
      </c>
      <c r="D382" s="8" t="str">
        <f ca="1">IF($L382="","",INDEX('Veri Merkezi'!$D$2:$D$1001,$L382))</f>
        <v/>
      </c>
      <c r="E382" s="8" t="str">
        <f ca="1">IF($L382="","",INDEX('Veri Merkezi'!$F$2:$F$1001,$L382))</f>
        <v/>
      </c>
      <c r="F382" s="9" t="str">
        <f ca="1">IF($L382="","",INDEX('Veri Merkezi'!$G$2:$G$1001,$L382))</f>
        <v/>
      </c>
      <c r="H382" s="8" t="str">
        <f ca="1">IF($L382="","",INDEX('Veri Merkezi'!$H$2:$H$1001,$L382))</f>
        <v/>
      </c>
      <c r="I382" s="10" t="str">
        <f ca="1">IF($L382="","",INDEX('Veri Merkezi'!$R$2:$R$1001,$L382))</f>
        <v/>
      </c>
      <c r="J382" s="8" t="str">
        <f ca="1">IF($L382="","",INDEX('Veri Merkezi'!$S$2:$S$1001,$L382))</f>
        <v/>
      </c>
      <c r="K382" s="8" t="str">
        <f ca="1">IF($L382="","",INDEX('Veri Merkezi'!$U$2:$U$1001,$L382))</f>
        <v/>
      </c>
      <c r="L382" s="8" t="str">
        <f ca="1">IFERROR(MATCH(ROWS($L$4:L382),'Veri Merkezi'!$W$2:$W$1001,0),"")</f>
        <v/>
      </c>
    </row>
    <row r="383" spans="1:12" ht="20" customHeight="1">
      <c r="A383" s="8" t="str">
        <f ca="1">IF($L383="","",ROWS($A$4:A383))</f>
        <v/>
      </c>
      <c r="B383" s="8" t="str">
        <f ca="1">IF($L383="","",INDEX('Veri Merkezi'!$A$2:$A$1001,$L383))</f>
        <v/>
      </c>
      <c r="C383" s="8" t="str">
        <f ca="1">IF($L383="","",INDEX('Veri Merkezi'!$E$2:$E$1001,$L383))</f>
        <v/>
      </c>
      <c r="D383" s="8" t="str">
        <f ca="1">IF($L383="","",INDEX('Veri Merkezi'!$D$2:$D$1001,$L383))</f>
        <v/>
      </c>
      <c r="E383" s="8" t="str">
        <f ca="1">IF($L383="","",INDEX('Veri Merkezi'!$F$2:$F$1001,$L383))</f>
        <v/>
      </c>
      <c r="F383" s="9" t="str">
        <f ca="1">IF($L383="","",INDEX('Veri Merkezi'!$G$2:$G$1001,$L383))</f>
        <v/>
      </c>
      <c r="H383" s="8" t="str">
        <f ca="1">IF($L383="","",INDEX('Veri Merkezi'!$H$2:$H$1001,$L383))</f>
        <v/>
      </c>
      <c r="I383" s="10" t="str">
        <f ca="1">IF($L383="","",INDEX('Veri Merkezi'!$R$2:$R$1001,$L383))</f>
        <v/>
      </c>
      <c r="J383" s="8" t="str">
        <f ca="1">IF($L383="","",INDEX('Veri Merkezi'!$S$2:$S$1001,$L383))</f>
        <v/>
      </c>
      <c r="K383" s="8" t="str">
        <f ca="1">IF($L383="","",INDEX('Veri Merkezi'!$U$2:$U$1001,$L383))</f>
        <v/>
      </c>
      <c r="L383" s="8" t="str">
        <f ca="1">IFERROR(MATCH(ROWS($L$4:L383),'Veri Merkezi'!$W$2:$W$1001,0),"")</f>
        <v/>
      </c>
    </row>
    <row r="384" spans="1:12" ht="20" customHeight="1">
      <c r="A384" s="8" t="str">
        <f ca="1">IF($L384="","",ROWS($A$4:A384))</f>
        <v/>
      </c>
      <c r="B384" s="8" t="str">
        <f ca="1">IF($L384="","",INDEX('Veri Merkezi'!$A$2:$A$1001,$L384))</f>
        <v/>
      </c>
      <c r="C384" s="8" t="str">
        <f ca="1">IF($L384="","",INDEX('Veri Merkezi'!$E$2:$E$1001,$L384))</f>
        <v/>
      </c>
      <c r="D384" s="8" t="str">
        <f ca="1">IF($L384="","",INDEX('Veri Merkezi'!$D$2:$D$1001,$L384))</f>
        <v/>
      </c>
      <c r="E384" s="8" t="str">
        <f ca="1">IF($L384="","",INDEX('Veri Merkezi'!$F$2:$F$1001,$L384))</f>
        <v/>
      </c>
      <c r="F384" s="9" t="str">
        <f ca="1">IF($L384="","",INDEX('Veri Merkezi'!$G$2:$G$1001,$L384))</f>
        <v/>
      </c>
      <c r="H384" s="8" t="str">
        <f ca="1">IF($L384="","",INDEX('Veri Merkezi'!$H$2:$H$1001,$L384))</f>
        <v/>
      </c>
      <c r="I384" s="10" t="str">
        <f ca="1">IF($L384="","",INDEX('Veri Merkezi'!$R$2:$R$1001,$L384))</f>
        <v/>
      </c>
      <c r="J384" s="8" t="str">
        <f ca="1">IF($L384="","",INDEX('Veri Merkezi'!$S$2:$S$1001,$L384))</f>
        <v/>
      </c>
      <c r="K384" s="8" t="str">
        <f ca="1">IF($L384="","",INDEX('Veri Merkezi'!$U$2:$U$1001,$L384))</f>
        <v/>
      </c>
      <c r="L384" s="8" t="str">
        <f ca="1">IFERROR(MATCH(ROWS($L$4:L384),'Veri Merkezi'!$W$2:$W$1001,0),"")</f>
        <v/>
      </c>
    </row>
    <row r="385" spans="1:12" ht="20" customHeight="1">
      <c r="A385" s="8" t="str">
        <f ca="1">IF($L385="","",ROWS($A$4:A385))</f>
        <v/>
      </c>
      <c r="B385" s="8" t="str">
        <f ca="1">IF($L385="","",INDEX('Veri Merkezi'!$A$2:$A$1001,$L385))</f>
        <v/>
      </c>
      <c r="C385" s="8" t="str">
        <f ca="1">IF($L385="","",INDEX('Veri Merkezi'!$E$2:$E$1001,$L385))</f>
        <v/>
      </c>
      <c r="D385" s="8" t="str">
        <f ca="1">IF($L385="","",INDEX('Veri Merkezi'!$D$2:$D$1001,$L385))</f>
        <v/>
      </c>
      <c r="E385" s="8" t="str">
        <f ca="1">IF($L385="","",INDEX('Veri Merkezi'!$F$2:$F$1001,$L385))</f>
        <v/>
      </c>
      <c r="F385" s="9" t="str">
        <f ca="1">IF($L385="","",INDEX('Veri Merkezi'!$G$2:$G$1001,$L385))</f>
        <v/>
      </c>
      <c r="H385" s="8" t="str">
        <f ca="1">IF($L385="","",INDEX('Veri Merkezi'!$H$2:$H$1001,$L385))</f>
        <v/>
      </c>
      <c r="I385" s="10" t="str">
        <f ca="1">IF($L385="","",INDEX('Veri Merkezi'!$R$2:$R$1001,$L385))</f>
        <v/>
      </c>
      <c r="J385" s="8" t="str">
        <f ca="1">IF($L385="","",INDEX('Veri Merkezi'!$S$2:$S$1001,$L385))</f>
        <v/>
      </c>
      <c r="K385" s="8" t="str">
        <f ca="1">IF($L385="","",INDEX('Veri Merkezi'!$U$2:$U$1001,$L385))</f>
        <v/>
      </c>
      <c r="L385" s="8" t="str">
        <f ca="1">IFERROR(MATCH(ROWS($L$4:L385),'Veri Merkezi'!$W$2:$W$1001,0),"")</f>
        <v/>
      </c>
    </row>
    <row r="386" spans="1:12" ht="20" customHeight="1">
      <c r="A386" s="8" t="str">
        <f ca="1">IF($L386="","",ROWS($A$4:A386))</f>
        <v/>
      </c>
      <c r="B386" s="8" t="str">
        <f ca="1">IF($L386="","",INDEX('Veri Merkezi'!$A$2:$A$1001,$L386))</f>
        <v/>
      </c>
      <c r="C386" s="8" t="str">
        <f ca="1">IF($L386="","",INDEX('Veri Merkezi'!$E$2:$E$1001,$L386))</f>
        <v/>
      </c>
      <c r="D386" s="8" t="str">
        <f ca="1">IF($L386="","",INDEX('Veri Merkezi'!$D$2:$D$1001,$L386))</f>
        <v/>
      </c>
      <c r="E386" s="8" t="str">
        <f ca="1">IF($L386="","",INDEX('Veri Merkezi'!$F$2:$F$1001,$L386))</f>
        <v/>
      </c>
      <c r="F386" s="9" t="str">
        <f ca="1">IF($L386="","",INDEX('Veri Merkezi'!$G$2:$G$1001,$L386))</f>
        <v/>
      </c>
      <c r="H386" s="8" t="str">
        <f ca="1">IF($L386="","",INDEX('Veri Merkezi'!$H$2:$H$1001,$L386))</f>
        <v/>
      </c>
      <c r="I386" s="10" t="str">
        <f ca="1">IF($L386="","",INDEX('Veri Merkezi'!$R$2:$R$1001,$L386))</f>
        <v/>
      </c>
      <c r="J386" s="8" t="str">
        <f ca="1">IF($L386="","",INDEX('Veri Merkezi'!$S$2:$S$1001,$L386))</f>
        <v/>
      </c>
      <c r="K386" s="8" t="str">
        <f ca="1">IF($L386="","",INDEX('Veri Merkezi'!$U$2:$U$1001,$L386))</f>
        <v/>
      </c>
      <c r="L386" s="8" t="str">
        <f ca="1">IFERROR(MATCH(ROWS($L$4:L386),'Veri Merkezi'!$W$2:$W$1001,0),"")</f>
        <v/>
      </c>
    </row>
    <row r="387" spans="1:12" ht="20" customHeight="1">
      <c r="A387" s="8" t="str">
        <f ca="1">IF($L387="","",ROWS($A$4:A387))</f>
        <v/>
      </c>
      <c r="B387" s="8" t="str">
        <f ca="1">IF($L387="","",INDEX('Veri Merkezi'!$A$2:$A$1001,$L387))</f>
        <v/>
      </c>
      <c r="C387" s="8" t="str">
        <f ca="1">IF($L387="","",INDEX('Veri Merkezi'!$E$2:$E$1001,$L387))</f>
        <v/>
      </c>
      <c r="D387" s="8" t="str">
        <f ca="1">IF($L387="","",INDEX('Veri Merkezi'!$D$2:$D$1001,$L387))</f>
        <v/>
      </c>
      <c r="E387" s="8" t="str">
        <f ca="1">IF($L387="","",INDEX('Veri Merkezi'!$F$2:$F$1001,$L387))</f>
        <v/>
      </c>
      <c r="F387" s="9" t="str">
        <f ca="1">IF($L387="","",INDEX('Veri Merkezi'!$G$2:$G$1001,$L387))</f>
        <v/>
      </c>
      <c r="H387" s="8" t="str">
        <f ca="1">IF($L387="","",INDEX('Veri Merkezi'!$H$2:$H$1001,$L387))</f>
        <v/>
      </c>
      <c r="I387" s="10" t="str">
        <f ca="1">IF($L387="","",INDEX('Veri Merkezi'!$R$2:$R$1001,$L387))</f>
        <v/>
      </c>
      <c r="J387" s="8" t="str">
        <f ca="1">IF($L387="","",INDEX('Veri Merkezi'!$S$2:$S$1001,$L387))</f>
        <v/>
      </c>
      <c r="K387" s="8" t="str">
        <f ca="1">IF($L387="","",INDEX('Veri Merkezi'!$U$2:$U$1001,$L387))</f>
        <v/>
      </c>
      <c r="L387" s="8" t="str">
        <f ca="1">IFERROR(MATCH(ROWS($L$4:L387),'Veri Merkezi'!$W$2:$W$1001,0),"")</f>
        <v/>
      </c>
    </row>
    <row r="388" spans="1:12" ht="20" customHeight="1">
      <c r="A388" s="8" t="str">
        <f ca="1">IF($L388="","",ROWS($A$4:A388))</f>
        <v/>
      </c>
      <c r="B388" s="8" t="str">
        <f ca="1">IF($L388="","",INDEX('Veri Merkezi'!$A$2:$A$1001,$L388))</f>
        <v/>
      </c>
      <c r="C388" s="8" t="str">
        <f ca="1">IF($L388="","",INDEX('Veri Merkezi'!$E$2:$E$1001,$L388))</f>
        <v/>
      </c>
      <c r="D388" s="8" t="str">
        <f ca="1">IF($L388="","",INDEX('Veri Merkezi'!$D$2:$D$1001,$L388))</f>
        <v/>
      </c>
      <c r="E388" s="8" t="str">
        <f ca="1">IF($L388="","",INDEX('Veri Merkezi'!$F$2:$F$1001,$L388))</f>
        <v/>
      </c>
      <c r="F388" s="9" t="str">
        <f ca="1">IF($L388="","",INDEX('Veri Merkezi'!$G$2:$G$1001,$L388))</f>
        <v/>
      </c>
      <c r="H388" s="8" t="str">
        <f ca="1">IF($L388="","",INDEX('Veri Merkezi'!$H$2:$H$1001,$L388))</f>
        <v/>
      </c>
      <c r="I388" s="10" t="str">
        <f ca="1">IF($L388="","",INDEX('Veri Merkezi'!$R$2:$R$1001,$L388))</f>
        <v/>
      </c>
      <c r="J388" s="8" t="str">
        <f ca="1">IF($L388="","",INDEX('Veri Merkezi'!$S$2:$S$1001,$L388))</f>
        <v/>
      </c>
      <c r="K388" s="8" t="str">
        <f ca="1">IF($L388="","",INDEX('Veri Merkezi'!$U$2:$U$1001,$L388))</f>
        <v/>
      </c>
      <c r="L388" s="8" t="str">
        <f ca="1">IFERROR(MATCH(ROWS($L$4:L388),'Veri Merkezi'!$W$2:$W$1001,0),"")</f>
        <v/>
      </c>
    </row>
    <row r="389" spans="1:12" ht="20" customHeight="1">
      <c r="A389" s="8" t="str">
        <f ca="1">IF($L389="","",ROWS($A$4:A389))</f>
        <v/>
      </c>
      <c r="B389" s="8" t="str">
        <f ca="1">IF($L389="","",INDEX('Veri Merkezi'!$A$2:$A$1001,$L389))</f>
        <v/>
      </c>
      <c r="C389" s="8" t="str">
        <f ca="1">IF($L389="","",INDEX('Veri Merkezi'!$E$2:$E$1001,$L389))</f>
        <v/>
      </c>
      <c r="D389" s="8" t="str">
        <f ca="1">IF($L389="","",INDEX('Veri Merkezi'!$D$2:$D$1001,$L389))</f>
        <v/>
      </c>
      <c r="E389" s="8" t="str">
        <f ca="1">IF($L389="","",INDEX('Veri Merkezi'!$F$2:$F$1001,$L389))</f>
        <v/>
      </c>
      <c r="F389" s="9" t="str">
        <f ca="1">IF($L389="","",INDEX('Veri Merkezi'!$G$2:$G$1001,$L389))</f>
        <v/>
      </c>
      <c r="H389" s="8" t="str">
        <f ca="1">IF($L389="","",INDEX('Veri Merkezi'!$H$2:$H$1001,$L389))</f>
        <v/>
      </c>
      <c r="I389" s="10" t="str">
        <f ca="1">IF($L389="","",INDEX('Veri Merkezi'!$R$2:$R$1001,$L389))</f>
        <v/>
      </c>
      <c r="J389" s="8" t="str">
        <f ca="1">IF($L389="","",INDEX('Veri Merkezi'!$S$2:$S$1001,$L389))</f>
        <v/>
      </c>
      <c r="K389" s="8" t="str">
        <f ca="1">IF($L389="","",INDEX('Veri Merkezi'!$U$2:$U$1001,$L389))</f>
        <v/>
      </c>
      <c r="L389" s="8" t="str">
        <f ca="1">IFERROR(MATCH(ROWS($L$4:L389),'Veri Merkezi'!$W$2:$W$1001,0),"")</f>
        <v/>
      </c>
    </row>
    <row r="390" spans="1:12" ht="20" customHeight="1">
      <c r="A390" s="8" t="str">
        <f ca="1">IF($L390="","",ROWS($A$4:A390))</f>
        <v/>
      </c>
      <c r="B390" s="8" t="str">
        <f ca="1">IF($L390="","",INDEX('Veri Merkezi'!$A$2:$A$1001,$L390))</f>
        <v/>
      </c>
      <c r="C390" s="8" t="str">
        <f ca="1">IF($L390="","",INDEX('Veri Merkezi'!$E$2:$E$1001,$L390))</f>
        <v/>
      </c>
      <c r="D390" s="8" t="str">
        <f ca="1">IF($L390="","",INDEX('Veri Merkezi'!$D$2:$D$1001,$L390))</f>
        <v/>
      </c>
      <c r="E390" s="8" t="str">
        <f ca="1">IF($L390="","",INDEX('Veri Merkezi'!$F$2:$F$1001,$L390))</f>
        <v/>
      </c>
      <c r="F390" s="9" t="str">
        <f ca="1">IF($L390="","",INDEX('Veri Merkezi'!$G$2:$G$1001,$L390))</f>
        <v/>
      </c>
      <c r="H390" s="8" t="str">
        <f ca="1">IF($L390="","",INDEX('Veri Merkezi'!$H$2:$H$1001,$L390))</f>
        <v/>
      </c>
      <c r="I390" s="10" t="str">
        <f ca="1">IF($L390="","",INDEX('Veri Merkezi'!$R$2:$R$1001,$L390))</f>
        <v/>
      </c>
      <c r="J390" s="8" t="str">
        <f ca="1">IF($L390="","",INDEX('Veri Merkezi'!$S$2:$S$1001,$L390))</f>
        <v/>
      </c>
      <c r="K390" s="8" t="str">
        <f ca="1">IF($L390="","",INDEX('Veri Merkezi'!$U$2:$U$1001,$L390))</f>
        <v/>
      </c>
      <c r="L390" s="8" t="str">
        <f ca="1">IFERROR(MATCH(ROWS($L$4:L390),'Veri Merkezi'!$W$2:$W$1001,0),"")</f>
        <v/>
      </c>
    </row>
    <row r="391" spans="1:12" ht="20" customHeight="1">
      <c r="A391" s="8" t="str">
        <f ca="1">IF($L391="","",ROWS($A$4:A391))</f>
        <v/>
      </c>
      <c r="B391" s="8" t="str">
        <f ca="1">IF($L391="","",INDEX('Veri Merkezi'!$A$2:$A$1001,$L391))</f>
        <v/>
      </c>
      <c r="C391" s="8" t="str">
        <f ca="1">IF($L391="","",INDEX('Veri Merkezi'!$E$2:$E$1001,$L391))</f>
        <v/>
      </c>
      <c r="D391" s="8" t="str">
        <f ca="1">IF($L391="","",INDEX('Veri Merkezi'!$D$2:$D$1001,$L391))</f>
        <v/>
      </c>
      <c r="E391" s="8" t="str">
        <f ca="1">IF($L391="","",INDEX('Veri Merkezi'!$F$2:$F$1001,$L391))</f>
        <v/>
      </c>
      <c r="F391" s="9" t="str">
        <f ca="1">IF($L391="","",INDEX('Veri Merkezi'!$G$2:$G$1001,$L391))</f>
        <v/>
      </c>
      <c r="H391" s="8" t="str">
        <f ca="1">IF($L391="","",INDEX('Veri Merkezi'!$H$2:$H$1001,$L391))</f>
        <v/>
      </c>
      <c r="I391" s="10" t="str">
        <f ca="1">IF($L391="","",INDEX('Veri Merkezi'!$R$2:$R$1001,$L391))</f>
        <v/>
      </c>
      <c r="J391" s="8" t="str">
        <f ca="1">IF($L391="","",INDEX('Veri Merkezi'!$S$2:$S$1001,$L391))</f>
        <v/>
      </c>
      <c r="K391" s="8" t="str">
        <f ca="1">IF($L391="","",INDEX('Veri Merkezi'!$U$2:$U$1001,$L391))</f>
        <v/>
      </c>
      <c r="L391" s="8" t="str">
        <f ca="1">IFERROR(MATCH(ROWS($L$4:L391),'Veri Merkezi'!$W$2:$W$1001,0),"")</f>
        <v/>
      </c>
    </row>
    <row r="392" spans="1:12" ht="20" customHeight="1">
      <c r="A392" s="8" t="str">
        <f ca="1">IF($L392="","",ROWS($A$4:A392))</f>
        <v/>
      </c>
      <c r="B392" s="8" t="str">
        <f ca="1">IF($L392="","",INDEX('Veri Merkezi'!$A$2:$A$1001,$L392))</f>
        <v/>
      </c>
      <c r="C392" s="8" t="str">
        <f ca="1">IF($L392="","",INDEX('Veri Merkezi'!$E$2:$E$1001,$L392))</f>
        <v/>
      </c>
      <c r="D392" s="8" t="str">
        <f ca="1">IF($L392="","",INDEX('Veri Merkezi'!$D$2:$D$1001,$L392))</f>
        <v/>
      </c>
      <c r="E392" s="8" t="str">
        <f ca="1">IF($L392="","",INDEX('Veri Merkezi'!$F$2:$F$1001,$L392))</f>
        <v/>
      </c>
      <c r="F392" s="9" t="str">
        <f ca="1">IF($L392="","",INDEX('Veri Merkezi'!$G$2:$G$1001,$L392))</f>
        <v/>
      </c>
      <c r="H392" s="8" t="str">
        <f ca="1">IF($L392="","",INDEX('Veri Merkezi'!$H$2:$H$1001,$L392))</f>
        <v/>
      </c>
      <c r="I392" s="10" t="str">
        <f ca="1">IF($L392="","",INDEX('Veri Merkezi'!$R$2:$R$1001,$L392))</f>
        <v/>
      </c>
      <c r="J392" s="8" t="str">
        <f ca="1">IF($L392="","",INDEX('Veri Merkezi'!$S$2:$S$1001,$L392))</f>
        <v/>
      </c>
      <c r="K392" s="8" t="str">
        <f ca="1">IF($L392="","",INDEX('Veri Merkezi'!$U$2:$U$1001,$L392))</f>
        <v/>
      </c>
      <c r="L392" s="8" t="str">
        <f ca="1">IFERROR(MATCH(ROWS($L$4:L392),'Veri Merkezi'!$W$2:$W$1001,0),"")</f>
        <v/>
      </c>
    </row>
    <row r="393" spans="1:12" ht="20" customHeight="1">
      <c r="A393" s="8" t="str">
        <f ca="1">IF($L393="","",ROWS($A$4:A393))</f>
        <v/>
      </c>
      <c r="B393" s="8" t="str">
        <f ca="1">IF($L393="","",INDEX('Veri Merkezi'!$A$2:$A$1001,$L393))</f>
        <v/>
      </c>
      <c r="C393" s="8" t="str">
        <f ca="1">IF($L393="","",INDEX('Veri Merkezi'!$E$2:$E$1001,$L393))</f>
        <v/>
      </c>
      <c r="D393" s="8" t="str">
        <f ca="1">IF($L393="","",INDEX('Veri Merkezi'!$D$2:$D$1001,$L393))</f>
        <v/>
      </c>
      <c r="E393" s="8" t="str">
        <f ca="1">IF($L393="","",INDEX('Veri Merkezi'!$F$2:$F$1001,$L393))</f>
        <v/>
      </c>
      <c r="F393" s="9" t="str">
        <f ca="1">IF($L393="","",INDEX('Veri Merkezi'!$G$2:$G$1001,$L393))</f>
        <v/>
      </c>
      <c r="H393" s="8" t="str">
        <f ca="1">IF($L393="","",INDEX('Veri Merkezi'!$H$2:$H$1001,$L393))</f>
        <v/>
      </c>
      <c r="I393" s="10" t="str">
        <f ca="1">IF($L393="","",INDEX('Veri Merkezi'!$R$2:$R$1001,$L393))</f>
        <v/>
      </c>
      <c r="J393" s="8" t="str">
        <f ca="1">IF($L393="","",INDEX('Veri Merkezi'!$S$2:$S$1001,$L393))</f>
        <v/>
      </c>
      <c r="K393" s="8" t="str">
        <f ca="1">IF($L393="","",INDEX('Veri Merkezi'!$U$2:$U$1001,$L393))</f>
        <v/>
      </c>
      <c r="L393" s="8" t="str">
        <f ca="1">IFERROR(MATCH(ROWS($L$4:L393),'Veri Merkezi'!$W$2:$W$1001,0),"")</f>
        <v/>
      </c>
    </row>
    <row r="394" spans="1:12" ht="20" customHeight="1">
      <c r="A394" s="8" t="str">
        <f ca="1">IF($L394="","",ROWS($A$4:A394))</f>
        <v/>
      </c>
      <c r="B394" s="8" t="str">
        <f ca="1">IF($L394="","",INDEX('Veri Merkezi'!$A$2:$A$1001,$L394))</f>
        <v/>
      </c>
      <c r="C394" s="8" t="str">
        <f ca="1">IF($L394="","",INDEX('Veri Merkezi'!$E$2:$E$1001,$L394))</f>
        <v/>
      </c>
      <c r="D394" s="8" t="str">
        <f ca="1">IF($L394="","",INDEX('Veri Merkezi'!$D$2:$D$1001,$L394))</f>
        <v/>
      </c>
      <c r="E394" s="8" t="str">
        <f ca="1">IF($L394="","",INDEX('Veri Merkezi'!$F$2:$F$1001,$L394))</f>
        <v/>
      </c>
      <c r="F394" s="9" t="str">
        <f ca="1">IF($L394="","",INDEX('Veri Merkezi'!$G$2:$G$1001,$L394))</f>
        <v/>
      </c>
      <c r="H394" s="8" t="str">
        <f ca="1">IF($L394="","",INDEX('Veri Merkezi'!$H$2:$H$1001,$L394))</f>
        <v/>
      </c>
      <c r="I394" s="10" t="str">
        <f ca="1">IF($L394="","",INDEX('Veri Merkezi'!$R$2:$R$1001,$L394))</f>
        <v/>
      </c>
      <c r="J394" s="8" t="str">
        <f ca="1">IF($L394="","",INDEX('Veri Merkezi'!$S$2:$S$1001,$L394))</f>
        <v/>
      </c>
      <c r="K394" s="8" t="str">
        <f ca="1">IF($L394="","",INDEX('Veri Merkezi'!$U$2:$U$1001,$L394))</f>
        <v/>
      </c>
      <c r="L394" s="8" t="str">
        <f ca="1">IFERROR(MATCH(ROWS($L$4:L394),'Veri Merkezi'!$W$2:$W$1001,0),"")</f>
        <v/>
      </c>
    </row>
    <row r="395" spans="1:12" ht="20" customHeight="1">
      <c r="A395" s="8" t="str">
        <f ca="1">IF($L395="","",ROWS($A$4:A395))</f>
        <v/>
      </c>
      <c r="B395" s="8" t="str">
        <f ca="1">IF($L395="","",INDEX('Veri Merkezi'!$A$2:$A$1001,$L395))</f>
        <v/>
      </c>
      <c r="C395" s="8" t="str">
        <f ca="1">IF($L395="","",INDEX('Veri Merkezi'!$E$2:$E$1001,$L395))</f>
        <v/>
      </c>
      <c r="D395" s="8" t="str">
        <f ca="1">IF($L395="","",INDEX('Veri Merkezi'!$D$2:$D$1001,$L395))</f>
        <v/>
      </c>
      <c r="E395" s="8" t="str">
        <f ca="1">IF($L395="","",INDEX('Veri Merkezi'!$F$2:$F$1001,$L395))</f>
        <v/>
      </c>
      <c r="F395" s="9" t="str">
        <f ca="1">IF($L395="","",INDEX('Veri Merkezi'!$G$2:$G$1001,$L395))</f>
        <v/>
      </c>
      <c r="H395" s="8" t="str">
        <f ca="1">IF($L395="","",INDEX('Veri Merkezi'!$H$2:$H$1001,$L395))</f>
        <v/>
      </c>
      <c r="I395" s="10" t="str">
        <f ca="1">IF($L395="","",INDEX('Veri Merkezi'!$R$2:$R$1001,$L395))</f>
        <v/>
      </c>
      <c r="J395" s="8" t="str">
        <f ca="1">IF($L395="","",INDEX('Veri Merkezi'!$S$2:$S$1001,$L395))</f>
        <v/>
      </c>
      <c r="K395" s="8" t="str">
        <f ca="1">IF($L395="","",INDEX('Veri Merkezi'!$U$2:$U$1001,$L395))</f>
        <v/>
      </c>
      <c r="L395" s="8" t="str">
        <f ca="1">IFERROR(MATCH(ROWS($L$4:L395),'Veri Merkezi'!$W$2:$W$1001,0),"")</f>
        <v/>
      </c>
    </row>
    <row r="396" spans="1:12" ht="20" customHeight="1">
      <c r="A396" s="8" t="str">
        <f ca="1">IF($L396="","",ROWS($A$4:A396))</f>
        <v/>
      </c>
      <c r="B396" s="8" t="str">
        <f ca="1">IF($L396="","",INDEX('Veri Merkezi'!$A$2:$A$1001,$L396))</f>
        <v/>
      </c>
      <c r="C396" s="8" t="str">
        <f ca="1">IF($L396="","",INDEX('Veri Merkezi'!$E$2:$E$1001,$L396))</f>
        <v/>
      </c>
      <c r="D396" s="8" t="str">
        <f ca="1">IF($L396="","",INDEX('Veri Merkezi'!$D$2:$D$1001,$L396))</f>
        <v/>
      </c>
      <c r="E396" s="8" t="str">
        <f ca="1">IF($L396="","",INDEX('Veri Merkezi'!$F$2:$F$1001,$L396))</f>
        <v/>
      </c>
      <c r="F396" s="9" t="str">
        <f ca="1">IF($L396="","",INDEX('Veri Merkezi'!$G$2:$G$1001,$L396))</f>
        <v/>
      </c>
      <c r="H396" s="8" t="str">
        <f ca="1">IF($L396="","",INDEX('Veri Merkezi'!$H$2:$H$1001,$L396))</f>
        <v/>
      </c>
      <c r="I396" s="10" t="str">
        <f ca="1">IF($L396="","",INDEX('Veri Merkezi'!$R$2:$R$1001,$L396))</f>
        <v/>
      </c>
      <c r="J396" s="8" t="str">
        <f ca="1">IF($L396="","",INDEX('Veri Merkezi'!$S$2:$S$1001,$L396))</f>
        <v/>
      </c>
      <c r="K396" s="8" t="str">
        <f ca="1">IF($L396="","",INDEX('Veri Merkezi'!$U$2:$U$1001,$L396))</f>
        <v/>
      </c>
      <c r="L396" s="8" t="str">
        <f ca="1">IFERROR(MATCH(ROWS($L$4:L396),'Veri Merkezi'!$W$2:$W$1001,0),"")</f>
        <v/>
      </c>
    </row>
    <row r="397" spans="1:12" ht="20" customHeight="1">
      <c r="A397" s="8" t="str">
        <f ca="1">IF($L397="","",ROWS($A$4:A397))</f>
        <v/>
      </c>
      <c r="B397" s="8" t="str">
        <f ca="1">IF($L397="","",INDEX('Veri Merkezi'!$A$2:$A$1001,$L397))</f>
        <v/>
      </c>
      <c r="C397" s="8" t="str">
        <f ca="1">IF($L397="","",INDEX('Veri Merkezi'!$E$2:$E$1001,$L397))</f>
        <v/>
      </c>
      <c r="D397" s="8" t="str">
        <f ca="1">IF($L397="","",INDEX('Veri Merkezi'!$D$2:$D$1001,$L397))</f>
        <v/>
      </c>
      <c r="E397" s="8" t="str">
        <f ca="1">IF($L397="","",INDEX('Veri Merkezi'!$F$2:$F$1001,$L397))</f>
        <v/>
      </c>
      <c r="F397" s="9" t="str">
        <f ca="1">IF($L397="","",INDEX('Veri Merkezi'!$G$2:$G$1001,$L397))</f>
        <v/>
      </c>
      <c r="H397" s="8" t="str">
        <f ca="1">IF($L397="","",INDEX('Veri Merkezi'!$H$2:$H$1001,$L397))</f>
        <v/>
      </c>
      <c r="I397" s="10" t="str">
        <f ca="1">IF($L397="","",INDEX('Veri Merkezi'!$R$2:$R$1001,$L397))</f>
        <v/>
      </c>
      <c r="J397" s="8" t="str">
        <f ca="1">IF($L397="","",INDEX('Veri Merkezi'!$S$2:$S$1001,$L397))</f>
        <v/>
      </c>
      <c r="K397" s="8" t="str">
        <f ca="1">IF($L397="","",INDEX('Veri Merkezi'!$U$2:$U$1001,$L397))</f>
        <v/>
      </c>
      <c r="L397" s="8" t="str">
        <f ca="1">IFERROR(MATCH(ROWS($L$4:L397),'Veri Merkezi'!$W$2:$W$1001,0),"")</f>
        <v/>
      </c>
    </row>
    <row r="398" spans="1:12" ht="20" customHeight="1">
      <c r="A398" s="8" t="str">
        <f ca="1">IF($L398="","",ROWS($A$4:A398))</f>
        <v/>
      </c>
      <c r="B398" s="8" t="str">
        <f ca="1">IF($L398="","",INDEX('Veri Merkezi'!$A$2:$A$1001,$L398))</f>
        <v/>
      </c>
      <c r="C398" s="8" t="str">
        <f ca="1">IF($L398="","",INDEX('Veri Merkezi'!$E$2:$E$1001,$L398))</f>
        <v/>
      </c>
      <c r="D398" s="8" t="str">
        <f ca="1">IF($L398="","",INDEX('Veri Merkezi'!$D$2:$D$1001,$L398))</f>
        <v/>
      </c>
      <c r="E398" s="8" t="str">
        <f ca="1">IF($L398="","",INDEX('Veri Merkezi'!$F$2:$F$1001,$L398))</f>
        <v/>
      </c>
      <c r="F398" s="9" t="str">
        <f ca="1">IF($L398="","",INDEX('Veri Merkezi'!$G$2:$G$1001,$L398))</f>
        <v/>
      </c>
      <c r="H398" s="8" t="str">
        <f ca="1">IF($L398="","",INDEX('Veri Merkezi'!$H$2:$H$1001,$L398))</f>
        <v/>
      </c>
      <c r="I398" s="10" t="str">
        <f ca="1">IF($L398="","",INDEX('Veri Merkezi'!$R$2:$R$1001,$L398))</f>
        <v/>
      </c>
      <c r="J398" s="8" t="str">
        <f ca="1">IF($L398="","",INDEX('Veri Merkezi'!$S$2:$S$1001,$L398))</f>
        <v/>
      </c>
      <c r="K398" s="8" t="str">
        <f ca="1">IF($L398="","",INDEX('Veri Merkezi'!$U$2:$U$1001,$L398))</f>
        <v/>
      </c>
      <c r="L398" s="8" t="str">
        <f ca="1">IFERROR(MATCH(ROWS($L$4:L398),'Veri Merkezi'!$W$2:$W$1001,0),"")</f>
        <v/>
      </c>
    </row>
    <row r="399" spans="1:12" ht="20" customHeight="1">
      <c r="A399" s="8" t="str">
        <f ca="1">IF($L399="","",ROWS($A$4:A399))</f>
        <v/>
      </c>
      <c r="B399" s="8" t="str">
        <f ca="1">IF($L399="","",INDEX('Veri Merkezi'!$A$2:$A$1001,$L399))</f>
        <v/>
      </c>
      <c r="C399" s="8" t="str">
        <f ca="1">IF($L399="","",INDEX('Veri Merkezi'!$E$2:$E$1001,$L399))</f>
        <v/>
      </c>
      <c r="D399" s="8" t="str">
        <f ca="1">IF($L399="","",INDEX('Veri Merkezi'!$D$2:$D$1001,$L399))</f>
        <v/>
      </c>
      <c r="E399" s="8" t="str">
        <f ca="1">IF($L399="","",INDEX('Veri Merkezi'!$F$2:$F$1001,$L399))</f>
        <v/>
      </c>
      <c r="F399" s="9" t="str">
        <f ca="1">IF($L399="","",INDEX('Veri Merkezi'!$G$2:$G$1001,$L399))</f>
        <v/>
      </c>
      <c r="H399" s="8" t="str">
        <f ca="1">IF($L399="","",INDEX('Veri Merkezi'!$H$2:$H$1001,$L399))</f>
        <v/>
      </c>
      <c r="I399" s="10" t="str">
        <f ca="1">IF($L399="","",INDEX('Veri Merkezi'!$R$2:$R$1001,$L399))</f>
        <v/>
      </c>
      <c r="J399" s="8" t="str">
        <f ca="1">IF($L399="","",INDEX('Veri Merkezi'!$S$2:$S$1001,$L399))</f>
        <v/>
      </c>
      <c r="K399" s="8" t="str">
        <f ca="1">IF($L399="","",INDEX('Veri Merkezi'!$U$2:$U$1001,$L399))</f>
        <v/>
      </c>
      <c r="L399" s="8" t="str">
        <f ca="1">IFERROR(MATCH(ROWS($L$4:L399),'Veri Merkezi'!$W$2:$W$1001,0),"")</f>
        <v/>
      </c>
    </row>
    <row r="400" spans="1:12" ht="20" customHeight="1">
      <c r="A400" s="8" t="str">
        <f ca="1">IF($L400="","",ROWS($A$4:A400))</f>
        <v/>
      </c>
      <c r="B400" s="8" t="str">
        <f ca="1">IF($L400="","",INDEX('Veri Merkezi'!$A$2:$A$1001,$L400))</f>
        <v/>
      </c>
      <c r="C400" s="8" t="str">
        <f ca="1">IF($L400="","",INDEX('Veri Merkezi'!$E$2:$E$1001,$L400))</f>
        <v/>
      </c>
      <c r="D400" s="8" t="str">
        <f ca="1">IF($L400="","",INDEX('Veri Merkezi'!$D$2:$D$1001,$L400))</f>
        <v/>
      </c>
      <c r="E400" s="8" t="str">
        <f ca="1">IF($L400="","",INDEX('Veri Merkezi'!$F$2:$F$1001,$L400))</f>
        <v/>
      </c>
      <c r="F400" s="9" t="str">
        <f ca="1">IF($L400="","",INDEX('Veri Merkezi'!$G$2:$G$1001,$L400))</f>
        <v/>
      </c>
      <c r="H400" s="8" t="str">
        <f ca="1">IF($L400="","",INDEX('Veri Merkezi'!$H$2:$H$1001,$L400))</f>
        <v/>
      </c>
      <c r="I400" s="10" t="str">
        <f ca="1">IF($L400="","",INDEX('Veri Merkezi'!$R$2:$R$1001,$L400))</f>
        <v/>
      </c>
      <c r="J400" s="8" t="str">
        <f ca="1">IF($L400="","",INDEX('Veri Merkezi'!$S$2:$S$1001,$L400))</f>
        <v/>
      </c>
      <c r="K400" s="8" t="str">
        <f ca="1">IF($L400="","",INDEX('Veri Merkezi'!$U$2:$U$1001,$L400))</f>
        <v/>
      </c>
      <c r="L400" s="8" t="str">
        <f ca="1">IFERROR(MATCH(ROWS($L$4:L400),'Veri Merkezi'!$W$2:$W$1001,0),"")</f>
        <v/>
      </c>
    </row>
    <row r="401" spans="1:12" ht="20" customHeight="1">
      <c r="A401" s="8" t="str">
        <f ca="1">IF($L401="","",ROWS($A$4:A401))</f>
        <v/>
      </c>
      <c r="B401" s="8" t="str">
        <f ca="1">IF($L401="","",INDEX('Veri Merkezi'!$A$2:$A$1001,$L401))</f>
        <v/>
      </c>
      <c r="C401" s="8" t="str">
        <f ca="1">IF($L401="","",INDEX('Veri Merkezi'!$E$2:$E$1001,$L401))</f>
        <v/>
      </c>
      <c r="D401" s="8" t="str">
        <f ca="1">IF($L401="","",INDEX('Veri Merkezi'!$D$2:$D$1001,$L401))</f>
        <v/>
      </c>
      <c r="E401" s="8" t="str">
        <f ca="1">IF($L401="","",INDEX('Veri Merkezi'!$F$2:$F$1001,$L401))</f>
        <v/>
      </c>
      <c r="F401" s="9" t="str">
        <f ca="1">IF($L401="","",INDEX('Veri Merkezi'!$G$2:$G$1001,$L401))</f>
        <v/>
      </c>
      <c r="H401" s="8" t="str">
        <f ca="1">IF($L401="","",INDEX('Veri Merkezi'!$H$2:$H$1001,$L401))</f>
        <v/>
      </c>
      <c r="I401" s="10" t="str">
        <f ca="1">IF($L401="","",INDEX('Veri Merkezi'!$R$2:$R$1001,$L401))</f>
        <v/>
      </c>
      <c r="J401" s="8" t="str">
        <f ca="1">IF($L401="","",INDEX('Veri Merkezi'!$S$2:$S$1001,$L401))</f>
        <v/>
      </c>
      <c r="K401" s="8" t="str">
        <f ca="1">IF($L401="","",INDEX('Veri Merkezi'!$U$2:$U$1001,$L401))</f>
        <v/>
      </c>
      <c r="L401" s="8" t="str">
        <f ca="1">IFERROR(MATCH(ROWS($L$4:L401),'Veri Merkezi'!$W$2:$W$1001,0),"")</f>
        <v/>
      </c>
    </row>
    <row r="402" spans="1:12" ht="20" customHeight="1">
      <c r="A402" s="8" t="str">
        <f ca="1">IF($L402="","",ROWS($A$4:A402))</f>
        <v/>
      </c>
      <c r="B402" s="8" t="str">
        <f ca="1">IF($L402="","",INDEX('Veri Merkezi'!$A$2:$A$1001,$L402))</f>
        <v/>
      </c>
      <c r="C402" s="8" t="str">
        <f ca="1">IF($L402="","",INDEX('Veri Merkezi'!$E$2:$E$1001,$L402))</f>
        <v/>
      </c>
      <c r="D402" s="8" t="str">
        <f ca="1">IF($L402="","",INDEX('Veri Merkezi'!$D$2:$D$1001,$L402))</f>
        <v/>
      </c>
      <c r="E402" s="8" t="str">
        <f ca="1">IF($L402="","",INDEX('Veri Merkezi'!$F$2:$F$1001,$L402))</f>
        <v/>
      </c>
      <c r="F402" s="9" t="str">
        <f ca="1">IF($L402="","",INDEX('Veri Merkezi'!$G$2:$G$1001,$L402))</f>
        <v/>
      </c>
      <c r="H402" s="8" t="str">
        <f ca="1">IF($L402="","",INDEX('Veri Merkezi'!$H$2:$H$1001,$L402))</f>
        <v/>
      </c>
      <c r="I402" s="10" t="str">
        <f ca="1">IF($L402="","",INDEX('Veri Merkezi'!$R$2:$R$1001,$L402))</f>
        <v/>
      </c>
      <c r="J402" s="8" t="str">
        <f ca="1">IF($L402="","",INDEX('Veri Merkezi'!$S$2:$S$1001,$L402))</f>
        <v/>
      </c>
      <c r="K402" s="8" t="str">
        <f ca="1">IF($L402="","",INDEX('Veri Merkezi'!$U$2:$U$1001,$L402))</f>
        <v/>
      </c>
      <c r="L402" s="8" t="str">
        <f ca="1">IFERROR(MATCH(ROWS($L$4:L402),'Veri Merkezi'!$W$2:$W$1001,0),"")</f>
        <v/>
      </c>
    </row>
    <row r="403" spans="1:12" ht="20" customHeight="1">
      <c r="A403" s="8" t="str">
        <f ca="1">IF($L403="","",ROWS($A$4:A403))</f>
        <v/>
      </c>
      <c r="B403" s="8" t="str">
        <f ca="1">IF($L403="","",INDEX('Veri Merkezi'!$A$2:$A$1001,$L403))</f>
        <v/>
      </c>
      <c r="C403" s="8" t="str">
        <f ca="1">IF($L403="","",INDEX('Veri Merkezi'!$E$2:$E$1001,$L403))</f>
        <v/>
      </c>
      <c r="D403" s="8" t="str">
        <f ca="1">IF($L403="","",INDEX('Veri Merkezi'!$D$2:$D$1001,$L403))</f>
        <v/>
      </c>
      <c r="E403" s="8" t="str">
        <f ca="1">IF($L403="","",INDEX('Veri Merkezi'!$F$2:$F$1001,$L403))</f>
        <v/>
      </c>
      <c r="F403" s="9" t="str">
        <f ca="1">IF($L403="","",INDEX('Veri Merkezi'!$G$2:$G$1001,$L403))</f>
        <v/>
      </c>
      <c r="H403" s="8" t="str">
        <f ca="1">IF($L403="","",INDEX('Veri Merkezi'!$H$2:$H$1001,$L403))</f>
        <v/>
      </c>
      <c r="I403" s="10" t="str">
        <f ca="1">IF($L403="","",INDEX('Veri Merkezi'!$R$2:$R$1001,$L403))</f>
        <v/>
      </c>
      <c r="J403" s="8" t="str">
        <f ca="1">IF($L403="","",INDEX('Veri Merkezi'!$S$2:$S$1001,$L403))</f>
        <v/>
      </c>
      <c r="K403" s="8" t="str">
        <f ca="1">IF($L403="","",INDEX('Veri Merkezi'!$U$2:$U$1001,$L403))</f>
        <v/>
      </c>
      <c r="L403" s="8" t="str">
        <f ca="1">IFERROR(MATCH(ROWS($L$4:L403),'Veri Merkezi'!$W$2:$W$1001,0),"")</f>
        <v/>
      </c>
    </row>
    <row r="404" spans="1:12" ht="20" customHeight="1">
      <c r="A404" s="8" t="str">
        <f ca="1">IF($L404="","",ROWS($A$4:A404))</f>
        <v/>
      </c>
      <c r="B404" s="8" t="str">
        <f ca="1">IF($L404="","",INDEX('Veri Merkezi'!$A$2:$A$1001,$L404))</f>
        <v/>
      </c>
      <c r="C404" s="8" t="str">
        <f ca="1">IF($L404="","",INDEX('Veri Merkezi'!$E$2:$E$1001,$L404))</f>
        <v/>
      </c>
      <c r="D404" s="8" t="str">
        <f ca="1">IF($L404="","",INDEX('Veri Merkezi'!$D$2:$D$1001,$L404))</f>
        <v/>
      </c>
      <c r="E404" s="8" t="str">
        <f ca="1">IF($L404="","",INDEX('Veri Merkezi'!$F$2:$F$1001,$L404))</f>
        <v/>
      </c>
      <c r="F404" s="9" t="str">
        <f ca="1">IF($L404="","",INDEX('Veri Merkezi'!$G$2:$G$1001,$L404))</f>
        <v/>
      </c>
      <c r="H404" s="8" t="str">
        <f ca="1">IF($L404="","",INDEX('Veri Merkezi'!$H$2:$H$1001,$L404))</f>
        <v/>
      </c>
      <c r="I404" s="10" t="str">
        <f ca="1">IF($L404="","",INDEX('Veri Merkezi'!$R$2:$R$1001,$L404))</f>
        <v/>
      </c>
      <c r="J404" s="8" t="str">
        <f ca="1">IF($L404="","",INDEX('Veri Merkezi'!$S$2:$S$1001,$L404))</f>
        <v/>
      </c>
      <c r="K404" s="8" t="str">
        <f ca="1">IF($L404="","",INDEX('Veri Merkezi'!$U$2:$U$1001,$L404))</f>
        <v/>
      </c>
      <c r="L404" s="8" t="str">
        <f ca="1">IFERROR(MATCH(ROWS($L$4:L404),'Veri Merkezi'!$W$2:$W$1001,0),"")</f>
        <v/>
      </c>
    </row>
    <row r="405" spans="1:12" ht="20" customHeight="1">
      <c r="A405" s="8" t="str">
        <f ca="1">IF($L405="","",ROWS($A$4:A405))</f>
        <v/>
      </c>
      <c r="B405" s="8" t="str">
        <f ca="1">IF($L405="","",INDEX('Veri Merkezi'!$A$2:$A$1001,$L405))</f>
        <v/>
      </c>
      <c r="C405" s="8" t="str">
        <f ca="1">IF($L405="","",INDEX('Veri Merkezi'!$E$2:$E$1001,$L405))</f>
        <v/>
      </c>
      <c r="D405" s="8" t="str">
        <f ca="1">IF($L405="","",INDEX('Veri Merkezi'!$D$2:$D$1001,$L405))</f>
        <v/>
      </c>
      <c r="E405" s="8" t="str">
        <f ca="1">IF($L405="","",INDEX('Veri Merkezi'!$F$2:$F$1001,$L405))</f>
        <v/>
      </c>
      <c r="F405" s="9" t="str">
        <f ca="1">IF($L405="","",INDEX('Veri Merkezi'!$G$2:$G$1001,$L405))</f>
        <v/>
      </c>
      <c r="H405" s="8" t="str">
        <f ca="1">IF($L405="","",INDEX('Veri Merkezi'!$H$2:$H$1001,$L405))</f>
        <v/>
      </c>
      <c r="I405" s="10" t="str">
        <f ca="1">IF($L405="","",INDEX('Veri Merkezi'!$R$2:$R$1001,$L405))</f>
        <v/>
      </c>
      <c r="J405" s="8" t="str">
        <f ca="1">IF($L405="","",INDEX('Veri Merkezi'!$S$2:$S$1001,$L405))</f>
        <v/>
      </c>
      <c r="K405" s="8" t="str">
        <f ca="1">IF($L405="","",INDEX('Veri Merkezi'!$U$2:$U$1001,$L405))</f>
        <v/>
      </c>
      <c r="L405" s="8" t="str">
        <f ca="1">IFERROR(MATCH(ROWS($L$4:L405),'Veri Merkezi'!$W$2:$W$1001,0),"")</f>
        <v/>
      </c>
    </row>
    <row r="406" spans="1:12" ht="20" customHeight="1">
      <c r="A406" s="8" t="str">
        <f ca="1">IF($L406="","",ROWS($A$4:A406))</f>
        <v/>
      </c>
      <c r="B406" s="8" t="str">
        <f ca="1">IF($L406="","",INDEX('Veri Merkezi'!$A$2:$A$1001,$L406))</f>
        <v/>
      </c>
      <c r="C406" s="8" t="str">
        <f ca="1">IF($L406="","",INDEX('Veri Merkezi'!$E$2:$E$1001,$L406))</f>
        <v/>
      </c>
      <c r="D406" s="8" t="str">
        <f ca="1">IF($L406="","",INDEX('Veri Merkezi'!$D$2:$D$1001,$L406))</f>
        <v/>
      </c>
      <c r="E406" s="8" t="str">
        <f ca="1">IF($L406="","",INDEX('Veri Merkezi'!$F$2:$F$1001,$L406))</f>
        <v/>
      </c>
      <c r="F406" s="9" t="str">
        <f ca="1">IF($L406="","",INDEX('Veri Merkezi'!$G$2:$G$1001,$L406))</f>
        <v/>
      </c>
      <c r="H406" s="8" t="str">
        <f ca="1">IF($L406="","",INDEX('Veri Merkezi'!$H$2:$H$1001,$L406))</f>
        <v/>
      </c>
      <c r="I406" s="10" t="str">
        <f ca="1">IF($L406="","",INDEX('Veri Merkezi'!$R$2:$R$1001,$L406))</f>
        <v/>
      </c>
      <c r="J406" s="8" t="str">
        <f ca="1">IF($L406="","",INDEX('Veri Merkezi'!$S$2:$S$1001,$L406))</f>
        <v/>
      </c>
      <c r="K406" s="8" t="str">
        <f ca="1">IF($L406="","",INDEX('Veri Merkezi'!$U$2:$U$1001,$L406))</f>
        <v/>
      </c>
      <c r="L406" s="8" t="str">
        <f ca="1">IFERROR(MATCH(ROWS($L$4:L406),'Veri Merkezi'!$W$2:$W$1001,0),"")</f>
        <v/>
      </c>
    </row>
    <row r="407" spans="1:12" ht="20" customHeight="1">
      <c r="A407" s="8" t="str">
        <f ca="1">IF($L407="","",ROWS($A$4:A407))</f>
        <v/>
      </c>
      <c r="B407" s="8" t="str">
        <f ca="1">IF($L407="","",INDEX('Veri Merkezi'!$A$2:$A$1001,$L407))</f>
        <v/>
      </c>
      <c r="C407" s="8" t="str">
        <f ca="1">IF($L407="","",INDEX('Veri Merkezi'!$E$2:$E$1001,$L407))</f>
        <v/>
      </c>
      <c r="D407" s="8" t="str">
        <f ca="1">IF($L407="","",INDEX('Veri Merkezi'!$D$2:$D$1001,$L407))</f>
        <v/>
      </c>
      <c r="E407" s="8" t="str">
        <f ca="1">IF($L407="","",INDEX('Veri Merkezi'!$F$2:$F$1001,$L407))</f>
        <v/>
      </c>
      <c r="F407" s="9" t="str">
        <f ca="1">IF($L407="","",INDEX('Veri Merkezi'!$G$2:$G$1001,$L407))</f>
        <v/>
      </c>
      <c r="H407" s="8" t="str">
        <f ca="1">IF($L407="","",INDEX('Veri Merkezi'!$H$2:$H$1001,$L407))</f>
        <v/>
      </c>
      <c r="I407" s="10" t="str">
        <f ca="1">IF($L407="","",INDEX('Veri Merkezi'!$R$2:$R$1001,$L407))</f>
        <v/>
      </c>
      <c r="J407" s="8" t="str">
        <f ca="1">IF($L407="","",INDEX('Veri Merkezi'!$S$2:$S$1001,$L407))</f>
        <v/>
      </c>
      <c r="K407" s="8" t="str">
        <f ca="1">IF($L407="","",INDEX('Veri Merkezi'!$U$2:$U$1001,$L407))</f>
        <v/>
      </c>
      <c r="L407" s="8" t="str">
        <f ca="1">IFERROR(MATCH(ROWS($L$4:L407),'Veri Merkezi'!$W$2:$W$1001,0),"")</f>
        <v/>
      </c>
    </row>
    <row r="408" spans="1:12" ht="20" customHeight="1">
      <c r="A408" s="8" t="str">
        <f ca="1">IF($L408="","",ROWS($A$4:A408))</f>
        <v/>
      </c>
      <c r="B408" s="8" t="str">
        <f ca="1">IF($L408="","",INDEX('Veri Merkezi'!$A$2:$A$1001,$L408))</f>
        <v/>
      </c>
      <c r="C408" s="8" t="str">
        <f ca="1">IF($L408="","",INDEX('Veri Merkezi'!$E$2:$E$1001,$L408))</f>
        <v/>
      </c>
      <c r="D408" s="8" t="str">
        <f ca="1">IF($L408="","",INDEX('Veri Merkezi'!$D$2:$D$1001,$L408))</f>
        <v/>
      </c>
      <c r="E408" s="8" t="str">
        <f ca="1">IF($L408="","",INDEX('Veri Merkezi'!$F$2:$F$1001,$L408))</f>
        <v/>
      </c>
      <c r="F408" s="9" t="str">
        <f ca="1">IF($L408="","",INDEX('Veri Merkezi'!$G$2:$G$1001,$L408))</f>
        <v/>
      </c>
      <c r="H408" s="8" t="str">
        <f ca="1">IF($L408="","",INDEX('Veri Merkezi'!$H$2:$H$1001,$L408))</f>
        <v/>
      </c>
      <c r="I408" s="10" t="str">
        <f ca="1">IF($L408="","",INDEX('Veri Merkezi'!$R$2:$R$1001,$L408))</f>
        <v/>
      </c>
      <c r="J408" s="8" t="str">
        <f ca="1">IF($L408="","",INDEX('Veri Merkezi'!$S$2:$S$1001,$L408))</f>
        <v/>
      </c>
      <c r="K408" s="8" t="str">
        <f ca="1">IF($L408="","",INDEX('Veri Merkezi'!$U$2:$U$1001,$L408))</f>
        <v/>
      </c>
      <c r="L408" s="8" t="str">
        <f ca="1">IFERROR(MATCH(ROWS($L$4:L408),'Veri Merkezi'!$W$2:$W$1001,0),"")</f>
        <v/>
      </c>
    </row>
    <row r="409" spans="1:12" ht="20" customHeight="1">
      <c r="A409" s="8" t="str">
        <f ca="1">IF($L409="","",ROWS($A$4:A409))</f>
        <v/>
      </c>
      <c r="B409" s="8" t="str">
        <f ca="1">IF($L409="","",INDEX('Veri Merkezi'!$A$2:$A$1001,$L409))</f>
        <v/>
      </c>
      <c r="C409" s="8" t="str">
        <f ca="1">IF($L409="","",INDEX('Veri Merkezi'!$E$2:$E$1001,$L409))</f>
        <v/>
      </c>
      <c r="D409" s="8" t="str">
        <f ca="1">IF($L409="","",INDEX('Veri Merkezi'!$D$2:$D$1001,$L409))</f>
        <v/>
      </c>
      <c r="E409" s="8" t="str">
        <f ca="1">IF($L409="","",INDEX('Veri Merkezi'!$F$2:$F$1001,$L409))</f>
        <v/>
      </c>
      <c r="F409" s="9" t="str">
        <f ca="1">IF($L409="","",INDEX('Veri Merkezi'!$G$2:$G$1001,$L409))</f>
        <v/>
      </c>
      <c r="H409" s="8" t="str">
        <f ca="1">IF($L409="","",INDEX('Veri Merkezi'!$H$2:$H$1001,$L409))</f>
        <v/>
      </c>
      <c r="I409" s="10" t="str">
        <f ca="1">IF($L409="","",INDEX('Veri Merkezi'!$R$2:$R$1001,$L409))</f>
        <v/>
      </c>
      <c r="J409" s="8" t="str">
        <f ca="1">IF($L409="","",INDEX('Veri Merkezi'!$S$2:$S$1001,$L409))</f>
        <v/>
      </c>
      <c r="K409" s="8" t="str">
        <f ca="1">IF($L409="","",INDEX('Veri Merkezi'!$U$2:$U$1001,$L409))</f>
        <v/>
      </c>
      <c r="L409" s="8" t="str">
        <f ca="1">IFERROR(MATCH(ROWS($L$4:L409),'Veri Merkezi'!$W$2:$W$1001,0),"")</f>
        <v/>
      </c>
    </row>
    <row r="410" spans="1:12" ht="20" customHeight="1">
      <c r="A410" s="8" t="str">
        <f ca="1">IF($L410="","",ROWS($A$4:A410))</f>
        <v/>
      </c>
      <c r="B410" s="8" t="str">
        <f ca="1">IF($L410="","",INDEX('Veri Merkezi'!$A$2:$A$1001,$L410))</f>
        <v/>
      </c>
      <c r="C410" s="8" t="str">
        <f ca="1">IF($L410="","",INDEX('Veri Merkezi'!$E$2:$E$1001,$L410))</f>
        <v/>
      </c>
      <c r="D410" s="8" t="str">
        <f ca="1">IF($L410="","",INDEX('Veri Merkezi'!$D$2:$D$1001,$L410))</f>
        <v/>
      </c>
      <c r="E410" s="8" t="str">
        <f ca="1">IF($L410="","",INDEX('Veri Merkezi'!$F$2:$F$1001,$L410))</f>
        <v/>
      </c>
      <c r="F410" s="9" t="str">
        <f ca="1">IF($L410="","",INDEX('Veri Merkezi'!$G$2:$G$1001,$L410))</f>
        <v/>
      </c>
      <c r="H410" s="8" t="str">
        <f ca="1">IF($L410="","",INDEX('Veri Merkezi'!$H$2:$H$1001,$L410))</f>
        <v/>
      </c>
      <c r="I410" s="10" t="str">
        <f ca="1">IF($L410="","",INDEX('Veri Merkezi'!$R$2:$R$1001,$L410))</f>
        <v/>
      </c>
      <c r="J410" s="8" t="str">
        <f ca="1">IF($L410="","",INDEX('Veri Merkezi'!$S$2:$S$1001,$L410))</f>
        <v/>
      </c>
      <c r="K410" s="8" t="str">
        <f ca="1">IF($L410="","",INDEX('Veri Merkezi'!$U$2:$U$1001,$L410))</f>
        <v/>
      </c>
      <c r="L410" s="8" t="str">
        <f ca="1">IFERROR(MATCH(ROWS($L$4:L410),'Veri Merkezi'!$W$2:$W$1001,0),"")</f>
        <v/>
      </c>
    </row>
    <row r="411" spans="1:12" ht="20" customHeight="1">
      <c r="A411" s="8" t="str">
        <f ca="1">IF($L411="","",ROWS($A$4:A411))</f>
        <v/>
      </c>
      <c r="B411" s="8" t="str">
        <f ca="1">IF($L411="","",INDEX('Veri Merkezi'!$A$2:$A$1001,$L411))</f>
        <v/>
      </c>
      <c r="C411" s="8" t="str">
        <f ca="1">IF($L411="","",INDEX('Veri Merkezi'!$E$2:$E$1001,$L411))</f>
        <v/>
      </c>
      <c r="D411" s="8" t="str">
        <f ca="1">IF($L411="","",INDEX('Veri Merkezi'!$D$2:$D$1001,$L411))</f>
        <v/>
      </c>
      <c r="E411" s="8" t="str">
        <f ca="1">IF($L411="","",INDEX('Veri Merkezi'!$F$2:$F$1001,$L411))</f>
        <v/>
      </c>
      <c r="F411" s="9" t="str">
        <f ca="1">IF($L411="","",INDEX('Veri Merkezi'!$G$2:$G$1001,$L411))</f>
        <v/>
      </c>
      <c r="H411" s="8" t="str">
        <f ca="1">IF($L411="","",INDEX('Veri Merkezi'!$H$2:$H$1001,$L411))</f>
        <v/>
      </c>
      <c r="I411" s="10" t="str">
        <f ca="1">IF($L411="","",INDEX('Veri Merkezi'!$R$2:$R$1001,$L411))</f>
        <v/>
      </c>
      <c r="J411" s="8" t="str">
        <f ca="1">IF($L411="","",INDEX('Veri Merkezi'!$S$2:$S$1001,$L411))</f>
        <v/>
      </c>
      <c r="K411" s="8" t="str">
        <f ca="1">IF($L411="","",INDEX('Veri Merkezi'!$U$2:$U$1001,$L411))</f>
        <v/>
      </c>
      <c r="L411" s="8" t="str">
        <f ca="1">IFERROR(MATCH(ROWS($L$4:L411),'Veri Merkezi'!$W$2:$W$1001,0),"")</f>
        <v/>
      </c>
    </row>
    <row r="412" spans="1:12" ht="20" customHeight="1">
      <c r="A412" s="8" t="str">
        <f ca="1">IF($L412="","",ROWS($A$4:A412))</f>
        <v/>
      </c>
      <c r="B412" s="8" t="str">
        <f ca="1">IF($L412="","",INDEX('Veri Merkezi'!$A$2:$A$1001,$L412))</f>
        <v/>
      </c>
      <c r="C412" s="8" t="str">
        <f ca="1">IF($L412="","",INDEX('Veri Merkezi'!$E$2:$E$1001,$L412))</f>
        <v/>
      </c>
      <c r="D412" s="8" t="str">
        <f ca="1">IF($L412="","",INDEX('Veri Merkezi'!$D$2:$D$1001,$L412))</f>
        <v/>
      </c>
      <c r="E412" s="8" t="str">
        <f ca="1">IF($L412="","",INDEX('Veri Merkezi'!$F$2:$F$1001,$L412))</f>
        <v/>
      </c>
      <c r="F412" s="9" t="str">
        <f ca="1">IF($L412="","",INDEX('Veri Merkezi'!$G$2:$G$1001,$L412))</f>
        <v/>
      </c>
      <c r="H412" s="8" t="str">
        <f ca="1">IF($L412="","",INDEX('Veri Merkezi'!$H$2:$H$1001,$L412))</f>
        <v/>
      </c>
      <c r="I412" s="10" t="str">
        <f ca="1">IF($L412="","",INDEX('Veri Merkezi'!$R$2:$R$1001,$L412))</f>
        <v/>
      </c>
      <c r="J412" s="8" t="str">
        <f ca="1">IF($L412="","",INDEX('Veri Merkezi'!$S$2:$S$1001,$L412))</f>
        <v/>
      </c>
      <c r="K412" s="8" t="str">
        <f ca="1">IF($L412="","",INDEX('Veri Merkezi'!$U$2:$U$1001,$L412))</f>
        <v/>
      </c>
      <c r="L412" s="8" t="str">
        <f ca="1">IFERROR(MATCH(ROWS($L$4:L412),'Veri Merkezi'!$W$2:$W$1001,0),"")</f>
        <v/>
      </c>
    </row>
    <row r="413" spans="1:12" ht="20" customHeight="1">
      <c r="A413" s="8" t="str">
        <f ca="1">IF($L413="","",ROWS($A$4:A413))</f>
        <v/>
      </c>
      <c r="B413" s="8" t="str">
        <f ca="1">IF($L413="","",INDEX('Veri Merkezi'!$A$2:$A$1001,$L413))</f>
        <v/>
      </c>
      <c r="C413" s="8" t="str">
        <f ca="1">IF($L413="","",INDEX('Veri Merkezi'!$E$2:$E$1001,$L413))</f>
        <v/>
      </c>
      <c r="D413" s="8" t="str">
        <f ca="1">IF($L413="","",INDEX('Veri Merkezi'!$D$2:$D$1001,$L413))</f>
        <v/>
      </c>
      <c r="E413" s="8" t="str">
        <f ca="1">IF($L413="","",INDEX('Veri Merkezi'!$F$2:$F$1001,$L413))</f>
        <v/>
      </c>
      <c r="F413" s="9" t="str">
        <f ca="1">IF($L413="","",INDEX('Veri Merkezi'!$G$2:$G$1001,$L413))</f>
        <v/>
      </c>
      <c r="H413" s="8" t="str">
        <f ca="1">IF($L413="","",INDEX('Veri Merkezi'!$H$2:$H$1001,$L413))</f>
        <v/>
      </c>
      <c r="I413" s="10" t="str">
        <f ca="1">IF($L413="","",INDEX('Veri Merkezi'!$R$2:$R$1001,$L413))</f>
        <v/>
      </c>
      <c r="J413" s="8" t="str">
        <f ca="1">IF($L413="","",INDEX('Veri Merkezi'!$S$2:$S$1001,$L413))</f>
        <v/>
      </c>
      <c r="K413" s="8" t="str">
        <f ca="1">IF($L413="","",INDEX('Veri Merkezi'!$U$2:$U$1001,$L413))</f>
        <v/>
      </c>
      <c r="L413" s="8" t="str">
        <f ca="1">IFERROR(MATCH(ROWS($L$4:L413),'Veri Merkezi'!$W$2:$W$1001,0),"")</f>
        <v/>
      </c>
    </row>
    <row r="414" spans="1:12" ht="20" customHeight="1">
      <c r="A414" s="8" t="str">
        <f ca="1">IF($L414="","",ROWS($A$4:A414))</f>
        <v/>
      </c>
      <c r="B414" s="8" t="str">
        <f ca="1">IF($L414="","",INDEX('Veri Merkezi'!$A$2:$A$1001,$L414))</f>
        <v/>
      </c>
      <c r="C414" s="8" t="str">
        <f ca="1">IF($L414="","",INDEX('Veri Merkezi'!$E$2:$E$1001,$L414))</f>
        <v/>
      </c>
      <c r="D414" s="8" t="str">
        <f ca="1">IF($L414="","",INDEX('Veri Merkezi'!$D$2:$D$1001,$L414))</f>
        <v/>
      </c>
      <c r="E414" s="8" t="str">
        <f ca="1">IF($L414="","",INDEX('Veri Merkezi'!$F$2:$F$1001,$L414))</f>
        <v/>
      </c>
      <c r="F414" s="9" t="str">
        <f ca="1">IF($L414="","",INDEX('Veri Merkezi'!$G$2:$G$1001,$L414))</f>
        <v/>
      </c>
      <c r="H414" s="8" t="str">
        <f ca="1">IF($L414="","",INDEX('Veri Merkezi'!$H$2:$H$1001,$L414))</f>
        <v/>
      </c>
      <c r="I414" s="10" t="str">
        <f ca="1">IF($L414="","",INDEX('Veri Merkezi'!$R$2:$R$1001,$L414))</f>
        <v/>
      </c>
      <c r="J414" s="8" t="str">
        <f ca="1">IF($L414="","",INDEX('Veri Merkezi'!$S$2:$S$1001,$L414))</f>
        <v/>
      </c>
      <c r="K414" s="8" t="str">
        <f ca="1">IF($L414="","",INDEX('Veri Merkezi'!$U$2:$U$1001,$L414))</f>
        <v/>
      </c>
      <c r="L414" s="8" t="str">
        <f ca="1">IFERROR(MATCH(ROWS($L$4:L414),'Veri Merkezi'!$W$2:$W$1001,0),"")</f>
        <v/>
      </c>
    </row>
    <row r="415" spans="1:12" ht="20" customHeight="1">
      <c r="A415" s="8" t="str">
        <f ca="1">IF($L415="","",ROWS($A$4:A415))</f>
        <v/>
      </c>
      <c r="B415" s="8" t="str">
        <f ca="1">IF($L415="","",INDEX('Veri Merkezi'!$A$2:$A$1001,$L415))</f>
        <v/>
      </c>
      <c r="C415" s="8" t="str">
        <f ca="1">IF($L415="","",INDEX('Veri Merkezi'!$E$2:$E$1001,$L415))</f>
        <v/>
      </c>
      <c r="D415" s="8" t="str">
        <f ca="1">IF($L415="","",INDEX('Veri Merkezi'!$D$2:$D$1001,$L415))</f>
        <v/>
      </c>
      <c r="E415" s="8" t="str">
        <f ca="1">IF($L415="","",INDEX('Veri Merkezi'!$F$2:$F$1001,$L415))</f>
        <v/>
      </c>
      <c r="F415" s="9" t="str">
        <f ca="1">IF($L415="","",INDEX('Veri Merkezi'!$G$2:$G$1001,$L415))</f>
        <v/>
      </c>
      <c r="H415" s="8" t="str">
        <f ca="1">IF($L415="","",INDEX('Veri Merkezi'!$H$2:$H$1001,$L415))</f>
        <v/>
      </c>
      <c r="I415" s="10" t="str">
        <f ca="1">IF($L415="","",INDEX('Veri Merkezi'!$R$2:$R$1001,$L415))</f>
        <v/>
      </c>
      <c r="J415" s="8" t="str">
        <f ca="1">IF($L415="","",INDEX('Veri Merkezi'!$S$2:$S$1001,$L415))</f>
        <v/>
      </c>
      <c r="K415" s="8" t="str">
        <f ca="1">IF($L415="","",INDEX('Veri Merkezi'!$U$2:$U$1001,$L415))</f>
        <v/>
      </c>
      <c r="L415" s="8" t="str">
        <f ca="1">IFERROR(MATCH(ROWS($L$4:L415),'Veri Merkezi'!$W$2:$W$1001,0),"")</f>
        <v/>
      </c>
    </row>
    <row r="416" spans="1:12" ht="20" customHeight="1">
      <c r="A416" s="8" t="str">
        <f ca="1">IF($L416="","",ROWS($A$4:A416))</f>
        <v/>
      </c>
      <c r="B416" s="8" t="str">
        <f ca="1">IF($L416="","",INDEX('Veri Merkezi'!$A$2:$A$1001,$L416))</f>
        <v/>
      </c>
      <c r="C416" s="8" t="str">
        <f ca="1">IF($L416="","",INDEX('Veri Merkezi'!$E$2:$E$1001,$L416))</f>
        <v/>
      </c>
      <c r="D416" s="8" t="str">
        <f ca="1">IF($L416="","",INDEX('Veri Merkezi'!$D$2:$D$1001,$L416))</f>
        <v/>
      </c>
      <c r="E416" s="8" t="str">
        <f ca="1">IF($L416="","",INDEX('Veri Merkezi'!$F$2:$F$1001,$L416))</f>
        <v/>
      </c>
      <c r="F416" s="9" t="str">
        <f ca="1">IF($L416="","",INDEX('Veri Merkezi'!$G$2:$G$1001,$L416))</f>
        <v/>
      </c>
      <c r="H416" s="8" t="str">
        <f ca="1">IF($L416="","",INDEX('Veri Merkezi'!$H$2:$H$1001,$L416))</f>
        <v/>
      </c>
      <c r="I416" s="10" t="str">
        <f ca="1">IF($L416="","",INDEX('Veri Merkezi'!$R$2:$R$1001,$L416))</f>
        <v/>
      </c>
      <c r="J416" s="8" t="str">
        <f ca="1">IF($L416="","",INDEX('Veri Merkezi'!$S$2:$S$1001,$L416))</f>
        <v/>
      </c>
      <c r="K416" s="8" t="str">
        <f ca="1">IF($L416="","",INDEX('Veri Merkezi'!$U$2:$U$1001,$L416))</f>
        <v/>
      </c>
      <c r="L416" s="8" t="str">
        <f ca="1">IFERROR(MATCH(ROWS($L$4:L416),'Veri Merkezi'!$W$2:$W$1001,0),"")</f>
        <v/>
      </c>
    </row>
    <row r="417" spans="1:12" ht="20" customHeight="1">
      <c r="A417" s="8" t="str">
        <f ca="1">IF($L417="","",ROWS($A$4:A417))</f>
        <v/>
      </c>
      <c r="B417" s="8" t="str">
        <f ca="1">IF($L417="","",INDEX('Veri Merkezi'!$A$2:$A$1001,$L417))</f>
        <v/>
      </c>
      <c r="C417" s="8" t="str">
        <f ca="1">IF($L417="","",INDEX('Veri Merkezi'!$E$2:$E$1001,$L417))</f>
        <v/>
      </c>
      <c r="D417" s="8" t="str">
        <f ca="1">IF($L417="","",INDEX('Veri Merkezi'!$D$2:$D$1001,$L417))</f>
        <v/>
      </c>
      <c r="E417" s="8" t="str">
        <f ca="1">IF($L417="","",INDEX('Veri Merkezi'!$F$2:$F$1001,$L417))</f>
        <v/>
      </c>
      <c r="F417" s="9" t="str">
        <f ca="1">IF($L417="","",INDEX('Veri Merkezi'!$G$2:$G$1001,$L417))</f>
        <v/>
      </c>
      <c r="H417" s="8" t="str">
        <f ca="1">IF($L417="","",INDEX('Veri Merkezi'!$H$2:$H$1001,$L417))</f>
        <v/>
      </c>
      <c r="I417" s="10" t="str">
        <f ca="1">IF($L417="","",INDEX('Veri Merkezi'!$R$2:$R$1001,$L417))</f>
        <v/>
      </c>
      <c r="J417" s="8" t="str">
        <f ca="1">IF($L417="","",INDEX('Veri Merkezi'!$S$2:$S$1001,$L417))</f>
        <v/>
      </c>
      <c r="K417" s="8" t="str">
        <f ca="1">IF($L417="","",INDEX('Veri Merkezi'!$U$2:$U$1001,$L417))</f>
        <v/>
      </c>
      <c r="L417" s="8" t="str">
        <f ca="1">IFERROR(MATCH(ROWS($L$4:L417),'Veri Merkezi'!$W$2:$W$1001,0),"")</f>
        <v/>
      </c>
    </row>
    <row r="418" spans="1:12" ht="20" customHeight="1">
      <c r="A418" s="8" t="str">
        <f ca="1">IF($L418="","",ROWS($A$4:A418))</f>
        <v/>
      </c>
      <c r="B418" s="8" t="str">
        <f ca="1">IF($L418="","",INDEX('Veri Merkezi'!$A$2:$A$1001,$L418))</f>
        <v/>
      </c>
      <c r="C418" s="8" t="str">
        <f ca="1">IF($L418="","",INDEX('Veri Merkezi'!$E$2:$E$1001,$L418))</f>
        <v/>
      </c>
      <c r="D418" s="8" t="str">
        <f ca="1">IF($L418="","",INDEX('Veri Merkezi'!$D$2:$D$1001,$L418))</f>
        <v/>
      </c>
      <c r="E418" s="8" t="str">
        <f ca="1">IF($L418="","",INDEX('Veri Merkezi'!$F$2:$F$1001,$L418))</f>
        <v/>
      </c>
      <c r="F418" s="9" t="str">
        <f ca="1">IF($L418="","",INDEX('Veri Merkezi'!$G$2:$G$1001,$L418))</f>
        <v/>
      </c>
      <c r="H418" s="8" t="str">
        <f ca="1">IF($L418="","",INDEX('Veri Merkezi'!$H$2:$H$1001,$L418))</f>
        <v/>
      </c>
      <c r="I418" s="10" t="str">
        <f ca="1">IF($L418="","",INDEX('Veri Merkezi'!$R$2:$R$1001,$L418))</f>
        <v/>
      </c>
      <c r="J418" s="8" t="str">
        <f ca="1">IF($L418="","",INDEX('Veri Merkezi'!$S$2:$S$1001,$L418))</f>
        <v/>
      </c>
      <c r="K418" s="8" t="str">
        <f ca="1">IF($L418="","",INDEX('Veri Merkezi'!$U$2:$U$1001,$L418))</f>
        <v/>
      </c>
      <c r="L418" s="8" t="str">
        <f ca="1">IFERROR(MATCH(ROWS($L$4:L418),'Veri Merkezi'!$W$2:$W$1001,0),"")</f>
        <v/>
      </c>
    </row>
    <row r="419" spans="1:12" ht="20" customHeight="1">
      <c r="A419" s="8" t="str">
        <f ca="1">IF($L419="","",ROWS($A$4:A419))</f>
        <v/>
      </c>
      <c r="B419" s="8" t="str">
        <f ca="1">IF($L419="","",INDEX('Veri Merkezi'!$A$2:$A$1001,$L419))</f>
        <v/>
      </c>
      <c r="C419" s="8" t="str">
        <f ca="1">IF($L419="","",INDEX('Veri Merkezi'!$E$2:$E$1001,$L419))</f>
        <v/>
      </c>
      <c r="D419" s="8" t="str">
        <f ca="1">IF($L419="","",INDEX('Veri Merkezi'!$D$2:$D$1001,$L419))</f>
        <v/>
      </c>
      <c r="E419" s="8" t="str">
        <f ca="1">IF($L419="","",INDEX('Veri Merkezi'!$F$2:$F$1001,$L419))</f>
        <v/>
      </c>
      <c r="F419" s="9" t="str">
        <f ca="1">IF($L419="","",INDEX('Veri Merkezi'!$G$2:$G$1001,$L419))</f>
        <v/>
      </c>
      <c r="H419" s="8" t="str">
        <f ca="1">IF($L419="","",INDEX('Veri Merkezi'!$H$2:$H$1001,$L419))</f>
        <v/>
      </c>
      <c r="I419" s="10" t="str">
        <f ca="1">IF($L419="","",INDEX('Veri Merkezi'!$R$2:$R$1001,$L419))</f>
        <v/>
      </c>
      <c r="J419" s="8" t="str">
        <f ca="1">IF($L419="","",INDEX('Veri Merkezi'!$S$2:$S$1001,$L419))</f>
        <v/>
      </c>
      <c r="K419" s="8" t="str">
        <f ca="1">IF($L419="","",INDEX('Veri Merkezi'!$U$2:$U$1001,$L419))</f>
        <v/>
      </c>
      <c r="L419" s="8" t="str">
        <f ca="1">IFERROR(MATCH(ROWS($L$4:L419),'Veri Merkezi'!$W$2:$W$1001,0),"")</f>
        <v/>
      </c>
    </row>
    <row r="420" spans="1:12" ht="20" customHeight="1">
      <c r="A420" s="8" t="str">
        <f ca="1">IF($L420="","",ROWS($A$4:A420))</f>
        <v/>
      </c>
      <c r="B420" s="8" t="str">
        <f ca="1">IF($L420="","",INDEX('Veri Merkezi'!$A$2:$A$1001,$L420))</f>
        <v/>
      </c>
      <c r="C420" s="8" t="str">
        <f ca="1">IF($L420="","",INDEX('Veri Merkezi'!$E$2:$E$1001,$L420))</f>
        <v/>
      </c>
      <c r="D420" s="8" t="str">
        <f ca="1">IF($L420="","",INDEX('Veri Merkezi'!$D$2:$D$1001,$L420))</f>
        <v/>
      </c>
      <c r="E420" s="8" t="str">
        <f ca="1">IF($L420="","",INDEX('Veri Merkezi'!$F$2:$F$1001,$L420))</f>
        <v/>
      </c>
      <c r="F420" s="9" t="str">
        <f ca="1">IF($L420="","",INDEX('Veri Merkezi'!$G$2:$G$1001,$L420))</f>
        <v/>
      </c>
      <c r="H420" s="8" t="str">
        <f ca="1">IF($L420="","",INDEX('Veri Merkezi'!$H$2:$H$1001,$L420))</f>
        <v/>
      </c>
      <c r="I420" s="10" t="str">
        <f ca="1">IF($L420="","",INDEX('Veri Merkezi'!$R$2:$R$1001,$L420))</f>
        <v/>
      </c>
      <c r="J420" s="8" t="str">
        <f ca="1">IF($L420="","",INDEX('Veri Merkezi'!$S$2:$S$1001,$L420))</f>
        <v/>
      </c>
      <c r="K420" s="8" t="str">
        <f ca="1">IF($L420="","",INDEX('Veri Merkezi'!$U$2:$U$1001,$L420))</f>
        <v/>
      </c>
      <c r="L420" s="8" t="str">
        <f ca="1">IFERROR(MATCH(ROWS($L$4:L420),'Veri Merkezi'!$W$2:$W$1001,0),"")</f>
        <v/>
      </c>
    </row>
    <row r="421" spans="1:12" ht="20" customHeight="1">
      <c r="A421" s="8" t="str">
        <f ca="1">IF($L421="","",ROWS($A$4:A421))</f>
        <v/>
      </c>
      <c r="B421" s="8" t="str">
        <f ca="1">IF($L421="","",INDEX('Veri Merkezi'!$A$2:$A$1001,$L421))</f>
        <v/>
      </c>
      <c r="C421" s="8" t="str">
        <f ca="1">IF($L421="","",INDEX('Veri Merkezi'!$E$2:$E$1001,$L421))</f>
        <v/>
      </c>
      <c r="D421" s="8" t="str">
        <f ca="1">IF($L421="","",INDEX('Veri Merkezi'!$D$2:$D$1001,$L421))</f>
        <v/>
      </c>
      <c r="E421" s="8" t="str">
        <f ca="1">IF($L421="","",INDEX('Veri Merkezi'!$F$2:$F$1001,$L421))</f>
        <v/>
      </c>
      <c r="F421" s="9" t="str">
        <f ca="1">IF($L421="","",INDEX('Veri Merkezi'!$G$2:$G$1001,$L421))</f>
        <v/>
      </c>
      <c r="H421" s="8" t="str">
        <f ca="1">IF($L421="","",INDEX('Veri Merkezi'!$H$2:$H$1001,$L421))</f>
        <v/>
      </c>
      <c r="I421" s="10" t="str">
        <f ca="1">IF($L421="","",INDEX('Veri Merkezi'!$R$2:$R$1001,$L421))</f>
        <v/>
      </c>
      <c r="J421" s="8" t="str">
        <f ca="1">IF($L421="","",INDEX('Veri Merkezi'!$S$2:$S$1001,$L421))</f>
        <v/>
      </c>
      <c r="K421" s="8" t="str">
        <f ca="1">IF($L421="","",INDEX('Veri Merkezi'!$U$2:$U$1001,$L421))</f>
        <v/>
      </c>
      <c r="L421" s="8" t="str">
        <f ca="1">IFERROR(MATCH(ROWS($L$4:L421),'Veri Merkezi'!$W$2:$W$1001,0),"")</f>
        <v/>
      </c>
    </row>
    <row r="422" spans="1:12" ht="20" customHeight="1">
      <c r="A422" s="8" t="str">
        <f ca="1">IF($L422="","",ROWS($A$4:A422))</f>
        <v/>
      </c>
      <c r="B422" s="8" t="str">
        <f ca="1">IF($L422="","",INDEX('Veri Merkezi'!$A$2:$A$1001,$L422))</f>
        <v/>
      </c>
      <c r="C422" s="8" t="str">
        <f ca="1">IF($L422="","",INDEX('Veri Merkezi'!$E$2:$E$1001,$L422))</f>
        <v/>
      </c>
      <c r="D422" s="8" t="str">
        <f ca="1">IF($L422="","",INDEX('Veri Merkezi'!$D$2:$D$1001,$L422))</f>
        <v/>
      </c>
      <c r="E422" s="8" t="str">
        <f ca="1">IF($L422="","",INDEX('Veri Merkezi'!$F$2:$F$1001,$L422))</f>
        <v/>
      </c>
      <c r="F422" s="9" t="str">
        <f ca="1">IF($L422="","",INDEX('Veri Merkezi'!$G$2:$G$1001,$L422))</f>
        <v/>
      </c>
      <c r="H422" s="8" t="str">
        <f ca="1">IF($L422="","",INDEX('Veri Merkezi'!$H$2:$H$1001,$L422))</f>
        <v/>
      </c>
      <c r="I422" s="10" t="str">
        <f ca="1">IF($L422="","",INDEX('Veri Merkezi'!$R$2:$R$1001,$L422))</f>
        <v/>
      </c>
      <c r="J422" s="8" t="str">
        <f ca="1">IF($L422="","",INDEX('Veri Merkezi'!$S$2:$S$1001,$L422))</f>
        <v/>
      </c>
      <c r="K422" s="8" t="str">
        <f ca="1">IF($L422="","",INDEX('Veri Merkezi'!$U$2:$U$1001,$L422))</f>
        <v/>
      </c>
      <c r="L422" s="8" t="str">
        <f ca="1">IFERROR(MATCH(ROWS($L$4:L422),'Veri Merkezi'!$W$2:$W$1001,0),"")</f>
        <v/>
      </c>
    </row>
    <row r="423" spans="1:12" ht="20" customHeight="1">
      <c r="A423" s="8" t="str">
        <f ca="1">IF($L423="","",ROWS($A$4:A423))</f>
        <v/>
      </c>
      <c r="B423" s="8" t="str">
        <f ca="1">IF($L423="","",INDEX('Veri Merkezi'!$A$2:$A$1001,$L423))</f>
        <v/>
      </c>
      <c r="C423" s="8" t="str">
        <f ca="1">IF($L423="","",INDEX('Veri Merkezi'!$E$2:$E$1001,$L423))</f>
        <v/>
      </c>
      <c r="D423" s="8" t="str">
        <f ca="1">IF($L423="","",INDEX('Veri Merkezi'!$D$2:$D$1001,$L423))</f>
        <v/>
      </c>
      <c r="E423" s="8" t="str">
        <f ca="1">IF($L423="","",INDEX('Veri Merkezi'!$F$2:$F$1001,$L423))</f>
        <v/>
      </c>
      <c r="F423" s="9" t="str">
        <f ca="1">IF($L423="","",INDEX('Veri Merkezi'!$G$2:$G$1001,$L423))</f>
        <v/>
      </c>
      <c r="H423" s="8" t="str">
        <f ca="1">IF($L423="","",INDEX('Veri Merkezi'!$H$2:$H$1001,$L423))</f>
        <v/>
      </c>
      <c r="I423" s="10" t="str">
        <f ca="1">IF($L423="","",INDEX('Veri Merkezi'!$R$2:$R$1001,$L423))</f>
        <v/>
      </c>
      <c r="J423" s="8" t="str">
        <f ca="1">IF($L423="","",INDEX('Veri Merkezi'!$S$2:$S$1001,$L423))</f>
        <v/>
      </c>
      <c r="K423" s="8" t="str">
        <f ca="1">IF($L423="","",INDEX('Veri Merkezi'!$U$2:$U$1001,$L423))</f>
        <v/>
      </c>
      <c r="L423" s="8" t="str">
        <f ca="1">IFERROR(MATCH(ROWS($L$4:L423),'Veri Merkezi'!$W$2:$W$1001,0),"")</f>
        <v/>
      </c>
    </row>
    <row r="424" spans="1:12" ht="20" customHeight="1">
      <c r="A424" s="8" t="str">
        <f ca="1">IF($L424="","",ROWS($A$4:A424))</f>
        <v/>
      </c>
      <c r="B424" s="8" t="str">
        <f ca="1">IF($L424="","",INDEX('Veri Merkezi'!$A$2:$A$1001,$L424))</f>
        <v/>
      </c>
      <c r="C424" s="8" t="str">
        <f ca="1">IF($L424="","",INDEX('Veri Merkezi'!$E$2:$E$1001,$L424))</f>
        <v/>
      </c>
      <c r="D424" s="8" t="str">
        <f ca="1">IF($L424="","",INDEX('Veri Merkezi'!$D$2:$D$1001,$L424))</f>
        <v/>
      </c>
      <c r="E424" s="8" t="str">
        <f ca="1">IF($L424="","",INDEX('Veri Merkezi'!$F$2:$F$1001,$L424))</f>
        <v/>
      </c>
      <c r="F424" s="9" t="str">
        <f ca="1">IF($L424="","",INDEX('Veri Merkezi'!$G$2:$G$1001,$L424))</f>
        <v/>
      </c>
      <c r="H424" s="8" t="str">
        <f ca="1">IF($L424="","",INDEX('Veri Merkezi'!$H$2:$H$1001,$L424))</f>
        <v/>
      </c>
      <c r="I424" s="10" t="str">
        <f ca="1">IF($L424="","",INDEX('Veri Merkezi'!$R$2:$R$1001,$L424))</f>
        <v/>
      </c>
      <c r="J424" s="8" t="str">
        <f ca="1">IF($L424="","",INDEX('Veri Merkezi'!$S$2:$S$1001,$L424))</f>
        <v/>
      </c>
      <c r="K424" s="8" t="str">
        <f ca="1">IF($L424="","",INDEX('Veri Merkezi'!$U$2:$U$1001,$L424))</f>
        <v/>
      </c>
      <c r="L424" s="8" t="str">
        <f ca="1">IFERROR(MATCH(ROWS($L$4:L424),'Veri Merkezi'!$W$2:$W$1001,0),"")</f>
        <v/>
      </c>
    </row>
    <row r="425" spans="1:12" ht="20" customHeight="1">
      <c r="A425" s="8" t="str">
        <f ca="1">IF($L425="","",ROWS($A$4:A425))</f>
        <v/>
      </c>
      <c r="B425" s="8" t="str">
        <f ca="1">IF($L425="","",INDEX('Veri Merkezi'!$A$2:$A$1001,$L425))</f>
        <v/>
      </c>
      <c r="C425" s="8" t="str">
        <f ca="1">IF($L425="","",INDEX('Veri Merkezi'!$E$2:$E$1001,$L425))</f>
        <v/>
      </c>
      <c r="D425" s="8" t="str">
        <f ca="1">IF($L425="","",INDEX('Veri Merkezi'!$D$2:$D$1001,$L425))</f>
        <v/>
      </c>
      <c r="E425" s="8" t="str">
        <f ca="1">IF($L425="","",INDEX('Veri Merkezi'!$F$2:$F$1001,$L425))</f>
        <v/>
      </c>
      <c r="F425" s="9" t="str">
        <f ca="1">IF($L425="","",INDEX('Veri Merkezi'!$G$2:$G$1001,$L425))</f>
        <v/>
      </c>
      <c r="H425" s="8" t="str">
        <f ca="1">IF($L425="","",INDEX('Veri Merkezi'!$H$2:$H$1001,$L425))</f>
        <v/>
      </c>
      <c r="I425" s="10" t="str">
        <f ca="1">IF($L425="","",INDEX('Veri Merkezi'!$R$2:$R$1001,$L425))</f>
        <v/>
      </c>
      <c r="J425" s="8" t="str">
        <f ca="1">IF($L425="","",INDEX('Veri Merkezi'!$S$2:$S$1001,$L425))</f>
        <v/>
      </c>
      <c r="K425" s="8" t="str">
        <f ca="1">IF($L425="","",INDEX('Veri Merkezi'!$U$2:$U$1001,$L425))</f>
        <v/>
      </c>
      <c r="L425" s="8" t="str">
        <f ca="1">IFERROR(MATCH(ROWS($L$4:L425),'Veri Merkezi'!$W$2:$W$1001,0),"")</f>
        <v/>
      </c>
    </row>
    <row r="426" spans="1:12" ht="20" customHeight="1">
      <c r="A426" s="8" t="str">
        <f ca="1">IF($L426="","",ROWS($A$4:A426))</f>
        <v/>
      </c>
      <c r="B426" s="8" t="str">
        <f ca="1">IF($L426="","",INDEX('Veri Merkezi'!$A$2:$A$1001,$L426))</f>
        <v/>
      </c>
      <c r="C426" s="8" t="str">
        <f ca="1">IF($L426="","",INDEX('Veri Merkezi'!$E$2:$E$1001,$L426))</f>
        <v/>
      </c>
      <c r="D426" s="8" t="str">
        <f ca="1">IF($L426="","",INDEX('Veri Merkezi'!$D$2:$D$1001,$L426))</f>
        <v/>
      </c>
      <c r="E426" s="8" t="str">
        <f ca="1">IF($L426="","",INDEX('Veri Merkezi'!$F$2:$F$1001,$L426))</f>
        <v/>
      </c>
      <c r="F426" s="9" t="str">
        <f ca="1">IF($L426="","",INDEX('Veri Merkezi'!$G$2:$G$1001,$L426))</f>
        <v/>
      </c>
      <c r="H426" s="8" t="str">
        <f ca="1">IF($L426="","",INDEX('Veri Merkezi'!$H$2:$H$1001,$L426))</f>
        <v/>
      </c>
      <c r="I426" s="10" t="str">
        <f ca="1">IF($L426="","",INDEX('Veri Merkezi'!$R$2:$R$1001,$L426))</f>
        <v/>
      </c>
      <c r="J426" s="8" t="str">
        <f ca="1">IF($L426="","",INDEX('Veri Merkezi'!$S$2:$S$1001,$L426))</f>
        <v/>
      </c>
      <c r="K426" s="8" t="str">
        <f ca="1">IF($L426="","",INDEX('Veri Merkezi'!$U$2:$U$1001,$L426))</f>
        <v/>
      </c>
      <c r="L426" s="8" t="str">
        <f ca="1">IFERROR(MATCH(ROWS($L$4:L426),'Veri Merkezi'!$W$2:$W$1001,0),"")</f>
        <v/>
      </c>
    </row>
    <row r="427" spans="1:12" ht="20" customHeight="1">
      <c r="A427" s="8" t="str">
        <f ca="1">IF($L427="","",ROWS($A$4:A427))</f>
        <v/>
      </c>
      <c r="B427" s="8" t="str">
        <f ca="1">IF($L427="","",INDEX('Veri Merkezi'!$A$2:$A$1001,$L427))</f>
        <v/>
      </c>
      <c r="C427" s="8" t="str">
        <f ca="1">IF($L427="","",INDEX('Veri Merkezi'!$E$2:$E$1001,$L427))</f>
        <v/>
      </c>
      <c r="D427" s="8" t="str">
        <f ca="1">IF($L427="","",INDEX('Veri Merkezi'!$D$2:$D$1001,$L427))</f>
        <v/>
      </c>
      <c r="E427" s="8" t="str">
        <f ca="1">IF($L427="","",INDEX('Veri Merkezi'!$F$2:$F$1001,$L427))</f>
        <v/>
      </c>
      <c r="F427" s="9" t="str">
        <f ca="1">IF($L427="","",INDEX('Veri Merkezi'!$G$2:$G$1001,$L427))</f>
        <v/>
      </c>
      <c r="H427" s="8" t="str">
        <f ca="1">IF($L427="","",INDEX('Veri Merkezi'!$H$2:$H$1001,$L427))</f>
        <v/>
      </c>
      <c r="I427" s="10" t="str">
        <f ca="1">IF($L427="","",INDEX('Veri Merkezi'!$R$2:$R$1001,$L427))</f>
        <v/>
      </c>
      <c r="J427" s="8" t="str">
        <f ca="1">IF($L427="","",INDEX('Veri Merkezi'!$S$2:$S$1001,$L427))</f>
        <v/>
      </c>
      <c r="K427" s="8" t="str">
        <f ca="1">IF($L427="","",INDEX('Veri Merkezi'!$U$2:$U$1001,$L427))</f>
        <v/>
      </c>
      <c r="L427" s="8" t="str">
        <f ca="1">IFERROR(MATCH(ROWS($L$4:L427),'Veri Merkezi'!$W$2:$W$1001,0),"")</f>
        <v/>
      </c>
    </row>
    <row r="428" spans="1:12" ht="20" customHeight="1">
      <c r="A428" s="8" t="str">
        <f ca="1">IF($L428="","",ROWS($A$4:A428))</f>
        <v/>
      </c>
      <c r="B428" s="8" t="str">
        <f ca="1">IF($L428="","",INDEX('Veri Merkezi'!$A$2:$A$1001,$L428))</f>
        <v/>
      </c>
      <c r="C428" s="8" t="str">
        <f ca="1">IF($L428="","",INDEX('Veri Merkezi'!$E$2:$E$1001,$L428))</f>
        <v/>
      </c>
      <c r="D428" s="8" t="str">
        <f ca="1">IF($L428="","",INDEX('Veri Merkezi'!$D$2:$D$1001,$L428))</f>
        <v/>
      </c>
      <c r="E428" s="8" t="str">
        <f ca="1">IF($L428="","",INDEX('Veri Merkezi'!$F$2:$F$1001,$L428))</f>
        <v/>
      </c>
      <c r="F428" s="9" t="str">
        <f ca="1">IF($L428="","",INDEX('Veri Merkezi'!$G$2:$G$1001,$L428))</f>
        <v/>
      </c>
      <c r="H428" s="8" t="str">
        <f ca="1">IF($L428="","",INDEX('Veri Merkezi'!$H$2:$H$1001,$L428))</f>
        <v/>
      </c>
      <c r="I428" s="10" t="str">
        <f ca="1">IF($L428="","",INDEX('Veri Merkezi'!$R$2:$R$1001,$L428))</f>
        <v/>
      </c>
      <c r="J428" s="8" t="str">
        <f ca="1">IF($L428="","",INDEX('Veri Merkezi'!$S$2:$S$1001,$L428))</f>
        <v/>
      </c>
      <c r="K428" s="8" t="str">
        <f ca="1">IF($L428="","",INDEX('Veri Merkezi'!$U$2:$U$1001,$L428))</f>
        <v/>
      </c>
      <c r="L428" s="8" t="str">
        <f ca="1">IFERROR(MATCH(ROWS($L$4:L428),'Veri Merkezi'!$W$2:$W$1001,0),"")</f>
        <v/>
      </c>
    </row>
    <row r="429" spans="1:12" ht="20" customHeight="1">
      <c r="A429" s="8" t="str">
        <f ca="1">IF($L429="","",ROWS($A$4:A429))</f>
        <v/>
      </c>
      <c r="B429" s="8" t="str">
        <f ca="1">IF($L429="","",INDEX('Veri Merkezi'!$A$2:$A$1001,$L429))</f>
        <v/>
      </c>
      <c r="C429" s="8" t="str">
        <f ca="1">IF($L429="","",INDEX('Veri Merkezi'!$E$2:$E$1001,$L429))</f>
        <v/>
      </c>
      <c r="D429" s="8" t="str">
        <f ca="1">IF($L429="","",INDEX('Veri Merkezi'!$D$2:$D$1001,$L429))</f>
        <v/>
      </c>
      <c r="E429" s="8" t="str">
        <f ca="1">IF($L429="","",INDEX('Veri Merkezi'!$F$2:$F$1001,$L429))</f>
        <v/>
      </c>
      <c r="F429" s="9" t="str">
        <f ca="1">IF($L429="","",INDEX('Veri Merkezi'!$G$2:$G$1001,$L429))</f>
        <v/>
      </c>
      <c r="H429" s="8" t="str">
        <f ca="1">IF($L429="","",INDEX('Veri Merkezi'!$H$2:$H$1001,$L429))</f>
        <v/>
      </c>
      <c r="I429" s="10" t="str">
        <f ca="1">IF($L429="","",INDEX('Veri Merkezi'!$R$2:$R$1001,$L429))</f>
        <v/>
      </c>
      <c r="J429" s="8" t="str">
        <f ca="1">IF($L429="","",INDEX('Veri Merkezi'!$S$2:$S$1001,$L429))</f>
        <v/>
      </c>
      <c r="K429" s="8" t="str">
        <f ca="1">IF($L429="","",INDEX('Veri Merkezi'!$U$2:$U$1001,$L429))</f>
        <v/>
      </c>
      <c r="L429" s="8" t="str">
        <f ca="1">IFERROR(MATCH(ROWS($L$4:L429),'Veri Merkezi'!$W$2:$W$1001,0),"")</f>
        <v/>
      </c>
    </row>
    <row r="430" spans="1:12" ht="20" customHeight="1">
      <c r="A430" s="8" t="str">
        <f ca="1">IF($L430="","",ROWS($A$4:A430))</f>
        <v/>
      </c>
      <c r="B430" s="8" t="str">
        <f ca="1">IF($L430="","",INDEX('Veri Merkezi'!$A$2:$A$1001,$L430))</f>
        <v/>
      </c>
      <c r="C430" s="8" t="str">
        <f ca="1">IF($L430="","",INDEX('Veri Merkezi'!$E$2:$E$1001,$L430))</f>
        <v/>
      </c>
      <c r="D430" s="8" t="str">
        <f ca="1">IF($L430="","",INDEX('Veri Merkezi'!$D$2:$D$1001,$L430))</f>
        <v/>
      </c>
      <c r="E430" s="8" t="str">
        <f ca="1">IF($L430="","",INDEX('Veri Merkezi'!$F$2:$F$1001,$L430))</f>
        <v/>
      </c>
      <c r="F430" s="9" t="str">
        <f ca="1">IF($L430="","",INDEX('Veri Merkezi'!$G$2:$G$1001,$L430))</f>
        <v/>
      </c>
      <c r="H430" s="8" t="str">
        <f ca="1">IF($L430="","",INDEX('Veri Merkezi'!$H$2:$H$1001,$L430))</f>
        <v/>
      </c>
      <c r="I430" s="10" t="str">
        <f ca="1">IF($L430="","",INDEX('Veri Merkezi'!$R$2:$R$1001,$L430))</f>
        <v/>
      </c>
      <c r="J430" s="8" t="str">
        <f ca="1">IF($L430="","",INDEX('Veri Merkezi'!$S$2:$S$1001,$L430))</f>
        <v/>
      </c>
      <c r="K430" s="8" t="str">
        <f ca="1">IF($L430="","",INDEX('Veri Merkezi'!$U$2:$U$1001,$L430))</f>
        <v/>
      </c>
      <c r="L430" s="8" t="str">
        <f ca="1">IFERROR(MATCH(ROWS($L$4:L430),'Veri Merkezi'!$W$2:$W$1001,0),"")</f>
        <v/>
      </c>
    </row>
    <row r="431" spans="1:12" ht="20" customHeight="1">
      <c r="A431" s="8" t="str">
        <f ca="1">IF($L431="","",ROWS($A$4:A431))</f>
        <v/>
      </c>
      <c r="B431" s="8" t="str">
        <f ca="1">IF($L431="","",INDEX('Veri Merkezi'!$A$2:$A$1001,$L431))</f>
        <v/>
      </c>
      <c r="C431" s="8" t="str">
        <f ca="1">IF($L431="","",INDEX('Veri Merkezi'!$E$2:$E$1001,$L431))</f>
        <v/>
      </c>
      <c r="D431" s="8" t="str">
        <f ca="1">IF($L431="","",INDEX('Veri Merkezi'!$D$2:$D$1001,$L431))</f>
        <v/>
      </c>
      <c r="E431" s="8" t="str">
        <f ca="1">IF($L431="","",INDEX('Veri Merkezi'!$F$2:$F$1001,$L431))</f>
        <v/>
      </c>
      <c r="F431" s="9" t="str">
        <f ca="1">IF($L431="","",INDEX('Veri Merkezi'!$G$2:$G$1001,$L431))</f>
        <v/>
      </c>
      <c r="H431" s="8" t="str">
        <f ca="1">IF($L431="","",INDEX('Veri Merkezi'!$H$2:$H$1001,$L431))</f>
        <v/>
      </c>
      <c r="I431" s="10" t="str">
        <f ca="1">IF($L431="","",INDEX('Veri Merkezi'!$R$2:$R$1001,$L431))</f>
        <v/>
      </c>
      <c r="J431" s="8" t="str">
        <f ca="1">IF($L431="","",INDEX('Veri Merkezi'!$S$2:$S$1001,$L431))</f>
        <v/>
      </c>
      <c r="K431" s="8" t="str">
        <f ca="1">IF($L431="","",INDEX('Veri Merkezi'!$U$2:$U$1001,$L431))</f>
        <v/>
      </c>
      <c r="L431" s="8" t="str">
        <f ca="1">IFERROR(MATCH(ROWS($L$4:L431),'Veri Merkezi'!$W$2:$W$1001,0),"")</f>
        <v/>
      </c>
    </row>
    <row r="432" spans="1:12" ht="20" customHeight="1">
      <c r="A432" s="8" t="str">
        <f ca="1">IF($L432="","",ROWS($A$4:A432))</f>
        <v/>
      </c>
      <c r="B432" s="8" t="str">
        <f ca="1">IF($L432="","",INDEX('Veri Merkezi'!$A$2:$A$1001,$L432))</f>
        <v/>
      </c>
      <c r="C432" s="8" t="str">
        <f ca="1">IF($L432="","",INDEX('Veri Merkezi'!$E$2:$E$1001,$L432))</f>
        <v/>
      </c>
      <c r="D432" s="8" t="str">
        <f ca="1">IF($L432="","",INDEX('Veri Merkezi'!$D$2:$D$1001,$L432))</f>
        <v/>
      </c>
      <c r="E432" s="8" t="str">
        <f ca="1">IF($L432="","",INDEX('Veri Merkezi'!$F$2:$F$1001,$L432))</f>
        <v/>
      </c>
      <c r="F432" s="9" t="str">
        <f ca="1">IF($L432="","",INDEX('Veri Merkezi'!$G$2:$G$1001,$L432))</f>
        <v/>
      </c>
      <c r="H432" s="8" t="str">
        <f ca="1">IF($L432="","",INDEX('Veri Merkezi'!$H$2:$H$1001,$L432))</f>
        <v/>
      </c>
      <c r="I432" s="10" t="str">
        <f ca="1">IF($L432="","",INDEX('Veri Merkezi'!$R$2:$R$1001,$L432))</f>
        <v/>
      </c>
      <c r="J432" s="8" t="str">
        <f ca="1">IF($L432="","",INDEX('Veri Merkezi'!$S$2:$S$1001,$L432))</f>
        <v/>
      </c>
      <c r="K432" s="8" t="str">
        <f ca="1">IF($L432="","",INDEX('Veri Merkezi'!$U$2:$U$1001,$L432))</f>
        <v/>
      </c>
      <c r="L432" s="8" t="str">
        <f ca="1">IFERROR(MATCH(ROWS($L$4:L432),'Veri Merkezi'!$W$2:$W$1001,0),"")</f>
        <v/>
      </c>
    </row>
    <row r="433" spans="1:12" ht="20" customHeight="1">
      <c r="A433" s="8" t="str">
        <f ca="1">IF($L433="","",ROWS($A$4:A433))</f>
        <v/>
      </c>
      <c r="B433" s="8" t="str">
        <f ca="1">IF($L433="","",INDEX('Veri Merkezi'!$A$2:$A$1001,$L433))</f>
        <v/>
      </c>
      <c r="C433" s="8" t="str">
        <f ca="1">IF($L433="","",INDEX('Veri Merkezi'!$E$2:$E$1001,$L433))</f>
        <v/>
      </c>
      <c r="D433" s="8" t="str">
        <f ca="1">IF($L433="","",INDEX('Veri Merkezi'!$D$2:$D$1001,$L433))</f>
        <v/>
      </c>
      <c r="E433" s="8" t="str">
        <f ca="1">IF($L433="","",INDEX('Veri Merkezi'!$F$2:$F$1001,$L433))</f>
        <v/>
      </c>
      <c r="F433" s="9" t="str">
        <f ca="1">IF($L433="","",INDEX('Veri Merkezi'!$G$2:$G$1001,$L433))</f>
        <v/>
      </c>
      <c r="H433" s="8" t="str">
        <f ca="1">IF($L433="","",INDEX('Veri Merkezi'!$H$2:$H$1001,$L433))</f>
        <v/>
      </c>
      <c r="I433" s="10" t="str">
        <f ca="1">IF($L433="","",INDEX('Veri Merkezi'!$R$2:$R$1001,$L433))</f>
        <v/>
      </c>
      <c r="J433" s="8" t="str">
        <f ca="1">IF($L433="","",INDEX('Veri Merkezi'!$S$2:$S$1001,$L433))</f>
        <v/>
      </c>
      <c r="K433" s="8" t="str">
        <f ca="1">IF($L433="","",INDEX('Veri Merkezi'!$U$2:$U$1001,$L433))</f>
        <v/>
      </c>
      <c r="L433" s="8" t="str">
        <f ca="1">IFERROR(MATCH(ROWS($L$4:L433),'Veri Merkezi'!$W$2:$W$1001,0),"")</f>
        <v/>
      </c>
    </row>
    <row r="434" spans="1:12" ht="20" customHeight="1">
      <c r="A434" s="8" t="str">
        <f ca="1">IF($L434="","",ROWS($A$4:A434))</f>
        <v/>
      </c>
      <c r="B434" s="8" t="str">
        <f ca="1">IF($L434="","",INDEX('Veri Merkezi'!$A$2:$A$1001,$L434))</f>
        <v/>
      </c>
      <c r="C434" s="8" t="str">
        <f ca="1">IF($L434="","",INDEX('Veri Merkezi'!$E$2:$E$1001,$L434))</f>
        <v/>
      </c>
      <c r="D434" s="8" t="str">
        <f ca="1">IF($L434="","",INDEX('Veri Merkezi'!$D$2:$D$1001,$L434))</f>
        <v/>
      </c>
      <c r="E434" s="8" t="str">
        <f ca="1">IF($L434="","",INDEX('Veri Merkezi'!$F$2:$F$1001,$L434))</f>
        <v/>
      </c>
      <c r="F434" s="9" t="str">
        <f ca="1">IF($L434="","",INDEX('Veri Merkezi'!$G$2:$G$1001,$L434))</f>
        <v/>
      </c>
      <c r="H434" s="8" t="str">
        <f ca="1">IF($L434="","",INDEX('Veri Merkezi'!$H$2:$H$1001,$L434))</f>
        <v/>
      </c>
      <c r="I434" s="10" t="str">
        <f ca="1">IF($L434="","",INDEX('Veri Merkezi'!$R$2:$R$1001,$L434))</f>
        <v/>
      </c>
      <c r="J434" s="8" t="str">
        <f ca="1">IF($L434="","",INDEX('Veri Merkezi'!$S$2:$S$1001,$L434))</f>
        <v/>
      </c>
      <c r="K434" s="8" t="str">
        <f ca="1">IF($L434="","",INDEX('Veri Merkezi'!$U$2:$U$1001,$L434))</f>
        <v/>
      </c>
      <c r="L434" s="8" t="str">
        <f ca="1">IFERROR(MATCH(ROWS($L$4:L434),'Veri Merkezi'!$W$2:$W$1001,0),"")</f>
        <v/>
      </c>
    </row>
    <row r="435" spans="1:12" ht="20" customHeight="1">
      <c r="A435" s="8" t="str">
        <f ca="1">IF($L435="","",ROWS($A$4:A435))</f>
        <v/>
      </c>
      <c r="B435" s="8" t="str">
        <f ca="1">IF($L435="","",INDEX('Veri Merkezi'!$A$2:$A$1001,$L435))</f>
        <v/>
      </c>
      <c r="C435" s="8" t="str">
        <f ca="1">IF($L435="","",INDEX('Veri Merkezi'!$E$2:$E$1001,$L435))</f>
        <v/>
      </c>
      <c r="D435" s="8" t="str">
        <f ca="1">IF($L435="","",INDEX('Veri Merkezi'!$D$2:$D$1001,$L435))</f>
        <v/>
      </c>
      <c r="E435" s="8" t="str">
        <f ca="1">IF($L435="","",INDEX('Veri Merkezi'!$F$2:$F$1001,$L435))</f>
        <v/>
      </c>
      <c r="F435" s="9" t="str">
        <f ca="1">IF($L435="","",INDEX('Veri Merkezi'!$G$2:$G$1001,$L435))</f>
        <v/>
      </c>
      <c r="H435" s="8" t="str">
        <f ca="1">IF($L435="","",INDEX('Veri Merkezi'!$H$2:$H$1001,$L435))</f>
        <v/>
      </c>
      <c r="I435" s="10" t="str">
        <f ca="1">IF($L435="","",INDEX('Veri Merkezi'!$R$2:$R$1001,$L435))</f>
        <v/>
      </c>
      <c r="J435" s="8" t="str">
        <f ca="1">IF($L435="","",INDEX('Veri Merkezi'!$S$2:$S$1001,$L435))</f>
        <v/>
      </c>
      <c r="K435" s="8" t="str">
        <f ca="1">IF($L435="","",INDEX('Veri Merkezi'!$U$2:$U$1001,$L435))</f>
        <v/>
      </c>
      <c r="L435" s="8" t="str">
        <f ca="1">IFERROR(MATCH(ROWS($L$4:L435),'Veri Merkezi'!$W$2:$W$1001,0),"")</f>
        <v/>
      </c>
    </row>
    <row r="436" spans="1:12" ht="20" customHeight="1">
      <c r="A436" s="8" t="str">
        <f ca="1">IF($L436="","",ROWS($A$4:A436))</f>
        <v/>
      </c>
      <c r="B436" s="8" t="str">
        <f ca="1">IF($L436="","",INDEX('Veri Merkezi'!$A$2:$A$1001,$L436))</f>
        <v/>
      </c>
      <c r="C436" s="8" t="str">
        <f ca="1">IF($L436="","",INDEX('Veri Merkezi'!$E$2:$E$1001,$L436))</f>
        <v/>
      </c>
      <c r="D436" s="8" t="str">
        <f ca="1">IF($L436="","",INDEX('Veri Merkezi'!$D$2:$D$1001,$L436))</f>
        <v/>
      </c>
      <c r="E436" s="8" t="str">
        <f ca="1">IF($L436="","",INDEX('Veri Merkezi'!$F$2:$F$1001,$L436))</f>
        <v/>
      </c>
      <c r="F436" s="9" t="str">
        <f ca="1">IF($L436="","",INDEX('Veri Merkezi'!$G$2:$G$1001,$L436))</f>
        <v/>
      </c>
      <c r="H436" s="8" t="str">
        <f ca="1">IF($L436="","",INDEX('Veri Merkezi'!$H$2:$H$1001,$L436))</f>
        <v/>
      </c>
      <c r="I436" s="10" t="str">
        <f ca="1">IF($L436="","",INDEX('Veri Merkezi'!$R$2:$R$1001,$L436))</f>
        <v/>
      </c>
      <c r="J436" s="8" t="str">
        <f ca="1">IF($L436="","",INDEX('Veri Merkezi'!$S$2:$S$1001,$L436))</f>
        <v/>
      </c>
      <c r="K436" s="8" t="str">
        <f ca="1">IF($L436="","",INDEX('Veri Merkezi'!$U$2:$U$1001,$L436))</f>
        <v/>
      </c>
      <c r="L436" s="8" t="str">
        <f ca="1">IFERROR(MATCH(ROWS($L$4:L436),'Veri Merkezi'!$W$2:$W$1001,0),"")</f>
        <v/>
      </c>
    </row>
    <row r="437" spans="1:12" ht="20" customHeight="1">
      <c r="A437" s="8" t="str">
        <f ca="1">IF($L437="","",ROWS($A$4:A437))</f>
        <v/>
      </c>
      <c r="B437" s="8" t="str">
        <f ca="1">IF($L437="","",INDEX('Veri Merkezi'!$A$2:$A$1001,$L437))</f>
        <v/>
      </c>
      <c r="C437" s="8" t="str">
        <f ca="1">IF($L437="","",INDEX('Veri Merkezi'!$E$2:$E$1001,$L437))</f>
        <v/>
      </c>
      <c r="D437" s="8" t="str">
        <f ca="1">IF($L437="","",INDEX('Veri Merkezi'!$D$2:$D$1001,$L437))</f>
        <v/>
      </c>
      <c r="E437" s="8" t="str">
        <f ca="1">IF($L437="","",INDEX('Veri Merkezi'!$F$2:$F$1001,$L437))</f>
        <v/>
      </c>
      <c r="F437" s="9" t="str">
        <f ca="1">IF($L437="","",INDEX('Veri Merkezi'!$G$2:$G$1001,$L437))</f>
        <v/>
      </c>
      <c r="H437" s="8" t="str">
        <f ca="1">IF($L437="","",INDEX('Veri Merkezi'!$H$2:$H$1001,$L437))</f>
        <v/>
      </c>
      <c r="I437" s="10" t="str">
        <f ca="1">IF($L437="","",INDEX('Veri Merkezi'!$R$2:$R$1001,$L437))</f>
        <v/>
      </c>
      <c r="J437" s="8" t="str">
        <f ca="1">IF($L437="","",INDEX('Veri Merkezi'!$S$2:$S$1001,$L437))</f>
        <v/>
      </c>
      <c r="K437" s="8" t="str">
        <f ca="1">IF($L437="","",INDEX('Veri Merkezi'!$U$2:$U$1001,$L437))</f>
        <v/>
      </c>
      <c r="L437" s="8" t="str">
        <f ca="1">IFERROR(MATCH(ROWS($L$4:L437),'Veri Merkezi'!$W$2:$W$1001,0),"")</f>
        <v/>
      </c>
    </row>
    <row r="438" spans="1:12" ht="20" customHeight="1">
      <c r="A438" s="8" t="str">
        <f ca="1">IF($L438="","",ROWS($A$4:A438))</f>
        <v/>
      </c>
      <c r="B438" s="8" t="str">
        <f ca="1">IF($L438="","",INDEX('Veri Merkezi'!$A$2:$A$1001,$L438))</f>
        <v/>
      </c>
      <c r="C438" s="8" t="str">
        <f ca="1">IF($L438="","",INDEX('Veri Merkezi'!$E$2:$E$1001,$L438))</f>
        <v/>
      </c>
      <c r="D438" s="8" t="str">
        <f ca="1">IF($L438="","",INDEX('Veri Merkezi'!$D$2:$D$1001,$L438))</f>
        <v/>
      </c>
      <c r="E438" s="8" t="str">
        <f ca="1">IF($L438="","",INDEX('Veri Merkezi'!$F$2:$F$1001,$L438))</f>
        <v/>
      </c>
      <c r="F438" s="9" t="str">
        <f ca="1">IF($L438="","",INDEX('Veri Merkezi'!$G$2:$G$1001,$L438))</f>
        <v/>
      </c>
      <c r="H438" s="8" t="str">
        <f ca="1">IF($L438="","",INDEX('Veri Merkezi'!$H$2:$H$1001,$L438))</f>
        <v/>
      </c>
      <c r="I438" s="10" t="str">
        <f ca="1">IF($L438="","",INDEX('Veri Merkezi'!$R$2:$R$1001,$L438))</f>
        <v/>
      </c>
      <c r="J438" s="8" t="str">
        <f ca="1">IF($L438="","",INDEX('Veri Merkezi'!$S$2:$S$1001,$L438))</f>
        <v/>
      </c>
      <c r="K438" s="8" t="str">
        <f ca="1">IF($L438="","",INDEX('Veri Merkezi'!$U$2:$U$1001,$L438))</f>
        <v/>
      </c>
      <c r="L438" s="8" t="str">
        <f ca="1">IFERROR(MATCH(ROWS($L$4:L438),'Veri Merkezi'!$W$2:$W$1001,0),"")</f>
        <v/>
      </c>
    </row>
    <row r="439" spans="1:12" ht="20" customHeight="1">
      <c r="A439" s="8" t="str">
        <f ca="1">IF($L439="","",ROWS($A$4:A439))</f>
        <v/>
      </c>
      <c r="B439" s="8" t="str">
        <f ca="1">IF($L439="","",INDEX('Veri Merkezi'!$A$2:$A$1001,$L439))</f>
        <v/>
      </c>
      <c r="C439" s="8" t="str">
        <f ca="1">IF($L439="","",INDEX('Veri Merkezi'!$E$2:$E$1001,$L439))</f>
        <v/>
      </c>
      <c r="D439" s="8" t="str">
        <f ca="1">IF($L439="","",INDEX('Veri Merkezi'!$D$2:$D$1001,$L439))</f>
        <v/>
      </c>
      <c r="E439" s="8" t="str">
        <f ca="1">IF($L439="","",INDEX('Veri Merkezi'!$F$2:$F$1001,$L439))</f>
        <v/>
      </c>
      <c r="F439" s="9" t="str">
        <f ca="1">IF($L439="","",INDEX('Veri Merkezi'!$G$2:$G$1001,$L439))</f>
        <v/>
      </c>
      <c r="H439" s="8" t="str">
        <f ca="1">IF($L439="","",INDEX('Veri Merkezi'!$H$2:$H$1001,$L439))</f>
        <v/>
      </c>
      <c r="I439" s="10" t="str">
        <f ca="1">IF($L439="","",INDEX('Veri Merkezi'!$R$2:$R$1001,$L439))</f>
        <v/>
      </c>
      <c r="J439" s="8" t="str">
        <f ca="1">IF($L439="","",INDEX('Veri Merkezi'!$S$2:$S$1001,$L439))</f>
        <v/>
      </c>
      <c r="K439" s="8" t="str">
        <f ca="1">IF($L439="","",INDEX('Veri Merkezi'!$U$2:$U$1001,$L439))</f>
        <v/>
      </c>
      <c r="L439" s="8" t="str">
        <f ca="1">IFERROR(MATCH(ROWS($L$4:L439),'Veri Merkezi'!$W$2:$W$1001,0),"")</f>
        <v/>
      </c>
    </row>
    <row r="440" spans="1:12" ht="20" customHeight="1">
      <c r="A440" s="8" t="str">
        <f ca="1">IF($L440="","",ROWS($A$4:A440))</f>
        <v/>
      </c>
      <c r="B440" s="8" t="str">
        <f ca="1">IF($L440="","",INDEX('Veri Merkezi'!$A$2:$A$1001,$L440))</f>
        <v/>
      </c>
      <c r="C440" s="8" t="str">
        <f ca="1">IF($L440="","",INDEX('Veri Merkezi'!$E$2:$E$1001,$L440))</f>
        <v/>
      </c>
      <c r="D440" s="8" t="str">
        <f ca="1">IF($L440="","",INDEX('Veri Merkezi'!$D$2:$D$1001,$L440))</f>
        <v/>
      </c>
      <c r="E440" s="8" t="str">
        <f ca="1">IF($L440="","",INDEX('Veri Merkezi'!$F$2:$F$1001,$L440))</f>
        <v/>
      </c>
      <c r="F440" s="9" t="str">
        <f ca="1">IF($L440="","",INDEX('Veri Merkezi'!$G$2:$G$1001,$L440))</f>
        <v/>
      </c>
      <c r="H440" s="8" t="str">
        <f ca="1">IF($L440="","",INDEX('Veri Merkezi'!$H$2:$H$1001,$L440))</f>
        <v/>
      </c>
      <c r="I440" s="10" t="str">
        <f ca="1">IF($L440="","",INDEX('Veri Merkezi'!$R$2:$R$1001,$L440))</f>
        <v/>
      </c>
      <c r="J440" s="8" t="str">
        <f ca="1">IF($L440="","",INDEX('Veri Merkezi'!$S$2:$S$1001,$L440))</f>
        <v/>
      </c>
      <c r="K440" s="8" t="str">
        <f ca="1">IF($L440="","",INDEX('Veri Merkezi'!$U$2:$U$1001,$L440))</f>
        <v/>
      </c>
      <c r="L440" s="8" t="str">
        <f ca="1">IFERROR(MATCH(ROWS($L$4:L440),'Veri Merkezi'!$W$2:$W$1001,0),"")</f>
        <v/>
      </c>
    </row>
    <row r="441" spans="1:12" ht="20" customHeight="1">
      <c r="A441" s="8" t="str">
        <f ca="1">IF($L441="","",ROWS($A$4:A441))</f>
        <v/>
      </c>
      <c r="B441" s="8" t="str">
        <f ca="1">IF($L441="","",INDEX('Veri Merkezi'!$A$2:$A$1001,$L441))</f>
        <v/>
      </c>
      <c r="C441" s="8" t="str">
        <f ca="1">IF($L441="","",INDEX('Veri Merkezi'!$E$2:$E$1001,$L441))</f>
        <v/>
      </c>
      <c r="D441" s="8" t="str">
        <f ca="1">IF($L441="","",INDEX('Veri Merkezi'!$D$2:$D$1001,$L441))</f>
        <v/>
      </c>
      <c r="E441" s="8" t="str">
        <f ca="1">IF($L441="","",INDEX('Veri Merkezi'!$F$2:$F$1001,$L441))</f>
        <v/>
      </c>
      <c r="F441" s="9" t="str">
        <f ca="1">IF($L441="","",INDEX('Veri Merkezi'!$G$2:$G$1001,$L441))</f>
        <v/>
      </c>
      <c r="H441" s="8" t="str">
        <f ca="1">IF($L441="","",INDEX('Veri Merkezi'!$H$2:$H$1001,$L441))</f>
        <v/>
      </c>
      <c r="I441" s="10" t="str">
        <f ca="1">IF($L441="","",INDEX('Veri Merkezi'!$R$2:$R$1001,$L441))</f>
        <v/>
      </c>
      <c r="J441" s="8" t="str">
        <f ca="1">IF($L441="","",INDEX('Veri Merkezi'!$S$2:$S$1001,$L441))</f>
        <v/>
      </c>
      <c r="K441" s="8" t="str">
        <f ca="1">IF($L441="","",INDEX('Veri Merkezi'!$U$2:$U$1001,$L441))</f>
        <v/>
      </c>
      <c r="L441" s="8" t="str">
        <f ca="1">IFERROR(MATCH(ROWS($L$4:L441),'Veri Merkezi'!$W$2:$W$1001,0),"")</f>
        <v/>
      </c>
    </row>
    <row r="442" spans="1:12" ht="20" customHeight="1">
      <c r="A442" s="8" t="str">
        <f ca="1">IF($L442="","",ROWS($A$4:A442))</f>
        <v/>
      </c>
      <c r="B442" s="8" t="str">
        <f ca="1">IF($L442="","",INDEX('Veri Merkezi'!$A$2:$A$1001,$L442))</f>
        <v/>
      </c>
      <c r="C442" s="8" t="str">
        <f ca="1">IF($L442="","",INDEX('Veri Merkezi'!$E$2:$E$1001,$L442))</f>
        <v/>
      </c>
      <c r="D442" s="8" t="str">
        <f ca="1">IF($L442="","",INDEX('Veri Merkezi'!$D$2:$D$1001,$L442))</f>
        <v/>
      </c>
      <c r="E442" s="8" t="str">
        <f ca="1">IF($L442="","",INDEX('Veri Merkezi'!$F$2:$F$1001,$L442))</f>
        <v/>
      </c>
      <c r="F442" s="9" t="str">
        <f ca="1">IF($L442="","",INDEX('Veri Merkezi'!$G$2:$G$1001,$L442))</f>
        <v/>
      </c>
      <c r="H442" s="8" t="str">
        <f ca="1">IF($L442="","",INDEX('Veri Merkezi'!$H$2:$H$1001,$L442))</f>
        <v/>
      </c>
      <c r="I442" s="10" t="str">
        <f ca="1">IF($L442="","",INDEX('Veri Merkezi'!$R$2:$R$1001,$L442))</f>
        <v/>
      </c>
      <c r="J442" s="8" t="str">
        <f ca="1">IF($L442="","",INDEX('Veri Merkezi'!$S$2:$S$1001,$L442))</f>
        <v/>
      </c>
      <c r="K442" s="8" t="str">
        <f ca="1">IF($L442="","",INDEX('Veri Merkezi'!$U$2:$U$1001,$L442))</f>
        <v/>
      </c>
      <c r="L442" s="8" t="str">
        <f ca="1">IFERROR(MATCH(ROWS($L$4:L442),'Veri Merkezi'!$W$2:$W$1001,0),"")</f>
        <v/>
      </c>
    </row>
    <row r="443" spans="1:12" ht="20" customHeight="1">
      <c r="A443" s="8" t="str">
        <f ca="1">IF($L443="","",ROWS($A$4:A443))</f>
        <v/>
      </c>
      <c r="B443" s="8" t="str">
        <f ca="1">IF($L443="","",INDEX('Veri Merkezi'!$A$2:$A$1001,$L443))</f>
        <v/>
      </c>
      <c r="C443" s="8" t="str">
        <f ca="1">IF($L443="","",INDEX('Veri Merkezi'!$E$2:$E$1001,$L443))</f>
        <v/>
      </c>
      <c r="D443" s="8" t="str">
        <f ca="1">IF($L443="","",INDEX('Veri Merkezi'!$D$2:$D$1001,$L443))</f>
        <v/>
      </c>
      <c r="E443" s="8" t="str">
        <f ca="1">IF($L443="","",INDEX('Veri Merkezi'!$F$2:$F$1001,$L443))</f>
        <v/>
      </c>
      <c r="F443" s="9" t="str">
        <f ca="1">IF($L443="","",INDEX('Veri Merkezi'!$G$2:$G$1001,$L443))</f>
        <v/>
      </c>
      <c r="H443" s="8" t="str">
        <f ca="1">IF($L443="","",INDEX('Veri Merkezi'!$H$2:$H$1001,$L443))</f>
        <v/>
      </c>
      <c r="I443" s="10" t="str">
        <f ca="1">IF($L443="","",INDEX('Veri Merkezi'!$R$2:$R$1001,$L443))</f>
        <v/>
      </c>
      <c r="J443" s="8" t="str">
        <f ca="1">IF($L443="","",INDEX('Veri Merkezi'!$S$2:$S$1001,$L443))</f>
        <v/>
      </c>
      <c r="K443" s="8" t="str">
        <f ca="1">IF($L443="","",INDEX('Veri Merkezi'!$U$2:$U$1001,$L443))</f>
        <v/>
      </c>
      <c r="L443" s="8" t="str">
        <f ca="1">IFERROR(MATCH(ROWS($L$4:L443),'Veri Merkezi'!$W$2:$W$1001,0),"")</f>
        <v/>
      </c>
    </row>
    <row r="444" spans="1:12" ht="20" customHeight="1">
      <c r="A444" s="8" t="str">
        <f ca="1">IF($L444="","",ROWS($A$4:A444))</f>
        <v/>
      </c>
      <c r="B444" s="8" t="str">
        <f ca="1">IF($L444="","",INDEX('Veri Merkezi'!$A$2:$A$1001,$L444))</f>
        <v/>
      </c>
      <c r="C444" s="8" t="str">
        <f ca="1">IF($L444="","",INDEX('Veri Merkezi'!$E$2:$E$1001,$L444))</f>
        <v/>
      </c>
      <c r="D444" s="8" t="str">
        <f ca="1">IF($L444="","",INDEX('Veri Merkezi'!$D$2:$D$1001,$L444))</f>
        <v/>
      </c>
      <c r="E444" s="8" t="str">
        <f ca="1">IF($L444="","",INDEX('Veri Merkezi'!$F$2:$F$1001,$L444))</f>
        <v/>
      </c>
      <c r="F444" s="9" t="str">
        <f ca="1">IF($L444="","",INDEX('Veri Merkezi'!$G$2:$G$1001,$L444))</f>
        <v/>
      </c>
      <c r="H444" s="8" t="str">
        <f ca="1">IF($L444="","",INDEX('Veri Merkezi'!$H$2:$H$1001,$L444))</f>
        <v/>
      </c>
      <c r="I444" s="10" t="str">
        <f ca="1">IF($L444="","",INDEX('Veri Merkezi'!$R$2:$R$1001,$L444))</f>
        <v/>
      </c>
      <c r="J444" s="8" t="str">
        <f ca="1">IF($L444="","",INDEX('Veri Merkezi'!$S$2:$S$1001,$L444))</f>
        <v/>
      </c>
      <c r="K444" s="8" t="str">
        <f ca="1">IF($L444="","",INDEX('Veri Merkezi'!$U$2:$U$1001,$L444))</f>
        <v/>
      </c>
      <c r="L444" s="8" t="str">
        <f ca="1">IFERROR(MATCH(ROWS($L$4:L444),'Veri Merkezi'!$W$2:$W$1001,0),"")</f>
        <v/>
      </c>
    </row>
    <row r="445" spans="1:12" ht="20" customHeight="1">
      <c r="A445" s="8" t="str">
        <f ca="1">IF($L445="","",ROWS($A$4:A445))</f>
        <v/>
      </c>
      <c r="B445" s="8" t="str">
        <f ca="1">IF($L445="","",INDEX('Veri Merkezi'!$A$2:$A$1001,$L445))</f>
        <v/>
      </c>
      <c r="C445" s="8" t="str">
        <f ca="1">IF($L445="","",INDEX('Veri Merkezi'!$E$2:$E$1001,$L445))</f>
        <v/>
      </c>
      <c r="D445" s="8" t="str">
        <f ca="1">IF($L445="","",INDEX('Veri Merkezi'!$D$2:$D$1001,$L445))</f>
        <v/>
      </c>
      <c r="E445" s="8" t="str">
        <f ca="1">IF($L445="","",INDEX('Veri Merkezi'!$F$2:$F$1001,$L445))</f>
        <v/>
      </c>
      <c r="F445" s="9" t="str">
        <f ca="1">IF($L445="","",INDEX('Veri Merkezi'!$G$2:$G$1001,$L445))</f>
        <v/>
      </c>
      <c r="H445" s="8" t="str">
        <f ca="1">IF($L445="","",INDEX('Veri Merkezi'!$H$2:$H$1001,$L445))</f>
        <v/>
      </c>
      <c r="I445" s="10" t="str">
        <f ca="1">IF($L445="","",INDEX('Veri Merkezi'!$R$2:$R$1001,$L445))</f>
        <v/>
      </c>
      <c r="J445" s="8" t="str">
        <f ca="1">IF($L445="","",INDEX('Veri Merkezi'!$S$2:$S$1001,$L445))</f>
        <v/>
      </c>
      <c r="K445" s="8" t="str">
        <f ca="1">IF($L445="","",INDEX('Veri Merkezi'!$U$2:$U$1001,$L445))</f>
        <v/>
      </c>
      <c r="L445" s="8" t="str">
        <f ca="1">IFERROR(MATCH(ROWS($L$4:L445),'Veri Merkezi'!$W$2:$W$1001,0),"")</f>
        <v/>
      </c>
    </row>
    <row r="446" spans="1:12" ht="20" customHeight="1">
      <c r="A446" s="8" t="str">
        <f ca="1">IF($L446="","",ROWS($A$4:A446))</f>
        <v/>
      </c>
      <c r="B446" s="8" t="str">
        <f ca="1">IF($L446="","",INDEX('Veri Merkezi'!$A$2:$A$1001,$L446))</f>
        <v/>
      </c>
      <c r="C446" s="8" t="str">
        <f ca="1">IF($L446="","",INDEX('Veri Merkezi'!$E$2:$E$1001,$L446))</f>
        <v/>
      </c>
      <c r="D446" s="8" t="str">
        <f ca="1">IF($L446="","",INDEX('Veri Merkezi'!$D$2:$D$1001,$L446))</f>
        <v/>
      </c>
      <c r="E446" s="8" t="str">
        <f ca="1">IF($L446="","",INDEX('Veri Merkezi'!$F$2:$F$1001,$L446))</f>
        <v/>
      </c>
      <c r="F446" s="9" t="str">
        <f ca="1">IF($L446="","",INDEX('Veri Merkezi'!$G$2:$G$1001,$L446))</f>
        <v/>
      </c>
      <c r="H446" s="8" t="str">
        <f ca="1">IF($L446="","",INDEX('Veri Merkezi'!$H$2:$H$1001,$L446))</f>
        <v/>
      </c>
      <c r="I446" s="10" t="str">
        <f ca="1">IF($L446="","",INDEX('Veri Merkezi'!$R$2:$R$1001,$L446))</f>
        <v/>
      </c>
      <c r="J446" s="8" t="str">
        <f ca="1">IF($L446="","",INDEX('Veri Merkezi'!$S$2:$S$1001,$L446))</f>
        <v/>
      </c>
      <c r="K446" s="8" t="str">
        <f ca="1">IF($L446="","",INDEX('Veri Merkezi'!$U$2:$U$1001,$L446))</f>
        <v/>
      </c>
      <c r="L446" s="8" t="str">
        <f ca="1">IFERROR(MATCH(ROWS($L$4:L446),'Veri Merkezi'!$W$2:$W$1001,0),"")</f>
        <v/>
      </c>
    </row>
    <row r="447" spans="1:12" ht="20" customHeight="1">
      <c r="A447" s="8" t="str">
        <f ca="1">IF($L447="","",ROWS($A$4:A447))</f>
        <v/>
      </c>
      <c r="B447" s="8" t="str">
        <f ca="1">IF($L447="","",INDEX('Veri Merkezi'!$A$2:$A$1001,$L447))</f>
        <v/>
      </c>
      <c r="C447" s="8" t="str">
        <f ca="1">IF($L447="","",INDEX('Veri Merkezi'!$E$2:$E$1001,$L447))</f>
        <v/>
      </c>
      <c r="D447" s="8" t="str">
        <f ca="1">IF($L447="","",INDEX('Veri Merkezi'!$D$2:$D$1001,$L447))</f>
        <v/>
      </c>
      <c r="E447" s="8" t="str">
        <f ca="1">IF($L447="","",INDEX('Veri Merkezi'!$F$2:$F$1001,$L447))</f>
        <v/>
      </c>
      <c r="F447" s="9" t="str">
        <f ca="1">IF($L447="","",INDEX('Veri Merkezi'!$G$2:$G$1001,$L447))</f>
        <v/>
      </c>
      <c r="H447" s="8" t="str">
        <f ca="1">IF($L447="","",INDEX('Veri Merkezi'!$H$2:$H$1001,$L447))</f>
        <v/>
      </c>
      <c r="I447" s="10" t="str">
        <f ca="1">IF($L447="","",INDEX('Veri Merkezi'!$R$2:$R$1001,$L447))</f>
        <v/>
      </c>
      <c r="J447" s="8" t="str">
        <f ca="1">IF($L447="","",INDEX('Veri Merkezi'!$S$2:$S$1001,$L447))</f>
        <v/>
      </c>
      <c r="K447" s="8" t="str">
        <f ca="1">IF($L447="","",INDEX('Veri Merkezi'!$U$2:$U$1001,$L447))</f>
        <v/>
      </c>
      <c r="L447" s="8" t="str">
        <f ca="1">IFERROR(MATCH(ROWS($L$4:L447),'Veri Merkezi'!$W$2:$W$1001,0),"")</f>
        <v/>
      </c>
    </row>
    <row r="448" spans="1:12" ht="20" customHeight="1">
      <c r="A448" s="8" t="str">
        <f ca="1">IF($L448="","",ROWS($A$4:A448))</f>
        <v/>
      </c>
      <c r="B448" s="8" t="str">
        <f ca="1">IF($L448="","",INDEX('Veri Merkezi'!$A$2:$A$1001,$L448))</f>
        <v/>
      </c>
      <c r="C448" s="8" t="str">
        <f ca="1">IF($L448="","",INDEX('Veri Merkezi'!$E$2:$E$1001,$L448))</f>
        <v/>
      </c>
      <c r="D448" s="8" t="str">
        <f ca="1">IF($L448="","",INDEX('Veri Merkezi'!$D$2:$D$1001,$L448))</f>
        <v/>
      </c>
      <c r="E448" s="8" t="str">
        <f ca="1">IF($L448="","",INDEX('Veri Merkezi'!$F$2:$F$1001,$L448))</f>
        <v/>
      </c>
      <c r="F448" s="9" t="str">
        <f ca="1">IF($L448="","",INDEX('Veri Merkezi'!$G$2:$G$1001,$L448))</f>
        <v/>
      </c>
      <c r="H448" s="8" t="str">
        <f ca="1">IF($L448="","",INDEX('Veri Merkezi'!$H$2:$H$1001,$L448))</f>
        <v/>
      </c>
      <c r="I448" s="10" t="str">
        <f ca="1">IF($L448="","",INDEX('Veri Merkezi'!$R$2:$R$1001,$L448))</f>
        <v/>
      </c>
      <c r="J448" s="8" t="str">
        <f ca="1">IF($L448="","",INDEX('Veri Merkezi'!$S$2:$S$1001,$L448))</f>
        <v/>
      </c>
      <c r="K448" s="8" t="str">
        <f ca="1">IF($L448="","",INDEX('Veri Merkezi'!$U$2:$U$1001,$L448))</f>
        <v/>
      </c>
      <c r="L448" s="8" t="str">
        <f ca="1">IFERROR(MATCH(ROWS($L$4:L448),'Veri Merkezi'!$W$2:$W$1001,0),"")</f>
        <v/>
      </c>
    </row>
    <row r="449" spans="1:12" ht="20" customHeight="1">
      <c r="A449" s="8" t="str">
        <f ca="1">IF($L449="","",ROWS($A$4:A449))</f>
        <v/>
      </c>
      <c r="B449" s="8" t="str">
        <f ca="1">IF($L449="","",INDEX('Veri Merkezi'!$A$2:$A$1001,$L449))</f>
        <v/>
      </c>
      <c r="C449" s="8" t="str">
        <f ca="1">IF($L449="","",INDEX('Veri Merkezi'!$E$2:$E$1001,$L449))</f>
        <v/>
      </c>
      <c r="D449" s="8" t="str">
        <f ca="1">IF($L449="","",INDEX('Veri Merkezi'!$D$2:$D$1001,$L449))</f>
        <v/>
      </c>
      <c r="E449" s="8" t="str">
        <f ca="1">IF($L449="","",INDEX('Veri Merkezi'!$F$2:$F$1001,$L449))</f>
        <v/>
      </c>
      <c r="F449" s="9" t="str">
        <f ca="1">IF($L449="","",INDEX('Veri Merkezi'!$G$2:$G$1001,$L449))</f>
        <v/>
      </c>
      <c r="H449" s="8" t="str">
        <f ca="1">IF($L449="","",INDEX('Veri Merkezi'!$H$2:$H$1001,$L449))</f>
        <v/>
      </c>
      <c r="I449" s="10" t="str">
        <f ca="1">IF($L449="","",INDEX('Veri Merkezi'!$R$2:$R$1001,$L449))</f>
        <v/>
      </c>
      <c r="J449" s="8" t="str">
        <f ca="1">IF($L449="","",INDEX('Veri Merkezi'!$S$2:$S$1001,$L449))</f>
        <v/>
      </c>
      <c r="K449" s="8" t="str">
        <f ca="1">IF($L449="","",INDEX('Veri Merkezi'!$U$2:$U$1001,$L449))</f>
        <v/>
      </c>
      <c r="L449" s="8" t="str">
        <f ca="1">IFERROR(MATCH(ROWS($L$4:L449),'Veri Merkezi'!$W$2:$W$1001,0),"")</f>
        <v/>
      </c>
    </row>
    <row r="450" spans="1:12" ht="20" customHeight="1">
      <c r="A450" s="8" t="str">
        <f ca="1">IF($L450="","",ROWS($A$4:A450))</f>
        <v/>
      </c>
      <c r="B450" s="8" t="str">
        <f ca="1">IF($L450="","",INDEX('Veri Merkezi'!$A$2:$A$1001,$L450))</f>
        <v/>
      </c>
      <c r="C450" s="8" t="str">
        <f ca="1">IF($L450="","",INDEX('Veri Merkezi'!$E$2:$E$1001,$L450))</f>
        <v/>
      </c>
      <c r="D450" s="8" t="str">
        <f ca="1">IF($L450="","",INDEX('Veri Merkezi'!$D$2:$D$1001,$L450))</f>
        <v/>
      </c>
      <c r="E450" s="8" t="str">
        <f ca="1">IF($L450="","",INDEX('Veri Merkezi'!$F$2:$F$1001,$L450))</f>
        <v/>
      </c>
      <c r="F450" s="9" t="str">
        <f ca="1">IF($L450="","",INDEX('Veri Merkezi'!$G$2:$G$1001,$L450))</f>
        <v/>
      </c>
      <c r="H450" s="8" t="str">
        <f ca="1">IF($L450="","",INDEX('Veri Merkezi'!$H$2:$H$1001,$L450))</f>
        <v/>
      </c>
      <c r="I450" s="10" t="str">
        <f ca="1">IF($L450="","",INDEX('Veri Merkezi'!$R$2:$R$1001,$L450))</f>
        <v/>
      </c>
      <c r="J450" s="8" t="str">
        <f ca="1">IF($L450="","",INDEX('Veri Merkezi'!$S$2:$S$1001,$L450))</f>
        <v/>
      </c>
      <c r="K450" s="8" t="str">
        <f ca="1">IF($L450="","",INDEX('Veri Merkezi'!$U$2:$U$1001,$L450))</f>
        <v/>
      </c>
      <c r="L450" s="8" t="str">
        <f ca="1">IFERROR(MATCH(ROWS($L$4:L450),'Veri Merkezi'!$W$2:$W$1001,0),"")</f>
        <v/>
      </c>
    </row>
    <row r="451" spans="1:12" ht="20" customHeight="1">
      <c r="A451" s="8" t="str">
        <f ca="1">IF($L451="","",ROWS($A$4:A451))</f>
        <v/>
      </c>
      <c r="B451" s="8" t="str">
        <f ca="1">IF($L451="","",INDEX('Veri Merkezi'!$A$2:$A$1001,$L451))</f>
        <v/>
      </c>
      <c r="C451" s="8" t="str">
        <f ca="1">IF($L451="","",INDEX('Veri Merkezi'!$E$2:$E$1001,$L451))</f>
        <v/>
      </c>
      <c r="D451" s="8" t="str">
        <f ca="1">IF($L451="","",INDEX('Veri Merkezi'!$D$2:$D$1001,$L451))</f>
        <v/>
      </c>
      <c r="E451" s="8" t="str">
        <f ca="1">IF($L451="","",INDEX('Veri Merkezi'!$F$2:$F$1001,$L451))</f>
        <v/>
      </c>
      <c r="F451" s="9" t="str">
        <f ca="1">IF($L451="","",INDEX('Veri Merkezi'!$G$2:$G$1001,$L451))</f>
        <v/>
      </c>
      <c r="H451" s="8" t="str">
        <f ca="1">IF($L451="","",INDEX('Veri Merkezi'!$H$2:$H$1001,$L451))</f>
        <v/>
      </c>
      <c r="I451" s="10" t="str">
        <f ca="1">IF($L451="","",INDEX('Veri Merkezi'!$R$2:$R$1001,$L451))</f>
        <v/>
      </c>
      <c r="J451" s="8" t="str">
        <f ca="1">IF($L451="","",INDEX('Veri Merkezi'!$S$2:$S$1001,$L451))</f>
        <v/>
      </c>
      <c r="K451" s="8" t="str">
        <f ca="1">IF($L451="","",INDEX('Veri Merkezi'!$U$2:$U$1001,$L451))</f>
        <v/>
      </c>
      <c r="L451" s="8" t="str">
        <f ca="1">IFERROR(MATCH(ROWS($L$4:L451),'Veri Merkezi'!$W$2:$W$1001,0),"")</f>
        <v/>
      </c>
    </row>
    <row r="452" spans="1:12" ht="20" customHeight="1">
      <c r="A452" s="8" t="str">
        <f ca="1">IF($L452="","",ROWS($A$4:A452))</f>
        <v/>
      </c>
      <c r="B452" s="8" t="str">
        <f ca="1">IF($L452="","",INDEX('Veri Merkezi'!$A$2:$A$1001,$L452))</f>
        <v/>
      </c>
      <c r="C452" s="8" t="str">
        <f ca="1">IF($L452="","",INDEX('Veri Merkezi'!$E$2:$E$1001,$L452))</f>
        <v/>
      </c>
      <c r="D452" s="8" t="str">
        <f ca="1">IF($L452="","",INDEX('Veri Merkezi'!$D$2:$D$1001,$L452))</f>
        <v/>
      </c>
      <c r="E452" s="8" t="str">
        <f ca="1">IF($L452="","",INDEX('Veri Merkezi'!$F$2:$F$1001,$L452))</f>
        <v/>
      </c>
      <c r="F452" s="9" t="str">
        <f ca="1">IF($L452="","",INDEX('Veri Merkezi'!$G$2:$G$1001,$L452))</f>
        <v/>
      </c>
      <c r="H452" s="8" t="str">
        <f ca="1">IF($L452="","",INDEX('Veri Merkezi'!$H$2:$H$1001,$L452))</f>
        <v/>
      </c>
      <c r="I452" s="10" t="str">
        <f ca="1">IF($L452="","",INDEX('Veri Merkezi'!$R$2:$R$1001,$L452))</f>
        <v/>
      </c>
      <c r="J452" s="8" t="str">
        <f ca="1">IF($L452="","",INDEX('Veri Merkezi'!$S$2:$S$1001,$L452))</f>
        <v/>
      </c>
      <c r="K452" s="8" t="str">
        <f ca="1">IF($L452="","",INDEX('Veri Merkezi'!$U$2:$U$1001,$L452))</f>
        <v/>
      </c>
      <c r="L452" s="8" t="str">
        <f ca="1">IFERROR(MATCH(ROWS($L$4:L452),'Veri Merkezi'!$W$2:$W$1001,0),"")</f>
        <v/>
      </c>
    </row>
    <row r="453" spans="1:12" ht="20" customHeight="1">
      <c r="A453" s="8" t="str">
        <f ca="1">IF($L453="","",ROWS($A$4:A453))</f>
        <v/>
      </c>
      <c r="B453" s="8" t="str">
        <f ca="1">IF($L453="","",INDEX('Veri Merkezi'!$A$2:$A$1001,$L453))</f>
        <v/>
      </c>
      <c r="C453" s="8" t="str">
        <f ca="1">IF($L453="","",INDEX('Veri Merkezi'!$E$2:$E$1001,$L453))</f>
        <v/>
      </c>
      <c r="D453" s="8" t="str">
        <f ca="1">IF($L453="","",INDEX('Veri Merkezi'!$D$2:$D$1001,$L453))</f>
        <v/>
      </c>
      <c r="E453" s="8" t="str">
        <f ca="1">IF($L453="","",INDEX('Veri Merkezi'!$F$2:$F$1001,$L453))</f>
        <v/>
      </c>
      <c r="F453" s="9" t="str">
        <f ca="1">IF($L453="","",INDEX('Veri Merkezi'!$G$2:$G$1001,$L453))</f>
        <v/>
      </c>
      <c r="H453" s="8" t="str">
        <f ca="1">IF($L453="","",INDEX('Veri Merkezi'!$H$2:$H$1001,$L453))</f>
        <v/>
      </c>
      <c r="I453" s="10" t="str">
        <f ca="1">IF($L453="","",INDEX('Veri Merkezi'!$R$2:$R$1001,$L453))</f>
        <v/>
      </c>
      <c r="J453" s="8" t="str">
        <f ca="1">IF($L453="","",INDEX('Veri Merkezi'!$S$2:$S$1001,$L453))</f>
        <v/>
      </c>
      <c r="K453" s="8" t="str">
        <f ca="1">IF($L453="","",INDEX('Veri Merkezi'!$U$2:$U$1001,$L453))</f>
        <v/>
      </c>
      <c r="L453" s="8" t="str">
        <f ca="1">IFERROR(MATCH(ROWS($L$4:L453),'Veri Merkezi'!$W$2:$W$1001,0),"")</f>
        <v/>
      </c>
    </row>
    <row r="454" spans="1:12" ht="20" customHeight="1">
      <c r="A454" s="8" t="str">
        <f ca="1">IF($L454="","",ROWS($A$4:A454))</f>
        <v/>
      </c>
      <c r="B454" s="8" t="str">
        <f ca="1">IF($L454="","",INDEX('Veri Merkezi'!$A$2:$A$1001,$L454))</f>
        <v/>
      </c>
      <c r="C454" s="8" t="str">
        <f ca="1">IF($L454="","",INDEX('Veri Merkezi'!$E$2:$E$1001,$L454))</f>
        <v/>
      </c>
      <c r="D454" s="8" t="str">
        <f ca="1">IF($L454="","",INDEX('Veri Merkezi'!$D$2:$D$1001,$L454))</f>
        <v/>
      </c>
      <c r="E454" s="8" t="str">
        <f ca="1">IF($L454="","",INDEX('Veri Merkezi'!$F$2:$F$1001,$L454))</f>
        <v/>
      </c>
      <c r="F454" s="9" t="str">
        <f ca="1">IF($L454="","",INDEX('Veri Merkezi'!$G$2:$G$1001,$L454))</f>
        <v/>
      </c>
      <c r="H454" s="8" t="str">
        <f ca="1">IF($L454="","",INDEX('Veri Merkezi'!$H$2:$H$1001,$L454))</f>
        <v/>
      </c>
      <c r="I454" s="10" t="str">
        <f ca="1">IF($L454="","",INDEX('Veri Merkezi'!$R$2:$R$1001,$L454))</f>
        <v/>
      </c>
      <c r="J454" s="8" t="str">
        <f ca="1">IF($L454="","",INDEX('Veri Merkezi'!$S$2:$S$1001,$L454))</f>
        <v/>
      </c>
      <c r="K454" s="8" t="str">
        <f ca="1">IF($L454="","",INDEX('Veri Merkezi'!$U$2:$U$1001,$L454))</f>
        <v/>
      </c>
      <c r="L454" s="8" t="str">
        <f ca="1">IFERROR(MATCH(ROWS($L$4:L454),'Veri Merkezi'!$W$2:$W$1001,0),"")</f>
        <v/>
      </c>
    </row>
    <row r="455" spans="1:12" ht="20" customHeight="1">
      <c r="A455" s="8" t="str">
        <f ca="1">IF($L455="","",ROWS($A$4:A455))</f>
        <v/>
      </c>
      <c r="B455" s="8" t="str">
        <f ca="1">IF($L455="","",INDEX('Veri Merkezi'!$A$2:$A$1001,$L455))</f>
        <v/>
      </c>
      <c r="C455" s="8" t="str">
        <f ca="1">IF($L455="","",INDEX('Veri Merkezi'!$E$2:$E$1001,$L455))</f>
        <v/>
      </c>
      <c r="D455" s="8" t="str">
        <f ca="1">IF($L455="","",INDEX('Veri Merkezi'!$D$2:$D$1001,$L455))</f>
        <v/>
      </c>
      <c r="E455" s="8" t="str">
        <f ca="1">IF($L455="","",INDEX('Veri Merkezi'!$F$2:$F$1001,$L455))</f>
        <v/>
      </c>
      <c r="F455" s="9" t="str">
        <f ca="1">IF($L455="","",INDEX('Veri Merkezi'!$G$2:$G$1001,$L455))</f>
        <v/>
      </c>
      <c r="H455" s="8" t="str">
        <f ca="1">IF($L455="","",INDEX('Veri Merkezi'!$H$2:$H$1001,$L455))</f>
        <v/>
      </c>
      <c r="I455" s="10" t="str">
        <f ca="1">IF($L455="","",INDEX('Veri Merkezi'!$R$2:$R$1001,$L455))</f>
        <v/>
      </c>
      <c r="J455" s="8" t="str">
        <f ca="1">IF($L455="","",INDEX('Veri Merkezi'!$S$2:$S$1001,$L455))</f>
        <v/>
      </c>
      <c r="K455" s="8" t="str">
        <f ca="1">IF($L455="","",INDEX('Veri Merkezi'!$U$2:$U$1001,$L455))</f>
        <v/>
      </c>
      <c r="L455" s="8" t="str">
        <f ca="1">IFERROR(MATCH(ROWS($L$4:L455),'Veri Merkezi'!$W$2:$W$1001,0),"")</f>
        <v/>
      </c>
    </row>
    <row r="456" spans="1:12" ht="20" customHeight="1">
      <c r="A456" s="8" t="str">
        <f ca="1">IF($L456="","",ROWS($A$4:A456))</f>
        <v/>
      </c>
      <c r="B456" s="8" t="str">
        <f ca="1">IF($L456="","",INDEX('Veri Merkezi'!$A$2:$A$1001,$L456))</f>
        <v/>
      </c>
      <c r="C456" s="8" t="str">
        <f ca="1">IF($L456="","",INDEX('Veri Merkezi'!$E$2:$E$1001,$L456))</f>
        <v/>
      </c>
      <c r="D456" s="8" t="str">
        <f ca="1">IF($L456="","",INDEX('Veri Merkezi'!$D$2:$D$1001,$L456))</f>
        <v/>
      </c>
      <c r="E456" s="8" t="str">
        <f ca="1">IF($L456="","",INDEX('Veri Merkezi'!$F$2:$F$1001,$L456))</f>
        <v/>
      </c>
      <c r="F456" s="9" t="str">
        <f ca="1">IF($L456="","",INDEX('Veri Merkezi'!$G$2:$G$1001,$L456))</f>
        <v/>
      </c>
      <c r="H456" s="8" t="str">
        <f ca="1">IF($L456="","",INDEX('Veri Merkezi'!$H$2:$H$1001,$L456))</f>
        <v/>
      </c>
      <c r="I456" s="10" t="str">
        <f ca="1">IF($L456="","",INDEX('Veri Merkezi'!$R$2:$R$1001,$L456))</f>
        <v/>
      </c>
      <c r="J456" s="8" t="str">
        <f ca="1">IF($L456="","",INDEX('Veri Merkezi'!$S$2:$S$1001,$L456))</f>
        <v/>
      </c>
      <c r="K456" s="8" t="str">
        <f ca="1">IF($L456="","",INDEX('Veri Merkezi'!$U$2:$U$1001,$L456))</f>
        <v/>
      </c>
      <c r="L456" s="8" t="str">
        <f ca="1">IFERROR(MATCH(ROWS($L$4:L456),'Veri Merkezi'!$W$2:$W$1001,0),"")</f>
        <v/>
      </c>
    </row>
    <row r="457" spans="1:12" ht="20" customHeight="1">
      <c r="A457" s="8" t="str">
        <f ca="1">IF($L457="","",ROWS($A$4:A457))</f>
        <v/>
      </c>
      <c r="B457" s="8" t="str">
        <f ca="1">IF($L457="","",INDEX('Veri Merkezi'!$A$2:$A$1001,$L457))</f>
        <v/>
      </c>
      <c r="C457" s="8" t="str">
        <f ca="1">IF($L457="","",INDEX('Veri Merkezi'!$E$2:$E$1001,$L457))</f>
        <v/>
      </c>
      <c r="D457" s="8" t="str">
        <f ca="1">IF($L457="","",INDEX('Veri Merkezi'!$D$2:$D$1001,$L457))</f>
        <v/>
      </c>
      <c r="E457" s="8" t="str">
        <f ca="1">IF($L457="","",INDEX('Veri Merkezi'!$F$2:$F$1001,$L457))</f>
        <v/>
      </c>
      <c r="F457" s="9" t="str">
        <f ca="1">IF($L457="","",INDEX('Veri Merkezi'!$G$2:$G$1001,$L457))</f>
        <v/>
      </c>
      <c r="H457" s="8" t="str">
        <f ca="1">IF($L457="","",INDEX('Veri Merkezi'!$H$2:$H$1001,$L457))</f>
        <v/>
      </c>
      <c r="I457" s="10" t="str">
        <f ca="1">IF($L457="","",INDEX('Veri Merkezi'!$R$2:$R$1001,$L457))</f>
        <v/>
      </c>
      <c r="J457" s="8" t="str">
        <f ca="1">IF($L457="","",INDEX('Veri Merkezi'!$S$2:$S$1001,$L457))</f>
        <v/>
      </c>
      <c r="K457" s="8" t="str">
        <f ca="1">IF($L457="","",INDEX('Veri Merkezi'!$U$2:$U$1001,$L457))</f>
        <v/>
      </c>
      <c r="L457" s="8" t="str">
        <f ca="1">IFERROR(MATCH(ROWS($L$4:L457),'Veri Merkezi'!$W$2:$W$1001,0),"")</f>
        <v/>
      </c>
    </row>
    <row r="458" spans="1:12" ht="20" customHeight="1">
      <c r="A458" s="8" t="str">
        <f ca="1">IF($L458="","",ROWS($A$4:A458))</f>
        <v/>
      </c>
      <c r="B458" s="8" t="str">
        <f ca="1">IF($L458="","",INDEX('Veri Merkezi'!$A$2:$A$1001,$L458))</f>
        <v/>
      </c>
      <c r="C458" s="8" t="str">
        <f ca="1">IF($L458="","",INDEX('Veri Merkezi'!$E$2:$E$1001,$L458))</f>
        <v/>
      </c>
      <c r="D458" s="8" t="str">
        <f ca="1">IF($L458="","",INDEX('Veri Merkezi'!$D$2:$D$1001,$L458))</f>
        <v/>
      </c>
      <c r="E458" s="8" t="str">
        <f ca="1">IF($L458="","",INDEX('Veri Merkezi'!$F$2:$F$1001,$L458))</f>
        <v/>
      </c>
      <c r="F458" s="9" t="str">
        <f ca="1">IF($L458="","",INDEX('Veri Merkezi'!$G$2:$G$1001,$L458))</f>
        <v/>
      </c>
      <c r="H458" s="8" t="str">
        <f ca="1">IF($L458="","",INDEX('Veri Merkezi'!$H$2:$H$1001,$L458))</f>
        <v/>
      </c>
      <c r="I458" s="10" t="str">
        <f ca="1">IF($L458="","",INDEX('Veri Merkezi'!$R$2:$R$1001,$L458))</f>
        <v/>
      </c>
      <c r="J458" s="8" t="str">
        <f ca="1">IF($L458="","",INDEX('Veri Merkezi'!$S$2:$S$1001,$L458))</f>
        <v/>
      </c>
      <c r="K458" s="8" t="str">
        <f ca="1">IF($L458="","",INDEX('Veri Merkezi'!$U$2:$U$1001,$L458))</f>
        <v/>
      </c>
      <c r="L458" s="8" t="str">
        <f ca="1">IFERROR(MATCH(ROWS($L$4:L458),'Veri Merkezi'!$W$2:$W$1001,0),"")</f>
        <v/>
      </c>
    </row>
    <row r="459" spans="1:12" ht="20" customHeight="1">
      <c r="A459" s="8" t="str">
        <f ca="1">IF($L459="","",ROWS($A$4:A459))</f>
        <v/>
      </c>
      <c r="B459" s="8" t="str">
        <f ca="1">IF($L459="","",INDEX('Veri Merkezi'!$A$2:$A$1001,$L459))</f>
        <v/>
      </c>
      <c r="C459" s="8" t="str">
        <f ca="1">IF($L459="","",INDEX('Veri Merkezi'!$E$2:$E$1001,$L459))</f>
        <v/>
      </c>
      <c r="D459" s="8" t="str">
        <f ca="1">IF($L459="","",INDEX('Veri Merkezi'!$D$2:$D$1001,$L459))</f>
        <v/>
      </c>
      <c r="E459" s="8" t="str">
        <f ca="1">IF($L459="","",INDEX('Veri Merkezi'!$F$2:$F$1001,$L459))</f>
        <v/>
      </c>
      <c r="F459" s="9" t="str">
        <f ca="1">IF($L459="","",INDEX('Veri Merkezi'!$G$2:$G$1001,$L459))</f>
        <v/>
      </c>
      <c r="H459" s="8" t="str">
        <f ca="1">IF($L459="","",INDEX('Veri Merkezi'!$H$2:$H$1001,$L459))</f>
        <v/>
      </c>
      <c r="I459" s="10" t="str">
        <f ca="1">IF($L459="","",INDEX('Veri Merkezi'!$R$2:$R$1001,$L459))</f>
        <v/>
      </c>
      <c r="J459" s="8" t="str">
        <f ca="1">IF($L459="","",INDEX('Veri Merkezi'!$S$2:$S$1001,$L459))</f>
        <v/>
      </c>
      <c r="K459" s="8" t="str">
        <f ca="1">IF($L459="","",INDEX('Veri Merkezi'!$U$2:$U$1001,$L459))</f>
        <v/>
      </c>
      <c r="L459" s="8" t="str">
        <f ca="1">IFERROR(MATCH(ROWS($L$4:L459),'Veri Merkezi'!$W$2:$W$1001,0),"")</f>
        <v/>
      </c>
    </row>
    <row r="460" spans="1:12" ht="20" customHeight="1">
      <c r="A460" s="8" t="str">
        <f ca="1">IF($L460="","",ROWS($A$4:A460))</f>
        <v/>
      </c>
      <c r="B460" s="8" t="str">
        <f ca="1">IF($L460="","",INDEX('Veri Merkezi'!$A$2:$A$1001,$L460))</f>
        <v/>
      </c>
      <c r="C460" s="8" t="str">
        <f ca="1">IF($L460="","",INDEX('Veri Merkezi'!$E$2:$E$1001,$L460))</f>
        <v/>
      </c>
      <c r="D460" s="8" t="str">
        <f ca="1">IF($L460="","",INDEX('Veri Merkezi'!$D$2:$D$1001,$L460))</f>
        <v/>
      </c>
      <c r="E460" s="8" t="str">
        <f ca="1">IF($L460="","",INDEX('Veri Merkezi'!$F$2:$F$1001,$L460))</f>
        <v/>
      </c>
      <c r="F460" s="9" t="str">
        <f ca="1">IF($L460="","",INDEX('Veri Merkezi'!$G$2:$G$1001,$L460))</f>
        <v/>
      </c>
      <c r="H460" s="8" t="str">
        <f ca="1">IF($L460="","",INDEX('Veri Merkezi'!$H$2:$H$1001,$L460))</f>
        <v/>
      </c>
      <c r="I460" s="10" t="str">
        <f ca="1">IF($L460="","",INDEX('Veri Merkezi'!$R$2:$R$1001,$L460))</f>
        <v/>
      </c>
      <c r="J460" s="8" t="str">
        <f ca="1">IF($L460="","",INDEX('Veri Merkezi'!$S$2:$S$1001,$L460))</f>
        <v/>
      </c>
      <c r="K460" s="8" t="str">
        <f ca="1">IF($L460="","",INDEX('Veri Merkezi'!$U$2:$U$1001,$L460))</f>
        <v/>
      </c>
      <c r="L460" s="8" t="str">
        <f ca="1">IFERROR(MATCH(ROWS($L$4:L460),'Veri Merkezi'!$W$2:$W$1001,0),"")</f>
        <v/>
      </c>
    </row>
    <row r="461" spans="1:12" ht="20" customHeight="1">
      <c r="A461" s="8" t="str">
        <f ca="1">IF($L461="","",ROWS($A$4:A461))</f>
        <v/>
      </c>
      <c r="B461" s="8" t="str">
        <f ca="1">IF($L461="","",INDEX('Veri Merkezi'!$A$2:$A$1001,$L461))</f>
        <v/>
      </c>
      <c r="C461" s="8" t="str">
        <f ca="1">IF($L461="","",INDEX('Veri Merkezi'!$E$2:$E$1001,$L461))</f>
        <v/>
      </c>
      <c r="D461" s="8" t="str">
        <f ca="1">IF($L461="","",INDEX('Veri Merkezi'!$D$2:$D$1001,$L461))</f>
        <v/>
      </c>
      <c r="E461" s="8" t="str">
        <f ca="1">IF($L461="","",INDEX('Veri Merkezi'!$F$2:$F$1001,$L461))</f>
        <v/>
      </c>
      <c r="F461" s="9" t="str">
        <f ca="1">IF($L461="","",INDEX('Veri Merkezi'!$G$2:$G$1001,$L461))</f>
        <v/>
      </c>
      <c r="H461" s="8" t="str">
        <f ca="1">IF($L461="","",INDEX('Veri Merkezi'!$H$2:$H$1001,$L461))</f>
        <v/>
      </c>
      <c r="I461" s="10" t="str">
        <f ca="1">IF($L461="","",INDEX('Veri Merkezi'!$R$2:$R$1001,$L461))</f>
        <v/>
      </c>
      <c r="J461" s="8" t="str">
        <f ca="1">IF($L461="","",INDEX('Veri Merkezi'!$S$2:$S$1001,$L461))</f>
        <v/>
      </c>
      <c r="K461" s="8" t="str">
        <f ca="1">IF($L461="","",INDEX('Veri Merkezi'!$U$2:$U$1001,$L461))</f>
        <v/>
      </c>
      <c r="L461" s="8" t="str">
        <f ca="1">IFERROR(MATCH(ROWS($L$4:L461),'Veri Merkezi'!$W$2:$W$1001,0),"")</f>
        <v/>
      </c>
    </row>
    <row r="462" spans="1:12" ht="20" customHeight="1">
      <c r="A462" s="8" t="str">
        <f ca="1">IF($L462="","",ROWS($A$4:A462))</f>
        <v/>
      </c>
      <c r="B462" s="8" t="str">
        <f ca="1">IF($L462="","",INDEX('Veri Merkezi'!$A$2:$A$1001,$L462))</f>
        <v/>
      </c>
      <c r="C462" s="8" t="str">
        <f ca="1">IF($L462="","",INDEX('Veri Merkezi'!$E$2:$E$1001,$L462))</f>
        <v/>
      </c>
      <c r="D462" s="8" t="str">
        <f ca="1">IF($L462="","",INDEX('Veri Merkezi'!$D$2:$D$1001,$L462))</f>
        <v/>
      </c>
      <c r="E462" s="8" t="str">
        <f ca="1">IF($L462="","",INDEX('Veri Merkezi'!$F$2:$F$1001,$L462))</f>
        <v/>
      </c>
      <c r="F462" s="9" t="str">
        <f ca="1">IF($L462="","",INDEX('Veri Merkezi'!$G$2:$G$1001,$L462))</f>
        <v/>
      </c>
      <c r="H462" s="8" t="str">
        <f ca="1">IF($L462="","",INDEX('Veri Merkezi'!$H$2:$H$1001,$L462))</f>
        <v/>
      </c>
      <c r="I462" s="10" t="str">
        <f ca="1">IF($L462="","",INDEX('Veri Merkezi'!$R$2:$R$1001,$L462))</f>
        <v/>
      </c>
      <c r="J462" s="8" t="str">
        <f ca="1">IF($L462="","",INDEX('Veri Merkezi'!$S$2:$S$1001,$L462))</f>
        <v/>
      </c>
      <c r="K462" s="8" t="str">
        <f ca="1">IF($L462="","",INDEX('Veri Merkezi'!$U$2:$U$1001,$L462))</f>
        <v/>
      </c>
      <c r="L462" s="8" t="str">
        <f ca="1">IFERROR(MATCH(ROWS($L$4:L462),'Veri Merkezi'!$W$2:$W$1001,0),"")</f>
        <v/>
      </c>
    </row>
    <row r="463" spans="1:12" ht="20" customHeight="1">
      <c r="A463" s="8" t="str">
        <f ca="1">IF($L463="","",ROWS($A$4:A463))</f>
        <v/>
      </c>
      <c r="B463" s="8" t="str">
        <f ca="1">IF($L463="","",INDEX('Veri Merkezi'!$A$2:$A$1001,$L463))</f>
        <v/>
      </c>
      <c r="C463" s="8" t="str">
        <f ca="1">IF($L463="","",INDEX('Veri Merkezi'!$E$2:$E$1001,$L463))</f>
        <v/>
      </c>
      <c r="D463" s="8" t="str">
        <f ca="1">IF($L463="","",INDEX('Veri Merkezi'!$D$2:$D$1001,$L463))</f>
        <v/>
      </c>
      <c r="E463" s="8" t="str">
        <f ca="1">IF($L463="","",INDEX('Veri Merkezi'!$F$2:$F$1001,$L463))</f>
        <v/>
      </c>
      <c r="F463" s="9" t="str">
        <f ca="1">IF($L463="","",INDEX('Veri Merkezi'!$G$2:$G$1001,$L463))</f>
        <v/>
      </c>
      <c r="H463" s="8" t="str">
        <f ca="1">IF($L463="","",INDEX('Veri Merkezi'!$H$2:$H$1001,$L463))</f>
        <v/>
      </c>
      <c r="I463" s="10" t="str">
        <f ca="1">IF($L463="","",INDEX('Veri Merkezi'!$R$2:$R$1001,$L463))</f>
        <v/>
      </c>
      <c r="J463" s="8" t="str">
        <f ca="1">IF($L463="","",INDEX('Veri Merkezi'!$S$2:$S$1001,$L463))</f>
        <v/>
      </c>
      <c r="K463" s="8" t="str">
        <f ca="1">IF($L463="","",INDEX('Veri Merkezi'!$U$2:$U$1001,$L463))</f>
        <v/>
      </c>
      <c r="L463" s="8" t="str">
        <f ca="1">IFERROR(MATCH(ROWS($L$4:L463),'Veri Merkezi'!$W$2:$W$1001,0),"")</f>
        <v/>
      </c>
    </row>
    <row r="464" spans="1:12" ht="20" customHeight="1">
      <c r="A464" s="8" t="str">
        <f ca="1">IF($L464="","",ROWS($A$4:A464))</f>
        <v/>
      </c>
      <c r="B464" s="8" t="str">
        <f ca="1">IF($L464="","",INDEX('Veri Merkezi'!$A$2:$A$1001,$L464))</f>
        <v/>
      </c>
      <c r="C464" s="8" t="str">
        <f ca="1">IF($L464="","",INDEX('Veri Merkezi'!$E$2:$E$1001,$L464))</f>
        <v/>
      </c>
      <c r="D464" s="8" t="str">
        <f ca="1">IF($L464="","",INDEX('Veri Merkezi'!$D$2:$D$1001,$L464))</f>
        <v/>
      </c>
      <c r="E464" s="8" t="str">
        <f ca="1">IF($L464="","",INDEX('Veri Merkezi'!$F$2:$F$1001,$L464))</f>
        <v/>
      </c>
      <c r="F464" s="9" t="str">
        <f ca="1">IF($L464="","",INDEX('Veri Merkezi'!$G$2:$G$1001,$L464))</f>
        <v/>
      </c>
      <c r="H464" s="8" t="str">
        <f ca="1">IF($L464="","",INDEX('Veri Merkezi'!$H$2:$H$1001,$L464))</f>
        <v/>
      </c>
      <c r="I464" s="10" t="str">
        <f ca="1">IF($L464="","",INDEX('Veri Merkezi'!$R$2:$R$1001,$L464))</f>
        <v/>
      </c>
      <c r="J464" s="8" t="str">
        <f ca="1">IF($L464="","",INDEX('Veri Merkezi'!$S$2:$S$1001,$L464))</f>
        <v/>
      </c>
      <c r="K464" s="8" t="str">
        <f ca="1">IF($L464="","",INDEX('Veri Merkezi'!$U$2:$U$1001,$L464))</f>
        <v/>
      </c>
      <c r="L464" s="8" t="str">
        <f ca="1">IFERROR(MATCH(ROWS($L$4:L464),'Veri Merkezi'!$W$2:$W$1001,0),"")</f>
        <v/>
      </c>
    </row>
    <row r="465" spans="1:12" ht="20" customHeight="1">
      <c r="A465" s="8" t="str">
        <f ca="1">IF($L465="","",ROWS($A$4:A465))</f>
        <v/>
      </c>
      <c r="B465" s="8" t="str">
        <f ca="1">IF($L465="","",INDEX('Veri Merkezi'!$A$2:$A$1001,$L465))</f>
        <v/>
      </c>
      <c r="C465" s="8" t="str">
        <f ca="1">IF($L465="","",INDEX('Veri Merkezi'!$E$2:$E$1001,$L465))</f>
        <v/>
      </c>
      <c r="D465" s="8" t="str">
        <f ca="1">IF($L465="","",INDEX('Veri Merkezi'!$D$2:$D$1001,$L465))</f>
        <v/>
      </c>
      <c r="E465" s="8" t="str">
        <f ca="1">IF($L465="","",INDEX('Veri Merkezi'!$F$2:$F$1001,$L465))</f>
        <v/>
      </c>
      <c r="F465" s="9" t="str">
        <f ca="1">IF($L465="","",INDEX('Veri Merkezi'!$G$2:$G$1001,$L465))</f>
        <v/>
      </c>
      <c r="H465" s="8" t="str">
        <f ca="1">IF($L465="","",INDEX('Veri Merkezi'!$H$2:$H$1001,$L465))</f>
        <v/>
      </c>
      <c r="I465" s="10" t="str">
        <f ca="1">IF($L465="","",INDEX('Veri Merkezi'!$R$2:$R$1001,$L465))</f>
        <v/>
      </c>
      <c r="J465" s="8" t="str">
        <f ca="1">IF($L465="","",INDEX('Veri Merkezi'!$S$2:$S$1001,$L465))</f>
        <v/>
      </c>
      <c r="K465" s="8" t="str">
        <f ca="1">IF($L465="","",INDEX('Veri Merkezi'!$U$2:$U$1001,$L465))</f>
        <v/>
      </c>
      <c r="L465" s="8" t="str">
        <f ca="1">IFERROR(MATCH(ROWS($L$4:L465),'Veri Merkezi'!$W$2:$W$1001,0),"")</f>
        <v/>
      </c>
    </row>
    <row r="466" spans="1:12" ht="20" customHeight="1">
      <c r="A466" s="8" t="str">
        <f ca="1">IF($L466="","",ROWS($A$4:A466))</f>
        <v/>
      </c>
      <c r="B466" s="8" t="str">
        <f ca="1">IF($L466="","",INDEX('Veri Merkezi'!$A$2:$A$1001,$L466))</f>
        <v/>
      </c>
      <c r="C466" s="8" t="str">
        <f ca="1">IF($L466="","",INDEX('Veri Merkezi'!$E$2:$E$1001,$L466))</f>
        <v/>
      </c>
      <c r="D466" s="8" t="str">
        <f ca="1">IF($L466="","",INDEX('Veri Merkezi'!$D$2:$D$1001,$L466))</f>
        <v/>
      </c>
      <c r="E466" s="8" t="str">
        <f ca="1">IF($L466="","",INDEX('Veri Merkezi'!$F$2:$F$1001,$L466))</f>
        <v/>
      </c>
      <c r="F466" s="9" t="str">
        <f ca="1">IF($L466="","",INDEX('Veri Merkezi'!$G$2:$G$1001,$L466))</f>
        <v/>
      </c>
      <c r="H466" s="8" t="str">
        <f ca="1">IF($L466="","",INDEX('Veri Merkezi'!$H$2:$H$1001,$L466))</f>
        <v/>
      </c>
      <c r="I466" s="10" t="str">
        <f ca="1">IF($L466="","",INDEX('Veri Merkezi'!$R$2:$R$1001,$L466))</f>
        <v/>
      </c>
      <c r="J466" s="8" t="str">
        <f ca="1">IF($L466="","",INDEX('Veri Merkezi'!$S$2:$S$1001,$L466))</f>
        <v/>
      </c>
      <c r="K466" s="8" t="str">
        <f ca="1">IF($L466="","",INDEX('Veri Merkezi'!$U$2:$U$1001,$L466))</f>
        <v/>
      </c>
      <c r="L466" s="8" t="str">
        <f ca="1">IFERROR(MATCH(ROWS($L$4:L466),'Veri Merkezi'!$W$2:$W$1001,0),"")</f>
        <v/>
      </c>
    </row>
    <row r="467" spans="1:12" ht="20" customHeight="1">
      <c r="A467" s="8" t="str">
        <f ca="1">IF($L467="","",ROWS($A$4:A467))</f>
        <v/>
      </c>
      <c r="B467" s="8" t="str">
        <f ca="1">IF($L467="","",INDEX('Veri Merkezi'!$A$2:$A$1001,$L467))</f>
        <v/>
      </c>
      <c r="C467" s="8" t="str">
        <f ca="1">IF($L467="","",INDEX('Veri Merkezi'!$E$2:$E$1001,$L467))</f>
        <v/>
      </c>
      <c r="D467" s="8" t="str">
        <f ca="1">IF($L467="","",INDEX('Veri Merkezi'!$D$2:$D$1001,$L467))</f>
        <v/>
      </c>
      <c r="E467" s="8" t="str">
        <f ca="1">IF($L467="","",INDEX('Veri Merkezi'!$F$2:$F$1001,$L467))</f>
        <v/>
      </c>
      <c r="F467" s="9" t="str">
        <f ca="1">IF($L467="","",INDEX('Veri Merkezi'!$G$2:$G$1001,$L467))</f>
        <v/>
      </c>
      <c r="H467" s="8" t="str">
        <f ca="1">IF($L467="","",INDEX('Veri Merkezi'!$H$2:$H$1001,$L467))</f>
        <v/>
      </c>
      <c r="I467" s="10" t="str">
        <f ca="1">IF($L467="","",INDEX('Veri Merkezi'!$R$2:$R$1001,$L467))</f>
        <v/>
      </c>
      <c r="J467" s="8" t="str">
        <f ca="1">IF($L467="","",INDEX('Veri Merkezi'!$S$2:$S$1001,$L467))</f>
        <v/>
      </c>
      <c r="K467" s="8" t="str">
        <f ca="1">IF($L467="","",INDEX('Veri Merkezi'!$U$2:$U$1001,$L467))</f>
        <v/>
      </c>
      <c r="L467" s="8" t="str">
        <f ca="1">IFERROR(MATCH(ROWS($L$4:L467),'Veri Merkezi'!$W$2:$W$1001,0),"")</f>
        <v/>
      </c>
    </row>
    <row r="468" spans="1:12" ht="20" customHeight="1">
      <c r="A468" s="8" t="str">
        <f ca="1">IF($L468="","",ROWS($A$4:A468))</f>
        <v/>
      </c>
      <c r="B468" s="8" t="str">
        <f ca="1">IF($L468="","",INDEX('Veri Merkezi'!$A$2:$A$1001,$L468))</f>
        <v/>
      </c>
      <c r="C468" s="8" t="str">
        <f ca="1">IF($L468="","",INDEX('Veri Merkezi'!$E$2:$E$1001,$L468))</f>
        <v/>
      </c>
      <c r="D468" s="8" t="str">
        <f ca="1">IF($L468="","",INDEX('Veri Merkezi'!$D$2:$D$1001,$L468))</f>
        <v/>
      </c>
      <c r="E468" s="8" t="str">
        <f ca="1">IF($L468="","",INDEX('Veri Merkezi'!$F$2:$F$1001,$L468))</f>
        <v/>
      </c>
      <c r="F468" s="9" t="str">
        <f ca="1">IF($L468="","",INDEX('Veri Merkezi'!$G$2:$G$1001,$L468))</f>
        <v/>
      </c>
      <c r="H468" s="8" t="str">
        <f ca="1">IF($L468="","",INDEX('Veri Merkezi'!$H$2:$H$1001,$L468))</f>
        <v/>
      </c>
      <c r="I468" s="10" t="str">
        <f ca="1">IF($L468="","",INDEX('Veri Merkezi'!$R$2:$R$1001,$L468))</f>
        <v/>
      </c>
      <c r="J468" s="8" t="str">
        <f ca="1">IF($L468="","",INDEX('Veri Merkezi'!$S$2:$S$1001,$L468))</f>
        <v/>
      </c>
      <c r="K468" s="8" t="str">
        <f ca="1">IF($L468="","",INDEX('Veri Merkezi'!$U$2:$U$1001,$L468))</f>
        <v/>
      </c>
      <c r="L468" s="8" t="str">
        <f ca="1">IFERROR(MATCH(ROWS($L$4:L468),'Veri Merkezi'!$W$2:$W$1001,0),"")</f>
        <v/>
      </c>
    </row>
    <row r="469" spans="1:12" ht="20" customHeight="1">
      <c r="A469" s="8" t="str">
        <f ca="1">IF($L469="","",ROWS($A$4:A469))</f>
        <v/>
      </c>
      <c r="B469" s="8" t="str">
        <f ca="1">IF($L469="","",INDEX('Veri Merkezi'!$A$2:$A$1001,$L469))</f>
        <v/>
      </c>
      <c r="C469" s="8" t="str">
        <f ca="1">IF($L469="","",INDEX('Veri Merkezi'!$E$2:$E$1001,$L469))</f>
        <v/>
      </c>
      <c r="D469" s="8" t="str">
        <f ca="1">IF($L469="","",INDEX('Veri Merkezi'!$D$2:$D$1001,$L469))</f>
        <v/>
      </c>
      <c r="E469" s="8" t="str">
        <f ca="1">IF($L469="","",INDEX('Veri Merkezi'!$F$2:$F$1001,$L469))</f>
        <v/>
      </c>
      <c r="F469" s="9" t="str">
        <f ca="1">IF($L469="","",INDEX('Veri Merkezi'!$G$2:$G$1001,$L469))</f>
        <v/>
      </c>
      <c r="H469" s="8" t="str">
        <f ca="1">IF($L469="","",INDEX('Veri Merkezi'!$H$2:$H$1001,$L469))</f>
        <v/>
      </c>
      <c r="I469" s="10" t="str">
        <f ca="1">IF($L469="","",INDEX('Veri Merkezi'!$R$2:$R$1001,$L469))</f>
        <v/>
      </c>
      <c r="J469" s="8" t="str">
        <f ca="1">IF($L469="","",INDEX('Veri Merkezi'!$S$2:$S$1001,$L469))</f>
        <v/>
      </c>
      <c r="K469" s="8" t="str">
        <f ca="1">IF($L469="","",INDEX('Veri Merkezi'!$U$2:$U$1001,$L469))</f>
        <v/>
      </c>
      <c r="L469" s="8" t="str">
        <f ca="1">IFERROR(MATCH(ROWS($L$4:L469),'Veri Merkezi'!$W$2:$W$1001,0),"")</f>
        <v/>
      </c>
    </row>
    <row r="470" spans="1:12" ht="20" customHeight="1">
      <c r="A470" s="8" t="str">
        <f ca="1">IF($L470="","",ROWS($A$4:A470))</f>
        <v/>
      </c>
      <c r="B470" s="8" t="str">
        <f ca="1">IF($L470="","",INDEX('Veri Merkezi'!$A$2:$A$1001,$L470))</f>
        <v/>
      </c>
      <c r="C470" s="8" t="str">
        <f ca="1">IF($L470="","",INDEX('Veri Merkezi'!$E$2:$E$1001,$L470))</f>
        <v/>
      </c>
      <c r="D470" s="8" t="str">
        <f ca="1">IF($L470="","",INDEX('Veri Merkezi'!$D$2:$D$1001,$L470))</f>
        <v/>
      </c>
      <c r="E470" s="8" t="str">
        <f ca="1">IF($L470="","",INDEX('Veri Merkezi'!$F$2:$F$1001,$L470))</f>
        <v/>
      </c>
      <c r="F470" s="9" t="str">
        <f ca="1">IF($L470="","",INDEX('Veri Merkezi'!$G$2:$G$1001,$L470))</f>
        <v/>
      </c>
      <c r="H470" s="8" t="str">
        <f ca="1">IF($L470="","",INDEX('Veri Merkezi'!$H$2:$H$1001,$L470))</f>
        <v/>
      </c>
      <c r="I470" s="10" t="str">
        <f ca="1">IF($L470="","",INDEX('Veri Merkezi'!$R$2:$R$1001,$L470))</f>
        <v/>
      </c>
      <c r="J470" s="8" t="str">
        <f ca="1">IF($L470="","",INDEX('Veri Merkezi'!$S$2:$S$1001,$L470))</f>
        <v/>
      </c>
      <c r="K470" s="8" t="str">
        <f ca="1">IF($L470="","",INDEX('Veri Merkezi'!$U$2:$U$1001,$L470))</f>
        <v/>
      </c>
      <c r="L470" s="8" t="str">
        <f ca="1">IFERROR(MATCH(ROWS($L$4:L470),'Veri Merkezi'!$W$2:$W$1001,0),"")</f>
        <v/>
      </c>
    </row>
    <row r="471" spans="1:12" ht="20" customHeight="1">
      <c r="A471" s="8" t="str">
        <f ca="1">IF($L471="","",ROWS($A$4:A471))</f>
        <v/>
      </c>
      <c r="B471" s="8" t="str">
        <f ca="1">IF($L471="","",INDEX('Veri Merkezi'!$A$2:$A$1001,$L471))</f>
        <v/>
      </c>
      <c r="C471" s="8" t="str">
        <f ca="1">IF($L471="","",INDEX('Veri Merkezi'!$E$2:$E$1001,$L471))</f>
        <v/>
      </c>
      <c r="D471" s="8" t="str">
        <f ca="1">IF($L471="","",INDEX('Veri Merkezi'!$D$2:$D$1001,$L471))</f>
        <v/>
      </c>
      <c r="E471" s="8" t="str">
        <f ca="1">IF($L471="","",INDEX('Veri Merkezi'!$F$2:$F$1001,$L471))</f>
        <v/>
      </c>
      <c r="F471" s="9" t="str">
        <f ca="1">IF($L471="","",INDEX('Veri Merkezi'!$G$2:$G$1001,$L471))</f>
        <v/>
      </c>
      <c r="H471" s="8" t="str">
        <f ca="1">IF($L471="","",INDEX('Veri Merkezi'!$H$2:$H$1001,$L471))</f>
        <v/>
      </c>
      <c r="I471" s="10" t="str">
        <f ca="1">IF($L471="","",INDEX('Veri Merkezi'!$R$2:$R$1001,$L471))</f>
        <v/>
      </c>
      <c r="J471" s="8" t="str">
        <f ca="1">IF($L471="","",INDEX('Veri Merkezi'!$S$2:$S$1001,$L471))</f>
        <v/>
      </c>
      <c r="K471" s="8" t="str">
        <f ca="1">IF($L471="","",INDEX('Veri Merkezi'!$U$2:$U$1001,$L471))</f>
        <v/>
      </c>
      <c r="L471" s="8" t="str">
        <f ca="1">IFERROR(MATCH(ROWS($L$4:L471),'Veri Merkezi'!$W$2:$W$1001,0),"")</f>
        <v/>
      </c>
    </row>
    <row r="472" spans="1:12" ht="20" customHeight="1">
      <c r="A472" s="8" t="str">
        <f ca="1">IF($L472="","",ROWS($A$4:A472))</f>
        <v/>
      </c>
      <c r="B472" s="8" t="str">
        <f ca="1">IF($L472="","",INDEX('Veri Merkezi'!$A$2:$A$1001,$L472))</f>
        <v/>
      </c>
      <c r="C472" s="8" t="str">
        <f ca="1">IF($L472="","",INDEX('Veri Merkezi'!$E$2:$E$1001,$L472))</f>
        <v/>
      </c>
      <c r="D472" s="8" t="str">
        <f ca="1">IF($L472="","",INDEX('Veri Merkezi'!$D$2:$D$1001,$L472))</f>
        <v/>
      </c>
      <c r="E472" s="8" t="str">
        <f ca="1">IF($L472="","",INDEX('Veri Merkezi'!$F$2:$F$1001,$L472))</f>
        <v/>
      </c>
      <c r="F472" s="9" t="str">
        <f ca="1">IF($L472="","",INDEX('Veri Merkezi'!$G$2:$G$1001,$L472))</f>
        <v/>
      </c>
      <c r="H472" s="8" t="str">
        <f ca="1">IF($L472="","",INDEX('Veri Merkezi'!$H$2:$H$1001,$L472))</f>
        <v/>
      </c>
      <c r="I472" s="10" t="str">
        <f ca="1">IF($L472="","",INDEX('Veri Merkezi'!$R$2:$R$1001,$L472))</f>
        <v/>
      </c>
      <c r="J472" s="8" t="str">
        <f ca="1">IF($L472="","",INDEX('Veri Merkezi'!$S$2:$S$1001,$L472))</f>
        <v/>
      </c>
      <c r="K472" s="8" t="str">
        <f ca="1">IF($L472="","",INDEX('Veri Merkezi'!$U$2:$U$1001,$L472))</f>
        <v/>
      </c>
      <c r="L472" s="8" t="str">
        <f ca="1">IFERROR(MATCH(ROWS($L$4:L472),'Veri Merkezi'!$W$2:$W$1001,0),"")</f>
        <v/>
      </c>
    </row>
    <row r="473" spans="1:12" ht="20" customHeight="1">
      <c r="A473" s="8" t="str">
        <f ca="1">IF($L473="","",ROWS($A$4:A473))</f>
        <v/>
      </c>
      <c r="B473" s="8" t="str">
        <f ca="1">IF($L473="","",INDEX('Veri Merkezi'!$A$2:$A$1001,$L473))</f>
        <v/>
      </c>
      <c r="C473" s="8" t="str">
        <f ca="1">IF($L473="","",INDEX('Veri Merkezi'!$E$2:$E$1001,$L473))</f>
        <v/>
      </c>
      <c r="D473" s="8" t="str">
        <f ca="1">IF($L473="","",INDEX('Veri Merkezi'!$D$2:$D$1001,$L473))</f>
        <v/>
      </c>
      <c r="E473" s="8" t="str">
        <f ca="1">IF($L473="","",INDEX('Veri Merkezi'!$F$2:$F$1001,$L473))</f>
        <v/>
      </c>
      <c r="F473" s="9" t="str">
        <f ca="1">IF($L473="","",INDEX('Veri Merkezi'!$G$2:$G$1001,$L473))</f>
        <v/>
      </c>
      <c r="H473" s="8" t="str">
        <f ca="1">IF($L473="","",INDEX('Veri Merkezi'!$H$2:$H$1001,$L473))</f>
        <v/>
      </c>
      <c r="I473" s="10" t="str">
        <f ca="1">IF($L473="","",INDEX('Veri Merkezi'!$R$2:$R$1001,$L473))</f>
        <v/>
      </c>
      <c r="J473" s="8" t="str">
        <f ca="1">IF($L473="","",INDEX('Veri Merkezi'!$S$2:$S$1001,$L473))</f>
        <v/>
      </c>
      <c r="K473" s="8" t="str">
        <f ca="1">IF($L473="","",INDEX('Veri Merkezi'!$U$2:$U$1001,$L473))</f>
        <v/>
      </c>
      <c r="L473" s="8" t="str">
        <f ca="1">IFERROR(MATCH(ROWS($L$4:L473),'Veri Merkezi'!$W$2:$W$1001,0),"")</f>
        <v/>
      </c>
    </row>
    <row r="474" spans="1:12" ht="20" customHeight="1">
      <c r="A474" s="8" t="str">
        <f ca="1">IF($L474="","",ROWS($A$4:A474))</f>
        <v/>
      </c>
      <c r="B474" s="8" t="str">
        <f ca="1">IF($L474="","",INDEX('Veri Merkezi'!$A$2:$A$1001,$L474))</f>
        <v/>
      </c>
      <c r="C474" s="8" t="str">
        <f ca="1">IF($L474="","",INDEX('Veri Merkezi'!$E$2:$E$1001,$L474))</f>
        <v/>
      </c>
      <c r="D474" s="8" t="str">
        <f ca="1">IF($L474="","",INDEX('Veri Merkezi'!$D$2:$D$1001,$L474))</f>
        <v/>
      </c>
      <c r="E474" s="8" t="str">
        <f ca="1">IF($L474="","",INDEX('Veri Merkezi'!$F$2:$F$1001,$L474))</f>
        <v/>
      </c>
      <c r="F474" s="9" t="str">
        <f ca="1">IF($L474="","",INDEX('Veri Merkezi'!$G$2:$G$1001,$L474))</f>
        <v/>
      </c>
      <c r="H474" s="8" t="str">
        <f ca="1">IF($L474="","",INDEX('Veri Merkezi'!$H$2:$H$1001,$L474))</f>
        <v/>
      </c>
      <c r="I474" s="10" t="str">
        <f ca="1">IF($L474="","",INDEX('Veri Merkezi'!$R$2:$R$1001,$L474))</f>
        <v/>
      </c>
      <c r="J474" s="8" t="str">
        <f ca="1">IF($L474="","",INDEX('Veri Merkezi'!$S$2:$S$1001,$L474))</f>
        <v/>
      </c>
      <c r="K474" s="8" t="str">
        <f ca="1">IF($L474="","",INDEX('Veri Merkezi'!$U$2:$U$1001,$L474))</f>
        <v/>
      </c>
      <c r="L474" s="8" t="str">
        <f ca="1">IFERROR(MATCH(ROWS($L$4:L474),'Veri Merkezi'!$W$2:$W$1001,0),"")</f>
        <v/>
      </c>
    </row>
    <row r="475" spans="1:12" ht="20" customHeight="1">
      <c r="A475" s="8" t="str">
        <f ca="1">IF($L475="","",ROWS($A$4:A475))</f>
        <v/>
      </c>
      <c r="B475" s="8" t="str">
        <f ca="1">IF($L475="","",INDEX('Veri Merkezi'!$A$2:$A$1001,$L475))</f>
        <v/>
      </c>
      <c r="C475" s="8" t="str">
        <f ca="1">IF($L475="","",INDEX('Veri Merkezi'!$E$2:$E$1001,$L475))</f>
        <v/>
      </c>
      <c r="D475" s="8" t="str">
        <f ca="1">IF($L475="","",INDEX('Veri Merkezi'!$D$2:$D$1001,$L475))</f>
        <v/>
      </c>
      <c r="E475" s="8" t="str">
        <f ca="1">IF($L475="","",INDEX('Veri Merkezi'!$F$2:$F$1001,$L475))</f>
        <v/>
      </c>
      <c r="F475" s="9" t="str">
        <f ca="1">IF($L475="","",INDEX('Veri Merkezi'!$G$2:$G$1001,$L475))</f>
        <v/>
      </c>
      <c r="H475" s="8" t="str">
        <f ca="1">IF($L475="","",INDEX('Veri Merkezi'!$H$2:$H$1001,$L475))</f>
        <v/>
      </c>
      <c r="I475" s="10" t="str">
        <f ca="1">IF($L475="","",INDEX('Veri Merkezi'!$R$2:$R$1001,$L475))</f>
        <v/>
      </c>
      <c r="J475" s="8" t="str">
        <f ca="1">IF($L475="","",INDEX('Veri Merkezi'!$S$2:$S$1001,$L475))</f>
        <v/>
      </c>
      <c r="K475" s="8" t="str">
        <f ca="1">IF($L475="","",INDEX('Veri Merkezi'!$U$2:$U$1001,$L475))</f>
        <v/>
      </c>
      <c r="L475" s="8" t="str">
        <f ca="1">IFERROR(MATCH(ROWS($L$4:L475),'Veri Merkezi'!$W$2:$W$1001,0),"")</f>
        <v/>
      </c>
    </row>
    <row r="476" spans="1:12" ht="20" customHeight="1">
      <c r="A476" s="8" t="str">
        <f ca="1">IF($L476="","",ROWS($A$4:A476))</f>
        <v/>
      </c>
      <c r="B476" s="8" t="str">
        <f ca="1">IF($L476="","",INDEX('Veri Merkezi'!$A$2:$A$1001,$L476))</f>
        <v/>
      </c>
      <c r="C476" s="8" t="str">
        <f ca="1">IF($L476="","",INDEX('Veri Merkezi'!$E$2:$E$1001,$L476))</f>
        <v/>
      </c>
      <c r="D476" s="8" t="str">
        <f ca="1">IF($L476="","",INDEX('Veri Merkezi'!$D$2:$D$1001,$L476))</f>
        <v/>
      </c>
      <c r="E476" s="8" t="str">
        <f ca="1">IF($L476="","",INDEX('Veri Merkezi'!$F$2:$F$1001,$L476))</f>
        <v/>
      </c>
      <c r="F476" s="9" t="str">
        <f ca="1">IF($L476="","",INDEX('Veri Merkezi'!$G$2:$G$1001,$L476))</f>
        <v/>
      </c>
      <c r="H476" s="8" t="str">
        <f ca="1">IF($L476="","",INDEX('Veri Merkezi'!$H$2:$H$1001,$L476))</f>
        <v/>
      </c>
      <c r="I476" s="10" t="str">
        <f ca="1">IF($L476="","",INDEX('Veri Merkezi'!$R$2:$R$1001,$L476))</f>
        <v/>
      </c>
      <c r="J476" s="8" t="str">
        <f ca="1">IF($L476="","",INDEX('Veri Merkezi'!$S$2:$S$1001,$L476))</f>
        <v/>
      </c>
      <c r="K476" s="8" t="str">
        <f ca="1">IF($L476="","",INDEX('Veri Merkezi'!$U$2:$U$1001,$L476))</f>
        <v/>
      </c>
      <c r="L476" s="8" t="str">
        <f ca="1">IFERROR(MATCH(ROWS($L$4:L476),'Veri Merkezi'!$W$2:$W$1001,0),"")</f>
        <v/>
      </c>
    </row>
    <row r="477" spans="1:12" ht="20" customHeight="1">
      <c r="A477" s="8" t="str">
        <f ca="1">IF($L477="","",ROWS($A$4:A477))</f>
        <v/>
      </c>
      <c r="B477" s="8" t="str">
        <f ca="1">IF($L477="","",INDEX('Veri Merkezi'!$A$2:$A$1001,$L477))</f>
        <v/>
      </c>
      <c r="C477" s="8" t="str">
        <f ca="1">IF($L477="","",INDEX('Veri Merkezi'!$E$2:$E$1001,$L477))</f>
        <v/>
      </c>
      <c r="D477" s="8" t="str">
        <f ca="1">IF($L477="","",INDEX('Veri Merkezi'!$D$2:$D$1001,$L477))</f>
        <v/>
      </c>
      <c r="E477" s="8" t="str">
        <f ca="1">IF($L477="","",INDEX('Veri Merkezi'!$F$2:$F$1001,$L477))</f>
        <v/>
      </c>
      <c r="F477" s="9" t="str">
        <f ca="1">IF($L477="","",INDEX('Veri Merkezi'!$G$2:$G$1001,$L477))</f>
        <v/>
      </c>
      <c r="H477" s="8" t="str">
        <f ca="1">IF($L477="","",INDEX('Veri Merkezi'!$H$2:$H$1001,$L477))</f>
        <v/>
      </c>
      <c r="I477" s="10" t="str">
        <f ca="1">IF($L477="","",INDEX('Veri Merkezi'!$R$2:$R$1001,$L477))</f>
        <v/>
      </c>
      <c r="J477" s="8" t="str">
        <f ca="1">IF($L477="","",INDEX('Veri Merkezi'!$S$2:$S$1001,$L477))</f>
        <v/>
      </c>
      <c r="K477" s="8" t="str">
        <f ca="1">IF($L477="","",INDEX('Veri Merkezi'!$U$2:$U$1001,$L477))</f>
        <v/>
      </c>
      <c r="L477" s="8" t="str">
        <f ca="1">IFERROR(MATCH(ROWS($L$4:L477),'Veri Merkezi'!$W$2:$W$1001,0),"")</f>
        <v/>
      </c>
    </row>
    <row r="478" spans="1:12" ht="20" customHeight="1">
      <c r="A478" s="8" t="str">
        <f ca="1">IF($L478="","",ROWS($A$4:A478))</f>
        <v/>
      </c>
      <c r="B478" s="8" t="str">
        <f ca="1">IF($L478="","",INDEX('Veri Merkezi'!$A$2:$A$1001,$L478))</f>
        <v/>
      </c>
      <c r="C478" s="8" t="str">
        <f ca="1">IF($L478="","",INDEX('Veri Merkezi'!$E$2:$E$1001,$L478))</f>
        <v/>
      </c>
      <c r="D478" s="8" t="str">
        <f ca="1">IF($L478="","",INDEX('Veri Merkezi'!$D$2:$D$1001,$L478))</f>
        <v/>
      </c>
      <c r="E478" s="8" t="str">
        <f ca="1">IF($L478="","",INDEX('Veri Merkezi'!$F$2:$F$1001,$L478))</f>
        <v/>
      </c>
      <c r="F478" s="9" t="str">
        <f ca="1">IF($L478="","",INDEX('Veri Merkezi'!$G$2:$G$1001,$L478))</f>
        <v/>
      </c>
      <c r="H478" s="8" t="str">
        <f ca="1">IF($L478="","",INDEX('Veri Merkezi'!$H$2:$H$1001,$L478))</f>
        <v/>
      </c>
      <c r="I478" s="10" t="str">
        <f ca="1">IF($L478="","",INDEX('Veri Merkezi'!$R$2:$R$1001,$L478))</f>
        <v/>
      </c>
      <c r="J478" s="8" t="str">
        <f ca="1">IF($L478="","",INDEX('Veri Merkezi'!$S$2:$S$1001,$L478))</f>
        <v/>
      </c>
      <c r="K478" s="8" t="str">
        <f ca="1">IF($L478="","",INDEX('Veri Merkezi'!$U$2:$U$1001,$L478))</f>
        <v/>
      </c>
      <c r="L478" s="8" t="str">
        <f ca="1">IFERROR(MATCH(ROWS($L$4:L478),'Veri Merkezi'!$W$2:$W$1001,0),"")</f>
        <v/>
      </c>
    </row>
    <row r="479" spans="1:12" ht="20" customHeight="1">
      <c r="A479" s="8" t="str">
        <f ca="1">IF($L479="","",ROWS($A$4:A479))</f>
        <v/>
      </c>
      <c r="B479" s="8" t="str">
        <f ca="1">IF($L479="","",INDEX('Veri Merkezi'!$A$2:$A$1001,$L479))</f>
        <v/>
      </c>
      <c r="C479" s="8" t="str">
        <f ca="1">IF($L479="","",INDEX('Veri Merkezi'!$E$2:$E$1001,$L479))</f>
        <v/>
      </c>
      <c r="D479" s="8" t="str">
        <f ca="1">IF($L479="","",INDEX('Veri Merkezi'!$D$2:$D$1001,$L479))</f>
        <v/>
      </c>
      <c r="E479" s="8" t="str">
        <f ca="1">IF($L479="","",INDEX('Veri Merkezi'!$F$2:$F$1001,$L479))</f>
        <v/>
      </c>
      <c r="F479" s="9" t="str">
        <f ca="1">IF($L479="","",INDEX('Veri Merkezi'!$G$2:$G$1001,$L479))</f>
        <v/>
      </c>
      <c r="H479" s="8" t="str">
        <f ca="1">IF($L479="","",INDEX('Veri Merkezi'!$H$2:$H$1001,$L479))</f>
        <v/>
      </c>
      <c r="I479" s="10" t="str">
        <f ca="1">IF($L479="","",INDEX('Veri Merkezi'!$R$2:$R$1001,$L479))</f>
        <v/>
      </c>
      <c r="J479" s="8" t="str">
        <f ca="1">IF($L479="","",INDEX('Veri Merkezi'!$S$2:$S$1001,$L479))</f>
        <v/>
      </c>
      <c r="K479" s="8" t="str">
        <f ca="1">IF($L479="","",INDEX('Veri Merkezi'!$U$2:$U$1001,$L479))</f>
        <v/>
      </c>
      <c r="L479" s="8" t="str">
        <f ca="1">IFERROR(MATCH(ROWS($L$4:L479),'Veri Merkezi'!$W$2:$W$1001,0),"")</f>
        <v/>
      </c>
    </row>
    <row r="480" spans="1:12" ht="20" customHeight="1">
      <c r="A480" s="8" t="str">
        <f ca="1">IF($L480="","",ROWS($A$4:A480))</f>
        <v/>
      </c>
      <c r="B480" s="8" t="str">
        <f ca="1">IF($L480="","",INDEX('Veri Merkezi'!$A$2:$A$1001,$L480))</f>
        <v/>
      </c>
      <c r="C480" s="8" t="str">
        <f ca="1">IF($L480="","",INDEX('Veri Merkezi'!$E$2:$E$1001,$L480))</f>
        <v/>
      </c>
      <c r="D480" s="8" t="str">
        <f ca="1">IF($L480="","",INDEX('Veri Merkezi'!$D$2:$D$1001,$L480))</f>
        <v/>
      </c>
      <c r="E480" s="8" t="str">
        <f ca="1">IF($L480="","",INDEX('Veri Merkezi'!$F$2:$F$1001,$L480))</f>
        <v/>
      </c>
      <c r="F480" s="9" t="str">
        <f ca="1">IF($L480="","",INDEX('Veri Merkezi'!$G$2:$G$1001,$L480))</f>
        <v/>
      </c>
      <c r="H480" s="8" t="str">
        <f ca="1">IF($L480="","",INDEX('Veri Merkezi'!$H$2:$H$1001,$L480))</f>
        <v/>
      </c>
      <c r="I480" s="10" t="str">
        <f ca="1">IF($L480="","",INDEX('Veri Merkezi'!$R$2:$R$1001,$L480))</f>
        <v/>
      </c>
      <c r="J480" s="8" t="str">
        <f ca="1">IF($L480="","",INDEX('Veri Merkezi'!$S$2:$S$1001,$L480))</f>
        <v/>
      </c>
      <c r="K480" s="8" t="str">
        <f ca="1">IF($L480="","",INDEX('Veri Merkezi'!$U$2:$U$1001,$L480))</f>
        <v/>
      </c>
      <c r="L480" s="8" t="str">
        <f ca="1">IFERROR(MATCH(ROWS($L$4:L480),'Veri Merkezi'!$W$2:$W$1001,0),"")</f>
        <v/>
      </c>
    </row>
    <row r="481" spans="1:12" ht="20" customHeight="1">
      <c r="A481" s="8" t="str">
        <f ca="1">IF($L481="","",ROWS($A$4:A481))</f>
        <v/>
      </c>
      <c r="B481" s="8" t="str">
        <f ca="1">IF($L481="","",INDEX('Veri Merkezi'!$A$2:$A$1001,$L481))</f>
        <v/>
      </c>
      <c r="C481" s="8" t="str">
        <f ca="1">IF($L481="","",INDEX('Veri Merkezi'!$E$2:$E$1001,$L481))</f>
        <v/>
      </c>
      <c r="D481" s="8" t="str">
        <f ca="1">IF($L481="","",INDEX('Veri Merkezi'!$D$2:$D$1001,$L481))</f>
        <v/>
      </c>
      <c r="E481" s="8" t="str">
        <f ca="1">IF($L481="","",INDEX('Veri Merkezi'!$F$2:$F$1001,$L481))</f>
        <v/>
      </c>
      <c r="F481" s="9" t="str">
        <f ca="1">IF($L481="","",INDEX('Veri Merkezi'!$G$2:$G$1001,$L481))</f>
        <v/>
      </c>
      <c r="H481" s="8" t="str">
        <f ca="1">IF($L481="","",INDEX('Veri Merkezi'!$H$2:$H$1001,$L481))</f>
        <v/>
      </c>
      <c r="I481" s="10" t="str">
        <f ca="1">IF($L481="","",INDEX('Veri Merkezi'!$R$2:$R$1001,$L481))</f>
        <v/>
      </c>
      <c r="J481" s="8" t="str">
        <f ca="1">IF($L481="","",INDEX('Veri Merkezi'!$S$2:$S$1001,$L481))</f>
        <v/>
      </c>
      <c r="K481" s="8" t="str">
        <f ca="1">IF($L481="","",INDEX('Veri Merkezi'!$U$2:$U$1001,$L481))</f>
        <v/>
      </c>
      <c r="L481" s="8" t="str">
        <f ca="1">IFERROR(MATCH(ROWS($L$4:L481),'Veri Merkezi'!$W$2:$W$1001,0),"")</f>
        <v/>
      </c>
    </row>
    <row r="482" spans="1:12" ht="20" customHeight="1">
      <c r="A482" s="8" t="str">
        <f ca="1">IF($L482="","",ROWS($A$4:A482))</f>
        <v/>
      </c>
      <c r="B482" s="8" t="str">
        <f ca="1">IF($L482="","",INDEX('Veri Merkezi'!$A$2:$A$1001,$L482))</f>
        <v/>
      </c>
      <c r="C482" s="8" t="str">
        <f ca="1">IF($L482="","",INDEX('Veri Merkezi'!$E$2:$E$1001,$L482))</f>
        <v/>
      </c>
      <c r="D482" s="8" t="str">
        <f ca="1">IF($L482="","",INDEX('Veri Merkezi'!$D$2:$D$1001,$L482))</f>
        <v/>
      </c>
      <c r="E482" s="8" t="str">
        <f ca="1">IF($L482="","",INDEX('Veri Merkezi'!$F$2:$F$1001,$L482))</f>
        <v/>
      </c>
      <c r="F482" s="9" t="str">
        <f ca="1">IF($L482="","",INDEX('Veri Merkezi'!$G$2:$G$1001,$L482))</f>
        <v/>
      </c>
      <c r="H482" s="8" t="str">
        <f ca="1">IF($L482="","",INDEX('Veri Merkezi'!$H$2:$H$1001,$L482))</f>
        <v/>
      </c>
      <c r="I482" s="10" t="str">
        <f ca="1">IF($L482="","",INDEX('Veri Merkezi'!$R$2:$R$1001,$L482))</f>
        <v/>
      </c>
      <c r="J482" s="8" t="str">
        <f ca="1">IF($L482="","",INDEX('Veri Merkezi'!$S$2:$S$1001,$L482))</f>
        <v/>
      </c>
      <c r="K482" s="8" t="str">
        <f ca="1">IF($L482="","",INDEX('Veri Merkezi'!$U$2:$U$1001,$L482))</f>
        <v/>
      </c>
      <c r="L482" s="8" t="str">
        <f ca="1">IFERROR(MATCH(ROWS($L$4:L482),'Veri Merkezi'!$W$2:$W$1001,0),"")</f>
        <v/>
      </c>
    </row>
    <row r="483" spans="1:12" ht="20" customHeight="1">
      <c r="A483" s="8" t="str">
        <f ca="1">IF($L483="","",ROWS($A$4:A483))</f>
        <v/>
      </c>
      <c r="B483" s="8" t="str">
        <f ca="1">IF($L483="","",INDEX('Veri Merkezi'!$A$2:$A$1001,$L483))</f>
        <v/>
      </c>
      <c r="C483" s="8" t="str">
        <f ca="1">IF($L483="","",INDEX('Veri Merkezi'!$E$2:$E$1001,$L483))</f>
        <v/>
      </c>
      <c r="D483" s="8" t="str">
        <f ca="1">IF($L483="","",INDEX('Veri Merkezi'!$D$2:$D$1001,$L483))</f>
        <v/>
      </c>
      <c r="E483" s="8" t="str">
        <f ca="1">IF($L483="","",INDEX('Veri Merkezi'!$F$2:$F$1001,$L483))</f>
        <v/>
      </c>
      <c r="F483" s="9" t="str">
        <f ca="1">IF($L483="","",INDEX('Veri Merkezi'!$G$2:$G$1001,$L483))</f>
        <v/>
      </c>
      <c r="H483" s="8" t="str">
        <f ca="1">IF($L483="","",INDEX('Veri Merkezi'!$H$2:$H$1001,$L483))</f>
        <v/>
      </c>
      <c r="I483" s="10" t="str">
        <f ca="1">IF($L483="","",INDEX('Veri Merkezi'!$R$2:$R$1001,$L483))</f>
        <v/>
      </c>
      <c r="J483" s="8" t="str">
        <f ca="1">IF($L483="","",INDEX('Veri Merkezi'!$S$2:$S$1001,$L483))</f>
        <v/>
      </c>
      <c r="K483" s="8" t="str">
        <f ca="1">IF($L483="","",INDEX('Veri Merkezi'!$U$2:$U$1001,$L483))</f>
        <v/>
      </c>
      <c r="L483" s="8" t="str">
        <f ca="1">IFERROR(MATCH(ROWS($L$4:L483),'Veri Merkezi'!$W$2:$W$1001,0),"")</f>
        <v/>
      </c>
    </row>
    <row r="484" spans="1:12" ht="20" customHeight="1">
      <c r="A484" s="8" t="str">
        <f ca="1">IF($L484="","",ROWS($A$4:A484))</f>
        <v/>
      </c>
      <c r="B484" s="8" t="str">
        <f ca="1">IF($L484="","",INDEX('Veri Merkezi'!$A$2:$A$1001,$L484))</f>
        <v/>
      </c>
      <c r="C484" s="8" t="str">
        <f ca="1">IF($L484="","",INDEX('Veri Merkezi'!$E$2:$E$1001,$L484))</f>
        <v/>
      </c>
      <c r="D484" s="8" t="str">
        <f ca="1">IF($L484="","",INDEX('Veri Merkezi'!$D$2:$D$1001,$L484))</f>
        <v/>
      </c>
      <c r="E484" s="8" t="str">
        <f ca="1">IF($L484="","",INDEX('Veri Merkezi'!$F$2:$F$1001,$L484))</f>
        <v/>
      </c>
      <c r="F484" s="9" t="str">
        <f ca="1">IF($L484="","",INDEX('Veri Merkezi'!$G$2:$G$1001,$L484))</f>
        <v/>
      </c>
      <c r="H484" s="8" t="str">
        <f ca="1">IF($L484="","",INDEX('Veri Merkezi'!$H$2:$H$1001,$L484))</f>
        <v/>
      </c>
      <c r="I484" s="10" t="str">
        <f ca="1">IF($L484="","",INDEX('Veri Merkezi'!$R$2:$R$1001,$L484))</f>
        <v/>
      </c>
      <c r="J484" s="8" t="str">
        <f ca="1">IF($L484="","",INDEX('Veri Merkezi'!$S$2:$S$1001,$L484))</f>
        <v/>
      </c>
      <c r="K484" s="8" t="str">
        <f ca="1">IF($L484="","",INDEX('Veri Merkezi'!$U$2:$U$1001,$L484))</f>
        <v/>
      </c>
      <c r="L484" s="8" t="str">
        <f ca="1">IFERROR(MATCH(ROWS($L$4:L484),'Veri Merkezi'!$W$2:$W$1001,0),"")</f>
        <v/>
      </c>
    </row>
    <row r="485" spans="1:12" ht="20" customHeight="1">
      <c r="A485" s="8" t="str">
        <f ca="1">IF($L485="","",ROWS($A$4:A485))</f>
        <v/>
      </c>
      <c r="B485" s="8" t="str">
        <f ca="1">IF($L485="","",INDEX('Veri Merkezi'!$A$2:$A$1001,$L485))</f>
        <v/>
      </c>
      <c r="C485" s="8" t="str">
        <f ca="1">IF($L485="","",INDEX('Veri Merkezi'!$E$2:$E$1001,$L485))</f>
        <v/>
      </c>
      <c r="D485" s="8" t="str">
        <f ca="1">IF($L485="","",INDEX('Veri Merkezi'!$D$2:$D$1001,$L485))</f>
        <v/>
      </c>
      <c r="E485" s="8" t="str">
        <f ca="1">IF($L485="","",INDEX('Veri Merkezi'!$F$2:$F$1001,$L485))</f>
        <v/>
      </c>
      <c r="F485" s="9" t="str">
        <f ca="1">IF($L485="","",INDEX('Veri Merkezi'!$G$2:$G$1001,$L485))</f>
        <v/>
      </c>
      <c r="H485" s="8" t="str">
        <f ca="1">IF($L485="","",INDEX('Veri Merkezi'!$H$2:$H$1001,$L485))</f>
        <v/>
      </c>
      <c r="I485" s="10" t="str">
        <f ca="1">IF($L485="","",INDEX('Veri Merkezi'!$R$2:$R$1001,$L485))</f>
        <v/>
      </c>
      <c r="J485" s="8" t="str">
        <f ca="1">IF($L485="","",INDEX('Veri Merkezi'!$S$2:$S$1001,$L485))</f>
        <v/>
      </c>
      <c r="K485" s="8" t="str">
        <f ca="1">IF($L485="","",INDEX('Veri Merkezi'!$U$2:$U$1001,$L485))</f>
        <v/>
      </c>
      <c r="L485" s="8" t="str">
        <f ca="1">IFERROR(MATCH(ROWS($L$4:L485),'Veri Merkezi'!$W$2:$W$1001,0),"")</f>
        <v/>
      </c>
    </row>
    <row r="486" spans="1:12" ht="20" customHeight="1">
      <c r="A486" s="8" t="str">
        <f ca="1">IF($L486="","",ROWS($A$4:A486))</f>
        <v/>
      </c>
      <c r="B486" s="8" t="str">
        <f ca="1">IF($L486="","",INDEX('Veri Merkezi'!$A$2:$A$1001,$L486))</f>
        <v/>
      </c>
      <c r="C486" s="8" t="str">
        <f ca="1">IF($L486="","",INDEX('Veri Merkezi'!$E$2:$E$1001,$L486))</f>
        <v/>
      </c>
      <c r="D486" s="8" t="str">
        <f ca="1">IF($L486="","",INDEX('Veri Merkezi'!$D$2:$D$1001,$L486))</f>
        <v/>
      </c>
      <c r="E486" s="8" t="str">
        <f ca="1">IF($L486="","",INDEX('Veri Merkezi'!$F$2:$F$1001,$L486))</f>
        <v/>
      </c>
      <c r="F486" s="9" t="str">
        <f ca="1">IF($L486="","",INDEX('Veri Merkezi'!$G$2:$G$1001,$L486))</f>
        <v/>
      </c>
      <c r="H486" s="8" t="str">
        <f ca="1">IF($L486="","",INDEX('Veri Merkezi'!$H$2:$H$1001,$L486))</f>
        <v/>
      </c>
      <c r="I486" s="10" t="str">
        <f ca="1">IF($L486="","",INDEX('Veri Merkezi'!$R$2:$R$1001,$L486))</f>
        <v/>
      </c>
      <c r="J486" s="8" t="str">
        <f ca="1">IF($L486="","",INDEX('Veri Merkezi'!$S$2:$S$1001,$L486))</f>
        <v/>
      </c>
      <c r="K486" s="8" t="str">
        <f ca="1">IF($L486="","",INDEX('Veri Merkezi'!$U$2:$U$1001,$L486))</f>
        <v/>
      </c>
      <c r="L486" s="8" t="str">
        <f ca="1">IFERROR(MATCH(ROWS($L$4:L486),'Veri Merkezi'!$W$2:$W$1001,0),"")</f>
        <v/>
      </c>
    </row>
    <row r="487" spans="1:12" ht="20" customHeight="1">
      <c r="A487" s="8" t="str">
        <f ca="1">IF($L487="","",ROWS($A$4:A487))</f>
        <v/>
      </c>
      <c r="B487" s="8" t="str">
        <f ca="1">IF($L487="","",INDEX('Veri Merkezi'!$A$2:$A$1001,$L487))</f>
        <v/>
      </c>
      <c r="C487" s="8" t="str">
        <f ca="1">IF($L487="","",INDEX('Veri Merkezi'!$E$2:$E$1001,$L487))</f>
        <v/>
      </c>
      <c r="D487" s="8" t="str">
        <f ca="1">IF($L487="","",INDEX('Veri Merkezi'!$D$2:$D$1001,$L487))</f>
        <v/>
      </c>
      <c r="E487" s="8" t="str">
        <f ca="1">IF($L487="","",INDEX('Veri Merkezi'!$F$2:$F$1001,$L487))</f>
        <v/>
      </c>
      <c r="F487" s="9" t="str">
        <f ca="1">IF($L487="","",INDEX('Veri Merkezi'!$G$2:$G$1001,$L487))</f>
        <v/>
      </c>
      <c r="H487" s="8" t="str">
        <f ca="1">IF($L487="","",INDEX('Veri Merkezi'!$H$2:$H$1001,$L487))</f>
        <v/>
      </c>
      <c r="I487" s="10" t="str">
        <f ca="1">IF($L487="","",INDEX('Veri Merkezi'!$R$2:$R$1001,$L487))</f>
        <v/>
      </c>
      <c r="J487" s="8" t="str">
        <f ca="1">IF($L487="","",INDEX('Veri Merkezi'!$S$2:$S$1001,$L487))</f>
        <v/>
      </c>
      <c r="K487" s="8" t="str">
        <f ca="1">IF($L487="","",INDEX('Veri Merkezi'!$U$2:$U$1001,$L487))</f>
        <v/>
      </c>
      <c r="L487" s="8" t="str">
        <f ca="1">IFERROR(MATCH(ROWS($L$4:L487),'Veri Merkezi'!$W$2:$W$1001,0),"")</f>
        <v/>
      </c>
    </row>
    <row r="488" spans="1:12" ht="20" customHeight="1">
      <c r="A488" s="8" t="str">
        <f ca="1">IF($L488="","",ROWS($A$4:A488))</f>
        <v/>
      </c>
      <c r="B488" s="8" t="str">
        <f ca="1">IF($L488="","",INDEX('Veri Merkezi'!$A$2:$A$1001,$L488))</f>
        <v/>
      </c>
      <c r="C488" s="8" t="str">
        <f ca="1">IF($L488="","",INDEX('Veri Merkezi'!$E$2:$E$1001,$L488))</f>
        <v/>
      </c>
      <c r="D488" s="8" t="str">
        <f ca="1">IF($L488="","",INDEX('Veri Merkezi'!$D$2:$D$1001,$L488))</f>
        <v/>
      </c>
      <c r="E488" s="8" t="str">
        <f ca="1">IF($L488="","",INDEX('Veri Merkezi'!$F$2:$F$1001,$L488))</f>
        <v/>
      </c>
      <c r="F488" s="9" t="str">
        <f ca="1">IF($L488="","",INDEX('Veri Merkezi'!$G$2:$G$1001,$L488))</f>
        <v/>
      </c>
      <c r="H488" s="8" t="str">
        <f ca="1">IF($L488="","",INDEX('Veri Merkezi'!$H$2:$H$1001,$L488))</f>
        <v/>
      </c>
      <c r="I488" s="10" t="str">
        <f ca="1">IF($L488="","",INDEX('Veri Merkezi'!$R$2:$R$1001,$L488))</f>
        <v/>
      </c>
      <c r="J488" s="8" t="str">
        <f ca="1">IF($L488="","",INDEX('Veri Merkezi'!$S$2:$S$1001,$L488))</f>
        <v/>
      </c>
      <c r="K488" s="8" t="str">
        <f ca="1">IF($L488="","",INDEX('Veri Merkezi'!$U$2:$U$1001,$L488))</f>
        <v/>
      </c>
      <c r="L488" s="8" t="str">
        <f ca="1">IFERROR(MATCH(ROWS($L$4:L488),'Veri Merkezi'!$W$2:$W$1001,0),"")</f>
        <v/>
      </c>
    </row>
    <row r="489" spans="1:12" ht="20" customHeight="1">
      <c r="A489" s="8" t="str">
        <f ca="1">IF($L489="","",ROWS($A$4:A489))</f>
        <v/>
      </c>
      <c r="B489" s="8" t="str">
        <f ca="1">IF($L489="","",INDEX('Veri Merkezi'!$A$2:$A$1001,$L489))</f>
        <v/>
      </c>
      <c r="C489" s="8" t="str">
        <f ca="1">IF($L489="","",INDEX('Veri Merkezi'!$E$2:$E$1001,$L489))</f>
        <v/>
      </c>
      <c r="D489" s="8" t="str">
        <f ca="1">IF($L489="","",INDEX('Veri Merkezi'!$D$2:$D$1001,$L489))</f>
        <v/>
      </c>
      <c r="E489" s="8" t="str">
        <f ca="1">IF($L489="","",INDEX('Veri Merkezi'!$F$2:$F$1001,$L489))</f>
        <v/>
      </c>
      <c r="F489" s="9" t="str">
        <f ca="1">IF($L489="","",INDEX('Veri Merkezi'!$G$2:$G$1001,$L489))</f>
        <v/>
      </c>
      <c r="H489" s="8" t="str">
        <f ca="1">IF($L489="","",INDEX('Veri Merkezi'!$H$2:$H$1001,$L489))</f>
        <v/>
      </c>
      <c r="I489" s="10" t="str">
        <f ca="1">IF($L489="","",INDEX('Veri Merkezi'!$R$2:$R$1001,$L489))</f>
        <v/>
      </c>
      <c r="J489" s="8" t="str">
        <f ca="1">IF($L489="","",INDEX('Veri Merkezi'!$S$2:$S$1001,$L489))</f>
        <v/>
      </c>
      <c r="K489" s="8" t="str">
        <f ca="1">IF($L489="","",INDEX('Veri Merkezi'!$U$2:$U$1001,$L489))</f>
        <v/>
      </c>
      <c r="L489" s="8" t="str">
        <f ca="1">IFERROR(MATCH(ROWS($L$4:L489),'Veri Merkezi'!$W$2:$W$1001,0),"")</f>
        <v/>
      </c>
    </row>
    <row r="490" spans="1:12" ht="20" customHeight="1">
      <c r="A490" s="8" t="str">
        <f ca="1">IF($L490="","",ROWS($A$4:A490))</f>
        <v/>
      </c>
      <c r="B490" s="8" t="str">
        <f ca="1">IF($L490="","",INDEX('Veri Merkezi'!$A$2:$A$1001,$L490))</f>
        <v/>
      </c>
      <c r="C490" s="8" t="str">
        <f ca="1">IF($L490="","",INDEX('Veri Merkezi'!$E$2:$E$1001,$L490))</f>
        <v/>
      </c>
      <c r="D490" s="8" t="str">
        <f ca="1">IF($L490="","",INDEX('Veri Merkezi'!$D$2:$D$1001,$L490))</f>
        <v/>
      </c>
      <c r="E490" s="8" t="str">
        <f ca="1">IF($L490="","",INDEX('Veri Merkezi'!$F$2:$F$1001,$L490))</f>
        <v/>
      </c>
      <c r="F490" s="9" t="str">
        <f ca="1">IF($L490="","",INDEX('Veri Merkezi'!$G$2:$G$1001,$L490))</f>
        <v/>
      </c>
      <c r="H490" s="8" t="str">
        <f ca="1">IF($L490="","",INDEX('Veri Merkezi'!$H$2:$H$1001,$L490))</f>
        <v/>
      </c>
      <c r="I490" s="10" t="str">
        <f ca="1">IF($L490="","",INDEX('Veri Merkezi'!$R$2:$R$1001,$L490))</f>
        <v/>
      </c>
      <c r="J490" s="8" t="str">
        <f ca="1">IF($L490="","",INDEX('Veri Merkezi'!$S$2:$S$1001,$L490))</f>
        <v/>
      </c>
      <c r="K490" s="8" t="str">
        <f ca="1">IF($L490="","",INDEX('Veri Merkezi'!$U$2:$U$1001,$L490))</f>
        <v/>
      </c>
      <c r="L490" s="8" t="str">
        <f ca="1">IFERROR(MATCH(ROWS($L$4:L490),'Veri Merkezi'!$W$2:$W$1001,0),"")</f>
        <v/>
      </c>
    </row>
    <row r="491" spans="1:12" ht="20" customHeight="1">
      <c r="A491" s="8" t="str">
        <f ca="1">IF($L491="","",ROWS($A$4:A491))</f>
        <v/>
      </c>
      <c r="B491" s="8" t="str">
        <f ca="1">IF($L491="","",INDEX('Veri Merkezi'!$A$2:$A$1001,$L491))</f>
        <v/>
      </c>
      <c r="C491" s="8" t="str">
        <f ca="1">IF($L491="","",INDEX('Veri Merkezi'!$E$2:$E$1001,$L491))</f>
        <v/>
      </c>
      <c r="D491" s="8" t="str">
        <f ca="1">IF($L491="","",INDEX('Veri Merkezi'!$D$2:$D$1001,$L491))</f>
        <v/>
      </c>
      <c r="E491" s="8" t="str">
        <f ca="1">IF($L491="","",INDEX('Veri Merkezi'!$F$2:$F$1001,$L491))</f>
        <v/>
      </c>
      <c r="F491" s="9" t="str">
        <f ca="1">IF($L491="","",INDEX('Veri Merkezi'!$G$2:$G$1001,$L491))</f>
        <v/>
      </c>
      <c r="H491" s="8" t="str">
        <f ca="1">IF($L491="","",INDEX('Veri Merkezi'!$H$2:$H$1001,$L491))</f>
        <v/>
      </c>
      <c r="I491" s="10" t="str">
        <f ca="1">IF($L491="","",INDEX('Veri Merkezi'!$R$2:$R$1001,$L491))</f>
        <v/>
      </c>
      <c r="J491" s="8" t="str">
        <f ca="1">IF($L491="","",INDEX('Veri Merkezi'!$S$2:$S$1001,$L491))</f>
        <v/>
      </c>
      <c r="K491" s="8" t="str">
        <f ca="1">IF($L491="","",INDEX('Veri Merkezi'!$U$2:$U$1001,$L491))</f>
        <v/>
      </c>
      <c r="L491" s="8" t="str">
        <f ca="1">IFERROR(MATCH(ROWS($L$4:L491),'Veri Merkezi'!$W$2:$W$1001,0),"")</f>
        <v/>
      </c>
    </row>
    <row r="492" spans="1:12" ht="20" customHeight="1">
      <c r="A492" s="8" t="str">
        <f ca="1">IF($L492="","",ROWS($A$4:A492))</f>
        <v/>
      </c>
      <c r="B492" s="8" t="str">
        <f ca="1">IF($L492="","",INDEX('Veri Merkezi'!$A$2:$A$1001,$L492))</f>
        <v/>
      </c>
      <c r="C492" s="8" t="str">
        <f ca="1">IF($L492="","",INDEX('Veri Merkezi'!$E$2:$E$1001,$L492))</f>
        <v/>
      </c>
      <c r="D492" s="8" t="str">
        <f ca="1">IF($L492="","",INDEX('Veri Merkezi'!$D$2:$D$1001,$L492))</f>
        <v/>
      </c>
      <c r="E492" s="8" t="str">
        <f ca="1">IF($L492="","",INDEX('Veri Merkezi'!$F$2:$F$1001,$L492))</f>
        <v/>
      </c>
      <c r="F492" s="9" t="str">
        <f ca="1">IF($L492="","",INDEX('Veri Merkezi'!$G$2:$G$1001,$L492))</f>
        <v/>
      </c>
      <c r="H492" s="8" t="str">
        <f ca="1">IF($L492="","",INDEX('Veri Merkezi'!$H$2:$H$1001,$L492))</f>
        <v/>
      </c>
      <c r="I492" s="10" t="str">
        <f ca="1">IF($L492="","",INDEX('Veri Merkezi'!$R$2:$R$1001,$L492))</f>
        <v/>
      </c>
      <c r="J492" s="8" t="str">
        <f ca="1">IF($L492="","",INDEX('Veri Merkezi'!$S$2:$S$1001,$L492))</f>
        <v/>
      </c>
      <c r="K492" s="8" t="str">
        <f ca="1">IF($L492="","",INDEX('Veri Merkezi'!$U$2:$U$1001,$L492))</f>
        <v/>
      </c>
      <c r="L492" s="8" t="str">
        <f ca="1">IFERROR(MATCH(ROWS($L$4:L492),'Veri Merkezi'!$W$2:$W$1001,0),"")</f>
        <v/>
      </c>
    </row>
    <row r="493" spans="1:12" ht="20" customHeight="1">
      <c r="A493" s="8" t="str">
        <f ca="1">IF($L493="","",ROWS($A$4:A493))</f>
        <v/>
      </c>
      <c r="B493" s="8" t="str">
        <f ca="1">IF($L493="","",INDEX('Veri Merkezi'!$A$2:$A$1001,$L493))</f>
        <v/>
      </c>
      <c r="C493" s="8" t="str">
        <f ca="1">IF($L493="","",INDEX('Veri Merkezi'!$E$2:$E$1001,$L493))</f>
        <v/>
      </c>
      <c r="D493" s="8" t="str">
        <f ca="1">IF($L493="","",INDEX('Veri Merkezi'!$D$2:$D$1001,$L493))</f>
        <v/>
      </c>
      <c r="E493" s="8" t="str">
        <f ca="1">IF($L493="","",INDEX('Veri Merkezi'!$F$2:$F$1001,$L493))</f>
        <v/>
      </c>
      <c r="F493" s="9" t="str">
        <f ca="1">IF($L493="","",INDEX('Veri Merkezi'!$G$2:$G$1001,$L493))</f>
        <v/>
      </c>
      <c r="H493" s="8" t="str">
        <f ca="1">IF($L493="","",INDEX('Veri Merkezi'!$H$2:$H$1001,$L493))</f>
        <v/>
      </c>
      <c r="I493" s="10" t="str">
        <f ca="1">IF($L493="","",INDEX('Veri Merkezi'!$R$2:$R$1001,$L493))</f>
        <v/>
      </c>
      <c r="J493" s="8" t="str">
        <f ca="1">IF($L493="","",INDEX('Veri Merkezi'!$S$2:$S$1001,$L493))</f>
        <v/>
      </c>
      <c r="K493" s="8" t="str">
        <f ca="1">IF($L493="","",INDEX('Veri Merkezi'!$U$2:$U$1001,$L493))</f>
        <v/>
      </c>
      <c r="L493" s="8" t="str">
        <f ca="1">IFERROR(MATCH(ROWS($L$4:L493),'Veri Merkezi'!$W$2:$W$1001,0),"")</f>
        <v/>
      </c>
    </row>
    <row r="494" spans="1:12" ht="20" customHeight="1">
      <c r="A494" s="8" t="str">
        <f ca="1">IF($L494="","",ROWS($A$4:A494))</f>
        <v/>
      </c>
      <c r="B494" s="8" t="str">
        <f ca="1">IF($L494="","",INDEX('Veri Merkezi'!$A$2:$A$1001,$L494))</f>
        <v/>
      </c>
      <c r="C494" s="8" t="str">
        <f ca="1">IF($L494="","",INDEX('Veri Merkezi'!$E$2:$E$1001,$L494))</f>
        <v/>
      </c>
      <c r="D494" s="8" t="str">
        <f ca="1">IF($L494="","",INDEX('Veri Merkezi'!$D$2:$D$1001,$L494))</f>
        <v/>
      </c>
      <c r="E494" s="8" t="str">
        <f ca="1">IF($L494="","",INDEX('Veri Merkezi'!$F$2:$F$1001,$L494))</f>
        <v/>
      </c>
      <c r="F494" s="9" t="str">
        <f ca="1">IF($L494="","",INDEX('Veri Merkezi'!$G$2:$G$1001,$L494))</f>
        <v/>
      </c>
      <c r="H494" s="8" t="str">
        <f ca="1">IF($L494="","",INDEX('Veri Merkezi'!$H$2:$H$1001,$L494))</f>
        <v/>
      </c>
      <c r="I494" s="10" t="str">
        <f ca="1">IF($L494="","",INDEX('Veri Merkezi'!$R$2:$R$1001,$L494))</f>
        <v/>
      </c>
      <c r="J494" s="8" t="str">
        <f ca="1">IF($L494="","",INDEX('Veri Merkezi'!$S$2:$S$1001,$L494))</f>
        <v/>
      </c>
      <c r="K494" s="8" t="str">
        <f ca="1">IF($L494="","",INDEX('Veri Merkezi'!$U$2:$U$1001,$L494))</f>
        <v/>
      </c>
      <c r="L494" s="8" t="str">
        <f ca="1">IFERROR(MATCH(ROWS($L$4:L494),'Veri Merkezi'!$W$2:$W$1001,0),"")</f>
        <v/>
      </c>
    </row>
    <row r="495" spans="1:12" ht="20" customHeight="1">
      <c r="A495" s="8" t="str">
        <f ca="1">IF($L495="","",ROWS($A$4:A495))</f>
        <v/>
      </c>
      <c r="B495" s="8" t="str">
        <f ca="1">IF($L495="","",INDEX('Veri Merkezi'!$A$2:$A$1001,$L495))</f>
        <v/>
      </c>
      <c r="C495" s="8" t="str">
        <f ca="1">IF($L495="","",INDEX('Veri Merkezi'!$E$2:$E$1001,$L495))</f>
        <v/>
      </c>
      <c r="D495" s="8" t="str">
        <f ca="1">IF($L495="","",INDEX('Veri Merkezi'!$D$2:$D$1001,$L495))</f>
        <v/>
      </c>
      <c r="E495" s="8" t="str">
        <f ca="1">IF($L495="","",INDEX('Veri Merkezi'!$F$2:$F$1001,$L495))</f>
        <v/>
      </c>
      <c r="F495" s="9" t="str">
        <f ca="1">IF($L495="","",INDEX('Veri Merkezi'!$G$2:$G$1001,$L495))</f>
        <v/>
      </c>
      <c r="H495" s="8" t="str">
        <f ca="1">IF($L495="","",INDEX('Veri Merkezi'!$H$2:$H$1001,$L495))</f>
        <v/>
      </c>
      <c r="I495" s="10" t="str">
        <f ca="1">IF($L495="","",INDEX('Veri Merkezi'!$R$2:$R$1001,$L495))</f>
        <v/>
      </c>
      <c r="J495" s="8" t="str">
        <f ca="1">IF($L495="","",INDEX('Veri Merkezi'!$S$2:$S$1001,$L495))</f>
        <v/>
      </c>
      <c r="K495" s="8" t="str">
        <f ca="1">IF($L495="","",INDEX('Veri Merkezi'!$U$2:$U$1001,$L495))</f>
        <v/>
      </c>
      <c r="L495" s="8" t="str">
        <f ca="1">IFERROR(MATCH(ROWS($L$4:L495),'Veri Merkezi'!$W$2:$W$1001,0),"")</f>
        <v/>
      </c>
    </row>
    <row r="496" spans="1:12" ht="20" customHeight="1">
      <c r="A496" s="8" t="str">
        <f ca="1">IF($L496="","",ROWS($A$4:A496))</f>
        <v/>
      </c>
      <c r="B496" s="8" t="str">
        <f ca="1">IF($L496="","",INDEX('Veri Merkezi'!$A$2:$A$1001,$L496))</f>
        <v/>
      </c>
      <c r="C496" s="8" t="str">
        <f ca="1">IF($L496="","",INDEX('Veri Merkezi'!$E$2:$E$1001,$L496))</f>
        <v/>
      </c>
      <c r="D496" s="8" t="str">
        <f ca="1">IF($L496="","",INDEX('Veri Merkezi'!$D$2:$D$1001,$L496))</f>
        <v/>
      </c>
      <c r="E496" s="8" t="str">
        <f ca="1">IF($L496="","",INDEX('Veri Merkezi'!$F$2:$F$1001,$L496))</f>
        <v/>
      </c>
      <c r="F496" s="9" t="str">
        <f ca="1">IF($L496="","",INDEX('Veri Merkezi'!$G$2:$G$1001,$L496))</f>
        <v/>
      </c>
      <c r="H496" s="8" t="str">
        <f ca="1">IF($L496="","",INDEX('Veri Merkezi'!$H$2:$H$1001,$L496))</f>
        <v/>
      </c>
      <c r="I496" s="10" t="str">
        <f ca="1">IF($L496="","",INDEX('Veri Merkezi'!$R$2:$R$1001,$L496))</f>
        <v/>
      </c>
      <c r="J496" s="8" t="str">
        <f ca="1">IF($L496="","",INDEX('Veri Merkezi'!$S$2:$S$1001,$L496))</f>
        <v/>
      </c>
      <c r="K496" s="8" t="str">
        <f ca="1">IF($L496="","",INDEX('Veri Merkezi'!$U$2:$U$1001,$L496))</f>
        <v/>
      </c>
      <c r="L496" s="8" t="str">
        <f ca="1">IFERROR(MATCH(ROWS($L$4:L496),'Veri Merkezi'!$W$2:$W$1001,0),"")</f>
        <v/>
      </c>
    </row>
    <row r="497" spans="1:12" ht="20" customHeight="1">
      <c r="A497" s="8" t="str">
        <f ca="1">IF($L497="","",ROWS($A$4:A497))</f>
        <v/>
      </c>
      <c r="B497" s="8" t="str">
        <f ca="1">IF($L497="","",INDEX('Veri Merkezi'!$A$2:$A$1001,$L497))</f>
        <v/>
      </c>
      <c r="C497" s="8" t="str">
        <f ca="1">IF($L497="","",INDEX('Veri Merkezi'!$E$2:$E$1001,$L497))</f>
        <v/>
      </c>
      <c r="D497" s="8" t="str">
        <f ca="1">IF($L497="","",INDEX('Veri Merkezi'!$D$2:$D$1001,$L497))</f>
        <v/>
      </c>
      <c r="E497" s="8" t="str">
        <f ca="1">IF($L497="","",INDEX('Veri Merkezi'!$F$2:$F$1001,$L497))</f>
        <v/>
      </c>
      <c r="F497" s="9" t="str">
        <f ca="1">IF($L497="","",INDEX('Veri Merkezi'!$G$2:$G$1001,$L497))</f>
        <v/>
      </c>
      <c r="H497" s="8" t="str">
        <f ca="1">IF($L497="","",INDEX('Veri Merkezi'!$H$2:$H$1001,$L497))</f>
        <v/>
      </c>
      <c r="I497" s="10" t="str">
        <f ca="1">IF($L497="","",INDEX('Veri Merkezi'!$R$2:$R$1001,$L497))</f>
        <v/>
      </c>
      <c r="J497" s="8" t="str">
        <f ca="1">IF($L497="","",INDEX('Veri Merkezi'!$S$2:$S$1001,$L497))</f>
        <v/>
      </c>
      <c r="K497" s="8" t="str">
        <f ca="1">IF($L497="","",INDEX('Veri Merkezi'!$U$2:$U$1001,$L497))</f>
        <v/>
      </c>
      <c r="L497" s="8" t="str">
        <f ca="1">IFERROR(MATCH(ROWS($L$4:L497),'Veri Merkezi'!$W$2:$W$1001,0),"")</f>
        <v/>
      </c>
    </row>
    <row r="498" spans="1:12" ht="20" customHeight="1">
      <c r="A498" s="8" t="str">
        <f ca="1">IF($L498="","",ROWS($A$4:A498))</f>
        <v/>
      </c>
      <c r="B498" s="8" t="str">
        <f ca="1">IF($L498="","",INDEX('Veri Merkezi'!$A$2:$A$1001,$L498))</f>
        <v/>
      </c>
      <c r="C498" s="8" t="str">
        <f ca="1">IF($L498="","",INDEX('Veri Merkezi'!$E$2:$E$1001,$L498))</f>
        <v/>
      </c>
      <c r="D498" s="8" t="str">
        <f ca="1">IF($L498="","",INDEX('Veri Merkezi'!$D$2:$D$1001,$L498))</f>
        <v/>
      </c>
      <c r="E498" s="8" t="str">
        <f ca="1">IF($L498="","",INDEX('Veri Merkezi'!$F$2:$F$1001,$L498))</f>
        <v/>
      </c>
      <c r="F498" s="9" t="str">
        <f ca="1">IF($L498="","",INDEX('Veri Merkezi'!$G$2:$G$1001,$L498))</f>
        <v/>
      </c>
      <c r="H498" s="8" t="str">
        <f ca="1">IF($L498="","",INDEX('Veri Merkezi'!$H$2:$H$1001,$L498))</f>
        <v/>
      </c>
      <c r="I498" s="10" t="str">
        <f ca="1">IF($L498="","",INDEX('Veri Merkezi'!$R$2:$R$1001,$L498))</f>
        <v/>
      </c>
      <c r="J498" s="8" t="str">
        <f ca="1">IF($L498="","",INDEX('Veri Merkezi'!$S$2:$S$1001,$L498))</f>
        <v/>
      </c>
      <c r="K498" s="8" t="str">
        <f ca="1">IF($L498="","",INDEX('Veri Merkezi'!$U$2:$U$1001,$L498))</f>
        <v/>
      </c>
      <c r="L498" s="8" t="str">
        <f ca="1">IFERROR(MATCH(ROWS($L$4:L498),'Veri Merkezi'!$W$2:$W$1001,0),"")</f>
        <v/>
      </c>
    </row>
    <row r="499" spans="1:12" ht="20" customHeight="1">
      <c r="A499" s="8" t="str">
        <f ca="1">IF($L499="","",ROWS($A$4:A499))</f>
        <v/>
      </c>
      <c r="B499" s="8" t="str">
        <f ca="1">IF($L499="","",INDEX('Veri Merkezi'!$A$2:$A$1001,$L499))</f>
        <v/>
      </c>
      <c r="C499" s="8" t="str">
        <f ca="1">IF($L499="","",INDEX('Veri Merkezi'!$E$2:$E$1001,$L499))</f>
        <v/>
      </c>
      <c r="D499" s="8" t="str">
        <f ca="1">IF($L499="","",INDEX('Veri Merkezi'!$D$2:$D$1001,$L499))</f>
        <v/>
      </c>
      <c r="E499" s="8" t="str">
        <f ca="1">IF($L499="","",INDEX('Veri Merkezi'!$F$2:$F$1001,$L499))</f>
        <v/>
      </c>
      <c r="F499" s="9" t="str">
        <f ca="1">IF($L499="","",INDEX('Veri Merkezi'!$G$2:$G$1001,$L499))</f>
        <v/>
      </c>
      <c r="H499" s="8" t="str">
        <f ca="1">IF($L499="","",INDEX('Veri Merkezi'!$H$2:$H$1001,$L499))</f>
        <v/>
      </c>
      <c r="I499" s="10" t="str">
        <f ca="1">IF($L499="","",INDEX('Veri Merkezi'!$R$2:$R$1001,$L499))</f>
        <v/>
      </c>
      <c r="J499" s="8" t="str">
        <f ca="1">IF($L499="","",INDEX('Veri Merkezi'!$S$2:$S$1001,$L499))</f>
        <v/>
      </c>
      <c r="K499" s="8" t="str">
        <f ca="1">IF($L499="","",INDEX('Veri Merkezi'!$U$2:$U$1001,$L499))</f>
        <v/>
      </c>
      <c r="L499" s="8" t="str">
        <f ca="1">IFERROR(MATCH(ROWS($L$4:L499),'Veri Merkezi'!$W$2:$W$1001,0),"")</f>
        <v/>
      </c>
    </row>
    <row r="500" spans="1:12" ht="20" customHeight="1">
      <c r="A500" s="8" t="str">
        <f ca="1">IF($L500="","",ROWS($A$4:A500))</f>
        <v/>
      </c>
      <c r="B500" s="8" t="str">
        <f ca="1">IF($L500="","",INDEX('Veri Merkezi'!$A$2:$A$1001,$L500))</f>
        <v/>
      </c>
      <c r="C500" s="8" t="str">
        <f ca="1">IF($L500="","",INDEX('Veri Merkezi'!$E$2:$E$1001,$L500))</f>
        <v/>
      </c>
      <c r="D500" s="8" t="str">
        <f ca="1">IF($L500="","",INDEX('Veri Merkezi'!$D$2:$D$1001,$L500))</f>
        <v/>
      </c>
      <c r="E500" s="8" t="str">
        <f ca="1">IF($L500="","",INDEX('Veri Merkezi'!$F$2:$F$1001,$L500))</f>
        <v/>
      </c>
      <c r="F500" s="9" t="str">
        <f ca="1">IF($L500="","",INDEX('Veri Merkezi'!$G$2:$G$1001,$L500))</f>
        <v/>
      </c>
      <c r="H500" s="8" t="str">
        <f ca="1">IF($L500="","",INDEX('Veri Merkezi'!$H$2:$H$1001,$L500))</f>
        <v/>
      </c>
      <c r="I500" s="10" t="str">
        <f ca="1">IF($L500="","",INDEX('Veri Merkezi'!$R$2:$R$1001,$L500))</f>
        <v/>
      </c>
      <c r="J500" s="8" t="str">
        <f ca="1">IF($L500="","",INDEX('Veri Merkezi'!$S$2:$S$1001,$L500))</f>
        <v/>
      </c>
      <c r="K500" s="8" t="str">
        <f ca="1">IF($L500="","",INDEX('Veri Merkezi'!$U$2:$U$1001,$L500))</f>
        <v/>
      </c>
      <c r="L500" s="8" t="str">
        <f ca="1">IFERROR(MATCH(ROWS($L$4:L500),'Veri Merkezi'!$W$2:$W$1001,0),"")</f>
        <v/>
      </c>
    </row>
    <row r="501" spans="1:12" ht="20" customHeight="1">
      <c r="A501" s="8" t="str">
        <f ca="1">IF($L501="","",ROWS($A$4:A501))</f>
        <v/>
      </c>
      <c r="B501" s="8" t="str">
        <f ca="1">IF($L501="","",INDEX('Veri Merkezi'!$A$2:$A$1001,$L501))</f>
        <v/>
      </c>
      <c r="C501" s="8" t="str">
        <f ca="1">IF($L501="","",INDEX('Veri Merkezi'!$E$2:$E$1001,$L501))</f>
        <v/>
      </c>
      <c r="D501" s="8" t="str">
        <f ca="1">IF($L501="","",INDEX('Veri Merkezi'!$D$2:$D$1001,$L501))</f>
        <v/>
      </c>
      <c r="E501" s="8" t="str">
        <f ca="1">IF($L501="","",INDEX('Veri Merkezi'!$F$2:$F$1001,$L501))</f>
        <v/>
      </c>
      <c r="F501" s="9" t="str">
        <f ca="1">IF($L501="","",INDEX('Veri Merkezi'!$G$2:$G$1001,$L501))</f>
        <v/>
      </c>
      <c r="H501" s="8" t="str">
        <f ca="1">IF($L501="","",INDEX('Veri Merkezi'!$H$2:$H$1001,$L501))</f>
        <v/>
      </c>
      <c r="I501" s="10" t="str">
        <f ca="1">IF($L501="","",INDEX('Veri Merkezi'!$R$2:$R$1001,$L501))</f>
        <v/>
      </c>
      <c r="J501" s="8" t="str">
        <f ca="1">IF($L501="","",INDEX('Veri Merkezi'!$S$2:$S$1001,$L501))</f>
        <v/>
      </c>
      <c r="K501" s="8" t="str">
        <f ca="1">IF($L501="","",INDEX('Veri Merkezi'!$U$2:$U$1001,$L501))</f>
        <v/>
      </c>
      <c r="L501" s="8" t="str">
        <f ca="1">IFERROR(MATCH(ROWS($L$4:L501),'Veri Merkezi'!$W$2:$W$1001,0),"")</f>
        <v/>
      </c>
    </row>
    <row r="502" spans="1:12" ht="20" customHeight="1">
      <c r="A502" s="8" t="str">
        <f ca="1">IF($L502="","",ROWS($A$4:A502))</f>
        <v/>
      </c>
      <c r="B502" s="8" t="str">
        <f ca="1">IF($L502="","",INDEX('Veri Merkezi'!$A$2:$A$1001,$L502))</f>
        <v/>
      </c>
      <c r="C502" s="8" t="str">
        <f ca="1">IF($L502="","",INDEX('Veri Merkezi'!$E$2:$E$1001,$L502))</f>
        <v/>
      </c>
      <c r="D502" s="8" t="str">
        <f ca="1">IF($L502="","",INDEX('Veri Merkezi'!$D$2:$D$1001,$L502))</f>
        <v/>
      </c>
      <c r="E502" s="8" t="str">
        <f ca="1">IF($L502="","",INDEX('Veri Merkezi'!$F$2:$F$1001,$L502))</f>
        <v/>
      </c>
      <c r="F502" s="9" t="str">
        <f ca="1">IF($L502="","",INDEX('Veri Merkezi'!$G$2:$G$1001,$L502))</f>
        <v/>
      </c>
      <c r="H502" s="8" t="str">
        <f ca="1">IF($L502="","",INDEX('Veri Merkezi'!$H$2:$H$1001,$L502))</f>
        <v/>
      </c>
      <c r="I502" s="10" t="str">
        <f ca="1">IF($L502="","",INDEX('Veri Merkezi'!$R$2:$R$1001,$L502))</f>
        <v/>
      </c>
      <c r="J502" s="8" t="str">
        <f ca="1">IF($L502="","",INDEX('Veri Merkezi'!$S$2:$S$1001,$L502))</f>
        <v/>
      </c>
      <c r="K502" s="8" t="str">
        <f ca="1">IF($L502="","",INDEX('Veri Merkezi'!$U$2:$U$1001,$L502))</f>
        <v/>
      </c>
      <c r="L502" s="8" t="str">
        <f ca="1">IFERROR(MATCH(ROWS($L$4:L502),'Veri Merkezi'!$W$2:$W$1001,0),"")</f>
        <v/>
      </c>
    </row>
    <row r="503" spans="1:12" ht="20" customHeight="1">
      <c r="A503" s="8" t="str">
        <f ca="1">IF($L503="","",ROWS($A$4:A503))</f>
        <v/>
      </c>
      <c r="B503" s="8" t="str">
        <f ca="1">IF($L503="","",INDEX('Veri Merkezi'!$A$2:$A$1001,$L503))</f>
        <v/>
      </c>
      <c r="C503" s="8" t="str">
        <f ca="1">IF($L503="","",INDEX('Veri Merkezi'!$E$2:$E$1001,$L503))</f>
        <v/>
      </c>
      <c r="D503" s="8" t="str">
        <f ca="1">IF($L503="","",INDEX('Veri Merkezi'!$D$2:$D$1001,$L503))</f>
        <v/>
      </c>
      <c r="E503" s="8" t="str">
        <f ca="1">IF($L503="","",INDEX('Veri Merkezi'!$F$2:$F$1001,$L503))</f>
        <v/>
      </c>
      <c r="F503" s="9" t="str">
        <f ca="1">IF($L503="","",INDEX('Veri Merkezi'!$G$2:$G$1001,$L503))</f>
        <v/>
      </c>
      <c r="H503" s="8" t="str">
        <f ca="1">IF($L503="","",INDEX('Veri Merkezi'!$H$2:$H$1001,$L503))</f>
        <v/>
      </c>
      <c r="I503" s="10" t="str">
        <f ca="1">IF($L503="","",INDEX('Veri Merkezi'!$R$2:$R$1001,$L503))</f>
        <v/>
      </c>
      <c r="J503" s="8" t="str">
        <f ca="1">IF($L503="","",INDEX('Veri Merkezi'!$S$2:$S$1001,$L503))</f>
        <v/>
      </c>
      <c r="K503" s="8" t="str">
        <f ca="1">IF($L503="","",INDEX('Veri Merkezi'!$U$2:$U$1001,$L503))</f>
        <v/>
      </c>
      <c r="L503" s="8" t="str">
        <f ca="1">IFERROR(MATCH(ROWS($L$4:L503),'Veri Merkezi'!$W$2:$W$1001,0),"")</f>
        <v/>
      </c>
    </row>
  </sheetData>
  <autoFilter ref="A3:K503" xr:uid="{00000000-0009-0000-0000-000006000000}"/>
  <mergeCells count="1">
    <mergeCell ref="A1:K1"/>
  </mergeCells>
  <conditionalFormatting sqref="G4:G503">
    <cfRule type="expression" dxfId="63" priority="1">
      <formula>AND($G4&lt;&gt;"",$G4&lt;=180)</formula>
    </cfRule>
    <cfRule type="expression" dxfId="62" priority="2">
      <formula>AND($G4&gt;180,$G4&lt;=365)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3"/>
  <sheetViews>
    <sheetView showGridLines="0" zoomScale="87" workbookViewId="0">
      <selection activeCell="C4" sqref="C4"/>
    </sheetView>
  </sheetViews>
  <sheetFormatPr baseColWidth="10" defaultColWidth="8.83203125" defaultRowHeight="14"/>
  <cols>
    <col min="1" max="1" width="24" customWidth="1"/>
    <col min="2" max="3" width="14" customWidth="1"/>
    <col min="4" max="4" width="8" customWidth="1"/>
    <col min="5" max="5" width="16" customWidth="1"/>
    <col min="6" max="6" width="18" customWidth="1"/>
    <col min="7" max="7" width="20" customWidth="1"/>
    <col min="8" max="8" width="18" customWidth="1"/>
    <col min="9" max="9" width="11" customWidth="1"/>
    <col min="10" max="11" width="100.83203125" customWidth="1"/>
    <col min="12" max="15" width="9" customWidth="1"/>
    <col min="16" max="17" width="10" customWidth="1"/>
    <col min="18" max="18" width="11.5" bestFit="1" customWidth="1"/>
    <col min="19" max="19" width="11" customWidth="1"/>
    <col min="20" max="21" width="14" customWidth="1"/>
  </cols>
  <sheetData>
    <row r="1" spans="1:21" ht="30" customHeight="1">
      <c r="A1" s="67" t="s">
        <v>190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1" ht="15" customHeight="1">
      <c r="A2" s="69"/>
      <c r="B2" s="68"/>
      <c r="C2" s="68"/>
      <c r="D2" s="68"/>
      <c r="E2" s="68"/>
      <c r="F2" s="68"/>
      <c r="G2" s="68"/>
      <c r="H2" s="68"/>
      <c r="I2" s="68"/>
      <c r="J2" s="7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30" customHeight="1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16</v>
      </c>
      <c r="Q3" s="21" t="s">
        <v>17</v>
      </c>
      <c r="R3" s="21" t="s">
        <v>191</v>
      </c>
      <c r="S3" s="21" t="s">
        <v>19</v>
      </c>
      <c r="T3" s="21" t="s">
        <v>20</v>
      </c>
      <c r="U3" s="21" t="s">
        <v>21</v>
      </c>
    </row>
    <row r="4" spans="1:21" ht="100" customHeight="1">
      <c r="A4" s="22"/>
      <c r="B4" s="23"/>
      <c r="C4" s="23"/>
      <c r="D4" s="22" t="str">
        <f t="shared" ref="D4:D35" ca="1" si="0">IF(C4="","",DATEDIF(C4,TODAY(),"Y"))</f>
        <v/>
      </c>
      <c r="E4" s="22" t="s">
        <v>154</v>
      </c>
      <c r="F4" s="22"/>
      <c r="G4" s="23"/>
      <c r="H4" s="23"/>
      <c r="I4" s="2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</row>
    <row r="5" spans="1:21" ht="100" customHeight="1">
      <c r="A5" s="22"/>
      <c r="B5" s="23"/>
      <c r="C5" s="23"/>
      <c r="D5" s="22" t="str">
        <f t="shared" ca="1" si="0"/>
        <v/>
      </c>
      <c r="E5" s="22" t="s">
        <v>154</v>
      </c>
      <c r="F5" s="22"/>
      <c r="G5" s="23"/>
      <c r="H5" s="23"/>
      <c r="I5" s="2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3"/>
    </row>
    <row r="6" spans="1:21" ht="100" customHeight="1">
      <c r="A6" s="22"/>
      <c r="B6" s="23"/>
      <c r="C6" s="23"/>
      <c r="D6" s="22" t="str">
        <f t="shared" ca="1" si="0"/>
        <v/>
      </c>
      <c r="E6" s="22" t="s">
        <v>154</v>
      </c>
      <c r="F6" s="22"/>
      <c r="G6" s="23"/>
      <c r="H6" s="23"/>
      <c r="I6" s="2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3"/>
    </row>
    <row r="7" spans="1:21" ht="100" customHeight="1">
      <c r="A7" s="22"/>
      <c r="B7" s="23"/>
      <c r="C7" s="23"/>
      <c r="D7" s="22" t="str">
        <f t="shared" ca="1" si="0"/>
        <v/>
      </c>
      <c r="E7" s="22" t="s">
        <v>154</v>
      </c>
      <c r="F7" s="22"/>
      <c r="G7" s="23"/>
      <c r="H7" s="23"/>
      <c r="I7" s="2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3"/>
    </row>
    <row r="8" spans="1:21" ht="100" customHeight="1">
      <c r="A8" s="22"/>
      <c r="B8" s="23"/>
      <c r="C8" s="23"/>
      <c r="D8" s="22" t="str">
        <f t="shared" ca="1" si="0"/>
        <v/>
      </c>
      <c r="E8" s="22" t="s">
        <v>154</v>
      </c>
      <c r="F8" s="22"/>
      <c r="G8" s="23"/>
      <c r="H8" s="23"/>
      <c r="I8" s="24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3"/>
    </row>
    <row r="9" spans="1:21" ht="100" customHeight="1">
      <c r="A9" s="22"/>
      <c r="B9" s="23"/>
      <c r="C9" s="23"/>
      <c r="D9" s="22" t="str">
        <f t="shared" ca="1" si="0"/>
        <v/>
      </c>
      <c r="E9" s="22" t="s">
        <v>154</v>
      </c>
      <c r="F9" s="22"/>
      <c r="G9" s="23"/>
      <c r="H9" s="23"/>
      <c r="I9" s="24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</row>
    <row r="10" spans="1:21" ht="100" customHeight="1">
      <c r="A10" s="22"/>
      <c r="B10" s="23"/>
      <c r="C10" s="23"/>
      <c r="D10" s="22" t="str">
        <f t="shared" ca="1" si="0"/>
        <v/>
      </c>
      <c r="E10" s="22" t="s">
        <v>154</v>
      </c>
      <c r="F10" s="22"/>
      <c r="G10" s="23"/>
      <c r="H10" s="23"/>
      <c r="I10" s="2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</row>
    <row r="11" spans="1:21" ht="100" customHeight="1">
      <c r="A11" s="22"/>
      <c r="B11" s="23"/>
      <c r="C11" s="23"/>
      <c r="D11" s="22" t="str">
        <f t="shared" ca="1" si="0"/>
        <v/>
      </c>
      <c r="E11" s="22" t="s">
        <v>154</v>
      </c>
      <c r="F11" s="22"/>
      <c r="G11" s="23"/>
      <c r="H11" s="23"/>
      <c r="I11" s="2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3"/>
    </row>
    <row r="12" spans="1:21" ht="100" customHeight="1">
      <c r="A12" s="22"/>
      <c r="B12" s="23"/>
      <c r="C12" s="23"/>
      <c r="D12" s="22" t="str">
        <f t="shared" ca="1" si="0"/>
        <v/>
      </c>
      <c r="E12" s="22" t="s">
        <v>154</v>
      </c>
      <c r="F12" s="22"/>
      <c r="G12" s="23"/>
      <c r="H12" s="23"/>
      <c r="I12" s="24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3"/>
    </row>
    <row r="13" spans="1:21" ht="100" customHeight="1">
      <c r="A13" s="22"/>
      <c r="B13" s="23"/>
      <c r="C13" s="23"/>
      <c r="D13" s="22" t="str">
        <f t="shared" ca="1" si="0"/>
        <v/>
      </c>
      <c r="E13" s="22" t="s">
        <v>154</v>
      </c>
      <c r="F13" s="22"/>
      <c r="G13" s="23"/>
      <c r="H13" s="23"/>
      <c r="I13" s="24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3"/>
    </row>
    <row r="14" spans="1:21" ht="100" customHeight="1">
      <c r="A14" s="22"/>
      <c r="B14" s="23"/>
      <c r="C14" s="23"/>
      <c r="D14" s="22" t="str">
        <f t="shared" ca="1" si="0"/>
        <v/>
      </c>
      <c r="E14" s="22" t="s">
        <v>154</v>
      </c>
      <c r="F14" s="22"/>
      <c r="G14" s="23"/>
      <c r="H14" s="23"/>
      <c r="I14" s="24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</row>
    <row r="15" spans="1:21" ht="100" customHeight="1">
      <c r="A15" s="22"/>
      <c r="B15" s="23"/>
      <c r="C15" s="23"/>
      <c r="D15" s="22" t="str">
        <f t="shared" ca="1" si="0"/>
        <v/>
      </c>
      <c r="E15" s="22" t="s">
        <v>154</v>
      </c>
      <c r="F15" s="22"/>
      <c r="G15" s="23"/>
      <c r="H15" s="23"/>
      <c r="I15" s="24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3"/>
    </row>
    <row r="16" spans="1:21" ht="100" customHeight="1">
      <c r="A16" s="22"/>
      <c r="B16" s="23"/>
      <c r="C16" s="23"/>
      <c r="D16" s="22" t="str">
        <f t="shared" ca="1" si="0"/>
        <v/>
      </c>
      <c r="E16" s="22" t="s">
        <v>154</v>
      </c>
      <c r="F16" s="22"/>
      <c r="G16" s="23"/>
      <c r="H16" s="23"/>
      <c r="I16" s="24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3"/>
    </row>
    <row r="17" spans="1:21" ht="100" customHeight="1">
      <c r="A17" s="22"/>
      <c r="B17" s="23"/>
      <c r="C17" s="23"/>
      <c r="D17" s="22" t="str">
        <f t="shared" ca="1" si="0"/>
        <v/>
      </c>
      <c r="E17" s="22" t="s">
        <v>154</v>
      </c>
      <c r="F17" s="22"/>
      <c r="G17" s="23"/>
      <c r="H17" s="23"/>
      <c r="I17" s="24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3"/>
    </row>
    <row r="18" spans="1:21" ht="100" customHeight="1">
      <c r="A18" s="22"/>
      <c r="B18" s="23"/>
      <c r="C18" s="23"/>
      <c r="D18" s="22" t="str">
        <f t="shared" ca="1" si="0"/>
        <v/>
      </c>
      <c r="E18" s="22" t="s">
        <v>154</v>
      </c>
      <c r="F18" s="22"/>
      <c r="G18" s="23"/>
      <c r="H18" s="23"/>
      <c r="I18" s="24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3"/>
    </row>
    <row r="19" spans="1:21" ht="100" customHeight="1">
      <c r="A19" s="22"/>
      <c r="B19" s="23"/>
      <c r="C19" s="23"/>
      <c r="D19" s="22" t="str">
        <f t="shared" ca="1" si="0"/>
        <v/>
      </c>
      <c r="E19" s="22" t="s">
        <v>154</v>
      </c>
      <c r="F19" s="22"/>
      <c r="G19" s="23"/>
      <c r="H19" s="23"/>
      <c r="I19" s="24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3"/>
    </row>
    <row r="20" spans="1:21" ht="100" customHeight="1">
      <c r="A20" s="22"/>
      <c r="B20" s="23"/>
      <c r="C20" s="23"/>
      <c r="D20" s="22" t="str">
        <f t="shared" ca="1" si="0"/>
        <v/>
      </c>
      <c r="E20" s="22" t="s">
        <v>154</v>
      </c>
      <c r="F20" s="22"/>
      <c r="G20" s="23"/>
      <c r="H20" s="23"/>
      <c r="I20" s="24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3"/>
    </row>
    <row r="21" spans="1:21" ht="100" customHeight="1">
      <c r="A21" s="22"/>
      <c r="B21" s="23"/>
      <c r="C21" s="23"/>
      <c r="D21" s="22" t="str">
        <f t="shared" ca="1" si="0"/>
        <v/>
      </c>
      <c r="E21" s="22" t="s">
        <v>154</v>
      </c>
      <c r="F21" s="22"/>
      <c r="G21" s="23"/>
      <c r="H21" s="23"/>
      <c r="I21" s="24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3"/>
    </row>
    <row r="22" spans="1:21" ht="100" customHeight="1">
      <c r="A22" s="22"/>
      <c r="B22" s="23"/>
      <c r="C22" s="23"/>
      <c r="D22" s="22" t="str">
        <f t="shared" ca="1" si="0"/>
        <v/>
      </c>
      <c r="E22" s="22" t="s">
        <v>154</v>
      </c>
      <c r="F22" s="22"/>
      <c r="G22" s="23"/>
      <c r="H22" s="23"/>
      <c r="I22" s="24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3"/>
    </row>
    <row r="23" spans="1:21" ht="100" customHeight="1">
      <c r="A23" s="22"/>
      <c r="B23" s="23"/>
      <c r="C23" s="23"/>
      <c r="D23" s="22" t="str">
        <f t="shared" ca="1" si="0"/>
        <v/>
      </c>
      <c r="E23" s="22" t="s">
        <v>154</v>
      </c>
      <c r="F23" s="22"/>
      <c r="G23" s="23"/>
      <c r="H23" s="23"/>
      <c r="I23" s="24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3"/>
    </row>
    <row r="24" spans="1:21" ht="100" customHeight="1">
      <c r="A24" s="22"/>
      <c r="B24" s="23"/>
      <c r="C24" s="23"/>
      <c r="D24" s="22" t="str">
        <f t="shared" ca="1" si="0"/>
        <v/>
      </c>
      <c r="E24" s="22" t="s">
        <v>154</v>
      </c>
      <c r="F24" s="22"/>
      <c r="G24" s="23"/>
      <c r="H24" s="23"/>
      <c r="I24" s="24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3"/>
    </row>
    <row r="25" spans="1:21" ht="100" customHeight="1">
      <c r="A25" s="22"/>
      <c r="B25" s="23"/>
      <c r="C25" s="23"/>
      <c r="D25" s="22" t="str">
        <f t="shared" ca="1" si="0"/>
        <v/>
      </c>
      <c r="E25" s="22" t="s">
        <v>154</v>
      </c>
      <c r="F25" s="22"/>
      <c r="G25" s="23"/>
      <c r="H25" s="23"/>
      <c r="I25" s="24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3"/>
    </row>
    <row r="26" spans="1:21" ht="100" customHeight="1">
      <c r="A26" s="22"/>
      <c r="B26" s="23"/>
      <c r="C26" s="23"/>
      <c r="D26" s="22" t="str">
        <f t="shared" ca="1" si="0"/>
        <v/>
      </c>
      <c r="E26" s="22" t="s">
        <v>154</v>
      </c>
      <c r="F26" s="22"/>
      <c r="G26" s="23"/>
      <c r="H26" s="23"/>
      <c r="I26" s="24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3"/>
    </row>
    <row r="27" spans="1:21" ht="100" customHeight="1">
      <c r="A27" s="22"/>
      <c r="B27" s="23"/>
      <c r="C27" s="23"/>
      <c r="D27" s="22" t="str">
        <f t="shared" ca="1" si="0"/>
        <v/>
      </c>
      <c r="E27" s="22" t="s">
        <v>154</v>
      </c>
      <c r="F27" s="22"/>
      <c r="G27" s="23"/>
      <c r="H27" s="23"/>
      <c r="I27" s="24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3"/>
    </row>
    <row r="28" spans="1:21" ht="100" customHeight="1">
      <c r="A28" s="22"/>
      <c r="B28" s="23"/>
      <c r="C28" s="23"/>
      <c r="D28" s="22" t="str">
        <f t="shared" ca="1" si="0"/>
        <v/>
      </c>
      <c r="E28" s="22" t="s">
        <v>154</v>
      </c>
      <c r="F28" s="22"/>
      <c r="G28" s="23"/>
      <c r="H28" s="23"/>
      <c r="I28" s="24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3"/>
    </row>
    <row r="29" spans="1:21" ht="100" customHeight="1">
      <c r="A29" s="22"/>
      <c r="B29" s="23"/>
      <c r="C29" s="23"/>
      <c r="D29" s="22" t="str">
        <f t="shared" ca="1" si="0"/>
        <v/>
      </c>
      <c r="E29" s="22" t="s">
        <v>154</v>
      </c>
      <c r="F29" s="22"/>
      <c r="G29" s="23"/>
      <c r="H29" s="23"/>
      <c r="I29" s="24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3"/>
    </row>
    <row r="30" spans="1:21" ht="100" customHeight="1">
      <c r="A30" s="22"/>
      <c r="B30" s="23"/>
      <c r="C30" s="23"/>
      <c r="D30" s="22" t="str">
        <f t="shared" ca="1" si="0"/>
        <v/>
      </c>
      <c r="E30" s="22" t="s">
        <v>154</v>
      </c>
      <c r="F30" s="22"/>
      <c r="G30" s="23"/>
      <c r="H30" s="23"/>
      <c r="I30" s="24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3"/>
    </row>
    <row r="31" spans="1:21" ht="100" customHeight="1">
      <c r="A31" s="22"/>
      <c r="B31" s="23"/>
      <c r="C31" s="23"/>
      <c r="D31" s="22" t="str">
        <f t="shared" ca="1" si="0"/>
        <v/>
      </c>
      <c r="E31" s="22" t="s">
        <v>154</v>
      </c>
      <c r="F31" s="22"/>
      <c r="G31" s="23"/>
      <c r="H31" s="23"/>
      <c r="I31" s="24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3"/>
    </row>
    <row r="32" spans="1:21" ht="100" customHeight="1">
      <c r="A32" s="22"/>
      <c r="B32" s="23"/>
      <c r="C32" s="23"/>
      <c r="D32" s="22" t="str">
        <f t="shared" ca="1" si="0"/>
        <v/>
      </c>
      <c r="E32" s="22" t="s">
        <v>154</v>
      </c>
      <c r="F32" s="22"/>
      <c r="G32" s="23"/>
      <c r="H32" s="23"/>
      <c r="I32" s="24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3"/>
    </row>
    <row r="33" spans="1:21" ht="100" customHeight="1">
      <c r="A33" s="22"/>
      <c r="B33" s="23"/>
      <c r="C33" s="23"/>
      <c r="D33" s="22" t="str">
        <f t="shared" ca="1" si="0"/>
        <v/>
      </c>
      <c r="E33" s="22" t="s">
        <v>154</v>
      </c>
      <c r="F33" s="22"/>
      <c r="G33" s="23"/>
      <c r="H33" s="23"/>
      <c r="I33" s="24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3"/>
    </row>
    <row r="34" spans="1:21" ht="100" customHeight="1">
      <c r="A34" s="22"/>
      <c r="B34" s="23"/>
      <c r="C34" s="23"/>
      <c r="D34" s="22" t="str">
        <f t="shared" ca="1" si="0"/>
        <v/>
      </c>
      <c r="E34" s="22" t="s">
        <v>154</v>
      </c>
      <c r="F34" s="22"/>
      <c r="G34" s="23"/>
      <c r="H34" s="23"/>
      <c r="I34" s="24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3"/>
    </row>
    <row r="35" spans="1:21" ht="100" customHeight="1">
      <c r="A35" s="22"/>
      <c r="B35" s="23"/>
      <c r="C35" s="23"/>
      <c r="D35" s="22" t="str">
        <f t="shared" ca="1" si="0"/>
        <v/>
      </c>
      <c r="E35" s="22" t="s">
        <v>154</v>
      </c>
      <c r="F35" s="22"/>
      <c r="G35" s="23"/>
      <c r="H35" s="23"/>
      <c r="I35" s="24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3"/>
    </row>
    <row r="36" spans="1:21" ht="100" customHeight="1">
      <c r="A36" s="22"/>
      <c r="B36" s="23"/>
      <c r="C36" s="23"/>
      <c r="D36" s="22" t="str">
        <f t="shared" ref="D36:D67" ca="1" si="1">IF(C36="","",DATEDIF(C36,TODAY(),"Y"))</f>
        <v/>
      </c>
      <c r="E36" s="22" t="s">
        <v>154</v>
      </c>
      <c r="F36" s="22"/>
      <c r="G36" s="23"/>
      <c r="H36" s="23"/>
      <c r="I36" s="24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3"/>
    </row>
    <row r="37" spans="1:21" ht="100" customHeight="1">
      <c r="A37" s="22"/>
      <c r="B37" s="23"/>
      <c r="C37" s="23"/>
      <c r="D37" s="22" t="str">
        <f t="shared" ca="1" si="1"/>
        <v/>
      </c>
      <c r="E37" s="22" t="s">
        <v>154</v>
      </c>
      <c r="F37" s="22"/>
      <c r="G37" s="23"/>
      <c r="H37" s="23"/>
      <c r="I37" s="24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00" customHeight="1">
      <c r="A38" s="22"/>
      <c r="B38" s="23"/>
      <c r="C38" s="23"/>
      <c r="D38" s="22" t="str">
        <f t="shared" ca="1" si="1"/>
        <v/>
      </c>
      <c r="E38" s="22" t="s">
        <v>154</v>
      </c>
      <c r="F38" s="22"/>
      <c r="G38" s="23"/>
      <c r="H38" s="23"/>
      <c r="I38" s="24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3"/>
    </row>
    <row r="39" spans="1:21" ht="100" customHeight="1">
      <c r="A39" s="22"/>
      <c r="B39" s="23"/>
      <c r="C39" s="23"/>
      <c r="D39" s="22" t="str">
        <f t="shared" ca="1" si="1"/>
        <v/>
      </c>
      <c r="E39" s="22" t="s">
        <v>154</v>
      </c>
      <c r="F39" s="22"/>
      <c r="G39" s="23"/>
      <c r="H39" s="23"/>
      <c r="I39" s="24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3"/>
    </row>
    <row r="40" spans="1:21" ht="100" customHeight="1">
      <c r="A40" s="22"/>
      <c r="B40" s="23"/>
      <c r="C40" s="23"/>
      <c r="D40" s="22" t="str">
        <f t="shared" ca="1" si="1"/>
        <v/>
      </c>
      <c r="E40" s="22" t="s">
        <v>154</v>
      </c>
      <c r="F40" s="22"/>
      <c r="G40" s="23"/>
      <c r="H40" s="23"/>
      <c r="I40" s="24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3"/>
    </row>
    <row r="41" spans="1:21" ht="100" customHeight="1">
      <c r="A41" s="22"/>
      <c r="B41" s="23"/>
      <c r="C41" s="23"/>
      <c r="D41" s="22" t="str">
        <f t="shared" ca="1" si="1"/>
        <v/>
      </c>
      <c r="E41" s="22" t="s">
        <v>154</v>
      </c>
      <c r="F41" s="22"/>
      <c r="G41" s="23"/>
      <c r="H41" s="23"/>
      <c r="I41" s="24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3"/>
    </row>
    <row r="42" spans="1:21" ht="100" customHeight="1">
      <c r="A42" s="22"/>
      <c r="B42" s="23"/>
      <c r="C42" s="23"/>
      <c r="D42" s="22" t="str">
        <f t="shared" ca="1" si="1"/>
        <v/>
      </c>
      <c r="E42" s="22" t="s">
        <v>154</v>
      </c>
      <c r="F42" s="22"/>
      <c r="G42" s="23"/>
      <c r="H42" s="23"/>
      <c r="I42" s="24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3"/>
    </row>
    <row r="43" spans="1:21" ht="100" customHeight="1">
      <c r="A43" s="22"/>
      <c r="B43" s="23"/>
      <c r="C43" s="23"/>
      <c r="D43" s="22" t="str">
        <f t="shared" ca="1" si="1"/>
        <v/>
      </c>
      <c r="E43" s="22" t="s">
        <v>154</v>
      </c>
      <c r="F43" s="22"/>
      <c r="G43" s="23"/>
      <c r="H43" s="23"/>
      <c r="I43" s="24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3"/>
    </row>
    <row r="44" spans="1:21" ht="100" customHeight="1">
      <c r="A44" s="22"/>
      <c r="B44" s="23"/>
      <c r="C44" s="23"/>
      <c r="D44" s="22" t="str">
        <f t="shared" ca="1" si="1"/>
        <v/>
      </c>
      <c r="E44" s="22" t="s">
        <v>154</v>
      </c>
      <c r="F44" s="22"/>
      <c r="G44" s="23"/>
      <c r="H44" s="23"/>
      <c r="I44" s="24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3"/>
    </row>
    <row r="45" spans="1:21" ht="100" customHeight="1">
      <c r="A45" s="22"/>
      <c r="B45" s="23"/>
      <c r="C45" s="23"/>
      <c r="D45" s="22" t="str">
        <f t="shared" ca="1" si="1"/>
        <v/>
      </c>
      <c r="E45" s="22" t="s">
        <v>154</v>
      </c>
      <c r="F45" s="22"/>
      <c r="G45" s="23"/>
      <c r="H45" s="23"/>
      <c r="I45" s="24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3"/>
    </row>
    <row r="46" spans="1:21" ht="100" customHeight="1">
      <c r="A46" s="22"/>
      <c r="B46" s="23"/>
      <c r="C46" s="23"/>
      <c r="D46" s="22" t="str">
        <f t="shared" ca="1" si="1"/>
        <v/>
      </c>
      <c r="E46" s="22" t="s">
        <v>154</v>
      </c>
      <c r="F46" s="22"/>
      <c r="G46" s="23"/>
      <c r="H46" s="23"/>
      <c r="I46" s="24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3"/>
    </row>
    <row r="47" spans="1:21" ht="100" customHeight="1">
      <c r="A47" s="22"/>
      <c r="B47" s="23"/>
      <c r="C47" s="23"/>
      <c r="D47" s="22" t="str">
        <f t="shared" ca="1" si="1"/>
        <v/>
      </c>
      <c r="E47" s="22" t="s">
        <v>154</v>
      </c>
      <c r="F47" s="22"/>
      <c r="G47" s="23"/>
      <c r="H47" s="23"/>
      <c r="I47" s="24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3"/>
    </row>
    <row r="48" spans="1:21" ht="100" customHeight="1">
      <c r="A48" s="22"/>
      <c r="B48" s="23"/>
      <c r="C48" s="23"/>
      <c r="D48" s="22" t="str">
        <f t="shared" ca="1" si="1"/>
        <v/>
      </c>
      <c r="E48" s="22" t="s">
        <v>154</v>
      </c>
      <c r="F48" s="22"/>
      <c r="G48" s="23"/>
      <c r="H48" s="23"/>
      <c r="I48" s="24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3"/>
    </row>
    <row r="49" spans="1:21" ht="100" customHeight="1">
      <c r="A49" s="22"/>
      <c r="B49" s="23"/>
      <c r="C49" s="23"/>
      <c r="D49" s="22" t="str">
        <f t="shared" ca="1" si="1"/>
        <v/>
      </c>
      <c r="E49" s="22" t="s">
        <v>154</v>
      </c>
      <c r="F49" s="22"/>
      <c r="G49" s="23"/>
      <c r="H49" s="23"/>
      <c r="I49" s="24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3"/>
    </row>
    <row r="50" spans="1:21" ht="100" customHeight="1">
      <c r="A50" s="22"/>
      <c r="B50" s="23"/>
      <c r="C50" s="23"/>
      <c r="D50" s="22" t="str">
        <f t="shared" ca="1" si="1"/>
        <v/>
      </c>
      <c r="E50" s="22" t="s">
        <v>154</v>
      </c>
      <c r="F50" s="22"/>
      <c r="G50" s="23"/>
      <c r="H50" s="23"/>
      <c r="I50" s="24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3"/>
    </row>
    <row r="51" spans="1:21" ht="100" customHeight="1">
      <c r="A51" s="22"/>
      <c r="B51" s="23"/>
      <c r="C51" s="23"/>
      <c r="D51" s="22" t="str">
        <f t="shared" ca="1" si="1"/>
        <v/>
      </c>
      <c r="E51" s="22" t="s">
        <v>154</v>
      </c>
      <c r="F51" s="22"/>
      <c r="G51" s="23"/>
      <c r="H51" s="23"/>
      <c r="I51" s="24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3"/>
    </row>
    <row r="52" spans="1:21" ht="100" customHeight="1">
      <c r="A52" s="22"/>
      <c r="B52" s="23"/>
      <c r="C52" s="23"/>
      <c r="D52" s="22" t="str">
        <f t="shared" ca="1" si="1"/>
        <v/>
      </c>
      <c r="E52" s="22" t="s">
        <v>154</v>
      </c>
      <c r="F52" s="22"/>
      <c r="G52" s="23"/>
      <c r="H52" s="23"/>
      <c r="I52" s="24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3"/>
    </row>
    <row r="53" spans="1:21" ht="100" customHeight="1">
      <c r="A53" s="22"/>
      <c r="B53" s="23"/>
      <c r="C53" s="23"/>
      <c r="D53" s="22" t="str">
        <f t="shared" ca="1" si="1"/>
        <v/>
      </c>
      <c r="E53" s="22" t="s">
        <v>154</v>
      </c>
      <c r="F53" s="22"/>
      <c r="G53" s="23"/>
      <c r="H53" s="23"/>
      <c r="I53" s="24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3"/>
    </row>
    <row r="54" spans="1:21" ht="100" customHeight="1">
      <c r="A54" s="22"/>
      <c r="B54" s="23"/>
      <c r="C54" s="23"/>
      <c r="D54" s="22" t="str">
        <f t="shared" ca="1" si="1"/>
        <v/>
      </c>
      <c r="E54" s="22" t="s">
        <v>154</v>
      </c>
      <c r="F54" s="22"/>
      <c r="G54" s="23"/>
      <c r="H54" s="23"/>
      <c r="I54" s="24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3"/>
    </row>
    <row r="55" spans="1:21" ht="100" customHeight="1">
      <c r="A55" s="22"/>
      <c r="B55" s="23"/>
      <c r="C55" s="23"/>
      <c r="D55" s="22" t="str">
        <f t="shared" ca="1" si="1"/>
        <v/>
      </c>
      <c r="E55" s="22" t="s">
        <v>154</v>
      </c>
      <c r="F55" s="22"/>
      <c r="G55" s="23"/>
      <c r="H55" s="23"/>
      <c r="I55" s="24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3"/>
    </row>
    <row r="56" spans="1:21" ht="100" customHeight="1">
      <c r="A56" s="22"/>
      <c r="B56" s="23"/>
      <c r="C56" s="23"/>
      <c r="D56" s="22" t="str">
        <f t="shared" ca="1" si="1"/>
        <v/>
      </c>
      <c r="E56" s="22" t="s">
        <v>154</v>
      </c>
      <c r="F56" s="22"/>
      <c r="G56" s="23"/>
      <c r="H56" s="23"/>
      <c r="I56" s="24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3"/>
    </row>
    <row r="57" spans="1:21" ht="100" customHeight="1">
      <c r="A57" s="22"/>
      <c r="B57" s="23"/>
      <c r="C57" s="23"/>
      <c r="D57" s="22" t="str">
        <f t="shared" ca="1" si="1"/>
        <v/>
      </c>
      <c r="E57" s="22" t="s">
        <v>154</v>
      </c>
      <c r="F57" s="22"/>
      <c r="G57" s="23"/>
      <c r="H57" s="23"/>
      <c r="I57" s="24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3"/>
    </row>
    <row r="58" spans="1:21" ht="100" customHeight="1">
      <c r="A58" s="22"/>
      <c r="B58" s="23"/>
      <c r="C58" s="23"/>
      <c r="D58" s="22" t="str">
        <f t="shared" ca="1" si="1"/>
        <v/>
      </c>
      <c r="E58" s="22" t="s">
        <v>154</v>
      </c>
      <c r="F58" s="22"/>
      <c r="G58" s="23"/>
      <c r="H58" s="23"/>
      <c r="I58" s="24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3"/>
    </row>
    <row r="59" spans="1:21" ht="100" customHeight="1">
      <c r="A59" s="22"/>
      <c r="B59" s="23"/>
      <c r="C59" s="23"/>
      <c r="D59" s="22" t="str">
        <f t="shared" ca="1" si="1"/>
        <v/>
      </c>
      <c r="E59" s="22" t="s">
        <v>154</v>
      </c>
      <c r="F59" s="22"/>
      <c r="G59" s="23"/>
      <c r="H59" s="23"/>
      <c r="I59" s="24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3"/>
    </row>
    <row r="60" spans="1:21" ht="100" customHeight="1">
      <c r="A60" s="22"/>
      <c r="B60" s="23"/>
      <c r="C60" s="23"/>
      <c r="D60" s="22" t="str">
        <f t="shared" ca="1" si="1"/>
        <v/>
      </c>
      <c r="E60" s="22" t="s">
        <v>154</v>
      </c>
      <c r="F60" s="22"/>
      <c r="G60" s="23"/>
      <c r="H60" s="23"/>
      <c r="I60" s="24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3"/>
    </row>
    <row r="61" spans="1:21" ht="100" customHeight="1">
      <c r="A61" s="22"/>
      <c r="B61" s="23"/>
      <c r="C61" s="23"/>
      <c r="D61" s="22" t="str">
        <f t="shared" ca="1" si="1"/>
        <v/>
      </c>
      <c r="E61" s="22" t="s">
        <v>154</v>
      </c>
      <c r="F61" s="22"/>
      <c r="G61" s="23"/>
      <c r="H61" s="23"/>
      <c r="I61" s="24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3"/>
    </row>
    <row r="62" spans="1:21" ht="100" customHeight="1">
      <c r="A62" s="22"/>
      <c r="B62" s="23"/>
      <c r="C62" s="23"/>
      <c r="D62" s="22" t="str">
        <f t="shared" ca="1" si="1"/>
        <v/>
      </c>
      <c r="E62" s="22" t="s">
        <v>154</v>
      </c>
      <c r="F62" s="22"/>
      <c r="G62" s="23"/>
      <c r="H62" s="23"/>
      <c r="I62" s="24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3"/>
    </row>
    <row r="63" spans="1:21" ht="100" customHeight="1">
      <c r="A63" s="22"/>
      <c r="B63" s="23"/>
      <c r="C63" s="23"/>
      <c r="D63" s="22" t="str">
        <f t="shared" ca="1" si="1"/>
        <v/>
      </c>
      <c r="E63" s="22" t="s">
        <v>154</v>
      </c>
      <c r="F63" s="22"/>
      <c r="G63" s="23"/>
      <c r="H63" s="23"/>
      <c r="I63" s="24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3"/>
    </row>
    <row r="64" spans="1:21" ht="100" customHeight="1">
      <c r="A64" s="22"/>
      <c r="B64" s="23"/>
      <c r="C64" s="23"/>
      <c r="D64" s="22" t="str">
        <f t="shared" ca="1" si="1"/>
        <v/>
      </c>
      <c r="E64" s="22" t="s">
        <v>154</v>
      </c>
      <c r="F64" s="22"/>
      <c r="G64" s="23"/>
      <c r="H64" s="23"/>
      <c r="I64" s="24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3"/>
    </row>
    <row r="65" spans="1:21" ht="100" customHeight="1">
      <c r="A65" s="22"/>
      <c r="B65" s="23"/>
      <c r="C65" s="23"/>
      <c r="D65" s="22" t="str">
        <f t="shared" ca="1" si="1"/>
        <v/>
      </c>
      <c r="E65" s="22" t="s">
        <v>154</v>
      </c>
      <c r="F65" s="22"/>
      <c r="G65" s="23"/>
      <c r="H65" s="23"/>
      <c r="I65" s="24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3"/>
    </row>
    <row r="66" spans="1:21" ht="100" customHeight="1">
      <c r="A66" s="22"/>
      <c r="B66" s="23"/>
      <c r="C66" s="23"/>
      <c r="D66" s="22" t="str">
        <f t="shared" ca="1" si="1"/>
        <v/>
      </c>
      <c r="E66" s="22" t="s">
        <v>154</v>
      </c>
      <c r="F66" s="22"/>
      <c r="G66" s="23"/>
      <c r="H66" s="23"/>
      <c r="I66" s="24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3"/>
    </row>
    <row r="67" spans="1:21" ht="100" customHeight="1">
      <c r="A67" s="22"/>
      <c r="B67" s="23"/>
      <c r="C67" s="23"/>
      <c r="D67" s="22" t="str">
        <f t="shared" ca="1" si="1"/>
        <v/>
      </c>
      <c r="E67" s="22" t="s">
        <v>154</v>
      </c>
      <c r="F67" s="22"/>
      <c r="G67" s="23"/>
      <c r="H67" s="23"/>
      <c r="I67" s="24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3"/>
    </row>
    <row r="68" spans="1:21" ht="100" customHeight="1">
      <c r="A68" s="22"/>
      <c r="B68" s="23"/>
      <c r="C68" s="23"/>
      <c r="D68" s="22" t="str">
        <f t="shared" ref="D68:D99" ca="1" si="2">IF(C68="","",DATEDIF(C68,TODAY(),"Y"))</f>
        <v/>
      </c>
      <c r="E68" s="22" t="s">
        <v>154</v>
      </c>
      <c r="F68" s="22"/>
      <c r="G68" s="23"/>
      <c r="H68" s="23"/>
      <c r="I68" s="24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3"/>
    </row>
    <row r="69" spans="1:21" ht="100" customHeight="1">
      <c r="A69" s="22"/>
      <c r="B69" s="23"/>
      <c r="C69" s="23"/>
      <c r="D69" s="22" t="str">
        <f t="shared" ca="1" si="2"/>
        <v/>
      </c>
      <c r="E69" s="22" t="s">
        <v>154</v>
      </c>
      <c r="F69" s="22"/>
      <c r="G69" s="23"/>
      <c r="H69" s="23"/>
      <c r="I69" s="24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3"/>
    </row>
    <row r="70" spans="1:21" ht="100" customHeight="1">
      <c r="A70" s="22"/>
      <c r="B70" s="23"/>
      <c r="C70" s="23"/>
      <c r="D70" s="22" t="str">
        <f t="shared" ca="1" si="2"/>
        <v/>
      </c>
      <c r="E70" s="22" t="s">
        <v>154</v>
      </c>
      <c r="F70" s="22"/>
      <c r="G70" s="23"/>
      <c r="H70" s="23"/>
      <c r="I70" s="24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3"/>
    </row>
    <row r="71" spans="1:21" ht="100" customHeight="1">
      <c r="A71" s="22"/>
      <c r="B71" s="23"/>
      <c r="C71" s="23"/>
      <c r="D71" s="22" t="str">
        <f t="shared" ca="1" si="2"/>
        <v/>
      </c>
      <c r="E71" s="22" t="s">
        <v>154</v>
      </c>
      <c r="F71" s="22"/>
      <c r="G71" s="23"/>
      <c r="H71" s="23"/>
      <c r="I71" s="24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3"/>
    </row>
    <row r="72" spans="1:21" ht="100" customHeight="1">
      <c r="A72" s="22"/>
      <c r="B72" s="23"/>
      <c r="C72" s="23"/>
      <c r="D72" s="22" t="str">
        <f t="shared" ca="1" si="2"/>
        <v/>
      </c>
      <c r="E72" s="22" t="s">
        <v>154</v>
      </c>
      <c r="F72" s="22"/>
      <c r="G72" s="23"/>
      <c r="H72" s="23"/>
      <c r="I72" s="24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00" customHeight="1">
      <c r="A73" s="22"/>
      <c r="B73" s="23"/>
      <c r="C73" s="23"/>
      <c r="D73" s="22" t="str">
        <f t="shared" ca="1" si="2"/>
        <v/>
      </c>
      <c r="E73" s="22" t="s">
        <v>154</v>
      </c>
      <c r="F73" s="22"/>
      <c r="G73" s="23"/>
      <c r="H73" s="23"/>
      <c r="I73" s="24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3"/>
    </row>
    <row r="74" spans="1:21" ht="100" customHeight="1">
      <c r="A74" s="22"/>
      <c r="B74" s="23"/>
      <c r="C74" s="23"/>
      <c r="D74" s="22" t="str">
        <f t="shared" ca="1" si="2"/>
        <v/>
      </c>
      <c r="E74" s="22" t="s">
        <v>154</v>
      </c>
      <c r="F74" s="22"/>
      <c r="G74" s="23"/>
      <c r="H74" s="23"/>
      <c r="I74" s="24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3"/>
    </row>
    <row r="75" spans="1:21" ht="100" customHeight="1">
      <c r="A75" s="22"/>
      <c r="B75" s="23"/>
      <c r="C75" s="23"/>
      <c r="D75" s="22" t="str">
        <f t="shared" ca="1" si="2"/>
        <v/>
      </c>
      <c r="E75" s="22" t="s">
        <v>154</v>
      </c>
      <c r="F75" s="22"/>
      <c r="G75" s="23"/>
      <c r="H75" s="23"/>
      <c r="I75" s="24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3"/>
    </row>
    <row r="76" spans="1:21" ht="100" customHeight="1">
      <c r="A76" s="22"/>
      <c r="B76" s="23"/>
      <c r="C76" s="23"/>
      <c r="D76" s="22" t="str">
        <f t="shared" ca="1" si="2"/>
        <v/>
      </c>
      <c r="E76" s="22" t="s">
        <v>154</v>
      </c>
      <c r="F76" s="22"/>
      <c r="G76" s="23"/>
      <c r="H76" s="23"/>
      <c r="I76" s="24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3"/>
    </row>
    <row r="77" spans="1:21" ht="100" customHeight="1">
      <c r="A77" s="22"/>
      <c r="B77" s="23"/>
      <c r="C77" s="23"/>
      <c r="D77" s="22" t="str">
        <f t="shared" ca="1" si="2"/>
        <v/>
      </c>
      <c r="E77" s="22" t="s">
        <v>154</v>
      </c>
      <c r="F77" s="22"/>
      <c r="G77" s="23"/>
      <c r="H77" s="23"/>
      <c r="I77" s="24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3"/>
    </row>
    <row r="78" spans="1:21" ht="100" customHeight="1">
      <c r="A78" s="22"/>
      <c r="B78" s="23"/>
      <c r="C78" s="23"/>
      <c r="D78" s="22" t="str">
        <f t="shared" ca="1" si="2"/>
        <v/>
      </c>
      <c r="E78" s="22" t="s">
        <v>154</v>
      </c>
      <c r="F78" s="22"/>
      <c r="G78" s="23"/>
      <c r="H78" s="23"/>
      <c r="I78" s="24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3"/>
    </row>
    <row r="79" spans="1:21" ht="100" customHeight="1">
      <c r="A79" s="22"/>
      <c r="B79" s="23"/>
      <c r="C79" s="23"/>
      <c r="D79" s="22" t="str">
        <f t="shared" ca="1" si="2"/>
        <v/>
      </c>
      <c r="E79" s="22" t="s">
        <v>154</v>
      </c>
      <c r="F79" s="22"/>
      <c r="G79" s="23"/>
      <c r="H79" s="23"/>
      <c r="I79" s="24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3"/>
    </row>
    <row r="80" spans="1:21" ht="100" customHeight="1">
      <c r="A80" s="22"/>
      <c r="B80" s="23"/>
      <c r="C80" s="23"/>
      <c r="D80" s="22" t="str">
        <f t="shared" ca="1" si="2"/>
        <v/>
      </c>
      <c r="E80" s="22" t="s">
        <v>154</v>
      </c>
      <c r="F80" s="22"/>
      <c r="G80" s="23"/>
      <c r="H80" s="23"/>
      <c r="I80" s="24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3"/>
    </row>
    <row r="81" spans="1:21" ht="100" customHeight="1">
      <c r="A81" s="22"/>
      <c r="B81" s="23"/>
      <c r="C81" s="23"/>
      <c r="D81" s="22" t="str">
        <f t="shared" ca="1" si="2"/>
        <v/>
      </c>
      <c r="E81" s="22" t="s">
        <v>154</v>
      </c>
      <c r="F81" s="22"/>
      <c r="G81" s="23"/>
      <c r="H81" s="23"/>
      <c r="I81" s="24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3"/>
    </row>
    <row r="82" spans="1:21" ht="100" customHeight="1">
      <c r="A82" s="22"/>
      <c r="B82" s="23"/>
      <c r="C82" s="23"/>
      <c r="D82" s="22" t="str">
        <f t="shared" ca="1" si="2"/>
        <v/>
      </c>
      <c r="E82" s="22" t="s">
        <v>154</v>
      </c>
      <c r="F82" s="22"/>
      <c r="G82" s="23"/>
      <c r="H82" s="23"/>
      <c r="I82" s="24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3"/>
    </row>
    <row r="83" spans="1:21" ht="100" customHeight="1">
      <c r="A83" s="22"/>
      <c r="B83" s="23"/>
      <c r="C83" s="23"/>
      <c r="D83" s="22" t="str">
        <f t="shared" ca="1" si="2"/>
        <v/>
      </c>
      <c r="E83" s="22" t="s">
        <v>154</v>
      </c>
      <c r="F83" s="22"/>
      <c r="G83" s="23"/>
      <c r="H83" s="23"/>
      <c r="I83" s="24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3"/>
    </row>
    <row r="84" spans="1:21" ht="100" customHeight="1">
      <c r="A84" s="22"/>
      <c r="B84" s="23"/>
      <c r="C84" s="23"/>
      <c r="D84" s="22" t="str">
        <f t="shared" ca="1" si="2"/>
        <v/>
      </c>
      <c r="E84" s="22" t="s">
        <v>154</v>
      </c>
      <c r="F84" s="22"/>
      <c r="G84" s="23"/>
      <c r="H84" s="23"/>
      <c r="I84" s="24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3"/>
    </row>
    <row r="85" spans="1:21" ht="100" customHeight="1">
      <c r="A85" s="22"/>
      <c r="B85" s="23"/>
      <c r="C85" s="23"/>
      <c r="D85" s="22" t="str">
        <f t="shared" ca="1" si="2"/>
        <v/>
      </c>
      <c r="E85" s="22" t="s">
        <v>154</v>
      </c>
      <c r="F85" s="22"/>
      <c r="G85" s="23"/>
      <c r="H85" s="23"/>
      <c r="I85" s="24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3"/>
    </row>
    <row r="86" spans="1:21" ht="100" customHeight="1">
      <c r="A86" s="22"/>
      <c r="B86" s="23"/>
      <c r="C86" s="23"/>
      <c r="D86" s="22" t="str">
        <f t="shared" ca="1" si="2"/>
        <v/>
      </c>
      <c r="E86" s="22" t="s">
        <v>154</v>
      </c>
      <c r="F86" s="22"/>
      <c r="G86" s="23"/>
      <c r="H86" s="23"/>
      <c r="I86" s="24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3"/>
    </row>
    <row r="87" spans="1:21" ht="100" customHeight="1">
      <c r="A87" s="22"/>
      <c r="B87" s="23"/>
      <c r="C87" s="23"/>
      <c r="D87" s="22" t="str">
        <f t="shared" ca="1" si="2"/>
        <v/>
      </c>
      <c r="E87" s="22" t="s">
        <v>154</v>
      </c>
      <c r="F87" s="22"/>
      <c r="G87" s="23"/>
      <c r="H87" s="23"/>
      <c r="I87" s="24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3"/>
    </row>
    <row r="88" spans="1:21" ht="100" customHeight="1">
      <c r="A88" s="22"/>
      <c r="B88" s="23"/>
      <c r="C88" s="23"/>
      <c r="D88" s="22" t="str">
        <f t="shared" ca="1" si="2"/>
        <v/>
      </c>
      <c r="E88" s="22" t="s">
        <v>154</v>
      </c>
      <c r="F88" s="22"/>
      <c r="G88" s="23"/>
      <c r="H88" s="23"/>
      <c r="I88" s="24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3"/>
    </row>
    <row r="89" spans="1:21" ht="100" customHeight="1">
      <c r="A89" s="22"/>
      <c r="B89" s="23"/>
      <c r="C89" s="23"/>
      <c r="D89" s="22" t="str">
        <f t="shared" ca="1" si="2"/>
        <v/>
      </c>
      <c r="E89" s="22" t="s">
        <v>154</v>
      </c>
      <c r="F89" s="22"/>
      <c r="G89" s="23"/>
      <c r="H89" s="23"/>
      <c r="I89" s="24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3"/>
    </row>
    <row r="90" spans="1:21" ht="100" customHeight="1">
      <c r="A90" s="22"/>
      <c r="B90" s="23"/>
      <c r="C90" s="23"/>
      <c r="D90" s="22" t="str">
        <f t="shared" ca="1" si="2"/>
        <v/>
      </c>
      <c r="E90" s="22" t="s">
        <v>154</v>
      </c>
      <c r="F90" s="22"/>
      <c r="G90" s="23"/>
      <c r="H90" s="23"/>
      <c r="I90" s="24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3"/>
    </row>
    <row r="91" spans="1:21" ht="100" customHeight="1">
      <c r="A91" s="22"/>
      <c r="B91" s="23"/>
      <c r="C91" s="23"/>
      <c r="D91" s="22" t="str">
        <f t="shared" ca="1" si="2"/>
        <v/>
      </c>
      <c r="E91" s="22" t="s">
        <v>154</v>
      </c>
      <c r="F91" s="22"/>
      <c r="G91" s="23"/>
      <c r="H91" s="23"/>
      <c r="I91" s="24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3"/>
    </row>
    <row r="92" spans="1:21" ht="100" customHeight="1">
      <c r="A92" s="22"/>
      <c r="B92" s="23"/>
      <c r="C92" s="23"/>
      <c r="D92" s="22" t="str">
        <f t="shared" ca="1" si="2"/>
        <v/>
      </c>
      <c r="E92" s="22" t="s">
        <v>154</v>
      </c>
      <c r="F92" s="22"/>
      <c r="G92" s="23"/>
      <c r="H92" s="23"/>
      <c r="I92" s="24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3"/>
    </row>
    <row r="93" spans="1:21" ht="100" customHeight="1">
      <c r="A93" s="22"/>
      <c r="B93" s="23"/>
      <c r="C93" s="23"/>
      <c r="D93" s="22" t="str">
        <f t="shared" ca="1" si="2"/>
        <v/>
      </c>
      <c r="E93" s="22" t="s">
        <v>154</v>
      </c>
      <c r="F93" s="22"/>
      <c r="G93" s="23"/>
      <c r="H93" s="23"/>
      <c r="I93" s="24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3"/>
    </row>
    <row r="94" spans="1:21" ht="100" customHeight="1">
      <c r="A94" s="22"/>
      <c r="B94" s="23"/>
      <c r="C94" s="23"/>
      <c r="D94" s="22" t="str">
        <f t="shared" ca="1" si="2"/>
        <v/>
      </c>
      <c r="E94" s="22" t="s">
        <v>154</v>
      </c>
      <c r="F94" s="22"/>
      <c r="G94" s="23"/>
      <c r="H94" s="23"/>
      <c r="I94" s="24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3"/>
    </row>
    <row r="95" spans="1:21" ht="100" customHeight="1">
      <c r="A95" s="22"/>
      <c r="B95" s="23"/>
      <c r="C95" s="23"/>
      <c r="D95" s="22" t="str">
        <f t="shared" ca="1" si="2"/>
        <v/>
      </c>
      <c r="E95" s="22" t="s">
        <v>154</v>
      </c>
      <c r="F95" s="22"/>
      <c r="G95" s="23"/>
      <c r="H95" s="23"/>
      <c r="I95" s="24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3"/>
    </row>
    <row r="96" spans="1:21" ht="100" customHeight="1">
      <c r="A96" s="22"/>
      <c r="B96" s="23"/>
      <c r="C96" s="23"/>
      <c r="D96" s="22" t="str">
        <f t="shared" ca="1" si="2"/>
        <v/>
      </c>
      <c r="E96" s="22" t="s">
        <v>154</v>
      </c>
      <c r="F96" s="22"/>
      <c r="G96" s="23"/>
      <c r="H96" s="23"/>
      <c r="I96" s="24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3"/>
    </row>
    <row r="97" spans="1:21" ht="100" customHeight="1">
      <c r="A97" s="22"/>
      <c r="B97" s="23"/>
      <c r="C97" s="23"/>
      <c r="D97" s="22" t="str">
        <f t="shared" ca="1" si="2"/>
        <v/>
      </c>
      <c r="E97" s="22" t="s">
        <v>154</v>
      </c>
      <c r="F97" s="22"/>
      <c r="G97" s="23"/>
      <c r="H97" s="23"/>
      <c r="I97" s="24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3"/>
    </row>
    <row r="98" spans="1:21" ht="100" customHeight="1">
      <c r="A98" s="22"/>
      <c r="B98" s="23"/>
      <c r="C98" s="23"/>
      <c r="D98" s="22" t="str">
        <f t="shared" ca="1" si="2"/>
        <v/>
      </c>
      <c r="E98" s="22" t="s">
        <v>154</v>
      </c>
      <c r="F98" s="22"/>
      <c r="G98" s="23"/>
      <c r="H98" s="23"/>
      <c r="I98" s="24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3"/>
    </row>
    <row r="99" spans="1:21" ht="100" customHeight="1">
      <c r="A99" s="22"/>
      <c r="B99" s="23"/>
      <c r="C99" s="23"/>
      <c r="D99" s="22" t="str">
        <f t="shared" ca="1" si="2"/>
        <v/>
      </c>
      <c r="E99" s="22" t="s">
        <v>154</v>
      </c>
      <c r="F99" s="22"/>
      <c r="G99" s="23"/>
      <c r="H99" s="23"/>
      <c r="I99" s="24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3"/>
    </row>
    <row r="100" spans="1:21" ht="100" customHeight="1">
      <c r="A100" s="22"/>
      <c r="B100" s="23"/>
      <c r="C100" s="23"/>
      <c r="D100" s="22" t="str">
        <f t="shared" ref="D100:D103" ca="1" si="3">IF(C100="","",DATEDIF(C100,TODAY(),"Y"))</f>
        <v/>
      </c>
      <c r="E100" s="22" t="s">
        <v>154</v>
      </c>
      <c r="F100" s="22"/>
      <c r="G100" s="23"/>
      <c r="H100" s="23"/>
      <c r="I100" s="24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3"/>
    </row>
    <row r="101" spans="1:21" ht="100" customHeight="1">
      <c r="A101" s="22"/>
      <c r="B101" s="23"/>
      <c r="C101" s="23"/>
      <c r="D101" s="22" t="str">
        <f t="shared" ca="1" si="3"/>
        <v/>
      </c>
      <c r="E101" s="22" t="s">
        <v>154</v>
      </c>
      <c r="F101" s="22"/>
      <c r="G101" s="23"/>
      <c r="H101" s="23"/>
      <c r="I101" s="24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3"/>
    </row>
    <row r="102" spans="1:21" ht="100" customHeight="1">
      <c r="A102" s="22"/>
      <c r="B102" s="23"/>
      <c r="C102" s="23"/>
      <c r="D102" s="22" t="str">
        <f t="shared" ca="1" si="3"/>
        <v/>
      </c>
      <c r="E102" s="22" t="s">
        <v>154</v>
      </c>
      <c r="F102" s="22"/>
      <c r="G102" s="23"/>
      <c r="H102" s="23"/>
      <c r="I102" s="24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3"/>
    </row>
    <row r="103" spans="1:21" ht="100" customHeight="1">
      <c r="A103" s="22"/>
      <c r="B103" s="23"/>
      <c r="C103" s="23"/>
      <c r="D103" s="22" t="str">
        <f t="shared" ca="1" si="3"/>
        <v/>
      </c>
      <c r="E103" s="22" t="s">
        <v>154</v>
      </c>
      <c r="F103" s="22"/>
      <c r="G103" s="23"/>
      <c r="H103" s="23"/>
      <c r="I103" s="24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3"/>
    </row>
  </sheetData>
  <mergeCells count="2">
    <mergeCell ref="A1:U1"/>
    <mergeCell ref="A2:I2"/>
  </mergeCells>
  <conditionalFormatting sqref="A4:U103">
    <cfRule type="expression" dxfId="61" priority="1">
      <formula>$I4="Yeşil"</formula>
    </cfRule>
    <cfRule type="expression" dxfId="60" priority="2">
      <formula>$I4="Sarı"</formula>
    </cfRule>
    <cfRule type="expression" dxfId="59" priority="3">
      <formula>$I4="Kırmızı"</formula>
    </cfRule>
  </conditionalFormatting>
  <conditionalFormatting sqref="H4:H103">
    <cfRule type="expression" dxfId="58" priority="4">
      <formula>AND($H4&lt;&gt;"",$H4&gt;=TODAY(),$H4&lt;=EDATE(TODAY(),6))</formula>
    </cfRule>
    <cfRule type="expression" dxfId="57" priority="5">
      <formula>AND($H4&lt;&gt;"",$H4&gt;EDATE(TODAY(),6),$H4&lt;=EDATE(TODAY(),12))</formula>
    </cfRule>
  </conditionalFormatting>
  <dataValidations count="3">
    <dataValidation type="list" allowBlank="1" showErrorMessage="1" sqref="I4:I103" xr:uid="{00000000-0002-0000-0700-000000000000}">
      <formula1>"Kırmızı,Sarı,Yeşil"</formula1>
    </dataValidation>
    <dataValidation sqref="L4:R103" xr:uid="{00000000-0002-0000-0700-000001000000}">
      <formula1>1</formula1>
      <formula2>10</formula2>
    </dataValidation>
    <dataValidation type="list" sqref="T4:T103" xr:uid="{00000000-0002-0000-0700-000002000000}">
      <formula1>"A Liste,B Liste,Takip,Tekrar İzle,Ele"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03"/>
  <sheetViews>
    <sheetView showGridLines="0" zoomScale="99" workbookViewId="0">
      <selection activeCell="T29" sqref="T29"/>
    </sheetView>
  </sheetViews>
  <sheetFormatPr baseColWidth="10" defaultColWidth="8.83203125" defaultRowHeight="14"/>
  <cols>
    <col min="1" max="1" width="34.6640625" bestFit="1" customWidth="1"/>
    <col min="2" max="3" width="14" customWidth="1"/>
    <col min="4" max="4" width="8" customWidth="1"/>
    <col min="5" max="5" width="16" customWidth="1"/>
    <col min="6" max="6" width="18" customWidth="1"/>
    <col min="7" max="7" width="20" customWidth="1"/>
    <col min="8" max="8" width="18" customWidth="1"/>
    <col min="9" max="9" width="11" customWidth="1"/>
    <col min="10" max="10" width="100.83203125" customWidth="1"/>
    <col min="11" max="11" width="65.33203125" bestFit="1" customWidth="1"/>
    <col min="12" max="15" width="9" customWidth="1"/>
    <col min="16" max="17" width="10" customWidth="1"/>
    <col min="18" max="18" width="12.6640625" customWidth="1"/>
    <col min="19" max="19" width="11" customWidth="1"/>
    <col min="20" max="21" width="14" customWidth="1"/>
  </cols>
  <sheetData>
    <row r="1" spans="1:21" ht="30" customHeight="1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1" ht="15" customHeight="1">
      <c r="A2" s="69"/>
      <c r="B2" s="68"/>
      <c r="C2" s="68"/>
      <c r="D2" s="68"/>
      <c r="E2" s="68"/>
      <c r="F2" s="68"/>
      <c r="G2" s="68"/>
      <c r="H2" s="68"/>
      <c r="I2" s="68"/>
      <c r="J2" s="7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30" customHeight="1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U3" s="21" t="s">
        <v>21</v>
      </c>
    </row>
    <row r="4" spans="1:21" ht="100" customHeight="1">
      <c r="A4" s="22" t="s">
        <v>22</v>
      </c>
      <c r="B4" s="23" t="s">
        <v>23</v>
      </c>
      <c r="C4" s="23">
        <v>36207</v>
      </c>
      <c r="D4" s="22">
        <f t="shared" ref="D4:D35" ca="1" si="0">IF(C4="","",DATEDIF(C4,TODAY(),"Y"))</f>
        <v>27</v>
      </c>
      <c r="E4" s="22" t="s">
        <v>24</v>
      </c>
      <c r="F4" s="22"/>
      <c r="G4" s="23" t="s">
        <v>25</v>
      </c>
      <c r="H4" s="23">
        <v>46568</v>
      </c>
      <c r="I4" s="24" t="s">
        <v>26</v>
      </c>
      <c r="J4" s="25"/>
      <c r="K4" s="25"/>
      <c r="L4" s="22"/>
      <c r="M4" s="22"/>
      <c r="N4" s="22"/>
      <c r="O4" s="22"/>
      <c r="P4" s="22"/>
      <c r="Q4" s="22"/>
      <c r="R4" s="22"/>
      <c r="S4" s="22"/>
      <c r="T4" s="22" t="s">
        <v>27</v>
      </c>
      <c r="U4" s="23"/>
    </row>
    <row r="5" spans="1:21" ht="100" customHeight="1">
      <c r="A5" s="22" t="s">
        <v>28</v>
      </c>
      <c r="B5" s="23" t="s">
        <v>29</v>
      </c>
      <c r="C5" s="23">
        <v>37414</v>
      </c>
      <c r="D5" s="22">
        <f t="shared" ca="1" si="0"/>
        <v>24</v>
      </c>
      <c r="E5" s="22" t="s">
        <v>24</v>
      </c>
      <c r="F5" s="22"/>
      <c r="G5" s="23" t="s">
        <v>30</v>
      </c>
      <c r="H5" s="23">
        <v>46934</v>
      </c>
      <c r="I5" s="24" t="s">
        <v>31</v>
      </c>
      <c r="J5" s="22"/>
      <c r="K5" s="25"/>
      <c r="L5" s="22"/>
      <c r="M5" s="22"/>
      <c r="N5" s="22"/>
      <c r="O5" s="22"/>
      <c r="P5" s="22"/>
      <c r="Q5" s="22"/>
      <c r="R5" s="22"/>
      <c r="S5" s="22"/>
      <c r="T5" s="22" t="s">
        <v>32</v>
      </c>
      <c r="U5" s="23"/>
    </row>
    <row r="6" spans="1:21" ht="100" customHeight="1">
      <c r="A6" s="22" t="s">
        <v>33</v>
      </c>
      <c r="B6" s="23" t="s">
        <v>34</v>
      </c>
      <c r="C6" s="23">
        <v>35221</v>
      </c>
      <c r="D6" s="22">
        <f t="shared" ca="1" si="0"/>
        <v>30</v>
      </c>
      <c r="E6" s="22" t="s">
        <v>24</v>
      </c>
      <c r="F6" s="22"/>
      <c r="G6" s="23" t="s">
        <v>35</v>
      </c>
      <c r="H6" s="23">
        <v>46934</v>
      </c>
      <c r="I6" s="24" t="s">
        <v>36</v>
      </c>
      <c r="J6" s="25" t="s">
        <v>37</v>
      </c>
      <c r="K6" s="25"/>
      <c r="L6" s="22"/>
      <c r="M6" s="22"/>
      <c r="N6" s="22"/>
      <c r="O6" s="22"/>
      <c r="P6" s="22"/>
      <c r="Q6" s="22"/>
      <c r="R6" s="22"/>
      <c r="S6" s="22"/>
      <c r="T6" s="22" t="s">
        <v>38</v>
      </c>
      <c r="U6" s="23"/>
    </row>
    <row r="7" spans="1:21" ht="100" customHeight="1">
      <c r="A7" s="22" t="s">
        <v>39</v>
      </c>
      <c r="B7" s="23" t="s">
        <v>34</v>
      </c>
      <c r="C7" s="23">
        <v>35482</v>
      </c>
      <c r="D7" s="22">
        <f t="shared" ca="1" si="0"/>
        <v>29</v>
      </c>
      <c r="E7" s="22" t="s">
        <v>24</v>
      </c>
      <c r="F7" s="22"/>
      <c r="G7" s="23" t="s">
        <v>40</v>
      </c>
      <c r="H7" s="23">
        <v>46387</v>
      </c>
      <c r="I7" s="24" t="s">
        <v>26</v>
      </c>
      <c r="J7" s="22"/>
      <c r="K7" s="25"/>
      <c r="L7" s="22"/>
      <c r="M7" s="22"/>
      <c r="N7" s="22"/>
      <c r="O7" s="22"/>
      <c r="P7" s="22"/>
      <c r="Q7" s="22"/>
      <c r="R7" s="22"/>
      <c r="S7" s="22"/>
      <c r="T7" s="22" t="s">
        <v>41</v>
      </c>
      <c r="U7" s="23"/>
    </row>
    <row r="8" spans="1:21" ht="100" customHeight="1">
      <c r="A8" s="22" t="s">
        <v>42</v>
      </c>
      <c r="B8" s="23" t="s">
        <v>34</v>
      </c>
      <c r="C8" s="23">
        <v>35130</v>
      </c>
      <c r="D8" s="22">
        <f t="shared" ca="1" si="0"/>
        <v>30</v>
      </c>
      <c r="E8" s="22" t="s">
        <v>24</v>
      </c>
      <c r="F8" s="22"/>
      <c r="G8" s="23" t="s">
        <v>43</v>
      </c>
      <c r="H8" s="23">
        <v>47118</v>
      </c>
      <c r="I8" s="24" t="s">
        <v>31</v>
      </c>
      <c r="J8" s="22"/>
      <c r="K8" s="25"/>
      <c r="L8" s="22"/>
      <c r="M8" s="22"/>
      <c r="N8" s="22"/>
      <c r="O8" s="22"/>
      <c r="P8" s="22"/>
      <c r="Q8" s="22"/>
      <c r="R8" s="22"/>
      <c r="S8" s="22"/>
      <c r="T8" s="22" t="s">
        <v>44</v>
      </c>
      <c r="U8" s="23"/>
    </row>
    <row r="9" spans="1:21" ht="100" customHeight="1">
      <c r="A9" s="22" t="s">
        <v>45</v>
      </c>
      <c r="B9" s="23" t="s">
        <v>46</v>
      </c>
      <c r="C9" s="23">
        <v>34968</v>
      </c>
      <c r="D9" s="22">
        <f t="shared" ca="1" si="0"/>
        <v>31</v>
      </c>
      <c r="E9" s="22" t="s">
        <v>24</v>
      </c>
      <c r="F9" s="22"/>
      <c r="G9" s="23" t="s">
        <v>47</v>
      </c>
      <c r="H9" s="23">
        <v>46934</v>
      </c>
      <c r="I9" s="24" t="s">
        <v>26</v>
      </c>
      <c r="J9" s="22"/>
      <c r="K9" s="25"/>
      <c r="L9" s="22"/>
      <c r="M9" s="22"/>
      <c r="N9" s="22"/>
      <c r="O9" s="22"/>
      <c r="P9" s="22"/>
      <c r="Q9" s="22"/>
      <c r="R9" s="22"/>
      <c r="S9" s="22"/>
      <c r="T9" s="22" t="s">
        <v>27</v>
      </c>
      <c r="U9" s="23"/>
    </row>
    <row r="10" spans="1:21" ht="100" customHeight="1">
      <c r="A10" s="22" t="s">
        <v>48</v>
      </c>
      <c r="B10" s="23" t="s">
        <v>49</v>
      </c>
      <c r="C10" s="23">
        <v>34971</v>
      </c>
      <c r="D10" s="22">
        <f t="shared" ca="1" si="0"/>
        <v>31</v>
      </c>
      <c r="E10" s="22" t="s">
        <v>24</v>
      </c>
      <c r="F10" s="22"/>
      <c r="G10" s="23" t="s">
        <v>50</v>
      </c>
      <c r="H10" s="23" t="s">
        <v>51</v>
      </c>
      <c r="I10" s="24" t="s">
        <v>36</v>
      </c>
      <c r="J10" s="22"/>
      <c r="K10" s="25"/>
      <c r="L10" s="22"/>
      <c r="M10" s="22"/>
      <c r="N10" s="22"/>
      <c r="O10" s="22"/>
      <c r="P10" s="22"/>
      <c r="Q10" s="22"/>
      <c r="R10" s="22"/>
      <c r="S10" s="22"/>
      <c r="T10" s="22" t="s">
        <v>38</v>
      </c>
      <c r="U10" s="23"/>
    </row>
    <row r="11" spans="1:21" ht="100" customHeight="1">
      <c r="A11" s="22" t="s">
        <v>52</v>
      </c>
      <c r="B11" s="23" t="s">
        <v>53</v>
      </c>
      <c r="C11" s="23">
        <v>37369</v>
      </c>
      <c r="D11" s="22">
        <f t="shared" ca="1" si="0"/>
        <v>24</v>
      </c>
      <c r="E11" s="22" t="s">
        <v>24</v>
      </c>
      <c r="F11" s="22"/>
      <c r="G11" s="23" t="s">
        <v>54</v>
      </c>
      <c r="H11" s="23">
        <v>47664</v>
      </c>
      <c r="I11" s="24" t="s">
        <v>31</v>
      </c>
      <c r="J11" s="22"/>
      <c r="K11" s="25"/>
      <c r="L11" s="22"/>
      <c r="M11" s="22"/>
      <c r="N11" s="22"/>
      <c r="O11" s="22"/>
      <c r="P11" s="22"/>
      <c r="Q11" s="22"/>
      <c r="R11" s="22"/>
      <c r="S11" s="22"/>
      <c r="T11" s="22" t="s">
        <v>27</v>
      </c>
      <c r="U11" s="23"/>
    </row>
    <row r="12" spans="1:21" ht="100" customHeight="1">
      <c r="A12" s="22" t="s">
        <v>55</v>
      </c>
      <c r="B12" s="23" t="s">
        <v>56</v>
      </c>
      <c r="C12" s="23">
        <v>35748</v>
      </c>
      <c r="D12" s="22">
        <f t="shared" ca="1" si="0"/>
        <v>28</v>
      </c>
      <c r="E12" s="22" t="s">
        <v>24</v>
      </c>
      <c r="F12" s="22"/>
      <c r="G12" s="23" t="s">
        <v>57</v>
      </c>
      <c r="H12" s="23">
        <v>46568</v>
      </c>
      <c r="I12" s="24" t="s">
        <v>26</v>
      </c>
      <c r="J12" s="22"/>
      <c r="K12" s="25"/>
      <c r="L12" s="22"/>
      <c r="M12" s="22"/>
      <c r="N12" s="22"/>
      <c r="O12" s="22"/>
      <c r="P12" s="22"/>
      <c r="Q12" s="22"/>
      <c r="R12" s="22"/>
      <c r="S12" s="22"/>
      <c r="T12" s="22" t="s">
        <v>27</v>
      </c>
      <c r="U12" s="23"/>
    </row>
    <row r="13" spans="1:21" ht="100" customHeight="1">
      <c r="A13" s="22" t="s">
        <v>58</v>
      </c>
      <c r="B13" s="23" t="s">
        <v>59</v>
      </c>
      <c r="C13" s="23">
        <v>37521</v>
      </c>
      <c r="D13" s="22">
        <f t="shared" ca="1" si="0"/>
        <v>24</v>
      </c>
      <c r="E13" s="22" t="s">
        <v>24</v>
      </c>
      <c r="F13" s="22"/>
      <c r="G13" s="23" t="s">
        <v>60</v>
      </c>
      <c r="H13" s="23">
        <v>47299</v>
      </c>
      <c r="I13" s="24" t="s">
        <v>36</v>
      </c>
      <c r="J13" s="22"/>
      <c r="K13" s="25"/>
      <c r="L13" s="22"/>
      <c r="M13" s="22"/>
      <c r="N13" s="22"/>
      <c r="O13" s="22"/>
      <c r="P13" s="22"/>
      <c r="Q13" s="22"/>
      <c r="R13" s="22"/>
      <c r="S13" s="22"/>
      <c r="T13" s="22" t="s">
        <v>38</v>
      </c>
      <c r="U13" s="23"/>
    </row>
    <row r="14" spans="1:21" ht="100" customHeight="1">
      <c r="A14" s="22" t="s">
        <v>61</v>
      </c>
      <c r="B14" s="23" t="s">
        <v>62</v>
      </c>
      <c r="C14" s="23">
        <v>36045</v>
      </c>
      <c r="D14" s="22">
        <f t="shared" ca="1" si="0"/>
        <v>28</v>
      </c>
      <c r="E14" s="22" t="s">
        <v>24</v>
      </c>
      <c r="F14" s="22"/>
      <c r="G14" s="23" t="s">
        <v>63</v>
      </c>
      <c r="H14" s="23">
        <v>46568</v>
      </c>
      <c r="I14" s="24" t="s">
        <v>26</v>
      </c>
      <c r="J14" s="22"/>
      <c r="K14" s="25"/>
      <c r="L14" s="22"/>
      <c r="M14" s="22"/>
      <c r="N14" s="22"/>
      <c r="O14" s="22"/>
      <c r="P14" s="22"/>
      <c r="Q14" s="22"/>
      <c r="R14" s="22"/>
      <c r="S14" s="22"/>
      <c r="T14" s="22" t="s">
        <v>44</v>
      </c>
      <c r="U14" s="23"/>
    </row>
    <row r="15" spans="1:21" ht="100" customHeight="1">
      <c r="A15" s="22" t="s">
        <v>64</v>
      </c>
      <c r="B15" s="23" t="s">
        <v>62</v>
      </c>
      <c r="C15" s="23">
        <v>35325</v>
      </c>
      <c r="D15" s="22">
        <f t="shared" ca="1" si="0"/>
        <v>30</v>
      </c>
      <c r="E15" s="22" t="s">
        <v>24</v>
      </c>
      <c r="F15" s="22"/>
      <c r="G15" s="23" t="s">
        <v>65</v>
      </c>
      <c r="H15" s="23">
        <v>46934</v>
      </c>
      <c r="I15" s="24" t="s">
        <v>31</v>
      </c>
      <c r="J15" s="22"/>
      <c r="K15" s="25"/>
      <c r="L15" s="22"/>
      <c r="M15" s="22"/>
      <c r="N15" s="22"/>
      <c r="O15" s="22"/>
      <c r="P15" s="22"/>
      <c r="Q15" s="22"/>
      <c r="R15" s="22"/>
      <c r="S15" s="22"/>
      <c r="T15" s="22" t="s">
        <v>27</v>
      </c>
      <c r="U15" s="23"/>
    </row>
    <row r="16" spans="1:21" ht="100" customHeight="1">
      <c r="A16" s="22" t="s">
        <v>66</v>
      </c>
      <c r="B16" s="23" t="s">
        <v>34</v>
      </c>
      <c r="C16" s="23">
        <v>36690</v>
      </c>
      <c r="D16" s="22">
        <f t="shared" ca="1" si="0"/>
        <v>26</v>
      </c>
      <c r="E16" s="22" t="s">
        <v>24</v>
      </c>
      <c r="F16" s="22"/>
      <c r="G16" s="23" t="s">
        <v>67</v>
      </c>
      <c r="H16" s="23">
        <v>47118</v>
      </c>
      <c r="I16" s="24" t="s">
        <v>31</v>
      </c>
      <c r="J16" s="22"/>
      <c r="K16" s="25"/>
      <c r="L16" s="22"/>
      <c r="M16" s="22"/>
      <c r="N16" s="22"/>
      <c r="O16" s="22"/>
      <c r="P16" s="22"/>
      <c r="Q16" s="22"/>
      <c r="R16" s="22"/>
      <c r="S16" s="22"/>
      <c r="T16" s="22" t="s">
        <v>27</v>
      </c>
      <c r="U16" s="23"/>
    </row>
    <row r="17" spans="1:21" ht="100" customHeight="1">
      <c r="A17" s="22" t="s">
        <v>68</v>
      </c>
      <c r="B17" s="23" t="s">
        <v>46</v>
      </c>
      <c r="C17" s="23">
        <v>35070</v>
      </c>
      <c r="D17" s="22">
        <f t="shared" ca="1" si="0"/>
        <v>30</v>
      </c>
      <c r="E17" s="22" t="s">
        <v>24</v>
      </c>
      <c r="F17" s="22"/>
      <c r="G17" s="23" t="s">
        <v>69</v>
      </c>
      <c r="H17" s="23">
        <v>46934</v>
      </c>
      <c r="I17" s="24" t="s">
        <v>36</v>
      </c>
      <c r="J17" s="22"/>
      <c r="K17" s="25"/>
      <c r="L17" s="22"/>
      <c r="M17" s="22"/>
      <c r="N17" s="22"/>
      <c r="O17" s="22"/>
      <c r="P17" s="22"/>
      <c r="Q17" s="22"/>
      <c r="R17" s="22"/>
      <c r="S17" s="22"/>
      <c r="T17" s="22" t="s">
        <v>38</v>
      </c>
      <c r="U17" s="23"/>
    </row>
    <row r="18" spans="1:21" ht="100" customHeight="1">
      <c r="A18" s="22" t="s">
        <v>70</v>
      </c>
      <c r="B18" s="23" t="s">
        <v>71</v>
      </c>
      <c r="C18" s="23">
        <v>36599</v>
      </c>
      <c r="D18" s="22">
        <f t="shared" ca="1" si="0"/>
        <v>26</v>
      </c>
      <c r="E18" s="22" t="s">
        <v>24</v>
      </c>
      <c r="F18" s="22"/>
      <c r="G18" s="23" t="s">
        <v>72</v>
      </c>
      <c r="H18" s="23">
        <v>46558</v>
      </c>
      <c r="I18" s="24" t="s">
        <v>31</v>
      </c>
      <c r="J18" s="22"/>
      <c r="K18" s="25"/>
      <c r="L18" s="22"/>
      <c r="M18" s="22"/>
      <c r="N18" s="22"/>
      <c r="O18" s="22"/>
      <c r="P18" s="22"/>
      <c r="Q18" s="22"/>
      <c r="R18" s="22"/>
      <c r="S18" s="22"/>
      <c r="T18" s="22" t="s">
        <v>27</v>
      </c>
      <c r="U18" s="23"/>
    </row>
    <row r="19" spans="1:21" ht="100" customHeight="1">
      <c r="A19" s="22" t="s">
        <v>73</v>
      </c>
      <c r="B19" s="23" t="s">
        <v>46</v>
      </c>
      <c r="C19" s="23">
        <v>39311</v>
      </c>
      <c r="D19" s="22">
        <f t="shared" ca="1" si="0"/>
        <v>19</v>
      </c>
      <c r="E19" s="22" t="s">
        <v>24</v>
      </c>
      <c r="F19" s="22"/>
      <c r="G19" s="23" t="s">
        <v>74</v>
      </c>
      <c r="H19" s="23">
        <v>46568</v>
      </c>
      <c r="I19" s="24" t="s">
        <v>26</v>
      </c>
      <c r="J19" s="22"/>
      <c r="K19" s="25" t="s">
        <v>75</v>
      </c>
      <c r="L19" s="22"/>
      <c r="M19" s="22"/>
      <c r="N19" s="22"/>
      <c r="O19" s="22"/>
      <c r="P19" s="22"/>
      <c r="Q19" s="22"/>
      <c r="R19" s="22"/>
      <c r="S19" s="22"/>
      <c r="T19" s="22" t="s">
        <v>44</v>
      </c>
      <c r="U19" s="23"/>
    </row>
    <row r="20" spans="1:21" ht="100" customHeight="1">
      <c r="A20" s="22" t="s">
        <v>76</v>
      </c>
      <c r="B20" s="23" t="s">
        <v>77</v>
      </c>
      <c r="C20" s="23">
        <v>37024</v>
      </c>
      <c r="D20" s="22">
        <f t="shared" ca="1" si="0"/>
        <v>25</v>
      </c>
      <c r="E20" s="22" t="s">
        <v>24</v>
      </c>
      <c r="F20" s="22"/>
      <c r="G20" s="23" t="s">
        <v>78</v>
      </c>
      <c r="H20" s="23">
        <v>46934</v>
      </c>
      <c r="I20" s="24" t="s">
        <v>36</v>
      </c>
      <c r="J20" s="22"/>
      <c r="K20" s="25" t="s">
        <v>79</v>
      </c>
      <c r="L20" s="22"/>
      <c r="M20" s="22"/>
      <c r="N20" s="22"/>
      <c r="O20" s="22"/>
      <c r="P20" s="22"/>
      <c r="Q20" s="22"/>
      <c r="R20" s="22"/>
      <c r="S20" s="22"/>
      <c r="T20" s="22" t="s">
        <v>38</v>
      </c>
      <c r="U20" s="23"/>
    </row>
    <row r="21" spans="1:21" ht="100" customHeight="1">
      <c r="A21" s="22" t="s">
        <v>80</v>
      </c>
      <c r="B21" s="23" t="s">
        <v>81</v>
      </c>
      <c r="C21" s="23">
        <v>38025</v>
      </c>
      <c r="D21" s="22">
        <f t="shared" ca="1" si="0"/>
        <v>22</v>
      </c>
      <c r="E21" s="22" t="s">
        <v>24</v>
      </c>
      <c r="F21" s="22"/>
      <c r="G21" s="23" t="s">
        <v>82</v>
      </c>
      <c r="H21" s="23">
        <v>46934</v>
      </c>
      <c r="I21" s="24" t="s">
        <v>36</v>
      </c>
      <c r="J21" s="22"/>
      <c r="K21" s="25" t="s">
        <v>83</v>
      </c>
      <c r="L21" s="22"/>
      <c r="M21" s="22"/>
      <c r="N21" s="22"/>
      <c r="O21" s="22"/>
      <c r="P21" s="22"/>
      <c r="Q21" s="22"/>
      <c r="R21" s="22"/>
      <c r="S21" s="22"/>
      <c r="T21" s="22" t="s">
        <v>38</v>
      </c>
      <c r="U21" s="23"/>
    </row>
    <row r="22" spans="1:21" ht="100" customHeight="1">
      <c r="A22" s="22" t="s">
        <v>84</v>
      </c>
      <c r="B22" s="23" t="s">
        <v>85</v>
      </c>
      <c r="C22" s="23">
        <v>38373</v>
      </c>
      <c r="D22" s="22">
        <f t="shared" ca="1" si="0"/>
        <v>21</v>
      </c>
      <c r="E22" s="22" t="s">
        <v>24</v>
      </c>
      <c r="F22" s="22"/>
      <c r="G22" s="23" t="s">
        <v>86</v>
      </c>
      <c r="H22" s="23">
        <v>47289</v>
      </c>
      <c r="I22" s="24" t="s">
        <v>26</v>
      </c>
      <c r="J22" s="22"/>
      <c r="K22" s="25" t="s">
        <v>87</v>
      </c>
      <c r="L22" s="22"/>
      <c r="M22" s="22"/>
      <c r="N22" s="22"/>
      <c r="O22" s="22"/>
      <c r="P22" s="22"/>
      <c r="Q22" s="22"/>
      <c r="R22" s="22"/>
      <c r="S22" s="22"/>
      <c r="T22" s="22" t="s">
        <v>44</v>
      </c>
      <c r="U22" s="23"/>
    </row>
    <row r="23" spans="1:21" ht="100" customHeight="1">
      <c r="A23" s="22" t="s">
        <v>88</v>
      </c>
      <c r="B23" s="23" t="s">
        <v>89</v>
      </c>
      <c r="C23" s="23">
        <v>34768</v>
      </c>
      <c r="D23" s="22">
        <f t="shared" ca="1" si="0"/>
        <v>31</v>
      </c>
      <c r="E23" s="22" t="s">
        <v>24</v>
      </c>
      <c r="F23" s="22"/>
      <c r="G23" s="23" t="s">
        <v>90</v>
      </c>
      <c r="H23" s="23">
        <v>46965</v>
      </c>
      <c r="I23" s="24" t="s">
        <v>31</v>
      </c>
      <c r="J23" s="22"/>
      <c r="K23" s="25" t="s">
        <v>91</v>
      </c>
      <c r="L23" s="22"/>
      <c r="M23" s="22"/>
      <c r="N23" s="22"/>
      <c r="O23" s="22"/>
      <c r="P23" s="22"/>
      <c r="Q23" s="22"/>
      <c r="R23" s="22"/>
      <c r="S23" s="22"/>
      <c r="T23" s="22" t="s">
        <v>27</v>
      </c>
      <c r="U23" s="23"/>
    </row>
    <row r="24" spans="1:21" ht="100" customHeight="1">
      <c r="A24" s="22" t="s">
        <v>92</v>
      </c>
      <c r="B24" s="23" t="s">
        <v>93</v>
      </c>
      <c r="C24" s="23">
        <v>37988</v>
      </c>
      <c r="D24" s="22">
        <f t="shared" ca="1" si="0"/>
        <v>22</v>
      </c>
      <c r="E24" s="22" t="s">
        <v>24</v>
      </c>
      <c r="F24" s="22"/>
      <c r="G24" s="23" t="s">
        <v>94</v>
      </c>
      <c r="H24" s="23">
        <v>46568</v>
      </c>
      <c r="I24" s="24" t="s">
        <v>26</v>
      </c>
      <c r="J24" s="22"/>
      <c r="K24" s="25" t="s">
        <v>95</v>
      </c>
      <c r="L24" s="22"/>
      <c r="M24" s="22"/>
      <c r="N24" s="22"/>
      <c r="O24" s="22"/>
      <c r="P24" s="22"/>
      <c r="Q24" s="22"/>
      <c r="R24" s="22"/>
      <c r="S24" s="22"/>
      <c r="T24" s="22" t="s">
        <v>27</v>
      </c>
      <c r="U24" s="23"/>
    </row>
    <row r="25" spans="1:21" ht="100" customHeight="1">
      <c r="A25" s="22" t="s">
        <v>96</v>
      </c>
      <c r="B25" s="23" t="s">
        <v>97</v>
      </c>
      <c r="C25" s="23">
        <v>36564</v>
      </c>
      <c r="D25" s="22">
        <f t="shared" ca="1" si="0"/>
        <v>26</v>
      </c>
      <c r="E25" s="22" t="s">
        <v>24</v>
      </c>
      <c r="F25" s="22"/>
      <c r="G25" s="23" t="s">
        <v>72</v>
      </c>
      <c r="H25" s="23">
        <v>46568</v>
      </c>
      <c r="I25" s="24" t="s">
        <v>36</v>
      </c>
      <c r="J25" s="22" t="s">
        <v>37</v>
      </c>
      <c r="K25" s="25" t="s">
        <v>98</v>
      </c>
      <c r="L25" s="22"/>
      <c r="M25" s="22"/>
      <c r="N25" s="22"/>
      <c r="O25" s="22"/>
      <c r="P25" s="22"/>
      <c r="Q25" s="22"/>
      <c r="R25" s="22"/>
      <c r="S25" s="22"/>
      <c r="T25" s="22" t="s">
        <v>38</v>
      </c>
      <c r="U25" s="23"/>
    </row>
    <row r="26" spans="1:21" ht="100" customHeight="1">
      <c r="A26" s="22" t="s">
        <v>99</v>
      </c>
      <c r="B26" s="23" t="s">
        <v>100</v>
      </c>
      <c r="C26" s="23">
        <v>37713</v>
      </c>
      <c r="D26" s="22">
        <f t="shared" ca="1" si="0"/>
        <v>23</v>
      </c>
      <c r="E26" s="22" t="s">
        <v>24</v>
      </c>
      <c r="F26" s="22" t="s">
        <v>101</v>
      </c>
      <c r="G26" s="23" t="s">
        <v>102</v>
      </c>
      <c r="H26" s="23">
        <v>46568</v>
      </c>
      <c r="I26" s="24" t="s">
        <v>26</v>
      </c>
      <c r="J26" s="22"/>
      <c r="K26" s="65" t="s">
        <v>103</v>
      </c>
      <c r="L26" s="22"/>
      <c r="M26" s="22"/>
      <c r="N26" s="22"/>
      <c r="O26" s="22"/>
      <c r="P26" s="22"/>
      <c r="Q26" s="22"/>
      <c r="R26" s="22"/>
      <c r="S26" s="22"/>
      <c r="T26" s="22" t="s">
        <v>44</v>
      </c>
      <c r="U26" s="23"/>
    </row>
    <row r="27" spans="1:21" ht="100" customHeight="1">
      <c r="A27" s="22" t="s">
        <v>104</v>
      </c>
      <c r="B27" s="23" t="s">
        <v>93</v>
      </c>
      <c r="C27" s="23">
        <v>37988</v>
      </c>
      <c r="D27" s="22">
        <f t="shared" ca="1" si="0"/>
        <v>22</v>
      </c>
      <c r="E27" s="22" t="s">
        <v>24</v>
      </c>
      <c r="F27" s="22" t="s">
        <v>105</v>
      </c>
      <c r="G27" s="23" t="s">
        <v>106</v>
      </c>
      <c r="H27" s="23">
        <v>46568</v>
      </c>
      <c r="I27" s="24" t="s">
        <v>26</v>
      </c>
      <c r="J27" s="22"/>
      <c r="K27" s="25" t="s">
        <v>107</v>
      </c>
      <c r="L27" s="22"/>
      <c r="M27" s="22"/>
      <c r="N27" s="22"/>
      <c r="O27" s="22"/>
      <c r="P27" s="22"/>
      <c r="Q27" s="22"/>
      <c r="R27" s="22"/>
      <c r="S27" s="22"/>
      <c r="T27" s="22" t="s">
        <v>44</v>
      </c>
      <c r="U27" s="23"/>
    </row>
    <row r="28" spans="1:21" ht="100" customHeight="1">
      <c r="A28" s="22" t="s">
        <v>108</v>
      </c>
      <c r="B28" s="23" t="s">
        <v>62</v>
      </c>
      <c r="C28" s="23">
        <v>35325</v>
      </c>
      <c r="D28" s="22">
        <f t="shared" ca="1" si="0"/>
        <v>30</v>
      </c>
      <c r="E28" s="22" t="s">
        <v>24</v>
      </c>
      <c r="F28" s="22" t="s">
        <v>109</v>
      </c>
      <c r="G28" s="23" t="s">
        <v>110</v>
      </c>
      <c r="H28" s="23">
        <v>46934</v>
      </c>
      <c r="I28" s="24" t="s">
        <v>31</v>
      </c>
      <c r="J28" s="22"/>
      <c r="K28" s="25" t="s">
        <v>107</v>
      </c>
      <c r="L28" s="22"/>
      <c r="M28" s="22"/>
      <c r="N28" s="22"/>
      <c r="O28" s="22"/>
      <c r="P28" s="22"/>
      <c r="Q28" s="22"/>
      <c r="R28" s="22"/>
      <c r="S28" s="22"/>
      <c r="T28" s="22" t="s">
        <v>27</v>
      </c>
      <c r="U28" s="23"/>
    </row>
    <row r="29" spans="1:21" ht="100" customHeight="1">
      <c r="A29" s="22" t="s">
        <v>111</v>
      </c>
      <c r="B29" s="23" t="s">
        <v>34</v>
      </c>
      <c r="C29" s="23">
        <v>35622</v>
      </c>
      <c r="D29" s="22">
        <f t="shared" ca="1" si="0"/>
        <v>29</v>
      </c>
      <c r="E29" s="22" t="s">
        <v>24</v>
      </c>
      <c r="F29" s="22" t="s">
        <v>112</v>
      </c>
      <c r="G29" s="23" t="s">
        <v>113</v>
      </c>
      <c r="H29" s="23">
        <v>47118</v>
      </c>
      <c r="I29" s="24" t="s">
        <v>36</v>
      </c>
      <c r="J29" s="22"/>
      <c r="K29" s="65" t="s">
        <v>114</v>
      </c>
      <c r="L29" s="22"/>
      <c r="M29" s="22"/>
      <c r="N29" s="22"/>
      <c r="O29" s="22"/>
      <c r="P29" s="22"/>
      <c r="Q29" s="22"/>
      <c r="R29" s="22"/>
      <c r="S29" s="22"/>
      <c r="T29" s="22" t="s">
        <v>38</v>
      </c>
      <c r="U29" s="23"/>
    </row>
    <row r="30" spans="1:21" ht="100" customHeight="1">
      <c r="A30" s="22" t="s">
        <v>115</v>
      </c>
      <c r="B30" s="23" t="s">
        <v>34</v>
      </c>
      <c r="C30" s="23">
        <v>35130</v>
      </c>
      <c r="D30" s="22">
        <f t="shared" ca="1" si="0"/>
        <v>30</v>
      </c>
      <c r="E30" s="22" t="s">
        <v>24</v>
      </c>
      <c r="F30" s="22" t="s">
        <v>116</v>
      </c>
      <c r="G30" s="23" t="s">
        <v>117</v>
      </c>
      <c r="H30" s="23">
        <v>47118</v>
      </c>
      <c r="I30" s="24"/>
      <c r="J30" s="22"/>
      <c r="K30" s="65" t="s">
        <v>118</v>
      </c>
      <c r="L30" s="22"/>
      <c r="M30" s="22"/>
      <c r="N30" s="22"/>
      <c r="O30" s="22"/>
      <c r="P30" s="22"/>
      <c r="Q30" s="22"/>
      <c r="R30" s="22"/>
      <c r="S30" s="22"/>
      <c r="T30" s="22"/>
      <c r="U30" s="23"/>
    </row>
    <row r="31" spans="1:21" ht="100" customHeight="1">
      <c r="A31" s="22" t="s">
        <v>119</v>
      </c>
      <c r="B31" s="23" t="s">
        <v>62</v>
      </c>
      <c r="C31" s="23">
        <v>35599</v>
      </c>
      <c r="D31" s="22">
        <f t="shared" ca="1" si="0"/>
        <v>29</v>
      </c>
      <c r="E31" s="22" t="s">
        <v>24</v>
      </c>
      <c r="F31" s="22" t="s">
        <v>109</v>
      </c>
      <c r="G31" s="23" t="s">
        <v>120</v>
      </c>
      <c r="H31" s="23">
        <v>46934</v>
      </c>
      <c r="I31" s="24"/>
      <c r="J31" s="22"/>
      <c r="K31" s="65" t="s">
        <v>121</v>
      </c>
      <c r="L31" s="22"/>
      <c r="M31" s="22"/>
      <c r="N31" s="22"/>
      <c r="O31" s="22"/>
      <c r="P31" s="22"/>
      <c r="Q31" s="22"/>
      <c r="R31" s="22"/>
      <c r="S31" s="22"/>
      <c r="T31" s="22"/>
      <c r="U31" s="23"/>
    </row>
    <row r="32" spans="1:21" ht="100" customHeight="1">
      <c r="A32" s="22" t="s">
        <v>122</v>
      </c>
      <c r="B32" s="23" t="s">
        <v>34</v>
      </c>
      <c r="C32" s="23">
        <v>34641</v>
      </c>
      <c r="D32" s="22">
        <f t="shared" ca="1" si="0"/>
        <v>31</v>
      </c>
      <c r="E32" s="22" t="s">
        <v>24</v>
      </c>
      <c r="F32" s="22" t="s">
        <v>123</v>
      </c>
      <c r="G32" s="23" t="s">
        <v>124</v>
      </c>
      <c r="H32" s="23">
        <v>46752</v>
      </c>
      <c r="I32" s="24"/>
      <c r="J32" s="22"/>
      <c r="K32" s="65" t="s">
        <v>125</v>
      </c>
      <c r="L32" s="22"/>
      <c r="M32" s="22"/>
      <c r="N32" s="22"/>
      <c r="O32" s="22"/>
      <c r="P32" s="22"/>
      <c r="Q32" s="22"/>
      <c r="R32" s="22"/>
      <c r="S32" s="22"/>
      <c r="T32" s="22"/>
      <c r="U32" s="23"/>
    </row>
    <row r="33" spans="1:21" ht="100" customHeight="1">
      <c r="A33" s="22" t="s">
        <v>126</v>
      </c>
      <c r="B33" s="23" t="s">
        <v>34</v>
      </c>
      <c r="C33" s="23">
        <v>34974</v>
      </c>
      <c r="D33" s="22">
        <f t="shared" ca="1" si="0"/>
        <v>31</v>
      </c>
      <c r="E33" s="22" t="s">
        <v>24</v>
      </c>
      <c r="F33" s="22" t="s">
        <v>127</v>
      </c>
      <c r="G33" s="23" t="s">
        <v>128</v>
      </c>
      <c r="H33" s="23">
        <v>46387</v>
      </c>
      <c r="I33" s="24"/>
      <c r="J33" s="22"/>
      <c r="K33" s="65" t="s">
        <v>129</v>
      </c>
      <c r="L33" s="22"/>
      <c r="M33" s="22"/>
      <c r="N33" s="22"/>
      <c r="O33" s="22"/>
      <c r="P33" s="22"/>
      <c r="Q33" s="22"/>
      <c r="R33" s="22"/>
      <c r="S33" s="22"/>
      <c r="T33" s="22"/>
      <c r="U33" s="23"/>
    </row>
    <row r="34" spans="1:21" ht="100" customHeight="1">
      <c r="A34" s="22"/>
      <c r="B34" s="23"/>
      <c r="C34" s="23"/>
      <c r="D34" s="22" t="str">
        <f t="shared" ca="1" si="0"/>
        <v/>
      </c>
      <c r="E34" s="22" t="s">
        <v>24</v>
      </c>
      <c r="F34" s="22"/>
      <c r="G34" s="23"/>
      <c r="H34" s="23"/>
      <c r="I34" s="24"/>
      <c r="J34" s="22"/>
      <c r="K34" s="25"/>
      <c r="L34" s="22"/>
      <c r="M34" s="22"/>
      <c r="N34" s="22"/>
      <c r="O34" s="22"/>
      <c r="P34" s="22"/>
      <c r="Q34" s="22"/>
      <c r="R34" s="22"/>
      <c r="S34" s="22"/>
      <c r="T34" s="22"/>
      <c r="U34" s="23"/>
    </row>
    <row r="35" spans="1:21" ht="100" customHeight="1">
      <c r="A35" s="22"/>
      <c r="B35" s="23"/>
      <c r="C35" s="23"/>
      <c r="D35" s="22" t="str">
        <f t="shared" ca="1" si="0"/>
        <v/>
      </c>
      <c r="E35" s="22" t="s">
        <v>24</v>
      </c>
      <c r="F35" s="22"/>
      <c r="G35" s="23"/>
      <c r="H35" s="23"/>
      <c r="I35" s="24"/>
      <c r="J35" s="22"/>
      <c r="K35" s="25"/>
      <c r="L35" s="22"/>
      <c r="M35" s="22"/>
      <c r="N35" s="22"/>
      <c r="O35" s="22"/>
      <c r="P35" s="22"/>
      <c r="Q35" s="22"/>
      <c r="R35" s="22"/>
      <c r="S35" s="22"/>
      <c r="T35" s="22"/>
      <c r="U35" s="23"/>
    </row>
    <row r="36" spans="1:21" ht="100" customHeight="1">
      <c r="A36" s="22"/>
      <c r="B36" s="23"/>
      <c r="C36" s="23"/>
      <c r="D36" s="22" t="str">
        <f t="shared" ref="D36:D67" ca="1" si="1">IF(C36="","",DATEDIF(C36,TODAY(),"Y"))</f>
        <v/>
      </c>
      <c r="E36" s="22" t="s">
        <v>24</v>
      </c>
      <c r="F36" s="22"/>
      <c r="G36" s="23"/>
      <c r="H36" s="23"/>
      <c r="I36" s="24"/>
      <c r="J36" s="22"/>
      <c r="K36" s="25"/>
      <c r="L36" s="22"/>
      <c r="M36" s="22"/>
      <c r="N36" s="22"/>
      <c r="O36" s="22"/>
      <c r="P36" s="22"/>
      <c r="Q36" s="22"/>
      <c r="R36" s="22"/>
      <c r="S36" s="22"/>
      <c r="T36" s="22"/>
      <c r="U36" s="23"/>
    </row>
    <row r="37" spans="1:21" ht="100" customHeight="1">
      <c r="A37" s="22"/>
      <c r="B37" s="23"/>
      <c r="C37" s="23"/>
      <c r="D37" s="22" t="str">
        <f t="shared" ca="1" si="1"/>
        <v/>
      </c>
      <c r="E37" s="22" t="s">
        <v>24</v>
      </c>
      <c r="F37" s="22"/>
      <c r="G37" s="23"/>
      <c r="H37" s="23"/>
      <c r="I37" s="24"/>
      <c r="J37" s="22"/>
      <c r="K37" s="25"/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00" customHeight="1">
      <c r="A38" s="22"/>
      <c r="B38" s="23"/>
      <c r="C38" s="23"/>
      <c r="D38" s="22" t="str">
        <f t="shared" ca="1" si="1"/>
        <v/>
      </c>
      <c r="E38" s="22" t="s">
        <v>24</v>
      </c>
      <c r="F38" s="22"/>
      <c r="G38" s="23"/>
      <c r="H38" s="23"/>
      <c r="I38" s="24"/>
      <c r="J38" s="22"/>
      <c r="K38" s="25"/>
      <c r="L38" s="22"/>
      <c r="M38" s="22"/>
      <c r="N38" s="22"/>
      <c r="O38" s="22"/>
      <c r="P38" s="22"/>
      <c r="Q38" s="22"/>
      <c r="R38" s="22"/>
      <c r="S38" s="22"/>
      <c r="T38" s="22"/>
      <c r="U38" s="23"/>
    </row>
    <row r="39" spans="1:21" ht="100" customHeight="1">
      <c r="A39" s="22"/>
      <c r="B39" s="23"/>
      <c r="C39" s="23"/>
      <c r="D39" s="22" t="str">
        <f t="shared" ca="1" si="1"/>
        <v/>
      </c>
      <c r="E39" s="22" t="s">
        <v>24</v>
      </c>
      <c r="F39" s="22"/>
      <c r="G39" s="23"/>
      <c r="H39" s="23"/>
      <c r="I39" s="24"/>
      <c r="J39" s="22"/>
      <c r="K39" s="25"/>
      <c r="L39" s="22"/>
      <c r="M39" s="22"/>
      <c r="N39" s="22"/>
      <c r="O39" s="22"/>
      <c r="P39" s="22"/>
      <c r="Q39" s="22"/>
      <c r="R39" s="22"/>
      <c r="S39" s="22"/>
      <c r="T39" s="22"/>
      <c r="U39" s="23"/>
    </row>
    <row r="40" spans="1:21" ht="100" customHeight="1">
      <c r="A40" s="22"/>
      <c r="B40" s="23"/>
      <c r="C40" s="23"/>
      <c r="D40" s="22" t="str">
        <f t="shared" ca="1" si="1"/>
        <v/>
      </c>
      <c r="E40" s="22" t="s">
        <v>24</v>
      </c>
      <c r="F40" s="22"/>
      <c r="G40" s="23"/>
      <c r="H40" s="23"/>
      <c r="I40" s="24"/>
      <c r="J40" s="22"/>
      <c r="K40" s="25"/>
      <c r="L40" s="22"/>
      <c r="M40" s="22"/>
      <c r="N40" s="22"/>
      <c r="O40" s="22"/>
      <c r="P40" s="22"/>
      <c r="Q40" s="22"/>
      <c r="R40" s="22"/>
      <c r="S40" s="22"/>
      <c r="T40" s="22"/>
      <c r="U40" s="23"/>
    </row>
    <row r="41" spans="1:21" ht="100" customHeight="1">
      <c r="A41" s="22"/>
      <c r="B41" s="23"/>
      <c r="C41" s="23"/>
      <c r="D41" s="22" t="str">
        <f t="shared" ca="1" si="1"/>
        <v/>
      </c>
      <c r="E41" s="22" t="s">
        <v>24</v>
      </c>
      <c r="F41" s="22"/>
      <c r="G41" s="23"/>
      <c r="H41" s="23"/>
      <c r="I41" s="24"/>
      <c r="J41" s="22"/>
      <c r="K41" s="25"/>
      <c r="L41" s="22"/>
      <c r="M41" s="22"/>
      <c r="N41" s="22"/>
      <c r="O41" s="22"/>
      <c r="P41" s="22"/>
      <c r="Q41" s="22"/>
      <c r="R41" s="22"/>
      <c r="S41" s="22"/>
      <c r="T41" s="22"/>
      <c r="U41" s="23"/>
    </row>
    <row r="42" spans="1:21" ht="100" customHeight="1">
      <c r="A42" s="22"/>
      <c r="B42" s="23"/>
      <c r="C42" s="23"/>
      <c r="D42" s="22" t="str">
        <f t="shared" ca="1" si="1"/>
        <v/>
      </c>
      <c r="E42" s="22" t="s">
        <v>24</v>
      </c>
      <c r="F42" s="22"/>
      <c r="G42" s="23"/>
      <c r="H42" s="23"/>
      <c r="I42" s="24"/>
      <c r="J42" s="22"/>
      <c r="K42" s="25"/>
      <c r="L42" s="22"/>
      <c r="M42" s="22"/>
      <c r="N42" s="22"/>
      <c r="O42" s="22"/>
      <c r="P42" s="22"/>
      <c r="Q42" s="22"/>
      <c r="R42" s="22"/>
      <c r="S42" s="22"/>
      <c r="T42" s="22"/>
      <c r="U42" s="23"/>
    </row>
    <row r="43" spans="1:21" ht="100" customHeight="1">
      <c r="A43" s="22"/>
      <c r="B43" s="23"/>
      <c r="C43" s="23"/>
      <c r="D43" s="22" t="str">
        <f t="shared" ca="1" si="1"/>
        <v/>
      </c>
      <c r="E43" s="22" t="s">
        <v>24</v>
      </c>
      <c r="F43" s="22"/>
      <c r="G43" s="23"/>
      <c r="H43" s="23"/>
      <c r="I43" s="24"/>
      <c r="J43" s="22"/>
      <c r="K43" s="25"/>
      <c r="L43" s="22"/>
      <c r="M43" s="22"/>
      <c r="N43" s="22"/>
      <c r="O43" s="22"/>
      <c r="P43" s="22"/>
      <c r="Q43" s="22"/>
      <c r="R43" s="22"/>
      <c r="S43" s="22"/>
      <c r="T43" s="22"/>
      <c r="U43" s="23"/>
    </row>
    <row r="44" spans="1:21" ht="100" customHeight="1">
      <c r="A44" s="22"/>
      <c r="B44" s="23"/>
      <c r="C44" s="23"/>
      <c r="D44" s="22" t="str">
        <f t="shared" ca="1" si="1"/>
        <v/>
      </c>
      <c r="E44" s="22" t="s">
        <v>24</v>
      </c>
      <c r="F44" s="22"/>
      <c r="G44" s="23"/>
      <c r="H44" s="23"/>
      <c r="I44" s="24"/>
      <c r="J44" s="22"/>
      <c r="K44" s="25"/>
      <c r="L44" s="22"/>
      <c r="M44" s="22"/>
      <c r="N44" s="22"/>
      <c r="O44" s="22"/>
      <c r="P44" s="22"/>
      <c r="Q44" s="22"/>
      <c r="R44" s="22"/>
      <c r="S44" s="22"/>
      <c r="T44" s="22"/>
      <c r="U44" s="23"/>
    </row>
    <row r="45" spans="1:21" ht="100" customHeight="1">
      <c r="A45" s="22"/>
      <c r="B45" s="23"/>
      <c r="C45" s="23"/>
      <c r="D45" s="22" t="str">
        <f t="shared" ca="1" si="1"/>
        <v/>
      </c>
      <c r="E45" s="22" t="s">
        <v>24</v>
      </c>
      <c r="F45" s="22"/>
      <c r="G45" s="23"/>
      <c r="H45" s="23"/>
      <c r="I45" s="24"/>
      <c r="J45" s="22"/>
      <c r="K45" s="25"/>
      <c r="L45" s="22"/>
      <c r="M45" s="22"/>
      <c r="N45" s="22"/>
      <c r="O45" s="22"/>
      <c r="P45" s="22"/>
      <c r="Q45" s="22"/>
      <c r="R45" s="22"/>
      <c r="S45" s="22"/>
      <c r="T45" s="22"/>
      <c r="U45" s="23"/>
    </row>
    <row r="46" spans="1:21" ht="100" customHeight="1">
      <c r="A46" s="22"/>
      <c r="B46" s="23"/>
      <c r="C46" s="23"/>
      <c r="D46" s="22" t="str">
        <f t="shared" ca="1" si="1"/>
        <v/>
      </c>
      <c r="E46" s="22" t="s">
        <v>24</v>
      </c>
      <c r="F46" s="22"/>
      <c r="G46" s="23"/>
      <c r="H46" s="23"/>
      <c r="I46" s="24"/>
      <c r="J46" s="22"/>
      <c r="K46" s="25"/>
      <c r="L46" s="22"/>
      <c r="M46" s="22"/>
      <c r="N46" s="22"/>
      <c r="O46" s="22"/>
      <c r="P46" s="22"/>
      <c r="Q46" s="22"/>
      <c r="R46" s="22"/>
      <c r="S46" s="22"/>
      <c r="T46" s="22"/>
      <c r="U46" s="23"/>
    </row>
    <row r="47" spans="1:21" ht="100" customHeight="1">
      <c r="A47" s="22"/>
      <c r="B47" s="23"/>
      <c r="C47" s="23"/>
      <c r="D47" s="22" t="str">
        <f t="shared" ca="1" si="1"/>
        <v/>
      </c>
      <c r="E47" s="22" t="s">
        <v>24</v>
      </c>
      <c r="F47" s="22"/>
      <c r="G47" s="23"/>
      <c r="H47" s="23"/>
      <c r="I47" s="24"/>
      <c r="J47" s="22"/>
      <c r="K47" s="25"/>
      <c r="L47" s="22"/>
      <c r="M47" s="22"/>
      <c r="N47" s="22"/>
      <c r="O47" s="22"/>
      <c r="P47" s="22"/>
      <c r="Q47" s="22"/>
      <c r="R47" s="22"/>
      <c r="S47" s="22"/>
      <c r="T47" s="22"/>
      <c r="U47" s="23"/>
    </row>
    <row r="48" spans="1:21" ht="100" customHeight="1">
      <c r="A48" s="22"/>
      <c r="B48" s="23"/>
      <c r="C48" s="23"/>
      <c r="D48" s="22" t="str">
        <f t="shared" ca="1" si="1"/>
        <v/>
      </c>
      <c r="E48" s="22" t="s">
        <v>24</v>
      </c>
      <c r="F48" s="22"/>
      <c r="G48" s="23"/>
      <c r="H48" s="23"/>
      <c r="I48" s="24"/>
      <c r="J48" s="22"/>
      <c r="K48" s="25"/>
      <c r="L48" s="22"/>
      <c r="M48" s="22"/>
      <c r="N48" s="22"/>
      <c r="O48" s="22"/>
      <c r="P48" s="22"/>
      <c r="Q48" s="22"/>
      <c r="R48" s="22"/>
      <c r="S48" s="22"/>
      <c r="T48" s="22"/>
      <c r="U48" s="23"/>
    </row>
    <row r="49" spans="1:21" ht="100" customHeight="1">
      <c r="A49" s="22"/>
      <c r="B49" s="23"/>
      <c r="C49" s="23"/>
      <c r="D49" s="22" t="str">
        <f t="shared" ca="1" si="1"/>
        <v/>
      </c>
      <c r="E49" s="22" t="s">
        <v>24</v>
      </c>
      <c r="F49" s="22"/>
      <c r="G49" s="23"/>
      <c r="H49" s="23"/>
      <c r="I49" s="24"/>
      <c r="J49" s="22"/>
      <c r="K49" s="25"/>
      <c r="L49" s="22"/>
      <c r="M49" s="22"/>
      <c r="N49" s="22"/>
      <c r="O49" s="22"/>
      <c r="P49" s="22"/>
      <c r="Q49" s="22"/>
      <c r="R49" s="22"/>
      <c r="S49" s="22"/>
      <c r="T49" s="22"/>
      <c r="U49" s="23"/>
    </row>
    <row r="50" spans="1:21" ht="100" customHeight="1">
      <c r="A50" s="22"/>
      <c r="B50" s="23"/>
      <c r="C50" s="23"/>
      <c r="D50" s="22" t="str">
        <f t="shared" ca="1" si="1"/>
        <v/>
      </c>
      <c r="E50" s="22" t="s">
        <v>24</v>
      </c>
      <c r="F50" s="22"/>
      <c r="G50" s="23"/>
      <c r="H50" s="23"/>
      <c r="I50" s="24"/>
      <c r="J50" s="22"/>
      <c r="K50" s="25"/>
      <c r="L50" s="22"/>
      <c r="M50" s="22"/>
      <c r="N50" s="22"/>
      <c r="O50" s="22"/>
      <c r="P50" s="22"/>
      <c r="Q50" s="22"/>
      <c r="R50" s="22"/>
      <c r="S50" s="22"/>
      <c r="T50" s="22"/>
      <c r="U50" s="23"/>
    </row>
    <row r="51" spans="1:21" ht="100" customHeight="1">
      <c r="A51" s="22"/>
      <c r="B51" s="23"/>
      <c r="C51" s="23"/>
      <c r="D51" s="22" t="str">
        <f t="shared" ca="1" si="1"/>
        <v/>
      </c>
      <c r="E51" s="22" t="s">
        <v>24</v>
      </c>
      <c r="F51" s="22"/>
      <c r="G51" s="23"/>
      <c r="H51" s="23"/>
      <c r="I51" s="24"/>
      <c r="J51" s="22"/>
      <c r="K51" s="25"/>
      <c r="L51" s="22"/>
      <c r="M51" s="22"/>
      <c r="N51" s="22"/>
      <c r="O51" s="22"/>
      <c r="P51" s="22"/>
      <c r="Q51" s="22"/>
      <c r="R51" s="22"/>
      <c r="S51" s="22"/>
      <c r="T51" s="22"/>
      <c r="U51" s="23"/>
    </row>
    <row r="52" spans="1:21" ht="100" customHeight="1">
      <c r="A52" s="22"/>
      <c r="B52" s="23"/>
      <c r="C52" s="23"/>
      <c r="D52" s="22" t="str">
        <f t="shared" ca="1" si="1"/>
        <v/>
      </c>
      <c r="E52" s="22" t="s">
        <v>24</v>
      </c>
      <c r="F52" s="22"/>
      <c r="G52" s="23"/>
      <c r="H52" s="23"/>
      <c r="I52" s="24"/>
      <c r="J52" s="22"/>
      <c r="K52" s="25"/>
      <c r="L52" s="22"/>
      <c r="M52" s="22"/>
      <c r="N52" s="22"/>
      <c r="O52" s="22"/>
      <c r="P52" s="22"/>
      <c r="Q52" s="22"/>
      <c r="R52" s="22"/>
      <c r="S52" s="22"/>
      <c r="T52" s="22"/>
      <c r="U52" s="23"/>
    </row>
    <row r="53" spans="1:21" ht="100" customHeight="1">
      <c r="A53" s="22"/>
      <c r="B53" s="23"/>
      <c r="C53" s="23"/>
      <c r="D53" s="22" t="str">
        <f t="shared" ca="1" si="1"/>
        <v/>
      </c>
      <c r="E53" s="22" t="s">
        <v>24</v>
      </c>
      <c r="F53" s="22"/>
      <c r="G53" s="23"/>
      <c r="H53" s="23"/>
      <c r="I53" s="24"/>
      <c r="J53" s="22"/>
      <c r="K53" s="25"/>
      <c r="L53" s="22"/>
      <c r="M53" s="22"/>
      <c r="N53" s="22"/>
      <c r="O53" s="22"/>
      <c r="P53" s="22"/>
      <c r="Q53" s="22"/>
      <c r="R53" s="22"/>
      <c r="S53" s="22"/>
      <c r="T53" s="22"/>
      <c r="U53" s="23"/>
    </row>
    <row r="54" spans="1:21" ht="100" customHeight="1">
      <c r="A54" s="22"/>
      <c r="B54" s="23"/>
      <c r="C54" s="23"/>
      <c r="D54" s="22" t="str">
        <f t="shared" ca="1" si="1"/>
        <v/>
      </c>
      <c r="E54" s="22" t="s">
        <v>24</v>
      </c>
      <c r="F54" s="22"/>
      <c r="G54" s="23"/>
      <c r="H54" s="23"/>
      <c r="I54" s="24"/>
      <c r="J54" s="22"/>
      <c r="K54" s="25"/>
      <c r="L54" s="22"/>
      <c r="M54" s="22"/>
      <c r="N54" s="22"/>
      <c r="O54" s="22"/>
      <c r="P54" s="22"/>
      <c r="Q54" s="22"/>
      <c r="R54" s="22"/>
      <c r="S54" s="22"/>
      <c r="T54" s="22"/>
      <c r="U54" s="23"/>
    </row>
    <row r="55" spans="1:21" ht="100" customHeight="1">
      <c r="A55" s="22"/>
      <c r="B55" s="23"/>
      <c r="C55" s="23"/>
      <c r="D55" s="22" t="str">
        <f t="shared" ca="1" si="1"/>
        <v/>
      </c>
      <c r="E55" s="22" t="s">
        <v>24</v>
      </c>
      <c r="F55" s="22"/>
      <c r="G55" s="23"/>
      <c r="H55" s="23"/>
      <c r="I55" s="24"/>
      <c r="J55" s="22"/>
      <c r="K55" s="25"/>
      <c r="L55" s="22"/>
      <c r="M55" s="22"/>
      <c r="N55" s="22"/>
      <c r="O55" s="22"/>
      <c r="P55" s="22"/>
      <c r="Q55" s="22"/>
      <c r="R55" s="22"/>
      <c r="S55" s="22"/>
      <c r="T55" s="22"/>
      <c r="U55" s="23"/>
    </row>
    <row r="56" spans="1:21" ht="100" customHeight="1">
      <c r="A56" s="22"/>
      <c r="B56" s="23"/>
      <c r="C56" s="23"/>
      <c r="D56" s="22" t="str">
        <f t="shared" ca="1" si="1"/>
        <v/>
      </c>
      <c r="E56" s="22" t="s">
        <v>24</v>
      </c>
      <c r="F56" s="22"/>
      <c r="G56" s="23"/>
      <c r="H56" s="23"/>
      <c r="I56" s="24"/>
      <c r="J56" s="22"/>
      <c r="K56" s="25"/>
      <c r="L56" s="22"/>
      <c r="M56" s="22"/>
      <c r="N56" s="22"/>
      <c r="O56" s="22"/>
      <c r="P56" s="22"/>
      <c r="Q56" s="22"/>
      <c r="R56" s="22"/>
      <c r="S56" s="22"/>
      <c r="T56" s="22"/>
      <c r="U56" s="23"/>
    </row>
    <row r="57" spans="1:21" ht="100" customHeight="1">
      <c r="A57" s="22"/>
      <c r="B57" s="23"/>
      <c r="C57" s="23"/>
      <c r="D57" s="22" t="str">
        <f t="shared" ca="1" si="1"/>
        <v/>
      </c>
      <c r="E57" s="22" t="s">
        <v>24</v>
      </c>
      <c r="F57" s="22"/>
      <c r="G57" s="23"/>
      <c r="H57" s="23"/>
      <c r="I57" s="24"/>
      <c r="J57" s="22"/>
      <c r="K57" s="25"/>
      <c r="L57" s="22"/>
      <c r="M57" s="22"/>
      <c r="N57" s="22"/>
      <c r="O57" s="22"/>
      <c r="P57" s="22"/>
      <c r="Q57" s="22"/>
      <c r="R57" s="22"/>
      <c r="S57" s="22"/>
      <c r="T57" s="22"/>
      <c r="U57" s="23"/>
    </row>
    <row r="58" spans="1:21" ht="100" customHeight="1">
      <c r="A58" s="22"/>
      <c r="B58" s="23"/>
      <c r="C58" s="23"/>
      <c r="D58" s="22" t="str">
        <f t="shared" ca="1" si="1"/>
        <v/>
      </c>
      <c r="E58" s="22" t="s">
        <v>24</v>
      </c>
      <c r="F58" s="22"/>
      <c r="G58" s="23"/>
      <c r="H58" s="23"/>
      <c r="I58" s="24"/>
      <c r="J58" s="22"/>
      <c r="K58" s="25"/>
      <c r="L58" s="22"/>
      <c r="M58" s="22"/>
      <c r="N58" s="22"/>
      <c r="O58" s="22"/>
      <c r="P58" s="22"/>
      <c r="Q58" s="22"/>
      <c r="R58" s="22"/>
      <c r="S58" s="22"/>
      <c r="T58" s="22"/>
      <c r="U58" s="23"/>
    </row>
    <row r="59" spans="1:21" ht="100" customHeight="1">
      <c r="A59" s="22"/>
      <c r="B59" s="23"/>
      <c r="C59" s="23"/>
      <c r="D59" s="22" t="str">
        <f t="shared" ca="1" si="1"/>
        <v/>
      </c>
      <c r="E59" s="22" t="s">
        <v>24</v>
      </c>
      <c r="F59" s="22"/>
      <c r="G59" s="23"/>
      <c r="H59" s="23"/>
      <c r="I59" s="24"/>
      <c r="J59" s="22"/>
      <c r="K59" s="25"/>
      <c r="L59" s="22"/>
      <c r="M59" s="22"/>
      <c r="N59" s="22"/>
      <c r="O59" s="22"/>
      <c r="P59" s="22"/>
      <c r="Q59" s="22"/>
      <c r="R59" s="22"/>
      <c r="S59" s="22"/>
      <c r="T59" s="22"/>
      <c r="U59" s="23"/>
    </row>
    <row r="60" spans="1:21" ht="100" customHeight="1">
      <c r="A60" s="22"/>
      <c r="B60" s="23"/>
      <c r="C60" s="23"/>
      <c r="D60" s="22" t="str">
        <f t="shared" ca="1" si="1"/>
        <v/>
      </c>
      <c r="E60" s="22" t="s">
        <v>24</v>
      </c>
      <c r="F60" s="22"/>
      <c r="G60" s="23"/>
      <c r="H60" s="23"/>
      <c r="I60" s="24"/>
      <c r="J60" s="22"/>
      <c r="K60" s="25"/>
      <c r="L60" s="22"/>
      <c r="M60" s="22"/>
      <c r="N60" s="22"/>
      <c r="O60" s="22"/>
      <c r="P60" s="22"/>
      <c r="Q60" s="22"/>
      <c r="R60" s="22"/>
      <c r="S60" s="22"/>
      <c r="T60" s="22"/>
      <c r="U60" s="23"/>
    </row>
    <row r="61" spans="1:21" ht="100" customHeight="1">
      <c r="A61" s="22"/>
      <c r="B61" s="23"/>
      <c r="C61" s="23"/>
      <c r="D61" s="22" t="str">
        <f t="shared" ca="1" si="1"/>
        <v/>
      </c>
      <c r="E61" s="22" t="s">
        <v>24</v>
      </c>
      <c r="F61" s="22"/>
      <c r="G61" s="23"/>
      <c r="H61" s="23"/>
      <c r="I61" s="24"/>
      <c r="J61" s="22"/>
      <c r="K61" s="25"/>
      <c r="L61" s="22"/>
      <c r="M61" s="22"/>
      <c r="N61" s="22"/>
      <c r="O61" s="22"/>
      <c r="P61" s="22"/>
      <c r="Q61" s="22"/>
      <c r="R61" s="22"/>
      <c r="S61" s="22"/>
      <c r="T61" s="22"/>
      <c r="U61" s="23"/>
    </row>
    <row r="62" spans="1:21" ht="100" customHeight="1">
      <c r="A62" s="22"/>
      <c r="B62" s="23"/>
      <c r="C62" s="23"/>
      <c r="D62" s="22" t="str">
        <f t="shared" ca="1" si="1"/>
        <v/>
      </c>
      <c r="E62" s="22" t="s">
        <v>24</v>
      </c>
      <c r="F62" s="22"/>
      <c r="G62" s="23"/>
      <c r="H62" s="23"/>
      <c r="I62" s="24"/>
      <c r="J62" s="22"/>
      <c r="K62" s="25"/>
      <c r="L62" s="22"/>
      <c r="M62" s="22"/>
      <c r="N62" s="22"/>
      <c r="O62" s="22"/>
      <c r="P62" s="22"/>
      <c r="Q62" s="22"/>
      <c r="R62" s="22"/>
      <c r="S62" s="22"/>
      <c r="T62" s="22"/>
      <c r="U62" s="23"/>
    </row>
    <row r="63" spans="1:21" ht="100" customHeight="1">
      <c r="A63" s="22"/>
      <c r="B63" s="23"/>
      <c r="C63" s="23"/>
      <c r="D63" s="22" t="str">
        <f t="shared" ca="1" si="1"/>
        <v/>
      </c>
      <c r="E63" s="22" t="s">
        <v>24</v>
      </c>
      <c r="F63" s="22"/>
      <c r="G63" s="23"/>
      <c r="H63" s="23"/>
      <c r="I63" s="24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3"/>
    </row>
    <row r="64" spans="1:21" ht="100" customHeight="1">
      <c r="A64" s="22"/>
      <c r="B64" s="23"/>
      <c r="C64" s="23"/>
      <c r="D64" s="22" t="str">
        <f t="shared" ca="1" si="1"/>
        <v/>
      </c>
      <c r="E64" s="22" t="s">
        <v>24</v>
      </c>
      <c r="F64" s="22"/>
      <c r="G64" s="23"/>
      <c r="H64" s="23"/>
      <c r="I64" s="24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3"/>
    </row>
    <row r="65" spans="1:21" ht="100" customHeight="1">
      <c r="A65" s="22"/>
      <c r="B65" s="23"/>
      <c r="C65" s="23"/>
      <c r="D65" s="22" t="str">
        <f t="shared" ca="1" si="1"/>
        <v/>
      </c>
      <c r="E65" s="22" t="s">
        <v>24</v>
      </c>
      <c r="F65" s="22"/>
      <c r="G65" s="23"/>
      <c r="H65" s="23"/>
      <c r="I65" s="24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3"/>
    </row>
    <row r="66" spans="1:21" ht="100" customHeight="1">
      <c r="A66" s="22"/>
      <c r="B66" s="23"/>
      <c r="C66" s="23"/>
      <c r="D66" s="22" t="str">
        <f t="shared" ca="1" si="1"/>
        <v/>
      </c>
      <c r="E66" s="22" t="s">
        <v>24</v>
      </c>
      <c r="F66" s="22"/>
      <c r="G66" s="23"/>
      <c r="H66" s="23"/>
      <c r="I66" s="24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3"/>
    </row>
    <row r="67" spans="1:21" ht="100" customHeight="1">
      <c r="A67" s="22"/>
      <c r="B67" s="23"/>
      <c r="C67" s="23"/>
      <c r="D67" s="22" t="str">
        <f t="shared" ca="1" si="1"/>
        <v/>
      </c>
      <c r="E67" s="22" t="s">
        <v>24</v>
      </c>
      <c r="F67" s="22"/>
      <c r="G67" s="23"/>
      <c r="H67" s="23"/>
      <c r="I67" s="24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3"/>
    </row>
    <row r="68" spans="1:21" ht="100" customHeight="1">
      <c r="A68" s="22"/>
      <c r="B68" s="23"/>
      <c r="C68" s="23"/>
      <c r="D68" s="22" t="str">
        <f t="shared" ref="D68:D99" ca="1" si="2">IF(C68="","",DATEDIF(C68,TODAY(),"Y"))</f>
        <v/>
      </c>
      <c r="E68" s="22" t="s">
        <v>24</v>
      </c>
      <c r="F68" s="22"/>
      <c r="G68" s="23"/>
      <c r="H68" s="23"/>
      <c r="I68" s="24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3"/>
    </row>
    <row r="69" spans="1:21" ht="100" customHeight="1">
      <c r="A69" s="22"/>
      <c r="B69" s="23"/>
      <c r="C69" s="23"/>
      <c r="D69" s="22" t="str">
        <f t="shared" ca="1" si="2"/>
        <v/>
      </c>
      <c r="E69" s="22" t="s">
        <v>24</v>
      </c>
      <c r="F69" s="22"/>
      <c r="G69" s="23"/>
      <c r="H69" s="23"/>
      <c r="I69" s="24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3"/>
    </row>
    <row r="70" spans="1:21" ht="100" customHeight="1">
      <c r="A70" s="22"/>
      <c r="B70" s="23"/>
      <c r="C70" s="23"/>
      <c r="D70" s="22" t="str">
        <f t="shared" ca="1" si="2"/>
        <v/>
      </c>
      <c r="E70" s="22" t="s">
        <v>24</v>
      </c>
      <c r="F70" s="22"/>
      <c r="G70" s="23"/>
      <c r="H70" s="23"/>
      <c r="I70" s="24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3"/>
    </row>
    <row r="71" spans="1:21" ht="100" customHeight="1">
      <c r="A71" s="22"/>
      <c r="B71" s="23"/>
      <c r="C71" s="23"/>
      <c r="D71" s="22" t="str">
        <f t="shared" ca="1" si="2"/>
        <v/>
      </c>
      <c r="E71" s="22" t="s">
        <v>24</v>
      </c>
      <c r="F71" s="22"/>
      <c r="G71" s="23"/>
      <c r="H71" s="23"/>
      <c r="I71" s="24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3"/>
    </row>
    <row r="72" spans="1:21" ht="100" customHeight="1">
      <c r="A72" s="22"/>
      <c r="B72" s="23"/>
      <c r="C72" s="23"/>
      <c r="D72" s="22" t="str">
        <f t="shared" ca="1" si="2"/>
        <v/>
      </c>
      <c r="E72" s="22" t="s">
        <v>24</v>
      </c>
      <c r="F72" s="22"/>
      <c r="G72" s="23"/>
      <c r="H72" s="23"/>
      <c r="I72" s="24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00" customHeight="1">
      <c r="A73" s="22"/>
      <c r="B73" s="23"/>
      <c r="C73" s="23"/>
      <c r="D73" s="22" t="str">
        <f t="shared" ca="1" si="2"/>
        <v/>
      </c>
      <c r="E73" s="22" t="s">
        <v>24</v>
      </c>
      <c r="F73" s="22"/>
      <c r="G73" s="23"/>
      <c r="H73" s="23"/>
      <c r="I73" s="24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3"/>
    </row>
    <row r="74" spans="1:21" ht="100" customHeight="1">
      <c r="A74" s="22"/>
      <c r="B74" s="23"/>
      <c r="C74" s="23"/>
      <c r="D74" s="22" t="str">
        <f t="shared" ca="1" si="2"/>
        <v/>
      </c>
      <c r="E74" s="22" t="s">
        <v>24</v>
      </c>
      <c r="F74" s="22"/>
      <c r="G74" s="23"/>
      <c r="H74" s="23"/>
      <c r="I74" s="24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3"/>
    </row>
    <row r="75" spans="1:21" ht="100" customHeight="1">
      <c r="A75" s="22"/>
      <c r="B75" s="23"/>
      <c r="C75" s="23"/>
      <c r="D75" s="22" t="str">
        <f t="shared" ca="1" si="2"/>
        <v/>
      </c>
      <c r="E75" s="22" t="s">
        <v>24</v>
      </c>
      <c r="F75" s="22"/>
      <c r="G75" s="23"/>
      <c r="H75" s="23"/>
      <c r="I75" s="24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3"/>
    </row>
    <row r="76" spans="1:21" ht="100" customHeight="1">
      <c r="A76" s="22"/>
      <c r="B76" s="23"/>
      <c r="C76" s="23"/>
      <c r="D76" s="22" t="str">
        <f t="shared" ca="1" si="2"/>
        <v/>
      </c>
      <c r="E76" s="22" t="s">
        <v>24</v>
      </c>
      <c r="F76" s="22"/>
      <c r="G76" s="23"/>
      <c r="H76" s="23"/>
      <c r="I76" s="24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3"/>
    </row>
    <row r="77" spans="1:21" ht="100" customHeight="1">
      <c r="A77" s="22"/>
      <c r="B77" s="23"/>
      <c r="C77" s="23"/>
      <c r="D77" s="22" t="str">
        <f t="shared" ca="1" si="2"/>
        <v/>
      </c>
      <c r="E77" s="22" t="s">
        <v>24</v>
      </c>
      <c r="F77" s="22"/>
      <c r="G77" s="23"/>
      <c r="H77" s="23"/>
      <c r="I77" s="24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3"/>
    </row>
    <row r="78" spans="1:21" ht="100" customHeight="1">
      <c r="A78" s="22"/>
      <c r="B78" s="23"/>
      <c r="C78" s="23"/>
      <c r="D78" s="22" t="str">
        <f t="shared" ca="1" si="2"/>
        <v/>
      </c>
      <c r="E78" s="22" t="s">
        <v>24</v>
      </c>
      <c r="F78" s="22"/>
      <c r="G78" s="23"/>
      <c r="H78" s="23"/>
      <c r="I78" s="24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3"/>
    </row>
    <row r="79" spans="1:21" ht="100" customHeight="1">
      <c r="A79" s="22"/>
      <c r="B79" s="23"/>
      <c r="C79" s="23"/>
      <c r="D79" s="22" t="str">
        <f t="shared" ca="1" si="2"/>
        <v/>
      </c>
      <c r="E79" s="22" t="s">
        <v>24</v>
      </c>
      <c r="F79" s="22"/>
      <c r="G79" s="23"/>
      <c r="H79" s="23"/>
      <c r="I79" s="24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3"/>
    </row>
    <row r="80" spans="1:21" ht="100" customHeight="1">
      <c r="A80" s="22"/>
      <c r="B80" s="23"/>
      <c r="C80" s="23"/>
      <c r="D80" s="22" t="str">
        <f t="shared" ca="1" si="2"/>
        <v/>
      </c>
      <c r="E80" s="22" t="s">
        <v>24</v>
      </c>
      <c r="F80" s="22"/>
      <c r="G80" s="23"/>
      <c r="H80" s="23"/>
      <c r="I80" s="24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3"/>
    </row>
    <row r="81" spans="1:21" ht="100" customHeight="1">
      <c r="A81" s="22"/>
      <c r="B81" s="23"/>
      <c r="C81" s="23"/>
      <c r="D81" s="22" t="str">
        <f t="shared" ca="1" si="2"/>
        <v/>
      </c>
      <c r="E81" s="22" t="s">
        <v>24</v>
      </c>
      <c r="F81" s="22"/>
      <c r="G81" s="23"/>
      <c r="H81" s="23"/>
      <c r="I81" s="24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3"/>
    </row>
    <row r="82" spans="1:21" ht="100" customHeight="1">
      <c r="A82" s="22"/>
      <c r="B82" s="23"/>
      <c r="C82" s="23"/>
      <c r="D82" s="22" t="str">
        <f t="shared" ca="1" si="2"/>
        <v/>
      </c>
      <c r="E82" s="22" t="s">
        <v>24</v>
      </c>
      <c r="F82" s="22"/>
      <c r="G82" s="23"/>
      <c r="H82" s="23"/>
      <c r="I82" s="24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3"/>
    </row>
    <row r="83" spans="1:21" ht="100" customHeight="1">
      <c r="A83" s="22"/>
      <c r="B83" s="23"/>
      <c r="C83" s="23"/>
      <c r="D83" s="22" t="str">
        <f t="shared" ca="1" si="2"/>
        <v/>
      </c>
      <c r="E83" s="22" t="s">
        <v>24</v>
      </c>
      <c r="F83" s="22"/>
      <c r="G83" s="23"/>
      <c r="H83" s="23"/>
      <c r="I83" s="24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3"/>
    </row>
    <row r="84" spans="1:21" ht="100" customHeight="1">
      <c r="A84" s="22"/>
      <c r="B84" s="23"/>
      <c r="C84" s="23"/>
      <c r="D84" s="22" t="str">
        <f t="shared" ca="1" si="2"/>
        <v/>
      </c>
      <c r="E84" s="22" t="s">
        <v>24</v>
      </c>
      <c r="F84" s="22"/>
      <c r="G84" s="23"/>
      <c r="H84" s="23"/>
      <c r="I84" s="24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3"/>
    </row>
    <row r="85" spans="1:21" ht="100" customHeight="1">
      <c r="A85" s="22"/>
      <c r="B85" s="23"/>
      <c r="C85" s="23"/>
      <c r="D85" s="22" t="str">
        <f t="shared" ca="1" si="2"/>
        <v/>
      </c>
      <c r="E85" s="22" t="s">
        <v>24</v>
      </c>
      <c r="F85" s="22"/>
      <c r="G85" s="23"/>
      <c r="H85" s="23"/>
      <c r="I85" s="24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3"/>
    </row>
    <row r="86" spans="1:21" ht="100" customHeight="1">
      <c r="A86" s="22"/>
      <c r="B86" s="23"/>
      <c r="C86" s="23"/>
      <c r="D86" s="22" t="str">
        <f t="shared" ca="1" si="2"/>
        <v/>
      </c>
      <c r="E86" s="22" t="s">
        <v>24</v>
      </c>
      <c r="F86" s="22"/>
      <c r="G86" s="23"/>
      <c r="H86" s="23"/>
      <c r="I86" s="24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3"/>
    </row>
    <row r="87" spans="1:21" ht="100" customHeight="1">
      <c r="A87" s="22"/>
      <c r="B87" s="23"/>
      <c r="C87" s="23"/>
      <c r="D87" s="22" t="str">
        <f t="shared" ca="1" si="2"/>
        <v/>
      </c>
      <c r="E87" s="22" t="s">
        <v>24</v>
      </c>
      <c r="F87" s="22"/>
      <c r="G87" s="23"/>
      <c r="H87" s="23"/>
      <c r="I87" s="24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3"/>
    </row>
    <row r="88" spans="1:21" ht="100" customHeight="1">
      <c r="A88" s="22"/>
      <c r="B88" s="23"/>
      <c r="C88" s="23"/>
      <c r="D88" s="22" t="str">
        <f t="shared" ca="1" si="2"/>
        <v/>
      </c>
      <c r="E88" s="22" t="s">
        <v>24</v>
      </c>
      <c r="F88" s="22"/>
      <c r="G88" s="23"/>
      <c r="H88" s="23"/>
      <c r="I88" s="24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3"/>
    </row>
    <row r="89" spans="1:21" ht="100" customHeight="1">
      <c r="A89" s="22"/>
      <c r="B89" s="23"/>
      <c r="C89" s="23"/>
      <c r="D89" s="22" t="str">
        <f t="shared" ca="1" si="2"/>
        <v/>
      </c>
      <c r="E89" s="22" t="s">
        <v>24</v>
      </c>
      <c r="F89" s="22"/>
      <c r="G89" s="23"/>
      <c r="H89" s="23"/>
      <c r="I89" s="24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3"/>
    </row>
    <row r="90" spans="1:21" ht="100" customHeight="1">
      <c r="A90" s="22"/>
      <c r="B90" s="23"/>
      <c r="C90" s="23"/>
      <c r="D90" s="22" t="str">
        <f t="shared" ca="1" si="2"/>
        <v/>
      </c>
      <c r="E90" s="22" t="s">
        <v>24</v>
      </c>
      <c r="F90" s="22"/>
      <c r="G90" s="23"/>
      <c r="H90" s="23"/>
      <c r="I90" s="24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3"/>
    </row>
    <row r="91" spans="1:21" ht="100" customHeight="1">
      <c r="A91" s="22"/>
      <c r="B91" s="23"/>
      <c r="C91" s="23"/>
      <c r="D91" s="22" t="str">
        <f t="shared" ca="1" si="2"/>
        <v/>
      </c>
      <c r="E91" s="22" t="s">
        <v>24</v>
      </c>
      <c r="F91" s="22"/>
      <c r="G91" s="23"/>
      <c r="H91" s="23"/>
      <c r="I91" s="24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3"/>
    </row>
    <row r="92" spans="1:21" ht="100" customHeight="1">
      <c r="A92" s="22"/>
      <c r="B92" s="23"/>
      <c r="C92" s="23"/>
      <c r="D92" s="22" t="str">
        <f t="shared" ca="1" si="2"/>
        <v/>
      </c>
      <c r="E92" s="22" t="s">
        <v>24</v>
      </c>
      <c r="F92" s="22"/>
      <c r="G92" s="23"/>
      <c r="H92" s="23"/>
      <c r="I92" s="24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3"/>
    </row>
    <row r="93" spans="1:21" ht="100" customHeight="1">
      <c r="A93" s="22"/>
      <c r="B93" s="23"/>
      <c r="C93" s="23"/>
      <c r="D93" s="22" t="str">
        <f t="shared" ca="1" si="2"/>
        <v/>
      </c>
      <c r="E93" s="22" t="s">
        <v>24</v>
      </c>
      <c r="F93" s="22"/>
      <c r="G93" s="23"/>
      <c r="H93" s="23"/>
      <c r="I93" s="24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3"/>
    </row>
    <row r="94" spans="1:21" ht="100" customHeight="1">
      <c r="A94" s="22"/>
      <c r="B94" s="23"/>
      <c r="C94" s="23"/>
      <c r="D94" s="22" t="str">
        <f t="shared" ca="1" si="2"/>
        <v/>
      </c>
      <c r="E94" s="22" t="s">
        <v>24</v>
      </c>
      <c r="F94" s="22"/>
      <c r="G94" s="23"/>
      <c r="H94" s="23"/>
      <c r="I94" s="24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3"/>
    </row>
    <row r="95" spans="1:21" ht="100" customHeight="1">
      <c r="A95" s="22"/>
      <c r="B95" s="23"/>
      <c r="C95" s="23"/>
      <c r="D95" s="22" t="str">
        <f t="shared" ca="1" si="2"/>
        <v/>
      </c>
      <c r="E95" s="22" t="s">
        <v>24</v>
      </c>
      <c r="F95" s="22"/>
      <c r="G95" s="23"/>
      <c r="H95" s="23"/>
      <c r="I95" s="24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3"/>
    </row>
    <row r="96" spans="1:21" ht="100" customHeight="1">
      <c r="A96" s="22"/>
      <c r="B96" s="23"/>
      <c r="C96" s="23"/>
      <c r="D96" s="22" t="str">
        <f t="shared" ca="1" si="2"/>
        <v/>
      </c>
      <c r="E96" s="22" t="s">
        <v>24</v>
      </c>
      <c r="F96" s="22"/>
      <c r="G96" s="23"/>
      <c r="H96" s="23"/>
      <c r="I96" s="24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3"/>
    </row>
    <row r="97" spans="1:21" ht="100" customHeight="1">
      <c r="A97" s="22"/>
      <c r="B97" s="23"/>
      <c r="C97" s="23"/>
      <c r="D97" s="22" t="str">
        <f t="shared" ca="1" si="2"/>
        <v/>
      </c>
      <c r="E97" s="22" t="s">
        <v>24</v>
      </c>
      <c r="F97" s="22"/>
      <c r="G97" s="23"/>
      <c r="H97" s="23"/>
      <c r="I97" s="24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3"/>
    </row>
    <row r="98" spans="1:21" ht="100" customHeight="1">
      <c r="A98" s="22"/>
      <c r="B98" s="23"/>
      <c r="C98" s="23"/>
      <c r="D98" s="22" t="str">
        <f t="shared" ca="1" si="2"/>
        <v/>
      </c>
      <c r="E98" s="22" t="s">
        <v>24</v>
      </c>
      <c r="F98" s="22"/>
      <c r="G98" s="23"/>
      <c r="H98" s="23"/>
      <c r="I98" s="24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3"/>
    </row>
    <row r="99" spans="1:21" ht="100" customHeight="1">
      <c r="A99" s="22"/>
      <c r="B99" s="23"/>
      <c r="C99" s="23"/>
      <c r="D99" s="22" t="str">
        <f t="shared" ca="1" si="2"/>
        <v/>
      </c>
      <c r="E99" s="22" t="s">
        <v>24</v>
      </c>
      <c r="F99" s="22"/>
      <c r="G99" s="23"/>
      <c r="H99" s="23"/>
      <c r="I99" s="24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3"/>
    </row>
    <row r="100" spans="1:21" ht="100" customHeight="1">
      <c r="A100" s="22"/>
      <c r="B100" s="23"/>
      <c r="C100" s="23"/>
      <c r="D100" s="22" t="str">
        <f t="shared" ref="D100:D103" ca="1" si="3">IF(C100="","",DATEDIF(C100,TODAY(),"Y"))</f>
        <v/>
      </c>
      <c r="E100" s="22" t="s">
        <v>24</v>
      </c>
      <c r="F100" s="22"/>
      <c r="G100" s="23"/>
      <c r="H100" s="23"/>
      <c r="I100" s="24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3"/>
    </row>
    <row r="101" spans="1:21" ht="100" customHeight="1">
      <c r="A101" s="22"/>
      <c r="B101" s="23"/>
      <c r="C101" s="23"/>
      <c r="D101" s="22" t="str">
        <f t="shared" ca="1" si="3"/>
        <v/>
      </c>
      <c r="E101" s="22" t="s">
        <v>24</v>
      </c>
      <c r="F101" s="22"/>
      <c r="G101" s="23"/>
      <c r="H101" s="23"/>
      <c r="I101" s="24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3"/>
    </row>
    <row r="102" spans="1:21" ht="100" customHeight="1">
      <c r="A102" s="22"/>
      <c r="B102" s="23"/>
      <c r="C102" s="23"/>
      <c r="D102" s="22" t="str">
        <f t="shared" ca="1" si="3"/>
        <v/>
      </c>
      <c r="E102" s="22" t="s">
        <v>24</v>
      </c>
      <c r="F102" s="22"/>
      <c r="G102" s="23"/>
      <c r="H102" s="23"/>
      <c r="I102" s="24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3"/>
    </row>
    <row r="103" spans="1:21" ht="100" customHeight="1">
      <c r="A103" s="22"/>
      <c r="B103" s="23"/>
      <c r="C103" s="23"/>
      <c r="D103" s="22" t="str">
        <f t="shared" ca="1" si="3"/>
        <v/>
      </c>
      <c r="E103" s="22" t="s">
        <v>24</v>
      </c>
      <c r="F103" s="22"/>
      <c r="G103" s="23"/>
      <c r="H103" s="23"/>
      <c r="I103" s="24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3"/>
    </row>
  </sheetData>
  <mergeCells count="2">
    <mergeCell ref="A1:U1"/>
    <mergeCell ref="A2:I2"/>
  </mergeCells>
  <conditionalFormatting sqref="A4:U103">
    <cfRule type="expression" dxfId="56" priority="4">
      <formula>$I4="Yeşil"</formula>
    </cfRule>
    <cfRule type="expression" dxfId="55" priority="5">
      <formula>$I4="Sarı"</formula>
    </cfRule>
    <cfRule type="expression" dxfId="54" priority="6">
      <formula>$I4="Kırmızı"</formula>
    </cfRule>
  </conditionalFormatting>
  <conditionalFormatting sqref="H4:H103">
    <cfRule type="expression" dxfId="53" priority="7">
      <formula>AND($H4&lt;&gt;"",$H4&gt;=TODAY(),$H4&lt;=EDATE(TODAY(),6))</formula>
    </cfRule>
    <cfRule type="expression" dxfId="52" priority="8">
      <formula>AND($H4&lt;&gt;"",$H4&gt;EDATE(TODAY(),6),$H4&lt;=EDATE(TODAY(),12))</formula>
    </cfRule>
  </conditionalFormatting>
  <dataValidations count="3">
    <dataValidation type="list" allowBlank="1" showErrorMessage="1" sqref="I4:I103" xr:uid="{00000000-0002-0000-0800-000000000000}">
      <formula1>"Kırmızı,Sarı,Yeşil"</formula1>
    </dataValidation>
    <dataValidation sqref="L4:R103" xr:uid="{00000000-0002-0000-0800-000001000000}">
      <formula1>1</formula1>
      <formula2>10</formula2>
    </dataValidation>
    <dataValidation type="list" sqref="T4:T103" xr:uid="{00000000-0002-0000-0800-000002000000}">
      <formula1>"A Liste,B Liste,Takip,Tekrar İzle,Ele"</formula1>
    </dataValidation>
  </dataValidations>
  <hyperlinks>
    <hyperlink ref="K26" r:id="rId1" xr:uid="{00000000-0004-0000-0800-000000000000}"/>
    <hyperlink ref="K27" r:id="rId2" xr:uid="{00000000-0004-0000-0800-000001000000}"/>
    <hyperlink ref="K28" r:id="rId3" xr:uid="{00000000-0004-0000-0800-000002000000}"/>
    <hyperlink ref="K29" r:id="rId4" xr:uid="{00000000-0004-0000-0800-000003000000}"/>
    <hyperlink ref="K30" r:id="rId5" xr:uid="{00000000-0004-0000-0800-000004000000}"/>
    <hyperlink ref="K31" r:id="rId6" xr:uid="{00000000-0004-0000-0800-000005000000}"/>
    <hyperlink ref="K32" r:id="rId7" xr:uid="{00000000-0004-0000-0800-000006000000}"/>
    <hyperlink ref="K33" r:id="rId8" xr:uid="{00000000-0004-0000-0800-000007000000}"/>
  </hyperlinks>
  <pageMargins left="0.7" right="0.7" top="0.75" bottom="0.75" header="0.3" footer="0.3"/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03"/>
  <sheetViews>
    <sheetView showGridLines="0" topLeftCell="A4" workbookViewId="0">
      <selection activeCell="A7" sqref="A7"/>
    </sheetView>
  </sheetViews>
  <sheetFormatPr baseColWidth="10" defaultColWidth="8.83203125" defaultRowHeight="14"/>
  <cols>
    <col min="1" max="1" width="24" customWidth="1"/>
    <col min="2" max="3" width="14" customWidth="1"/>
    <col min="4" max="4" width="8" customWidth="1"/>
    <col min="5" max="5" width="16" customWidth="1"/>
    <col min="6" max="6" width="18" customWidth="1"/>
    <col min="7" max="7" width="20" customWidth="1"/>
    <col min="8" max="8" width="18" customWidth="1"/>
    <col min="9" max="9" width="11" customWidth="1"/>
    <col min="10" max="10" width="100.83203125" customWidth="1"/>
    <col min="11" max="11" width="49.83203125" bestFit="1" customWidth="1"/>
    <col min="12" max="15" width="9" customWidth="1"/>
    <col min="16" max="17" width="10" customWidth="1"/>
    <col min="18" max="18" width="12" customWidth="1"/>
    <col min="19" max="19" width="11" customWidth="1"/>
    <col min="20" max="21" width="14" customWidth="1"/>
  </cols>
  <sheetData>
    <row r="1" spans="1:21" ht="30" customHeight="1">
      <c r="A1" s="67" t="s">
        <v>192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1" ht="15" customHeight="1">
      <c r="A2" s="96"/>
      <c r="B2" s="68"/>
      <c r="C2" s="68"/>
      <c r="D2" s="68"/>
      <c r="E2" s="68"/>
      <c r="F2" s="68"/>
      <c r="G2" s="68"/>
      <c r="H2" s="68"/>
      <c r="I2" s="68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30" customHeight="1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U3" s="21" t="s">
        <v>21</v>
      </c>
    </row>
    <row r="4" spans="1:21" ht="100" customHeight="1">
      <c r="A4" s="22" t="s">
        <v>193</v>
      </c>
      <c r="B4" s="23" t="s">
        <v>97</v>
      </c>
      <c r="C4" s="23">
        <v>34367</v>
      </c>
      <c r="D4" s="22">
        <f t="shared" ref="D4:D35" ca="1" si="0">IF(C4="","",DATEDIF(C4,TODAY(),"Y"))</f>
        <v>32</v>
      </c>
      <c r="E4" s="22" t="s">
        <v>194</v>
      </c>
      <c r="F4" s="22"/>
      <c r="G4" s="23" t="s">
        <v>50</v>
      </c>
      <c r="H4" s="23" t="s">
        <v>51</v>
      </c>
      <c r="I4" s="24" t="s">
        <v>36</v>
      </c>
      <c r="J4" s="22"/>
      <c r="K4" s="22" t="s">
        <v>195</v>
      </c>
      <c r="L4" s="22"/>
      <c r="M4" s="22"/>
      <c r="N4" s="22"/>
      <c r="O4" s="22"/>
      <c r="P4" s="22"/>
      <c r="Q4" s="22"/>
      <c r="R4" s="22"/>
      <c r="S4" s="22"/>
      <c r="T4" s="22" t="s">
        <v>38</v>
      </c>
      <c r="U4" s="23"/>
    </row>
    <row r="5" spans="1:21" ht="100" customHeight="1">
      <c r="A5" s="22" t="s">
        <v>196</v>
      </c>
      <c r="B5" s="23" t="s">
        <v>197</v>
      </c>
      <c r="C5" s="23">
        <v>38395</v>
      </c>
      <c r="D5" s="22">
        <f t="shared" ca="1" si="0"/>
        <v>21</v>
      </c>
      <c r="E5" s="22" t="s">
        <v>194</v>
      </c>
      <c r="F5" s="22"/>
      <c r="G5" s="23" t="s">
        <v>198</v>
      </c>
      <c r="H5" s="23">
        <v>46752</v>
      </c>
      <c r="I5" s="24" t="s">
        <v>36</v>
      </c>
      <c r="J5" s="22"/>
      <c r="K5" s="22" t="s">
        <v>199</v>
      </c>
      <c r="L5" s="22"/>
      <c r="M5" s="22"/>
      <c r="N5" s="22"/>
      <c r="O5" s="22"/>
      <c r="P5" s="22"/>
      <c r="Q5" s="22"/>
      <c r="R5" s="22"/>
      <c r="S5" s="22"/>
      <c r="T5" s="22" t="s">
        <v>38</v>
      </c>
      <c r="U5" s="23"/>
    </row>
    <row r="6" spans="1:21" ht="100" customHeight="1">
      <c r="A6" s="22" t="s">
        <v>200</v>
      </c>
      <c r="B6" s="23" t="s">
        <v>34</v>
      </c>
      <c r="C6" s="23">
        <v>35384</v>
      </c>
      <c r="D6" s="22">
        <f t="shared" ca="1" si="0"/>
        <v>29</v>
      </c>
      <c r="E6" s="22" t="s">
        <v>194</v>
      </c>
      <c r="F6" s="22"/>
      <c r="G6" s="23" t="s">
        <v>201</v>
      </c>
      <c r="H6" s="23">
        <v>46752</v>
      </c>
      <c r="I6" s="24" t="s">
        <v>26</v>
      </c>
      <c r="J6" s="22"/>
      <c r="K6" s="40" t="s">
        <v>202</v>
      </c>
      <c r="L6" s="22"/>
      <c r="M6" s="22"/>
      <c r="N6" s="22"/>
      <c r="O6" s="22"/>
      <c r="P6" s="22"/>
      <c r="Q6" s="22"/>
      <c r="R6" s="22"/>
      <c r="S6" s="22"/>
      <c r="T6" s="22" t="s">
        <v>44</v>
      </c>
      <c r="U6" s="23"/>
    </row>
    <row r="7" spans="1:21" ht="100" customHeight="1">
      <c r="A7" s="22" t="s">
        <v>203</v>
      </c>
      <c r="B7" s="23"/>
      <c r="C7" s="23"/>
      <c r="D7" s="22" t="str">
        <f t="shared" ca="1" si="0"/>
        <v/>
      </c>
      <c r="E7" s="22" t="s">
        <v>194</v>
      </c>
      <c r="F7" s="22"/>
      <c r="G7" s="23"/>
      <c r="H7" s="23" t="s">
        <v>51</v>
      </c>
      <c r="I7" s="24"/>
      <c r="J7" s="22"/>
      <c r="K7" s="65" t="s">
        <v>204</v>
      </c>
      <c r="L7" s="22"/>
      <c r="M7" s="22"/>
      <c r="N7" s="22"/>
      <c r="O7" s="22"/>
      <c r="P7" s="22"/>
      <c r="Q7" s="22"/>
      <c r="R7" s="22"/>
      <c r="S7" s="22"/>
      <c r="T7" s="22"/>
      <c r="U7" s="23"/>
    </row>
    <row r="8" spans="1:21" ht="100" customHeight="1">
      <c r="A8" s="22" t="s">
        <v>205</v>
      </c>
      <c r="B8" s="23" t="s">
        <v>206</v>
      </c>
      <c r="C8" s="23">
        <v>38020</v>
      </c>
      <c r="D8" s="22">
        <f t="shared" ca="1" si="0"/>
        <v>22</v>
      </c>
      <c r="E8" s="22" t="s">
        <v>194</v>
      </c>
      <c r="F8" s="22" t="s">
        <v>207</v>
      </c>
      <c r="G8" s="23" t="s">
        <v>208</v>
      </c>
      <c r="H8" s="23">
        <v>47299</v>
      </c>
      <c r="I8" s="24"/>
      <c r="J8" s="22"/>
      <c r="K8" s="65" t="s">
        <v>209</v>
      </c>
      <c r="L8" s="22"/>
      <c r="M8" s="22"/>
      <c r="N8" s="22"/>
      <c r="O8" s="22"/>
      <c r="P8" s="22"/>
      <c r="Q8" s="22"/>
      <c r="R8" s="22"/>
      <c r="S8" s="22"/>
      <c r="T8" s="22"/>
      <c r="U8" s="23"/>
    </row>
    <row r="9" spans="1:21" ht="100" customHeight="1">
      <c r="A9" s="22"/>
      <c r="B9" s="23"/>
      <c r="C9" s="23"/>
      <c r="D9" s="22" t="str">
        <f t="shared" ca="1" si="0"/>
        <v/>
      </c>
      <c r="E9" s="22" t="s">
        <v>194</v>
      </c>
      <c r="F9" s="22"/>
      <c r="G9" s="23"/>
      <c r="H9" s="23"/>
      <c r="I9" s="24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</row>
    <row r="10" spans="1:21" ht="100" customHeight="1">
      <c r="A10" s="22"/>
      <c r="B10" s="23"/>
      <c r="C10" s="23"/>
      <c r="D10" s="22" t="str">
        <f t="shared" ca="1" si="0"/>
        <v/>
      </c>
      <c r="E10" s="22" t="s">
        <v>194</v>
      </c>
      <c r="F10" s="22"/>
      <c r="G10" s="23"/>
      <c r="H10" s="23"/>
      <c r="I10" s="2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</row>
    <row r="11" spans="1:21" ht="100" customHeight="1">
      <c r="A11" s="22"/>
      <c r="B11" s="23"/>
      <c r="C11" s="23"/>
      <c r="D11" s="22" t="str">
        <f t="shared" ca="1" si="0"/>
        <v/>
      </c>
      <c r="E11" s="22" t="s">
        <v>194</v>
      </c>
      <c r="F11" s="22"/>
      <c r="G11" s="23"/>
      <c r="H11" s="23"/>
      <c r="I11" s="2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3"/>
    </row>
    <row r="12" spans="1:21" ht="100" customHeight="1">
      <c r="A12" s="22"/>
      <c r="B12" s="23"/>
      <c r="C12" s="23"/>
      <c r="D12" s="22" t="str">
        <f t="shared" ca="1" si="0"/>
        <v/>
      </c>
      <c r="E12" s="22" t="s">
        <v>194</v>
      </c>
      <c r="F12" s="22"/>
      <c r="G12" s="23"/>
      <c r="H12" s="23"/>
      <c r="I12" s="24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3"/>
    </row>
    <row r="13" spans="1:21" ht="100" customHeight="1">
      <c r="A13" s="22"/>
      <c r="B13" s="23"/>
      <c r="C13" s="23"/>
      <c r="D13" s="22" t="str">
        <f t="shared" ca="1" si="0"/>
        <v/>
      </c>
      <c r="E13" s="22" t="s">
        <v>194</v>
      </c>
      <c r="F13" s="22"/>
      <c r="G13" s="23"/>
      <c r="H13" s="23"/>
      <c r="I13" s="24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3"/>
    </row>
    <row r="14" spans="1:21" ht="100" customHeight="1">
      <c r="A14" s="22"/>
      <c r="B14" s="23"/>
      <c r="C14" s="23"/>
      <c r="D14" s="22" t="str">
        <f t="shared" ca="1" si="0"/>
        <v/>
      </c>
      <c r="E14" s="22" t="s">
        <v>194</v>
      </c>
      <c r="F14" s="22"/>
      <c r="G14" s="23"/>
      <c r="H14" s="23"/>
      <c r="I14" s="24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</row>
    <row r="15" spans="1:21" ht="100" customHeight="1">
      <c r="A15" s="22"/>
      <c r="B15" s="23"/>
      <c r="C15" s="23"/>
      <c r="D15" s="22" t="str">
        <f t="shared" ca="1" si="0"/>
        <v/>
      </c>
      <c r="E15" s="22" t="s">
        <v>194</v>
      </c>
      <c r="F15" s="22"/>
      <c r="G15" s="23"/>
      <c r="H15" s="23"/>
      <c r="I15" s="24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3"/>
    </row>
    <row r="16" spans="1:21" ht="100" customHeight="1">
      <c r="A16" s="22"/>
      <c r="B16" s="23"/>
      <c r="C16" s="23"/>
      <c r="D16" s="22" t="str">
        <f t="shared" ca="1" si="0"/>
        <v/>
      </c>
      <c r="E16" s="22" t="s">
        <v>194</v>
      </c>
      <c r="F16" s="22"/>
      <c r="G16" s="23"/>
      <c r="H16" s="23"/>
      <c r="I16" s="24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3"/>
    </row>
    <row r="17" spans="1:21" ht="100" customHeight="1">
      <c r="A17" s="22"/>
      <c r="B17" s="23"/>
      <c r="C17" s="23"/>
      <c r="D17" s="22" t="str">
        <f t="shared" ca="1" si="0"/>
        <v/>
      </c>
      <c r="E17" s="22" t="s">
        <v>194</v>
      </c>
      <c r="F17" s="22"/>
      <c r="G17" s="23"/>
      <c r="H17" s="23"/>
      <c r="I17" s="24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3"/>
    </row>
    <row r="18" spans="1:21" ht="100" customHeight="1">
      <c r="A18" s="22"/>
      <c r="B18" s="23"/>
      <c r="C18" s="23"/>
      <c r="D18" s="22" t="str">
        <f t="shared" ca="1" si="0"/>
        <v/>
      </c>
      <c r="E18" s="22" t="s">
        <v>194</v>
      </c>
      <c r="F18" s="22"/>
      <c r="G18" s="23"/>
      <c r="H18" s="23"/>
      <c r="I18" s="24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3"/>
    </row>
    <row r="19" spans="1:21" ht="100" customHeight="1">
      <c r="A19" s="22"/>
      <c r="B19" s="23"/>
      <c r="C19" s="23"/>
      <c r="D19" s="22" t="str">
        <f t="shared" ca="1" si="0"/>
        <v/>
      </c>
      <c r="E19" s="22" t="s">
        <v>194</v>
      </c>
      <c r="F19" s="22"/>
      <c r="G19" s="23"/>
      <c r="H19" s="23"/>
      <c r="I19" s="24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3"/>
    </row>
    <row r="20" spans="1:21" ht="100" customHeight="1">
      <c r="A20" s="22"/>
      <c r="B20" s="23"/>
      <c r="C20" s="23"/>
      <c r="D20" s="22" t="str">
        <f t="shared" ca="1" si="0"/>
        <v/>
      </c>
      <c r="E20" s="22" t="s">
        <v>194</v>
      </c>
      <c r="F20" s="22"/>
      <c r="G20" s="23"/>
      <c r="H20" s="23"/>
      <c r="I20" s="24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3"/>
    </row>
    <row r="21" spans="1:21" ht="100" customHeight="1">
      <c r="A21" s="22"/>
      <c r="B21" s="23"/>
      <c r="C21" s="23"/>
      <c r="D21" s="22" t="str">
        <f t="shared" ca="1" si="0"/>
        <v/>
      </c>
      <c r="E21" s="22" t="s">
        <v>194</v>
      </c>
      <c r="F21" s="22"/>
      <c r="G21" s="23"/>
      <c r="H21" s="23"/>
      <c r="I21" s="24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3"/>
    </row>
    <row r="22" spans="1:21" ht="100" customHeight="1">
      <c r="A22" s="22"/>
      <c r="B22" s="23"/>
      <c r="C22" s="23"/>
      <c r="D22" s="22" t="str">
        <f t="shared" ca="1" si="0"/>
        <v/>
      </c>
      <c r="E22" s="22" t="s">
        <v>194</v>
      </c>
      <c r="F22" s="22"/>
      <c r="G22" s="23"/>
      <c r="H22" s="23"/>
      <c r="I22" s="24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3"/>
    </row>
    <row r="23" spans="1:21" ht="100" customHeight="1">
      <c r="A23" s="22"/>
      <c r="B23" s="23"/>
      <c r="C23" s="23"/>
      <c r="D23" s="22" t="str">
        <f t="shared" ca="1" si="0"/>
        <v/>
      </c>
      <c r="E23" s="22" t="s">
        <v>194</v>
      </c>
      <c r="F23" s="22"/>
      <c r="G23" s="23"/>
      <c r="H23" s="23"/>
      <c r="I23" s="24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3"/>
    </row>
    <row r="24" spans="1:21" ht="100" customHeight="1">
      <c r="A24" s="22"/>
      <c r="B24" s="23"/>
      <c r="C24" s="23"/>
      <c r="D24" s="22" t="str">
        <f t="shared" ca="1" si="0"/>
        <v/>
      </c>
      <c r="E24" s="22" t="s">
        <v>194</v>
      </c>
      <c r="F24" s="22"/>
      <c r="G24" s="23"/>
      <c r="H24" s="23"/>
      <c r="I24" s="24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3"/>
    </row>
    <row r="25" spans="1:21" ht="100" customHeight="1">
      <c r="A25" s="22"/>
      <c r="B25" s="23"/>
      <c r="C25" s="23"/>
      <c r="D25" s="22" t="str">
        <f t="shared" ca="1" si="0"/>
        <v/>
      </c>
      <c r="E25" s="22" t="s">
        <v>194</v>
      </c>
      <c r="F25" s="22"/>
      <c r="G25" s="23"/>
      <c r="H25" s="23"/>
      <c r="I25" s="24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3"/>
    </row>
    <row r="26" spans="1:21" ht="100" customHeight="1">
      <c r="A26" s="22"/>
      <c r="B26" s="23"/>
      <c r="C26" s="23"/>
      <c r="D26" s="22" t="str">
        <f t="shared" ca="1" si="0"/>
        <v/>
      </c>
      <c r="E26" s="22" t="s">
        <v>194</v>
      </c>
      <c r="F26" s="22"/>
      <c r="G26" s="23"/>
      <c r="H26" s="23"/>
      <c r="I26" s="24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3"/>
    </row>
    <row r="27" spans="1:21" ht="100" customHeight="1">
      <c r="A27" s="22"/>
      <c r="B27" s="23"/>
      <c r="C27" s="23"/>
      <c r="D27" s="22" t="str">
        <f t="shared" ca="1" si="0"/>
        <v/>
      </c>
      <c r="E27" s="22" t="s">
        <v>194</v>
      </c>
      <c r="F27" s="22"/>
      <c r="G27" s="23"/>
      <c r="H27" s="23"/>
      <c r="I27" s="24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3"/>
    </row>
    <row r="28" spans="1:21" ht="100" customHeight="1">
      <c r="A28" s="22"/>
      <c r="B28" s="23"/>
      <c r="C28" s="23"/>
      <c r="D28" s="22" t="str">
        <f t="shared" ca="1" si="0"/>
        <v/>
      </c>
      <c r="E28" s="22" t="s">
        <v>194</v>
      </c>
      <c r="F28" s="22"/>
      <c r="G28" s="23"/>
      <c r="H28" s="23"/>
      <c r="I28" s="24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3"/>
    </row>
    <row r="29" spans="1:21" ht="100" customHeight="1">
      <c r="A29" s="22"/>
      <c r="B29" s="23"/>
      <c r="C29" s="23"/>
      <c r="D29" s="22" t="str">
        <f t="shared" ca="1" si="0"/>
        <v/>
      </c>
      <c r="E29" s="22" t="s">
        <v>194</v>
      </c>
      <c r="F29" s="22"/>
      <c r="G29" s="23"/>
      <c r="H29" s="23"/>
      <c r="I29" s="24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3"/>
    </row>
    <row r="30" spans="1:21" ht="100" customHeight="1">
      <c r="A30" s="22"/>
      <c r="B30" s="23"/>
      <c r="C30" s="23"/>
      <c r="D30" s="22" t="str">
        <f t="shared" ca="1" si="0"/>
        <v/>
      </c>
      <c r="E30" s="22" t="s">
        <v>194</v>
      </c>
      <c r="F30" s="22"/>
      <c r="G30" s="23"/>
      <c r="H30" s="23"/>
      <c r="I30" s="24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3"/>
    </row>
    <row r="31" spans="1:21" ht="100" customHeight="1">
      <c r="A31" s="22"/>
      <c r="B31" s="23"/>
      <c r="C31" s="23"/>
      <c r="D31" s="22" t="str">
        <f t="shared" ca="1" si="0"/>
        <v/>
      </c>
      <c r="E31" s="22" t="s">
        <v>194</v>
      </c>
      <c r="F31" s="22"/>
      <c r="G31" s="23"/>
      <c r="H31" s="23"/>
      <c r="I31" s="24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3"/>
    </row>
    <row r="32" spans="1:21" ht="100" customHeight="1">
      <c r="A32" s="22"/>
      <c r="B32" s="23"/>
      <c r="C32" s="23"/>
      <c r="D32" s="22" t="str">
        <f t="shared" ca="1" si="0"/>
        <v/>
      </c>
      <c r="E32" s="22" t="s">
        <v>194</v>
      </c>
      <c r="F32" s="22"/>
      <c r="G32" s="23"/>
      <c r="H32" s="23"/>
      <c r="I32" s="24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3"/>
    </row>
    <row r="33" spans="1:21" ht="100" customHeight="1">
      <c r="A33" s="22"/>
      <c r="B33" s="23"/>
      <c r="C33" s="23"/>
      <c r="D33" s="22" t="str">
        <f t="shared" ca="1" si="0"/>
        <v/>
      </c>
      <c r="E33" s="22" t="s">
        <v>194</v>
      </c>
      <c r="F33" s="22"/>
      <c r="G33" s="23"/>
      <c r="H33" s="23"/>
      <c r="I33" s="24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3"/>
    </row>
    <row r="34" spans="1:21" ht="100" customHeight="1">
      <c r="A34" s="22"/>
      <c r="B34" s="23"/>
      <c r="C34" s="23"/>
      <c r="D34" s="22" t="str">
        <f t="shared" ca="1" si="0"/>
        <v/>
      </c>
      <c r="E34" s="22" t="s">
        <v>194</v>
      </c>
      <c r="F34" s="22"/>
      <c r="G34" s="23"/>
      <c r="H34" s="23"/>
      <c r="I34" s="24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3"/>
    </row>
    <row r="35" spans="1:21" ht="100" customHeight="1">
      <c r="A35" s="22"/>
      <c r="B35" s="23"/>
      <c r="C35" s="23"/>
      <c r="D35" s="22" t="str">
        <f t="shared" ca="1" si="0"/>
        <v/>
      </c>
      <c r="E35" s="22" t="s">
        <v>194</v>
      </c>
      <c r="F35" s="22"/>
      <c r="G35" s="23"/>
      <c r="H35" s="23"/>
      <c r="I35" s="24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3"/>
    </row>
    <row r="36" spans="1:21" ht="100" customHeight="1">
      <c r="A36" s="22"/>
      <c r="B36" s="23"/>
      <c r="C36" s="23"/>
      <c r="D36" s="22" t="str">
        <f t="shared" ref="D36:D67" ca="1" si="1">IF(C36="","",DATEDIF(C36,TODAY(),"Y"))</f>
        <v/>
      </c>
      <c r="E36" s="22" t="s">
        <v>194</v>
      </c>
      <c r="F36" s="22"/>
      <c r="G36" s="23"/>
      <c r="H36" s="23"/>
      <c r="I36" s="24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3"/>
    </row>
    <row r="37" spans="1:21" ht="100" customHeight="1">
      <c r="A37" s="22"/>
      <c r="B37" s="23"/>
      <c r="C37" s="23"/>
      <c r="D37" s="22" t="str">
        <f t="shared" ca="1" si="1"/>
        <v/>
      </c>
      <c r="E37" s="22" t="s">
        <v>194</v>
      </c>
      <c r="F37" s="22"/>
      <c r="G37" s="23"/>
      <c r="H37" s="23"/>
      <c r="I37" s="24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00" customHeight="1">
      <c r="A38" s="22"/>
      <c r="B38" s="23"/>
      <c r="C38" s="23"/>
      <c r="D38" s="22" t="str">
        <f t="shared" ca="1" si="1"/>
        <v/>
      </c>
      <c r="E38" s="22" t="s">
        <v>194</v>
      </c>
      <c r="F38" s="22"/>
      <c r="G38" s="23"/>
      <c r="H38" s="23"/>
      <c r="I38" s="24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3"/>
    </row>
    <row r="39" spans="1:21" ht="100" customHeight="1">
      <c r="A39" s="22"/>
      <c r="B39" s="23"/>
      <c r="C39" s="23"/>
      <c r="D39" s="22" t="str">
        <f t="shared" ca="1" si="1"/>
        <v/>
      </c>
      <c r="E39" s="22" t="s">
        <v>194</v>
      </c>
      <c r="F39" s="22"/>
      <c r="G39" s="23"/>
      <c r="H39" s="23"/>
      <c r="I39" s="24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3"/>
    </row>
    <row r="40" spans="1:21" ht="100" customHeight="1">
      <c r="A40" s="22"/>
      <c r="B40" s="23"/>
      <c r="C40" s="23"/>
      <c r="D40" s="22" t="str">
        <f t="shared" ca="1" si="1"/>
        <v/>
      </c>
      <c r="E40" s="22" t="s">
        <v>194</v>
      </c>
      <c r="F40" s="22"/>
      <c r="G40" s="23"/>
      <c r="H40" s="23"/>
      <c r="I40" s="24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3"/>
    </row>
    <row r="41" spans="1:21" ht="100" customHeight="1">
      <c r="A41" s="22"/>
      <c r="B41" s="23"/>
      <c r="C41" s="23"/>
      <c r="D41" s="22" t="str">
        <f t="shared" ca="1" si="1"/>
        <v/>
      </c>
      <c r="E41" s="22" t="s">
        <v>194</v>
      </c>
      <c r="F41" s="22"/>
      <c r="G41" s="23"/>
      <c r="H41" s="23"/>
      <c r="I41" s="24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3"/>
    </row>
    <row r="42" spans="1:21" ht="100" customHeight="1">
      <c r="A42" s="22"/>
      <c r="B42" s="23"/>
      <c r="C42" s="23"/>
      <c r="D42" s="22" t="str">
        <f t="shared" ca="1" si="1"/>
        <v/>
      </c>
      <c r="E42" s="22" t="s">
        <v>194</v>
      </c>
      <c r="F42" s="22"/>
      <c r="G42" s="23"/>
      <c r="H42" s="23"/>
      <c r="I42" s="24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3"/>
    </row>
    <row r="43" spans="1:21" ht="100" customHeight="1">
      <c r="A43" s="22"/>
      <c r="B43" s="23"/>
      <c r="C43" s="23"/>
      <c r="D43" s="22" t="str">
        <f t="shared" ca="1" si="1"/>
        <v/>
      </c>
      <c r="E43" s="22" t="s">
        <v>194</v>
      </c>
      <c r="F43" s="22"/>
      <c r="G43" s="23"/>
      <c r="H43" s="23"/>
      <c r="I43" s="24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3"/>
    </row>
    <row r="44" spans="1:21" ht="100" customHeight="1">
      <c r="A44" s="22"/>
      <c r="B44" s="23"/>
      <c r="C44" s="23"/>
      <c r="D44" s="22" t="str">
        <f t="shared" ca="1" si="1"/>
        <v/>
      </c>
      <c r="E44" s="22" t="s">
        <v>194</v>
      </c>
      <c r="F44" s="22"/>
      <c r="G44" s="23"/>
      <c r="H44" s="23"/>
      <c r="I44" s="24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3"/>
    </row>
    <row r="45" spans="1:21" ht="100" customHeight="1">
      <c r="A45" s="22"/>
      <c r="B45" s="23"/>
      <c r="C45" s="23"/>
      <c r="D45" s="22" t="str">
        <f t="shared" ca="1" si="1"/>
        <v/>
      </c>
      <c r="E45" s="22" t="s">
        <v>194</v>
      </c>
      <c r="F45" s="22"/>
      <c r="G45" s="23"/>
      <c r="H45" s="23"/>
      <c r="I45" s="24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3"/>
    </row>
    <row r="46" spans="1:21" ht="100" customHeight="1">
      <c r="A46" s="22"/>
      <c r="B46" s="23"/>
      <c r="C46" s="23"/>
      <c r="D46" s="22" t="str">
        <f t="shared" ca="1" si="1"/>
        <v/>
      </c>
      <c r="E46" s="22" t="s">
        <v>194</v>
      </c>
      <c r="F46" s="22"/>
      <c r="G46" s="23"/>
      <c r="H46" s="23"/>
      <c r="I46" s="24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3"/>
    </row>
    <row r="47" spans="1:21" ht="100" customHeight="1">
      <c r="A47" s="22"/>
      <c r="B47" s="23"/>
      <c r="C47" s="23"/>
      <c r="D47" s="22" t="str">
        <f t="shared" ca="1" si="1"/>
        <v/>
      </c>
      <c r="E47" s="22" t="s">
        <v>194</v>
      </c>
      <c r="F47" s="22"/>
      <c r="G47" s="23"/>
      <c r="H47" s="23"/>
      <c r="I47" s="24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3"/>
    </row>
    <row r="48" spans="1:21" ht="100" customHeight="1">
      <c r="A48" s="22"/>
      <c r="B48" s="23"/>
      <c r="C48" s="23"/>
      <c r="D48" s="22" t="str">
        <f t="shared" ca="1" si="1"/>
        <v/>
      </c>
      <c r="E48" s="22" t="s">
        <v>194</v>
      </c>
      <c r="F48" s="22"/>
      <c r="G48" s="23"/>
      <c r="H48" s="23"/>
      <c r="I48" s="24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3"/>
    </row>
    <row r="49" spans="1:21" ht="100" customHeight="1">
      <c r="A49" s="22"/>
      <c r="B49" s="23"/>
      <c r="C49" s="23"/>
      <c r="D49" s="22" t="str">
        <f t="shared" ca="1" si="1"/>
        <v/>
      </c>
      <c r="E49" s="22" t="s">
        <v>194</v>
      </c>
      <c r="F49" s="22"/>
      <c r="G49" s="23"/>
      <c r="H49" s="23"/>
      <c r="I49" s="24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3"/>
    </row>
    <row r="50" spans="1:21" ht="100" customHeight="1">
      <c r="A50" s="22"/>
      <c r="B50" s="23"/>
      <c r="C50" s="23"/>
      <c r="D50" s="22" t="str">
        <f t="shared" ca="1" si="1"/>
        <v/>
      </c>
      <c r="E50" s="22" t="s">
        <v>194</v>
      </c>
      <c r="F50" s="22"/>
      <c r="G50" s="23"/>
      <c r="H50" s="23"/>
      <c r="I50" s="24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3"/>
    </row>
    <row r="51" spans="1:21" ht="100" customHeight="1">
      <c r="A51" s="22"/>
      <c r="B51" s="23"/>
      <c r="C51" s="23"/>
      <c r="D51" s="22" t="str">
        <f t="shared" ca="1" si="1"/>
        <v/>
      </c>
      <c r="E51" s="22" t="s">
        <v>194</v>
      </c>
      <c r="F51" s="22"/>
      <c r="G51" s="23"/>
      <c r="H51" s="23"/>
      <c r="I51" s="24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3"/>
    </row>
    <row r="52" spans="1:21" ht="100" customHeight="1">
      <c r="A52" s="22"/>
      <c r="B52" s="23"/>
      <c r="C52" s="23"/>
      <c r="D52" s="22" t="str">
        <f t="shared" ca="1" si="1"/>
        <v/>
      </c>
      <c r="E52" s="22" t="s">
        <v>194</v>
      </c>
      <c r="F52" s="22"/>
      <c r="G52" s="23"/>
      <c r="H52" s="23"/>
      <c r="I52" s="24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3"/>
    </row>
    <row r="53" spans="1:21" ht="100" customHeight="1">
      <c r="A53" s="22"/>
      <c r="B53" s="23"/>
      <c r="C53" s="23"/>
      <c r="D53" s="22" t="str">
        <f t="shared" ca="1" si="1"/>
        <v/>
      </c>
      <c r="E53" s="22" t="s">
        <v>194</v>
      </c>
      <c r="F53" s="22"/>
      <c r="G53" s="23"/>
      <c r="H53" s="23"/>
      <c r="I53" s="24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3"/>
    </row>
    <row r="54" spans="1:21" ht="100" customHeight="1">
      <c r="A54" s="22"/>
      <c r="B54" s="23"/>
      <c r="C54" s="23"/>
      <c r="D54" s="22" t="str">
        <f t="shared" ca="1" si="1"/>
        <v/>
      </c>
      <c r="E54" s="22" t="s">
        <v>194</v>
      </c>
      <c r="F54" s="22"/>
      <c r="G54" s="23"/>
      <c r="H54" s="23"/>
      <c r="I54" s="24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3"/>
    </row>
    <row r="55" spans="1:21" ht="100" customHeight="1">
      <c r="A55" s="22"/>
      <c r="B55" s="23"/>
      <c r="C55" s="23"/>
      <c r="D55" s="22" t="str">
        <f t="shared" ca="1" si="1"/>
        <v/>
      </c>
      <c r="E55" s="22" t="s">
        <v>194</v>
      </c>
      <c r="F55" s="22"/>
      <c r="G55" s="23"/>
      <c r="H55" s="23"/>
      <c r="I55" s="24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3"/>
    </row>
    <row r="56" spans="1:21" ht="100" customHeight="1">
      <c r="A56" s="22"/>
      <c r="B56" s="23"/>
      <c r="C56" s="23"/>
      <c r="D56" s="22" t="str">
        <f t="shared" ca="1" si="1"/>
        <v/>
      </c>
      <c r="E56" s="22" t="s">
        <v>194</v>
      </c>
      <c r="F56" s="22"/>
      <c r="G56" s="23"/>
      <c r="H56" s="23"/>
      <c r="I56" s="24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3"/>
    </row>
    <row r="57" spans="1:21" ht="100" customHeight="1">
      <c r="A57" s="22"/>
      <c r="B57" s="23"/>
      <c r="C57" s="23"/>
      <c r="D57" s="22" t="str">
        <f t="shared" ca="1" si="1"/>
        <v/>
      </c>
      <c r="E57" s="22" t="s">
        <v>194</v>
      </c>
      <c r="F57" s="22"/>
      <c r="G57" s="23"/>
      <c r="H57" s="23"/>
      <c r="I57" s="24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3"/>
    </row>
    <row r="58" spans="1:21" ht="100" customHeight="1">
      <c r="A58" s="22"/>
      <c r="B58" s="23"/>
      <c r="C58" s="23"/>
      <c r="D58" s="22" t="str">
        <f t="shared" ca="1" si="1"/>
        <v/>
      </c>
      <c r="E58" s="22" t="s">
        <v>194</v>
      </c>
      <c r="F58" s="22"/>
      <c r="G58" s="23"/>
      <c r="H58" s="23"/>
      <c r="I58" s="24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3"/>
    </row>
    <row r="59" spans="1:21" ht="100" customHeight="1">
      <c r="A59" s="22"/>
      <c r="B59" s="23"/>
      <c r="C59" s="23"/>
      <c r="D59" s="22" t="str">
        <f t="shared" ca="1" si="1"/>
        <v/>
      </c>
      <c r="E59" s="22" t="s">
        <v>194</v>
      </c>
      <c r="F59" s="22"/>
      <c r="G59" s="23"/>
      <c r="H59" s="23"/>
      <c r="I59" s="24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3"/>
    </row>
    <row r="60" spans="1:21" ht="100" customHeight="1">
      <c r="A60" s="22"/>
      <c r="B60" s="23"/>
      <c r="C60" s="23"/>
      <c r="D60" s="22" t="str">
        <f t="shared" ca="1" si="1"/>
        <v/>
      </c>
      <c r="E60" s="22" t="s">
        <v>194</v>
      </c>
      <c r="F60" s="22"/>
      <c r="G60" s="23"/>
      <c r="H60" s="23"/>
      <c r="I60" s="24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3"/>
    </row>
    <row r="61" spans="1:21" ht="100" customHeight="1">
      <c r="A61" s="22"/>
      <c r="B61" s="23"/>
      <c r="C61" s="23"/>
      <c r="D61" s="22" t="str">
        <f t="shared" ca="1" si="1"/>
        <v/>
      </c>
      <c r="E61" s="22" t="s">
        <v>194</v>
      </c>
      <c r="F61" s="22"/>
      <c r="G61" s="23"/>
      <c r="H61" s="23"/>
      <c r="I61" s="24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3"/>
    </row>
    <row r="62" spans="1:21" ht="100" customHeight="1">
      <c r="A62" s="22"/>
      <c r="B62" s="23"/>
      <c r="C62" s="23"/>
      <c r="D62" s="22" t="str">
        <f t="shared" ca="1" si="1"/>
        <v/>
      </c>
      <c r="E62" s="22" t="s">
        <v>194</v>
      </c>
      <c r="F62" s="22"/>
      <c r="G62" s="23"/>
      <c r="H62" s="23"/>
      <c r="I62" s="24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3"/>
    </row>
    <row r="63" spans="1:21" ht="100" customHeight="1">
      <c r="A63" s="22"/>
      <c r="B63" s="23"/>
      <c r="C63" s="23"/>
      <c r="D63" s="22" t="str">
        <f t="shared" ca="1" si="1"/>
        <v/>
      </c>
      <c r="E63" s="22" t="s">
        <v>194</v>
      </c>
      <c r="F63" s="22"/>
      <c r="G63" s="23"/>
      <c r="H63" s="23"/>
      <c r="I63" s="24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3"/>
    </row>
    <row r="64" spans="1:21" ht="100" customHeight="1">
      <c r="A64" s="22"/>
      <c r="B64" s="23"/>
      <c r="C64" s="23"/>
      <c r="D64" s="22" t="str">
        <f t="shared" ca="1" si="1"/>
        <v/>
      </c>
      <c r="E64" s="22" t="s">
        <v>194</v>
      </c>
      <c r="F64" s="22"/>
      <c r="G64" s="23"/>
      <c r="H64" s="23"/>
      <c r="I64" s="24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3"/>
    </row>
    <row r="65" spans="1:21" ht="100" customHeight="1">
      <c r="A65" s="22"/>
      <c r="B65" s="23"/>
      <c r="C65" s="23"/>
      <c r="D65" s="22" t="str">
        <f t="shared" ca="1" si="1"/>
        <v/>
      </c>
      <c r="E65" s="22" t="s">
        <v>194</v>
      </c>
      <c r="F65" s="22"/>
      <c r="G65" s="23"/>
      <c r="H65" s="23"/>
      <c r="I65" s="24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3"/>
    </row>
    <row r="66" spans="1:21" ht="100" customHeight="1">
      <c r="A66" s="22"/>
      <c r="B66" s="23"/>
      <c r="C66" s="23"/>
      <c r="D66" s="22" t="str">
        <f t="shared" ca="1" si="1"/>
        <v/>
      </c>
      <c r="E66" s="22" t="s">
        <v>194</v>
      </c>
      <c r="F66" s="22"/>
      <c r="G66" s="23"/>
      <c r="H66" s="23"/>
      <c r="I66" s="24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3"/>
    </row>
    <row r="67" spans="1:21" ht="100" customHeight="1">
      <c r="A67" s="22"/>
      <c r="B67" s="23"/>
      <c r="C67" s="23"/>
      <c r="D67" s="22" t="str">
        <f t="shared" ca="1" si="1"/>
        <v/>
      </c>
      <c r="E67" s="22" t="s">
        <v>194</v>
      </c>
      <c r="F67" s="22"/>
      <c r="G67" s="23"/>
      <c r="H67" s="23"/>
      <c r="I67" s="24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3"/>
    </row>
    <row r="68" spans="1:21" ht="100" customHeight="1">
      <c r="A68" s="22"/>
      <c r="B68" s="23"/>
      <c r="C68" s="23"/>
      <c r="D68" s="22" t="str">
        <f t="shared" ref="D68:D99" ca="1" si="2">IF(C68="","",DATEDIF(C68,TODAY(),"Y"))</f>
        <v/>
      </c>
      <c r="E68" s="22" t="s">
        <v>194</v>
      </c>
      <c r="F68" s="22"/>
      <c r="G68" s="23"/>
      <c r="H68" s="23"/>
      <c r="I68" s="24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3"/>
    </row>
    <row r="69" spans="1:21" ht="100" customHeight="1">
      <c r="A69" s="22"/>
      <c r="B69" s="23"/>
      <c r="C69" s="23"/>
      <c r="D69" s="22" t="str">
        <f t="shared" ca="1" si="2"/>
        <v/>
      </c>
      <c r="E69" s="22" t="s">
        <v>194</v>
      </c>
      <c r="F69" s="22"/>
      <c r="G69" s="23"/>
      <c r="H69" s="23"/>
      <c r="I69" s="24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3"/>
    </row>
    <row r="70" spans="1:21" ht="100" customHeight="1">
      <c r="A70" s="22"/>
      <c r="B70" s="23"/>
      <c r="C70" s="23"/>
      <c r="D70" s="22" t="str">
        <f t="shared" ca="1" si="2"/>
        <v/>
      </c>
      <c r="E70" s="22" t="s">
        <v>194</v>
      </c>
      <c r="F70" s="22"/>
      <c r="G70" s="23"/>
      <c r="H70" s="23"/>
      <c r="I70" s="24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3"/>
    </row>
    <row r="71" spans="1:21" ht="100" customHeight="1">
      <c r="A71" s="22"/>
      <c r="B71" s="23"/>
      <c r="C71" s="23"/>
      <c r="D71" s="22" t="str">
        <f t="shared" ca="1" si="2"/>
        <v/>
      </c>
      <c r="E71" s="22" t="s">
        <v>194</v>
      </c>
      <c r="F71" s="22"/>
      <c r="G71" s="23"/>
      <c r="H71" s="23"/>
      <c r="I71" s="24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3"/>
    </row>
    <row r="72" spans="1:21" ht="100" customHeight="1">
      <c r="A72" s="22"/>
      <c r="B72" s="23"/>
      <c r="C72" s="23"/>
      <c r="D72" s="22" t="str">
        <f t="shared" ca="1" si="2"/>
        <v/>
      </c>
      <c r="E72" s="22" t="s">
        <v>194</v>
      </c>
      <c r="F72" s="22"/>
      <c r="G72" s="23"/>
      <c r="H72" s="23"/>
      <c r="I72" s="24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00" customHeight="1">
      <c r="A73" s="22"/>
      <c r="B73" s="23"/>
      <c r="C73" s="23"/>
      <c r="D73" s="22" t="str">
        <f t="shared" ca="1" si="2"/>
        <v/>
      </c>
      <c r="E73" s="22" t="s">
        <v>194</v>
      </c>
      <c r="F73" s="22"/>
      <c r="G73" s="23"/>
      <c r="H73" s="23"/>
      <c r="I73" s="24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3"/>
    </row>
    <row r="74" spans="1:21" ht="100" customHeight="1">
      <c r="A74" s="22"/>
      <c r="B74" s="23"/>
      <c r="C74" s="23"/>
      <c r="D74" s="22" t="str">
        <f t="shared" ca="1" si="2"/>
        <v/>
      </c>
      <c r="E74" s="22" t="s">
        <v>194</v>
      </c>
      <c r="F74" s="22"/>
      <c r="G74" s="23"/>
      <c r="H74" s="23"/>
      <c r="I74" s="24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3"/>
    </row>
    <row r="75" spans="1:21" ht="100" customHeight="1">
      <c r="A75" s="22"/>
      <c r="B75" s="23"/>
      <c r="C75" s="23"/>
      <c r="D75" s="22" t="str">
        <f t="shared" ca="1" si="2"/>
        <v/>
      </c>
      <c r="E75" s="22" t="s">
        <v>194</v>
      </c>
      <c r="F75" s="22"/>
      <c r="G75" s="23"/>
      <c r="H75" s="23"/>
      <c r="I75" s="24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3"/>
    </row>
    <row r="76" spans="1:21" ht="100" customHeight="1">
      <c r="A76" s="22"/>
      <c r="B76" s="23"/>
      <c r="C76" s="23"/>
      <c r="D76" s="22" t="str">
        <f t="shared" ca="1" si="2"/>
        <v/>
      </c>
      <c r="E76" s="22" t="s">
        <v>194</v>
      </c>
      <c r="F76" s="22"/>
      <c r="G76" s="23"/>
      <c r="H76" s="23"/>
      <c r="I76" s="24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3"/>
    </row>
    <row r="77" spans="1:21" ht="100" customHeight="1">
      <c r="A77" s="22"/>
      <c r="B77" s="23"/>
      <c r="C77" s="23"/>
      <c r="D77" s="22" t="str">
        <f t="shared" ca="1" si="2"/>
        <v/>
      </c>
      <c r="E77" s="22" t="s">
        <v>194</v>
      </c>
      <c r="F77" s="22"/>
      <c r="G77" s="23"/>
      <c r="H77" s="23"/>
      <c r="I77" s="24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3"/>
    </row>
    <row r="78" spans="1:21" ht="100" customHeight="1">
      <c r="A78" s="22"/>
      <c r="B78" s="23"/>
      <c r="C78" s="23"/>
      <c r="D78" s="22" t="str">
        <f t="shared" ca="1" si="2"/>
        <v/>
      </c>
      <c r="E78" s="22" t="s">
        <v>194</v>
      </c>
      <c r="F78" s="22"/>
      <c r="G78" s="23"/>
      <c r="H78" s="23"/>
      <c r="I78" s="24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3"/>
    </row>
    <row r="79" spans="1:21" ht="100" customHeight="1">
      <c r="A79" s="22"/>
      <c r="B79" s="23"/>
      <c r="C79" s="23"/>
      <c r="D79" s="22" t="str">
        <f t="shared" ca="1" si="2"/>
        <v/>
      </c>
      <c r="E79" s="22" t="s">
        <v>194</v>
      </c>
      <c r="F79" s="22"/>
      <c r="G79" s="23"/>
      <c r="H79" s="23"/>
      <c r="I79" s="24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3"/>
    </row>
    <row r="80" spans="1:21" ht="100" customHeight="1">
      <c r="A80" s="22"/>
      <c r="B80" s="23"/>
      <c r="C80" s="23"/>
      <c r="D80" s="22" t="str">
        <f t="shared" ca="1" si="2"/>
        <v/>
      </c>
      <c r="E80" s="22" t="s">
        <v>194</v>
      </c>
      <c r="F80" s="22"/>
      <c r="G80" s="23"/>
      <c r="H80" s="23"/>
      <c r="I80" s="24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3"/>
    </row>
    <row r="81" spans="1:21" ht="100" customHeight="1">
      <c r="A81" s="22"/>
      <c r="B81" s="23"/>
      <c r="C81" s="23"/>
      <c r="D81" s="22" t="str">
        <f t="shared" ca="1" si="2"/>
        <v/>
      </c>
      <c r="E81" s="22" t="s">
        <v>194</v>
      </c>
      <c r="F81" s="22"/>
      <c r="G81" s="23"/>
      <c r="H81" s="23"/>
      <c r="I81" s="24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3"/>
    </row>
    <row r="82" spans="1:21" ht="100" customHeight="1">
      <c r="A82" s="22"/>
      <c r="B82" s="23"/>
      <c r="C82" s="23"/>
      <c r="D82" s="22" t="str">
        <f t="shared" ca="1" si="2"/>
        <v/>
      </c>
      <c r="E82" s="22" t="s">
        <v>194</v>
      </c>
      <c r="F82" s="22"/>
      <c r="G82" s="23"/>
      <c r="H82" s="23"/>
      <c r="I82" s="24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3"/>
    </row>
    <row r="83" spans="1:21" ht="100" customHeight="1">
      <c r="A83" s="22"/>
      <c r="B83" s="23"/>
      <c r="C83" s="23"/>
      <c r="D83" s="22" t="str">
        <f t="shared" ca="1" si="2"/>
        <v/>
      </c>
      <c r="E83" s="22" t="s">
        <v>194</v>
      </c>
      <c r="F83" s="22"/>
      <c r="G83" s="23"/>
      <c r="H83" s="23"/>
      <c r="I83" s="24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3"/>
    </row>
    <row r="84" spans="1:21" ht="100" customHeight="1">
      <c r="A84" s="22"/>
      <c r="B84" s="23"/>
      <c r="C84" s="23"/>
      <c r="D84" s="22" t="str">
        <f t="shared" ca="1" si="2"/>
        <v/>
      </c>
      <c r="E84" s="22" t="s">
        <v>194</v>
      </c>
      <c r="F84" s="22"/>
      <c r="G84" s="23"/>
      <c r="H84" s="23"/>
      <c r="I84" s="24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3"/>
    </row>
    <row r="85" spans="1:21" ht="100" customHeight="1">
      <c r="A85" s="22"/>
      <c r="B85" s="23"/>
      <c r="C85" s="23"/>
      <c r="D85" s="22" t="str">
        <f t="shared" ca="1" si="2"/>
        <v/>
      </c>
      <c r="E85" s="22" t="s">
        <v>194</v>
      </c>
      <c r="F85" s="22"/>
      <c r="G85" s="23"/>
      <c r="H85" s="23"/>
      <c r="I85" s="24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3"/>
    </row>
    <row r="86" spans="1:21" ht="100" customHeight="1">
      <c r="A86" s="22"/>
      <c r="B86" s="23"/>
      <c r="C86" s="23"/>
      <c r="D86" s="22" t="str">
        <f t="shared" ca="1" si="2"/>
        <v/>
      </c>
      <c r="E86" s="22" t="s">
        <v>194</v>
      </c>
      <c r="F86" s="22"/>
      <c r="G86" s="23"/>
      <c r="H86" s="23"/>
      <c r="I86" s="24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3"/>
    </row>
    <row r="87" spans="1:21" ht="100" customHeight="1">
      <c r="A87" s="22"/>
      <c r="B87" s="23"/>
      <c r="C87" s="23"/>
      <c r="D87" s="22" t="str">
        <f t="shared" ca="1" si="2"/>
        <v/>
      </c>
      <c r="E87" s="22" t="s">
        <v>194</v>
      </c>
      <c r="F87" s="22"/>
      <c r="G87" s="23"/>
      <c r="H87" s="23"/>
      <c r="I87" s="24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3"/>
    </row>
    <row r="88" spans="1:21" ht="100" customHeight="1">
      <c r="A88" s="22"/>
      <c r="B88" s="23"/>
      <c r="C88" s="23"/>
      <c r="D88" s="22" t="str">
        <f t="shared" ca="1" si="2"/>
        <v/>
      </c>
      <c r="E88" s="22" t="s">
        <v>194</v>
      </c>
      <c r="F88" s="22"/>
      <c r="G88" s="23"/>
      <c r="H88" s="23"/>
      <c r="I88" s="24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3"/>
    </row>
    <row r="89" spans="1:21" ht="100" customHeight="1">
      <c r="A89" s="22"/>
      <c r="B89" s="23"/>
      <c r="C89" s="23"/>
      <c r="D89" s="22" t="str">
        <f t="shared" ca="1" si="2"/>
        <v/>
      </c>
      <c r="E89" s="22" t="s">
        <v>194</v>
      </c>
      <c r="F89" s="22"/>
      <c r="G89" s="23"/>
      <c r="H89" s="23"/>
      <c r="I89" s="24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3"/>
    </row>
    <row r="90" spans="1:21" ht="100" customHeight="1">
      <c r="A90" s="22"/>
      <c r="B90" s="23"/>
      <c r="C90" s="23"/>
      <c r="D90" s="22" t="str">
        <f t="shared" ca="1" si="2"/>
        <v/>
      </c>
      <c r="E90" s="22" t="s">
        <v>194</v>
      </c>
      <c r="F90" s="22"/>
      <c r="G90" s="23"/>
      <c r="H90" s="23"/>
      <c r="I90" s="24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3"/>
    </row>
    <row r="91" spans="1:21" ht="100" customHeight="1">
      <c r="A91" s="22"/>
      <c r="B91" s="23"/>
      <c r="C91" s="23"/>
      <c r="D91" s="22" t="str">
        <f t="shared" ca="1" si="2"/>
        <v/>
      </c>
      <c r="E91" s="22" t="s">
        <v>194</v>
      </c>
      <c r="F91" s="22"/>
      <c r="G91" s="23"/>
      <c r="H91" s="23"/>
      <c r="I91" s="24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3"/>
    </row>
    <row r="92" spans="1:21" ht="100" customHeight="1">
      <c r="A92" s="22"/>
      <c r="B92" s="23"/>
      <c r="C92" s="23"/>
      <c r="D92" s="22" t="str">
        <f t="shared" ca="1" si="2"/>
        <v/>
      </c>
      <c r="E92" s="22" t="s">
        <v>194</v>
      </c>
      <c r="F92" s="22"/>
      <c r="G92" s="23"/>
      <c r="H92" s="23"/>
      <c r="I92" s="24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3"/>
    </row>
    <row r="93" spans="1:21" ht="100" customHeight="1">
      <c r="A93" s="22"/>
      <c r="B93" s="23"/>
      <c r="C93" s="23"/>
      <c r="D93" s="22" t="str">
        <f t="shared" ca="1" si="2"/>
        <v/>
      </c>
      <c r="E93" s="22" t="s">
        <v>194</v>
      </c>
      <c r="F93" s="22"/>
      <c r="G93" s="23"/>
      <c r="H93" s="23"/>
      <c r="I93" s="24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3"/>
    </row>
    <row r="94" spans="1:21" ht="100" customHeight="1">
      <c r="A94" s="22"/>
      <c r="B94" s="23"/>
      <c r="C94" s="23"/>
      <c r="D94" s="22" t="str">
        <f t="shared" ca="1" si="2"/>
        <v/>
      </c>
      <c r="E94" s="22" t="s">
        <v>194</v>
      </c>
      <c r="F94" s="22"/>
      <c r="G94" s="23"/>
      <c r="H94" s="23"/>
      <c r="I94" s="24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3"/>
    </row>
    <row r="95" spans="1:21" ht="100" customHeight="1">
      <c r="A95" s="22"/>
      <c r="B95" s="23"/>
      <c r="C95" s="23"/>
      <c r="D95" s="22" t="str">
        <f t="shared" ca="1" si="2"/>
        <v/>
      </c>
      <c r="E95" s="22" t="s">
        <v>194</v>
      </c>
      <c r="F95" s="22"/>
      <c r="G95" s="23"/>
      <c r="H95" s="23"/>
      <c r="I95" s="24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3"/>
    </row>
    <row r="96" spans="1:21" ht="100" customHeight="1">
      <c r="A96" s="22"/>
      <c r="B96" s="23"/>
      <c r="C96" s="23"/>
      <c r="D96" s="22" t="str">
        <f t="shared" ca="1" si="2"/>
        <v/>
      </c>
      <c r="E96" s="22" t="s">
        <v>194</v>
      </c>
      <c r="F96" s="22"/>
      <c r="G96" s="23"/>
      <c r="H96" s="23"/>
      <c r="I96" s="24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3"/>
    </row>
    <row r="97" spans="1:21" ht="100" customHeight="1">
      <c r="A97" s="22"/>
      <c r="B97" s="23"/>
      <c r="C97" s="23"/>
      <c r="D97" s="22" t="str">
        <f t="shared" ca="1" si="2"/>
        <v/>
      </c>
      <c r="E97" s="22" t="s">
        <v>194</v>
      </c>
      <c r="F97" s="22"/>
      <c r="G97" s="23"/>
      <c r="H97" s="23"/>
      <c r="I97" s="24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3"/>
    </row>
    <row r="98" spans="1:21" ht="100" customHeight="1">
      <c r="A98" s="22"/>
      <c r="B98" s="23"/>
      <c r="C98" s="23"/>
      <c r="D98" s="22" t="str">
        <f t="shared" ca="1" si="2"/>
        <v/>
      </c>
      <c r="E98" s="22" t="s">
        <v>194</v>
      </c>
      <c r="F98" s="22"/>
      <c r="G98" s="23"/>
      <c r="H98" s="23"/>
      <c r="I98" s="24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3"/>
    </row>
    <row r="99" spans="1:21" ht="100" customHeight="1">
      <c r="A99" s="22"/>
      <c r="B99" s="23"/>
      <c r="C99" s="23"/>
      <c r="D99" s="22" t="str">
        <f t="shared" ca="1" si="2"/>
        <v/>
      </c>
      <c r="E99" s="22" t="s">
        <v>194</v>
      </c>
      <c r="F99" s="22"/>
      <c r="G99" s="23"/>
      <c r="H99" s="23"/>
      <c r="I99" s="24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3"/>
    </row>
    <row r="100" spans="1:21" ht="100" customHeight="1">
      <c r="A100" s="22"/>
      <c r="B100" s="23"/>
      <c r="C100" s="23"/>
      <c r="D100" s="22" t="str">
        <f t="shared" ref="D100:D103" ca="1" si="3">IF(C100="","",DATEDIF(C100,TODAY(),"Y"))</f>
        <v/>
      </c>
      <c r="E100" s="22" t="s">
        <v>194</v>
      </c>
      <c r="F100" s="22"/>
      <c r="G100" s="23"/>
      <c r="H100" s="23"/>
      <c r="I100" s="24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3"/>
    </row>
    <row r="101" spans="1:21" ht="100" customHeight="1">
      <c r="A101" s="22"/>
      <c r="B101" s="23"/>
      <c r="C101" s="23"/>
      <c r="D101" s="22" t="str">
        <f t="shared" ca="1" si="3"/>
        <v/>
      </c>
      <c r="E101" s="22" t="s">
        <v>194</v>
      </c>
      <c r="F101" s="22"/>
      <c r="G101" s="23"/>
      <c r="H101" s="23"/>
      <c r="I101" s="24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3"/>
    </row>
    <row r="102" spans="1:21" ht="100" customHeight="1">
      <c r="A102" s="22"/>
      <c r="B102" s="23"/>
      <c r="C102" s="23"/>
      <c r="D102" s="22" t="str">
        <f t="shared" ca="1" si="3"/>
        <v/>
      </c>
      <c r="E102" s="22" t="s">
        <v>194</v>
      </c>
      <c r="F102" s="22"/>
      <c r="G102" s="23"/>
      <c r="H102" s="23"/>
      <c r="I102" s="24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3"/>
    </row>
    <row r="103" spans="1:21" ht="100" customHeight="1">
      <c r="A103" s="22"/>
      <c r="B103" s="23"/>
      <c r="C103" s="23"/>
      <c r="D103" s="22" t="str">
        <f t="shared" ca="1" si="3"/>
        <v/>
      </c>
      <c r="E103" s="22" t="s">
        <v>194</v>
      </c>
      <c r="F103" s="22"/>
      <c r="G103" s="23"/>
      <c r="H103" s="23"/>
      <c r="I103" s="24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3"/>
    </row>
  </sheetData>
  <mergeCells count="2">
    <mergeCell ref="A1:U1"/>
    <mergeCell ref="A2:I2"/>
  </mergeCells>
  <conditionalFormatting sqref="A4:U103">
    <cfRule type="expression" dxfId="51" priority="1">
      <formula>$I4="Yeşil"</formula>
    </cfRule>
    <cfRule type="expression" dxfId="50" priority="2">
      <formula>$I4="Sarı"</formula>
    </cfRule>
    <cfRule type="expression" dxfId="49" priority="3">
      <formula>$I4="Kırmızı"</formula>
    </cfRule>
  </conditionalFormatting>
  <conditionalFormatting sqref="H4:H103">
    <cfRule type="expression" dxfId="48" priority="4">
      <formula>AND($H4&lt;&gt;"",$H4&gt;=TODAY(),$H4&lt;=EDATE(TODAY(),6))</formula>
    </cfRule>
    <cfRule type="expression" dxfId="47" priority="5">
      <formula>AND($H4&lt;&gt;"",$H4&gt;EDATE(TODAY(),6),$H4&lt;=EDATE(TODAY(),12))</formula>
    </cfRule>
  </conditionalFormatting>
  <dataValidations count="3">
    <dataValidation type="list" allowBlank="1" showErrorMessage="1" sqref="I4:I103" xr:uid="{00000000-0002-0000-0900-000000000000}">
      <formula1>"Kırmızı,Sarı,Yeşil"</formula1>
    </dataValidation>
    <dataValidation sqref="L4:R103" xr:uid="{00000000-0002-0000-0900-000001000000}">
      <formula1>1</formula1>
      <formula2>10</formula2>
    </dataValidation>
    <dataValidation type="list" sqref="T4:T103" xr:uid="{00000000-0002-0000-0900-000002000000}">
      <formula1>"A Liste,B Liste,Takip,Tekrar İzle,Ele"</formula1>
    </dataValidation>
  </dataValidations>
  <hyperlinks>
    <hyperlink ref="K6" r:id="rId1" xr:uid="{00000000-0004-0000-0900-000000000000}"/>
    <hyperlink ref="K7" r:id="rId2" xr:uid="{00000000-0004-0000-0900-000001000000}"/>
    <hyperlink ref="K8" r:id="rId3" xr:uid="{00000000-0004-0000-0900-000002000000}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03"/>
  <sheetViews>
    <sheetView showGridLines="0" topLeftCell="A6" workbookViewId="0">
      <selection activeCell="B7" sqref="B7"/>
    </sheetView>
  </sheetViews>
  <sheetFormatPr baseColWidth="10" defaultColWidth="8.83203125" defaultRowHeight="14"/>
  <cols>
    <col min="1" max="1" width="24" customWidth="1"/>
    <col min="2" max="3" width="14" customWidth="1"/>
    <col min="4" max="4" width="8" customWidth="1"/>
    <col min="5" max="5" width="16" customWidth="1"/>
    <col min="6" max="6" width="18" customWidth="1"/>
    <col min="7" max="7" width="20" customWidth="1"/>
    <col min="8" max="8" width="18" customWidth="1"/>
    <col min="9" max="9" width="11" customWidth="1"/>
    <col min="10" max="10" width="100.83203125" customWidth="1"/>
    <col min="11" max="11" width="48.1640625" bestFit="1" customWidth="1"/>
    <col min="12" max="15" width="9" customWidth="1"/>
    <col min="16" max="17" width="10" customWidth="1"/>
    <col min="18" max="18" width="12.33203125" customWidth="1"/>
    <col min="19" max="19" width="11" customWidth="1"/>
    <col min="20" max="21" width="14" customWidth="1"/>
  </cols>
  <sheetData>
    <row r="1" spans="1:21" ht="30" customHeight="1">
      <c r="A1" s="67" t="s">
        <v>210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1" ht="15" customHeight="1">
      <c r="A2" s="96"/>
      <c r="B2" s="68"/>
      <c r="C2" s="68"/>
      <c r="D2" s="68"/>
      <c r="E2" s="68"/>
      <c r="F2" s="68"/>
      <c r="G2" s="68"/>
      <c r="H2" s="68"/>
      <c r="I2" s="68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30" customHeight="1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U3" s="21" t="s">
        <v>21</v>
      </c>
    </row>
    <row r="4" spans="1:21" ht="100" customHeight="1">
      <c r="A4" s="22" t="s">
        <v>211</v>
      </c>
      <c r="B4" s="23" t="s">
        <v>71</v>
      </c>
      <c r="C4" s="23">
        <v>35928</v>
      </c>
      <c r="D4" s="22">
        <f t="shared" ref="D4:D35" ca="1" si="0">IF(C4="","",DATEDIF(C4,TODAY(),"Y"))</f>
        <v>28</v>
      </c>
      <c r="E4" s="22" t="s">
        <v>212</v>
      </c>
      <c r="F4" s="22"/>
      <c r="G4" s="23" t="s">
        <v>213</v>
      </c>
      <c r="H4" s="23">
        <v>46568</v>
      </c>
      <c r="I4" s="24" t="s">
        <v>26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 t="s">
        <v>27</v>
      </c>
      <c r="U4" s="23"/>
    </row>
    <row r="5" spans="1:21" ht="100" customHeight="1">
      <c r="A5" s="22" t="s">
        <v>214</v>
      </c>
      <c r="B5" s="23" t="s">
        <v>215</v>
      </c>
      <c r="C5" s="23">
        <v>37168</v>
      </c>
      <c r="D5" s="22">
        <f t="shared" ca="1" si="0"/>
        <v>25</v>
      </c>
      <c r="E5" s="22" t="s">
        <v>212</v>
      </c>
      <c r="F5" s="22"/>
      <c r="G5" s="23" t="s">
        <v>63</v>
      </c>
      <c r="H5" s="23">
        <v>47289</v>
      </c>
      <c r="I5" s="24" t="s">
        <v>31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 t="s">
        <v>32</v>
      </c>
      <c r="U5" s="23"/>
    </row>
    <row r="6" spans="1:21" ht="100" customHeight="1">
      <c r="A6" s="22" t="s">
        <v>216</v>
      </c>
      <c r="B6" s="23" t="s">
        <v>89</v>
      </c>
      <c r="C6" s="23">
        <v>35667</v>
      </c>
      <c r="D6" s="22">
        <f t="shared" ca="1" si="0"/>
        <v>29</v>
      </c>
      <c r="E6" s="22" t="s">
        <v>212</v>
      </c>
      <c r="F6" s="22"/>
      <c r="G6" s="23" t="s">
        <v>217</v>
      </c>
      <c r="H6" s="23">
        <v>46934</v>
      </c>
      <c r="I6" s="24" t="s">
        <v>26</v>
      </c>
      <c r="J6" s="22"/>
      <c r="K6" s="22" t="s">
        <v>218</v>
      </c>
      <c r="L6" s="22"/>
      <c r="M6" s="22"/>
      <c r="N6" s="22"/>
      <c r="O6" s="22"/>
      <c r="P6" s="22"/>
      <c r="Q6" s="22"/>
      <c r="R6" s="22"/>
      <c r="S6" s="22"/>
      <c r="T6" s="22" t="s">
        <v>27</v>
      </c>
      <c r="U6" s="23"/>
    </row>
    <row r="7" spans="1:21" ht="100" customHeight="1">
      <c r="A7" s="22" t="s">
        <v>219</v>
      </c>
      <c r="B7" s="23" t="s">
        <v>23</v>
      </c>
      <c r="C7" s="23">
        <v>35780</v>
      </c>
      <c r="D7" s="22">
        <f t="shared" ca="1" si="0"/>
        <v>28</v>
      </c>
      <c r="E7" s="22" t="s">
        <v>212</v>
      </c>
      <c r="F7" s="22"/>
      <c r="G7" s="23" t="s">
        <v>220</v>
      </c>
      <c r="H7" s="23">
        <v>46387</v>
      </c>
      <c r="I7" s="24" t="s">
        <v>36</v>
      </c>
      <c r="J7" s="22"/>
      <c r="K7" s="22" t="s">
        <v>221</v>
      </c>
      <c r="L7" s="22"/>
      <c r="M7" s="22"/>
      <c r="N7" s="22"/>
      <c r="O7" s="22"/>
      <c r="P7" s="22"/>
      <c r="Q7" s="22"/>
      <c r="R7" s="22"/>
      <c r="S7" s="22"/>
      <c r="T7" s="22" t="s">
        <v>38</v>
      </c>
      <c r="U7" s="23"/>
    </row>
    <row r="8" spans="1:21" ht="100" customHeight="1">
      <c r="A8" s="22" t="s">
        <v>222</v>
      </c>
      <c r="B8" s="23" t="s">
        <v>223</v>
      </c>
      <c r="C8" s="23">
        <v>34658</v>
      </c>
      <c r="D8" s="22">
        <f t="shared" ca="1" si="0"/>
        <v>31</v>
      </c>
      <c r="E8" s="22" t="s">
        <v>212</v>
      </c>
      <c r="F8" s="22"/>
      <c r="G8" s="23" t="s">
        <v>50</v>
      </c>
      <c r="H8" s="23" t="s">
        <v>51</v>
      </c>
      <c r="I8" s="24" t="s">
        <v>26</v>
      </c>
      <c r="J8" s="22"/>
      <c r="K8" s="22" t="s">
        <v>224</v>
      </c>
      <c r="L8" s="22"/>
      <c r="M8" s="22"/>
      <c r="N8" s="22"/>
      <c r="O8" s="22"/>
      <c r="P8" s="22"/>
      <c r="Q8" s="22"/>
      <c r="R8" s="22"/>
      <c r="S8" s="22"/>
      <c r="T8" s="22" t="s">
        <v>44</v>
      </c>
      <c r="U8" s="23"/>
    </row>
    <row r="9" spans="1:21" ht="100" customHeight="1">
      <c r="A9" s="22" t="s">
        <v>225</v>
      </c>
      <c r="B9" s="23" t="s">
        <v>89</v>
      </c>
      <c r="C9" s="23">
        <v>36615</v>
      </c>
      <c r="D9" s="22">
        <f t="shared" ca="1" si="0"/>
        <v>26</v>
      </c>
      <c r="E9" s="22" t="s">
        <v>212</v>
      </c>
      <c r="F9" s="22"/>
      <c r="G9" s="23" t="s">
        <v>226</v>
      </c>
      <c r="H9" s="23">
        <v>46568</v>
      </c>
      <c r="I9" s="24" t="s">
        <v>31</v>
      </c>
      <c r="J9" s="22"/>
      <c r="K9" s="22" t="s">
        <v>227</v>
      </c>
      <c r="L9" s="22"/>
      <c r="M9" s="22"/>
      <c r="N9" s="22"/>
      <c r="O9" s="22"/>
      <c r="P9" s="22"/>
      <c r="Q9" s="22"/>
      <c r="R9" s="22"/>
      <c r="S9" s="22"/>
      <c r="T9" s="22" t="s">
        <v>32</v>
      </c>
      <c r="U9" s="23"/>
    </row>
    <row r="10" spans="1:21" ht="100" customHeight="1">
      <c r="A10" s="22" t="s">
        <v>228</v>
      </c>
      <c r="B10" s="23" t="s">
        <v>34</v>
      </c>
      <c r="C10" s="23">
        <v>38557</v>
      </c>
      <c r="D10" s="22">
        <f t="shared" ca="1" si="0"/>
        <v>21</v>
      </c>
      <c r="E10" s="22" t="s">
        <v>212</v>
      </c>
      <c r="F10" s="22" t="s">
        <v>229</v>
      </c>
      <c r="G10" s="23" t="s">
        <v>117</v>
      </c>
      <c r="H10" s="23">
        <v>47483</v>
      </c>
      <c r="I10" s="24"/>
      <c r="J10" s="22"/>
      <c r="K10" s="65" t="s">
        <v>230</v>
      </c>
      <c r="L10" s="22"/>
      <c r="M10" s="22"/>
      <c r="N10" s="22"/>
      <c r="O10" s="22"/>
      <c r="P10" s="22"/>
      <c r="Q10" s="22"/>
      <c r="R10" s="22"/>
      <c r="S10" s="22"/>
      <c r="T10" s="22"/>
      <c r="U10" s="23"/>
    </row>
    <row r="11" spans="1:21" ht="100" customHeight="1">
      <c r="A11" s="22" t="s">
        <v>231</v>
      </c>
      <c r="B11" s="23" t="s">
        <v>232</v>
      </c>
      <c r="C11" s="23">
        <v>33841</v>
      </c>
      <c r="D11" s="22">
        <f t="shared" ca="1" si="0"/>
        <v>34</v>
      </c>
      <c r="E11" s="22" t="s">
        <v>212</v>
      </c>
      <c r="F11" s="22" t="s">
        <v>233</v>
      </c>
      <c r="G11" s="23"/>
      <c r="H11" s="23" t="s">
        <v>51</v>
      </c>
      <c r="I11" s="24"/>
      <c r="J11" s="22"/>
      <c r="K11" s="65" t="s">
        <v>234</v>
      </c>
      <c r="L11" s="22"/>
      <c r="M11" s="22"/>
      <c r="N11" s="22"/>
      <c r="O11" s="22"/>
      <c r="P11" s="22"/>
      <c r="Q11" s="22"/>
      <c r="R11" s="22"/>
      <c r="S11" s="22"/>
      <c r="T11" s="22"/>
      <c r="U11" s="23"/>
    </row>
    <row r="12" spans="1:21" ht="100" customHeight="1">
      <c r="A12" s="22" t="s">
        <v>235</v>
      </c>
      <c r="B12" s="23" t="s">
        <v>23</v>
      </c>
      <c r="C12" s="23"/>
      <c r="D12" s="22" t="str">
        <f t="shared" ca="1" si="0"/>
        <v/>
      </c>
      <c r="E12" s="22" t="s">
        <v>212</v>
      </c>
      <c r="F12" s="22" t="s">
        <v>212</v>
      </c>
      <c r="G12" s="23"/>
      <c r="H12" s="23" t="s">
        <v>51</v>
      </c>
      <c r="I12" s="24"/>
      <c r="J12" s="22"/>
      <c r="K12" s="65" t="s">
        <v>236</v>
      </c>
      <c r="L12" s="22"/>
      <c r="M12" s="22"/>
      <c r="N12" s="22"/>
      <c r="O12" s="22"/>
      <c r="P12" s="22"/>
      <c r="Q12" s="22"/>
      <c r="R12" s="22"/>
      <c r="S12" s="22"/>
      <c r="T12" s="22"/>
      <c r="U12" s="23"/>
    </row>
    <row r="13" spans="1:21" ht="100" customHeight="1">
      <c r="A13" s="22"/>
      <c r="B13" s="23"/>
      <c r="C13" s="23"/>
      <c r="D13" s="22" t="str">
        <f t="shared" ca="1" si="0"/>
        <v/>
      </c>
      <c r="E13" s="22" t="s">
        <v>212</v>
      </c>
      <c r="F13" s="22"/>
      <c r="G13" s="23"/>
      <c r="H13" s="23"/>
      <c r="I13" s="24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3"/>
    </row>
    <row r="14" spans="1:21" ht="100" customHeight="1">
      <c r="A14" s="22"/>
      <c r="B14" s="23"/>
      <c r="C14" s="23"/>
      <c r="D14" s="22" t="str">
        <f t="shared" ca="1" si="0"/>
        <v/>
      </c>
      <c r="E14" s="22" t="s">
        <v>212</v>
      </c>
      <c r="F14" s="22"/>
      <c r="G14" s="23"/>
      <c r="H14" s="23"/>
      <c r="I14" s="24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</row>
    <row r="15" spans="1:21" ht="100" customHeight="1">
      <c r="A15" s="22"/>
      <c r="B15" s="23"/>
      <c r="C15" s="23"/>
      <c r="D15" s="22" t="str">
        <f t="shared" ca="1" si="0"/>
        <v/>
      </c>
      <c r="E15" s="22" t="s">
        <v>212</v>
      </c>
      <c r="F15" s="22"/>
      <c r="G15" s="23"/>
      <c r="H15" s="23"/>
      <c r="I15" s="24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3"/>
    </row>
    <row r="16" spans="1:21" ht="100" customHeight="1">
      <c r="A16" s="22"/>
      <c r="B16" s="23"/>
      <c r="C16" s="23"/>
      <c r="D16" s="22" t="str">
        <f t="shared" ca="1" si="0"/>
        <v/>
      </c>
      <c r="E16" s="22" t="s">
        <v>212</v>
      </c>
      <c r="F16" s="22"/>
      <c r="G16" s="23"/>
      <c r="H16" s="23"/>
      <c r="I16" s="24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3"/>
    </row>
    <row r="17" spans="1:21" ht="100" customHeight="1">
      <c r="A17" s="22"/>
      <c r="B17" s="23"/>
      <c r="C17" s="23"/>
      <c r="D17" s="22" t="str">
        <f t="shared" ca="1" si="0"/>
        <v/>
      </c>
      <c r="E17" s="22" t="s">
        <v>212</v>
      </c>
      <c r="F17" s="22"/>
      <c r="G17" s="23"/>
      <c r="H17" s="23"/>
      <c r="I17" s="24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3"/>
    </row>
    <row r="18" spans="1:21" ht="100" customHeight="1">
      <c r="A18" s="22"/>
      <c r="B18" s="23"/>
      <c r="C18" s="23"/>
      <c r="D18" s="22" t="str">
        <f t="shared" ca="1" si="0"/>
        <v/>
      </c>
      <c r="E18" s="22" t="s">
        <v>212</v>
      </c>
      <c r="F18" s="22"/>
      <c r="G18" s="23"/>
      <c r="H18" s="23"/>
      <c r="I18" s="24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3"/>
    </row>
    <row r="19" spans="1:21" ht="100" customHeight="1">
      <c r="A19" s="22"/>
      <c r="B19" s="23"/>
      <c r="C19" s="23"/>
      <c r="D19" s="22" t="str">
        <f t="shared" ca="1" si="0"/>
        <v/>
      </c>
      <c r="E19" s="22" t="s">
        <v>212</v>
      </c>
      <c r="F19" s="22"/>
      <c r="G19" s="23"/>
      <c r="H19" s="23"/>
      <c r="I19" s="24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3"/>
    </row>
    <row r="20" spans="1:21" ht="100" customHeight="1">
      <c r="A20" s="22"/>
      <c r="B20" s="23"/>
      <c r="C20" s="23"/>
      <c r="D20" s="22" t="str">
        <f t="shared" ca="1" si="0"/>
        <v/>
      </c>
      <c r="E20" s="22" t="s">
        <v>212</v>
      </c>
      <c r="F20" s="22"/>
      <c r="G20" s="23"/>
      <c r="H20" s="23"/>
      <c r="I20" s="24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3"/>
    </row>
    <row r="21" spans="1:21" ht="100" customHeight="1">
      <c r="A21" s="22"/>
      <c r="B21" s="23"/>
      <c r="C21" s="23"/>
      <c r="D21" s="22" t="str">
        <f t="shared" ca="1" si="0"/>
        <v/>
      </c>
      <c r="E21" s="22" t="s">
        <v>212</v>
      </c>
      <c r="F21" s="22"/>
      <c r="G21" s="23"/>
      <c r="H21" s="23"/>
      <c r="I21" s="24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3"/>
    </row>
    <row r="22" spans="1:21" ht="100" customHeight="1">
      <c r="A22" s="22"/>
      <c r="B22" s="23"/>
      <c r="C22" s="23"/>
      <c r="D22" s="22" t="str">
        <f t="shared" ca="1" si="0"/>
        <v/>
      </c>
      <c r="E22" s="22" t="s">
        <v>212</v>
      </c>
      <c r="F22" s="22"/>
      <c r="G22" s="23"/>
      <c r="H22" s="23"/>
      <c r="I22" s="24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3"/>
    </row>
    <row r="23" spans="1:21" ht="100" customHeight="1">
      <c r="A23" s="22"/>
      <c r="B23" s="23"/>
      <c r="C23" s="23"/>
      <c r="D23" s="22" t="str">
        <f t="shared" ca="1" si="0"/>
        <v/>
      </c>
      <c r="E23" s="22" t="s">
        <v>212</v>
      </c>
      <c r="F23" s="22"/>
      <c r="G23" s="23"/>
      <c r="H23" s="23"/>
      <c r="I23" s="24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3"/>
    </row>
    <row r="24" spans="1:21" ht="100" customHeight="1">
      <c r="A24" s="22"/>
      <c r="B24" s="23"/>
      <c r="C24" s="23"/>
      <c r="D24" s="22" t="str">
        <f t="shared" ca="1" si="0"/>
        <v/>
      </c>
      <c r="E24" s="22" t="s">
        <v>212</v>
      </c>
      <c r="F24" s="22"/>
      <c r="G24" s="23"/>
      <c r="H24" s="23"/>
      <c r="I24" s="24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3"/>
    </row>
    <row r="25" spans="1:21" ht="100" customHeight="1">
      <c r="A25" s="22"/>
      <c r="B25" s="23"/>
      <c r="C25" s="23"/>
      <c r="D25" s="22" t="str">
        <f t="shared" ca="1" si="0"/>
        <v/>
      </c>
      <c r="E25" s="22" t="s">
        <v>212</v>
      </c>
      <c r="F25" s="22"/>
      <c r="G25" s="23"/>
      <c r="H25" s="23"/>
      <c r="I25" s="24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3"/>
    </row>
    <row r="26" spans="1:21" ht="100" customHeight="1">
      <c r="A26" s="22"/>
      <c r="B26" s="23"/>
      <c r="C26" s="23"/>
      <c r="D26" s="22" t="str">
        <f t="shared" ca="1" si="0"/>
        <v/>
      </c>
      <c r="E26" s="22" t="s">
        <v>212</v>
      </c>
      <c r="F26" s="22"/>
      <c r="G26" s="23"/>
      <c r="H26" s="23"/>
      <c r="I26" s="24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3"/>
    </row>
    <row r="27" spans="1:21" ht="100" customHeight="1">
      <c r="A27" s="22"/>
      <c r="B27" s="23"/>
      <c r="C27" s="23"/>
      <c r="D27" s="22" t="str">
        <f t="shared" ca="1" si="0"/>
        <v/>
      </c>
      <c r="E27" s="22" t="s">
        <v>212</v>
      </c>
      <c r="F27" s="22"/>
      <c r="G27" s="23"/>
      <c r="H27" s="23"/>
      <c r="I27" s="24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3"/>
    </row>
    <row r="28" spans="1:21" ht="100" customHeight="1">
      <c r="A28" s="22"/>
      <c r="B28" s="23"/>
      <c r="C28" s="23"/>
      <c r="D28" s="22" t="str">
        <f t="shared" ca="1" si="0"/>
        <v/>
      </c>
      <c r="E28" s="22" t="s">
        <v>212</v>
      </c>
      <c r="F28" s="22"/>
      <c r="G28" s="23"/>
      <c r="H28" s="23"/>
      <c r="I28" s="24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3"/>
    </row>
    <row r="29" spans="1:21" ht="100" customHeight="1">
      <c r="A29" s="22"/>
      <c r="B29" s="23"/>
      <c r="C29" s="23"/>
      <c r="D29" s="22" t="str">
        <f t="shared" ca="1" si="0"/>
        <v/>
      </c>
      <c r="E29" s="22" t="s">
        <v>212</v>
      </c>
      <c r="F29" s="22"/>
      <c r="G29" s="23"/>
      <c r="H29" s="23"/>
      <c r="I29" s="24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3"/>
    </row>
    <row r="30" spans="1:21" ht="100" customHeight="1">
      <c r="A30" s="22"/>
      <c r="B30" s="23"/>
      <c r="C30" s="23"/>
      <c r="D30" s="22" t="str">
        <f t="shared" ca="1" si="0"/>
        <v/>
      </c>
      <c r="E30" s="22" t="s">
        <v>212</v>
      </c>
      <c r="F30" s="22"/>
      <c r="G30" s="23"/>
      <c r="H30" s="23"/>
      <c r="I30" s="24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3"/>
    </row>
    <row r="31" spans="1:21" ht="100" customHeight="1">
      <c r="A31" s="22"/>
      <c r="B31" s="23"/>
      <c r="C31" s="23"/>
      <c r="D31" s="22" t="str">
        <f t="shared" ca="1" si="0"/>
        <v/>
      </c>
      <c r="E31" s="22" t="s">
        <v>212</v>
      </c>
      <c r="F31" s="22"/>
      <c r="G31" s="23"/>
      <c r="H31" s="23"/>
      <c r="I31" s="24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3"/>
    </row>
    <row r="32" spans="1:21" ht="100" customHeight="1">
      <c r="A32" s="22"/>
      <c r="B32" s="23"/>
      <c r="C32" s="23"/>
      <c r="D32" s="22" t="str">
        <f t="shared" ca="1" si="0"/>
        <v/>
      </c>
      <c r="E32" s="22" t="s">
        <v>212</v>
      </c>
      <c r="F32" s="22"/>
      <c r="G32" s="23"/>
      <c r="H32" s="23"/>
      <c r="I32" s="24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3"/>
    </row>
    <row r="33" spans="1:21" ht="100" customHeight="1">
      <c r="A33" s="22"/>
      <c r="B33" s="23"/>
      <c r="C33" s="23"/>
      <c r="D33" s="22" t="str">
        <f t="shared" ca="1" si="0"/>
        <v/>
      </c>
      <c r="E33" s="22" t="s">
        <v>212</v>
      </c>
      <c r="F33" s="22"/>
      <c r="G33" s="23"/>
      <c r="H33" s="23"/>
      <c r="I33" s="24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3"/>
    </row>
    <row r="34" spans="1:21" ht="100" customHeight="1">
      <c r="A34" s="22"/>
      <c r="B34" s="23"/>
      <c r="C34" s="23"/>
      <c r="D34" s="22" t="str">
        <f t="shared" ca="1" si="0"/>
        <v/>
      </c>
      <c r="E34" s="22" t="s">
        <v>212</v>
      </c>
      <c r="F34" s="22"/>
      <c r="G34" s="23"/>
      <c r="H34" s="23"/>
      <c r="I34" s="24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3"/>
    </row>
    <row r="35" spans="1:21" ht="100" customHeight="1">
      <c r="A35" s="22"/>
      <c r="B35" s="23"/>
      <c r="C35" s="23"/>
      <c r="D35" s="22" t="str">
        <f t="shared" ca="1" si="0"/>
        <v/>
      </c>
      <c r="E35" s="22" t="s">
        <v>212</v>
      </c>
      <c r="F35" s="22"/>
      <c r="G35" s="23"/>
      <c r="H35" s="23"/>
      <c r="I35" s="24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3"/>
    </row>
    <row r="36" spans="1:21" ht="100" customHeight="1">
      <c r="A36" s="22"/>
      <c r="B36" s="23"/>
      <c r="C36" s="23"/>
      <c r="D36" s="22" t="str">
        <f t="shared" ref="D36:D67" ca="1" si="1">IF(C36="","",DATEDIF(C36,TODAY(),"Y"))</f>
        <v/>
      </c>
      <c r="E36" s="22" t="s">
        <v>212</v>
      </c>
      <c r="F36" s="22"/>
      <c r="G36" s="23"/>
      <c r="H36" s="23"/>
      <c r="I36" s="24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3"/>
    </row>
    <row r="37" spans="1:21" ht="100" customHeight="1">
      <c r="A37" s="22"/>
      <c r="B37" s="23"/>
      <c r="C37" s="23"/>
      <c r="D37" s="22" t="str">
        <f t="shared" ca="1" si="1"/>
        <v/>
      </c>
      <c r="E37" s="22" t="s">
        <v>212</v>
      </c>
      <c r="F37" s="22"/>
      <c r="G37" s="23"/>
      <c r="H37" s="23"/>
      <c r="I37" s="24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00" customHeight="1">
      <c r="A38" s="22"/>
      <c r="B38" s="23"/>
      <c r="C38" s="23"/>
      <c r="D38" s="22" t="str">
        <f t="shared" ca="1" si="1"/>
        <v/>
      </c>
      <c r="E38" s="22" t="s">
        <v>212</v>
      </c>
      <c r="F38" s="22"/>
      <c r="G38" s="23"/>
      <c r="H38" s="23"/>
      <c r="I38" s="24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3"/>
    </row>
    <row r="39" spans="1:21" ht="100" customHeight="1">
      <c r="A39" s="22"/>
      <c r="B39" s="23"/>
      <c r="C39" s="23"/>
      <c r="D39" s="22" t="str">
        <f t="shared" ca="1" si="1"/>
        <v/>
      </c>
      <c r="E39" s="22" t="s">
        <v>212</v>
      </c>
      <c r="F39" s="22"/>
      <c r="G39" s="23"/>
      <c r="H39" s="23"/>
      <c r="I39" s="24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3"/>
    </row>
    <row r="40" spans="1:21" ht="100" customHeight="1">
      <c r="A40" s="22"/>
      <c r="B40" s="23"/>
      <c r="C40" s="23"/>
      <c r="D40" s="22" t="str">
        <f t="shared" ca="1" si="1"/>
        <v/>
      </c>
      <c r="E40" s="22" t="s">
        <v>212</v>
      </c>
      <c r="F40" s="22"/>
      <c r="G40" s="23"/>
      <c r="H40" s="23"/>
      <c r="I40" s="24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3"/>
    </row>
    <row r="41" spans="1:21" ht="100" customHeight="1">
      <c r="A41" s="22"/>
      <c r="B41" s="23"/>
      <c r="C41" s="23"/>
      <c r="D41" s="22" t="str">
        <f t="shared" ca="1" si="1"/>
        <v/>
      </c>
      <c r="E41" s="22" t="s">
        <v>212</v>
      </c>
      <c r="F41" s="22"/>
      <c r="G41" s="23"/>
      <c r="H41" s="23"/>
      <c r="I41" s="24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3"/>
    </row>
    <row r="42" spans="1:21" ht="100" customHeight="1">
      <c r="A42" s="22"/>
      <c r="B42" s="23"/>
      <c r="C42" s="23"/>
      <c r="D42" s="22" t="str">
        <f t="shared" ca="1" si="1"/>
        <v/>
      </c>
      <c r="E42" s="22" t="s">
        <v>212</v>
      </c>
      <c r="F42" s="22"/>
      <c r="G42" s="23"/>
      <c r="H42" s="23"/>
      <c r="I42" s="24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3"/>
    </row>
    <row r="43" spans="1:21" ht="100" customHeight="1">
      <c r="A43" s="22"/>
      <c r="B43" s="23"/>
      <c r="C43" s="23"/>
      <c r="D43" s="22" t="str">
        <f t="shared" ca="1" si="1"/>
        <v/>
      </c>
      <c r="E43" s="22" t="s">
        <v>212</v>
      </c>
      <c r="F43" s="22"/>
      <c r="G43" s="23"/>
      <c r="H43" s="23"/>
      <c r="I43" s="24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3"/>
    </row>
    <row r="44" spans="1:21" ht="100" customHeight="1">
      <c r="A44" s="22"/>
      <c r="B44" s="23"/>
      <c r="C44" s="23"/>
      <c r="D44" s="22" t="str">
        <f t="shared" ca="1" si="1"/>
        <v/>
      </c>
      <c r="E44" s="22" t="s">
        <v>212</v>
      </c>
      <c r="F44" s="22"/>
      <c r="G44" s="23"/>
      <c r="H44" s="23"/>
      <c r="I44" s="24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3"/>
    </row>
    <row r="45" spans="1:21" ht="100" customHeight="1">
      <c r="A45" s="22"/>
      <c r="B45" s="23"/>
      <c r="C45" s="23"/>
      <c r="D45" s="22" t="str">
        <f t="shared" ca="1" si="1"/>
        <v/>
      </c>
      <c r="E45" s="22" t="s">
        <v>212</v>
      </c>
      <c r="F45" s="22"/>
      <c r="G45" s="23"/>
      <c r="H45" s="23"/>
      <c r="I45" s="24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3"/>
    </row>
    <row r="46" spans="1:21" ht="100" customHeight="1">
      <c r="A46" s="22"/>
      <c r="B46" s="23"/>
      <c r="C46" s="23"/>
      <c r="D46" s="22" t="str">
        <f t="shared" ca="1" si="1"/>
        <v/>
      </c>
      <c r="E46" s="22" t="s">
        <v>212</v>
      </c>
      <c r="F46" s="22"/>
      <c r="G46" s="23"/>
      <c r="H46" s="23"/>
      <c r="I46" s="24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3"/>
    </row>
    <row r="47" spans="1:21" ht="100" customHeight="1">
      <c r="A47" s="22"/>
      <c r="B47" s="23"/>
      <c r="C47" s="23"/>
      <c r="D47" s="22" t="str">
        <f t="shared" ca="1" si="1"/>
        <v/>
      </c>
      <c r="E47" s="22" t="s">
        <v>212</v>
      </c>
      <c r="F47" s="22"/>
      <c r="G47" s="23"/>
      <c r="H47" s="23"/>
      <c r="I47" s="24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3"/>
    </row>
    <row r="48" spans="1:21" ht="100" customHeight="1">
      <c r="A48" s="22"/>
      <c r="B48" s="23"/>
      <c r="C48" s="23"/>
      <c r="D48" s="22" t="str">
        <f t="shared" ca="1" si="1"/>
        <v/>
      </c>
      <c r="E48" s="22" t="s">
        <v>212</v>
      </c>
      <c r="F48" s="22"/>
      <c r="G48" s="23"/>
      <c r="H48" s="23"/>
      <c r="I48" s="24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3"/>
    </row>
    <row r="49" spans="1:21" ht="100" customHeight="1">
      <c r="A49" s="22"/>
      <c r="B49" s="23"/>
      <c r="C49" s="23"/>
      <c r="D49" s="22" t="str">
        <f t="shared" ca="1" si="1"/>
        <v/>
      </c>
      <c r="E49" s="22" t="s">
        <v>212</v>
      </c>
      <c r="F49" s="22"/>
      <c r="G49" s="23"/>
      <c r="H49" s="23"/>
      <c r="I49" s="24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3"/>
    </row>
    <row r="50" spans="1:21" ht="100" customHeight="1">
      <c r="A50" s="22"/>
      <c r="B50" s="23"/>
      <c r="C50" s="23"/>
      <c r="D50" s="22" t="str">
        <f t="shared" ca="1" si="1"/>
        <v/>
      </c>
      <c r="E50" s="22" t="s">
        <v>212</v>
      </c>
      <c r="F50" s="22"/>
      <c r="G50" s="23"/>
      <c r="H50" s="23"/>
      <c r="I50" s="24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3"/>
    </row>
    <row r="51" spans="1:21" ht="100" customHeight="1">
      <c r="A51" s="22"/>
      <c r="B51" s="23"/>
      <c r="C51" s="23"/>
      <c r="D51" s="22" t="str">
        <f t="shared" ca="1" si="1"/>
        <v/>
      </c>
      <c r="E51" s="22" t="s">
        <v>212</v>
      </c>
      <c r="F51" s="22"/>
      <c r="G51" s="23"/>
      <c r="H51" s="23"/>
      <c r="I51" s="24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3"/>
    </row>
    <row r="52" spans="1:21" ht="100" customHeight="1">
      <c r="A52" s="22"/>
      <c r="B52" s="23"/>
      <c r="C52" s="23"/>
      <c r="D52" s="22" t="str">
        <f t="shared" ca="1" si="1"/>
        <v/>
      </c>
      <c r="E52" s="22" t="s">
        <v>212</v>
      </c>
      <c r="F52" s="22"/>
      <c r="G52" s="23"/>
      <c r="H52" s="23"/>
      <c r="I52" s="24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3"/>
    </row>
    <row r="53" spans="1:21" ht="100" customHeight="1">
      <c r="A53" s="22"/>
      <c r="B53" s="23"/>
      <c r="C53" s="23"/>
      <c r="D53" s="22" t="str">
        <f t="shared" ca="1" si="1"/>
        <v/>
      </c>
      <c r="E53" s="22" t="s">
        <v>212</v>
      </c>
      <c r="F53" s="22"/>
      <c r="G53" s="23"/>
      <c r="H53" s="23"/>
      <c r="I53" s="24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3"/>
    </row>
    <row r="54" spans="1:21" ht="100" customHeight="1">
      <c r="A54" s="22"/>
      <c r="B54" s="23"/>
      <c r="C54" s="23"/>
      <c r="D54" s="22" t="str">
        <f t="shared" ca="1" si="1"/>
        <v/>
      </c>
      <c r="E54" s="22" t="s">
        <v>212</v>
      </c>
      <c r="F54" s="22"/>
      <c r="G54" s="23"/>
      <c r="H54" s="23"/>
      <c r="I54" s="24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3"/>
    </row>
    <row r="55" spans="1:21" ht="100" customHeight="1">
      <c r="A55" s="22"/>
      <c r="B55" s="23"/>
      <c r="C55" s="23"/>
      <c r="D55" s="22" t="str">
        <f t="shared" ca="1" si="1"/>
        <v/>
      </c>
      <c r="E55" s="22" t="s">
        <v>212</v>
      </c>
      <c r="F55" s="22"/>
      <c r="G55" s="23"/>
      <c r="H55" s="23"/>
      <c r="I55" s="24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3"/>
    </row>
    <row r="56" spans="1:21" ht="100" customHeight="1">
      <c r="A56" s="22"/>
      <c r="B56" s="23"/>
      <c r="C56" s="23"/>
      <c r="D56" s="22" t="str">
        <f t="shared" ca="1" si="1"/>
        <v/>
      </c>
      <c r="E56" s="22" t="s">
        <v>212</v>
      </c>
      <c r="F56" s="22"/>
      <c r="G56" s="23"/>
      <c r="H56" s="23"/>
      <c r="I56" s="24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3"/>
    </row>
    <row r="57" spans="1:21" ht="100" customHeight="1">
      <c r="A57" s="22"/>
      <c r="B57" s="23"/>
      <c r="C57" s="23"/>
      <c r="D57" s="22" t="str">
        <f t="shared" ca="1" si="1"/>
        <v/>
      </c>
      <c r="E57" s="22" t="s">
        <v>212</v>
      </c>
      <c r="F57" s="22"/>
      <c r="G57" s="23"/>
      <c r="H57" s="23"/>
      <c r="I57" s="24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3"/>
    </row>
    <row r="58" spans="1:21" ht="100" customHeight="1">
      <c r="A58" s="22"/>
      <c r="B58" s="23"/>
      <c r="C58" s="23"/>
      <c r="D58" s="22" t="str">
        <f t="shared" ca="1" si="1"/>
        <v/>
      </c>
      <c r="E58" s="22" t="s">
        <v>212</v>
      </c>
      <c r="F58" s="22"/>
      <c r="G58" s="23"/>
      <c r="H58" s="23"/>
      <c r="I58" s="24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3"/>
    </row>
    <row r="59" spans="1:21" ht="100" customHeight="1">
      <c r="A59" s="22"/>
      <c r="B59" s="23"/>
      <c r="C59" s="23"/>
      <c r="D59" s="22" t="str">
        <f t="shared" ca="1" si="1"/>
        <v/>
      </c>
      <c r="E59" s="22" t="s">
        <v>212</v>
      </c>
      <c r="F59" s="22"/>
      <c r="G59" s="23"/>
      <c r="H59" s="23"/>
      <c r="I59" s="24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3"/>
    </row>
    <row r="60" spans="1:21" ht="100" customHeight="1">
      <c r="A60" s="22"/>
      <c r="B60" s="23"/>
      <c r="C60" s="23"/>
      <c r="D60" s="22" t="str">
        <f t="shared" ca="1" si="1"/>
        <v/>
      </c>
      <c r="E60" s="22" t="s">
        <v>212</v>
      </c>
      <c r="F60" s="22"/>
      <c r="G60" s="23"/>
      <c r="H60" s="23"/>
      <c r="I60" s="24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3"/>
    </row>
    <row r="61" spans="1:21" ht="100" customHeight="1">
      <c r="A61" s="22"/>
      <c r="B61" s="23"/>
      <c r="C61" s="23"/>
      <c r="D61" s="22" t="str">
        <f t="shared" ca="1" si="1"/>
        <v/>
      </c>
      <c r="E61" s="22" t="s">
        <v>212</v>
      </c>
      <c r="F61" s="22"/>
      <c r="G61" s="23"/>
      <c r="H61" s="23"/>
      <c r="I61" s="24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3"/>
    </row>
    <row r="62" spans="1:21" ht="100" customHeight="1">
      <c r="A62" s="22"/>
      <c r="B62" s="23"/>
      <c r="C62" s="23"/>
      <c r="D62" s="22" t="str">
        <f t="shared" ca="1" si="1"/>
        <v/>
      </c>
      <c r="E62" s="22" t="s">
        <v>212</v>
      </c>
      <c r="F62" s="22"/>
      <c r="G62" s="23"/>
      <c r="H62" s="23"/>
      <c r="I62" s="24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3"/>
    </row>
    <row r="63" spans="1:21" ht="100" customHeight="1">
      <c r="A63" s="22"/>
      <c r="B63" s="23"/>
      <c r="C63" s="23"/>
      <c r="D63" s="22" t="str">
        <f t="shared" ca="1" si="1"/>
        <v/>
      </c>
      <c r="E63" s="22" t="s">
        <v>212</v>
      </c>
      <c r="F63" s="22"/>
      <c r="G63" s="23"/>
      <c r="H63" s="23"/>
      <c r="I63" s="24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3"/>
    </row>
    <row r="64" spans="1:21" ht="100" customHeight="1">
      <c r="A64" s="22"/>
      <c r="B64" s="23"/>
      <c r="C64" s="23"/>
      <c r="D64" s="22" t="str">
        <f t="shared" ca="1" si="1"/>
        <v/>
      </c>
      <c r="E64" s="22" t="s">
        <v>212</v>
      </c>
      <c r="F64" s="22"/>
      <c r="G64" s="23"/>
      <c r="H64" s="23"/>
      <c r="I64" s="24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3"/>
    </row>
    <row r="65" spans="1:21" ht="100" customHeight="1">
      <c r="A65" s="22"/>
      <c r="B65" s="23"/>
      <c r="C65" s="23"/>
      <c r="D65" s="22" t="str">
        <f t="shared" ca="1" si="1"/>
        <v/>
      </c>
      <c r="E65" s="22" t="s">
        <v>212</v>
      </c>
      <c r="F65" s="22"/>
      <c r="G65" s="23"/>
      <c r="H65" s="23"/>
      <c r="I65" s="24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3"/>
    </row>
    <row r="66" spans="1:21" ht="100" customHeight="1">
      <c r="A66" s="22"/>
      <c r="B66" s="23"/>
      <c r="C66" s="23"/>
      <c r="D66" s="22" t="str">
        <f t="shared" ca="1" si="1"/>
        <v/>
      </c>
      <c r="E66" s="22" t="s">
        <v>212</v>
      </c>
      <c r="F66" s="22"/>
      <c r="G66" s="23"/>
      <c r="H66" s="23"/>
      <c r="I66" s="24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3"/>
    </row>
    <row r="67" spans="1:21" ht="100" customHeight="1">
      <c r="A67" s="22"/>
      <c r="B67" s="23"/>
      <c r="C67" s="23"/>
      <c r="D67" s="22" t="str">
        <f t="shared" ca="1" si="1"/>
        <v/>
      </c>
      <c r="E67" s="22" t="s">
        <v>212</v>
      </c>
      <c r="F67" s="22"/>
      <c r="G67" s="23"/>
      <c r="H67" s="23"/>
      <c r="I67" s="24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3"/>
    </row>
    <row r="68" spans="1:21" ht="100" customHeight="1">
      <c r="A68" s="22"/>
      <c r="B68" s="23"/>
      <c r="C68" s="23"/>
      <c r="D68" s="22" t="str">
        <f t="shared" ref="D68:D99" ca="1" si="2">IF(C68="","",DATEDIF(C68,TODAY(),"Y"))</f>
        <v/>
      </c>
      <c r="E68" s="22" t="s">
        <v>212</v>
      </c>
      <c r="F68" s="22"/>
      <c r="G68" s="23"/>
      <c r="H68" s="23"/>
      <c r="I68" s="24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3"/>
    </row>
    <row r="69" spans="1:21" ht="100" customHeight="1">
      <c r="A69" s="22"/>
      <c r="B69" s="23"/>
      <c r="C69" s="23"/>
      <c r="D69" s="22" t="str">
        <f t="shared" ca="1" si="2"/>
        <v/>
      </c>
      <c r="E69" s="22" t="s">
        <v>212</v>
      </c>
      <c r="F69" s="22"/>
      <c r="G69" s="23"/>
      <c r="H69" s="23"/>
      <c r="I69" s="24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3"/>
    </row>
    <row r="70" spans="1:21" ht="100" customHeight="1">
      <c r="A70" s="22"/>
      <c r="B70" s="23"/>
      <c r="C70" s="23"/>
      <c r="D70" s="22" t="str">
        <f t="shared" ca="1" si="2"/>
        <v/>
      </c>
      <c r="E70" s="22" t="s">
        <v>212</v>
      </c>
      <c r="F70" s="22"/>
      <c r="G70" s="23"/>
      <c r="H70" s="23"/>
      <c r="I70" s="24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3"/>
    </row>
    <row r="71" spans="1:21" ht="100" customHeight="1">
      <c r="A71" s="22"/>
      <c r="B71" s="23"/>
      <c r="C71" s="23"/>
      <c r="D71" s="22" t="str">
        <f t="shared" ca="1" si="2"/>
        <v/>
      </c>
      <c r="E71" s="22" t="s">
        <v>212</v>
      </c>
      <c r="F71" s="22"/>
      <c r="G71" s="23"/>
      <c r="H71" s="23"/>
      <c r="I71" s="24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3"/>
    </row>
    <row r="72" spans="1:21" ht="100" customHeight="1">
      <c r="A72" s="22"/>
      <c r="B72" s="23"/>
      <c r="C72" s="23"/>
      <c r="D72" s="22" t="str">
        <f t="shared" ca="1" si="2"/>
        <v/>
      </c>
      <c r="E72" s="22" t="s">
        <v>212</v>
      </c>
      <c r="F72" s="22"/>
      <c r="G72" s="23"/>
      <c r="H72" s="23"/>
      <c r="I72" s="24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00" customHeight="1">
      <c r="A73" s="22"/>
      <c r="B73" s="23"/>
      <c r="C73" s="23"/>
      <c r="D73" s="22" t="str">
        <f t="shared" ca="1" si="2"/>
        <v/>
      </c>
      <c r="E73" s="22" t="s">
        <v>212</v>
      </c>
      <c r="F73" s="22"/>
      <c r="G73" s="23"/>
      <c r="H73" s="23"/>
      <c r="I73" s="24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3"/>
    </row>
    <row r="74" spans="1:21" ht="100" customHeight="1">
      <c r="A74" s="22"/>
      <c r="B74" s="23"/>
      <c r="C74" s="23"/>
      <c r="D74" s="22" t="str">
        <f t="shared" ca="1" si="2"/>
        <v/>
      </c>
      <c r="E74" s="22" t="s">
        <v>212</v>
      </c>
      <c r="F74" s="22"/>
      <c r="G74" s="23"/>
      <c r="H74" s="23"/>
      <c r="I74" s="24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3"/>
    </row>
    <row r="75" spans="1:21" ht="100" customHeight="1">
      <c r="A75" s="22"/>
      <c r="B75" s="23"/>
      <c r="C75" s="23"/>
      <c r="D75" s="22" t="str">
        <f t="shared" ca="1" si="2"/>
        <v/>
      </c>
      <c r="E75" s="22" t="s">
        <v>212</v>
      </c>
      <c r="F75" s="22"/>
      <c r="G75" s="23"/>
      <c r="H75" s="23"/>
      <c r="I75" s="24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3"/>
    </row>
    <row r="76" spans="1:21" ht="100" customHeight="1">
      <c r="A76" s="22"/>
      <c r="B76" s="23"/>
      <c r="C76" s="23"/>
      <c r="D76" s="22" t="str">
        <f t="shared" ca="1" si="2"/>
        <v/>
      </c>
      <c r="E76" s="22" t="s">
        <v>212</v>
      </c>
      <c r="F76" s="22"/>
      <c r="G76" s="23"/>
      <c r="H76" s="23"/>
      <c r="I76" s="24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3"/>
    </row>
    <row r="77" spans="1:21" ht="100" customHeight="1">
      <c r="A77" s="22"/>
      <c r="B77" s="23"/>
      <c r="C77" s="23"/>
      <c r="D77" s="22" t="str">
        <f t="shared" ca="1" si="2"/>
        <v/>
      </c>
      <c r="E77" s="22" t="s">
        <v>212</v>
      </c>
      <c r="F77" s="22"/>
      <c r="G77" s="23"/>
      <c r="H77" s="23"/>
      <c r="I77" s="24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3"/>
    </row>
    <row r="78" spans="1:21" ht="100" customHeight="1">
      <c r="A78" s="22"/>
      <c r="B78" s="23"/>
      <c r="C78" s="23"/>
      <c r="D78" s="22" t="str">
        <f t="shared" ca="1" si="2"/>
        <v/>
      </c>
      <c r="E78" s="22" t="s">
        <v>212</v>
      </c>
      <c r="F78" s="22"/>
      <c r="G78" s="23"/>
      <c r="H78" s="23"/>
      <c r="I78" s="24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3"/>
    </row>
    <row r="79" spans="1:21" ht="100" customHeight="1">
      <c r="A79" s="22"/>
      <c r="B79" s="23"/>
      <c r="C79" s="23"/>
      <c r="D79" s="22" t="str">
        <f t="shared" ca="1" si="2"/>
        <v/>
      </c>
      <c r="E79" s="22" t="s">
        <v>212</v>
      </c>
      <c r="F79" s="22"/>
      <c r="G79" s="23"/>
      <c r="H79" s="23"/>
      <c r="I79" s="24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3"/>
    </row>
    <row r="80" spans="1:21" ht="100" customHeight="1">
      <c r="A80" s="22"/>
      <c r="B80" s="23"/>
      <c r="C80" s="23"/>
      <c r="D80" s="22" t="str">
        <f t="shared" ca="1" si="2"/>
        <v/>
      </c>
      <c r="E80" s="22" t="s">
        <v>212</v>
      </c>
      <c r="F80" s="22"/>
      <c r="G80" s="23"/>
      <c r="H80" s="23"/>
      <c r="I80" s="24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3"/>
    </row>
    <row r="81" spans="1:21" ht="100" customHeight="1">
      <c r="A81" s="22"/>
      <c r="B81" s="23"/>
      <c r="C81" s="23"/>
      <c r="D81" s="22" t="str">
        <f t="shared" ca="1" si="2"/>
        <v/>
      </c>
      <c r="E81" s="22" t="s">
        <v>212</v>
      </c>
      <c r="F81" s="22"/>
      <c r="G81" s="23"/>
      <c r="H81" s="23"/>
      <c r="I81" s="24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3"/>
    </row>
    <row r="82" spans="1:21" ht="100" customHeight="1">
      <c r="A82" s="22"/>
      <c r="B82" s="23"/>
      <c r="C82" s="23"/>
      <c r="D82" s="22" t="str">
        <f t="shared" ca="1" si="2"/>
        <v/>
      </c>
      <c r="E82" s="22" t="s">
        <v>212</v>
      </c>
      <c r="F82" s="22"/>
      <c r="G82" s="23"/>
      <c r="H82" s="23"/>
      <c r="I82" s="24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3"/>
    </row>
    <row r="83" spans="1:21" ht="100" customHeight="1">
      <c r="A83" s="22"/>
      <c r="B83" s="23"/>
      <c r="C83" s="23"/>
      <c r="D83" s="22" t="str">
        <f t="shared" ca="1" si="2"/>
        <v/>
      </c>
      <c r="E83" s="22" t="s">
        <v>212</v>
      </c>
      <c r="F83" s="22"/>
      <c r="G83" s="23"/>
      <c r="H83" s="23"/>
      <c r="I83" s="24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3"/>
    </row>
    <row r="84" spans="1:21" ht="100" customHeight="1">
      <c r="A84" s="22"/>
      <c r="B84" s="23"/>
      <c r="C84" s="23"/>
      <c r="D84" s="22" t="str">
        <f t="shared" ca="1" si="2"/>
        <v/>
      </c>
      <c r="E84" s="22" t="s">
        <v>212</v>
      </c>
      <c r="F84" s="22"/>
      <c r="G84" s="23"/>
      <c r="H84" s="23"/>
      <c r="I84" s="24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3"/>
    </row>
    <row r="85" spans="1:21" ht="100" customHeight="1">
      <c r="A85" s="22"/>
      <c r="B85" s="23"/>
      <c r="C85" s="23"/>
      <c r="D85" s="22" t="str">
        <f t="shared" ca="1" si="2"/>
        <v/>
      </c>
      <c r="E85" s="22" t="s">
        <v>212</v>
      </c>
      <c r="F85" s="22"/>
      <c r="G85" s="23"/>
      <c r="H85" s="23"/>
      <c r="I85" s="24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3"/>
    </row>
    <row r="86" spans="1:21" ht="100" customHeight="1">
      <c r="A86" s="22"/>
      <c r="B86" s="23"/>
      <c r="C86" s="23"/>
      <c r="D86" s="22" t="str">
        <f t="shared" ca="1" si="2"/>
        <v/>
      </c>
      <c r="E86" s="22" t="s">
        <v>212</v>
      </c>
      <c r="F86" s="22"/>
      <c r="G86" s="23"/>
      <c r="H86" s="23"/>
      <c r="I86" s="24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3"/>
    </row>
    <row r="87" spans="1:21" ht="100" customHeight="1">
      <c r="A87" s="22"/>
      <c r="B87" s="23"/>
      <c r="C87" s="23"/>
      <c r="D87" s="22" t="str">
        <f t="shared" ca="1" si="2"/>
        <v/>
      </c>
      <c r="E87" s="22" t="s">
        <v>212</v>
      </c>
      <c r="F87" s="22"/>
      <c r="G87" s="23"/>
      <c r="H87" s="23"/>
      <c r="I87" s="24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3"/>
    </row>
    <row r="88" spans="1:21" ht="100" customHeight="1">
      <c r="A88" s="22"/>
      <c r="B88" s="23"/>
      <c r="C88" s="23"/>
      <c r="D88" s="22" t="str">
        <f t="shared" ca="1" si="2"/>
        <v/>
      </c>
      <c r="E88" s="22" t="s">
        <v>212</v>
      </c>
      <c r="F88" s="22"/>
      <c r="G88" s="23"/>
      <c r="H88" s="23"/>
      <c r="I88" s="24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3"/>
    </row>
    <row r="89" spans="1:21" ht="100" customHeight="1">
      <c r="A89" s="22"/>
      <c r="B89" s="23"/>
      <c r="C89" s="23"/>
      <c r="D89" s="22" t="str">
        <f t="shared" ca="1" si="2"/>
        <v/>
      </c>
      <c r="E89" s="22" t="s">
        <v>212</v>
      </c>
      <c r="F89" s="22"/>
      <c r="G89" s="23"/>
      <c r="H89" s="23"/>
      <c r="I89" s="24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3"/>
    </row>
    <row r="90" spans="1:21" ht="100" customHeight="1">
      <c r="A90" s="22"/>
      <c r="B90" s="23"/>
      <c r="C90" s="23"/>
      <c r="D90" s="22" t="str">
        <f t="shared" ca="1" si="2"/>
        <v/>
      </c>
      <c r="E90" s="22" t="s">
        <v>212</v>
      </c>
      <c r="F90" s="22"/>
      <c r="G90" s="23"/>
      <c r="H90" s="23"/>
      <c r="I90" s="24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3"/>
    </row>
    <row r="91" spans="1:21" ht="100" customHeight="1">
      <c r="A91" s="22"/>
      <c r="B91" s="23"/>
      <c r="C91" s="23"/>
      <c r="D91" s="22" t="str">
        <f t="shared" ca="1" si="2"/>
        <v/>
      </c>
      <c r="E91" s="22" t="s">
        <v>212</v>
      </c>
      <c r="F91" s="22"/>
      <c r="G91" s="23"/>
      <c r="H91" s="23"/>
      <c r="I91" s="24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3"/>
    </row>
    <row r="92" spans="1:21" ht="100" customHeight="1">
      <c r="A92" s="22"/>
      <c r="B92" s="23"/>
      <c r="C92" s="23"/>
      <c r="D92" s="22" t="str">
        <f t="shared" ca="1" si="2"/>
        <v/>
      </c>
      <c r="E92" s="22" t="s">
        <v>212</v>
      </c>
      <c r="F92" s="22"/>
      <c r="G92" s="23"/>
      <c r="H92" s="23"/>
      <c r="I92" s="24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3"/>
    </row>
    <row r="93" spans="1:21" ht="100" customHeight="1">
      <c r="A93" s="22"/>
      <c r="B93" s="23"/>
      <c r="C93" s="23"/>
      <c r="D93" s="22" t="str">
        <f t="shared" ca="1" si="2"/>
        <v/>
      </c>
      <c r="E93" s="22" t="s">
        <v>212</v>
      </c>
      <c r="F93" s="22"/>
      <c r="G93" s="23"/>
      <c r="H93" s="23"/>
      <c r="I93" s="24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3"/>
    </row>
    <row r="94" spans="1:21" ht="100" customHeight="1">
      <c r="A94" s="22"/>
      <c r="B94" s="23"/>
      <c r="C94" s="23"/>
      <c r="D94" s="22" t="str">
        <f t="shared" ca="1" si="2"/>
        <v/>
      </c>
      <c r="E94" s="22" t="s">
        <v>212</v>
      </c>
      <c r="F94" s="22"/>
      <c r="G94" s="23"/>
      <c r="H94" s="23"/>
      <c r="I94" s="24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3"/>
    </row>
    <row r="95" spans="1:21" ht="100" customHeight="1">
      <c r="A95" s="22"/>
      <c r="B95" s="23"/>
      <c r="C95" s="23"/>
      <c r="D95" s="22" t="str">
        <f t="shared" ca="1" si="2"/>
        <v/>
      </c>
      <c r="E95" s="22" t="s">
        <v>212</v>
      </c>
      <c r="F95" s="22"/>
      <c r="G95" s="23"/>
      <c r="H95" s="23"/>
      <c r="I95" s="24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3"/>
    </row>
    <row r="96" spans="1:21" ht="100" customHeight="1">
      <c r="A96" s="22"/>
      <c r="B96" s="23"/>
      <c r="C96" s="23"/>
      <c r="D96" s="22" t="str">
        <f t="shared" ca="1" si="2"/>
        <v/>
      </c>
      <c r="E96" s="22" t="s">
        <v>212</v>
      </c>
      <c r="F96" s="22"/>
      <c r="G96" s="23"/>
      <c r="H96" s="23"/>
      <c r="I96" s="24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3"/>
    </row>
    <row r="97" spans="1:21" ht="100" customHeight="1">
      <c r="A97" s="22"/>
      <c r="B97" s="23"/>
      <c r="C97" s="23"/>
      <c r="D97" s="22" t="str">
        <f t="shared" ca="1" si="2"/>
        <v/>
      </c>
      <c r="E97" s="22" t="s">
        <v>212</v>
      </c>
      <c r="F97" s="22"/>
      <c r="G97" s="23"/>
      <c r="H97" s="23"/>
      <c r="I97" s="24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3"/>
    </row>
    <row r="98" spans="1:21" ht="100" customHeight="1">
      <c r="A98" s="22"/>
      <c r="B98" s="23"/>
      <c r="C98" s="23"/>
      <c r="D98" s="22" t="str">
        <f t="shared" ca="1" si="2"/>
        <v/>
      </c>
      <c r="E98" s="22" t="s">
        <v>212</v>
      </c>
      <c r="F98" s="22"/>
      <c r="G98" s="23"/>
      <c r="H98" s="23"/>
      <c r="I98" s="24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3"/>
    </row>
    <row r="99" spans="1:21" ht="100" customHeight="1">
      <c r="A99" s="22"/>
      <c r="B99" s="23"/>
      <c r="C99" s="23"/>
      <c r="D99" s="22" t="str">
        <f t="shared" ca="1" si="2"/>
        <v/>
      </c>
      <c r="E99" s="22" t="s">
        <v>212</v>
      </c>
      <c r="F99" s="22"/>
      <c r="G99" s="23"/>
      <c r="H99" s="23"/>
      <c r="I99" s="24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3"/>
    </row>
    <row r="100" spans="1:21" ht="100" customHeight="1">
      <c r="A100" s="22"/>
      <c r="B100" s="23"/>
      <c r="C100" s="23"/>
      <c r="D100" s="22" t="str">
        <f t="shared" ref="D100:D103" ca="1" si="3">IF(C100="","",DATEDIF(C100,TODAY(),"Y"))</f>
        <v/>
      </c>
      <c r="E100" s="22" t="s">
        <v>212</v>
      </c>
      <c r="F100" s="22"/>
      <c r="G100" s="23"/>
      <c r="H100" s="23"/>
      <c r="I100" s="24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3"/>
    </row>
    <row r="101" spans="1:21" ht="100" customHeight="1">
      <c r="A101" s="22"/>
      <c r="B101" s="23"/>
      <c r="C101" s="23"/>
      <c r="D101" s="22" t="str">
        <f t="shared" ca="1" si="3"/>
        <v/>
      </c>
      <c r="E101" s="22" t="s">
        <v>212</v>
      </c>
      <c r="F101" s="22"/>
      <c r="G101" s="23"/>
      <c r="H101" s="23"/>
      <c r="I101" s="24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3"/>
    </row>
    <row r="102" spans="1:21" ht="100" customHeight="1">
      <c r="A102" s="22"/>
      <c r="B102" s="23"/>
      <c r="C102" s="23"/>
      <c r="D102" s="22" t="str">
        <f t="shared" ca="1" si="3"/>
        <v/>
      </c>
      <c r="E102" s="22" t="s">
        <v>212</v>
      </c>
      <c r="F102" s="22"/>
      <c r="G102" s="23"/>
      <c r="H102" s="23"/>
      <c r="I102" s="24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3"/>
    </row>
    <row r="103" spans="1:21" ht="100" customHeight="1">
      <c r="A103" s="22"/>
      <c r="B103" s="23"/>
      <c r="C103" s="23"/>
      <c r="D103" s="22" t="str">
        <f t="shared" ca="1" si="3"/>
        <v/>
      </c>
      <c r="E103" s="22" t="s">
        <v>212</v>
      </c>
      <c r="F103" s="22"/>
      <c r="G103" s="23"/>
      <c r="H103" s="23"/>
      <c r="I103" s="24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3"/>
    </row>
  </sheetData>
  <mergeCells count="2">
    <mergeCell ref="A1:U1"/>
    <mergeCell ref="A2:I2"/>
  </mergeCells>
  <conditionalFormatting sqref="A4:U103">
    <cfRule type="expression" dxfId="46" priority="1">
      <formula>$I4="Yeşil"</formula>
    </cfRule>
    <cfRule type="expression" dxfId="45" priority="2">
      <formula>$I4="Sarı"</formula>
    </cfRule>
    <cfRule type="expression" dxfId="44" priority="3">
      <formula>$I4="Kırmızı"</formula>
    </cfRule>
  </conditionalFormatting>
  <conditionalFormatting sqref="H4:H103">
    <cfRule type="expression" dxfId="43" priority="4">
      <formula>AND($H4&lt;&gt;"",$H4&gt;=TODAY(),$H4&lt;=EDATE(TODAY(),6))</formula>
    </cfRule>
    <cfRule type="expression" dxfId="42" priority="5">
      <formula>AND($H4&lt;&gt;"",$H4&gt;EDATE(TODAY(),6),$H4&lt;=EDATE(TODAY(),12))</formula>
    </cfRule>
  </conditionalFormatting>
  <dataValidations count="3">
    <dataValidation type="list" allowBlank="1" showErrorMessage="1" sqref="I4:I103" xr:uid="{00000000-0002-0000-0A00-000000000000}">
      <formula1>"Kırmızı,Sarı,Yeşil"</formula1>
    </dataValidation>
    <dataValidation sqref="L4:R103" xr:uid="{00000000-0002-0000-0A00-000001000000}">
      <formula1>1</formula1>
      <formula2>10</formula2>
    </dataValidation>
    <dataValidation type="list" sqref="T4:T103" xr:uid="{00000000-0002-0000-0A00-000002000000}">
      <formula1>"A Liste,B Liste,Takip,Tekrar İzle,Ele"</formula1>
    </dataValidation>
  </dataValidations>
  <hyperlinks>
    <hyperlink ref="K10" r:id="rId1" xr:uid="{00000000-0004-0000-0A00-000000000000}"/>
    <hyperlink ref="K11" r:id="rId2" xr:uid="{00000000-0004-0000-0A00-000001000000}"/>
    <hyperlink ref="K12" r:id="rId3" xr:uid="{00000000-0004-0000-0A00-000002000000}"/>
  </hyperlinks>
  <pageMargins left="0.7" right="0.7" top="0.75" bottom="0.75" header="0.3" footer="0.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03"/>
  <sheetViews>
    <sheetView showGridLines="0" topLeftCell="A9" workbookViewId="0">
      <selection activeCell="A13" sqref="A13"/>
    </sheetView>
  </sheetViews>
  <sheetFormatPr baseColWidth="10" defaultColWidth="8.83203125" defaultRowHeight="14"/>
  <cols>
    <col min="1" max="1" width="24" customWidth="1"/>
    <col min="2" max="3" width="14" customWidth="1"/>
    <col min="4" max="4" width="8" customWidth="1"/>
    <col min="5" max="5" width="16" customWidth="1"/>
    <col min="6" max="6" width="18" customWidth="1"/>
    <col min="7" max="7" width="20" customWidth="1"/>
    <col min="8" max="8" width="18" customWidth="1"/>
    <col min="9" max="9" width="11" customWidth="1"/>
    <col min="10" max="10" width="100.83203125" customWidth="1"/>
    <col min="11" max="11" width="59.83203125" bestFit="1" customWidth="1"/>
    <col min="12" max="15" width="9" customWidth="1"/>
    <col min="16" max="17" width="10" customWidth="1"/>
    <col min="18" max="18" width="12.83203125" customWidth="1"/>
    <col min="19" max="19" width="11" customWidth="1"/>
    <col min="20" max="21" width="14" customWidth="1"/>
  </cols>
  <sheetData>
    <row r="1" spans="1:21" ht="30" customHeight="1">
      <c r="A1" s="67" t="s">
        <v>237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1" ht="15" customHeigh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</row>
    <row r="3" spans="1:21" ht="30" customHeight="1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U3" s="21" t="s">
        <v>21</v>
      </c>
    </row>
    <row r="4" spans="1:21" ht="100" customHeight="1">
      <c r="A4" s="22" t="s">
        <v>238</v>
      </c>
      <c r="B4" s="23" t="s">
        <v>239</v>
      </c>
      <c r="C4" s="23">
        <v>35307</v>
      </c>
      <c r="D4" s="22">
        <f t="shared" ref="D4:D35" ca="1" si="0">IF(C4="","",DATEDIF(C4,TODAY(),"Y"))</f>
        <v>30</v>
      </c>
      <c r="E4" s="22" t="s">
        <v>240</v>
      </c>
      <c r="F4" s="22"/>
      <c r="G4" s="23" t="s">
        <v>50</v>
      </c>
      <c r="H4" s="23" t="s">
        <v>51</v>
      </c>
      <c r="I4" s="24" t="s">
        <v>26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 t="s">
        <v>44</v>
      </c>
      <c r="U4" s="23"/>
    </row>
    <row r="5" spans="1:21" ht="100" customHeight="1">
      <c r="A5" s="22" t="s">
        <v>241</v>
      </c>
      <c r="B5" s="23" t="s">
        <v>49</v>
      </c>
      <c r="C5" s="23">
        <v>38517</v>
      </c>
      <c r="D5" s="22">
        <f t="shared" ca="1" si="0"/>
        <v>21</v>
      </c>
      <c r="E5" s="22" t="s">
        <v>240</v>
      </c>
      <c r="F5" s="22"/>
      <c r="G5" s="23" t="s">
        <v>242</v>
      </c>
      <c r="H5" s="23">
        <v>47664</v>
      </c>
      <c r="I5" s="24" t="s">
        <v>26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 t="s">
        <v>27</v>
      </c>
      <c r="U5" s="23"/>
    </row>
    <row r="6" spans="1:21" ht="100" customHeight="1">
      <c r="A6" s="22" t="s">
        <v>243</v>
      </c>
      <c r="B6" s="23" t="s">
        <v>23</v>
      </c>
      <c r="C6" s="23">
        <v>39013</v>
      </c>
      <c r="D6" s="22">
        <f t="shared" ca="1" si="0"/>
        <v>19</v>
      </c>
      <c r="E6" s="22" t="s">
        <v>240</v>
      </c>
      <c r="F6" s="22"/>
      <c r="G6" s="23" t="s">
        <v>244</v>
      </c>
      <c r="H6" s="23">
        <v>47483</v>
      </c>
      <c r="I6" s="24" t="s">
        <v>31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 t="s">
        <v>44</v>
      </c>
      <c r="U6" s="23"/>
    </row>
    <row r="7" spans="1:21" ht="100" customHeight="1">
      <c r="A7" s="22" t="s">
        <v>245</v>
      </c>
      <c r="B7" s="23" t="s">
        <v>246</v>
      </c>
      <c r="C7" s="23">
        <v>36798</v>
      </c>
      <c r="D7" s="22">
        <f t="shared" ca="1" si="0"/>
        <v>26</v>
      </c>
      <c r="E7" s="22" t="s">
        <v>240</v>
      </c>
      <c r="F7" s="22"/>
      <c r="G7" s="23" t="s">
        <v>247</v>
      </c>
      <c r="H7" s="23">
        <v>46568</v>
      </c>
      <c r="I7" s="24" t="s">
        <v>26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 t="s">
        <v>27</v>
      </c>
      <c r="U7" s="23"/>
    </row>
    <row r="8" spans="1:21" ht="100" customHeight="1">
      <c r="A8" s="22" t="s">
        <v>248</v>
      </c>
      <c r="B8" s="23" t="s">
        <v>23</v>
      </c>
      <c r="C8" s="23">
        <v>34844</v>
      </c>
      <c r="D8" s="22">
        <f t="shared" ca="1" si="0"/>
        <v>31</v>
      </c>
      <c r="E8" s="22" t="s">
        <v>240</v>
      </c>
      <c r="F8" s="22"/>
      <c r="G8" s="23" t="s">
        <v>249</v>
      </c>
      <c r="H8" s="23">
        <v>46934</v>
      </c>
      <c r="I8" s="24" t="s">
        <v>36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 t="s">
        <v>38</v>
      </c>
      <c r="U8" s="23"/>
    </row>
    <row r="9" spans="1:21" ht="100" customHeight="1">
      <c r="A9" s="22" t="s">
        <v>250</v>
      </c>
      <c r="B9" s="23" t="s">
        <v>34</v>
      </c>
      <c r="C9" s="23">
        <v>35123</v>
      </c>
      <c r="D9" s="22">
        <f t="shared" ca="1" si="0"/>
        <v>30</v>
      </c>
      <c r="E9" s="22" t="s">
        <v>240</v>
      </c>
      <c r="F9" s="22"/>
      <c r="G9" s="23" t="s">
        <v>201</v>
      </c>
      <c r="H9" s="23">
        <v>47118</v>
      </c>
      <c r="I9" s="24" t="s">
        <v>36</v>
      </c>
      <c r="J9" s="22"/>
      <c r="K9" s="22" t="s">
        <v>251</v>
      </c>
      <c r="L9" s="22"/>
      <c r="M9" s="22"/>
      <c r="N9" s="22"/>
      <c r="O9" s="22"/>
      <c r="P9" s="22"/>
      <c r="Q9" s="22"/>
      <c r="R9" s="22"/>
      <c r="S9" s="22"/>
      <c r="T9" s="22" t="s">
        <v>38</v>
      </c>
      <c r="U9" s="23"/>
    </row>
    <row r="10" spans="1:21" ht="100" customHeight="1">
      <c r="A10" s="22" t="s">
        <v>252</v>
      </c>
      <c r="B10" s="23" t="s">
        <v>53</v>
      </c>
      <c r="C10" s="23">
        <v>35941</v>
      </c>
      <c r="D10" s="22">
        <f t="shared" ca="1" si="0"/>
        <v>28</v>
      </c>
      <c r="E10" s="22" t="s">
        <v>240</v>
      </c>
      <c r="F10" s="22"/>
      <c r="G10" s="23" t="s">
        <v>253</v>
      </c>
      <c r="H10" s="23">
        <v>47664</v>
      </c>
      <c r="I10" s="24" t="s">
        <v>31</v>
      </c>
      <c r="J10" s="22"/>
      <c r="K10" s="22" t="s">
        <v>254</v>
      </c>
      <c r="L10" s="22"/>
      <c r="M10" s="22"/>
      <c r="N10" s="22"/>
      <c r="O10" s="22"/>
      <c r="P10" s="22"/>
      <c r="Q10" s="22"/>
      <c r="R10" s="22"/>
      <c r="S10" s="22"/>
      <c r="T10" s="22" t="s">
        <v>32</v>
      </c>
      <c r="U10" s="23"/>
    </row>
    <row r="11" spans="1:21" ht="100" customHeight="1">
      <c r="A11" s="22" t="s">
        <v>255</v>
      </c>
      <c r="B11" s="23" t="s">
        <v>34</v>
      </c>
      <c r="C11" s="23">
        <v>38036</v>
      </c>
      <c r="D11" s="22">
        <f t="shared" ca="1" si="0"/>
        <v>22</v>
      </c>
      <c r="E11" s="22" t="s">
        <v>240</v>
      </c>
      <c r="F11" s="22"/>
      <c r="G11" s="23" t="s">
        <v>256</v>
      </c>
      <c r="H11" s="23">
        <v>46568</v>
      </c>
      <c r="I11" s="24" t="s">
        <v>26</v>
      </c>
      <c r="J11" s="22"/>
      <c r="K11" s="22" t="s">
        <v>257</v>
      </c>
      <c r="L11" s="22"/>
      <c r="M11" s="22"/>
      <c r="N11" s="22"/>
      <c r="O11" s="22"/>
      <c r="P11" s="22"/>
      <c r="Q11" s="22"/>
      <c r="R11" s="22"/>
      <c r="S11" s="22"/>
      <c r="T11" s="22" t="s">
        <v>44</v>
      </c>
      <c r="U11" s="23"/>
    </row>
    <row r="12" spans="1:21" ht="100" customHeight="1">
      <c r="A12" s="22" t="s">
        <v>258</v>
      </c>
      <c r="B12" s="23" t="s">
        <v>259</v>
      </c>
      <c r="C12" s="23">
        <v>35065</v>
      </c>
      <c r="D12" s="22">
        <f t="shared" ca="1" si="0"/>
        <v>30</v>
      </c>
      <c r="E12" s="22" t="s">
        <v>240</v>
      </c>
      <c r="F12" s="22"/>
      <c r="G12" s="23" t="s">
        <v>50</v>
      </c>
      <c r="H12" s="23"/>
      <c r="I12" s="24" t="s">
        <v>36</v>
      </c>
      <c r="J12" s="22"/>
      <c r="K12" s="40" t="s">
        <v>260</v>
      </c>
      <c r="L12" s="22"/>
      <c r="M12" s="22"/>
      <c r="N12" s="22"/>
      <c r="O12" s="22"/>
      <c r="P12" s="22"/>
      <c r="Q12" s="22"/>
      <c r="R12" s="22"/>
      <c r="S12" s="22"/>
      <c r="T12" s="22" t="s">
        <v>38</v>
      </c>
      <c r="U12" s="23"/>
    </row>
    <row r="13" spans="1:21" ht="100" customHeight="1">
      <c r="A13" s="22" t="s">
        <v>261</v>
      </c>
      <c r="B13" s="23" t="s">
        <v>34</v>
      </c>
      <c r="C13" s="23">
        <v>35123</v>
      </c>
      <c r="D13" s="22">
        <f t="shared" ca="1" si="0"/>
        <v>30</v>
      </c>
      <c r="E13" s="22" t="s">
        <v>240</v>
      </c>
      <c r="F13" s="22" t="s">
        <v>262</v>
      </c>
      <c r="G13" s="23" t="s">
        <v>263</v>
      </c>
      <c r="H13" s="23">
        <v>47118</v>
      </c>
      <c r="I13" s="24"/>
      <c r="J13" s="22"/>
      <c r="K13" s="65" t="s">
        <v>264</v>
      </c>
      <c r="L13" s="22"/>
      <c r="M13" s="22"/>
      <c r="N13" s="22"/>
      <c r="O13" s="22"/>
      <c r="P13" s="22"/>
      <c r="Q13" s="22"/>
      <c r="R13" s="22"/>
      <c r="S13" s="22"/>
      <c r="T13" s="22"/>
      <c r="U13" s="23"/>
    </row>
    <row r="14" spans="1:21" ht="100" customHeight="1">
      <c r="A14" s="22" t="s">
        <v>265</v>
      </c>
      <c r="B14" s="23" t="s">
        <v>266</v>
      </c>
      <c r="C14" s="23">
        <v>34918</v>
      </c>
      <c r="D14" s="22">
        <f t="shared" ca="1" si="0"/>
        <v>31</v>
      </c>
      <c r="E14" s="22" t="s">
        <v>240</v>
      </c>
      <c r="F14" s="22" t="s">
        <v>267</v>
      </c>
      <c r="G14" s="23" t="s">
        <v>268</v>
      </c>
      <c r="H14" s="23" t="s">
        <v>51</v>
      </c>
      <c r="I14" s="24"/>
      <c r="J14" s="22"/>
      <c r="K14" s="65" t="s">
        <v>269</v>
      </c>
      <c r="L14" s="22"/>
      <c r="M14" s="22"/>
      <c r="N14" s="22"/>
      <c r="O14" s="22"/>
      <c r="P14" s="22"/>
      <c r="Q14" s="22"/>
      <c r="R14" s="22"/>
      <c r="S14" s="22"/>
      <c r="T14" s="22"/>
      <c r="U14" s="23"/>
    </row>
    <row r="15" spans="1:21" ht="100" customHeight="1">
      <c r="A15" s="22" t="s">
        <v>270</v>
      </c>
      <c r="B15" s="23" t="s">
        <v>271</v>
      </c>
      <c r="C15" s="23">
        <v>37911</v>
      </c>
      <c r="D15" s="22">
        <f t="shared" ca="1" si="0"/>
        <v>22</v>
      </c>
      <c r="E15" s="22" t="s">
        <v>240</v>
      </c>
      <c r="F15" s="22" t="s">
        <v>272</v>
      </c>
      <c r="G15" s="23" t="s">
        <v>273</v>
      </c>
      <c r="H15" s="23">
        <v>46752</v>
      </c>
      <c r="I15" s="24"/>
      <c r="J15" s="22"/>
      <c r="K15" s="65" t="s">
        <v>274</v>
      </c>
      <c r="L15" s="22"/>
      <c r="M15" s="22"/>
      <c r="N15" s="22"/>
      <c r="O15" s="22"/>
      <c r="P15" s="22"/>
      <c r="Q15" s="22"/>
      <c r="R15" s="22"/>
      <c r="S15" s="22"/>
      <c r="T15" s="22"/>
      <c r="U15" s="23"/>
    </row>
    <row r="16" spans="1:21" ht="100" customHeight="1">
      <c r="A16" s="22" t="s">
        <v>275</v>
      </c>
      <c r="B16" s="23" t="s">
        <v>276</v>
      </c>
      <c r="C16" s="23">
        <v>36217</v>
      </c>
      <c r="D16" s="22">
        <f t="shared" ca="1" si="0"/>
        <v>27</v>
      </c>
      <c r="E16" s="22" t="s">
        <v>240</v>
      </c>
      <c r="F16" s="22" t="s">
        <v>272</v>
      </c>
      <c r="G16" s="23" t="s">
        <v>277</v>
      </c>
      <c r="H16" s="23">
        <v>46934</v>
      </c>
      <c r="I16" s="24"/>
      <c r="J16" s="22"/>
      <c r="K16" s="65" t="s">
        <v>278</v>
      </c>
      <c r="L16" s="22"/>
      <c r="M16" s="22"/>
      <c r="N16" s="22"/>
      <c r="O16" s="22"/>
      <c r="P16" s="22"/>
      <c r="Q16" s="22"/>
      <c r="R16" s="22"/>
      <c r="S16" s="22"/>
      <c r="T16" s="22"/>
      <c r="U16" s="23"/>
    </row>
    <row r="17" spans="1:21" ht="100" customHeight="1">
      <c r="A17" s="22" t="s">
        <v>279</v>
      </c>
      <c r="B17" s="23" t="s">
        <v>280</v>
      </c>
      <c r="C17" s="23">
        <v>38245</v>
      </c>
      <c r="D17" s="22">
        <f t="shared" ca="1" si="0"/>
        <v>22</v>
      </c>
      <c r="E17" s="22" t="s">
        <v>240</v>
      </c>
      <c r="F17" s="22" t="s">
        <v>281</v>
      </c>
      <c r="G17" s="23" t="s">
        <v>282</v>
      </c>
      <c r="H17" s="23">
        <v>46934</v>
      </c>
      <c r="I17" s="24"/>
      <c r="J17" s="22"/>
      <c r="K17" s="65" t="s">
        <v>283</v>
      </c>
      <c r="L17" s="22"/>
      <c r="M17" s="22"/>
      <c r="N17" s="22"/>
      <c r="O17" s="22"/>
      <c r="P17" s="22"/>
      <c r="Q17" s="22"/>
      <c r="R17" s="22"/>
      <c r="S17" s="22"/>
      <c r="T17" s="22"/>
      <c r="U17" s="23"/>
    </row>
    <row r="18" spans="1:21" ht="100" customHeight="1">
      <c r="A18" s="22"/>
      <c r="B18" s="23"/>
      <c r="C18" s="23"/>
      <c r="D18" s="22" t="str">
        <f t="shared" ca="1" si="0"/>
        <v/>
      </c>
      <c r="E18" s="22" t="s">
        <v>240</v>
      </c>
      <c r="F18" s="22"/>
      <c r="G18" s="23"/>
      <c r="H18" s="23"/>
      <c r="I18" s="24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3"/>
    </row>
    <row r="19" spans="1:21" ht="100" customHeight="1">
      <c r="A19" s="22"/>
      <c r="B19" s="23"/>
      <c r="C19" s="23"/>
      <c r="D19" s="22" t="str">
        <f t="shared" ca="1" si="0"/>
        <v/>
      </c>
      <c r="E19" s="22" t="s">
        <v>240</v>
      </c>
      <c r="F19" s="22"/>
      <c r="G19" s="23"/>
      <c r="H19" s="23"/>
      <c r="I19" s="24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3"/>
    </row>
    <row r="20" spans="1:21" ht="100" customHeight="1">
      <c r="A20" s="22"/>
      <c r="B20" s="23"/>
      <c r="C20" s="23"/>
      <c r="D20" s="22" t="str">
        <f t="shared" ca="1" si="0"/>
        <v/>
      </c>
      <c r="E20" s="22" t="s">
        <v>240</v>
      </c>
      <c r="F20" s="22"/>
      <c r="G20" s="23"/>
      <c r="H20" s="23"/>
      <c r="I20" s="24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3"/>
    </row>
    <row r="21" spans="1:21" ht="100" customHeight="1">
      <c r="A21" s="22"/>
      <c r="B21" s="23"/>
      <c r="C21" s="23"/>
      <c r="D21" s="22" t="str">
        <f t="shared" ca="1" si="0"/>
        <v/>
      </c>
      <c r="E21" s="22" t="s">
        <v>240</v>
      </c>
      <c r="F21" s="22"/>
      <c r="G21" s="23"/>
      <c r="H21" s="23"/>
      <c r="I21" s="24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3"/>
    </row>
    <row r="22" spans="1:21" ht="100" customHeight="1">
      <c r="A22" s="22"/>
      <c r="B22" s="23"/>
      <c r="C22" s="23"/>
      <c r="D22" s="22" t="str">
        <f t="shared" ca="1" si="0"/>
        <v/>
      </c>
      <c r="E22" s="22" t="s">
        <v>240</v>
      </c>
      <c r="F22" s="22"/>
      <c r="G22" s="23"/>
      <c r="H22" s="23"/>
      <c r="I22" s="24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3"/>
    </row>
    <row r="23" spans="1:21" ht="100" customHeight="1">
      <c r="A23" s="22"/>
      <c r="B23" s="23"/>
      <c r="C23" s="23"/>
      <c r="D23" s="22" t="str">
        <f t="shared" ca="1" si="0"/>
        <v/>
      </c>
      <c r="E23" s="22" t="s">
        <v>240</v>
      </c>
      <c r="F23" s="22"/>
      <c r="G23" s="23"/>
      <c r="H23" s="23"/>
      <c r="I23" s="24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3"/>
    </row>
    <row r="24" spans="1:21" ht="100" customHeight="1">
      <c r="A24" s="22"/>
      <c r="B24" s="23"/>
      <c r="C24" s="23"/>
      <c r="D24" s="22" t="str">
        <f t="shared" ca="1" si="0"/>
        <v/>
      </c>
      <c r="E24" s="22" t="s">
        <v>240</v>
      </c>
      <c r="F24" s="22"/>
      <c r="G24" s="23"/>
      <c r="H24" s="23"/>
      <c r="I24" s="24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3"/>
    </row>
    <row r="25" spans="1:21" ht="100" customHeight="1">
      <c r="A25" s="22"/>
      <c r="B25" s="23"/>
      <c r="C25" s="23"/>
      <c r="D25" s="22" t="str">
        <f t="shared" ca="1" si="0"/>
        <v/>
      </c>
      <c r="E25" s="22" t="s">
        <v>240</v>
      </c>
      <c r="F25" s="22"/>
      <c r="G25" s="23"/>
      <c r="H25" s="23"/>
      <c r="I25" s="24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3"/>
    </row>
    <row r="26" spans="1:21" ht="100" customHeight="1">
      <c r="A26" s="22"/>
      <c r="B26" s="23"/>
      <c r="C26" s="23"/>
      <c r="D26" s="22" t="str">
        <f t="shared" ca="1" si="0"/>
        <v/>
      </c>
      <c r="E26" s="22" t="s">
        <v>240</v>
      </c>
      <c r="F26" s="22"/>
      <c r="G26" s="23"/>
      <c r="H26" s="23"/>
      <c r="I26" s="24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3"/>
    </row>
    <row r="27" spans="1:21" ht="100" customHeight="1">
      <c r="A27" s="22"/>
      <c r="B27" s="23"/>
      <c r="C27" s="23"/>
      <c r="D27" s="22" t="str">
        <f t="shared" ca="1" si="0"/>
        <v/>
      </c>
      <c r="E27" s="22" t="s">
        <v>240</v>
      </c>
      <c r="F27" s="22"/>
      <c r="G27" s="23"/>
      <c r="H27" s="23"/>
      <c r="I27" s="24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3"/>
    </row>
    <row r="28" spans="1:21" ht="100" customHeight="1">
      <c r="A28" s="22"/>
      <c r="B28" s="23"/>
      <c r="C28" s="23"/>
      <c r="D28" s="22" t="str">
        <f t="shared" ca="1" si="0"/>
        <v/>
      </c>
      <c r="E28" s="22" t="s">
        <v>240</v>
      </c>
      <c r="F28" s="22"/>
      <c r="G28" s="23"/>
      <c r="H28" s="23"/>
      <c r="I28" s="24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3"/>
    </row>
    <row r="29" spans="1:21" ht="100" customHeight="1">
      <c r="A29" s="22"/>
      <c r="B29" s="23"/>
      <c r="C29" s="23"/>
      <c r="D29" s="22" t="str">
        <f t="shared" ca="1" si="0"/>
        <v/>
      </c>
      <c r="E29" s="22" t="s">
        <v>240</v>
      </c>
      <c r="F29" s="22"/>
      <c r="G29" s="23"/>
      <c r="H29" s="23"/>
      <c r="I29" s="24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3"/>
    </row>
    <row r="30" spans="1:21" ht="100" customHeight="1">
      <c r="A30" s="22"/>
      <c r="B30" s="23"/>
      <c r="C30" s="23"/>
      <c r="D30" s="22" t="str">
        <f t="shared" ca="1" si="0"/>
        <v/>
      </c>
      <c r="E30" s="22" t="s">
        <v>240</v>
      </c>
      <c r="F30" s="22"/>
      <c r="G30" s="23"/>
      <c r="H30" s="23"/>
      <c r="I30" s="24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3"/>
    </row>
    <row r="31" spans="1:21" ht="100" customHeight="1">
      <c r="A31" s="22"/>
      <c r="B31" s="23"/>
      <c r="C31" s="23"/>
      <c r="D31" s="22" t="str">
        <f t="shared" ca="1" si="0"/>
        <v/>
      </c>
      <c r="E31" s="22" t="s">
        <v>240</v>
      </c>
      <c r="F31" s="22"/>
      <c r="G31" s="23"/>
      <c r="H31" s="23"/>
      <c r="I31" s="24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3"/>
    </row>
    <row r="32" spans="1:21" ht="100" customHeight="1">
      <c r="A32" s="22"/>
      <c r="B32" s="23"/>
      <c r="C32" s="23"/>
      <c r="D32" s="22" t="str">
        <f t="shared" ca="1" si="0"/>
        <v/>
      </c>
      <c r="E32" s="22" t="s">
        <v>240</v>
      </c>
      <c r="F32" s="22"/>
      <c r="G32" s="23"/>
      <c r="H32" s="23"/>
      <c r="I32" s="24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3"/>
    </row>
    <row r="33" spans="1:21" ht="100" customHeight="1">
      <c r="A33" s="22"/>
      <c r="B33" s="23"/>
      <c r="C33" s="23"/>
      <c r="D33" s="22" t="str">
        <f t="shared" ca="1" si="0"/>
        <v/>
      </c>
      <c r="E33" s="22" t="s">
        <v>240</v>
      </c>
      <c r="F33" s="22"/>
      <c r="G33" s="23"/>
      <c r="H33" s="23"/>
      <c r="I33" s="24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3"/>
    </row>
    <row r="34" spans="1:21" ht="100" customHeight="1">
      <c r="A34" s="22"/>
      <c r="B34" s="23"/>
      <c r="C34" s="23"/>
      <c r="D34" s="22" t="str">
        <f t="shared" ca="1" si="0"/>
        <v/>
      </c>
      <c r="E34" s="22" t="s">
        <v>240</v>
      </c>
      <c r="F34" s="22"/>
      <c r="G34" s="23"/>
      <c r="H34" s="23"/>
      <c r="I34" s="24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3"/>
    </row>
    <row r="35" spans="1:21" ht="100" customHeight="1">
      <c r="A35" s="22"/>
      <c r="B35" s="23"/>
      <c r="C35" s="23"/>
      <c r="D35" s="22" t="str">
        <f t="shared" ca="1" si="0"/>
        <v/>
      </c>
      <c r="E35" s="22" t="s">
        <v>240</v>
      </c>
      <c r="F35" s="22"/>
      <c r="G35" s="23"/>
      <c r="H35" s="23"/>
      <c r="I35" s="24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3"/>
    </row>
    <row r="36" spans="1:21" ht="100" customHeight="1">
      <c r="A36" s="22"/>
      <c r="B36" s="23"/>
      <c r="C36" s="23"/>
      <c r="D36" s="22" t="str">
        <f t="shared" ref="D36:D67" ca="1" si="1">IF(C36="","",DATEDIF(C36,TODAY(),"Y"))</f>
        <v/>
      </c>
      <c r="E36" s="22" t="s">
        <v>240</v>
      </c>
      <c r="F36" s="22"/>
      <c r="G36" s="23"/>
      <c r="H36" s="23"/>
      <c r="I36" s="24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3"/>
    </row>
    <row r="37" spans="1:21" ht="100" customHeight="1">
      <c r="A37" s="22"/>
      <c r="B37" s="23"/>
      <c r="C37" s="23"/>
      <c r="D37" s="22" t="str">
        <f t="shared" ca="1" si="1"/>
        <v/>
      </c>
      <c r="E37" s="22" t="s">
        <v>240</v>
      </c>
      <c r="F37" s="22"/>
      <c r="G37" s="23"/>
      <c r="H37" s="23"/>
      <c r="I37" s="24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00" customHeight="1">
      <c r="A38" s="22"/>
      <c r="B38" s="23"/>
      <c r="C38" s="23"/>
      <c r="D38" s="22" t="str">
        <f t="shared" ca="1" si="1"/>
        <v/>
      </c>
      <c r="E38" s="22" t="s">
        <v>240</v>
      </c>
      <c r="F38" s="22"/>
      <c r="G38" s="23"/>
      <c r="H38" s="23"/>
      <c r="I38" s="24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3"/>
    </row>
    <row r="39" spans="1:21" ht="100" customHeight="1">
      <c r="A39" s="22"/>
      <c r="B39" s="23"/>
      <c r="C39" s="23"/>
      <c r="D39" s="22" t="str">
        <f t="shared" ca="1" si="1"/>
        <v/>
      </c>
      <c r="E39" s="22" t="s">
        <v>240</v>
      </c>
      <c r="F39" s="22"/>
      <c r="G39" s="23"/>
      <c r="H39" s="23"/>
      <c r="I39" s="24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3"/>
    </row>
    <row r="40" spans="1:21" ht="100" customHeight="1">
      <c r="A40" s="22"/>
      <c r="B40" s="23"/>
      <c r="C40" s="23"/>
      <c r="D40" s="22" t="str">
        <f t="shared" ca="1" si="1"/>
        <v/>
      </c>
      <c r="E40" s="22" t="s">
        <v>240</v>
      </c>
      <c r="F40" s="22"/>
      <c r="G40" s="23"/>
      <c r="H40" s="23"/>
      <c r="I40" s="24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3"/>
    </row>
    <row r="41" spans="1:21" ht="100" customHeight="1">
      <c r="A41" s="22"/>
      <c r="B41" s="23"/>
      <c r="C41" s="23"/>
      <c r="D41" s="22" t="str">
        <f t="shared" ca="1" si="1"/>
        <v/>
      </c>
      <c r="E41" s="22" t="s">
        <v>240</v>
      </c>
      <c r="F41" s="22"/>
      <c r="G41" s="23"/>
      <c r="H41" s="23"/>
      <c r="I41" s="24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3"/>
    </row>
    <row r="42" spans="1:21" ht="100" customHeight="1">
      <c r="A42" s="22"/>
      <c r="B42" s="23"/>
      <c r="C42" s="23"/>
      <c r="D42" s="22" t="str">
        <f t="shared" ca="1" si="1"/>
        <v/>
      </c>
      <c r="E42" s="22" t="s">
        <v>240</v>
      </c>
      <c r="F42" s="22"/>
      <c r="G42" s="23"/>
      <c r="H42" s="23"/>
      <c r="I42" s="24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3"/>
    </row>
    <row r="43" spans="1:21" ht="100" customHeight="1">
      <c r="A43" s="22"/>
      <c r="B43" s="23"/>
      <c r="C43" s="23"/>
      <c r="D43" s="22" t="str">
        <f t="shared" ca="1" si="1"/>
        <v/>
      </c>
      <c r="E43" s="22" t="s">
        <v>240</v>
      </c>
      <c r="F43" s="22"/>
      <c r="G43" s="23"/>
      <c r="H43" s="23"/>
      <c r="I43" s="24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3"/>
    </row>
    <row r="44" spans="1:21" ht="100" customHeight="1">
      <c r="A44" s="22"/>
      <c r="B44" s="23"/>
      <c r="C44" s="23"/>
      <c r="D44" s="22" t="str">
        <f t="shared" ca="1" si="1"/>
        <v/>
      </c>
      <c r="E44" s="22" t="s">
        <v>240</v>
      </c>
      <c r="F44" s="22"/>
      <c r="G44" s="23"/>
      <c r="H44" s="23"/>
      <c r="I44" s="24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3"/>
    </row>
    <row r="45" spans="1:21" ht="100" customHeight="1">
      <c r="A45" s="22"/>
      <c r="B45" s="23"/>
      <c r="C45" s="23"/>
      <c r="D45" s="22" t="str">
        <f t="shared" ca="1" si="1"/>
        <v/>
      </c>
      <c r="E45" s="22" t="s">
        <v>240</v>
      </c>
      <c r="F45" s="22"/>
      <c r="G45" s="23"/>
      <c r="H45" s="23"/>
      <c r="I45" s="24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3"/>
    </row>
    <row r="46" spans="1:21" ht="100" customHeight="1">
      <c r="A46" s="22"/>
      <c r="B46" s="23"/>
      <c r="C46" s="23"/>
      <c r="D46" s="22" t="str">
        <f t="shared" ca="1" si="1"/>
        <v/>
      </c>
      <c r="E46" s="22" t="s">
        <v>240</v>
      </c>
      <c r="F46" s="22"/>
      <c r="G46" s="23"/>
      <c r="H46" s="23"/>
      <c r="I46" s="24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3"/>
    </row>
    <row r="47" spans="1:21" ht="100" customHeight="1">
      <c r="A47" s="22"/>
      <c r="B47" s="23"/>
      <c r="C47" s="23"/>
      <c r="D47" s="22" t="str">
        <f t="shared" ca="1" si="1"/>
        <v/>
      </c>
      <c r="E47" s="22" t="s">
        <v>240</v>
      </c>
      <c r="F47" s="22"/>
      <c r="G47" s="23"/>
      <c r="H47" s="23"/>
      <c r="I47" s="24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3"/>
    </row>
    <row r="48" spans="1:21" ht="100" customHeight="1">
      <c r="A48" s="22"/>
      <c r="B48" s="23"/>
      <c r="C48" s="23"/>
      <c r="D48" s="22" t="str">
        <f t="shared" ca="1" si="1"/>
        <v/>
      </c>
      <c r="E48" s="22" t="s">
        <v>240</v>
      </c>
      <c r="F48" s="22"/>
      <c r="G48" s="23"/>
      <c r="H48" s="23"/>
      <c r="I48" s="24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3"/>
    </row>
    <row r="49" spans="1:21" ht="100" customHeight="1">
      <c r="A49" s="22"/>
      <c r="B49" s="23"/>
      <c r="C49" s="23"/>
      <c r="D49" s="22" t="str">
        <f t="shared" ca="1" si="1"/>
        <v/>
      </c>
      <c r="E49" s="22" t="s">
        <v>240</v>
      </c>
      <c r="F49" s="22"/>
      <c r="G49" s="23"/>
      <c r="H49" s="23"/>
      <c r="I49" s="24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3"/>
    </row>
    <row r="50" spans="1:21" ht="100" customHeight="1">
      <c r="A50" s="22"/>
      <c r="B50" s="23"/>
      <c r="C50" s="23"/>
      <c r="D50" s="22" t="str">
        <f t="shared" ca="1" si="1"/>
        <v/>
      </c>
      <c r="E50" s="22" t="s">
        <v>240</v>
      </c>
      <c r="F50" s="22"/>
      <c r="G50" s="23"/>
      <c r="H50" s="23"/>
      <c r="I50" s="24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3"/>
    </row>
    <row r="51" spans="1:21" ht="100" customHeight="1">
      <c r="A51" s="22"/>
      <c r="B51" s="23"/>
      <c r="C51" s="23"/>
      <c r="D51" s="22" t="str">
        <f t="shared" ca="1" si="1"/>
        <v/>
      </c>
      <c r="E51" s="22" t="s">
        <v>240</v>
      </c>
      <c r="F51" s="22"/>
      <c r="G51" s="23"/>
      <c r="H51" s="23"/>
      <c r="I51" s="24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3"/>
    </row>
    <row r="52" spans="1:21" ht="100" customHeight="1">
      <c r="A52" s="22"/>
      <c r="B52" s="23"/>
      <c r="C52" s="23"/>
      <c r="D52" s="22" t="str">
        <f t="shared" ca="1" si="1"/>
        <v/>
      </c>
      <c r="E52" s="22" t="s">
        <v>240</v>
      </c>
      <c r="F52" s="22"/>
      <c r="G52" s="23"/>
      <c r="H52" s="23"/>
      <c r="I52" s="24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3"/>
    </row>
    <row r="53" spans="1:21" ht="100" customHeight="1">
      <c r="A53" s="22"/>
      <c r="B53" s="23"/>
      <c r="C53" s="23"/>
      <c r="D53" s="22" t="str">
        <f t="shared" ca="1" si="1"/>
        <v/>
      </c>
      <c r="E53" s="22" t="s">
        <v>240</v>
      </c>
      <c r="F53" s="22"/>
      <c r="G53" s="23"/>
      <c r="H53" s="23"/>
      <c r="I53" s="24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3"/>
    </row>
    <row r="54" spans="1:21" ht="100" customHeight="1">
      <c r="A54" s="22"/>
      <c r="B54" s="23"/>
      <c r="C54" s="23"/>
      <c r="D54" s="22" t="str">
        <f t="shared" ca="1" si="1"/>
        <v/>
      </c>
      <c r="E54" s="22" t="s">
        <v>240</v>
      </c>
      <c r="F54" s="22"/>
      <c r="G54" s="23"/>
      <c r="H54" s="23"/>
      <c r="I54" s="24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3"/>
    </row>
    <row r="55" spans="1:21" ht="100" customHeight="1">
      <c r="A55" s="22"/>
      <c r="B55" s="23"/>
      <c r="C55" s="23"/>
      <c r="D55" s="22" t="str">
        <f t="shared" ca="1" si="1"/>
        <v/>
      </c>
      <c r="E55" s="22" t="s">
        <v>240</v>
      </c>
      <c r="F55" s="22"/>
      <c r="G55" s="23"/>
      <c r="H55" s="23"/>
      <c r="I55" s="24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3"/>
    </row>
    <row r="56" spans="1:21" ht="100" customHeight="1">
      <c r="A56" s="22"/>
      <c r="B56" s="23"/>
      <c r="C56" s="23"/>
      <c r="D56" s="22" t="str">
        <f t="shared" ca="1" si="1"/>
        <v/>
      </c>
      <c r="E56" s="22" t="s">
        <v>240</v>
      </c>
      <c r="F56" s="22"/>
      <c r="G56" s="23"/>
      <c r="H56" s="23"/>
      <c r="I56" s="24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3"/>
    </row>
    <row r="57" spans="1:21" ht="100" customHeight="1">
      <c r="A57" s="22"/>
      <c r="B57" s="23"/>
      <c r="C57" s="23"/>
      <c r="D57" s="22" t="str">
        <f t="shared" ca="1" si="1"/>
        <v/>
      </c>
      <c r="E57" s="22" t="s">
        <v>240</v>
      </c>
      <c r="F57" s="22"/>
      <c r="G57" s="23"/>
      <c r="H57" s="23"/>
      <c r="I57" s="24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3"/>
    </row>
    <row r="58" spans="1:21" ht="100" customHeight="1">
      <c r="A58" s="22"/>
      <c r="B58" s="23"/>
      <c r="C58" s="23"/>
      <c r="D58" s="22" t="str">
        <f t="shared" ca="1" si="1"/>
        <v/>
      </c>
      <c r="E58" s="22" t="s">
        <v>240</v>
      </c>
      <c r="F58" s="22"/>
      <c r="G58" s="23"/>
      <c r="H58" s="23"/>
      <c r="I58" s="24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3"/>
    </row>
    <row r="59" spans="1:21" ht="100" customHeight="1">
      <c r="A59" s="22"/>
      <c r="B59" s="23"/>
      <c r="C59" s="23"/>
      <c r="D59" s="22" t="str">
        <f t="shared" ca="1" si="1"/>
        <v/>
      </c>
      <c r="E59" s="22" t="s">
        <v>240</v>
      </c>
      <c r="F59" s="22"/>
      <c r="G59" s="23"/>
      <c r="H59" s="23"/>
      <c r="I59" s="24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3"/>
    </row>
    <row r="60" spans="1:21" ht="100" customHeight="1">
      <c r="A60" s="22"/>
      <c r="B60" s="23"/>
      <c r="C60" s="23"/>
      <c r="D60" s="22" t="str">
        <f t="shared" ca="1" si="1"/>
        <v/>
      </c>
      <c r="E60" s="22" t="s">
        <v>240</v>
      </c>
      <c r="F60" s="22"/>
      <c r="G60" s="23"/>
      <c r="H60" s="23"/>
      <c r="I60" s="24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3"/>
    </row>
    <row r="61" spans="1:21" ht="100" customHeight="1">
      <c r="A61" s="22"/>
      <c r="B61" s="23"/>
      <c r="C61" s="23"/>
      <c r="D61" s="22" t="str">
        <f t="shared" ca="1" si="1"/>
        <v/>
      </c>
      <c r="E61" s="22" t="s">
        <v>240</v>
      </c>
      <c r="F61" s="22"/>
      <c r="G61" s="23"/>
      <c r="H61" s="23"/>
      <c r="I61" s="24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3"/>
    </row>
    <row r="62" spans="1:21" ht="100" customHeight="1">
      <c r="A62" s="22"/>
      <c r="B62" s="23"/>
      <c r="C62" s="23"/>
      <c r="D62" s="22" t="str">
        <f t="shared" ca="1" si="1"/>
        <v/>
      </c>
      <c r="E62" s="22" t="s">
        <v>240</v>
      </c>
      <c r="F62" s="22"/>
      <c r="G62" s="23"/>
      <c r="H62" s="23"/>
      <c r="I62" s="24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3"/>
    </row>
    <row r="63" spans="1:21" ht="100" customHeight="1">
      <c r="A63" s="22"/>
      <c r="B63" s="23"/>
      <c r="C63" s="23"/>
      <c r="D63" s="22" t="str">
        <f t="shared" ca="1" si="1"/>
        <v/>
      </c>
      <c r="E63" s="22" t="s">
        <v>240</v>
      </c>
      <c r="F63" s="22"/>
      <c r="G63" s="23"/>
      <c r="H63" s="23"/>
      <c r="I63" s="24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3"/>
    </row>
    <row r="64" spans="1:21" ht="100" customHeight="1">
      <c r="A64" s="22"/>
      <c r="B64" s="23"/>
      <c r="C64" s="23"/>
      <c r="D64" s="22" t="str">
        <f t="shared" ca="1" si="1"/>
        <v/>
      </c>
      <c r="E64" s="22" t="s">
        <v>240</v>
      </c>
      <c r="F64" s="22"/>
      <c r="G64" s="23"/>
      <c r="H64" s="23"/>
      <c r="I64" s="24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3"/>
    </row>
    <row r="65" spans="1:21" ht="100" customHeight="1">
      <c r="A65" s="22"/>
      <c r="B65" s="23"/>
      <c r="C65" s="23"/>
      <c r="D65" s="22" t="str">
        <f t="shared" ca="1" si="1"/>
        <v/>
      </c>
      <c r="E65" s="22" t="s">
        <v>240</v>
      </c>
      <c r="F65" s="22"/>
      <c r="G65" s="23"/>
      <c r="H65" s="23"/>
      <c r="I65" s="24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3"/>
    </row>
    <row r="66" spans="1:21" ht="100" customHeight="1">
      <c r="A66" s="22"/>
      <c r="B66" s="23"/>
      <c r="C66" s="23"/>
      <c r="D66" s="22" t="str">
        <f t="shared" ca="1" si="1"/>
        <v/>
      </c>
      <c r="E66" s="22" t="s">
        <v>240</v>
      </c>
      <c r="F66" s="22"/>
      <c r="G66" s="23"/>
      <c r="H66" s="23"/>
      <c r="I66" s="24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3"/>
    </row>
    <row r="67" spans="1:21" ht="100" customHeight="1">
      <c r="A67" s="22"/>
      <c r="B67" s="23"/>
      <c r="C67" s="23"/>
      <c r="D67" s="22" t="str">
        <f t="shared" ca="1" si="1"/>
        <v/>
      </c>
      <c r="E67" s="22" t="s">
        <v>240</v>
      </c>
      <c r="F67" s="22"/>
      <c r="G67" s="23"/>
      <c r="H67" s="23"/>
      <c r="I67" s="24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3"/>
    </row>
    <row r="68" spans="1:21" ht="100" customHeight="1">
      <c r="A68" s="22"/>
      <c r="B68" s="23"/>
      <c r="C68" s="23"/>
      <c r="D68" s="22" t="str">
        <f t="shared" ref="D68:D99" ca="1" si="2">IF(C68="","",DATEDIF(C68,TODAY(),"Y"))</f>
        <v/>
      </c>
      <c r="E68" s="22" t="s">
        <v>240</v>
      </c>
      <c r="F68" s="22"/>
      <c r="G68" s="23"/>
      <c r="H68" s="23"/>
      <c r="I68" s="24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3"/>
    </row>
    <row r="69" spans="1:21" ht="100" customHeight="1">
      <c r="A69" s="22"/>
      <c r="B69" s="23"/>
      <c r="C69" s="23"/>
      <c r="D69" s="22" t="str">
        <f t="shared" ca="1" si="2"/>
        <v/>
      </c>
      <c r="E69" s="22" t="s">
        <v>240</v>
      </c>
      <c r="F69" s="22"/>
      <c r="G69" s="23"/>
      <c r="H69" s="23"/>
      <c r="I69" s="24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3"/>
    </row>
    <row r="70" spans="1:21" ht="100" customHeight="1">
      <c r="A70" s="22"/>
      <c r="B70" s="23"/>
      <c r="C70" s="23"/>
      <c r="D70" s="22" t="str">
        <f t="shared" ca="1" si="2"/>
        <v/>
      </c>
      <c r="E70" s="22" t="s">
        <v>240</v>
      </c>
      <c r="F70" s="22"/>
      <c r="G70" s="23"/>
      <c r="H70" s="23"/>
      <c r="I70" s="24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3"/>
    </row>
    <row r="71" spans="1:21" ht="100" customHeight="1">
      <c r="A71" s="22"/>
      <c r="B71" s="23"/>
      <c r="C71" s="23"/>
      <c r="D71" s="22" t="str">
        <f t="shared" ca="1" si="2"/>
        <v/>
      </c>
      <c r="E71" s="22" t="s">
        <v>240</v>
      </c>
      <c r="F71" s="22"/>
      <c r="G71" s="23"/>
      <c r="H71" s="23"/>
      <c r="I71" s="24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3"/>
    </row>
    <row r="72" spans="1:21" ht="100" customHeight="1">
      <c r="A72" s="22"/>
      <c r="B72" s="23"/>
      <c r="C72" s="23"/>
      <c r="D72" s="22" t="str">
        <f t="shared" ca="1" si="2"/>
        <v/>
      </c>
      <c r="E72" s="22" t="s">
        <v>240</v>
      </c>
      <c r="F72" s="22"/>
      <c r="G72" s="23"/>
      <c r="H72" s="23"/>
      <c r="I72" s="24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00" customHeight="1">
      <c r="A73" s="22"/>
      <c r="B73" s="23"/>
      <c r="C73" s="23"/>
      <c r="D73" s="22" t="str">
        <f t="shared" ca="1" si="2"/>
        <v/>
      </c>
      <c r="E73" s="22" t="s">
        <v>240</v>
      </c>
      <c r="F73" s="22"/>
      <c r="G73" s="23"/>
      <c r="H73" s="23"/>
      <c r="I73" s="24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3"/>
    </row>
    <row r="74" spans="1:21" ht="100" customHeight="1">
      <c r="A74" s="22"/>
      <c r="B74" s="23"/>
      <c r="C74" s="23"/>
      <c r="D74" s="22" t="str">
        <f t="shared" ca="1" si="2"/>
        <v/>
      </c>
      <c r="E74" s="22" t="s">
        <v>240</v>
      </c>
      <c r="F74" s="22"/>
      <c r="G74" s="23"/>
      <c r="H74" s="23"/>
      <c r="I74" s="24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3"/>
    </row>
    <row r="75" spans="1:21" ht="100" customHeight="1">
      <c r="A75" s="22"/>
      <c r="B75" s="23"/>
      <c r="C75" s="23"/>
      <c r="D75" s="22" t="str">
        <f t="shared" ca="1" si="2"/>
        <v/>
      </c>
      <c r="E75" s="22" t="s">
        <v>240</v>
      </c>
      <c r="F75" s="22"/>
      <c r="G75" s="23"/>
      <c r="H75" s="23"/>
      <c r="I75" s="24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3"/>
    </row>
    <row r="76" spans="1:21" ht="100" customHeight="1">
      <c r="A76" s="22"/>
      <c r="B76" s="23"/>
      <c r="C76" s="23"/>
      <c r="D76" s="22" t="str">
        <f t="shared" ca="1" si="2"/>
        <v/>
      </c>
      <c r="E76" s="22" t="s">
        <v>240</v>
      </c>
      <c r="F76" s="22"/>
      <c r="G76" s="23"/>
      <c r="H76" s="23"/>
      <c r="I76" s="24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3"/>
    </row>
    <row r="77" spans="1:21" ht="100" customHeight="1">
      <c r="A77" s="22"/>
      <c r="B77" s="23"/>
      <c r="C77" s="23"/>
      <c r="D77" s="22" t="str">
        <f t="shared" ca="1" si="2"/>
        <v/>
      </c>
      <c r="E77" s="22" t="s">
        <v>240</v>
      </c>
      <c r="F77" s="22"/>
      <c r="G77" s="23"/>
      <c r="H77" s="23"/>
      <c r="I77" s="24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3"/>
    </row>
    <row r="78" spans="1:21" ht="100" customHeight="1">
      <c r="A78" s="22"/>
      <c r="B78" s="23"/>
      <c r="C78" s="23"/>
      <c r="D78" s="22" t="str">
        <f t="shared" ca="1" si="2"/>
        <v/>
      </c>
      <c r="E78" s="22" t="s">
        <v>240</v>
      </c>
      <c r="F78" s="22"/>
      <c r="G78" s="23"/>
      <c r="H78" s="23"/>
      <c r="I78" s="24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3"/>
    </row>
    <row r="79" spans="1:21" ht="100" customHeight="1">
      <c r="A79" s="22"/>
      <c r="B79" s="23"/>
      <c r="C79" s="23"/>
      <c r="D79" s="22" t="str">
        <f t="shared" ca="1" si="2"/>
        <v/>
      </c>
      <c r="E79" s="22" t="s">
        <v>240</v>
      </c>
      <c r="F79" s="22"/>
      <c r="G79" s="23"/>
      <c r="H79" s="23"/>
      <c r="I79" s="24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3"/>
    </row>
    <row r="80" spans="1:21" ht="100" customHeight="1">
      <c r="A80" s="22"/>
      <c r="B80" s="23"/>
      <c r="C80" s="23"/>
      <c r="D80" s="22" t="str">
        <f t="shared" ca="1" si="2"/>
        <v/>
      </c>
      <c r="E80" s="22" t="s">
        <v>240</v>
      </c>
      <c r="F80" s="22"/>
      <c r="G80" s="23"/>
      <c r="H80" s="23"/>
      <c r="I80" s="24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3"/>
    </row>
    <row r="81" spans="1:21" ht="100" customHeight="1">
      <c r="A81" s="22"/>
      <c r="B81" s="23"/>
      <c r="C81" s="23"/>
      <c r="D81" s="22" t="str">
        <f t="shared" ca="1" si="2"/>
        <v/>
      </c>
      <c r="E81" s="22" t="s">
        <v>240</v>
      </c>
      <c r="F81" s="22"/>
      <c r="G81" s="23"/>
      <c r="H81" s="23"/>
      <c r="I81" s="24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3"/>
    </row>
    <row r="82" spans="1:21" ht="100" customHeight="1">
      <c r="A82" s="22"/>
      <c r="B82" s="23"/>
      <c r="C82" s="23"/>
      <c r="D82" s="22" t="str">
        <f t="shared" ca="1" si="2"/>
        <v/>
      </c>
      <c r="E82" s="22" t="s">
        <v>240</v>
      </c>
      <c r="F82" s="22"/>
      <c r="G82" s="23"/>
      <c r="H82" s="23"/>
      <c r="I82" s="24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3"/>
    </row>
    <row r="83" spans="1:21" ht="100" customHeight="1">
      <c r="A83" s="22"/>
      <c r="B83" s="23"/>
      <c r="C83" s="23"/>
      <c r="D83" s="22" t="str">
        <f t="shared" ca="1" si="2"/>
        <v/>
      </c>
      <c r="E83" s="22" t="s">
        <v>240</v>
      </c>
      <c r="F83" s="22"/>
      <c r="G83" s="23"/>
      <c r="H83" s="23"/>
      <c r="I83" s="24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3"/>
    </row>
    <row r="84" spans="1:21" ht="100" customHeight="1">
      <c r="A84" s="22"/>
      <c r="B84" s="23"/>
      <c r="C84" s="23"/>
      <c r="D84" s="22" t="str">
        <f t="shared" ca="1" si="2"/>
        <v/>
      </c>
      <c r="E84" s="22" t="s">
        <v>240</v>
      </c>
      <c r="F84" s="22"/>
      <c r="G84" s="23"/>
      <c r="H84" s="23"/>
      <c r="I84" s="24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3"/>
    </row>
    <row r="85" spans="1:21" ht="100" customHeight="1">
      <c r="A85" s="22"/>
      <c r="B85" s="23"/>
      <c r="C85" s="23"/>
      <c r="D85" s="22" t="str">
        <f t="shared" ca="1" si="2"/>
        <v/>
      </c>
      <c r="E85" s="22" t="s">
        <v>240</v>
      </c>
      <c r="F85" s="22"/>
      <c r="G85" s="23"/>
      <c r="H85" s="23"/>
      <c r="I85" s="24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3"/>
    </row>
    <row r="86" spans="1:21" ht="100" customHeight="1">
      <c r="A86" s="22"/>
      <c r="B86" s="23"/>
      <c r="C86" s="23"/>
      <c r="D86" s="22" t="str">
        <f t="shared" ca="1" si="2"/>
        <v/>
      </c>
      <c r="E86" s="22" t="s">
        <v>240</v>
      </c>
      <c r="F86" s="22"/>
      <c r="G86" s="23"/>
      <c r="H86" s="23"/>
      <c r="I86" s="24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3"/>
    </row>
    <row r="87" spans="1:21" ht="100" customHeight="1">
      <c r="A87" s="22"/>
      <c r="B87" s="23"/>
      <c r="C87" s="23"/>
      <c r="D87" s="22" t="str">
        <f t="shared" ca="1" si="2"/>
        <v/>
      </c>
      <c r="E87" s="22" t="s">
        <v>240</v>
      </c>
      <c r="F87" s="22"/>
      <c r="G87" s="23"/>
      <c r="H87" s="23"/>
      <c r="I87" s="24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3"/>
    </row>
    <row r="88" spans="1:21" ht="100" customHeight="1">
      <c r="A88" s="22"/>
      <c r="B88" s="23"/>
      <c r="C88" s="23"/>
      <c r="D88" s="22" t="str">
        <f t="shared" ca="1" si="2"/>
        <v/>
      </c>
      <c r="E88" s="22" t="s">
        <v>240</v>
      </c>
      <c r="F88" s="22"/>
      <c r="G88" s="23"/>
      <c r="H88" s="23"/>
      <c r="I88" s="24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3"/>
    </row>
    <row r="89" spans="1:21" ht="100" customHeight="1">
      <c r="A89" s="22"/>
      <c r="B89" s="23"/>
      <c r="C89" s="23"/>
      <c r="D89" s="22" t="str">
        <f t="shared" ca="1" si="2"/>
        <v/>
      </c>
      <c r="E89" s="22" t="s">
        <v>240</v>
      </c>
      <c r="F89" s="22"/>
      <c r="G89" s="23"/>
      <c r="H89" s="23"/>
      <c r="I89" s="24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3"/>
    </row>
    <row r="90" spans="1:21" ht="100" customHeight="1">
      <c r="A90" s="22"/>
      <c r="B90" s="23"/>
      <c r="C90" s="23"/>
      <c r="D90" s="22" t="str">
        <f t="shared" ca="1" si="2"/>
        <v/>
      </c>
      <c r="E90" s="22" t="s">
        <v>240</v>
      </c>
      <c r="F90" s="22"/>
      <c r="G90" s="23"/>
      <c r="H90" s="23"/>
      <c r="I90" s="24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3"/>
    </row>
    <row r="91" spans="1:21" ht="100" customHeight="1">
      <c r="A91" s="22"/>
      <c r="B91" s="23"/>
      <c r="C91" s="23"/>
      <c r="D91" s="22" t="str">
        <f t="shared" ca="1" si="2"/>
        <v/>
      </c>
      <c r="E91" s="22" t="s">
        <v>240</v>
      </c>
      <c r="F91" s="22"/>
      <c r="G91" s="23"/>
      <c r="H91" s="23"/>
      <c r="I91" s="24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3"/>
    </row>
    <row r="92" spans="1:21" ht="100" customHeight="1">
      <c r="A92" s="22"/>
      <c r="B92" s="23"/>
      <c r="C92" s="23"/>
      <c r="D92" s="22" t="str">
        <f t="shared" ca="1" si="2"/>
        <v/>
      </c>
      <c r="E92" s="22" t="s">
        <v>240</v>
      </c>
      <c r="F92" s="22"/>
      <c r="G92" s="23"/>
      <c r="H92" s="23"/>
      <c r="I92" s="24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3"/>
    </row>
    <row r="93" spans="1:21" ht="100" customHeight="1">
      <c r="A93" s="22"/>
      <c r="B93" s="23"/>
      <c r="C93" s="23"/>
      <c r="D93" s="22" t="str">
        <f t="shared" ca="1" si="2"/>
        <v/>
      </c>
      <c r="E93" s="22" t="s">
        <v>240</v>
      </c>
      <c r="F93" s="22"/>
      <c r="G93" s="23"/>
      <c r="H93" s="23"/>
      <c r="I93" s="24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3"/>
    </row>
    <row r="94" spans="1:21" ht="100" customHeight="1">
      <c r="A94" s="22"/>
      <c r="B94" s="23"/>
      <c r="C94" s="23"/>
      <c r="D94" s="22" t="str">
        <f t="shared" ca="1" si="2"/>
        <v/>
      </c>
      <c r="E94" s="22" t="s">
        <v>240</v>
      </c>
      <c r="F94" s="22"/>
      <c r="G94" s="23"/>
      <c r="H94" s="23"/>
      <c r="I94" s="24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3"/>
    </row>
    <row r="95" spans="1:21" ht="100" customHeight="1">
      <c r="A95" s="22"/>
      <c r="B95" s="23"/>
      <c r="C95" s="23"/>
      <c r="D95" s="22" t="str">
        <f t="shared" ca="1" si="2"/>
        <v/>
      </c>
      <c r="E95" s="22" t="s">
        <v>240</v>
      </c>
      <c r="F95" s="22"/>
      <c r="G95" s="23"/>
      <c r="H95" s="23"/>
      <c r="I95" s="24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3"/>
    </row>
    <row r="96" spans="1:21" ht="100" customHeight="1">
      <c r="A96" s="22"/>
      <c r="B96" s="23"/>
      <c r="C96" s="23"/>
      <c r="D96" s="22" t="str">
        <f t="shared" ca="1" si="2"/>
        <v/>
      </c>
      <c r="E96" s="22" t="s">
        <v>240</v>
      </c>
      <c r="F96" s="22"/>
      <c r="G96" s="23"/>
      <c r="H96" s="23"/>
      <c r="I96" s="24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3"/>
    </row>
    <row r="97" spans="1:21" ht="100" customHeight="1">
      <c r="A97" s="22"/>
      <c r="B97" s="23"/>
      <c r="C97" s="23"/>
      <c r="D97" s="22" t="str">
        <f t="shared" ca="1" si="2"/>
        <v/>
      </c>
      <c r="E97" s="22" t="s">
        <v>240</v>
      </c>
      <c r="F97" s="22"/>
      <c r="G97" s="23"/>
      <c r="H97" s="23"/>
      <c r="I97" s="24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3"/>
    </row>
    <row r="98" spans="1:21" ht="100" customHeight="1">
      <c r="A98" s="22"/>
      <c r="B98" s="23"/>
      <c r="C98" s="23"/>
      <c r="D98" s="22" t="str">
        <f t="shared" ca="1" si="2"/>
        <v/>
      </c>
      <c r="E98" s="22" t="s">
        <v>240</v>
      </c>
      <c r="F98" s="22"/>
      <c r="G98" s="23"/>
      <c r="H98" s="23"/>
      <c r="I98" s="24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3"/>
    </row>
    <row r="99" spans="1:21" ht="100" customHeight="1">
      <c r="A99" s="22"/>
      <c r="B99" s="23"/>
      <c r="C99" s="23"/>
      <c r="D99" s="22" t="str">
        <f t="shared" ca="1" si="2"/>
        <v/>
      </c>
      <c r="E99" s="22" t="s">
        <v>240</v>
      </c>
      <c r="F99" s="22"/>
      <c r="G99" s="23"/>
      <c r="H99" s="23"/>
      <c r="I99" s="24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3"/>
    </row>
    <row r="100" spans="1:21" ht="100" customHeight="1">
      <c r="A100" s="22"/>
      <c r="B100" s="23"/>
      <c r="C100" s="23"/>
      <c r="D100" s="22" t="str">
        <f t="shared" ref="D100:D103" ca="1" si="3">IF(C100="","",DATEDIF(C100,TODAY(),"Y"))</f>
        <v/>
      </c>
      <c r="E100" s="22" t="s">
        <v>240</v>
      </c>
      <c r="F100" s="22"/>
      <c r="G100" s="23"/>
      <c r="H100" s="23"/>
      <c r="I100" s="24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3"/>
    </row>
    <row r="101" spans="1:21" ht="100" customHeight="1">
      <c r="A101" s="22"/>
      <c r="B101" s="23"/>
      <c r="C101" s="23"/>
      <c r="D101" s="22" t="str">
        <f t="shared" ca="1" si="3"/>
        <v/>
      </c>
      <c r="E101" s="22" t="s">
        <v>240</v>
      </c>
      <c r="F101" s="22"/>
      <c r="G101" s="23"/>
      <c r="H101" s="23"/>
      <c r="I101" s="24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3"/>
    </row>
    <row r="102" spans="1:21" ht="100" customHeight="1">
      <c r="A102" s="22"/>
      <c r="B102" s="23"/>
      <c r="C102" s="23"/>
      <c r="D102" s="22" t="str">
        <f t="shared" ca="1" si="3"/>
        <v/>
      </c>
      <c r="E102" s="22" t="s">
        <v>240</v>
      </c>
      <c r="F102" s="22"/>
      <c r="G102" s="23"/>
      <c r="H102" s="23"/>
      <c r="I102" s="24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3"/>
    </row>
    <row r="103" spans="1:21" ht="100" customHeight="1">
      <c r="A103" s="22"/>
      <c r="B103" s="23"/>
      <c r="C103" s="23"/>
      <c r="D103" s="22" t="str">
        <f t="shared" ca="1" si="3"/>
        <v/>
      </c>
      <c r="E103" s="22" t="s">
        <v>240</v>
      </c>
      <c r="F103" s="22"/>
      <c r="G103" s="23"/>
      <c r="H103" s="23"/>
      <c r="I103" s="24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3"/>
    </row>
  </sheetData>
  <mergeCells count="1">
    <mergeCell ref="A1:U2"/>
  </mergeCells>
  <conditionalFormatting sqref="A4:U103">
    <cfRule type="expression" dxfId="41" priority="1">
      <formula>$I4="Yeşil"</formula>
    </cfRule>
    <cfRule type="expression" dxfId="40" priority="2">
      <formula>$I4="Sarı"</formula>
    </cfRule>
    <cfRule type="expression" dxfId="39" priority="3">
      <formula>$I4="Kırmızı"</formula>
    </cfRule>
  </conditionalFormatting>
  <conditionalFormatting sqref="H4:H103">
    <cfRule type="expression" dxfId="38" priority="4">
      <formula>AND($H4&lt;&gt;"",$H4&gt;=TODAY(),$H4&lt;=EDATE(TODAY(),6))</formula>
    </cfRule>
    <cfRule type="expression" dxfId="37" priority="5">
      <formula>AND($H4&lt;&gt;"",$H4&gt;EDATE(TODAY(),6),$H4&lt;=EDATE(TODAY(),12))</formula>
    </cfRule>
  </conditionalFormatting>
  <dataValidations count="3">
    <dataValidation type="list" allowBlank="1" showErrorMessage="1" sqref="I4:I103" xr:uid="{00000000-0002-0000-0B00-000000000000}">
      <formula1>"Kırmızı,Sarı,Yeşil"</formula1>
    </dataValidation>
    <dataValidation sqref="L4:R103" xr:uid="{00000000-0002-0000-0B00-000001000000}">
      <formula1>1</formula1>
      <formula2>10</formula2>
    </dataValidation>
    <dataValidation type="list" sqref="T4:T103" xr:uid="{00000000-0002-0000-0B00-000002000000}">
      <formula1>"A Liste,B Liste,Takip,Tekrar İzle,Ele"</formula1>
    </dataValidation>
  </dataValidations>
  <hyperlinks>
    <hyperlink ref="K12" r:id="rId1" xr:uid="{00000000-0004-0000-0B00-000000000000}"/>
    <hyperlink ref="K13" r:id="rId2" xr:uid="{00000000-0004-0000-0B00-000001000000}"/>
    <hyperlink ref="K14" r:id="rId3" xr:uid="{00000000-0004-0000-0B00-000002000000}"/>
    <hyperlink ref="K15" r:id="rId4" xr:uid="{00000000-0004-0000-0B00-000003000000}"/>
    <hyperlink ref="K16" r:id="rId5" xr:uid="{00000000-0004-0000-0B00-000004000000}"/>
    <hyperlink ref="K17" r:id="rId6" xr:uid="{00000000-0004-0000-0B00-000005000000}"/>
  </hyperlinks>
  <pageMargins left="0.7" right="0.7" top="0.75" bottom="0.75" header="0.3" footer="0.3"/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03"/>
  <sheetViews>
    <sheetView showGridLines="0" workbookViewId="0">
      <selection activeCell="A19" sqref="A19"/>
    </sheetView>
  </sheetViews>
  <sheetFormatPr baseColWidth="10" defaultColWidth="8.83203125" defaultRowHeight="14"/>
  <cols>
    <col min="1" max="1" width="24" customWidth="1"/>
    <col min="2" max="3" width="14" customWidth="1"/>
    <col min="4" max="4" width="8" customWidth="1"/>
    <col min="5" max="5" width="16" customWidth="1"/>
    <col min="6" max="6" width="18" customWidth="1"/>
    <col min="7" max="7" width="20" customWidth="1"/>
    <col min="8" max="8" width="18" customWidth="1"/>
    <col min="9" max="9" width="11" customWidth="1"/>
    <col min="10" max="10" width="100.83203125" customWidth="1"/>
    <col min="11" max="11" width="58.33203125" customWidth="1"/>
    <col min="12" max="15" width="9" customWidth="1"/>
    <col min="16" max="17" width="10" customWidth="1"/>
    <col min="18" max="18" width="13" customWidth="1"/>
    <col min="19" max="19" width="11" customWidth="1"/>
    <col min="20" max="21" width="14" customWidth="1"/>
  </cols>
  <sheetData>
    <row r="1" spans="1:21" ht="30" customHeight="1">
      <c r="A1" s="67" t="s">
        <v>284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1" ht="15" customHeight="1">
      <c r="A2" s="96"/>
      <c r="B2" s="68"/>
      <c r="C2" s="68"/>
      <c r="D2" s="68"/>
      <c r="E2" s="68"/>
      <c r="F2" s="68"/>
      <c r="G2" s="68"/>
      <c r="H2" s="68"/>
      <c r="I2" s="68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30" customHeight="1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U3" s="21" t="s">
        <v>21</v>
      </c>
    </row>
    <row r="4" spans="1:21" ht="100" customHeight="1">
      <c r="A4" s="22" t="s">
        <v>285</v>
      </c>
      <c r="B4" s="23" t="s">
        <v>71</v>
      </c>
      <c r="C4" s="23">
        <v>34521</v>
      </c>
      <c r="D4" s="22">
        <f t="shared" ref="D4:D35" ca="1" si="0">IF(C4="","",DATEDIF(C4,TODAY(),"Y"))</f>
        <v>32</v>
      </c>
      <c r="E4" s="22" t="s">
        <v>286</v>
      </c>
      <c r="F4" s="22"/>
      <c r="G4" s="23" t="s">
        <v>287</v>
      </c>
      <c r="H4" s="23">
        <v>46934</v>
      </c>
      <c r="I4" s="24" t="s">
        <v>36</v>
      </c>
      <c r="J4" s="22"/>
      <c r="K4" s="25"/>
      <c r="L4" s="22"/>
      <c r="M4" s="22"/>
      <c r="N4" s="22"/>
      <c r="O4" s="22"/>
      <c r="P4" s="22"/>
      <c r="Q4" s="22"/>
      <c r="R4" s="22"/>
      <c r="S4" s="22"/>
      <c r="T4" s="22" t="s">
        <v>38</v>
      </c>
      <c r="U4" s="23"/>
    </row>
    <row r="5" spans="1:21" ht="100" customHeight="1">
      <c r="A5" s="22" t="s">
        <v>288</v>
      </c>
      <c r="B5" s="23" t="s">
        <v>289</v>
      </c>
      <c r="C5" s="23">
        <v>35411</v>
      </c>
      <c r="D5" s="22">
        <f t="shared" ca="1" si="0"/>
        <v>29</v>
      </c>
      <c r="E5" s="22" t="s">
        <v>286</v>
      </c>
      <c r="F5" s="22"/>
      <c r="G5" s="23" t="s">
        <v>290</v>
      </c>
      <c r="H5" s="23">
        <v>46934</v>
      </c>
      <c r="I5" s="24" t="s">
        <v>31</v>
      </c>
      <c r="J5" s="22"/>
      <c r="K5" s="25"/>
      <c r="L5" s="22"/>
      <c r="M5" s="22"/>
      <c r="N5" s="22"/>
      <c r="O5" s="22"/>
      <c r="P5" s="22"/>
      <c r="Q5" s="22"/>
      <c r="R5" s="22"/>
      <c r="S5" s="22"/>
      <c r="T5" s="22" t="s">
        <v>32</v>
      </c>
      <c r="U5" s="23"/>
    </row>
    <row r="6" spans="1:21" ht="100" customHeight="1">
      <c r="A6" s="22" t="s">
        <v>291</v>
      </c>
      <c r="B6" s="23" t="s">
        <v>232</v>
      </c>
      <c r="C6" s="23">
        <v>36428</v>
      </c>
      <c r="D6" s="22">
        <f t="shared" ca="1" si="0"/>
        <v>27</v>
      </c>
      <c r="E6" s="22" t="s">
        <v>286</v>
      </c>
      <c r="F6" s="22"/>
      <c r="G6" s="23" t="s">
        <v>292</v>
      </c>
      <c r="H6" s="23">
        <v>46558</v>
      </c>
      <c r="I6" s="24" t="s">
        <v>31</v>
      </c>
      <c r="J6" s="22"/>
      <c r="K6" s="25"/>
      <c r="L6" s="22"/>
      <c r="M6" s="22"/>
      <c r="N6" s="22"/>
      <c r="O6" s="22"/>
      <c r="P6" s="22"/>
      <c r="Q6" s="22"/>
      <c r="R6" s="22"/>
      <c r="S6" s="22"/>
      <c r="T6" s="22" t="s">
        <v>32</v>
      </c>
      <c r="U6" s="23"/>
    </row>
    <row r="7" spans="1:21" ht="100" customHeight="1">
      <c r="A7" s="22" t="s">
        <v>293</v>
      </c>
      <c r="B7" s="23" t="s">
        <v>294</v>
      </c>
      <c r="C7" s="23">
        <v>38742</v>
      </c>
      <c r="D7" s="22">
        <f t="shared" ca="1" si="0"/>
        <v>20</v>
      </c>
      <c r="E7" s="22" t="s">
        <v>286</v>
      </c>
      <c r="F7" s="22"/>
      <c r="G7" s="23" t="s">
        <v>295</v>
      </c>
      <c r="H7" s="23">
        <v>46934</v>
      </c>
      <c r="I7" s="24" t="s">
        <v>26</v>
      </c>
      <c r="J7" s="22"/>
      <c r="K7" s="25"/>
      <c r="L7" s="22"/>
      <c r="M7" s="22"/>
      <c r="N7" s="22"/>
      <c r="O7" s="22"/>
      <c r="P7" s="22"/>
      <c r="Q7" s="22"/>
      <c r="R7" s="22"/>
      <c r="S7" s="22"/>
      <c r="T7" s="22" t="s">
        <v>27</v>
      </c>
      <c r="U7" s="23"/>
    </row>
    <row r="8" spans="1:21" ht="100" customHeight="1">
      <c r="A8" s="22" t="s">
        <v>296</v>
      </c>
      <c r="B8" s="23" t="s">
        <v>34</v>
      </c>
      <c r="C8" s="23">
        <v>35968</v>
      </c>
      <c r="D8" s="22">
        <f t="shared" ca="1" si="0"/>
        <v>28</v>
      </c>
      <c r="E8" s="22" t="s">
        <v>286</v>
      </c>
      <c r="F8" s="22"/>
      <c r="G8" s="23" t="s">
        <v>297</v>
      </c>
      <c r="H8" s="23">
        <v>47118</v>
      </c>
      <c r="I8" s="24" t="s">
        <v>31</v>
      </c>
      <c r="J8" s="22"/>
      <c r="K8" s="25" t="s">
        <v>298</v>
      </c>
      <c r="L8" s="22"/>
      <c r="M8" s="22"/>
      <c r="N8" s="22"/>
      <c r="O8" s="22"/>
      <c r="P8" s="22"/>
      <c r="Q8" s="22"/>
      <c r="R8" s="22"/>
      <c r="S8" s="22"/>
      <c r="T8" s="22" t="s">
        <v>32</v>
      </c>
      <c r="U8" s="23"/>
    </row>
    <row r="9" spans="1:21" ht="100" customHeight="1">
      <c r="A9" s="22" t="s">
        <v>299</v>
      </c>
      <c r="B9" s="23" t="s">
        <v>71</v>
      </c>
      <c r="C9" s="23">
        <v>36416</v>
      </c>
      <c r="D9" s="22">
        <f t="shared" ca="1" si="0"/>
        <v>27</v>
      </c>
      <c r="E9" s="22" t="s">
        <v>286</v>
      </c>
      <c r="F9" s="22"/>
      <c r="G9" s="23" t="s">
        <v>300</v>
      </c>
      <c r="H9" s="23">
        <v>46387</v>
      </c>
      <c r="I9" s="24" t="s">
        <v>31</v>
      </c>
      <c r="J9" s="22"/>
      <c r="K9" s="25" t="s">
        <v>301</v>
      </c>
      <c r="L9" s="22"/>
      <c r="M9" s="22"/>
      <c r="N9" s="22"/>
      <c r="O9" s="22"/>
      <c r="P9" s="22"/>
      <c r="Q9" s="22"/>
      <c r="R9" s="22"/>
      <c r="S9" s="22"/>
      <c r="T9" s="22" t="s">
        <v>32</v>
      </c>
      <c r="U9" s="23"/>
    </row>
    <row r="10" spans="1:21" ht="100" customHeight="1">
      <c r="A10" s="22" t="s">
        <v>302</v>
      </c>
      <c r="B10" s="23" t="s">
        <v>303</v>
      </c>
      <c r="C10" s="23">
        <v>37298</v>
      </c>
      <c r="D10" s="22">
        <f t="shared" ca="1" si="0"/>
        <v>24</v>
      </c>
      <c r="E10" s="22" t="s">
        <v>286</v>
      </c>
      <c r="F10" s="22"/>
      <c r="G10" s="23" t="s">
        <v>304</v>
      </c>
      <c r="H10" s="23">
        <v>47118</v>
      </c>
      <c r="I10" s="24" t="s">
        <v>26</v>
      </c>
      <c r="J10" s="22"/>
      <c r="K10" s="25" t="s">
        <v>305</v>
      </c>
      <c r="L10" s="22"/>
      <c r="M10" s="22"/>
      <c r="N10" s="22"/>
      <c r="O10" s="22"/>
      <c r="P10" s="22"/>
      <c r="Q10" s="22"/>
      <c r="R10" s="22"/>
      <c r="S10" s="22"/>
      <c r="T10" s="22" t="s">
        <v>27</v>
      </c>
      <c r="U10" s="23"/>
    </row>
    <row r="11" spans="1:21" ht="100" customHeight="1">
      <c r="A11" s="22" t="s">
        <v>306</v>
      </c>
      <c r="B11" s="23" t="s">
        <v>307</v>
      </c>
      <c r="C11" s="23">
        <v>37084</v>
      </c>
      <c r="D11" s="22">
        <f t="shared" ca="1" si="0"/>
        <v>25</v>
      </c>
      <c r="E11" s="22" t="s">
        <v>286</v>
      </c>
      <c r="F11" s="47" t="s">
        <v>308</v>
      </c>
      <c r="G11" s="23" t="s">
        <v>309</v>
      </c>
      <c r="H11" s="23">
        <v>47299</v>
      </c>
      <c r="I11" s="24" t="s">
        <v>31</v>
      </c>
      <c r="J11" s="22"/>
      <c r="K11" s="64" t="s">
        <v>310</v>
      </c>
      <c r="L11" s="22"/>
      <c r="M11" s="22"/>
      <c r="N11" s="22"/>
      <c r="O11" s="22"/>
      <c r="P11" s="22"/>
      <c r="Q11" s="22"/>
      <c r="R11" s="22"/>
      <c r="S11" s="22"/>
      <c r="T11" s="22" t="s">
        <v>44</v>
      </c>
      <c r="U11" s="23"/>
    </row>
    <row r="12" spans="1:21" ht="100" customHeight="1">
      <c r="A12" s="22" t="s">
        <v>311</v>
      </c>
      <c r="B12" s="23" t="s">
        <v>312</v>
      </c>
      <c r="C12" s="23">
        <v>35882</v>
      </c>
      <c r="D12" s="22">
        <f t="shared" ca="1" si="0"/>
        <v>28</v>
      </c>
      <c r="E12" s="22" t="s">
        <v>286</v>
      </c>
      <c r="F12" s="22"/>
      <c r="G12" s="23" t="s">
        <v>313</v>
      </c>
      <c r="H12" s="23">
        <v>46568</v>
      </c>
      <c r="I12" s="24" t="s">
        <v>26</v>
      </c>
      <c r="J12" s="22"/>
      <c r="K12" s="22" t="s">
        <v>314</v>
      </c>
      <c r="L12" s="22"/>
      <c r="M12" s="22"/>
      <c r="N12" s="22"/>
      <c r="O12" s="22"/>
      <c r="P12" s="22"/>
      <c r="Q12" s="22"/>
      <c r="R12" s="22"/>
      <c r="S12" s="22"/>
      <c r="T12" s="22" t="s">
        <v>27</v>
      </c>
      <c r="U12" s="23"/>
    </row>
    <row r="13" spans="1:21" ht="100" customHeight="1">
      <c r="A13" s="22" t="s">
        <v>315</v>
      </c>
      <c r="B13" s="23" t="s">
        <v>34</v>
      </c>
      <c r="C13" s="23">
        <v>36593</v>
      </c>
      <c r="D13" s="22">
        <f t="shared" ca="1" si="0"/>
        <v>26</v>
      </c>
      <c r="E13" s="22" t="s">
        <v>286</v>
      </c>
      <c r="F13" s="22"/>
      <c r="G13" s="23" t="s">
        <v>316</v>
      </c>
      <c r="H13" s="23">
        <v>46934</v>
      </c>
      <c r="I13" s="24" t="s">
        <v>31</v>
      </c>
      <c r="J13" s="22"/>
      <c r="K13" s="22" t="s">
        <v>317</v>
      </c>
      <c r="L13" s="22"/>
      <c r="M13" s="22"/>
      <c r="N13" s="22"/>
      <c r="O13" s="22"/>
      <c r="P13" s="22"/>
      <c r="Q13" s="22"/>
      <c r="R13" s="22"/>
      <c r="S13" s="22"/>
      <c r="T13" s="22" t="s">
        <v>27</v>
      </c>
      <c r="U13" s="23"/>
    </row>
    <row r="14" spans="1:21" ht="100" customHeight="1">
      <c r="A14" s="22" t="s">
        <v>318</v>
      </c>
      <c r="B14" s="23" t="s">
        <v>319</v>
      </c>
      <c r="C14" s="23">
        <v>34990</v>
      </c>
      <c r="D14" s="22">
        <f t="shared" ca="1" si="0"/>
        <v>30</v>
      </c>
      <c r="E14" s="22" t="s">
        <v>286</v>
      </c>
      <c r="F14" s="22"/>
      <c r="G14" s="23" t="s">
        <v>320</v>
      </c>
      <c r="H14" s="23">
        <v>46568</v>
      </c>
      <c r="I14" s="24" t="s">
        <v>36</v>
      </c>
      <c r="J14" s="22"/>
      <c r="K14" s="22" t="s">
        <v>321</v>
      </c>
      <c r="L14" s="22"/>
      <c r="M14" s="22"/>
      <c r="N14" s="22"/>
      <c r="O14" s="22"/>
      <c r="P14" s="22"/>
      <c r="Q14" s="22"/>
      <c r="R14" s="22"/>
      <c r="S14" s="22"/>
      <c r="T14" s="22" t="s">
        <v>38</v>
      </c>
      <c r="U14" s="23"/>
    </row>
    <row r="15" spans="1:21" ht="100" customHeight="1">
      <c r="A15" s="22" t="s">
        <v>322</v>
      </c>
      <c r="B15" s="23" t="s">
        <v>46</v>
      </c>
      <c r="C15" s="23">
        <v>38609</v>
      </c>
      <c r="D15" s="22">
        <f t="shared" ca="1" si="0"/>
        <v>21</v>
      </c>
      <c r="E15" s="22" t="s">
        <v>286</v>
      </c>
      <c r="F15" s="22"/>
      <c r="G15" s="23" t="s">
        <v>323</v>
      </c>
      <c r="H15" s="23">
        <v>46568</v>
      </c>
      <c r="I15" s="24" t="s">
        <v>26</v>
      </c>
      <c r="J15" s="22"/>
      <c r="K15" s="22" t="s">
        <v>324</v>
      </c>
      <c r="L15" s="22"/>
      <c r="M15" s="22"/>
      <c r="N15" s="22"/>
      <c r="O15" s="22"/>
      <c r="P15" s="22"/>
      <c r="Q15" s="22"/>
      <c r="R15" s="22"/>
      <c r="S15" s="22"/>
      <c r="T15" s="22" t="s">
        <v>44</v>
      </c>
      <c r="U15" s="23"/>
    </row>
    <row r="16" spans="1:21" ht="100" customHeight="1">
      <c r="A16" s="22" t="s">
        <v>325</v>
      </c>
      <c r="B16" s="23" t="s">
        <v>326</v>
      </c>
      <c r="C16" s="23">
        <v>36094</v>
      </c>
      <c r="D16" s="22">
        <f t="shared" ca="1" si="0"/>
        <v>27</v>
      </c>
      <c r="E16" s="22" t="s">
        <v>286</v>
      </c>
      <c r="F16" s="22"/>
      <c r="G16" s="23" t="s">
        <v>327</v>
      </c>
      <c r="H16" s="23">
        <v>47299</v>
      </c>
      <c r="I16" s="24" t="s">
        <v>26</v>
      </c>
      <c r="J16" s="22"/>
      <c r="K16" s="40" t="s">
        <v>328</v>
      </c>
      <c r="L16" s="22"/>
      <c r="M16" s="22"/>
      <c r="N16" s="22"/>
      <c r="O16" s="22"/>
      <c r="P16" s="22"/>
      <c r="Q16" s="22"/>
      <c r="R16" s="22"/>
      <c r="S16" s="22"/>
      <c r="T16" s="22" t="s">
        <v>41</v>
      </c>
      <c r="U16" s="23"/>
    </row>
    <row r="17" spans="1:21" ht="100" customHeight="1">
      <c r="A17" s="22" t="s">
        <v>329</v>
      </c>
      <c r="B17" s="23" t="s">
        <v>46</v>
      </c>
      <c r="C17" s="23">
        <v>36967</v>
      </c>
      <c r="D17" s="22">
        <f t="shared" ca="1" si="0"/>
        <v>25</v>
      </c>
      <c r="E17" s="22" t="s">
        <v>286</v>
      </c>
      <c r="F17" s="22"/>
      <c r="G17" s="23" t="s">
        <v>330</v>
      </c>
      <c r="H17" s="23">
        <v>46568</v>
      </c>
      <c r="I17" s="24" t="s">
        <v>31</v>
      </c>
      <c r="J17" s="22"/>
      <c r="K17" s="22" t="s">
        <v>331</v>
      </c>
      <c r="L17" s="22"/>
      <c r="M17" s="22"/>
      <c r="N17" s="22"/>
      <c r="O17" s="22"/>
      <c r="P17" s="22"/>
      <c r="Q17" s="22"/>
      <c r="R17" s="22"/>
      <c r="S17" s="22"/>
      <c r="T17" s="22" t="s">
        <v>32</v>
      </c>
      <c r="U17" s="23"/>
    </row>
    <row r="18" spans="1:21" ht="100" customHeight="1">
      <c r="A18" s="22" t="s">
        <v>332</v>
      </c>
      <c r="B18" s="23" t="s">
        <v>333</v>
      </c>
      <c r="C18" s="23">
        <v>38316</v>
      </c>
      <c r="D18" s="22">
        <f t="shared" ca="1" si="0"/>
        <v>21</v>
      </c>
      <c r="E18" s="22" t="s">
        <v>286</v>
      </c>
      <c r="F18" s="22"/>
      <c r="G18" s="23" t="s">
        <v>334</v>
      </c>
      <c r="H18" s="23">
        <v>46568</v>
      </c>
      <c r="I18" s="24" t="s">
        <v>31</v>
      </c>
      <c r="J18" s="22"/>
      <c r="K18" s="22" t="s">
        <v>335</v>
      </c>
      <c r="L18" s="22"/>
      <c r="M18" s="22"/>
      <c r="N18" s="22"/>
      <c r="O18" s="22"/>
      <c r="P18" s="22"/>
      <c r="Q18" s="22"/>
      <c r="R18" s="22"/>
      <c r="S18" s="22"/>
      <c r="T18" s="22" t="s">
        <v>32</v>
      </c>
      <c r="U18" s="23"/>
    </row>
    <row r="19" spans="1:21" ht="100" customHeight="1">
      <c r="A19" s="22" t="s">
        <v>336</v>
      </c>
      <c r="B19" s="23" t="s">
        <v>337</v>
      </c>
      <c r="C19" s="23">
        <v>38298</v>
      </c>
      <c r="D19" s="22">
        <f t="shared" ca="1" si="0"/>
        <v>21</v>
      </c>
      <c r="E19" s="22" t="s">
        <v>286</v>
      </c>
      <c r="F19" s="22" t="s">
        <v>338</v>
      </c>
      <c r="G19" s="23" t="s">
        <v>339</v>
      </c>
      <c r="H19" s="23">
        <v>46568</v>
      </c>
      <c r="I19" s="24"/>
      <c r="J19" s="22"/>
      <c r="K19" s="65" t="s">
        <v>340</v>
      </c>
      <c r="L19" s="22"/>
      <c r="M19" s="22"/>
      <c r="N19" s="22"/>
      <c r="O19" s="22"/>
      <c r="P19" s="22"/>
      <c r="Q19" s="22"/>
      <c r="R19" s="22"/>
      <c r="S19" s="22"/>
      <c r="T19" s="22"/>
      <c r="U19" s="23"/>
    </row>
    <row r="20" spans="1:21" ht="100" customHeight="1">
      <c r="A20" s="22" t="s">
        <v>341</v>
      </c>
      <c r="B20" s="23" t="s">
        <v>34</v>
      </c>
      <c r="C20" s="23">
        <v>35968</v>
      </c>
      <c r="D20" s="22">
        <f t="shared" ca="1" si="0"/>
        <v>28</v>
      </c>
      <c r="E20" s="22" t="s">
        <v>286</v>
      </c>
      <c r="F20" s="22" t="s">
        <v>342</v>
      </c>
      <c r="G20" s="23" t="s">
        <v>343</v>
      </c>
      <c r="H20" s="23">
        <v>47118</v>
      </c>
      <c r="I20" s="24"/>
      <c r="J20" s="22"/>
      <c r="K20" s="65" t="s">
        <v>298</v>
      </c>
      <c r="L20" s="22"/>
      <c r="M20" s="22"/>
      <c r="N20" s="22"/>
      <c r="O20" s="22"/>
      <c r="P20" s="22"/>
      <c r="Q20" s="22"/>
      <c r="R20" s="22"/>
      <c r="S20" s="22"/>
      <c r="T20" s="22"/>
      <c r="U20" s="23"/>
    </row>
    <row r="21" spans="1:21" ht="100" customHeight="1">
      <c r="A21" s="22" t="s">
        <v>344</v>
      </c>
      <c r="B21" s="23" t="s">
        <v>312</v>
      </c>
      <c r="C21" s="23">
        <v>36357</v>
      </c>
      <c r="D21" s="22">
        <f t="shared" ca="1" si="0"/>
        <v>27</v>
      </c>
      <c r="E21" s="22" t="s">
        <v>286</v>
      </c>
      <c r="F21" s="22" t="s">
        <v>345</v>
      </c>
      <c r="G21" s="23" t="s">
        <v>346</v>
      </c>
      <c r="H21" s="23">
        <v>46934</v>
      </c>
      <c r="I21" s="24"/>
      <c r="J21" s="22"/>
      <c r="K21" s="65" t="s">
        <v>347</v>
      </c>
      <c r="L21" s="22"/>
      <c r="M21" s="22"/>
      <c r="N21" s="22"/>
      <c r="O21" s="22"/>
      <c r="P21" s="22"/>
      <c r="Q21" s="22"/>
      <c r="R21" s="22"/>
      <c r="S21" s="22"/>
      <c r="T21" s="22"/>
      <c r="U21" s="23"/>
    </row>
    <row r="22" spans="1:21" ht="100" customHeight="1">
      <c r="A22" s="22" t="s">
        <v>348</v>
      </c>
      <c r="B22" s="23" t="s">
        <v>349</v>
      </c>
      <c r="C22" s="23">
        <v>35489</v>
      </c>
      <c r="D22" s="22">
        <f t="shared" ca="1" si="0"/>
        <v>29</v>
      </c>
      <c r="E22" s="22" t="s">
        <v>286</v>
      </c>
      <c r="F22" s="22" t="s">
        <v>350</v>
      </c>
      <c r="G22" s="23" t="s">
        <v>351</v>
      </c>
      <c r="H22" s="23">
        <v>46568</v>
      </c>
      <c r="I22" s="24"/>
      <c r="J22" s="22"/>
      <c r="K22" s="65" t="s">
        <v>352</v>
      </c>
      <c r="L22" s="22"/>
      <c r="M22" s="22"/>
      <c r="N22" s="22"/>
      <c r="O22" s="22"/>
      <c r="P22" s="22"/>
      <c r="Q22" s="22"/>
      <c r="R22" s="22"/>
      <c r="S22" s="22"/>
      <c r="T22" s="22"/>
      <c r="U22" s="23"/>
    </row>
    <row r="23" spans="1:21" ht="100" customHeight="1">
      <c r="A23" s="22" t="s">
        <v>353</v>
      </c>
      <c r="B23" s="23" t="s">
        <v>85</v>
      </c>
      <c r="C23" s="23">
        <v>37591</v>
      </c>
      <c r="D23" s="22">
        <f t="shared" ca="1" si="0"/>
        <v>23</v>
      </c>
      <c r="E23" s="22" t="s">
        <v>286</v>
      </c>
      <c r="F23" s="22" t="s">
        <v>354</v>
      </c>
      <c r="G23" s="23" t="s">
        <v>355</v>
      </c>
      <c r="H23" s="23">
        <v>47299</v>
      </c>
      <c r="I23" s="24"/>
      <c r="J23" s="22"/>
      <c r="K23" s="65" t="s">
        <v>356</v>
      </c>
      <c r="L23" s="22"/>
      <c r="M23" s="22"/>
      <c r="N23" s="22"/>
      <c r="O23" s="22"/>
      <c r="P23" s="22"/>
      <c r="Q23" s="22"/>
      <c r="R23" s="22"/>
      <c r="S23" s="22"/>
      <c r="T23" s="22"/>
      <c r="U23" s="23"/>
    </row>
    <row r="24" spans="1:21" ht="100" customHeight="1">
      <c r="A24" s="22" t="s">
        <v>357</v>
      </c>
      <c r="B24" s="23" t="s">
        <v>358</v>
      </c>
      <c r="C24" s="23">
        <v>36049</v>
      </c>
      <c r="D24" s="22">
        <f t="shared" ca="1" si="0"/>
        <v>28</v>
      </c>
      <c r="E24" s="22" t="s">
        <v>286</v>
      </c>
      <c r="F24" s="22" t="s">
        <v>359</v>
      </c>
      <c r="G24" s="23" t="s">
        <v>360</v>
      </c>
      <c r="H24" s="23" t="s">
        <v>51</v>
      </c>
      <c r="I24" s="24"/>
      <c r="J24" s="22"/>
      <c r="K24" s="65" t="s">
        <v>361</v>
      </c>
      <c r="L24" s="22"/>
      <c r="M24" s="22"/>
      <c r="N24" s="22"/>
      <c r="O24" s="22"/>
      <c r="P24" s="22"/>
      <c r="Q24" s="22"/>
      <c r="R24" s="22"/>
      <c r="S24" s="22"/>
      <c r="T24" s="22"/>
      <c r="U24" s="23"/>
    </row>
    <row r="25" spans="1:21" ht="100" customHeight="1">
      <c r="A25" s="22" t="s">
        <v>362</v>
      </c>
      <c r="B25" s="23" t="s">
        <v>363</v>
      </c>
      <c r="C25" s="23">
        <v>35485</v>
      </c>
      <c r="D25" s="22">
        <f t="shared" ca="1" si="0"/>
        <v>29</v>
      </c>
      <c r="E25" s="22" t="s">
        <v>286</v>
      </c>
      <c r="F25" s="22" t="s">
        <v>364</v>
      </c>
      <c r="G25" s="23" t="s">
        <v>365</v>
      </c>
      <c r="H25" s="23">
        <v>46387</v>
      </c>
      <c r="I25" s="24"/>
      <c r="J25" s="22"/>
      <c r="K25" s="65" t="s">
        <v>366</v>
      </c>
      <c r="L25" s="22"/>
      <c r="M25" s="22"/>
      <c r="N25" s="22"/>
      <c r="O25" s="22"/>
      <c r="P25" s="22"/>
      <c r="Q25" s="22"/>
      <c r="R25" s="22"/>
      <c r="S25" s="22"/>
      <c r="T25" s="22"/>
      <c r="U25" s="23"/>
    </row>
    <row r="26" spans="1:21" ht="100" customHeight="1">
      <c r="A26" s="22" t="s">
        <v>367</v>
      </c>
      <c r="B26" s="23" t="s">
        <v>71</v>
      </c>
      <c r="C26" s="23">
        <v>35848</v>
      </c>
      <c r="D26" s="22">
        <f t="shared" ca="1" si="0"/>
        <v>28</v>
      </c>
      <c r="E26" s="22" t="s">
        <v>286</v>
      </c>
      <c r="F26" s="22" t="s">
        <v>359</v>
      </c>
      <c r="G26" s="23" t="s">
        <v>268</v>
      </c>
      <c r="H26" s="23" t="s">
        <v>51</v>
      </c>
      <c r="I26" s="24"/>
      <c r="J26" s="22"/>
      <c r="K26" s="65" t="s">
        <v>368</v>
      </c>
      <c r="L26" s="22"/>
      <c r="M26" s="22"/>
      <c r="N26" s="22"/>
      <c r="O26" s="22"/>
      <c r="P26" s="22"/>
      <c r="Q26" s="22"/>
      <c r="R26" s="22"/>
      <c r="S26" s="22"/>
      <c r="T26" s="22"/>
      <c r="U26" s="23"/>
    </row>
    <row r="27" spans="1:21" ht="100" customHeight="1">
      <c r="A27" s="22" t="s">
        <v>369</v>
      </c>
      <c r="B27" s="23" t="s">
        <v>370</v>
      </c>
      <c r="C27" s="23">
        <v>36094</v>
      </c>
      <c r="D27" s="22">
        <f t="shared" ca="1" si="0"/>
        <v>27</v>
      </c>
      <c r="E27" s="22" t="s">
        <v>286</v>
      </c>
      <c r="F27" s="22" t="s">
        <v>371</v>
      </c>
      <c r="G27" s="23" t="s">
        <v>372</v>
      </c>
      <c r="H27" s="23">
        <v>47299</v>
      </c>
      <c r="I27" s="24"/>
      <c r="J27" s="22"/>
      <c r="K27" s="65" t="s">
        <v>328</v>
      </c>
      <c r="L27" s="22"/>
      <c r="M27" s="22"/>
      <c r="N27" s="22"/>
      <c r="O27" s="22"/>
      <c r="P27" s="22"/>
      <c r="Q27" s="22"/>
      <c r="R27" s="22"/>
      <c r="S27" s="22"/>
      <c r="T27" s="22"/>
      <c r="U27" s="23"/>
    </row>
    <row r="28" spans="1:21" ht="100" customHeight="1">
      <c r="A28" s="22" t="s">
        <v>373</v>
      </c>
      <c r="B28" s="23" t="s">
        <v>333</v>
      </c>
      <c r="C28" s="23">
        <v>38316</v>
      </c>
      <c r="D28" s="22">
        <f t="shared" ca="1" si="0"/>
        <v>21</v>
      </c>
      <c r="E28" s="22" t="s">
        <v>286</v>
      </c>
      <c r="F28" s="22" t="s">
        <v>374</v>
      </c>
      <c r="G28" s="23" t="s">
        <v>375</v>
      </c>
      <c r="H28" s="23" t="s">
        <v>51</v>
      </c>
      <c r="I28" s="24"/>
      <c r="J28" s="22"/>
      <c r="K28" s="65" t="s">
        <v>376</v>
      </c>
      <c r="L28" s="22"/>
      <c r="M28" s="22"/>
      <c r="N28" s="22"/>
      <c r="O28" s="22"/>
      <c r="P28" s="22"/>
      <c r="Q28" s="22"/>
      <c r="R28" s="22"/>
      <c r="S28" s="22"/>
      <c r="T28" s="22"/>
      <c r="U28" s="23"/>
    </row>
    <row r="29" spans="1:21" ht="100" customHeight="1">
      <c r="A29" s="22" t="s">
        <v>377</v>
      </c>
      <c r="B29" s="23" t="s">
        <v>378</v>
      </c>
      <c r="C29" s="23">
        <v>37879</v>
      </c>
      <c r="D29" s="22">
        <f t="shared" ca="1" si="0"/>
        <v>23</v>
      </c>
      <c r="E29" s="22" t="s">
        <v>286</v>
      </c>
      <c r="F29" s="22" t="s">
        <v>379</v>
      </c>
      <c r="G29" s="23" t="s">
        <v>380</v>
      </c>
      <c r="H29" s="23">
        <v>47299</v>
      </c>
      <c r="I29" s="24"/>
      <c r="J29" s="22"/>
      <c r="K29" s="22" t="s">
        <v>107</v>
      </c>
      <c r="L29" s="22"/>
      <c r="M29" s="22"/>
      <c r="N29" s="22"/>
      <c r="O29" s="22"/>
      <c r="P29" s="22"/>
      <c r="Q29" s="22"/>
      <c r="R29" s="22"/>
      <c r="S29" s="22"/>
      <c r="T29" s="22"/>
      <c r="U29" s="23"/>
    </row>
    <row r="30" spans="1:21" ht="100" customHeight="1">
      <c r="A30" s="22" t="s">
        <v>381</v>
      </c>
      <c r="B30" s="23" t="s">
        <v>382</v>
      </c>
      <c r="C30" s="23">
        <v>37058</v>
      </c>
      <c r="D30" s="22">
        <f t="shared" ca="1" si="0"/>
        <v>25</v>
      </c>
      <c r="E30" s="22" t="s">
        <v>286</v>
      </c>
      <c r="F30" s="22" t="s">
        <v>383</v>
      </c>
      <c r="G30" s="23" t="s">
        <v>384</v>
      </c>
      <c r="H30" s="23">
        <v>47118</v>
      </c>
      <c r="I30" s="24"/>
      <c r="J30" s="22"/>
      <c r="K30" s="22" t="s">
        <v>107</v>
      </c>
      <c r="L30" s="22"/>
      <c r="M30" s="22"/>
      <c r="N30" s="22"/>
      <c r="O30" s="22"/>
      <c r="P30" s="22"/>
      <c r="Q30" s="22"/>
      <c r="R30" s="22"/>
      <c r="S30" s="22"/>
      <c r="T30" s="22"/>
      <c r="U30" s="23"/>
    </row>
    <row r="31" spans="1:21" ht="100" customHeight="1">
      <c r="A31" s="22" t="s">
        <v>385</v>
      </c>
      <c r="B31" s="23" t="s">
        <v>34</v>
      </c>
      <c r="C31" s="23">
        <v>38849</v>
      </c>
      <c r="D31" s="22">
        <f t="shared" ca="1" si="0"/>
        <v>20</v>
      </c>
      <c r="E31" s="22" t="s">
        <v>286</v>
      </c>
      <c r="F31" s="22" t="s">
        <v>386</v>
      </c>
      <c r="G31" s="23" t="s">
        <v>117</v>
      </c>
      <c r="H31" s="23">
        <v>46812</v>
      </c>
      <c r="I31" s="24"/>
      <c r="J31" s="22"/>
      <c r="K31" s="22" t="s">
        <v>107</v>
      </c>
      <c r="L31" s="22"/>
      <c r="M31" s="22"/>
      <c r="N31" s="22"/>
      <c r="O31" s="22"/>
      <c r="P31" s="22"/>
      <c r="Q31" s="22"/>
      <c r="R31" s="22"/>
      <c r="S31" s="22"/>
      <c r="T31" s="22"/>
      <c r="U31" s="23"/>
    </row>
    <row r="32" spans="1:21" ht="100" customHeight="1">
      <c r="A32" s="22" t="s">
        <v>387</v>
      </c>
      <c r="B32" s="23" t="s">
        <v>388</v>
      </c>
      <c r="C32" s="23">
        <v>38883</v>
      </c>
      <c r="D32" s="22">
        <f t="shared" ca="1" si="0"/>
        <v>20</v>
      </c>
      <c r="E32" s="22" t="s">
        <v>286</v>
      </c>
      <c r="F32" s="22" t="s">
        <v>389</v>
      </c>
      <c r="G32" s="23" t="s">
        <v>390</v>
      </c>
      <c r="H32" s="23">
        <v>46934</v>
      </c>
      <c r="I32" s="24"/>
      <c r="J32" s="22"/>
      <c r="K32" s="65" t="s">
        <v>391</v>
      </c>
      <c r="L32" s="22"/>
      <c r="M32" s="22"/>
      <c r="N32" s="22"/>
      <c r="O32" s="22"/>
      <c r="P32" s="22"/>
      <c r="Q32" s="22"/>
      <c r="R32" s="22"/>
      <c r="S32" s="22"/>
      <c r="T32" s="22"/>
      <c r="U32" s="23"/>
    </row>
    <row r="33" spans="1:21" ht="100" customHeight="1">
      <c r="A33" s="22" t="s">
        <v>392</v>
      </c>
      <c r="B33" s="23" t="s">
        <v>307</v>
      </c>
      <c r="C33" s="23">
        <v>38199</v>
      </c>
      <c r="D33" s="22">
        <f t="shared" ca="1" si="0"/>
        <v>22</v>
      </c>
      <c r="E33" s="22" t="s">
        <v>286</v>
      </c>
      <c r="F33" s="22" t="s">
        <v>393</v>
      </c>
      <c r="G33" s="23" t="s">
        <v>394</v>
      </c>
      <c r="H33" s="23">
        <v>46934</v>
      </c>
      <c r="I33" s="24"/>
      <c r="J33" s="22"/>
      <c r="K33" s="65" t="s">
        <v>395</v>
      </c>
      <c r="L33" s="22"/>
      <c r="M33" s="22"/>
      <c r="N33" s="22"/>
      <c r="O33" s="22"/>
      <c r="P33" s="22"/>
      <c r="Q33" s="22"/>
      <c r="R33" s="22"/>
      <c r="S33" s="22"/>
      <c r="T33" s="22"/>
      <c r="U33" s="23"/>
    </row>
    <row r="34" spans="1:21" ht="100" customHeight="1">
      <c r="A34" s="22" t="s">
        <v>396</v>
      </c>
      <c r="B34" s="23" t="s">
        <v>29</v>
      </c>
      <c r="C34" s="23">
        <v>37191</v>
      </c>
      <c r="D34" s="22">
        <f t="shared" ca="1" si="0"/>
        <v>24</v>
      </c>
      <c r="E34" s="22" t="s">
        <v>286</v>
      </c>
      <c r="F34" s="22" t="s">
        <v>397</v>
      </c>
      <c r="G34" s="23" t="s">
        <v>398</v>
      </c>
      <c r="H34" s="23">
        <v>46934</v>
      </c>
      <c r="I34" s="24"/>
      <c r="J34" s="22"/>
      <c r="K34" s="65" t="s">
        <v>399</v>
      </c>
      <c r="L34" s="22"/>
      <c r="M34" s="22"/>
      <c r="N34" s="22"/>
      <c r="O34" s="22"/>
      <c r="P34" s="22"/>
      <c r="Q34" s="22"/>
      <c r="R34" s="22"/>
      <c r="S34" s="22"/>
      <c r="T34" s="22"/>
      <c r="U34" s="23"/>
    </row>
    <row r="35" spans="1:21" ht="100" customHeight="1">
      <c r="A35" s="22" t="s">
        <v>400</v>
      </c>
      <c r="B35" s="23" t="s">
        <v>401</v>
      </c>
      <c r="C35" s="23">
        <v>38400</v>
      </c>
      <c r="D35" s="22">
        <f t="shared" ca="1" si="0"/>
        <v>21</v>
      </c>
      <c r="E35" s="22" t="s">
        <v>286</v>
      </c>
      <c r="F35" s="22" t="s">
        <v>402</v>
      </c>
      <c r="G35" s="23" t="s">
        <v>403</v>
      </c>
      <c r="H35" s="23">
        <v>46934</v>
      </c>
      <c r="I35" s="24"/>
      <c r="J35" s="22"/>
      <c r="K35" s="65" t="s">
        <v>404</v>
      </c>
      <c r="L35" s="22"/>
      <c r="M35" s="22"/>
      <c r="N35" s="22"/>
      <c r="O35" s="22"/>
      <c r="P35" s="22"/>
      <c r="Q35" s="22"/>
      <c r="R35" s="22"/>
      <c r="S35" s="22"/>
      <c r="T35" s="22"/>
      <c r="U35" s="23"/>
    </row>
    <row r="36" spans="1:21" ht="100" customHeight="1">
      <c r="A36" s="22" t="s">
        <v>405</v>
      </c>
      <c r="B36" s="23" t="s">
        <v>34</v>
      </c>
      <c r="C36" s="23">
        <v>36532</v>
      </c>
      <c r="D36" s="22">
        <f t="shared" ref="D36:D67" ca="1" si="1">IF(C36="","",DATEDIF(C36,TODAY(),"Y"))</f>
        <v>26</v>
      </c>
      <c r="E36" s="22" t="s">
        <v>286</v>
      </c>
      <c r="F36" s="22" t="s">
        <v>406</v>
      </c>
      <c r="G36" s="23" t="s">
        <v>407</v>
      </c>
      <c r="H36" s="23">
        <v>46934</v>
      </c>
      <c r="I36" s="24"/>
      <c r="J36" s="22"/>
      <c r="K36" s="65" t="s">
        <v>408</v>
      </c>
      <c r="L36" s="22"/>
      <c r="M36" s="22"/>
      <c r="N36" s="22"/>
      <c r="O36" s="22"/>
      <c r="P36" s="22"/>
      <c r="Q36" s="22"/>
      <c r="R36" s="22"/>
      <c r="S36" s="22"/>
      <c r="T36" s="22"/>
      <c r="U36" s="23"/>
    </row>
    <row r="37" spans="1:21" ht="100" customHeight="1">
      <c r="A37" s="22" t="s">
        <v>409</v>
      </c>
      <c r="B37" s="23" t="s">
        <v>410</v>
      </c>
      <c r="C37" s="23">
        <v>35052</v>
      </c>
      <c r="D37" s="22">
        <f t="shared" ca="1" si="1"/>
        <v>30</v>
      </c>
      <c r="E37" s="22" t="s">
        <v>286</v>
      </c>
      <c r="F37" s="22" t="s">
        <v>411</v>
      </c>
      <c r="G37" s="23" t="s">
        <v>412</v>
      </c>
      <c r="H37" s="23">
        <v>46568</v>
      </c>
      <c r="I37" s="24"/>
      <c r="J37" s="22"/>
      <c r="K37" s="65" t="s">
        <v>413</v>
      </c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00" customHeight="1">
      <c r="A38" s="22" t="s">
        <v>414</v>
      </c>
      <c r="B38" s="23" t="s">
        <v>415</v>
      </c>
      <c r="C38" s="23"/>
      <c r="D38" s="22" t="str">
        <f t="shared" ca="1" si="1"/>
        <v/>
      </c>
      <c r="E38" s="22" t="s">
        <v>286</v>
      </c>
      <c r="F38" s="22" t="s">
        <v>416</v>
      </c>
      <c r="G38" s="23"/>
      <c r="H38" s="23" t="s">
        <v>51</v>
      </c>
      <c r="I38" s="24"/>
      <c r="J38" s="22"/>
      <c r="K38" s="65" t="s">
        <v>417</v>
      </c>
      <c r="L38" s="22"/>
      <c r="M38" s="22"/>
      <c r="N38" s="22"/>
      <c r="O38" s="22"/>
      <c r="P38" s="22"/>
      <c r="Q38" s="22"/>
      <c r="R38" s="22"/>
      <c r="S38" s="22"/>
      <c r="T38" s="22"/>
      <c r="U38" s="23"/>
    </row>
    <row r="39" spans="1:21" ht="100" customHeight="1">
      <c r="A39" s="22"/>
      <c r="B39" s="23"/>
      <c r="C39" s="23"/>
      <c r="D39" s="22" t="str">
        <f t="shared" ca="1" si="1"/>
        <v/>
      </c>
      <c r="E39" s="22" t="s">
        <v>286</v>
      </c>
      <c r="F39" s="22"/>
      <c r="G39" s="23"/>
      <c r="H39" s="23"/>
      <c r="I39" s="24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3"/>
    </row>
    <row r="40" spans="1:21" ht="100" customHeight="1">
      <c r="A40" s="22"/>
      <c r="B40" s="23"/>
      <c r="C40" s="23"/>
      <c r="D40" s="22" t="str">
        <f t="shared" ca="1" si="1"/>
        <v/>
      </c>
      <c r="E40" s="22" t="s">
        <v>286</v>
      </c>
      <c r="F40" s="22"/>
      <c r="G40" s="23"/>
      <c r="H40" s="23"/>
      <c r="I40" s="24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3"/>
    </row>
    <row r="41" spans="1:21" ht="100" customHeight="1">
      <c r="A41" s="22"/>
      <c r="B41" s="23"/>
      <c r="C41" s="23"/>
      <c r="D41" s="22" t="str">
        <f t="shared" ca="1" si="1"/>
        <v/>
      </c>
      <c r="E41" s="22" t="s">
        <v>286</v>
      </c>
      <c r="F41" s="22"/>
      <c r="G41" s="23"/>
      <c r="H41" s="23"/>
      <c r="I41" s="24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3"/>
    </row>
    <row r="42" spans="1:21" ht="100" customHeight="1">
      <c r="A42" s="22"/>
      <c r="B42" s="23"/>
      <c r="C42" s="23"/>
      <c r="D42" s="22" t="str">
        <f t="shared" ca="1" si="1"/>
        <v/>
      </c>
      <c r="E42" s="22" t="s">
        <v>286</v>
      </c>
      <c r="F42" s="22"/>
      <c r="G42" s="23"/>
      <c r="H42" s="23"/>
      <c r="I42" s="24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3"/>
    </row>
    <row r="43" spans="1:21" ht="100" customHeight="1">
      <c r="A43" s="22"/>
      <c r="B43" s="23"/>
      <c r="C43" s="23"/>
      <c r="D43" s="22" t="str">
        <f t="shared" ca="1" si="1"/>
        <v/>
      </c>
      <c r="E43" s="22" t="s">
        <v>286</v>
      </c>
      <c r="F43" s="22"/>
      <c r="G43" s="23"/>
      <c r="H43" s="23"/>
      <c r="I43" s="24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3"/>
    </row>
    <row r="44" spans="1:21" ht="100" customHeight="1">
      <c r="A44" s="22"/>
      <c r="B44" s="23"/>
      <c r="C44" s="23"/>
      <c r="D44" s="22" t="str">
        <f t="shared" ca="1" si="1"/>
        <v/>
      </c>
      <c r="E44" s="22" t="s">
        <v>286</v>
      </c>
      <c r="F44" s="22"/>
      <c r="G44" s="23"/>
      <c r="H44" s="23"/>
      <c r="I44" s="24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3"/>
    </row>
    <row r="45" spans="1:21" ht="100" customHeight="1">
      <c r="A45" s="22"/>
      <c r="B45" s="23"/>
      <c r="C45" s="23"/>
      <c r="D45" s="22" t="str">
        <f t="shared" ca="1" si="1"/>
        <v/>
      </c>
      <c r="E45" s="22" t="s">
        <v>286</v>
      </c>
      <c r="F45" s="22"/>
      <c r="G45" s="23"/>
      <c r="H45" s="23"/>
      <c r="I45" s="24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3"/>
    </row>
    <row r="46" spans="1:21" ht="100" customHeight="1">
      <c r="A46" s="22"/>
      <c r="B46" s="23"/>
      <c r="C46" s="23"/>
      <c r="D46" s="22" t="str">
        <f t="shared" ca="1" si="1"/>
        <v/>
      </c>
      <c r="E46" s="22" t="s">
        <v>286</v>
      </c>
      <c r="F46" s="22"/>
      <c r="G46" s="23"/>
      <c r="H46" s="23"/>
      <c r="I46" s="24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3"/>
    </row>
    <row r="47" spans="1:21" ht="100" customHeight="1">
      <c r="A47" s="22"/>
      <c r="B47" s="23"/>
      <c r="C47" s="23"/>
      <c r="D47" s="22" t="str">
        <f t="shared" ca="1" si="1"/>
        <v/>
      </c>
      <c r="E47" s="22" t="s">
        <v>286</v>
      </c>
      <c r="F47" s="22"/>
      <c r="G47" s="23"/>
      <c r="H47" s="23"/>
      <c r="I47" s="24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3"/>
    </row>
    <row r="48" spans="1:21" ht="100" customHeight="1">
      <c r="A48" s="22"/>
      <c r="B48" s="23"/>
      <c r="C48" s="23"/>
      <c r="D48" s="22" t="str">
        <f t="shared" ca="1" si="1"/>
        <v/>
      </c>
      <c r="E48" s="22" t="s">
        <v>286</v>
      </c>
      <c r="F48" s="22"/>
      <c r="G48" s="23"/>
      <c r="H48" s="23"/>
      <c r="I48" s="24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3"/>
    </row>
    <row r="49" spans="1:21" ht="100" customHeight="1">
      <c r="A49" s="22"/>
      <c r="B49" s="23"/>
      <c r="C49" s="23"/>
      <c r="D49" s="22" t="str">
        <f t="shared" ca="1" si="1"/>
        <v/>
      </c>
      <c r="E49" s="22" t="s">
        <v>286</v>
      </c>
      <c r="F49" s="22"/>
      <c r="G49" s="23"/>
      <c r="H49" s="23"/>
      <c r="I49" s="24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3"/>
    </row>
    <row r="50" spans="1:21" ht="100" customHeight="1">
      <c r="A50" s="22"/>
      <c r="B50" s="23"/>
      <c r="C50" s="23"/>
      <c r="D50" s="22" t="str">
        <f t="shared" ca="1" si="1"/>
        <v/>
      </c>
      <c r="E50" s="22" t="s">
        <v>286</v>
      </c>
      <c r="F50" s="22"/>
      <c r="G50" s="23"/>
      <c r="H50" s="23"/>
      <c r="I50" s="24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3"/>
    </row>
    <row r="51" spans="1:21" ht="100" customHeight="1">
      <c r="A51" s="22"/>
      <c r="B51" s="23"/>
      <c r="C51" s="23"/>
      <c r="D51" s="22" t="str">
        <f t="shared" ca="1" si="1"/>
        <v/>
      </c>
      <c r="E51" s="22" t="s">
        <v>286</v>
      </c>
      <c r="F51" s="22"/>
      <c r="G51" s="23"/>
      <c r="H51" s="23"/>
      <c r="I51" s="24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3"/>
    </row>
    <row r="52" spans="1:21" ht="100" customHeight="1">
      <c r="A52" s="22"/>
      <c r="B52" s="23"/>
      <c r="C52" s="23"/>
      <c r="D52" s="22" t="str">
        <f t="shared" ca="1" si="1"/>
        <v/>
      </c>
      <c r="E52" s="22" t="s">
        <v>286</v>
      </c>
      <c r="F52" s="22"/>
      <c r="G52" s="23"/>
      <c r="H52" s="23"/>
      <c r="I52" s="24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3"/>
    </row>
    <row r="53" spans="1:21" ht="100" customHeight="1">
      <c r="A53" s="22"/>
      <c r="B53" s="23"/>
      <c r="C53" s="23"/>
      <c r="D53" s="22" t="str">
        <f t="shared" ca="1" si="1"/>
        <v/>
      </c>
      <c r="E53" s="22" t="s">
        <v>286</v>
      </c>
      <c r="F53" s="22"/>
      <c r="G53" s="23"/>
      <c r="H53" s="23"/>
      <c r="I53" s="24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3"/>
    </row>
    <row r="54" spans="1:21" ht="100" customHeight="1">
      <c r="A54" s="22"/>
      <c r="B54" s="23"/>
      <c r="C54" s="23"/>
      <c r="D54" s="22" t="str">
        <f t="shared" ca="1" si="1"/>
        <v/>
      </c>
      <c r="E54" s="22" t="s">
        <v>286</v>
      </c>
      <c r="F54" s="22"/>
      <c r="G54" s="23"/>
      <c r="H54" s="23"/>
      <c r="I54" s="24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3"/>
    </row>
    <row r="55" spans="1:21" ht="100" customHeight="1">
      <c r="A55" s="22"/>
      <c r="B55" s="23"/>
      <c r="C55" s="23"/>
      <c r="D55" s="22" t="str">
        <f t="shared" ca="1" si="1"/>
        <v/>
      </c>
      <c r="E55" s="22" t="s">
        <v>286</v>
      </c>
      <c r="F55" s="22"/>
      <c r="G55" s="23"/>
      <c r="H55" s="23"/>
      <c r="I55" s="24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3"/>
    </row>
    <row r="56" spans="1:21" ht="100" customHeight="1">
      <c r="A56" s="22"/>
      <c r="B56" s="23"/>
      <c r="C56" s="23"/>
      <c r="D56" s="22" t="str">
        <f t="shared" ca="1" si="1"/>
        <v/>
      </c>
      <c r="E56" s="22" t="s">
        <v>286</v>
      </c>
      <c r="F56" s="22"/>
      <c r="G56" s="23"/>
      <c r="H56" s="23"/>
      <c r="I56" s="24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3"/>
    </row>
    <row r="57" spans="1:21" ht="100" customHeight="1">
      <c r="A57" s="22"/>
      <c r="B57" s="23"/>
      <c r="C57" s="23"/>
      <c r="D57" s="22" t="str">
        <f t="shared" ca="1" si="1"/>
        <v/>
      </c>
      <c r="E57" s="22" t="s">
        <v>286</v>
      </c>
      <c r="F57" s="22"/>
      <c r="G57" s="23"/>
      <c r="H57" s="23"/>
      <c r="I57" s="24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3"/>
    </row>
    <row r="58" spans="1:21" ht="100" customHeight="1">
      <c r="A58" s="22"/>
      <c r="B58" s="23"/>
      <c r="C58" s="23"/>
      <c r="D58" s="22" t="str">
        <f t="shared" ca="1" si="1"/>
        <v/>
      </c>
      <c r="E58" s="22" t="s">
        <v>286</v>
      </c>
      <c r="F58" s="22"/>
      <c r="G58" s="23"/>
      <c r="H58" s="23"/>
      <c r="I58" s="24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3"/>
    </row>
    <row r="59" spans="1:21" ht="100" customHeight="1">
      <c r="A59" s="22"/>
      <c r="B59" s="23"/>
      <c r="C59" s="23"/>
      <c r="D59" s="22" t="str">
        <f t="shared" ca="1" si="1"/>
        <v/>
      </c>
      <c r="E59" s="22" t="s">
        <v>286</v>
      </c>
      <c r="F59" s="22"/>
      <c r="G59" s="23"/>
      <c r="H59" s="23"/>
      <c r="I59" s="24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3"/>
    </row>
    <row r="60" spans="1:21" ht="100" customHeight="1">
      <c r="A60" s="22"/>
      <c r="B60" s="23"/>
      <c r="C60" s="23"/>
      <c r="D60" s="22" t="str">
        <f t="shared" ca="1" si="1"/>
        <v/>
      </c>
      <c r="E60" s="22" t="s">
        <v>286</v>
      </c>
      <c r="F60" s="22"/>
      <c r="G60" s="23"/>
      <c r="H60" s="23"/>
      <c r="I60" s="24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3"/>
    </row>
    <row r="61" spans="1:21" ht="100" customHeight="1">
      <c r="A61" s="22"/>
      <c r="B61" s="23"/>
      <c r="C61" s="23"/>
      <c r="D61" s="22" t="str">
        <f t="shared" ca="1" si="1"/>
        <v/>
      </c>
      <c r="E61" s="22" t="s">
        <v>286</v>
      </c>
      <c r="F61" s="22"/>
      <c r="G61" s="23"/>
      <c r="H61" s="23"/>
      <c r="I61" s="24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3"/>
    </row>
    <row r="62" spans="1:21" ht="100" customHeight="1">
      <c r="A62" s="22"/>
      <c r="B62" s="23"/>
      <c r="C62" s="23"/>
      <c r="D62" s="22" t="str">
        <f t="shared" ca="1" si="1"/>
        <v/>
      </c>
      <c r="E62" s="22" t="s">
        <v>286</v>
      </c>
      <c r="F62" s="22"/>
      <c r="G62" s="23"/>
      <c r="H62" s="23"/>
      <c r="I62" s="24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3"/>
    </row>
    <row r="63" spans="1:21" ht="100" customHeight="1">
      <c r="A63" s="22"/>
      <c r="B63" s="23"/>
      <c r="C63" s="23"/>
      <c r="D63" s="22" t="str">
        <f t="shared" ca="1" si="1"/>
        <v/>
      </c>
      <c r="E63" s="22" t="s">
        <v>286</v>
      </c>
      <c r="F63" s="22"/>
      <c r="G63" s="23"/>
      <c r="H63" s="23"/>
      <c r="I63" s="24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3"/>
    </row>
    <row r="64" spans="1:21" ht="100" customHeight="1">
      <c r="A64" s="22"/>
      <c r="B64" s="23"/>
      <c r="C64" s="23"/>
      <c r="D64" s="22" t="str">
        <f t="shared" ca="1" si="1"/>
        <v/>
      </c>
      <c r="E64" s="22" t="s">
        <v>286</v>
      </c>
      <c r="F64" s="22"/>
      <c r="G64" s="23"/>
      <c r="H64" s="23"/>
      <c r="I64" s="24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3"/>
    </row>
    <row r="65" spans="1:21" ht="100" customHeight="1">
      <c r="A65" s="22"/>
      <c r="B65" s="23"/>
      <c r="C65" s="23"/>
      <c r="D65" s="22" t="str">
        <f t="shared" ca="1" si="1"/>
        <v/>
      </c>
      <c r="E65" s="22" t="s">
        <v>286</v>
      </c>
      <c r="F65" s="22"/>
      <c r="G65" s="23"/>
      <c r="H65" s="23"/>
      <c r="I65" s="24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3"/>
    </row>
    <row r="66" spans="1:21" ht="100" customHeight="1">
      <c r="A66" s="22"/>
      <c r="B66" s="23"/>
      <c r="C66" s="23"/>
      <c r="D66" s="22" t="str">
        <f t="shared" ca="1" si="1"/>
        <v/>
      </c>
      <c r="E66" s="22" t="s">
        <v>286</v>
      </c>
      <c r="F66" s="22"/>
      <c r="G66" s="23"/>
      <c r="H66" s="23"/>
      <c r="I66" s="24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3"/>
    </row>
    <row r="67" spans="1:21" ht="100" customHeight="1">
      <c r="A67" s="22"/>
      <c r="B67" s="23"/>
      <c r="C67" s="23"/>
      <c r="D67" s="22" t="str">
        <f t="shared" ca="1" si="1"/>
        <v/>
      </c>
      <c r="E67" s="22" t="s">
        <v>286</v>
      </c>
      <c r="F67" s="22"/>
      <c r="G67" s="23"/>
      <c r="H67" s="23"/>
      <c r="I67" s="24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3"/>
    </row>
    <row r="68" spans="1:21" ht="100" customHeight="1">
      <c r="A68" s="22"/>
      <c r="B68" s="23"/>
      <c r="C68" s="23"/>
      <c r="D68" s="22" t="str">
        <f t="shared" ref="D68:D99" ca="1" si="2">IF(C68="","",DATEDIF(C68,TODAY(),"Y"))</f>
        <v/>
      </c>
      <c r="E68" s="22" t="s">
        <v>286</v>
      </c>
      <c r="F68" s="22"/>
      <c r="G68" s="23"/>
      <c r="H68" s="23"/>
      <c r="I68" s="24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3"/>
    </row>
    <row r="69" spans="1:21" ht="100" customHeight="1">
      <c r="A69" s="22"/>
      <c r="B69" s="23"/>
      <c r="C69" s="23"/>
      <c r="D69" s="22" t="str">
        <f t="shared" ca="1" si="2"/>
        <v/>
      </c>
      <c r="E69" s="22" t="s">
        <v>286</v>
      </c>
      <c r="F69" s="22"/>
      <c r="G69" s="23"/>
      <c r="H69" s="23"/>
      <c r="I69" s="24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3"/>
    </row>
    <row r="70" spans="1:21" ht="100" customHeight="1">
      <c r="A70" s="22"/>
      <c r="B70" s="23"/>
      <c r="C70" s="23"/>
      <c r="D70" s="22" t="str">
        <f t="shared" ca="1" si="2"/>
        <v/>
      </c>
      <c r="E70" s="22" t="s">
        <v>286</v>
      </c>
      <c r="F70" s="22"/>
      <c r="G70" s="23"/>
      <c r="H70" s="23"/>
      <c r="I70" s="24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3"/>
    </row>
    <row r="71" spans="1:21" ht="100" customHeight="1">
      <c r="A71" s="22"/>
      <c r="B71" s="23"/>
      <c r="C71" s="23"/>
      <c r="D71" s="22" t="str">
        <f t="shared" ca="1" si="2"/>
        <v/>
      </c>
      <c r="E71" s="22" t="s">
        <v>286</v>
      </c>
      <c r="F71" s="22"/>
      <c r="G71" s="23"/>
      <c r="H71" s="23"/>
      <c r="I71" s="24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3"/>
    </row>
    <row r="72" spans="1:21" ht="100" customHeight="1">
      <c r="A72" s="22"/>
      <c r="B72" s="23"/>
      <c r="C72" s="23"/>
      <c r="D72" s="22" t="str">
        <f t="shared" ca="1" si="2"/>
        <v/>
      </c>
      <c r="E72" s="22" t="s">
        <v>286</v>
      </c>
      <c r="F72" s="22"/>
      <c r="G72" s="23"/>
      <c r="H72" s="23"/>
      <c r="I72" s="24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00" customHeight="1">
      <c r="A73" s="22"/>
      <c r="B73" s="23"/>
      <c r="C73" s="23"/>
      <c r="D73" s="22" t="str">
        <f t="shared" ca="1" si="2"/>
        <v/>
      </c>
      <c r="E73" s="22" t="s">
        <v>286</v>
      </c>
      <c r="F73" s="22"/>
      <c r="G73" s="23"/>
      <c r="H73" s="23"/>
      <c r="I73" s="24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3"/>
    </row>
    <row r="74" spans="1:21" ht="100" customHeight="1">
      <c r="A74" s="22"/>
      <c r="B74" s="23"/>
      <c r="C74" s="23"/>
      <c r="D74" s="22" t="str">
        <f t="shared" ca="1" si="2"/>
        <v/>
      </c>
      <c r="E74" s="22" t="s">
        <v>286</v>
      </c>
      <c r="F74" s="22"/>
      <c r="G74" s="23"/>
      <c r="H74" s="23"/>
      <c r="I74" s="24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3"/>
    </row>
    <row r="75" spans="1:21" ht="100" customHeight="1">
      <c r="A75" s="22"/>
      <c r="B75" s="23"/>
      <c r="C75" s="23"/>
      <c r="D75" s="22" t="str">
        <f t="shared" ca="1" si="2"/>
        <v/>
      </c>
      <c r="E75" s="22" t="s">
        <v>286</v>
      </c>
      <c r="F75" s="22"/>
      <c r="G75" s="23"/>
      <c r="H75" s="23"/>
      <c r="I75" s="24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3"/>
    </row>
    <row r="76" spans="1:21" ht="100" customHeight="1">
      <c r="A76" s="22"/>
      <c r="B76" s="23"/>
      <c r="C76" s="23"/>
      <c r="D76" s="22" t="str">
        <f t="shared" ca="1" si="2"/>
        <v/>
      </c>
      <c r="E76" s="22" t="s">
        <v>286</v>
      </c>
      <c r="F76" s="22"/>
      <c r="G76" s="23"/>
      <c r="H76" s="23"/>
      <c r="I76" s="24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3"/>
    </row>
    <row r="77" spans="1:21" ht="100" customHeight="1">
      <c r="A77" s="22"/>
      <c r="B77" s="23"/>
      <c r="C77" s="23"/>
      <c r="D77" s="22" t="str">
        <f t="shared" ca="1" si="2"/>
        <v/>
      </c>
      <c r="E77" s="22" t="s">
        <v>286</v>
      </c>
      <c r="F77" s="22"/>
      <c r="G77" s="23"/>
      <c r="H77" s="23"/>
      <c r="I77" s="24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3"/>
    </row>
    <row r="78" spans="1:21" ht="100" customHeight="1">
      <c r="A78" s="22"/>
      <c r="B78" s="23"/>
      <c r="C78" s="23"/>
      <c r="D78" s="22" t="str">
        <f t="shared" ca="1" si="2"/>
        <v/>
      </c>
      <c r="E78" s="22" t="s">
        <v>286</v>
      </c>
      <c r="F78" s="22"/>
      <c r="G78" s="23"/>
      <c r="H78" s="23"/>
      <c r="I78" s="24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3"/>
    </row>
    <row r="79" spans="1:21" ht="100" customHeight="1">
      <c r="A79" s="22"/>
      <c r="B79" s="23"/>
      <c r="C79" s="23"/>
      <c r="D79" s="22" t="str">
        <f t="shared" ca="1" si="2"/>
        <v/>
      </c>
      <c r="E79" s="22" t="s">
        <v>286</v>
      </c>
      <c r="F79" s="22"/>
      <c r="G79" s="23"/>
      <c r="H79" s="23"/>
      <c r="I79" s="24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3"/>
    </row>
    <row r="80" spans="1:21" ht="100" customHeight="1">
      <c r="A80" s="22"/>
      <c r="B80" s="23"/>
      <c r="C80" s="23"/>
      <c r="D80" s="22" t="str">
        <f t="shared" ca="1" si="2"/>
        <v/>
      </c>
      <c r="E80" s="22" t="s">
        <v>286</v>
      </c>
      <c r="F80" s="22"/>
      <c r="G80" s="23"/>
      <c r="H80" s="23"/>
      <c r="I80" s="24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3"/>
    </row>
    <row r="81" spans="1:21" ht="100" customHeight="1">
      <c r="A81" s="22"/>
      <c r="B81" s="23"/>
      <c r="C81" s="23"/>
      <c r="D81" s="22" t="str">
        <f t="shared" ca="1" si="2"/>
        <v/>
      </c>
      <c r="E81" s="22" t="s">
        <v>286</v>
      </c>
      <c r="F81" s="22"/>
      <c r="G81" s="23"/>
      <c r="H81" s="23"/>
      <c r="I81" s="24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3"/>
    </row>
    <row r="82" spans="1:21" ht="100" customHeight="1">
      <c r="A82" s="22"/>
      <c r="B82" s="23"/>
      <c r="C82" s="23"/>
      <c r="D82" s="22" t="str">
        <f t="shared" ca="1" si="2"/>
        <v/>
      </c>
      <c r="E82" s="22" t="s">
        <v>286</v>
      </c>
      <c r="F82" s="22"/>
      <c r="G82" s="23"/>
      <c r="H82" s="23"/>
      <c r="I82" s="24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3"/>
    </row>
    <row r="83" spans="1:21" ht="100" customHeight="1">
      <c r="A83" s="22"/>
      <c r="B83" s="23"/>
      <c r="C83" s="23"/>
      <c r="D83" s="22" t="str">
        <f t="shared" ca="1" si="2"/>
        <v/>
      </c>
      <c r="E83" s="22" t="s">
        <v>286</v>
      </c>
      <c r="F83" s="22"/>
      <c r="G83" s="23"/>
      <c r="H83" s="23"/>
      <c r="I83" s="24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3"/>
    </row>
    <row r="84" spans="1:21" ht="100" customHeight="1">
      <c r="A84" s="22"/>
      <c r="B84" s="23"/>
      <c r="C84" s="23"/>
      <c r="D84" s="22" t="str">
        <f t="shared" ca="1" si="2"/>
        <v/>
      </c>
      <c r="E84" s="22" t="s">
        <v>286</v>
      </c>
      <c r="F84" s="22"/>
      <c r="G84" s="23"/>
      <c r="H84" s="23"/>
      <c r="I84" s="24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3"/>
    </row>
    <row r="85" spans="1:21" ht="100" customHeight="1">
      <c r="A85" s="22"/>
      <c r="B85" s="23"/>
      <c r="C85" s="23"/>
      <c r="D85" s="22" t="str">
        <f t="shared" ca="1" si="2"/>
        <v/>
      </c>
      <c r="E85" s="22" t="s">
        <v>286</v>
      </c>
      <c r="F85" s="22"/>
      <c r="G85" s="23"/>
      <c r="H85" s="23"/>
      <c r="I85" s="24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3"/>
    </row>
    <row r="86" spans="1:21" ht="100" customHeight="1">
      <c r="A86" s="22"/>
      <c r="B86" s="23"/>
      <c r="C86" s="23"/>
      <c r="D86" s="22" t="str">
        <f t="shared" ca="1" si="2"/>
        <v/>
      </c>
      <c r="E86" s="22" t="s">
        <v>286</v>
      </c>
      <c r="F86" s="22"/>
      <c r="G86" s="23"/>
      <c r="H86" s="23"/>
      <c r="I86" s="24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3"/>
    </row>
    <row r="87" spans="1:21" ht="100" customHeight="1">
      <c r="A87" s="22"/>
      <c r="B87" s="23"/>
      <c r="C87" s="23"/>
      <c r="D87" s="22" t="str">
        <f t="shared" ca="1" si="2"/>
        <v/>
      </c>
      <c r="E87" s="22" t="s">
        <v>286</v>
      </c>
      <c r="F87" s="22"/>
      <c r="G87" s="23"/>
      <c r="H87" s="23"/>
      <c r="I87" s="24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3"/>
    </row>
    <row r="88" spans="1:21" ht="100" customHeight="1">
      <c r="A88" s="22"/>
      <c r="B88" s="23"/>
      <c r="C88" s="23"/>
      <c r="D88" s="22" t="str">
        <f t="shared" ca="1" si="2"/>
        <v/>
      </c>
      <c r="E88" s="22" t="s">
        <v>286</v>
      </c>
      <c r="F88" s="22"/>
      <c r="G88" s="23"/>
      <c r="H88" s="23"/>
      <c r="I88" s="24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3"/>
    </row>
    <row r="89" spans="1:21" ht="100" customHeight="1">
      <c r="A89" s="22"/>
      <c r="B89" s="23"/>
      <c r="C89" s="23"/>
      <c r="D89" s="22" t="str">
        <f t="shared" ca="1" si="2"/>
        <v/>
      </c>
      <c r="E89" s="22" t="s">
        <v>286</v>
      </c>
      <c r="F89" s="22"/>
      <c r="G89" s="23"/>
      <c r="H89" s="23"/>
      <c r="I89" s="24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3"/>
    </row>
    <row r="90" spans="1:21" ht="100" customHeight="1">
      <c r="A90" s="22"/>
      <c r="B90" s="23"/>
      <c r="C90" s="23"/>
      <c r="D90" s="22" t="str">
        <f t="shared" ca="1" si="2"/>
        <v/>
      </c>
      <c r="E90" s="22" t="s">
        <v>286</v>
      </c>
      <c r="F90" s="22"/>
      <c r="G90" s="23"/>
      <c r="H90" s="23"/>
      <c r="I90" s="24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3"/>
    </row>
    <row r="91" spans="1:21" ht="100" customHeight="1">
      <c r="A91" s="22"/>
      <c r="B91" s="23"/>
      <c r="C91" s="23"/>
      <c r="D91" s="22" t="str">
        <f t="shared" ca="1" si="2"/>
        <v/>
      </c>
      <c r="E91" s="22" t="s">
        <v>286</v>
      </c>
      <c r="F91" s="22"/>
      <c r="G91" s="23"/>
      <c r="H91" s="23"/>
      <c r="I91" s="24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3"/>
    </row>
    <row r="92" spans="1:21" ht="100" customHeight="1">
      <c r="A92" s="22"/>
      <c r="B92" s="23"/>
      <c r="C92" s="23"/>
      <c r="D92" s="22" t="str">
        <f t="shared" ca="1" si="2"/>
        <v/>
      </c>
      <c r="E92" s="22" t="s">
        <v>286</v>
      </c>
      <c r="F92" s="22"/>
      <c r="G92" s="23"/>
      <c r="H92" s="23"/>
      <c r="I92" s="24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3"/>
    </row>
    <row r="93" spans="1:21" ht="100" customHeight="1">
      <c r="A93" s="22"/>
      <c r="B93" s="23"/>
      <c r="C93" s="23"/>
      <c r="D93" s="22" t="str">
        <f t="shared" ca="1" si="2"/>
        <v/>
      </c>
      <c r="E93" s="22" t="s">
        <v>286</v>
      </c>
      <c r="F93" s="22"/>
      <c r="G93" s="23"/>
      <c r="H93" s="23"/>
      <c r="I93" s="24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3"/>
    </row>
    <row r="94" spans="1:21" ht="100" customHeight="1">
      <c r="A94" s="22"/>
      <c r="B94" s="23"/>
      <c r="C94" s="23"/>
      <c r="D94" s="22" t="str">
        <f t="shared" ca="1" si="2"/>
        <v/>
      </c>
      <c r="E94" s="22" t="s">
        <v>286</v>
      </c>
      <c r="F94" s="22"/>
      <c r="G94" s="23"/>
      <c r="H94" s="23"/>
      <c r="I94" s="24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3"/>
    </row>
    <row r="95" spans="1:21" ht="100" customHeight="1">
      <c r="A95" s="22"/>
      <c r="B95" s="23"/>
      <c r="C95" s="23"/>
      <c r="D95" s="22" t="str">
        <f t="shared" ca="1" si="2"/>
        <v/>
      </c>
      <c r="E95" s="22" t="s">
        <v>286</v>
      </c>
      <c r="F95" s="22"/>
      <c r="G95" s="23"/>
      <c r="H95" s="23"/>
      <c r="I95" s="24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3"/>
    </row>
    <row r="96" spans="1:21" ht="100" customHeight="1">
      <c r="A96" s="22"/>
      <c r="B96" s="23"/>
      <c r="C96" s="23"/>
      <c r="D96" s="22" t="str">
        <f t="shared" ca="1" si="2"/>
        <v/>
      </c>
      <c r="E96" s="22" t="s">
        <v>286</v>
      </c>
      <c r="F96" s="22"/>
      <c r="G96" s="23"/>
      <c r="H96" s="23"/>
      <c r="I96" s="24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3"/>
    </row>
    <row r="97" spans="1:21" ht="100" customHeight="1">
      <c r="A97" s="22"/>
      <c r="B97" s="23"/>
      <c r="C97" s="23"/>
      <c r="D97" s="22" t="str">
        <f t="shared" ca="1" si="2"/>
        <v/>
      </c>
      <c r="E97" s="22" t="s">
        <v>286</v>
      </c>
      <c r="F97" s="22"/>
      <c r="G97" s="23"/>
      <c r="H97" s="23"/>
      <c r="I97" s="24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3"/>
    </row>
    <row r="98" spans="1:21" ht="100" customHeight="1">
      <c r="A98" s="22"/>
      <c r="B98" s="23"/>
      <c r="C98" s="23"/>
      <c r="D98" s="22" t="str">
        <f t="shared" ca="1" si="2"/>
        <v/>
      </c>
      <c r="E98" s="22" t="s">
        <v>286</v>
      </c>
      <c r="F98" s="22"/>
      <c r="G98" s="23"/>
      <c r="H98" s="23"/>
      <c r="I98" s="24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3"/>
    </row>
    <row r="99" spans="1:21" ht="100" customHeight="1">
      <c r="A99" s="22"/>
      <c r="B99" s="23"/>
      <c r="C99" s="23"/>
      <c r="D99" s="22" t="str">
        <f t="shared" ca="1" si="2"/>
        <v/>
      </c>
      <c r="E99" s="22" t="s">
        <v>286</v>
      </c>
      <c r="F99" s="22"/>
      <c r="G99" s="23"/>
      <c r="H99" s="23"/>
      <c r="I99" s="24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3"/>
    </row>
    <row r="100" spans="1:21" ht="100" customHeight="1">
      <c r="A100" s="22"/>
      <c r="B100" s="23"/>
      <c r="C100" s="23"/>
      <c r="D100" s="22" t="str">
        <f t="shared" ref="D100:D103" ca="1" si="3">IF(C100="","",DATEDIF(C100,TODAY(),"Y"))</f>
        <v/>
      </c>
      <c r="E100" s="22" t="s">
        <v>286</v>
      </c>
      <c r="F100" s="22"/>
      <c r="G100" s="23"/>
      <c r="H100" s="23"/>
      <c r="I100" s="24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3"/>
    </row>
    <row r="101" spans="1:21" ht="100" customHeight="1">
      <c r="A101" s="22"/>
      <c r="B101" s="23"/>
      <c r="C101" s="23"/>
      <c r="D101" s="22" t="str">
        <f t="shared" ca="1" si="3"/>
        <v/>
      </c>
      <c r="E101" s="22" t="s">
        <v>286</v>
      </c>
      <c r="F101" s="22"/>
      <c r="G101" s="23"/>
      <c r="H101" s="23"/>
      <c r="I101" s="24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3"/>
    </row>
    <row r="102" spans="1:21" ht="100" customHeight="1">
      <c r="A102" s="22"/>
      <c r="B102" s="23"/>
      <c r="C102" s="23"/>
      <c r="D102" s="22" t="str">
        <f t="shared" ca="1" si="3"/>
        <v/>
      </c>
      <c r="E102" s="22" t="s">
        <v>286</v>
      </c>
      <c r="F102" s="22"/>
      <c r="G102" s="23"/>
      <c r="H102" s="23"/>
      <c r="I102" s="24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3"/>
    </row>
    <row r="103" spans="1:21" ht="100" customHeight="1">
      <c r="A103" s="22"/>
      <c r="B103" s="23"/>
      <c r="C103" s="23"/>
      <c r="D103" s="22" t="str">
        <f t="shared" ca="1" si="3"/>
        <v/>
      </c>
      <c r="E103" s="22" t="s">
        <v>286</v>
      </c>
      <c r="F103" s="22"/>
      <c r="G103" s="23"/>
      <c r="H103" s="23"/>
      <c r="I103" s="24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3"/>
    </row>
  </sheetData>
  <mergeCells count="2">
    <mergeCell ref="A1:U1"/>
    <mergeCell ref="A2:I2"/>
  </mergeCells>
  <conditionalFormatting sqref="A4:U103">
    <cfRule type="expression" dxfId="36" priority="1">
      <formula>$I4="Yeşil"</formula>
    </cfRule>
    <cfRule type="expression" dxfId="35" priority="2">
      <formula>$I4="Sarı"</formula>
    </cfRule>
    <cfRule type="expression" dxfId="34" priority="3">
      <formula>$I4="Kırmızı"</formula>
    </cfRule>
  </conditionalFormatting>
  <conditionalFormatting sqref="H4:H103">
    <cfRule type="expression" dxfId="33" priority="4">
      <formula>AND($H4&lt;&gt;"",$H4&gt;=TODAY(),$H4&lt;=EDATE(TODAY(),6))</formula>
    </cfRule>
    <cfRule type="expression" dxfId="32" priority="5">
      <formula>AND($H4&lt;&gt;"",$H4&gt;EDATE(TODAY(),6),$H4&lt;=EDATE(TODAY(),12))</formula>
    </cfRule>
  </conditionalFormatting>
  <dataValidations count="3">
    <dataValidation type="list" allowBlank="1" showErrorMessage="1" sqref="I4:I103" xr:uid="{00000000-0002-0000-0C00-000000000000}">
      <formula1>"Kırmızı,Sarı,Yeşil"</formula1>
    </dataValidation>
    <dataValidation sqref="L4:R103" xr:uid="{00000000-0002-0000-0C00-000001000000}">
      <formula1>1</formula1>
      <formula2>10</formula2>
    </dataValidation>
    <dataValidation type="list" sqref="T4:T103" xr:uid="{00000000-0002-0000-0C00-000002000000}">
      <formula1>"A Liste,B Liste,Takip,Tekrar İzle,Ele"</formula1>
    </dataValidation>
  </dataValidations>
  <hyperlinks>
    <hyperlink ref="K11" r:id="rId1" xr:uid="{00000000-0004-0000-0C00-000000000000}"/>
    <hyperlink ref="K16" r:id="rId2" xr:uid="{00000000-0004-0000-0C00-000001000000}"/>
    <hyperlink ref="K19" r:id="rId3" xr:uid="{00000000-0004-0000-0C00-000002000000}"/>
    <hyperlink ref="K20" r:id="rId4" xr:uid="{00000000-0004-0000-0C00-000003000000}"/>
    <hyperlink ref="K21" r:id="rId5" xr:uid="{00000000-0004-0000-0C00-000004000000}"/>
    <hyperlink ref="K22" r:id="rId6" xr:uid="{00000000-0004-0000-0C00-000005000000}"/>
    <hyperlink ref="K23" r:id="rId7" xr:uid="{00000000-0004-0000-0C00-000006000000}"/>
    <hyperlink ref="K24" r:id="rId8" xr:uid="{00000000-0004-0000-0C00-000007000000}"/>
    <hyperlink ref="K25" r:id="rId9" xr:uid="{00000000-0004-0000-0C00-000008000000}"/>
    <hyperlink ref="K26" r:id="rId10" xr:uid="{00000000-0004-0000-0C00-000009000000}"/>
    <hyperlink ref="K27" r:id="rId11" xr:uid="{00000000-0004-0000-0C00-00000A000000}"/>
    <hyperlink ref="K28" r:id="rId12" xr:uid="{00000000-0004-0000-0C00-00000B000000}"/>
    <hyperlink ref="K29" r:id="rId13" xr:uid="{00000000-0004-0000-0C00-00000C000000}"/>
    <hyperlink ref="K30" r:id="rId14" xr:uid="{00000000-0004-0000-0C00-00000D000000}"/>
    <hyperlink ref="K31" r:id="rId15" xr:uid="{00000000-0004-0000-0C00-00000E000000}"/>
    <hyperlink ref="K32" r:id="rId16" xr:uid="{00000000-0004-0000-0C00-00000F000000}"/>
    <hyperlink ref="K33" r:id="rId17" xr:uid="{00000000-0004-0000-0C00-000010000000}"/>
    <hyperlink ref="K34" r:id="rId18" xr:uid="{00000000-0004-0000-0C00-000011000000}"/>
    <hyperlink ref="K35" r:id="rId19" xr:uid="{00000000-0004-0000-0C00-000012000000}"/>
    <hyperlink ref="K36" r:id="rId20" xr:uid="{00000000-0004-0000-0C00-000013000000}"/>
    <hyperlink ref="K37" r:id="rId21" xr:uid="{00000000-0004-0000-0C00-000014000000}"/>
    <hyperlink ref="K38" r:id="rId22" xr:uid="{00000000-0004-0000-0C00-000015000000}"/>
  </hyperlinks>
  <pageMargins left="0.7" right="0.7" top="0.75" bottom="0.75" header="0.3" footer="0.3"/>
  <drawing r:id="rId2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03"/>
  <sheetViews>
    <sheetView showGridLines="0" workbookViewId="0">
      <selection activeCell="A15" sqref="A15"/>
    </sheetView>
  </sheetViews>
  <sheetFormatPr baseColWidth="10" defaultColWidth="8.83203125" defaultRowHeight="14"/>
  <cols>
    <col min="1" max="1" width="24" customWidth="1"/>
    <col min="2" max="3" width="14" customWidth="1"/>
    <col min="4" max="4" width="8" customWidth="1"/>
    <col min="5" max="5" width="16" customWidth="1"/>
    <col min="6" max="6" width="18" customWidth="1"/>
    <col min="7" max="7" width="20" customWidth="1"/>
    <col min="8" max="8" width="18" customWidth="1"/>
    <col min="9" max="9" width="11" customWidth="1"/>
    <col min="10" max="10" width="100.83203125" customWidth="1"/>
    <col min="11" max="11" width="54.6640625" bestFit="1" customWidth="1"/>
    <col min="12" max="15" width="9" customWidth="1"/>
    <col min="16" max="17" width="10" customWidth="1"/>
    <col min="18" max="18" width="12.5" customWidth="1"/>
    <col min="19" max="19" width="11" customWidth="1"/>
    <col min="20" max="21" width="14" customWidth="1"/>
  </cols>
  <sheetData>
    <row r="1" spans="1:21" ht="30" customHeight="1">
      <c r="A1" s="67" t="s">
        <v>418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1" ht="15" customHeight="1">
      <c r="A2" s="96"/>
      <c r="B2" s="68"/>
      <c r="C2" s="68"/>
      <c r="D2" s="68"/>
      <c r="E2" s="68"/>
      <c r="F2" s="68"/>
      <c r="G2" s="68"/>
      <c r="H2" s="68"/>
      <c r="I2" s="68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30" customHeight="1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U3" s="21" t="s">
        <v>21</v>
      </c>
    </row>
    <row r="4" spans="1:21" ht="100" customHeight="1">
      <c r="A4" s="22" t="s">
        <v>419</v>
      </c>
      <c r="B4" s="23" t="s">
        <v>420</v>
      </c>
      <c r="C4" s="23">
        <v>38982</v>
      </c>
      <c r="D4" s="22">
        <f t="shared" ref="D4:D35" ca="1" si="0">IF(C4="","",DATEDIF(C4,TODAY(),"Y"))</f>
        <v>20</v>
      </c>
      <c r="E4" s="22" t="s">
        <v>421</v>
      </c>
      <c r="F4" s="22"/>
      <c r="G4" s="23" t="s">
        <v>422</v>
      </c>
      <c r="H4" s="23">
        <v>47664</v>
      </c>
      <c r="I4" s="24" t="s">
        <v>26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 t="s">
        <v>44</v>
      </c>
      <c r="U4" s="23"/>
    </row>
    <row r="5" spans="1:21" ht="100" customHeight="1">
      <c r="A5" s="22" t="s">
        <v>423</v>
      </c>
      <c r="B5" s="23" t="s">
        <v>34</v>
      </c>
      <c r="C5" s="23">
        <v>38926</v>
      </c>
      <c r="D5" s="22">
        <f t="shared" ca="1" si="0"/>
        <v>20</v>
      </c>
      <c r="E5" s="22" t="s">
        <v>421</v>
      </c>
      <c r="F5" s="22"/>
      <c r="G5" s="23" t="s">
        <v>424</v>
      </c>
      <c r="H5" s="23">
        <v>47118</v>
      </c>
      <c r="I5" s="24" t="s">
        <v>36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 t="s">
        <v>41</v>
      </c>
      <c r="U5" s="23"/>
    </row>
    <row r="6" spans="1:21" ht="100" customHeight="1">
      <c r="A6" s="22" t="s">
        <v>425</v>
      </c>
      <c r="B6" s="23" t="s">
        <v>420</v>
      </c>
      <c r="C6" s="23">
        <v>35235</v>
      </c>
      <c r="D6" s="22">
        <f t="shared" ca="1" si="0"/>
        <v>30</v>
      </c>
      <c r="E6" s="22" t="s">
        <v>421</v>
      </c>
      <c r="F6" s="22"/>
      <c r="G6" s="23" t="s">
        <v>426</v>
      </c>
      <c r="H6" s="23">
        <v>46568</v>
      </c>
      <c r="I6" s="24" t="s">
        <v>31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 t="s">
        <v>32</v>
      </c>
      <c r="U6" s="23"/>
    </row>
    <row r="7" spans="1:21" ht="100" customHeight="1">
      <c r="A7" s="22" t="s">
        <v>427</v>
      </c>
      <c r="B7" s="23" t="s">
        <v>29</v>
      </c>
      <c r="C7" s="23">
        <v>38099</v>
      </c>
      <c r="D7" s="22">
        <f t="shared" ca="1" si="0"/>
        <v>22</v>
      </c>
      <c r="E7" s="22" t="s">
        <v>421</v>
      </c>
      <c r="F7" s="22"/>
      <c r="G7" s="23" t="s">
        <v>428</v>
      </c>
      <c r="H7" s="23">
        <v>47299</v>
      </c>
      <c r="I7" s="24" t="s">
        <v>31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 t="s">
        <v>32</v>
      </c>
      <c r="U7" s="23"/>
    </row>
    <row r="8" spans="1:21" ht="100" customHeight="1">
      <c r="A8" s="22" t="s">
        <v>429</v>
      </c>
      <c r="B8" s="23" t="s">
        <v>71</v>
      </c>
      <c r="C8" s="23">
        <v>34695</v>
      </c>
      <c r="D8" s="22">
        <f t="shared" ca="1" si="0"/>
        <v>31</v>
      </c>
      <c r="E8" s="22" t="s">
        <v>421</v>
      </c>
      <c r="F8" s="22"/>
      <c r="G8" s="23" t="s">
        <v>72</v>
      </c>
      <c r="H8" s="23">
        <v>46934</v>
      </c>
      <c r="I8" s="24" t="s">
        <v>31</v>
      </c>
      <c r="J8" s="22"/>
      <c r="K8" s="22" t="s">
        <v>430</v>
      </c>
      <c r="L8" s="22"/>
      <c r="M8" s="22"/>
      <c r="N8" s="22"/>
      <c r="O8" s="22"/>
      <c r="P8" s="22"/>
      <c r="Q8" s="22"/>
      <c r="R8" s="22"/>
      <c r="S8" s="22"/>
      <c r="T8" s="22" t="s">
        <v>32</v>
      </c>
      <c r="U8" s="23"/>
    </row>
    <row r="9" spans="1:21" ht="100" customHeight="1">
      <c r="A9" s="22" t="s">
        <v>431</v>
      </c>
      <c r="B9" s="38" t="s">
        <v>415</v>
      </c>
      <c r="C9" s="23">
        <v>37670</v>
      </c>
      <c r="D9" s="22">
        <f t="shared" ca="1" si="0"/>
        <v>23</v>
      </c>
      <c r="E9" s="22" t="s">
        <v>421</v>
      </c>
      <c r="F9" s="22"/>
      <c r="G9" s="23" t="s">
        <v>50</v>
      </c>
      <c r="H9" s="23" t="s">
        <v>51</v>
      </c>
      <c r="I9" s="24" t="s">
        <v>36</v>
      </c>
      <c r="J9" s="22"/>
      <c r="K9" s="22" t="s">
        <v>432</v>
      </c>
      <c r="L9" s="22"/>
      <c r="M9" s="22"/>
      <c r="N9" s="22"/>
      <c r="O9" s="22"/>
      <c r="P9" s="22"/>
      <c r="Q9" s="22"/>
      <c r="R9" s="22"/>
      <c r="S9" s="22"/>
      <c r="T9" s="22" t="s">
        <v>38</v>
      </c>
      <c r="U9" s="23"/>
    </row>
    <row r="10" spans="1:21" ht="100" customHeight="1">
      <c r="A10" s="22" t="s">
        <v>433</v>
      </c>
      <c r="B10" s="23" t="s">
        <v>434</v>
      </c>
      <c r="C10" s="23">
        <v>36036</v>
      </c>
      <c r="D10" s="22">
        <f t="shared" ca="1" si="0"/>
        <v>28</v>
      </c>
      <c r="E10" s="22" t="s">
        <v>421</v>
      </c>
      <c r="F10" s="22"/>
      <c r="G10" s="23" t="s">
        <v>313</v>
      </c>
      <c r="H10" s="23">
        <v>47664</v>
      </c>
      <c r="I10" s="24" t="s">
        <v>31</v>
      </c>
      <c r="J10" s="22"/>
      <c r="K10" s="22" t="s">
        <v>435</v>
      </c>
      <c r="L10" s="22"/>
      <c r="M10" s="22"/>
      <c r="N10" s="22"/>
      <c r="O10" s="22"/>
      <c r="P10" s="22"/>
      <c r="Q10" s="22"/>
      <c r="R10" s="22"/>
      <c r="S10" s="22"/>
      <c r="T10" s="22" t="s">
        <v>32</v>
      </c>
      <c r="U10" s="23"/>
    </row>
    <row r="11" spans="1:21" ht="100" customHeight="1">
      <c r="A11" s="22" t="s">
        <v>436</v>
      </c>
      <c r="B11" s="23" t="s">
        <v>34</v>
      </c>
      <c r="C11" s="23">
        <v>38027</v>
      </c>
      <c r="D11" s="22">
        <f t="shared" ca="1" si="0"/>
        <v>22</v>
      </c>
      <c r="E11" s="22" t="s">
        <v>421</v>
      </c>
      <c r="F11" s="22"/>
      <c r="G11" s="23" t="s">
        <v>437</v>
      </c>
      <c r="H11" s="23">
        <v>47118</v>
      </c>
      <c r="I11" s="24" t="s">
        <v>36</v>
      </c>
      <c r="J11" s="22"/>
      <c r="K11" s="22" t="s">
        <v>438</v>
      </c>
      <c r="L11" s="22"/>
      <c r="M11" s="22"/>
      <c r="N11" s="22"/>
      <c r="O11" s="22"/>
      <c r="P11" s="22"/>
      <c r="Q11" s="22"/>
      <c r="R11" s="22"/>
      <c r="S11" s="22"/>
      <c r="T11" s="22" t="s">
        <v>38</v>
      </c>
      <c r="U11" s="23"/>
    </row>
    <row r="12" spans="1:21" ht="100" customHeight="1">
      <c r="A12" s="22" t="s">
        <v>439</v>
      </c>
      <c r="B12" s="23" t="s">
        <v>29</v>
      </c>
      <c r="C12" s="23">
        <v>34168</v>
      </c>
      <c r="D12" s="22">
        <f t="shared" ca="1" si="0"/>
        <v>33</v>
      </c>
      <c r="E12" s="22" t="s">
        <v>421</v>
      </c>
      <c r="F12" s="22"/>
      <c r="G12" s="23" t="s">
        <v>440</v>
      </c>
      <c r="H12" s="23">
        <v>46568</v>
      </c>
      <c r="I12" s="24" t="s">
        <v>36</v>
      </c>
      <c r="J12" s="22"/>
      <c r="K12" s="22" t="s">
        <v>441</v>
      </c>
      <c r="L12" s="22"/>
      <c r="M12" s="22"/>
      <c r="N12" s="22"/>
      <c r="O12" s="22"/>
      <c r="P12" s="22"/>
      <c r="Q12" s="22"/>
      <c r="R12" s="22"/>
      <c r="S12" s="22"/>
      <c r="T12" s="22" t="s">
        <v>38</v>
      </c>
      <c r="U12" s="23"/>
    </row>
    <row r="13" spans="1:21" ht="100" customHeight="1">
      <c r="A13" s="22" t="s">
        <v>442</v>
      </c>
      <c r="B13" s="23" t="s">
        <v>443</v>
      </c>
      <c r="C13" s="23">
        <v>37534</v>
      </c>
      <c r="D13" s="22">
        <f t="shared" ca="1" si="0"/>
        <v>24</v>
      </c>
      <c r="E13" s="22" t="s">
        <v>421</v>
      </c>
      <c r="F13" s="22"/>
      <c r="G13" s="23" t="s">
        <v>444</v>
      </c>
      <c r="H13" s="23">
        <v>47299</v>
      </c>
      <c r="I13" s="24" t="s">
        <v>31</v>
      </c>
      <c r="J13" s="22"/>
      <c r="K13" s="40" t="s">
        <v>445</v>
      </c>
      <c r="L13" s="22"/>
      <c r="M13" s="22"/>
      <c r="N13" s="22"/>
      <c r="O13" s="22"/>
      <c r="P13" s="22"/>
      <c r="Q13" s="22"/>
      <c r="R13" s="22"/>
      <c r="S13" s="22"/>
      <c r="T13" s="22" t="s">
        <v>44</v>
      </c>
      <c r="U13" s="23"/>
    </row>
    <row r="14" spans="1:21" ht="100" customHeight="1">
      <c r="A14" s="22" t="s">
        <v>446</v>
      </c>
      <c r="B14" s="23" t="s">
        <v>29</v>
      </c>
      <c r="C14" s="23">
        <v>37519</v>
      </c>
      <c r="D14" s="22">
        <f t="shared" ca="1" si="0"/>
        <v>24</v>
      </c>
      <c r="E14" s="22" t="s">
        <v>421</v>
      </c>
      <c r="F14" s="22"/>
      <c r="G14" s="23" t="s">
        <v>447</v>
      </c>
      <c r="H14" s="23">
        <v>46568</v>
      </c>
      <c r="I14" s="24" t="s">
        <v>31</v>
      </c>
      <c r="J14" s="22"/>
      <c r="K14" s="22" t="s">
        <v>448</v>
      </c>
      <c r="L14" s="22"/>
      <c r="M14" s="22"/>
      <c r="N14" s="22"/>
      <c r="O14" s="22"/>
      <c r="P14" s="22"/>
      <c r="Q14" s="22"/>
      <c r="R14" s="22"/>
      <c r="S14" s="22"/>
      <c r="T14" s="22" t="s">
        <v>32</v>
      </c>
      <c r="U14" s="23"/>
    </row>
    <row r="15" spans="1:21" ht="100" customHeight="1">
      <c r="A15" s="22" t="s">
        <v>449</v>
      </c>
      <c r="B15" s="23" t="s">
        <v>34</v>
      </c>
      <c r="C15" s="23">
        <v>36593</v>
      </c>
      <c r="D15" s="22">
        <f t="shared" ca="1" si="0"/>
        <v>26</v>
      </c>
      <c r="E15" s="22" t="s">
        <v>421</v>
      </c>
      <c r="F15" s="22" t="s">
        <v>450</v>
      </c>
      <c r="G15" s="23" t="s">
        <v>268</v>
      </c>
      <c r="H15" s="23" t="s">
        <v>51</v>
      </c>
      <c r="I15" s="24"/>
      <c r="J15" s="22"/>
      <c r="K15" s="22" t="s">
        <v>107</v>
      </c>
      <c r="L15" s="22"/>
      <c r="M15" s="22"/>
      <c r="N15" s="22"/>
      <c r="O15" s="22"/>
      <c r="P15" s="22"/>
      <c r="Q15" s="22"/>
      <c r="R15" s="22"/>
      <c r="S15" s="22"/>
      <c r="T15" s="22"/>
      <c r="U15" s="23"/>
    </row>
    <row r="16" spans="1:21" ht="100" customHeight="1">
      <c r="A16" s="22" t="s">
        <v>451</v>
      </c>
      <c r="B16" s="23" t="s">
        <v>307</v>
      </c>
      <c r="C16" s="23">
        <v>37084</v>
      </c>
      <c r="D16" s="22">
        <f t="shared" ca="1" si="0"/>
        <v>25</v>
      </c>
      <c r="E16" s="22" t="s">
        <v>421</v>
      </c>
      <c r="F16" s="22" t="s">
        <v>452</v>
      </c>
      <c r="G16" s="23" t="s">
        <v>453</v>
      </c>
      <c r="H16" s="23">
        <v>47299</v>
      </c>
      <c r="I16" s="24"/>
      <c r="J16" s="22"/>
      <c r="K16" s="22" t="s">
        <v>107</v>
      </c>
      <c r="L16" s="22"/>
      <c r="M16" s="22"/>
      <c r="N16" s="22"/>
      <c r="O16" s="22"/>
      <c r="P16" s="22"/>
      <c r="Q16" s="22"/>
      <c r="R16" s="22"/>
      <c r="S16" s="22"/>
      <c r="T16" s="22"/>
      <c r="U16" s="23"/>
    </row>
    <row r="17" spans="1:21" ht="100" customHeight="1">
      <c r="A17" s="22" t="s">
        <v>454</v>
      </c>
      <c r="B17" s="23" t="s">
        <v>455</v>
      </c>
      <c r="C17" s="23">
        <v>34339</v>
      </c>
      <c r="D17" s="22">
        <f t="shared" ca="1" si="0"/>
        <v>32</v>
      </c>
      <c r="E17" s="22" t="s">
        <v>421</v>
      </c>
      <c r="F17" s="22" t="s">
        <v>456</v>
      </c>
      <c r="G17" s="23" t="s">
        <v>457</v>
      </c>
      <c r="H17" s="23">
        <v>46752</v>
      </c>
      <c r="I17" s="24"/>
      <c r="J17" s="22"/>
      <c r="K17" s="65" t="s">
        <v>458</v>
      </c>
      <c r="L17" s="22"/>
      <c r="M17" s="22"/>
      <c r="N17" s="22"/>
      <c r="O17" s="22"/>
      <c r="P17" s="22"/>
      <c r="Q17" s="22"/>
      <c r="R17" s="22"/>
      <c r="S17" s="22"/>
      <c r="T17" s="22"/>
      <c r="U17" s="23"/>
    </row>
    <row r="18" spans="1:21" ht="100" customHeight="1">
      <c r="A18" s="22" t="s">
        <v>459</v>
      </c>
      <c r="B18" s="23" t="s">
        <v>239</v>
      </c>
      <c r="C18" s="23">
        <v>37670</v>
      </c>
      <c r="D18" s="22">
        <f t="shared" ca="1" si="0"/>
        <v>23</v>
      </c>
      <c r="E18" s="22" t="s">
        <v>421</v>
      </c>
      <c r="F18" s="22" t="s">
        <v>460</v>
      </c>
      <c r="G18" s="23" t="s">
        <v>461</v>
      </c>
      <c r="H18" s="23">
        <v>47299</v>
      </c>
      <c r="I18" s="24"/>
      <c r="J18" s="22"/>
      <c r="K18" s="65" t="s">
        <v>462</v>
      </c>
      <c r="L18" s="22"/>
      <c r="M18" s="22"/>
      <c r="N18" s="22"/>
      <c r="O18" s="22"/>
      <c r="P18" s="22"/>
      <c r="Q18" s="22"/>
      <c r="R18" s="22"/>
      <c r="S18" s="22"/>
      <c r="T18" s="22"/>
      <c r="U18" s="23"/>
    </row>
    <row r="19" spans="1:21" ht="100" customHeight="1">
      <c r="A19" s="22" t="s">
        <v>463</v>
      </c>
      <c r="B19" s="23" t="s">
        <v>464</v>
      </c>
      <c r="C19" s="23">
        <v>34815</v>
      </c>
      <c r="D19" s="22">
        <f t="shared" ca="1" si="0"/>
        <v>31</v>
      </c>
      <c r="E19" s="22" t="s">
        <v>421</v>
      </c>
      <c r="F19" s="22" t="s">
        <v>465</v>
      </c>
      <c r="G19" s="23" t="s">
        <v>466</v>
      </c>
      <c r="H19" s="23" t="s">
        <v>51</v>
      </c>
      <c r="I19" s="24"/>
      <c r="J19" s="22"/>
      <c r="K19" s="65" t="s">
        <v>467</v>
      </c>
      <c r="L19" s="22"/>
      <c r="M19" s="22"/>
      <c r="N19" s="22"/>
      <c r="O19" s="22"/>
      <c r="P19" s="22"/>
      <c r="Q19" s="22"/>
      <c r="R19" s="22"/>
      <c r="S19" s="22"/>
      <c r="T19" s="22"/>
      <c r="U19" s="23"/>
    </row>
    <row r="20" spans="1:21" ht="100" customHeight="1">
      <c r="A20" s="22" t="s">
        <v>468</v>
      </c>
      <c r="B20" s="23" t="s">
        <v>469</v>
      </c>
      <c r="C20" s="23">
        <v>38387</v>
      </c>
      <c r="D20" s="22">
        <f t="shared" ca="1" si="0"/>
        <v>21</v>
      </c>
      <c r="E20" s="22" t="s">
        <v>421</v>
      </c>
      <c r="F20" s="22" t="s">
        <v>470</v>
      </c>
      <c r="G20" s="23" t="s">
        <v>471</v>
      </c>
      <c r="H20" s="23" t="s">
        <v>51</v>
      </c>
      <c r="I20" s="24"/>
      <c r="J20" s="22"/>
      <c r="K20" s="22" t="s">
        <v>107</v>
      </c>
      <c r="L20" s="22"/>
      <c r="M20" s="22"/>
      <c r="N20" s="22"/>
      <c r="O20" s="22"/>
      <c r="P20" s="22"/>
      <c r="Q20" s="22"/>
      <c r="R20" s="22"/>
      <c r="S20" s="22"/>
      <c r="T20" s="22"/>
      <c r="U20" s="23"/>
    </row>
    <row r="21" spans="1:21" ht="100" customHeight="1">
      <c r="A21" s="22" t="s">
        <v>472</v>
      </c>
      <c r="B21" s="23" t="s">
        <v>23</v>
      </c>
      <c r="C21" s="23">
        <v>35547</v>
      </c>
      <c r="D21" s="22">
        <f t="shared" ca="1" si="0"/>
        <v>29</v>
      </c>
      <c r="E21" s="22" t="s">
        <v>421</v>
      </c>
      <c r="F21" s="22" t="s">
        <v>473</v>
      </c>
      <c r="G21" s="23" t="s">
        <v>268</v>
      </c>
      <c r="H21" s="23" t="s">
        <v>51</v>
      </c>
      <c r="I21" s="24"/>
      <c r="J21" s="22"/>
      <c r="K21" s="22" t="s">
        <v>107</v>
      </c>
      <c r="L21" s="22"/>
      <c r="M21" s="22"/>
      <c r="N21" s="22"/>
      <c r="O21" s="22"/>
      <c r="P21" s="22"/>
      <c r="Q21" s="22"/>
      <c r="R21" s="22"/>
      <c r="S21" s="22"/>
      <c r="T21" s="22"/>
      <c r="U21" s="23"/>
    </row>
    <row r="22" spans="1:21" ht="100" customHeight="1">
      <c r="A22" s="22" t="s">
        <v>474</v>
      </c>
      <c r="B22" s="23" t="s">
        <v>475</v>
      </c>
      <c r="C22" s="23">
        <v>39418</v>
      </c>
      <c r="D22" s="22">
        <f t="shared" ca="1" si="0"/>
        <v>18</v>
      </c>
      <c r="E22" s="22" t="s">
        <v>421</v>
      </c>
      <c r="F22" s="22" t="s">
        <v>476</v>
      </c>
      <c r="G22" s="23" t="s">
        <v>477</v>
      </c>
      <c r="H22" s="23">
        <v>46934</v>
      </c>
      <c r="I22" s="24"/>
      <c r="J22" s="22"/>
      <c r="K22" s="65" t="s">
        <v>478</v>
      </c>
      <c r="L22" s="22"/>
      <c r="M22" s="22"/>
      <c r="N22" s="22"/>
      <c r="O22" s="22"/>
      <c r="P22" s="22"/>
      <c r="Q22" s="22"/>
      <c r="R22" s="22"/>
      <c r="S22" s="22"/>
      <c r="T22" s="22"/>
      <c r="U22" s="23"/>
    </row>
    <row r="23" spans="1:21" ht="100" customHeight="1">
      <c r="A23" s="22" t="s">
        <v>479</v>
      </c>
      <c r="B23" s="23"/>
      <c r="C23" s="23"/>
      <c r="D23" s="22" t="str">
        <f t="shared" ca="1" si="0"/>
        <v/>
      </c>
      <c r="E23" s="22" t="s">
        <v>421</v>
      </c>
      <c r="F23" s="22"/>
      <c r="G23" s="23"/>
      <c r="H23" s="23" t="s">
        <v>51</v>
      </c>
      <c r="I23" s="24"/>
      <c r="J23" s="22"/>
      <c r="K23" s="65" t="s">
        <v>480</v>
      </c>
      <c r="L23" s="22"/>
      <c r="M23" s="22"/>
      <c r="N23" s="22"/>
      <c r="O23" s="22"/>
      <c r="P23" s="22"/>
      <c r="Q23" s="22"/>
      <c r="R23" s="22"/>
      <c r="S23" s="22"/>
      <c r="T23" s="22"/>
      <c r="U23" s="23"/>
    </row>
    <row r="24" spans="1:21" ht="100" customHeight="1">
      <c r="A24" s="22" t="s">
        <v>481</v>
      </c>
      <c r="B24" s="23"/>
      <c r="C24" s="23"/>
      <c r="D24" s="22" t="str">
        <f t="shared" ca="1" si="0"/>
        <v/>
      </c>
      <c r="E24" s="22" t="s">
        <v>421</v>
      </c>
      <c r="F24" s="22"/>
      <c r="G24" s="23"/>
      <c r="H24" s="23" t="s">
        <v>51</v>
      </c>
      <c r="I24" s="24"/>
      <c r="J24" s="22"/>
      <c r="K24" s="65" t="s">
        <v>482</v>
      </c>
      <c r="L24" s="22"/>
      <c r="M24" s="22"/>
      <c r="N24" s="22"/>
      <c r="O24" s="22"/>
      <c r="P24" s="22"/>
      <c r="Q24" s="22"/>
      <c r="R24" s="22"/>
      <c r="S24" s="22"/>
      <c r="T24" s="22"/>
      <c r="U24" s="23"/>
    </row>
    <row r="25" spans="1:21" ht="100" customHeight="1">
      <c r="A25" s="22" t="s">
        <v>483</v>
      </c>
      <c r="B25" s="23"/>
      <c r="C25" s="23"/>
      <c r="D25" s="22" t="str">
        <f t="shared" ca="1" si="0"/>
        <v/>
      </c>
      <c r="E25" s="22" t="s">
        <v>421</v>
      </c>
      <c r="F25" s="22"/>
      <c r="G25" s="23"/>
      <c r="H25" s="23" t="s">
        <v>51</v>
      </c>
      <c r="I25" s="24"/>
      <c r="J25" s="22"/>
      <c r="K25" s="65" t="s">
        <v>484</v>
      </c>
      <c r="L25" s="22"/>
      <c r="M25" s="22"/>
      <c r="N25" s="22"/>
      <c r="O25" s="22"/>
      <c r="P25" s="22"/>
      <c r="Q25" s="22"/>
      <c r="R25" s="22"/>
      <c r="S25" s="22"/>
      <c r="T25" s="22"/>
      <c r="U25" s="23"/>
    </row>
    <row r="26" spans="1:21" ht="100" customHeight="1">
      <c r="A26" s="22" t="s">
        <v>485</v>
      </c>
      <c r="B26" s="23" t="s">
        <v>271</v>
      </c>
      <c r="C26" s="23">
        <v>39206</v>
      </c>
      <c r="D26" s="22">
        <f t="shared" ca="1" si="0"/>
        <v>19</v>
      </c>
      <c r="E26" s="22" t="s">
        <v>421</v>
      </c>
      <c r="F26" s="22" t="s">
        <v>486</v>
      </c>
      <c r="G26" s="23" t="s">
        <v>487</v>
      </c>
      <c r="H26" s="23">
        <v>46568</v>
      </c>
      <c r="I26" s="24"/>
      <c r="J26" s="22"/>
      <c r="K26" s="65" t="s">
        <v>488</v>
      </c>
      <c r="L26" s="22"/>
      <c r="M26" s="22"/>
      <c r="N26" s="22"/>
      <c r="O26" s="22"/>
      <c r="P26" s="22"/>
      <c r="Q26" s="22"/>
      <c r="R26" s="22"/>
      <c r="S26" s="22"/>
      <c r="T26" s="22"/>
      <c r="U26" s="23"/>
    </row>
    <row r="27" spans="1:21" ht="100" customHeight="1">
      <c r="A27" s="22"/>
      <c r="B27" s="23"/>
      <c r="C27" s="23"/>
      <c r="D27" s="22" t="str">
        <f t="shared" ca="1" si="0"/>
        <v/>
      </c>
      <c r="E27" s="22" t="s">
        <v>421</v>
      </c>
      <c r="F27" s="22"/>
      <c r="G27" s="23"/>
      <c r="H27" s="23"/>
      <c r="I27" s="24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3"/>
    </row>
    <row r="28" spans="1:21" ht="100" customHeight="1">
      <c r="A28" s="22"/>
      <c r="B28" s="23"/>
      <c r="C28" s="23"/>
      <c r="D28" s="22" t="str">
        <f t="shared" ca="1" si="0"/>
        <v/>
      </c>
      <c r="E28" s="22" t="s">
        <v>421</v>
      </c>
      <c r="F28" s="22"/>
      <c r="G28" s="23"/>
      <c r="H28" s="23"/>
      <c r="I28" s="24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3"/>
    </row>
    <row r="29" spans="1:21" ht="100" customHeight="1">
      <c r="A29" s="22"/>
      <c r="B29" s="23"/>
      <c r="C29" s="23"/>
      <c r="D29" s="22" t="str">
        <f t="shared" ca="1" si="0"/>
        <v/>
      </c>
      <c r="E29" s="22" t="s">
        <v>421</v>
      </c>
      <c r="F29" s="22"/>
      <c r="G29" s="23"/>
      <c r="H29" s="23"/>
      <c r="I29" s="24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3"/>
    </row>
    <row r="30" spans="1:21" ht="100" customHeight="1">
      <c r="A30" s="22"/>
      <c r="B30" s="23"/>
      <c r="C30" s="23"/>
      <c r="D30" s="22" t="str">
        <f t="shared" ca="1" si="0"/>
        <v/>
      </c>
      <c r="E30" s="22" t="s">
        <v>421</v>
      </c>
      <c r="F30" s="22"/>
      <c r="G30" s="23"/>
      <c r="H30" s="23"/>
      <c r="I30" s="24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3"/>
    </row>
    <row r="31" spans="1:21" ht="100" customHeight="1">
      <c r="A31" s="22"/>
      <c r="B31" s="23"/>
      <c r="C31" s="23"/>
      <c r="D31" s="22" t="str">
        <f t="shared" ca="1" si="0"/>
        <v/>
      </c>
      <c r="E31" s="22" t="s">
        <v>421</v>
      </c>
      <c r="F31" s="22"/>
      <c r="G31" s="23"/>
      <c r="H31" s="23"/>
      <c r="I31" s="24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3"/>
    </row>
    <row r="32" spans="1:21" ht="100" customHeight="1">
      <c r="A32" s="22"/>
      <c r="B32" s="23"/>
      <c r="C32" s="23"/>
      <c r="D32" s="22" t="str">
        <f t="shared" ca="1" si="0"/>
        <v/>
      </c>
      <c r="E32" s="22" t="s">
        <v>421</v>
      </c>
      <c r="F32" s="22"/>
      <c r="G32" s="23"/>
      <c r="H32" s="23"/>
      <c r="I32" s="24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3"/>
    </row>
    <row r="33" spans="1:21" ht="100" customHeight="1">
      <c r="A33" s="22"/>
      <c r="B33" s="23"/>
      <c r="C33" s="23"/>
      <c r="D33" s="22" t="str">
        <f t="shared" ca="1" si="0"/>
        <v/>
      </c>
      <c r="E33" s="22" t="s">
        <v>421</v>
      </c>
      <c r="F33" s="22"/>
      <c r="G33" s="23"/>
      <c r="H33" s="23"/>
      <c r="I33" s="24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3"/>
    </row>
    <row r="34" spans="1:21" ht="100" customHeight="1">
      <c r="A34" s="22"/>
      <c r="B34" s="23"/>
      <c r="C34" s="23"/>
      <c r="D34" s="22" t="str">
        <f t="shared" ca="1" si="0"/>
        <v/>
      </c>
      <c r="E34" s="22" t="s">
        <v>421</v>
      </c>
      <c r="F34" s="22"/>
      <c r="G34" s="23"/>
      <c r="H34" s="23"/>
      <c r="I34" s="24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3"/>
    </row>
    <row r="35" spans="1:21" ht="100" customHeight="1">
      <c r="A35" s="22"/>
      <c r="B35" s="23"/>
      <c r="C35" s="23"/>
      <c r="D35" s="22" t="str">
        <f t="shared" ca="1" si="0"/>
        <v/>
      </c>
      <c r="E35" s="22" t="s">
        <v>421</v>
      </c>
      <c r="F35" s="22"/>
      <c r="G35" s="23"/>
      <c r="H35" s="23"/>
      <c r="I35" s="24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3"/>
    </row>
    <row r="36" spans="1:21" ht="100" customHeight="1">
      <c r="A36" s="22"/>
      <c r="B36" s="23"/>
      <c r="C36" s="23"/>
      <c r="D36" s="22" t="str">
        <f t="shared" ref="D36:D67" ca="1" si="1">IF(C36="","",DATEDIF(C36,TODAY(),"Y"))</f>
        <v/>
      </c>
      <c r="E36" s="22" t="s">
        <v>421</v>
      </c>
      <c r="F36" s="22"/>
      <c r="G36" s="23"/>
      <c r="H36" s="23"/>
      <c r="I36" s="24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3"/>
    </row>
    <row r="37" spans="1:21" ht="100" customHeight="1">
      <c r="A37" s="22"/>
      <c r="B37" s="23"/>
      <c r="C37" s="23"/>
      <c r="D37" s="22" t="str">
        <f t="shared" ca="1" si="1"/>
        <v/>
      </c>
      <c r="E37" s="22" t="s">
        <v>421</v>
      </c>
      <c r="F37" s="22"/>
      <c r="G37" s="23"/>
      <c r="H37" s="23"/>
      <c r="I37" s="24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00" customHeight="1">
      <c r="A38" s="22"/>
      <c r="B38" s="23"/>
      <c r="C38" s="23"/>
      <c r="D38" s="22" t="str">
        <f t="shared" ca="1" si="1"/>
        <v/>
      </c>
      <c r="E38" s="22" t="s">
        <v>421</v>
      </c>
      <c r="F38" s="22"/>
      <c r="G38" s="23"/>
      <c r="H38" s="23"/>
      <c r="I38" s="24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3"/>
    </row>
    <row r="39" spans="1:21" ht="100" customHeight="1">
      <c r="A39" s="22"/>
      <c r="B39" s="23"/>
      <c r="C39" s="23"/>
      <c r="D39" s="22" t="str">
        <f t="shared" ca="1" si="1"/>
        <v/>
      </c>
      <c r="E39" s="22" t="s">
        <v>421</v>
      </c>
      <c r="F39" s="22"/>
      <c r="G39" s="23"/>
      <c r="H39" s="23"/>
      <c r="I39" s="24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3"/>
    </row>
    <row r="40" spans="1:21" ht="100" customHeight="1">
      <c r="A40" s="22"/>
      <c r="B40" s="23"/>
      <c r="C40" s="23"/>
      <c r="D40" s="22" t="str">
        <f t="shared" ca="1" si="1"/>
        <v/>
      </c>
      <c r="E40" s="22" t="s">
        <v>421</v>
      </c>
      <c r="F40" s="22"/>
      <c r="G40" s="23"/>
      <c r="H40" s="23"/>
      <c r="I40" s="24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3"/>
    </row>
    <row r="41" spans="1:21" ht="100" customHeight="1">
      <c r="A41" s="22"/>
      <c r="B41" s="23"/>
      <c r="C41" s="23"/>
      <c r="D41" s="22" t="str">
        <f t="shared" ca="1" si="1"/>
        <v/>
      </c>
      <c r="E41" s="22" t="s">
        <v>421</v>
      </c>
      <c r="F41" s="22"/>
      <c r="G41" s="23"/>
      <c r="H41" s="23"/>
      <c r="I41" s="24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3"/>
    </row>
    <row r="42" spans="1:21" ht="100" customHeight="1">
      <c r="A42" s="22"/>
      <c r="B42" s="23"/>
      <c r="C42" s="23"/>
      <c r="D42" s="22" t="str">
        <f t="shared" ca="1" si="1"/>
        <v/>
      </c>
      <c r="E42" s="22" t="s">
        <v>421</v>
      </c>
      <c r="F42" s="22"/>
      <c r="G42" s="23"/>
      <c r="H42" s="23"/>
      <c r="I42" s="24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3"/>
    </row>
    <row r="43" spans="1:21" ht="100" customHeight="1">
      <c r="A43" s="22"/>
      <c r="B43" s="23"/>
      <c r="C43" s="23"/>
      <c r="D43" s="22" t="str">
        <f t="shared" ca="1" si="1"/>
        <v/>
      </c>
      <c r="E43" s="22" t="s">
        <v>421</v>
      </c>
      <c r="F43" s="22"/>
      <c r="G43" s="23"/>
      <c r="H43" s="23"/>
      <c r="I43" s="24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3"/>
    </row>
    <row r="44" spans="1:21" ht="100" customHeight="1">
      <c r="A44" s="22"/>
      <c r="B44" s="23"/>
      <c r="C44" s="23"/>
      <c r="D44" s="22" t="str">
        <f t="shared" ca="1" si="1"/>
        <v/>
      </c>
      <c r="E44" s="22" t="s">
        <v>421</v>
      </c>
      <c r="F44" s="22"/>
      <c r="G44" s="23"/>
      <c r="H44" s="23"/>
      <c r="I44" s="24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3"/>
    </row>
    <row r="45" spans="1:21" ht="100" customHeight="1">
      <c r="A45" s="22"/>
      <c r="B45" s="23"/>
      <c r="C45" s="23"/>
      <c r="D45" s="22" t="str">
        <f t="shared" ca="1" si="1"/>
        <v/>
      </c>
      <c r="E45" s="22" t="s">
        <v>421</v>
      </c>
      <c r="F45" s="22"/>
      <c r="G45" s="23"/>
      <c r="H45" s="23"/>
      <c r="I45" s="24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3"/>
    </row>
    <row r="46" spans="1:21" ht="100" customHeight="1">
      <c r="A46" s="22"/>
      <c r="B46" s="23"/>
      <c r="C46" s="23"/>
      <c r="D46" s="22" t="str">
        <f t="shared" ca="1" si="1"/>
        <v/>
      </c>
      <c r="E46" s="22" t="s">
        <v>421</v>
      </c>
      <c r="F46" s="22"/>
      <c r="G46" s="23"/>
      <c r="H46" s="23"/>
      <c r="I46" s="24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3"/>
    </row>
    <row r="47" spans="1:21" ht="100" customHeight="1">
      <c r="A47" s="22"/>
      <c r="B47" s="23"/>
      <c r="C47" s="23"/>
      <c r="D47" s="22" t="str">
        <f t="shared" ca="1" si="1"/>
        <v/>
      </c>
      <c r="E47" s="22" t="s">
        <v>421</v>
      </c>
      <c r="F47" s="22"/>
      <c r="G47" s="23"/>
      <c r="H47" s="23"/>
      <c r="I47" s="24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3"/>
    </row>
    <row r="48" spans="1:21" ht="100" customHeight="1">
      <c r="A48" s="22"/>
      <c r="B48" s="23"/>
      <c r="C48" s="23"/>
      <c r="D48" s="22" t="str">
        <f t="shared" ca="1" si="1"/>
        <v/>
      </c>
      <c r="E48" s="22" t="s">
        <v>421</v>
      </c>
      <c r="F48" s="22"/>
      <c r="G48" s="23"/>
      <c r="H48" s="23"/>
      <c r="I48" s="24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3"/>
    </row>
    <row r="49" spans="1:21" ht="100" customHeight="1">
      <c r="A49" s="22"/>
      <c r="B49" s="23"/>
      <c r="C49" s="23"/>
      <c r="D49" s="22" t="str">
        <f t="shared" ca="1" si="1"/>
        <v/>
      </c>
      <c r="E49" s="22" t="s">
        <v>421</v>
      </c>
      <c r="F49" s="22"/>
      <c r="G49" s="23"/>
      <c r="H49" s="23"/>
      <c r="I49" s="24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3"/>
    </row>
    <row r="50" spans="1:21" ht="100" customHeight="1">
      <c r="A50" s="22"/>
      <c r="B50" s="23"/>
      <c r="C50" s="23"/>
      <c r="D50" s="22" t="str">
        <f t="shared" ca="1" si="1"/>
        <v/>
      </c>
      <c r="E50" s="22" t="s">
        <v>421</v>
      </c>
      <c r="F50" s="22"/>
      <c r="G50" s="23"/>
      <c r="H50" s="23"/>
      <c r="I50" s="24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3"/>
    </row>
    <row r="51" spans="1:21" ht="100" customHeight="1">
      <c r="A51" s="22"/>
      <c r="B51" s="23"/>
      <c r="C51" s="23"/>
      <c r="D51" s="22" t="str">
        <f t="shared" ca="1" si="1"/>
        <v/>
      </c>
      <c r="E51" s="22" t="s">
        <v>421</v>
      </c>
      <c r="F51" s="22"/>
      <c r="G51" s="23"/>
      <c r="H51" s="23"/>
      <c r="I51" s="24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3"/>
    </row>
    <row r="52" spans="1:21" ht="100" customHeight="1">
      <c r="A52" s="22"/>
      <c r="B52" s="23"/>
      <c r="C52" s="23"/>
      <c r="D52" s="22" t="str">
        <f t="shared" ca="1" si="1"/>
        <v/>
      </c>
      <c r="E52" s="22" t="s">
        <v>421</v>
      </c>
      <c r="F52" s="22"/>
      <c r="G52" s="23"/>
      <c r="H52" s="23"/>
      <c r="I52" s="24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3"/>
    </row>
    <row r="53" spans="1:21" ht="100" customHeight="1">
      <c r="A53" s="22"/>
      <c r="B53" s="23"/>
      <c r="C53" s="23"/>
      <c r="D53" s="22" t="str">
        <f t="shared" ca="1" si="1"/>
        <v/>
      </c>
      <c r="E53" s="22" t="s">
        <v>421</v>
      </c>
      <c r="F53" s="22"/>
      <c r="G53" s="23"/>
      <c r="H53" s="23"/>
      <c r="I53" s="24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3"/>
    </row>
    <row r="54" spans="1:21" ht="100" customHeight="1">
      <c r="A54" s="22"/>
      <c r="B54" s="23"/>
      <c r="C54" s="23"/>
      <c r="D54" s="22" t="str">
        <f t="shared" ca="1" si="1"/>
        <v/>
      </c>
      <c r="E54" s="22" t="s">
        <v>421</v>
      </c>
      <c r="F54" s="22"/>
      <c r="G54" s="23"/>
      <c r="H54" s="23"/>
      <c r="I54" s="24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3"/>
    </row>
    <row r="55" spans="1:21" ht="100" customHeight="1">
      <c r="A55" s="22"/>
      <c r="B55" s="23"/>
      <c r="C55" s="23"/>
      <c r="D55" s="22" t="str">
        <f t="shared" ca="1" si="1"/>
        <v/>
      </c>
      <c r="E55" s="22" t="s">
        <v>421</v>
      </c>
      <c r="F55" s="22"/>
      <c r="G55" s="23"/>
      <c r="H55" s="23"/>
      <c r="I55" s="24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3"/>
    </row>
    <row r="56" spans="1:21" ht="100" customHeight="1">
      <c r="A56" s="22"/>
      <c r="B56" s="23"/>
      <c r="C56" s="23"/>
      <c r="D56" s="22" t="str">
        <f t="shared" ca="1" si="1"/>
        <v/>
      </c>
      <c r="E56" s="22" t="s">
        <v>421</v>
      </c>
      <c r="F56" s="22"/>
      <c r="G56" s="23"/>
      <c r="H56" s="23"/>
      <c r="I56" s="24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3"/>
    </row>
    <row r="57" spans="1:21" ht="100" customHeight="1">
      <c r="A57" s="22"/>
      <c r="B57" s="23"/>
      <c r="C57" s="23"/>
      <c r="D57" s="22" t="str">
        <f t="shared" ca="1" si="1"/>
        <v/>
      </c>
      <c r="E57" s="22" t="s">
        <v>421</v>
      </c>
      <c r="F57" s="22"/>
      <c r="G57" s="23"/>
      <c r="H57" s="23"/>
      <c r="I57" s="24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3"/>
    </row>
    <row r="58" spans="1:21" ht="100" customHeight="1">
      <c r="A58" s="22"/>
      <c r="B58" s="23"/>
      <c r="C58" s="23"/>
      <c r="D58" s="22" t="str">
        <f t="shared" ca="1" si="1"/>
        <v/>
      </c>
      <c r="E58" s="22" t="s">
        <v>421</v>
      </c>
      <c r="F58" s="22"/>
      <c r="G58" s="23"/>
      <c r="H58" s="23"/>
      <c r="I58" s="24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3"/>
    </row>
    <row r="59" spans="1:21" ht="100" customHeight="1">
      <c r="A59" s="22"/>
      <c r="B59" s="23"/>
      <c r="C59" s="23"/>
      <c r="D59" s="22" t="str">
        <f t="shared" ca="1" si="1"/>
        <v/>
      </c>
      <c r="E59" s="22" t="s">
        <v>421</v>
      </c>
      <c r="F59" s="22"/>
      <c r="G59" s="23"/>
      <c r="H59" s="23"/>
      <c r="I59" s="24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3"/>
    </row>
    <row r="60" spans="1:21" ht="100" customHeight="1">
      <c r="A60" s="22"/>
      <c r="B60" s="23"/>
      <c r="C60" s="23"/>
      <c r="D60" s="22" t="str">
        <f t="shared" ca="1" si="1"/>
        <v/>
      </c>
      <c r="E60" s="22" t="s">
        <v>421</v>
      </c>
      <c r="F60" s="22"/>
      <c r="G60" s="23"/>
      <c r="H60" s="23"/>
      <c r="I60" s="24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3"/>
    </row>
    <row r="61" spans="1:21" ht="100" customHeight="1">
      <c r="A61" s="22"/>
      <c r="B61" s="23"/>
      <c r="C61" s="23"/>
      <c r="D61" s="22" t="str">
        <f t="shared" ca="1" si="1"/>
        <v/>
      </c>
      <c r="E61" s="22" t="s">
        <v>421</v>
      </c>
      <c r="F61" s="22"/>
      <c r="G61" s="23"/>
      <c r="H61" s="23"/>
      <c r="I61" s="24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3"/>
    </row>
    <row r="62" spans="1:21" ht="100" customHeight="1">
      <c r="A62" s="22"/>
      <c r="B62" s="23"/>
      <c r="C62" s="23"/>
      <c r="D62" s="22" t="str">
        <f t="shared" ca="1" si="1"/>
        <v/>
      </c>
      <c r="E62" s="22" t="s">
        <v>421</v>
      </c>
      <c r="F62" s="22"/>
      <c r="G62" s="23"/>
      <c r="H62" s="23"/>
      <c r="I62" s="24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3"/>
    </row>
    <row r="63" spans="1:21" ht="100" customHeight="1">
      <c r="A63" s="22"/>
      <c r="B63" s="23"/>
      <c r="C63" s="23"/>
      <c r="D63" s="22" t="str">
        <f t="shared" ca="1" si="1"/>
        <v/>
      </c>
      <c r="E63" s="22" t="s">
        <v>421</v>
      </c>
      <c r="F63" s="22"/>
      <c r="G63" s="23"/>
      <c r="H63" s="23"/>
      <c r="I63" s="24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3"/>
    </row>
    <row r="64" spans="1:21" ht="100" customHeight="1">
      <c r="A64" s="22"/>
      <c r="B64" s="23"/>
      <c r="C64" s="23"/>
      <c r="D64" s="22" t="str">
        <f t="shared" ca="1" si="1"/>
        <v/>
      </c>
      <c r="E64" s="22" t="s">
        <v>421</v>
      </c>
      <c r="F64" s="22"/>
      <c r="G64" s="23"/>
      <c r="H64" s="23"/>
      <c r="I64" s="24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3"/>
    </row>
    <row r="65" spans="1:21" ht="100" customHeight="1">
      <c r="A65" s="22"/>
      <c r="B65" s="23"/>
      <c r="C65" s="23"/>
      <c r="D65" s="22" t="str">
        <f t="shared" ca="1" si="1"/>
        <v/>
      </c>
      <c r="E65" s="22" t="s">
        <v>421</v>
      </c>
      <c r="F65" s="22"/>
      <c r="G65" s="23"/>
      <c r="H65" s="23"/>
      <c r="I65" s="24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3"/>
    </row>
    <row r="66" spans="1:21" ht="100" customHeight="1">
      <c r="A66" s="22"/>
      <c r="B66" s="23"/>
      <c r="C66" s="23"/>
      <c r="D66" s="22" t="str">
        <f t="shared" ca="1" si="1"/>
        <v/>
      </c>
      <c r="E66" s="22" t="s">
        <v>421</v>
      </c>
      <c r="F66" s="22"/>
      <c r="G66" s="23"/>
      <c r="H66" s="23"/>
      <c r="I66" s="24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3"/>
    </row>
    <row r="67" spans="1:21" ht="100" customHeight="1">
      <c r="A67" s="22"/>
      <c r="B67" s="23"/>
      <c r="C67" s="23"/>
      <c r="D67" s="22" t="str">
        <f t="shared" ca="1" si="1"/>
        <v/>
      </c>
      <c r="E67" s="22" t="s">
        <v>421</v>
      </c>
      <c r="F67" s="22"/>
      <c r="G67" s="23"/>
      <c r="H67" s="23"/>
      <c r="I67" s="24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3"/>
    </row>
    <row r="68" spans="1:21" ht="100" customHeight="1">
      <c r="A68" s="22"/>
      <c r="B68" s="23"/>
      <c r="C68" s="23"/>
      <c r="D68" s="22" t="str">
        <f t="shared" ref="D68:D99" ca="1" si="2">IF(C68="","",DATEDIF(C68,TODAY(),"Y"))</f>
        <v/>
      </c>
      <c r="E68" s="22" t="s">
        <v>421</v>
      </c>
      <c r="F68" s="22"/>
      <c r="G68" s="23"/>
      <c r="H68" s="23"/>
      <c r="I68" s="24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3"/>
    </row>
    <row r="69" spans="1:21" ht="100" customHeight="1">
      <c r="A69" s="22"/>
      <c r="B69" s="23"/>
      <c r="C69" s="23"/>
      <c r="D69" s="22" t="str">
        <f t="shared" ca="1" si="2"/>
        <v/>
      </c>
      <c r="E69" s="22" t="s">
        <v>421</v>
      </c>
      <c r="F69" s="22"/>
      <c r="G69" s="23"/>
      <c r="H69" s="23"/>
      <c r="I69" s="24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3"/>
    </row>
    <row r="70" spans="1:21" ht="100" customHeight="1">
      <c r="A70" s="22"/>
      <c r="B70" s="23"/>
      <c r="C70" s="23"/>
      <c r="D70" s="22" t="str">
        <f t="shared" ca="1" si="2"/>
        <v/>
      </c>
      <c r="E70" s="22" t="s">
        <v>421</v>
      </c>
      <c r="F70" s="22"/>
      <c r="G70" s="23"/>
      <c r="H70" s="23"/>
      <c r="I70" s="24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3"/>
    </row>
    <row r="71" spans="1:21" ht="100" customHeight="1">
      <c r="A71" s="22"/>
      <c r="B71" s="23"/>
      <c r="C71" s="23"/>
      <c r="D71" s="22" t="str">
        <f t="shared" ca="1" si="2"/>
        <v/>
      </c>
      <c r="E71" s="22" t="s">
        <v>421</v>
      </c>
      <c r="F71" s="22"/>
      <c r="G71" s="23"/>
      <c r="H71" s="23"/>
      <c r="I71" s="24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3"/>
    </row>
    <row r="72" spans="1:21" ht="100" customHeight="1">
      <c r="A72" s="22"/>
      <c r="B72" s="23"/>
      <c r="C72" s="23"/>
      <c r="D72" s="22" t="str">
        <f t="shared" ca="1" si="2"/>
        <v/>
      </c>
      <c r="E72" s="22" t="s">
        <v>421</v>
      </c>
      <c r="F72" s="22"/>
      <c r="G72" s="23"/>
      <c r="H72" s="23"/>
      <c r="I72" s="24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00" customHeight="1">
      <c r="A73" s="22"/>
      <c r="B73" s="23"/>
      <c r="C73" s="23"/>
      <c r="D73" s="22" t="str">
        <f t="shared" ca="1" si="2"/>
        <v/>
      </c>
      <c r="E73" s="22" t="s">
        <v>421</v>
      </c>
      <c r="F73" s="22"/>
      <c r="G73" s="23"/>
      <c r="H73" s="23"/>
      <c r="I73" s="24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3"/>
    </row>
    <row r="74" spans="1:21" ht="100" customHeight="1">
      <c r="A74" s="22"/>
      <c r="B74" s="23"/>
      <c r="C74" s="23"/>
      <c r="D74" s="22" t="str">
        <f t="shared" ca="1" si="2"/>
        <v/>
      </c>
      <c r="E74" s="22" t="s">
        <v>421</v>
      </c>
      <c r="F74" s="22"/>
      <c r="G74" s="23"/>
      <c r="H74" s="23"/>
      <c r="I74" s="24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3"/>
    </row>
    <row r="75" spans="1:21" ht="100" customHeight="1">
      <c r="A75" s="22"/>
      <c r="B75" s="23"/>
      <c r="C75" s="23"/>
      <c r="D75" s="22" t="str">
        <f t="shared" ca="1" si="2"/>
        <v/>
      </c>
      <c r="E75" s="22" t="s">
        <v>421</v>
      </c>
      <c r="F75" s="22"/>
      <c r="G75" s="23"/>
      <c r="H75" s="23"/>
      <c r="I75" s="24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3"/>
    </row>
    <row r="76" spans="1:21" ht="100" customHeight="1">
      <c r="A76" s="22"/>
      <c r="B76" s="23"/>
      <c r="C76" s="23"/>
      <c r="D76" s="22" t="str">
        <f t="shared" ca="1" si="2"/>
        <v/>
      </c>
      <c r="E76" s="22" t="s">
        <v>421</v>
      </c>
      <c r="F76" s="22"/>
      <c r="G76" s="23"/>
      <c r="H76" s="23"/>
      <c r="I76" s="24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3"/>
    </row>
    <row r="77" spans="1:21" ht="100" customHeight="1">
      <c r="A77" s="22"/>
      <c r="B77" s="23"/>
      <c r="C77" s="23"/>
      <c r="D77" s="22" t="str">
        <f t="shared" ca="1" si="2"/>
        <v/>
      </c>
      <c r="E77" s="22" t="s">
        <v>421</v>
      </c>
      <c r="F77" s="22"/>
      <c r="G77" s="23"/>
      <c r="H77" s="23"/>
      <c r="I77" s="24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3"/>
    </row>
    <row r="78" spans="1:21" ht="100" customHeight="1">
      <c r="A78" s="22"/>
      <c r="B78" s="23"/>
      <c r="C78" s="23"/>
      <c r="D78" s="22" t="str">
        <f t="shared" ca="1" si="2"/>
        <v/>
      </c>
      <c r="E78" s="22" t="s">
        <v>421</v>
      </c>
      <c r="F78" s="22"/>
      <c r="G78" s="23"/>
      <c r="H78" s="23"/>
      <c r="I78" s="24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3"/>
    </row>
    <row r="79" spans="1:21" ht="100" customHeight="1">
      <c r="A79" s="22"/>
      <c r="B79" s="23"/>
      <c r="C79" s="23"/>
      <c r="D79" s="22" t="str">
        <f t="shared" ca="1" si="2"/>
        <v/>
      </c>
      <c r="E79" s="22" t="s">
        <v>421</v>
      </c>
      <c r="F79" s="22"/>
      <c r="G79" s="23"/>
      <c r="H79" s="23"/>
      <c r="I79" s="24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3"/>
    </row>
    <row r="80" spans="1:21" ht="100" customHeight="1">
      <c r="A80" s="22"/>
      <c r="B80" s="23"/>
      <c r="C80" s="23"/>
      <c r="D80" s="22" t="str">
        <f t="shared" ca="1" si="2"/>
        <v/>
      </c>
      <c r="E80" s="22" t="s">
        <v>421</v>
      </c>
      <c r="F80" s="22"/>
      <c r="G80" s="23"/>
      <c r="H80" s="23"/>
      <c r="I80" s="24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3"/>
    </row>
    <row r="81" spans="1:21" ht="100" customHeight="1">
      <c r="A81" s="22"/>
      <c r="B81" s="23"/>
      <c r="C81" s="23"/>
      <c r="D81" s="22" t="str">
        <f t="shared" ca="1" si="2"/>
        <v/>
      </c>
      <c r="E81" s="22" t="s">
        <v>421</v>
      </c>
      <c r="F81" s="22"/>
      <c r="G81" s="23"/>
      <c r="H81" s="23"/>
      <c r="I81" s="24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3"/>
    </row>
    <row r="82" spans="1:21" ht="100" customHeight="1">
      <c r="A82" s="22"/>
      <c r="B82" s="23"/>
      <c r="C82" s="23"/>
      <c r="D82" s="22" t="str">
        <f t="shared" ca="1" si="2"/>
        <v/>
      </c>
      <c r="E82" s="22" t="s">
        <v>421</v>
      </c>
      <c r="F82" s="22"/>
      <c r="G82" s="23"/>
      <c r="H82" s="23"/>
      <c r="I82" s="24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3"/>
    </row>
    <row r="83" spans="1:21" ht="100" customHeight="1">
      <c r="A83" s="22"/>
      <c r="B83" s="23"/>
      <c r="C83" s="23"/>
      <c r="D83" s="22" t="str">
        <f t="shared" ca="1" si="2"/>
        <v/>
      </c>
      <c r="E83" s="22" t="s">
        <v>421</v>
      </c>
      <c r="F83" s="22"/>
      <c r="G83" s="23"/>
      <c r="H83" s="23"/>
      <c r="I83" s="24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3"/>
    </row>
    <row r="84" spans="1:21" ht="100" customHeight="1">
      <c r="A84" s="22"/>
      <c r="B84" s="23"/>
      <c r="C84" s="23"/>
      <c r="D84" s="22" t="str">
        <f t="shared" ca="1" si="2"/>
        <v/>
      </c>
      <c r="E84" s="22" t="s">
        <v>421</v>
      </c>
      <c r="F84" s="22"/>
      <c r="G84" s="23"/>
      <c r="H84" s="23"/>
      <c r="I84" s="24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3"/>
    </row>
    <row r="85" spans="1:21" ht="100" customHeight="1">
      <c r="A85" s="22"/>
      <c r="B85" s="23"/>
      <c r="C85" s="23"/>
      <c r="D85" s="22" t="str">
        <f t="shared" ca="1" si="2"/>
        <v/>
      </c>
      <c r="E85" s="22" t="s">
        <v>421</v>
      </c>
      <c r="F85" s="22"/>
      <c r="G85" s="23"/>
      <c r="H85" s="23"/>
      <c r="I85" s="24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3"/>
    </row>
    <row r="86" spans="1:21" ht="100" customHeight="1">
      <c r="A86" s="22"/>
      <c r="B86" s="23"/>
      <c r="C86" s="23"/>
      <c r="D86" s="22" t="str">
        <f t="shared" ca="1" si="2"/>
        <v/>
      </c>
      <c r="E86" s="22" t="s">
        <v>421</v>
      </c>
      <c r="F86" s="22"/>
      <c r="G86" s="23"/>
      <c r="H86" s="23"/>
      <c r="I86" s="24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3"/>
    </row>
    <row r="87" spans="1:21" ht="100" customHeight="1">
      <c r="A87" s="22"/>
      <c r="B87" s="23"/>
      <c r="C87" s="23"/>
      <c r="D87" s="22" t="str">
        <f t="shared" ca="1" si="2"/>
        <v/>
      </c>
      <c r="E87" s="22" t="s">
        <v>421</v>
      </c>
      <c r="F87" s="22"/>
      <c r="G87" s="23"/>
      <c r="H87" s="23"/>
      <c r="I87" s="24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3"/>
    </row>
    <row r="88" spans="1:21" ht="100" customHeight="1">
      <c r="A88" s="22"/>
      <c r="B88" s="23"/>
      <c r="C88" s="23"/>
      <c r="D88" s="22" t="str">
        <f t="shared" ca="1" si="2"/>
        <v/>
      </c>
      <c r="E88" s="22" t="s">
        <v>421</v>
      </c>
      <c r="F88" s="22"/>
      <c r="G88" s="23"/>
      <c r="H88" s="23"/>
      <c r="I88" s="24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3"/>
    </row>
    <row r="89" spans="1:21" ht="100" customHeight="1">
      <c r="A89" s="22"/>
      <c r="B89" s="23"/>
      <c r="C89" s="23"/>
      <c r="D89" s="22" t="str">
        <f t="shared" ca="1" si="2"/>
        <v/>
      </c>
      <c r="E89" s="22" t="s">
        <v>421</v>
      </c>
      <c r="F89" s="22"/>
      <c r="G89" s="23"/>
      <c r="H89" s="23"/>
      <c r="I89" s="24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3"/>
    </row>
    <row r="90" spans="1:21" ht="100" customHeight="1">
      <c r="A90" s="22"/>
      <c r="B90" s="23"/>
      <c r="C90" s="23"/>
      <c r="D90" s="22" t="str">
        <f t="shared" ca="1" si="2"/>
        <v/>
      </c>
      <c r="E90" s="22" t="s">
        <v>421</v>
      </c>
      <c r="F90" s="22"/>
      <c r="G90" s="23"/>
      <c r="H90" s="23"/>
      <c r="I90" s="24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3"/>
    </row>
    <row r="91" spans="1:21" ht="100" customHeight="1">
      <c r="A91" s="22"/>
      <c r="B91" s="23"/>
      <c r="C91" s="23"/>
      <c r="D91" s="22" t="str">
        <f t="shared" ca="1" si="2"/>
        <v/>
      </c>
      <c r="E91" s="22" t="s">
        <v>421</v>
      </c>
      <c r="F91" s="22"/>
      <c r="G91" s="23"/>
      <c r="H91" s="23"/>
      <c r="I91" s="24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3"/>
    </row>
    <row r="92" spans="1:21" ht="100" customHeight="1">
      <c r="A92" s="22"/>
      <c r="B92" s="23"/>
      <c r="C92" s="23"/>
      <c r="D92" s="22" t="str">
        <f t="shared" ca="1" si="2"/>
        <v/>
      </c>
      <c r="E92" s="22" t="s">
        <v>421</v>
      </c>
      <c r="F92" s="22"/>
      <c r="G92" s="23"/>
      <c r="H92" s="23"/>
      <c r="I92" s="24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3"/>
    </row>
    <row r="93" spans="1:21" ht="100" customHeight="1">
      <c r="A93" s="22"/>
      <c r="B93" s="23"/>
      <c r="C93" s="23"/>
      <c r="D93" s="22" t="str">
        <f t="shared" ca="1" si="2"/>
        <v/>
      </c>
      <c r="E93" s="22" t="s">
        <v>421</v>
      </c>
      <c r="F93" s="22"/>
      <c r="G93" s="23"/>
      <c r="H93" s="23"/>
      <c r="I93" s="24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3"/>
    </row>
    <row r="94" spans="1:21" ht="100" customHeight="1">
      <c r="A94" s="22"/>
      <c r="B94" s="23"/>
      <c r="C94" s="23"/>
      <c r="D94" s="22" t="str">
        <f t="shared" ca="1" si="2"/>
        <v/>
      </c>
      <c r="E94" s="22" t="s">
        <v>421</v>
      </c>
      <c r="F94" s="22"/>
      <c r="G94" s="23"/>
      <c r="H94" s="23"/>
      <c r="I94" s="24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3"/>
    </row>
    <row r="95" spans="1:21" ht="100" customHeight="1">
      <c r="A95" s="22"/>
      <c r="B95" s="23"/>
      <c r="C95" s="23"/>
      <c r="D95" s="22" t="str">
        <f t="shared" ca="1" si="2"/>
        <v/>
      </c>
      <c r="E95" s="22" t="s">
        <v>421</v>
      </c>
      <c r="F95" s="22"/>
      <c r="G95" s="23"/>
      <c r="H95" s="23"/>
      <c r="I95" s="24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3"/>
    </row>
    <row r="96" spans="1:21" ht="100" customHeight="1">
      <c r="A96" s="22"/>
      <c r="B96" s="23"/>
      <c r="C96" s="23"/>
      <c r="D96" s="22" t="str">
        <f t="shared" ca="1" si="2"/>
        <v/>
      </c>
      <c r="E96" s="22" t="s">
        <v>421</v>
      </c>
      <c r="F96" s="22"/>
      <c r="G96" s="23"/>
      <c r="H96" s="23"/>
      <c r="I96" s="24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3"/>
    </row>
    <row r="97" spans="1:21" ht="100" customHeight="1">
      <c r="A97" s="22"/>
      <c r="B97" s="23"/>
      <c r="C97" s="23"/>
      <c r="D97" s="22" t="str">
        <f t="shared" ca="1" si="2"/>
        <v/>
      </c>
      <c r="E97" s="22" t="s">
        <v>421</v>
      </c>
      <c r="F97" s="22"/>
      <c r="G97" s="23"/>
      <c r="H97" s="23"/>
      <c r="I97" s="24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3"/>
    </row>
    <row r="98" spans="1:21" ht="100" customHeight="1">
      <c r="A98" s="22"/>
      <c r="B98" s="23"/>
      <c r="C98" s="23"/>
      <c r="D98" s="22" t="str">
        <f t="shared" ca="1" si="2"/>
        <v/>
      </c>
      <c r="E98" s="22" t="s">
        <v>421</v>
      </c>
      <c r="F98" s="22"/>
      <c r="G98" s="23"/>
      <c r="H98" s="23"/>
      <c r="I98" s="24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3"/>
    </row>
    <row r="99" spans="1:21" ht="100" customHeight="1">
      <c r="A99" s="22"/>
      <c r="B99" s="23"/>
      <c r="C99" s="23"/>
      <c r="D99" s="22" t="str">
        <f t="shared" ca="1" si="2"/>
        <v/>
      </c>
      <c r="E99" s="22" t="s">
        <v>421</v>
      </c>
      <c r="F99" s="22"/>
      <c r="G99" s="23"/>
      <c r="H99" s="23"/>
      <c r="I99" s="24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3"/>
    </row>
    <row r="100" spans="1:21" ht="100" customHeight="1">
      <c r="A100" s="22"/>
      <c r="B100" s="23"/>
      <c r="C100" s="23"/>
      <c r="D100" s="22" t="str">
        <f t="shared" ref="D100:D103" ca="1" si="3">IF(C100="","",DATEDIF(C100,TODAY(),"Y"))</f>
        <v/>
      </c>
      <c r="E100" s="22" t="s">
        <v>421</v>
      </c>
      <c r="F100" s="22"/>
      <c r="G100" s="23"/>
      <c r="H100" s="23"/>
      <c r="I100" s="24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3"/>
    </row>
    <row r="101" spans="1:21" ht="100" customHeight="1">
      <c r="A101" s="22"/>
      <c r="B101" s="23"/>
      <c r="C101" s="23"/>
      <c r="D101" s="22" t="str">
        <f t="shared" ca="1" si="3"/>
        <v/>
      </c>
      <c r="E101" s="22" t="s">
        <v>421</v>
      </c>
      <c r="F101" s="22"/>
      <c r="G101" s="23"/>
      <c r="H101" s="23"/>
      <c r="I101" s="24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3"/>
    </row>
    <row r="102" spans="1:21" ht="100" customHeight="1">
      <c r="A102" s="22"/>
      <c r="B102" s="23"/>
      <c r="C102" s="23"/>
      <c r="D102" s="22" t="str">
        <f t="shared" ca="1" si="3"/>
        <v/>
      </c>
      <c r="E102" s="22" t="s">
        <v>421</v>
      </c>
      <c r="F102" s="22"/>
      <c r="G102" s="23"/>
      <c r="H102" s="23"/>
      <c r="I102" s="24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3"/>
    </row>
    <row r="103" spans="1:21" ht="100" customHeight="1">
      <c r="A103" s="22"/>
      <c r="B103" s="23"/>
      <c r="C103" s="23"/>
      <c r="D103" s="22" t="str">
        <f t="shared" ca="1" si="3"/>
        <v/>
      </c>
      <c r="E103" s="22" t="s">
        <v>421</v>
      </c>
      <c r="F103" s="22"/>
      <c r="G103" s="23"/>
      <c r="H103" s="23"/>
      <c r="I103" s="24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3"/>
    </row>
  </sheetData>
  <mergeCells count="2">
    <mergeCell ref="A1:U1"/>
    <mergeCell ref="A2:I2"/>
  </mergeCells>
  <conditionalFormatting sqref="A4:U103">
    <cfRule type="expression" dxfId="31" priority="1">
      <formula>$I4="Yeşil"</formula>
    </cfRule>
    <cfRule type="expression" dxfId="30" priority="2">
      <formula>$I4="Sarı"</formula>
    </cfRule>
    <cfRule type="expression" dxfId="29" priority="3">
      <formula>$I4="Kırmızı"</formula>
    </cfRule>
  </conditionalFormatting>
  <conditionalFormatting sqref="H4:H103">
    <cfRule type="expression" dxfId="28" priority="4">
      <formula>AND($H4&lt;&gt;"",$H4&gt;=TODAY(),$H4&lt;=EDATE(TODAY(),6))</formula>
    </cfRule>
    <cfRule type="expression" dxfId="27" priority="5">
      <formula>AND($H4&lt;&gt;"",$H4&gt;EDATE(TODAY(),6),$H4&lt;=EDATE(TODAY(),12))</formula>
    </cfRule>
  </conditionalFormatting>
  <dataValidations count="3">
    <dataValidation type="list" allowBlank="1" showErrorMessage="1" sqref="I4:I103" xr:uid="{00000000-0002-0000-0D00-000000000000}">
      <formula1>"Kırmızı,Sarı,Yeşil"</formula1>
    </dataValidation>
    <dataValidation sqref="L4:R103" xr:uid="{00000000-0002-0000-0D00-000001000000}">
      <formula1>1</formula1>
      <formula2>10</formula2>
    </dataValidation>
    <dataValidation type="list" sqref="T4:T103" xr:uid="{00000000-0002-0000-0D00-000002000000}">
      <formula1>"A Liste,B Liste,Takip,Tekrar İzle,Ele"</formula1>
    </dataValidation>
  </dataValidations>
  <hyperlinks>
    <hyperlink ref="K13" r:id="rId1" xr:uid="{00000000-0004-0000-0D00-000000000000}"/>
    <hyperlink ref="K15" r:id="rId2" xr:uid="{00000000-0004-0000-0D00-000001000000}"/>
    <hyperlink ref="K16" r:id="rId3" xr:uid="{00000000-0004-0000-0D00-000002000000}"/>
    <hyperlink ref="K17" r:id="rId4" xr:uid="{00000000-0004-0000-0D00-000003000000}"/>
    <hyperlink ref="K18" r:id="rId5" xr:uid="{00000000-0004-0000-0D00-000004000000}"/>
    <hyperlink ref="K19" r:id="rId6" xr:uid="{00000000-0004-0000-0D00-000005000000}"/>
    <hyperlink ref="K20" r:id="rId7" xr:uid="{00000000-0004-0000-0D00-000006000000}"/>
    <hyperlink ref="K21" r:id="rId8" xr:uid="{00000000-0004-0000-0D00-000007000000}"/>
    <hyperlink ref="K22" r:id="rId9" xr:uid="{00000000-0004-0000-0D00-000008000000}"/>
    <hyperlink ref="K23" r:id="rId10" xr:uid="{00000000-0004-0000-0D00-000009000000}"/>
    <hyperlink ref="K24" r:id="rId11" xr:uid="{00000000-0004-0000-0D00-00000A000000}"/>
    <hyperlink ref="K25" r:id="rId12" xr:uid="{00000000-0004-0000-0D00-00000B000000}"/>
    <hyperlink ref="K26" r:id="rId13" xr:uid="{00000000-0004-0000-0D00-00000C000000}"/>
  </hyperlinks>
  <pageMargins left="0.7" right="0.7" top="0.75" bottom="0.75" header="0.3" footer="0.3"/>
  <drawing r:id="rId1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03"/>
  <sheetViews>
    <sheetView showGridLines="0" topLeftCell="A19" zoomScale="99" workbookViewId="0">
      <selection activeCell="A25" sqref="A25"/>
    </sheetView>
  </sheetViews>
  <sheetFormatPr baseColWidth="10" defaultColWidth="8.83203125" defaultRowHeight="14"/>
  <cols>
    <col min="1" max="1" width="24" customWidth="1"/>
    <col min="2" max="3" width="14" customWidth="1"/>
    <col min="4" max="4" width="8" customWidth="1"/>
    <col min="5" max="5" width="16" customWidth="1"/>
    <col min="6" max="6" width="18" customWidth="1"/>
    <col min="7" max="7" width="20" customWidth="1"/>
    <col min="8" max="8" width="18" customWidth="1"/>
    <col min="9" max="9" width="11" customWidth="1"/>
    <col min="10" max="10" width="100.83203125" customWidth="1"/>
    <col min="11" max="11" width="62" bestFit="1" customWidth="1"/>
    <col min="12" max="15" width="9" customWidth="1"/>
    <col min="16" max="17" width="10" customWidth="1"/>
    <col min="18" max="18" width="12.83203125" customWidth="1"/>
    <col min="19" max="19" width="11" customWidth="1"/>
    <col min="20" max="21" width="14" customWidth="1"/>
  </cols>
  <sheetData>
    <row r="1" spans="1:21" ht="30" customHeight="1">
      <c r="A1" s="67" t="s">
        <v>489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1" ht="15" customHeight="1">
      <c r="A2" s="96"/>
      <c r="B2" s="68"/>
      <c r="C2" s="68"/>
      <c r="D2" s="68"/>
      <c r="E2" s="68"/>
      <c r="F2" s="68"/>
      <c r="G2" s="68"/>
      <c r="H2" s="68"/>
      <c r="I2" s="68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30" customHeight="1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U3" s="21" t="s">
        <v>21</v>
      </c>
    </row>
    <row r="4" spans="1:21" ht="100" customHeight="1">
      <c r="A4" s="22" t="s">
        <v>490</v>
      </c>
      <c r="B4" s="23" t="s">
        <v>333</v>
      </c>
      <c r="C4" s="23">
        <v>35797</v>
      </c>
      <c r="D4" s="22">
        <f t="shared" ref="D4:D35" ca="1" si="0">IF(C4="","",DATEDIF(C4,TODAY(),"Y"))</f>
        <v>28</v>
      </c>
      <c r="E4" s="22" t="s">
        <v>164</v>
      </c>
      <c r="F4" s="22"/>
      <c r="G4" s="23" t="s">
        <v>35</v>
      </c>
      <c r="H4" s="23">
        <v>46568</v>
      </c>
      <c r="I4" s="24" t="s">
        <v>31</v>
      </c>
      <c r="J4" s="25"/>
      <c r="K4" s="25"/>
      <c r="L4" s="22"/>
      <c r="M4" s="22"/>
      <c r="N4" s="22"/>
      <c r="O4" s="22"/>
      <c r="P4" s="22"/>
      <c r="Q4" s="22"/>
      <c r="R4" s="22"/>
      <c r="S4" s="22"/>
      <c r="T4" s="22" t="s">
        <v>32</v>
      </c>
      <c r="U4" s="23"/>
    </row>
    <row r="5" spans="1:21" ht="100" customHeight="1">
      <c r="A5" s="22" t="s">
        <v>491</v>
      </c>
      <c r="B5" s="23" t="s">
        <v>23</v>
      </c>
      <c r="C5" s="23">
        <v>35161</v>
      </c>
      <c r="D5" s="22">
        <f t="shared" ca="1" si="0"/>
        <v>30</v>
      </c>
      <c r="E5" s="22" t="s">
        <v>164</v>
      </c>
      <c r="F5" s="22"/>
      <c r="G5" s="23" t="s">
        <v>492</v>
      </c>
      <c r="H5" s="23">
        <v>46387</v>
      </c>
      <c r="I5" s="24" t="s">
        <v>36</v>
      </c>
      <c r="J5" s="25"/>
      <c r="K5" s="25"/>
      <c r="L5" s="22"/>
      <c r="M5" s="22"/>
      <c r="N5" s="22"/>
      <c r="O5" s="22"/>
      <c r="P5" s="22"/>
      <c r="Q5" s="22"/>
      <c r="R5" s="22"/>
      <c r="S5" s="22"/>
      <c r="T5" s="22" t="s">
        <v>38</v>
      </c>
      <c r="U5" s="23"/>
    </row>
    <row r="6" spans="1:21" ht="100" customHeight="1">
      <c r="A6" s="22" t="s">
        <v>493</v>
      </c>
      <c r="B6" s="38" t="s">
        <v>415</v>
      </c>
      <c r="C6" s="23">
        <v>39137</v>
      </c>
      <c r="D6" s="22">
        <f t="shared" ca="1" si="0"/>
        <v>19</v>
      </c>
      <c r="E6" s="22" t="s">
        <v>164</v>
      </c>
      <c r="F6" s="22"/>
      <c r="G6" s="23" t="s">
        <v>494</v>
      </c>
      <c r="H6" s="23">
        <v>46568</v>
      </c>
      <c r="I6" s="24" t="s">
        <v>26</v>
      </c>
      <c r="J6" s="25"/>
      <c r="K6" s="25"/>
      <c r="L6" s="22"/>
      <c r="M6" s="22"/>
      <c r="N6" s="22"/>
      <c r="O6" s="22"/>
      <c r="P6" s="22"/>
      <c r="Q6" s="22"/>
      <c r="R6" s="22"/>
      <c r="S6" s="22"/>
      <c r="T6" s="22" t="s">
        <v>44</v>
      </c>
      <c r="U6" s="23"/>
    </row>
    <row r="7" spans="1:21" ht="100" customHeight="1">
      <c r="A7" s="22" t="s">
        <v>495</v>
      </c>
      <c r="B7" s="23" t="s">
        <v>89</v>
      </c>
      <c r="C7" s="23">
        <v>38898</v>
      </c>
      <c r="D7" s="22">
        <f t="shared" ca="1" si="0"/>
        <v>20</v>
      </c>
      <c r="E7" s="22" t="s">
        <v>164</v>
      </c>
      <c r="F7" s="22"/>
      <c r="G7" s="23" t="s">
        <v>496</v>
      </c>
      <c r="H7" s="23">
        <v>46568</v>
      </c>
      <c r="I7" s="24" t="s">
        <v>26</v>
      </c>
      <c r="J7" s="25"/>
      <c r="K7" s="25"/>
      <c r="L7" s="22"/>
      <c r="M7" s="22"/>
      <c r="N7" s="22"/>
      <c r="O7" s="22"/>
      <c r="P7" s="22"/>
      <c r="Q7" s="22"/>
      <c r="R7" s="22"/>
      <c r="S7" s="22"/>
      <c r="T7" s="22" t="s">
        <v>41</v>
      </c>
      <c r="U7" s="23"/>
    </row>
    <row r="8" spans="1:21" ht="100" customHeight="1">
      <c r="A8" s="22" t="s">
        <v>497</v>
      </c>
      <c r="B8" s="23" t="s">
        <v>97</v>
      </c>
      <c r="C8" s="23">
        <v>36074</v>
      </c>
      <c r="D8" s="22">
        <f t="shared" ca="1" si="0"/>
        <v>28</v>
      </c>
      <c r="E8" s="22" t="s">
        <v>164</v>
      </c>
      <c r="F8" s="22"/>
      <c r="G8" s="23" t="s">
        <v>498</v>
      </c>
      <c r="H8" s="23">
        <v>47299</v>
      </c>
      <c r="I8" s="24" t="s">
        <v>36</v>
      </c>
      <c r="J8" s="25"/>
      <c r="K8" s="25"/>
      <c r="L8" s="22"/>
      <c r="M8" s="22"/>
      <c r="N8" s="22"/>
      <c r="O8" s="22"/>
      <c r="P8" s="22"/>
      <c r="Q8" s="22"/>
      <c r="R8" s="22"/>
      <c r="S8" s="22"/>
      <c r="T8" s="22" t="s">
        <v>38</v>
      </c>
      <c r="U8" s="23"/>
    </row>
    <row r="9" spans="1:21" ht="100" customHeight="1">
      <c r="A9" s="22" t="s">
        <v>499</v>
      </c>
      <c r="B9" s="23" t="s">
        <v>34</v>
      </c>
      <c r="C9" s="23">
        <v>35680</v>
      </c>
      <c r="D9" s="22">
        <f t="shared" ca="1" si="0"/>
        <v>29</v>
      </c>
      <c r="E9" s="22" t="s">
        <v>164</v>
      </c>
      <c r="F9" s="22"/>
      <c r="G9" s="23" t="s">
        <v>500</v>
      </c>
      <c r="H9" s="23">
        <v>46752</v>
      </c>
      <c r="I9" s="24" t="s">
        <v>36</v>
      </c>
      <c r="J9" s="25"/>
      <c r="K9" s="40" t="s">
        <v>501</v>
      </c>
      <c r="L9" s="22"/>
      <c r="M9" s="22"/>
      <c r="N9" s="22"/>
      <c r="O9" s="22"/>
      <c r="P9" s="22"/>
      <c r="Q9" s="22"/>
      <c r="R9" s="22"/>
      <c r="S9" s="22"/>
      <c r="T9" s="22" t="s">
        <v>38</v>
      </c>
      <c r="U9" s="23"/>
    </row>
    <row r="10" spans="1:21" ht="100" customHeight="1">
      <c r="A10" s="22" t="s">
        <v>502</v>
      </c>
      <c r="B10" s="23" t="s">
        <v>266</v>
      </c>
      <c r="C10" s="23">
        <v>36824</v>
      </c>
      <c r="D10" s="22">
        <f t="shared" ca="1" si="0"/>
        <v>25</v>
      </c>
      <c r="E10" s="22" t="s">
        <v>164</v>
      </c>
      <c r="F10" s="22"/>
      <c r="G10" s="23" t="s">
        <v>503</v>
      </c>
      <c r="H10" s="23">
        <v>46568</v>
      </c>
      <c r="I10" s="24" t="s">
        <v>36</v>
      </c>
      <c r="J10" s="25"/>
      <c r="K10" s="40" t="s">
        <v>504</v>
      </c>
      <c r="L10" s="22"/>
      <c r="M10" s="22"/>
      <c r="N10" s="22"/>
      <c r="O10" s="22"/>
      <c r="P10" s="22"/>
      <c r="Q10" s="22"/>
      <c r="R10" s="22"/>
      <c r="S10" s="22"/>
      <c r="T10" s="22" t="s">
        <v>38</v>
      </c>
      <c r="U10" s="23"/>
    </row>
    <row r="11" spans="1:21" ht="100" customHeight="1">
      <c r="A11" s="22" t="s">
        <v>505</v>
      </c>
      <c r="B11" s="23" t="s">
        <v>506</v>
      </c>
      <c r="C11" s="23">
        <v>36958</v>
      </c>
      <c r="D11" s="22">
        <f t="shared" ca="1" si="0"/>
        <v>25</v>
      </c>
      <c r="E11" s="22" t="s">
        <v>164</v>
      </c>
      <c r="F11" s="22"/>
      <c r="G11" s="23" t="s">
        <v>507</v>
      </c>
      <c r="H11" s="23">
        <v>46904</v>
      </c>
      <c r="I11" s="24" t="s">
        <v>26</v>
      </c>
      <c r="J11" s="25"/>
      <c r="K11" s="25" t="s">
        <v>508</v>
      </c>
      <c r="L11" s="22"/>
      <c r="M11" s="22"/>
      <c r="N11" s="22"/>
      <c r="O11" s="22"/>
      <c r="P11" s="22"/>
      <c r="Q11" s="22"/>
      <c r="R11" s="22"/>
      <c r="S11" s="22"/>
      <c r="T11" s="22" t="s">
        <v>44</v>
      </c>
      <c r="U11" s="23"/>
    </row>
    <row r="12" spans="1:21" ht="100" customHeight="1">
      <c r="A12" s="22" t="s">
        <v>509</v>
      </c>
      <c r="B12" s="23" t="s">
        <v>510</v>
      </c>
      <c r="C12" s="23">
        <v>37895</v>
      </c>
      <c r="D12" s="22">
        <f t="shared" ca="1" si="0"/>
        <v>23</v>
      </c>
      <c r="E12" s="22" t="s">
        <v>164</v>
      </c>
      <c r="F12" s="22"/>
      <c r="G12" s="23" t="s">
        <v>511</v>
      </c>
      <c r="H12" s="23">
        <v>46934</v>
      </c>
      <c r="I12" s="24" t="s">
        <v>26</v>
      </c>
      <c r="J12" s="25"/>
      <c r="K12" s="25" t="s">
        <v>512</v>
      </c>
      <c r="L12" s="22"/>
      <c r="M12" s="22"/>
      <c r="N12" s="22"/>
      <c r="O12" s="22"/>
      <c r="P12" s="22"/>
      <c r="Q12" s="22"/>
      <c r="R12" s="22"/>
      <c r="S12" s="22"/>
      <c r="T12" s="22" t="s">
        <v>44</v>
      </c>
      <c r="U12" s="23"/>
    </row>
    <row r="13" spans="1:21" ht="100" customHeight="1">
      <c r="A13" s="22" t="s">
        <v>513</v>
      </c>
      <c r="B13" s="23" t="s">
        <v>514</v>
      </c>
      <c r="C13" s="23">
        <v>36557</v>
      </c>
      <c r="D13" s="22">
        <f t="shared" ca="1" si="0"/>
        <v>26</v>
      </c>
      <c r="E13" s="22" t="s">
        <v>164</v>
      </c>
      <c r="F13" s="22"/>
      <c r="G13" s="23" t="s">
        <v>515</v>
      </c>
      <c r="H13" s="23">
        <v>46934</v>
      </c>
      <c r="I13" s="24" t="s">
        <v>36</v>
      </c>
      <c r="J13" s="25"/>
      <c r="K13" s="25" t="s">
        <v>516</v>
      </c>
      <c r="L13" s="22"/>
      <c r="M13" s="22"/>
      <c r="N13" s="22"/>
      <c r="O13" s="22"/>
      <c r="P13" s="22"/>
      <c r="Q13" s="22"/>
      <c r="R13" s="22"/>
      <c r="S13" s="22"/>
      <c r="T13" s="22" t="s">
        <v>38</v>
      </c>
      <c r="U13" s="23"/>
    </row>
    <row r="14" spans="1:21" ht="100" customHeight="1">
      <c r="A14" s="22" t="s">
        <v>517</v>
      </c>
      <c r="B14" s="23" t="s">
        <v>266</v>
      </c>
      <c r="C14" s="23">
        <v>37258</v>
      </c>
      <c r="D14" s="22">
        <f t="shared" ca="1" si="0"/>
        <v>24</v>
      </c>
      <c r="E14" s="22" t="s">
        <v>164</v>
      </c>
      <c r="F14" s="22"/>
      <c r="G14" s="23" t="s">
        <v>54</v>
      </c>
      <c r="H14" s="23">
        <v>47664</v>
      </c>
      <c r="I14" s="24" t="s">
        <v>26</v>
      </c>
      <c r="J14" s="25"/>
      <c r="K14" s="25" t="s">
        <v>518</v>
      </c>
      <c r="L14" s="22"/>
      <c r="M14" s="22"/>
      <c r="N14" s="22"/>
      <c r="O14" s="22"/>
      <c r="P14" s="22"/>
      <c r="Q14" s="22"/>
      <c r="R14" s="22"/>
      <c r="S14" s="22"/>
      <c r="T14" s="22" t="s">
        <v>44</v>
      </c>
      <c r="U14" s="23"/>
    </row>
    <row r="15" spans="1:21" ht="100" customHeight="1">
      <c r="A15" s="22" t="s">
        <v>519</v>
      </c>
      <c r="B15" s="23" t="s">
        <v>520</v>
      </c>
      <c r="C15" s="23">
        <v>38622</v>
      </c>
      <c r="D15" s="22">
        <f t="shared" ca="1" si="0"/>
        <v>21</v>
      </c>
      <c r="E15" s="22" t="s">
        <v>164</v>
      </c>
      <c r="F15" s="22"/>
      <c r="G15" s="23" t="s">
        <v>521</v>
      </c>
      <c r="H15" s="23">
        <v>46934</v>
      </c>
      <c r="I15" s="24" t="s">
        <v>36</v>
      </c>
      <c r="J15" s="25"/>
      <c r="K15" s="25" t="s">
        <v>522</v>
      </c>
      <c r="L15" s="22"/>
      <c r="M15" s="22"/>
      <c r="N15" s="22"/>
      <c r="O15" s="22"/>
      <c r="P15" s="22"/>
      <c r="Q15" s="22"/>
      <c r="R15" s="22"/>
      <c r="S15" s="22"/>
      <c r="T15" s="22" t="s">
        <v>38</v>
      </c>
      <c r="U15" s="23"/>
    </row>
    <row r="16" spans="1:21" ht="100" customHeight="1">
      <c r="A16" s="22" t="s">
        <v>523</v>
      </c>
      <c r="B16" s="23" t="s">
        <v>524</v>
      </c>
      <c r="C16" s="23">
        <v>37936</v>
      </c>
      <c r="D16" s="22">
        <f t="shared" ca="1" si="0"/>
        <v>22</v>
      </c>
      <c r="E16" s="22" t="s">
        <v>164</v>
      </c>
      <c r="F16" s="22"/>
      <c r="G16" s="23" t="s">
        <v>525</v>
      </c>
      <c r="H16" s="23">
        <v>47664</v>
      </c>
      <c r="I16" s="24" t="s">
        <v>31</v>
      </c>
      <c r="J16" s="25"/>
      <c r="K16" s="25" t="s">
        <v>526</v>
      </c>
      <c r="L16" s="22"/>
      <c r="M16" s="22"/>
      <c r="N16" s="22"/>
      <c r="O16" s="22"/>
      <c r="P16" s="22"/>
      <c r="Q16" s="22"/>
      <c r="R16" s="22"/>
      <c r="S16" s="22"/>
      <c r="T16" s="22" t="s">
        <v>27</v>
      </c>
      <c r="U16" s="23"/>
    </row>
    <row r="17" spans="1:21" ht="100" customHeight="1">
      <c r="A17" s="22" t="s">
        <v>527</v>
      </c>
      <c r="B17" s="23" t="s">
        <v>34</v>
      </c>
      <c r="C17" s="23">
        <v>36308</v>
      </c>
      <c r="D17" s="22">
        <f t="shared" ca="1" si="0"/>
        <v>27</v>
      </c>
      <c r="E17" s="22" t="s">
        <v>164</v>
      </c>
      <c r="F17" s="22"/>
      <c r="G17" s="23" t="s">
        <v>528</v>
      </c>
      <c r="H17" s="23">
        <v>46721</v>
      </c>
      <c r="I17" s="24" t="s">
        <v>26</v>
      </c>
      <c r="J17" s="25"/>
      <c r="K17" s="25" t="s">
        <v>529</v>
      </c>
      <c r="L17" s="22"/>
      <c r="M17" s="22"/>
      <c r="N17" s="22"/>
      <c r="O17" s="22"/>
      <c r="P17" s="22"/>
      <c r="Q17" s="22"/>
      <c r="R17" s="22"/>
      <c r="S17" s="22"/>
      <c r="T17" s="22" t="s">
        <v>41</v>
      </c>
      <c r="U17" s="23"/>
    </row>
    <row r="18" spans="1:21" ht="100" customHeight="1">
      <c r="A18" s="22" t="s">
        <v>530</v>
      </c>
      <c r="B18" s="23" t="s">
        <v>506</v>
      </c>
      <c r="C18" s="23">
        <v>35960</v>
      </c>
      <c r="D18" s="22">
        <f t="shared" ca="1" si="0"/>
        <v>28</v>
      </c>
      <c r="E18" s="22" t="s">
        <v>164</v>
      </c>
      <c r="F18" s="22"/>
      <c r="G18" s="23" t="s">
        <v>201</v>
      </c>
      <c r="H18" s="23">
        <v>46752</v>
      </c>
      <c r="I18" s="24" t="s">
        <v>26</v>
      </c>
      <c r="J18" s="25"/>
      <c r="K18" s="25" t="s">
        <v>531</v>
      </c>
      <c r="L18" s="22"/>
      <c r="M18" s="22"/>
      <c r="N18" s="22"/>
      <c r="O18" s="22"/>
      <c r="P18" s="22"/>
      <c r="Q18" s="22"/>
      <c r="R18" s="22"/>
      <c r="S18" s="22"/>
      <c r="T18" s="22" t="s">
        <v>41</v>
      </c>
      <c r="U18" s="23"/>
    </row>
    <row r="19" spans="1:21" ht="100" customHeight="1">
      <c r="A19" s="22" t="s">
        <v>532</v>
      </c>
      <c r="B19" s="23" t="s">
        <v>524</v>
      </c>
      <c r="C19" s="23">
        <v>37128</v>
      </c>
      <c r="D19" s="22">
        <f t="shared" ca="1" si="0"/>
        <v>25</v>
      </c>
      <c r="E19" s="22" t="s">
        <v>164</v>
      </c>
      <c r="F19" s="22"/>
      <c r="G19" s="23" t="s">
        <v>533</v>
      </c>
      <c r="H19" s="23">
        <v>46568</v>
      </c>
      <c r="I19" s="24" t="s">
        <v>26</v>
      </c>
      <c r="J19" s="25"/>
      <c r="K19" s="25" t="s">
        <v>534</v>
      </c>
      <c r="L19" s="22"/>
      <c r="M19" s="22"/>
      <c r="N19" s="22"/>
      <c r="O19" s="22"/>
      <c r="P19" s="22"/>
      <c r="Q19" s="22"/>
      <c r="R19" s="22"/>
      <c r="S19" s="22"/>
      <c r="T19" s="22" t="s">
        <v>41</v>
      </c>
      <c r="U19" s="23"/>
    </row>
    <row r="20" spans="1:21" ht="100" customHeight="1">
      <c r="A20" s="22" t="s">
        <v>535</v>
      </c>
      <c r="B20" s="23" t="s">
        <v>536</v>
      </c>
      <c r="C20" s="23">
        <v>38418</v>
      </c>
      <c r="D20" s="22">
        <f t="shared" ca="1" si="0"/>
        <v>21</v>
      </c>
      <c r="E20" s="22" t="s">
        <v>164</v>
      </c>
      <c r="F20" s="22"/>
      <c r="G20" s="23" t="s">
        <v>537</v>
      </c>
      <c r="H20" s="23">
        <v>46568</v>
      </c>
      <c r="I20" s="24" t="s">
        <v>36</v>
      </c>
      <c r="J20" s="25"/>
      <c r="K20" s="25" t="s">
        <v>538</v>
      </c>
      <c r="L20" s="22"/>
      <c r="M20" s="22"/>
      <c r="N20" s="22"/>
      <c r="O20" s="22"/>
      <c r="P20" s="22"/>
      <c r="Q20" s="22"/>
      <c r="R20" s="22"/>
      <c r="S20" s="22"/>
      <c r="T20" s="22" t="s">
        <v>38</v>
      </c>
      <c r="U20" s="23"/>
    </row>
    <row r="21" spans="1:21" ht="100" customHeight="1">
      <c r="A21" s="22" t="s">
        <v>539</v>
      </c>
      <c r="B21" s="23" t="s">
        <v>514</v>
      </c>
      <c r="C21" s="23">
        <v>35789</v>
      </c>
      <c r="D21" s="22">
        <f t="shared" ca="1" si="0"/>
        <v>28</v>
      </c>
      <c r="E21" s="22" t="s">
        <v>164</v>
      </c>
      <c r="F21" s="22"/>
      <c r="G21" s="23"/>
      <c r="H21" s="23" t="s">
        <v>50</v>
      </c>
      <c r="I21" s="24" t="s">
        <v>36</v>
      </c>
      <c r="J21" s="25"/>
      <c r="K21" s="25" t="s">
        <v>540</v>
      </c>
      <c r="L21" s="22"/>
      <c r="M21" s="22"/>
      <c r="N21" s="22"/>
      <c r="O21" s="22"/>
      <c r="P21" s="22"/>
      <c r="Q21" s="22"/>
      <c r="R21" s="22"/>
      <c r="S21" s="22"/>
      <c r="T21" s="22" t="s">
        <v>38</v>
      </c>
      <c r="U21" s="23"/>
    </row>
    <row r="22" spans="1:21" ht="100" customHeight="1">
      <c r="A22" s="22" t="s">
        <v>541</v>
      </c>
      <c r="B22" s="23" t="s">
        <v>29</v>
      </c>
      <c r="C22" s="23">
        <v>35856</v>
      </c>
      <c r="D22" s="22">
        <f t="shared" ca="1" si="0"/>
        <v>28</v>
      </c>
      <c r="E22" s="22" t="s">
        <v>164</v>
      </c>
      <c r="F22" s="22"/>
      <c r="G22" s="23" t="s">
        <v>542</v>
      </c>
      <c r="H22" s="23">
        <v>46568</v>
      </c>
      <c r="I22" s="24" t="s">
        <v>26</v>
      </c>
      <c r="J22" s="25"/>
      <c r="K22" s="25" t="s">
        <v>543</v>
      </c>
      <c r="L22" s="22"/>
      <c r="M22" s="22"/>
      <c r="N22" s="22"/>
      <c r="O22" s="22"/>
      <c r="P22" s="22"/>
      <c r="Q22" s="22"/>
      <c r="R22" s="22"/>
      <c r="S22" s="22"/>
      <c r="T22" s="22" t="s">
        <v>44</v>
      </c>
      <c r="U22" s="23"/>
    </row>
    <row r="23" spans="1:21" ht="100" customHeight="1">
      <c r="A23" s="22" t="s">
        <v>544</v>
      </c>
      <c r="B23" s="23" t="s">
        <v>23</v>
      </c>
      <c r="C23" s="23">
        <v>38080</v>
      </c>
      <c r="D23" s="22">
        <f t="shared" ca="1" si="0"/>
        <v>22</v>
      </c>
      <c r="E23" s="22" t="s">
        <v>164</v>
      </c>
      <c r="F23" s="22"/>
      <c r="G23" s="23" t="s">
        <v>545</v>
      </c>
      <c r="H23" s="23">
        <v>46568</v>
      </c>
      <c r="I23" s="24" t="s">
        <v>31</v>
      </c>
      <c r="J23" s="25"/>
      <c r="K23" s="25" t="s">
        <v>546</v>
      </c>
      <c r="L23" s="22"/>
      <c r="M23" s="22"/>
      <c r="N23" s="22"/>
      <c r="O23" s="22"/>
      <c r="P23" s="22"/>
      <c r="Q23" s="22"/>
      <c r="R23" s="22"/>
      <c r="S23" s="22"/>
      <c r="T23" s="22" t="s">
        <v>27</v>
      </c>
      <c r="U23" s="23"/>
    </row>
    <row r="24" spans="1:21" ht="100" customHeight="1">
      <c r="A24" s="22" t="s">
        <v>547</v>
      </c>
      <c r="B24" s="23" t="s">
        <v>548</v>
      </c>
      <c r="C24" s="23">
        <v>36149</v>
      </c>
      <c r="D24" s="22">
        <f t="shared" ca="1" si="0"/>
        <v>27</v>
      </c>
      <c r="E24" s="22" t="s">
        <v>164</v>
      </c>
      <c r="F24" s="22"/>
      <c r="G24" s="23" t="s">
        <v>549</v>
      </c>
      <c r="H24" s="23">
        <v>46934</v>
      </c>
      <c r="I24" s="24" t="s">
        <v>26</v>
      </c>
      <c r="J24" s="25"/>
      <c r="K24" s="25" t="s">
        <v>550</v>
      </c>
      <c r="L24" s="22"/>
      <c r="M24" s="22"/>
      <c r="N24" s="22"/>
      <c r="O24" s="22"/>
      <c r="P24" s="22"/>
      <c r="Q24" s="22"/>
      <c r="R24" s="22"/>
      <c r="S24" s="22"/>
      <c r="T24" s="22" t="s">
        <v>41</v>
      </c>
      <c r="U24" s="23"/>
    </row>
    <row r="25" spans="1:21" ht="100" customHeight="1">
      <c r="A25" s="22" t="s">
        <v>551</v>
      </c>
      <c r="B25" s="23" t="s">
        <v>510</v>
      </c>
      <c r="C25" s="23">
        <v>37896</v>
      </c>
      <c r="D25" s="22">
        <f t="shared" ca="1" si="0"/>
        <v>23</v>
      </c>
      <c r="E25" s="22" t="s">
        <v>164</v>
      </c>
      <c r="F25" s="22" t="s">
        <v>552</v>
      </c>
      <c r="G25" s="23" t="s">
        <v>553</v>
      </c>
      <c r="H25" s="23">
        <v>46934</v>
      </c>
      <c r="I25" s="24"/>
      <c r="J25" s="25"/>
      <c r="K25" s="65" t="s">
        <v>512</v>
      </c>
      <c r="L25" s="22"/>
      <c r="M25" s="22"/>
      <c r="N25" s="22"/>
      <c r="O25" s="22"/>
      <c r="P25" s="22"/>
      <c r="Q25" s="22"/>
      <c r="R25" s="22"/>
      <c r="S25" s="22"/>
      <c r="T25" s="22"/>
      <c r="U25" s="23"/>
    </row>
    <row r="26" spans="1:21" ht="100" customHeight="1">
      <c r="A26" s="22" t="s">
        <v>554</v>
      </c>
      <c r="B26" s="23" t="s">
        <v>555</v>
      </c>
      <c r="C26" s="23">
        <v>36958</v>
      </c>
      <c r="D26" s="22">
        <f t="shared" ca="1" si="0"/>
        <v>25</v>
      </c>
      <c r="E26" s="22" t="s">
        <v>164</v>
      </c>
      <c r="F26" s="22" t="s">
        <v>556</v>
      </c>
      <c r="G26" s="23" t="s">
        <v>557</v>
      </c>
      <c r="H26" s="23">
        <v>46904</v>
      </c>
      <c r="I26" s="24"/>
      <c r="J26" s="25"/>
      <c r="K26" s="65" t="s">
        <v>508</v>
      </c>
      <c r="L26" s="22"/>
      <c r="M26" s="22"/>
      <c r="N26" s="22"/>
      <c r="O26" s="22"/>
      <c r="P26" s="22"/>
      <c r="Q26" s="22"/>
      <c r="R26" s="22"/>
      <c r="S26" s="22"/>
      <c r="T26" s="22"/>
      <c r="U26" s="23"/>
    </row>
    <row r="27" spans="1:21" ht="100" customHeight="1">
      <c r="A27" s="22" t="s">
        <v>558</v>
      </c>
      <c r="B27" s="23" t="s">
        <v>34</v>
      </c>
      <c r="C27" s="23">
        <v>35680</v>
      </c>
      <c r="D27" s="22">
        <f t="shared" ca="1" si="0"/>
        <v>29</v>
      </c>
      <c r="E27" s="22" t="s">
        <v>164</v>
      </c>
      <c r="F27" s="22" t="s">
        <v>559</v>
      </c>
      <c r="G27" s="23" t="s">
        <v>268</v>
      </c>
      <c r="H27" s="23" t="s">
        <v>51</v>
      </c>
      <c r="I27" s="24"/>
      <c r="J27" s="25"/>
      <c r="K27" s="65" t="s">
        <v>560</v>
      </c>
      <c r="L27" s="22"/>
      <c r="M27" s="22"/>
      <c r="N27" s="22"/>
      <c r="O27" s="22"/>
      <c r="P27" s="22"/>
      <c r="Q27" s="22"/>
      <c r="R27" s="22"/>
      <c r="S27" s="22"/>
      <c r="T27" s="22"/>
      <c r="U27" s="23"/>
    </row>
    <row r="28" spans="1:21" ht="100" customHeight="1">
      <c r="A28" s="22" t="s">
        <v>561</v>
      </c>
      <c r="B28" s="23" t="s">
        <v>23</v>
      </c>
      <c r="C28" s="23">
        <v>38080</v>
      </c>
      <c r="D28" s="22">
        <f t="shared" ca="1" si="0"/>
        <v>22</v>
      </c>
      <c r="E28" s="22" t="s">
        <v>164</v>
      </c>
      <c r="F28" s="22" t="s">
        <v>562</v>
      </c>
      <c r="G28" s="23" t="s">
        <v>563</v>
      </c>
      <c r="H28" s="23">
        <v>48029</v>
      </c>
      <c r="I28" s="24"/>
      <c r="J28" s="25"/>
      <c r="K28" s="25" t="s">
        <v>107</v>
      </c>
      <c r="L28" s="22"/>
      <c r="M28" s="22"/>
      <c r="N28" s="22"/>
      <c r="O28" s="22"/>
      <c r="P28" s="22"/>
      <c r="Q28" s="22"/>
      <c r="R28" s="22"/>
      <c r="S28" s="22"/>
      <c r="T28" s="22"/>
      <c r="U28" s="23"/>
    </row>
    <row r="29" spans="1:21" ht="100" customHeight="1">
      <c r="A29" s="22" t="s">
        <v>564</v>
      </c>
      <c r="B29" s="23" t="s">
        <v>29</v>
      </c>
      <c r="C29" s="23">
        <v>37809</v>
      </c>
      <c r="D29" s="22">
        <f t="shared" ca="1" si="0"/>
        <v>23</v>
      </c>
      <c r="E29" s="22" t="s">
        <v>164</v>
      </c>
      <c r="F29" s="22" t="s">
        <v>565</v>
      </c>
      <c r="G29" s="23" t="s">
        <v>566</v>
      </c>
      <c r="H29" s="23">
        <v>46934</v>
      </c>
      <c r="I29" s="24"/>
      <c r="J29" s="25"/>
      <c r="K29" s="25" t="s">
        <v>107</v>
      </c>
      <c r="L29" s="22"/>
      <c r="M29" s="22"/>
      <c r="N29" s="22"/>
      <c r="O29" s="22"/>
      <c r="P29" s="22"/>
      <c r="Q29" s="22"/>
      <c r="R29" s="22"/>
      <c r="S29" s="22"/>
      <c r="T29" s="22"/>
      <c r="U29" s="23"/>
    </row>
    <row r="30" spans="1:21" ht="100" customHeight="1">
      <c r="A30" s="22" t="s">
        <v>567</v>
      </c>
      <c r="B30" s="23" t="s">
        <v>568</v>
      </c>
      <c r="C30" s="23">
        <v>35599</v>
      </c>
      <c r="D30" s="22">
        <f t="shared" ca="1" si="0"/>
        <v>29</v>
      </c>
      <c r="E30" s="22" t="s">
        <v>164</v>
      </c>
      <c r="F30" s="22" t="s">
        <v>569</v>
      </c>
      <c r="G30" s="23" t="s">
        <v>570</v>
      </c>
      <c r="H30" s="23">
        <v>46568</v>
      </c>
      <c r="I30" s="24"/>
      <c r="J30" s="25"/>
      <c r="K30" s="65" t="s">
        <v>571</v>
      </c>
      <c r="L30" s="22"/>
      <c r="M30" s="22"/>
      <c r="N30" s="22"/>
      <c r="O30" s="22"/>
      <c r="P30" s="22"/>
      <c r="Q30" s="22"/>
      <c r="R30" s="22"/>
      <c r="S30" s="22"/>
      <c r="T30" s="22"/>
      <c r="U30" s="23"/>
    </row>
    <row r="31" spans="1:21" ht="100" customHeight="1">
      <c r="A31" s="22" t="s">
        <v>572</v>
      </c>
      <c r="B31" s="23" t="s">
        <v>573</v>
      </c>
      <c r="C31" s="23">
        <v>36686</v>
      </c>
      <c r="D31" s="22">
        <f t="shared" ca="1" si="0"/>
        <v>26</v>
      </c>
      <c r="E31" s="22" t="s">
        <v>164</v>
      </c>
      <c r="F31" s="22" t="s">
        <v>574</v>
      </c>
      <c r="G31" s="23" t="s">
        <v>575</v>
      </c>
      <c r="H31" s="23">
        <v>46568</v>
      </c>
      <c r="I31" s="24"/>
      <c r="J31" s="25"/>
      <c r="K31" s="65" t="s">
        <v>576</v>
      </c>
      <c r="L31" s="22"/>
      <c r="M31" s="22"/>
      <c r="N31" s="22"/>
      <c r="O31" s="22"/>
      <c r="P31" s="22"/>
      <c r="Q31" s="22"/>
      <c r="R31" s="22"/>
      <c r="S31" s="22"/>
      <c r="T31" s="22"/>
      <c r="U31" s="23"/>
    </row>
    <row r="32" spans="1:21" ht="100" customHeight="1">
      <c r="A32" s="22" t="s">
        <v>577</v>
      </c>
      <c r="B32" s="23" t="s">
        <v>578</v>
      </c>
      <c r="C32" s="23">
        <v>37587</v>
      </c>
      <c r="D32" s="22">
        <f t="shared" ca="1" si="0"/>
        <v>23</v>
      </c>
      <c r="E32" s="22" t="s">
        <v>164</v>
      </c>
      <c r="F32" s="22" t="s">
        <v>579</v>
      </c>
      <c r="G32" s="23" t="s">
        <v>580</v>
      </c>
      <c r="H32" s="23">
        <v>46568</v>
      </c>
      <c r="I32" s="24"/>
      <c r="J32" s="25"/>
      <c r="K32" s="65" t="s">
        <v>581</v>
      </c>
      <c r="L32" s="22"/>
      <c r="M32" s="22"/>
      <c r="N32" s="22"/>
      <c r="O32" s="22"/>
      <c r="P32" s="22"/>
      <c r="Q32" s="22"/>
      <c r="R32" s="22"/>
      <c r="S32" s="22"/>
      <c r="T32" s="22"/>
      <c r="U32" s="23"/>
    </row>
    <row r="33" spans="1:21" ht="100" customHeight="1">
      <c r="A33" s="22" t="s">
        <v>582</v>
      </c>
      <c r="B33" s="23" t="s">
        <v>578</v>
      </c>
      <c r="C33" s="23">
        <v>35121</v>
      </c>
      <c r="D33" s="22">
        <f t="shared" ca="1" si="0"/>
        <v>30</v>
      </c>
      <c r="E33" s="22" t="s">
        <v>164</v>
      </c>
      <c r="F33" s="22" t="s">
        <v>583</v>
      </c>
      <c r="G33" s="23" t="s">
        <v>584</v>
      </c>
      <c r="H33" s="23">
        <v>46934</v>
      </c>
      <c r="I33" s="24"/>
      <c r="J33" s="25"/>
      <c r="K33" s="65" t="s">
        <v>585</v>
      </c>
      <c r="L33" s="22"/>
      <c r="M33" s="22"/>
      <c r="N33" s="22"/>
      <c r="O33" s="22"/>
      <c r="P33" s="22"/>
      <c r="Q33" s="22"/>
      <c r="R33" s="22"/>
      <c r="S33" s="22"/>
      <c r="T33" s="22"/>
      <c r="U33" s="23"/>
    </row>
    <row r="34" spans="1:21" ht="100" customHeight="1">
      <c r="A34" s="22" t="s">
        <v>586</v>
      </c>
      <c r="B34" s="23" t="s">
        <v>587</v>
      </c>
      <c r="C34" s="23">
        <v>35611</v>
      </c>
      <c r="D34" s="22">
        <f t="shared" ca="1" si="0"/>
        <v>29</v>
      </c>
      <c r="E34" s="22" t="s">
        <v>164</v>
      </c>
      <c r="F34" s="22" t="s">
        <v>588</v>
      </c>
      <c r="G34" s="23" t="s">
        <v>589</v>
      </c>
      <c r="H34" s="23">
        <v>47118</v>
      </c>
      <c r="I34" s="24"/>
      <c r="J34" s="25"/>
      <c r="K34" s="65" t="s">
        <v>590</v>
      </c>
      <c r="L34" s="22"/>
      <c r="M34" s="22"/>
      <c r="N34" s="22"/>
      <c r="O34" s="22"/>
      <c r="P34" s="22"/>
      <c r="Q34" s="22"/>
      <c r="R34" s="22"/>
      <c r="S34" s="22"/>
      <c r="T34" s="22"/>
      <c r="U34" s="23"/>
    </row>
    <row r="35" spans="1:21" ht="100" customHeight="1">
      <c r="A35" s="22" t="s">
        <v>591</v>
      </c>
      <c r="B35" s="23" t="s">
        <v>34</v>
      </c>
      <c r="C35" s="23">
        <v>32364</v>
      </c>
      <c r="D35" s="22">
        <f t="shared" ca="1" si="0"/>
        <v>38</v>
      </c>
      <c r="E35" s="22" t="s">
        <v>164</v>
      </c>
      <c r="F35" s="22" t="s">
        <v>562</v>
      </c>
      <c r="G35" s="23" t="s">
        <v>263</v>
      </c>
      <c r="H35" s="23">
        <v>46387</v>
      </c>
      <c r="I35" s="24"/>
      <c r="J35" s="25"/>
      <c r="K35" s="65" t="s">
        <v>592</v>
      </c>
      <c r="L35" s="22"/>
      <c r="M35" s="22"/>
      <c r="N35" s="22"/>
      <c r="O35" s="22"/>
      <c r="P35" s="22"/>
      <c r="Q35" s="22"/>
      <c r="R35" s="22"/>
      <c r="S35" s="22"/>
      <c r="T35" s="22"/>
      <c r="U35" s="23"/>
    </row>
    <row r="36" spans="1:21" ht="100" customHeight="1">
      <c r="A36" s="22" t="s">
        <v>593</v>
      </c>
      <c r="B36" s="23" t="s">
        <v>34</v>
      </c>
      <c r="C36" s="23">
        <v>34251</v>
      </c>
      <c r="D36" s="22">
        <f t="shared" ref="D36:D67" ca="1" si="1">IF(C36="","",DATEDIF(C36,TODAY(),"Y"))</f>
        <v>32</v>
      </c>
      <c r="E36" s="22" t="s">
        <v>164</v>
      </c>
      <c r="F36" s="22" t="s">
        <v>594</v>
      </c>
      <c r="G36" s="23" t="s">
        <v>595</v>
      </c>
      <c r="H36" s="23">
        <v>46387</v>
      </c>
      <c r="I36" s="24"/>
      <c r="J36" s="25"/>
      <c r="K36" s="65" t="s">
        <v>596</v>
      </c>
      <c r="L36" s="22"/>
      <c r="M36" s="22"/>
      <c r="N36" s="22"/>
      <c r="O36" s="22"/>
      <c r="P36" s="22"/>
      <c r="Q36" s="22"/>
      <c r="R36" s="22"/>
      <c r="S36" s="22"/>
      <c r="T36" s="22"/>
      <c r="U36" s="23"/>
    </row>
    <row r="37" spans="1:21" ht="100" customHeight="1">
      <c r="A37" s="22" t="s">
        <v>597</v>
      </c>
      <c r="B37" s="23" t="s">
        <v>598</v>
      </c>
      <c r="C37" s="23">
        <v>38353</v>
      </c>
      <c r="D37" s="22">
        <f t="shared" ca="1" si="1"/>
        <v>21</v>
      </c>
      <c r="E37" s="22" t="s">
        <v>164</v>
      </c>
      <c r="F37" s="22" t="s">
        <v>164</v>
      </c>
      <c r="G37" s="23" t="s">
        <v>599</v>
      </c>
      <c r="H37" s="23" t="s">
        <v>51</v>
      </c>
      <c r="I37" s="24"/>
      <c r="J37" s="25"/>
      <c r="K37" s="65" t="s">
        <v>600</v>
      </c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00" customHeight="1">
      <c r="A38" s="22" t="s">
        <v>601</v>
      </c>
      <c r="B38" s="23" t="s">
        <v>34</v>
      </c>
      <c r="C38" s="23">
        <v>37056</v>
      </c>
      <c r="D38" s="22">
        <f t="shared" ca="1" si="1"/>
        <v>25</v>
      </c>
      <c r="E38" s="22" t="s">
        <v>164</v>
      </c>
      <c r="F38" s="22" t="s">
        <v>602</v>
      </c>
      <c r="G38" s="23" t="s">
        <v>603</v>
      </c>
      <c r="H38" s="23">
        <v>46568</v>
      </c>
      <c r="I38" s="24"/>
      <c r="J38" s="25"/>
      <c r="K38" s="65" t="s">
        <v>604</v>
      </c>
      <c r="L38" s="22"/>
      <c r="M38" s="22"/>
      <c r="N38" s="22"/>
      <c r="O38" s="22"/>
      <c r="P38" s="22"/>
      <c r="Q38" s="22"/>
      <c r="R38" s="22"/>
      <c r="S38" s="22"/>
      <c r="T38" s="22"/>
      <c r="U38" s="23"/>
    </row>
    <row r="39" spans="1:21" ht="100" customHeight="1">
      <c r="A39" s="22" t="s">
        <v>605</v>
      </c>
      <c r="B39" s="23" t="s">
        <v>62</v>
      </c>
      <c r="C39" s="23">
        <v>37616</v>
      </c>
      <c r="D39" s="22">
        <f t="shared" ca="1" si="1"/>
        <v>23</v>
      </c>
      <c r="E39" s="22" t="s">
        <v>164</v>
      </c>
      <c r="F39" s="22" t="s">
        <v>606</v>
      </c>
      <c r="G39" s="23" t="s">
        <v>607</v>
      </c>
      <c r="H39" s="23">
        <v>47299</v>
      </c>
      <c r="I39" s="24"/>
      <c r="J39" s="25"/>
      <c r="K39" s="65" t="s">
        <v>608</v>
      </c>
      <c r="L39" s="22"/>
      <c r="M39" s="22"/>
      <c r="N39" s="22"/>
      <c r="O39" s="22"/>
      <c r="P39" s="22"/>
      <c r="Q39" s="22"/>
      <c r="R39" s="22"/>
      <c r="S39" s="22"/>
      <c r="T39" s="22"/>
      <c r="U39" s="23"/>
    </row>
    <row r="40" spans="1:21" ht="100" customHeight="1">
      <c r="A40" s="22" t="s">
        <v>609</v>
      </c>
      <c r="B40" s="23" t="s">
        <v>610</v>
      </c>
      <c r="C40" s="23">
        <v>36113</v>
      </c>
      <c r="D40" s="22">
        <f t="shared" ca="1" si="1"/>
        <v>27</v>
      </c>
      <c r="E40" s="22" t="s">
        <v>164</v>
      </c>
      <c r="F40" s="22" t="s">
        <v>611</v>
      </c>
      <c r="G40" s="23" t="s">
        <v>268</v>
      </c>
      <c r="H40" s="23" t="s">
        <v>51</v>
      </c>
      <c r="I40" s="24"/>
      <c r="J40" s="25"/>
      <c r="K40" s="65" t="s">
        <v>612</v>
      </c>
      <c r="L40" s="22"/>
      <c r="M40" s="22"/>
      <c r="N40" s="22"/>
      <c r="O40" s="22"/>
      <c r="P40" s="22"/>
      <c r="Q40" s="22"/>
      <c r="R40" s="22"/>
      <c r="S40" s="22"/>
      <c r="T40" s="22"/>
      <c r="U40" s="23"/>
    </row>
    <row r="41" spans="1:21" ht="100" customHeight="1">
      <c r="A41" s="22" t="s">
        <v>613</v>
      </c>
      <c r="B41" s="23" t="s">
        <v>614</v>
      </c>
      <c r="C41" s="23">
        <v>36001</v>
      </c>
      <c r="D41" s="22">
        <f t="shared" ca="1" si="1"/>
        <v>28</v>
      </c>
      <c r="E41" s="22" t="s">
        <v>164</v>
      </c>
      <c r="F41" s="22" t="s">
        <v>615</v>
      </c>
      <c r="G41" s="23" t="s">
        <v>616</v>
      </c>
      <c r="H41" s="23">
        <v>46934</v>
      </c>
      <c r="I41" s="24"/>
      <c r="J41" s="25"/>
      <c r="K41" s="65" t="s">
        <v>617</v>
      </c>
      <c r="L41" s="22"/>
      <c r="M41" s="22"/>
      <c r="N41" s="22"/>
      <c r="O41" s="22"/>
      <c r="P41" s="22"/>
      <c r="Q41" s="22"/>
      <c r="R41" s="22"/>
      <c r="S41" s="22"/>
      <c r="T41" s="22"/>
      <c r="U41" s="23"/>
    </row>
    <row r="42" spans="1:21" ht="100" customHeight="1">
      <c r="A42" s="22" t="s">
        <v>618</v>
      </c>
      <c r="B42" s="23" t="s">
        <v>294</v>
      </c>
      <c r="C42" s="23">
        <v>37176</v>
      </c>
      <c r="D42" s="22">
        <f t="shared" ca="1" si="1"/>
        <v>24</v>
      </c>
      <c r="E42" s="22" t="s">
        <v>164</v>
      </c>
      <c r="F42" s="22" t="s">
        <v>619</v>
      </c>
      <c r="G42" s="23" t="s">
        <v>620</v>
      </c>
      <c r="H42" s="23" t="s">
        <v>51</v>
      </c>
      <c r="I42" s="24"/>
      <c r="J42" s="25"/>
      <c r="K42" s="65" t="s">
        <v>621</v>
      </c>
      <c r="L42" s="22"/>
      <c r="M42" s="22"/>
      <c r="N42" s="22"/>
      <c r="O42" s="22"/>
      <c r="P42" s="22"/>
      <c r="Q42" s="22"/>
      <c r="R42" s="22"/>
      <c r="S42" s="22"/>
      <c r="T42" s="22"/>
      <c r="U42" s="23"/>
    </row>
    <row r="43" spans="1:21" ht="100" customHeight="1">
      <c r="A43" s="22" t="s">
        <v>622</v>
      </c>
      <c r="B43" s="23" t="s">
        <v>610</v>
      </c>
      <c r="C43" s="23">
        <v>38595</v>
      </c>
      <c r="D43" s="22">
        <f t="shared" ca="1" si="1"/>
        <v>21</v>
      </c>
      <c r="E43" s="22" t="s">
        <v>164</v>
      </c>
      <c r="F43" s="22" t="s">
        <v>623</v>
      </c>
      <c r="G43" s="23" t="s">
        <v>624</v>
      </c>
      <c r="H43" s="23">
        <v>47664</v>
      </c>
      <c r="I43" s="24"/>
      <c r="J43" s="25"/>
      <c r="K43" s="65" t="s">
        <v>625</v>
      </c>
      <c r="L43" s="22"/>
      <c r="M43" s="22"/>
      <c r="N43" s="22"/>
      <c r="O43" s="22"/>
      <c r="P43" s="22"/>
      <c r="Q43" s="22"/>
      <c r="R43" s="22"/>
      <c r="S43" s="22"/>
      <c r="T43" s="22"/>
      <c r="U43" s="23"/>
    </row>
    <row r="44" spans="1:21" ht="100" customHeight="1">
      <c r="A44" s="22" t="s">
        <v>626</v>
      </c>
      <c r="B44" s="23" t="s">
        <v>23</v>
      </c>
      <c r="C44" s="23">
        <v>36161</v>
      </c>
      <c r="D44" s="22">
        <f t="shared" ca="1" si="1"/>
        <v>27</v>
      </c>
      <c r="E44" s="22" t="s">
        <v>164</v>
      </c>
      <c r="F44" s="22" t="s">
        <v>615</v>
      </c>
      <c r="G44" s="23" t="s">
        <v>627</v>
      </c>
      <c r="H44" s="23">
        <v>46934</v>
      </c>
      <c r="I44" s="24"/>
      <c r="J44" s="25"/>
      <c r="K44" s="65" t="s">
        <v>628</v>
      </c>
      <c r="L44" s="22"/>
      <c r="M44" s="22"/>
      <c r="N44" s="22"/>
      <c r="O44" s="22"/>
      <c r="P44" s="22"/>
      <c r="Q44" s="22"/>
      <c r="R44" s="22"/>
      <c r="S44" s="22"/>
      <c r="T44" s="22"/>
      <c r="U44" s="23"/>
    </row>
    <row r="45" spans="1:21" ht="100" customHeight="1">
      <c r="A45" s="22" t="s">
        <v>629</v>
      </c>
      <c r="B45" s="23" t="s">
        <v>524</v>
      </c>
      <c r="C45" s="23">
        <v>36697</v>
      </c>
      <c r="D45" s="22">
        <f t="shared" ca="1" si="1"/>
        <v>26</v>
      </c>
      <c r="E45" s="22" t="s">
        <v>164</v>
      </c>
      <c r="F45" s="22" t="s">
        <v>630</v>
      </c>
      <c r="G45" s="23" t="s">
        <v>627</v>
      </c>
      <c r="H45" s="23">
        <v>46752</v>
      </c>
      <c r="I45" s="24"/>
      <c r="J45" s="25"/>
      <c r="K45" s="65" t="s">
        <v>631</v>
      </c>
      <c r="L45" s="22"/>
      <c r="M45" s="22"/>
      <c r="N45" s="22"/>
      <c r="O45" s="22"/>
      <c r="P45" s="22"/>
      <c r="Q45" s="22"/>
      <c r="R45" s="22"/>
      <c r="S45" s="22"/>
      <c r="T45" s="22"/>
      <c r="U45" s="23"/>
    </row>
    <row r="46" spans="1:21" ht="100" customHeight="1">
      <c r="A46" s="22" t="s">
        <v>632</v>
      </c>
      <c r="B46" s="23" t="s">
        <v>215</v>
      </c>
      <c r="C46" s="23">
        <v>34948</v>
      </c>
      <c r="D46" s="22">
        <f t="shared" ca="1" si="1"/>
        <v>31</v>
      </c>
      <c r="E46" s="22" t="s">
        <v>164</v>
      </c>
      <c r="F46" s="22" t="s">
        <v>633</v>
      </c>
      <c r="G46" s="23" t="s">
        <v>268</v>
      </c>
      <c r="H46" s="23" t="s">
        <v>51</v>
      </c>
      <c r="I46" s="24"/>
      <c r="J46" s="25"/>
      <c r="K46" s="65" t="s">
        <v>634</v>
      </c>
      <c r="L46" s="22"/>
      <c r="M46" s="22"/>
      <c r="N46" s="22"/>
      <c r="O46" s="22"/>
      <c r="P46" s="22"/>
      <c r="Q46" s="22"/>
      <c r="R46" s="22"/>
      <c r="S46" s="22"/>
      <c r="T46" s="22"/>
      <c r="U46" s="23"/>
    </row>
    <row r="47" spans="1:21" ht="100" customHeight="1">
      <c r="A47" s="22" t="s">
        <v>635</v>
      </c>
      <c r="B47" s="23" t="s">
        <v>49</v>
      </c>
      <c r="C47" s="23">
        <v>36653</v>
      </c>
      <c r="D47" s="22">
        <f t="shared" ca="1" si="1"/>
        <v>26</v>
      </c>
      <c r="E47" s="22" t="s">
        <v>164</v>
      </c>
      <c r="F47" s="22" t="s">
        <v>636</v>
      </c>
      <c r="G47" s="23" t="s">
        <v>637</v>
      </c>
      <c r="H47" s="23">
        <v>46934</v>
      </c>
      <c r="I47" s="24"/>
      <c r="J47" s="25"/>
      <c r="K47" s="65" t="s">
        <v>638</v>
      </c>
      <c r="L47" s="22"/>
      <c r="M47" s="22"/>
      <c r="N47" s="22"/>
      <c r="O47" s="22"/>
      <c r="P47" s="22"/>
      <c r="Q47" s="22"/>
      <c r="R47" s="22"/>
      <c r="S47" s="22"/>
      <c r="T47" s="22"/>
      <c r="U47" s="23"/>
    </row>
    <row r="48" spans="1:21" ht="100" customHeight="1">
      <c r="A48" s="22" t="s">
        <v>639</v>
      </c>
      <c r="B48" s="23" t="s">
        <v>640</v>
      </c>
      <c r="C48" s="23">
        <v>38087</v>
      </c>
      <c r="D48" s="22">
        <f t="shared" ca="1" si="1"/>
        <v>22</v>
      </c>
      <c r="E48" s="22" t="s">
        <v>164</v>
      </c>
      <c r="F48" s="22" t="s">
        <v>569</v>
      </c>
      <c r="G48" s="23" t="s">
        <v>641</v>
      </c>
      <c r="H48" s="23">
        <v>47299</v>
      </c>
      <c r="I48" s="24"/>
      <c r="J48" s="25"/>
      <c r="K48" s="65" t="s">
        <v>642</v>
      </c>
      <c r="L48" s="22"/>
      <c r="M48" s="22"/>
      <c r="N48" s="22"/>
      <c r="O48" s="22"/>
      <c r="P48" s="22"/>
      <c r="Q48" s="22"/>
      <c r="R48" s="22"/>
      <c r="S48" s="22"/>
      <c r="T48" s="22"/>
      <c r="U48" s="23"/>
    </row>
    <row r="49" spans="1:21" ht="100" customHeight="1">
      <c r="A49" s="22" t="s">
        <v>643</v>
      </c>
      <c r="B49" s="23" t="s">
        <v>303</v>
      </c>
      <c r="C49" s="23">
        <v>35550</v>
      </c>
      <c r="D49" s="22">
        <f t="shared" ca="1" si="1"/>
        <v>29</v>
      </c>
      <c r="E49" s="22" t="s">
        <v>164</v>
      </c>
      <c r="F49" s="22" t="s">
        <v>644</v>
      </c>
      <c r="G49" s="23" t="s">
        <v>645</v>
      </c>
      <c r="H49" s="23" t="s">
        <v>51</v>
      </c>
      <c r="I49" s="24"/>
      <c r="J49" s="25"/>
      <c r="K49" s="25" t="s">
        <v>107</v>
      </c>
      <c r="L49" s="22"/>
      <c r="M49" s="22"/>
      <c r="N49" s="22"/>
      <c r="O49" s="22"/>
      <c r="P49" s="22"/>
      <c r="Q49" s="22"/>
      <c r="R49" s="22"/>
      <c r="S49" s="22"/>
      <c r="T49" s="22"/>
      <c r="U49" s="23"/>
    </row>
    <row r="50" spans="1:21" ht="100" customHeight="1">
      <c r="A50" s="22" t="s">
        <v>646</v>
      </c>
      <c r="B50" s="23" t="s">
        <v>647</v>
      </c>
      <c r="C50" s="23">
        <v>35984</v>
      </c>
      <c r="D50" s="22">
        <f t="shared" ca="1" si="1"/>
        <v>28</v>
      </c>
      <c r="E50" s="22" t="s">
        <v>164</v>
      </c>
      <c r="F50" s="22" t="s">
        <v>648</v>
      </c>
      <c r="G50" s="23" t="s">
        <v>268</v>
      </c>
      <c r="H50" s="23" t="s">
        <v>51</v>
      </c>
      <c r="I50" s="24"/>
      <c r="J50" s="25"/>
      <c r="K50" s="25" t="s">
        <v>107</v>
      </c>
      <c r="L50" s="22"/>
      <c r="M50" s="22"/>
      <c r="N50" s="22"/>
      <c r="O50" s="22"/>
      <c r="P50" s="22"/>
      <c r="Q50" s="22"/>
      <c r="R50" s="22"/>
      <c r="S50" s="22"/>
      <c r="T50" s="22"/>
      <c r="U50" s="23"/>
    </row>
    <row r="51" spans="1:21" ht="100" customHeight="1">
      <c r="A51" s="22" t="s">
        <v>649</v>
      </c>
      <c r="B51" s="23" t="s">
        <v>650</v>
      </c>
      <c r="C51" s="23">
        <v>36533</v>
      </c>
      <c r="D51" s="22">
        <f t="shared" ca="1" si="1"/>
        <v>26</v>
      </c>
      <c r="E51" s="22" t="s">
        <v>164</v>
      </c>
      <c r="F51" s="22" t="s">
        <v>651</v>
      </c>
      <c r="G51" s="23" t="s">
        <v>652</v>
      </c>
      <c r="H51" s="23">
        <v>46934</v>
      </c>
      <c r="I51" s="24"/>
      <c r="J51" s="25"/>
      <c r="K51" s="25" t="s">
        <v>107</v>
      </c>
      <c r="L51" s="22"/>
      <c r="M51" s="22"/>
      <c r="N51" s="22"/>
      <c r="O51" s="22"/>
      <c r="P51" s="22"/>
      <c r="Q51" s="22"/>
      <c r="R51" s="22"/>
      <c r="S51" s="22"/>
      <c r="T51" s="22"/>
      <c r="U51" s="23"/>
    </row>
    <row r="52" spans="1:21" ht="100" customHeight="1">
      <c r="A52" s="22" t="s">
        <v>653</v>
      </c>
      <c r="B52" s="23" t="s">
        <v>654</v>
      </c>
      <c r="C52" s="23">
        <v>36923</v>
      </c>
      <c r="D52" s="22">
        <f t="shared" ca="1" si="1"/>
        <v>25</v>
      </c>
      <c r="E52" s="22" t="s">
        <v>164</v>
      </c>
      <c r="F52" s="22" t="s">
        <v>655</v>
      </c>
      <c r="G52" s="23" t="s">
        <v>124</v>
      </c>
      <c r="H52" s="23">
        <v>46387</v>
      </c>
      <c r="I52" s="24"/>
      <c r="J52" s="25"/>
      <c r="K52" s="25" t="s">
        <v>107</v>
      </c>
      <c r="L52" s="22"/>
      <c r="M52" s="22"/>
      <c r="N52" s="22"/>
      <c r="O52" s="22"/>
      <c r="P52" s="22"/>
      <c r="Q52" s="22"/>
      <c r="R52" s="22"/>
      <c r="S52" s="22"/>
      <c r="T52" s="22"/>
      <c r="U52" s="23"/>
    </row>
    <row r="53" spans="1:21" ht="100" customHeight="1">
      <c r="A53" s="22" t="s">
        <v>656</v>
      </c>
      <c r="B53" s="23" t="s">
        <v>333</v>
      </c>
      <c r="C53" s="23">
        <v>38262</v>
      </c>
      <c r="D53" s="22">
        <f t="shared" ca="1" si="1"/>
        <v>22</v>
      </c>
      <c r="E53" s="22" t="s">
        <v>164</v>
      </c>
      <c r="F53" s="22" t="s">
        <v>657</v>
      </c>
      <c r="G53" s="23" t="s">
        <v>658</v>
      </c>
      <c r="H53" s="23">
        <v>46934</v>
      </c>
      <c r="I53" s="24"/>
      <c r="J53" s="25"/>
      <c r="K53" s="25" t="s">
        <v>107</v>
      </c>
      <c r="L53" s="22"/>
      <c r="M53" s="22"/>
      <c r="N53" s="22"/>
      <c r="O53" s="22"/>
      <c r="P53" s="22"/>
      <c r="Q53" s="22"/>
      <c r="R53" s="22"/>
      <c r="S53" s="22"/>
      <c r="T53" s="22"/>
      <c r="U53" s="23"/>
    </row>
    <row r="54" spans="1:21" ht="100" customHeight="1">
      <c r="A54" s="22" t="s">
        <v>659</v>
      </c>
      <c r="B54" s="23" t="s">
        <v>34</v>
      </c>
      <c r="C54" s="23">
        <v>36721</v>
      </c>
      <c r="D54" s="22">
        <f t="shared" ca="1" si="1"/>
        <v>26</v>
      </c>
      <c r="E54" s="22" t="s">
        <v>164</v>
      </c>
      <c r="F54" s="22" t="s">
        <v>660</v>
      </c>
      <c r="G54" s="23" t="s">
        <v>661</v>
      </c>
      <c r="H54" s="23">
        <v>46356</v>
      </c>
      <c r="I54" s="24"/>
      <c r="J54" s="25"/>
      <c r="K54" s="25" t="s">
        <v>107</v>
      </c>
      <c r="L54" s="22"/>
      <c r="M54" s="22"/>
      <c r="N54" s="22"/>
      <c r="O54" s="22"/>
      <c r="P54" s="22"/>
      <c r="Q54" s="22"/>
      <c r="R54" s="22"/>
      <c r="S54" s="22"/>
      <c r="T54" s="22"/>
      <c r="U54" s="23"/>
    </row>
    <row r="55" spans="1:21" ht="100" customHeight="1">
      <c r="A55" s="22" t="s">
        <v>662</v>
      </c>
      <c r="B55" s="23" t="s">
        <v>34</v>
      </c>
      <c r="C55" s="23">
        <v>37302</v>
      </c>
      <c r="D55" s="22">
        <f t="shared" ca="1" si="1"/>
        <v>24</v>
      </c>
      <c r="E55" s="22" t="s">
        <v>164</v>
      </c>
      <c r="F55" s="22" t="s">
        <v>663</v>
      </c>
      <c r="G55" s="23" t="s">
        <v>664</v>
      </c>
      <c r="H55" s="23">
        <v>46934</v>
      </c>
      <c r="I55" s="24"/>
      <c r="J55" s="25"/>
      <c r="K55" s="25" t="s">
        <v>107</v>
      </c>
      <c r="L55" s="22"/>
      <c r="M55" s="22"/>
      <c r="N55" s="22"/>
      <c r="O55" s="22"/>
      <c r="P55" s="22"/>
      <c r="Q55" s="22"/>
      <c r="R55" s="22"/>
      <c r="S55" s="22"/>
      <c r="T55" s="22"/>
      <c r="U55" s="23"/>
    </row>
    <row r="56" spans="1:21" ht="100" customHeight="1">
      <c r="A56" s="22" t="s">
        <v>665</v>
      </c>
      <c r="B56" s="23"/>
      <c r="C56" s="23"/>
      <c r="D56" s="22" t="str">
        <f t="shared" ca="1" si="1"/>
        <v/>
      </c>
      <c r="E56" s="22" t="s">
        <v>164</v>
      </c>
      <c r="F56" s="22"/>
      <c r="G56" s="23"/>
      <c r="H56" s="23" t="s">
        <v>51</v>
      </c>
      <c r="I56" s="24"/>
      <c r="J56" s="25"/>
      <c r="K56" s="65" t="s">
        <v>666</v>
      </c>
      <c r="L56" s="22"/>
      <c r="M56" s="22"/>
      <c r="N56" s="22"/>
      <c r="O56" s="22"/>
      <c r="P56" s="22"/>
      <c r="Q56" s="22"/>
      <c r="R56" s="22"/>
      <c r="S56" s="22"/>
      <c r="T56" s="22"/>
      <c r="U56" s="23"/>
    </row>
    <row r="57" spans="1:21" ht="100" customHeight="1">
      <c r="A57" s="22" t="s">
        <v>667</v>
      </c>
      <c r="B57" s="23" t="s">
        <v>668</v>
      </c>
      <c r="C57" s="23">
        <v>37856</v>
      </c>
      <c r="D57" s="22">
        <f t="shared" ca="1" si="1"/>
        <v>23</v>
      </c>
      <c r="E57" s="22" t="s">
        <v>164</v>
      </c>
      <c r="F57" s="22" t="s">
        <v>669</v>
      </c>
      <c r="G57" s="23" t="s">
        <v>670</v>
      </c>
      <c r="H57" s="23">
        <v>47299</v>
      </c>
      <c r="I57" s="24"/>
      <c r="J57" s="25"/>
      <c r="K57" s="65" t="s">
        <v>671</v>
      </c>
      <c r="L57" s="22"/>
      <c r="M57" s="22"/>
      <c r="N57" s="22"/>
      <c r="O57" s="22"/>
      <c r="P57" s="22"/>
      <c r="Q57" s="22"/>
      <c r="R57" s="22"/>
      <c r="S57" s="22"/>
      <c r="T57" s="22"/>
      <c r="U57" s="23"/>
    </row>
    <row r="58" spans="1:21" ht="100" customHeight="1">
      <c r="A58" s="22" t="s">
        <v>672</v>
      </c>
      <c r="B58" s="23" t="s">
        <v>93</v>
      </c>
      <c r="C58" s="23">
        <v>37808</v>
      </c>
      <c r="D58" s="22">
        <f t="shared" ca="1" si="1"/>
        <v>23</v>
      </c>
      <c r="E58" s="22" t="s">
        <v>164</v>
      </c>
      <c r="F58" s="22" t="s">
        <v>673</v>
      </c>
      <c r="G58" s="23" t="s">
        <v>674</v>
      </c>
      <c r="H58" s="23">
        <v>47299</v>
      </c>
      <c r="I58" s="24"/>
      <c r="J58" s="25"/>
      <c r="K58" s="65" t="s">
        <v>675</v>
      </c>
      <c r="L58" s="22"/>
      <c r="M58" s="22"/>
      <c r="N58" s="22"/>
      <c r="O58" s="22"/>
      <c r="P58" s="22"/>
      <c r="Q58" s="22"/>
      <c r="R58" s="22"/>
      <c r="S58" s="22"/>
      <c r="T58" s="22"/>
      <c r="U58" s="23"/>
    </row>
    <row r="59" spans="1:21" ht="100" customHeight="1">
      <c r="A59" s="22" t="s">
        <v>676</v>
      </c>
      <c r="B59" s="23" t="s">
        <v>307</v>
      </c>
      <c r="C59" s="23">
        <v>38747</v>
      </c>
      <c r="D59" s="22">
        <f t="shared" ca="1" si="1"/>
        <v>20</v>
      </c>
      <c r="E59" s="22" t="s">
        <v>164</v>
      </c>
      <c r="F59" s="22" t="s">
        <v>677</v>
      </c>
      <c r="G59" s="23" t="s">
        <v>390</v>
      </c>
      <c r="H59" s="23">
        <v>46934</v>
      </c>
      <c r="I59" s="24"/>
      <c r="J59" s="25"/>
      <c r="K59" s="65" t="s">
        <v>678</v>
      </c>
      <c r="L59" s="22"/>
      <c r="M59" s="22"/>
      <c r="N59" s="22"/>
      <c r="O59" s="22"/>
      <c r="P59" s="22"/>
      <c r="Q59" s="22"/>
      <c r="R59" s="22"/>
      <c r="S59" s="22"/>
      <c r="T59" s="22"/>
      <c r="U59" s="23"/>
    </row>
    <row r="60" spans="1:21" ht="100" customHeight="1">
      <c r="A60" s="22" t="s">
        <v>679</v>
      </c>
      <c r="B60" s="23" t="s">
        <v>680</v>
      </c>
      <c r="C60" s="23">
        <v>36561</v>
      </c>
      <c r="D60" s="22">
        <f t="shared" ca="1" si="1"/>
        <v>26</v>
      </c>
      <c r="E60" s="22" t="s">
        <v>164</v>
      </c>
      <c r="F60" s="22" t="s">
        <v>615</v>
      </c>
      <c r="G60" s="23" t="s">
        <v>390</v>
      </c>
      <c r="H60" s="23">
        <v>46934</v>
      </c>
      <c r="I60" s="24"/>
      <c r="J60" s="25"/>
      <c r="K60" s="65" t="s">
        <v>681</v>
      </c>
      <c r="L60" s="22"/>
      <c r="M60" s="22"/>
      <c r="N60" s="22"/>
      <c r="O60" s="22"/>
      <c r="P60" s="22"/>
      <c r="Q60" s="22"/>
      <c r="R60" s="22"/>
      <c r="S60" s="22"/>
      <c r="T60" s="22"/>
      <c r="U60" s="23"/>
    </row>
    <row r="61" spans="1:21" ht="100" customHeight="1">
      <c r="A61" s="22" t="s">
        <v>682</v>
      </c>
      <c r="B61" s="23" t="s">
        <v>333</v>
      </c>
      <c r="C61" s="23">
        <v>38961</v>
      </c>
      <c r="D61" s="22">
        <f t="shared" ca="1" si="1"/>
        <v>20</v>
      </c>
      <c r="E61" s="22" t="s">
        <v>164</v>
      </c>
      <c r="F61" s="22" t="s">
        <v>683</v>
      </c>
      <c r="G61" s="23" t="s">
        <v>684</v>
      </c>
      <c r="H61" s="23">
        <v>48029</v>
      </c>
      <c r="I61" s="24"/>
      <c r="J61" s="25"/>
      <c r="K61" s="65" t="s">
        <v>685</v>
      </c>
      <c r="L61" s="22"/>
      <c r="M61" s="22"/>
      <c r="N61" s="22"/>
      <c r="O61" s="22"/>
      <c r="P61" s="22"/>
      <c r="Q61" s="22"/>
      <c r="R61" s="22"/>
      <c r="S61" s="22"/>
      <c r="T61" s="22"/>
      <c r="U61" s="23"/>
    </row>
    <row r="62" spans="1:21" ht="100" customHeight="1">
      <c r="A62" s="22" t="s">
        <v>686</v>
      </c>
      <c r="B62" s="23" t="s">
        <v>578</v>
      </c>
      <c r="C62" s="23">
        <v>36574</v>
      </c>
      <c r="D62" s="22">
        <f t="shared" ca="1" si="1"/>
        <v>26</v>
      </c>
      <c r="E62" s="22" t="s">
        <v>164</v>
      </c>
      <c r="F62" s="22" t="s">
        <v>687</v>
      </c>
      <c r="G62" s="23" t="s">
        <v>688</v>
      </c>
      <c r="H62" s="23">
        <v>47299</v>
      </c>
      <c r="I62" s="24"/>
      <c r="J62" s="25"/>
      <c r="K62" s="65" t="s">
        <v>689</v>
      </c>
      <c r="L62" s="22"/>
      <c r="M62" s="22"/>
      <c r="N62" s="22"/>
      <c r="O62" s="22"/>
      <c r="P62" s="22"/>
      <c r="Q62" s="22"/>
      <c r="R62" s="22"/>
      <c r="S62" s="22"/>
      <c r="T62" s="22"/>
      <c r="U62" s="23"/>
    </row>
    <row r="63" spans="1:21" ht="100" customHeight="1">
      <c r="A63" s="22" t="s">
        <v>690</v>
      </c>
      <c r="B63" s="23" t="s">
        <v>294</v>
      </c>
      <c r="C63" s="23">
        <v>38010</v>
      </c>
      <c r="D63" s="22">
        <f t="shared" ca="1" si="1"/>
        <v>22</v>
      </c>
      <c r="E63" s="22" t="s">
        <v>164</v>
      </c>
      <c r="F63" s="22" t="s">
        <v>691</v>
      </c>
      <c r="G63" s="23" t="s">
        <v>692</v>
      </c>
      <c r="H63" s="23">
        <v>46934</v>
      </c>
      <c r="I63" s="24"/>
      <c r="J63" s="25"/>
      <c r="K63" s="65" t="s">
        <v>693</v>
      </c>
      <c r="L63" s="22"/>
      <c r="M63" s="22"/>
      <c r="N63" s="22"/>
      <c r="O63" s="22"/>
      <c r="P63" s="22"/>
      <c r="Q63" s="22"/>
      <c r="R63" s="22"/>
      <c r="S63" s="22"/>
      <c r="T63" s="22"/>
      <c r="U63" s="23"/>
    </row>
    <row r="64" spans="1:21" ht="100" customHeight="1">
      <c r="A64" s="22" t="s">
        <v>694</v>
      </c>
      <c r="B64" s="23" t="s">
        <v>307</v>
      </c>
      <c r="C64" s="23">
        <v>37694</v>
      </c>
      <c r="D64" s="22">
        <f t="shared" ca="1" si="1"/>
        <v>23</v>
      </c>
      <c r="E64" s="22" t="s">
        <v>164</v>
      </c>
      <c r="F64" s="22" t="s">
        <v>695</v>
      </c>
      <c r="G64" s="23" t="s">
        <v>696</v>
      </c>
      <c r="H64" s="23">
        <v>47299</v>
      </c>
      <c r="I64" s="24"/>
      <c r="J64" s="25"/>
      <c r="K64" s="65" t="s">
        <v>697</v>
      </c>
      <c r="L64" s="22"/>
      <c r="M64" s="22"/>
      <c r="N64" s="22"/>
      <c r="O64" s="22"/>
      <c r="P64" s="22"/>
      <c r="Q64" s="22"/>
      <c r="R64" s="22"/>
      <c r="S64" s="22"/>
      <c r="T64" s="22"/>
      <c r="U64" s="23"/>
    </row>
    <row r="65" spans="1:21" ht="100" customHeight="1">
      <c r="A65" s="22" t="s">
        <v>698</v>
      </c>
      <c r="B65" s="23"/>
      <c r="C65" s="23"/>
      <c r="D65" s="22" t="str">
        <f t="shared" ca="1" si="1"/>
        <v/>
      </c>
      <c r="E65" s="22" t="s">
        <v>164</v>
      </c>
      <c r="F65" s="22"/>
      <c r="G65" s="23"/>
      <c r="H65" s="23" t="s">
        <v>51</v>
      </c>
      <c r="I65" s="24"/>
      <c r="J65" s="25"/>
      <c r="K65" s="65" t="s">
        <v>699</v>
      </c>
      <c r="L65" s="22"/>
      <c r="M65" s="22"/>
      <c r="N65" s="22"/>
      <c r="O65" s="22"/>
      <c r="P65" s="22"/>
      <c r="Q65" s="22"/>
      <c r="R65" s="22"/>
      <c r="S65" s="22"/>
      <c r="T65" s="22"/>
      <c r="U65" s="23"/>
    </row>
    <row r="66" spans="1:21" ht="100" customHeight="1">
      <c r="A66" s="22" t="s">
        <v>700</v>
      </c>
      <c r="B66" s="23" t="s">
        <v>46</v>
      </c>
      <c r="C66" s="23">
        <v>38167</v>
      </c>
      <c r="D66" s="22">
        <f t="shared" ca="1" si="1"/>
        <v>22</v>
      </c>
      <c r="E66" s="22" t="s">
        <v>164</v>
      </c>
      <c r="F66" s="22" t="s">
        <v>701</v>
      </c>
      <c r="G66" s="23" t="s">
        <v>702</v>
      </c>
      <c r="H66" s="23">
        <v>46934</v>
      </c>
      <c r="I66" s="24"/>
      <c r="J66" s="25"/>
      <c r="K66" s="65" t="s">
        <v>703</v>
      </c>
      <c r="L66" s="22"/>
      <c r="M66" s="22"/>
      <c r="N66" s="22"/>
      <c r="O66" s="22"/>
      <c r="P66" s="22"/>
      <c r="Q66" s="22"/>
      <c r="R66" s="22"/>
      <c r="S66" s="22"/>
      <c r="T66" s="22"/>
      <c r="U66" s="23"/>
    </row>
    <row r="67" spans="1:21" ht="100" customHeight="1">
      <c r="A67" s="22" t="s">
        <v>704</v>
      </c>
      <c r="B67" s="23" t="s">
        <v>705</v>
      </c>
      <c r="C67" s="23">
        <v>38548</v>
      </c>
      <c r="D67" s="22">
        <f t="shared" ca="1" si="1"/>
        <v>21</v>
      </c>
      <c r="E67" s="22" t="s">
        <v>164</v>
      </c>
      <c r="F67" s="22" t="s">
        <v>706</v>
      </c>
      <c r="G67" s="23" t="s">
        <v>707</v>
      </c>
      <c r="H67" s="23">
        <v>46568</v>
      </c>
      <c r="I67" s="24"/>
      <c r="J67" s="25"/>
      <c r="K67" s="65" t="s">
        <v>708</v>
      </c>
      <c r="L67" s="22"/>
      <c r="M67" s="22"/>
      <c r="N67" s="22"/>
      <c r="O67" s="22"/>
      <c r="P67" s="22"/>
      <c r="Q67" s="22"/>
      <c r="R67" s="22"/>
      <c r="S67" s="22"/>
      <c r="T67" s="22"/>
      <c r="U67" s="23"/>
    </row>
    <row r="68" spans="1:21" ht="100" customHeight="1">
      <c r="A68" s="22" t="s">
        <v>709</v>
      </c>
      <c r="B68" s="23"/>
      <c r="C68" s="23"/>
      <c r="D68" s="22" t="str">
        <f t="shared" ref="D68:D99" ca="1" si="2">IF(C68="","",DATEDIF(C68,TODAY(),"Y"))</f>
        <v/>
      </c>
      <c r="E68" s="22" t="s">
        <v>164</v>
      </c>
      <c r="F68" s="22"/>
      <c r="G68" s="23"/>
      <c r="H68" s="23" t="s">
        <v>51</v>
      </c>
      <c r="I68" s="24"/>
      <c r="J68" s="25"/>
      <c r="K68" s="65" t="s">
        <v>710</v>
      </c>
      <c r="L68" s="22"/>
      <c r="M68" s="22"/>
      <c r="N68" s="22"/>
      <c r="O68" s="22"/>
      <c r="P68" s="22"/>
      <c r="Q68" s="22"/>
      <c r="R68" s="22"/>
      <c r="S68" s="22"/>
      <c r="T68" s="22"/>
      <c r="U68" s="23"/>
    </row>
    <row r="69" spans="1:21" ht="100" customHeight="1">
      <c r="A69" s="22" t="s">
        <v>711</v>
      </c>
      <c r="B69" s="23" t="s">
        <v>712</v>
      </c>
      <c r="C69" s="23">
        <v>38192</v>
      </c>
      <c r="D69" s="22">
        <f t="shared" ca="1" si="2"/>
        <v>22</v>
      </c>
      <c r="E69" s="22" t="s">
        <v>164</v>
      </c>
      <c r="F69" s="22" t="s">
        <v>713</v>
      </c>
      <c r="G69" s="23" t="s">
        <v>714</v>
      </c>
      <c r="H69" s="23">
        <v>47299</v>
      </c>
      <c r="I69" s="24"/>
      <c r="J69" s="25"/>
      <c r="K69" s="65" t="s">
        <v>715</v>
      </c>
      <c r="L69" s="22"/>
      <c r="M69" s="22"/>
      <c r="N69" s="22"/>
      <c r="O69" s="22"/>
      <c r="P69" s="22"/>
      <c r="Q69" s="22"/>
      <c r="R69" s="22"/>
      <c r="S69" s="22"/>
      <c r="T69" s="22"/>
      <c r="U69" s="23"/>
    </row>
    <row r="70" spans="1:21" ht="100" customHeight="1">
      <c r="A70" s="22" t="s">
        <v>716</v>
      </c>
      <c r="B70" s="23" t="s">
        <v>717</v>
      </c>
      <c r="C70" s="23">
        <v>37638</v>
      </c>
      <c r="D70" s="22">
        <f t="shared" ca="1" si="2"/>
        <v>23</v>
      </c>
      <c r="E70" s="22" t="s">
        <v>164</v>
      </c>
      <c r="F70" s="22" t="s">
        <v>718</v>
      </c>
      <c r="G70" s="23" t="s">
        <v>719</v>
      </c>
      <c r="H70" s="23">
        <v>46934</v>
      </c>
      <c r="I70" s="24"/>
      <c r="J70" s="25"/>
      <c r="K70" s="65" t="s">
        <v>720</v>
      </c>
      <c r="L70" s="22"/>
      <c r="M70" s="22"/>
      <c r="N70" s="22"/>
      <c r="O70" s="22"/>
      <c r="P70" s="22"/>
      <c r="Q70" s="22"/>
      <c r="R70" s="22"/>
      <c r="S70" s="22"/>
      <c r="T70" s="22"/>
      <c r="U70" s="23"/>
    </row>
    <row r="71" spans="1:21" ht="100" customHeight="1">
      <c r="A71" s="22" t="s">
        <v>721</v>
      </c>
      <c r="B71" s="23"/>
      <c r="C71" s="23"/>
      <c r="D71" s="22" t="str">
        <f t="shared" ca="1" si="2"/>
        <v/>
      </c>
      <c r="E71" s="22" t="s">
        <v>164</v>
      </c>
      <c r="F71" s="22"/>
      <c r="G71" s="23"/>
      <c r="H71" s="23" t="s">
        <v>51</v>
      </c>
      <c r="I71" s="24"/>
      <c r="J71" s="25"/>
      <c r="K71" s="65" t="s">
        <v>722</v>
      </c>
      <c r="L71" s="22"/>
      <c r="M71" s="22"/>
      <c r="N71" s="22"/>
      <c r="O71" s="22"/>
      <c r="P71" s="22"/>
      <c r="Q71" s="22"/>
      <c r="R71" s="22"/>
      <c r="S71" s="22"/>
      <c r="T71" s="22"/>
      <c r="U71" s="23"/>
    </row>
    <row r="72" spans="1:21" ht="100" customHeight="1">
      <c r="A72" s="22" t="s">
        <v>723</v>
      </c>
      <c r="B72" s="23" t="s">
        <v>34</v>
      </c>
      <c r="C72" s="23">
        <v>38097</v>
      </c>
      <c r="D72" s="22">
        <f t="shared" ca="1" si="2"/>
        <v>22</v>
      </c>
      <c r="E72" s="22" t="s">
        <v>164</v>
      </c>
      <c r="F72" s="22" t="s">
        <v>724</v>
      </c>
      <c r="G72" s="23" t="s">
        <v>725</v>
      </c>
      <c r="H72" s="23">
        <v>47299</v>
      </c>
      <c r="I72" s="24"/>
      <c r="J72" s="25"/>
      <c r="K72" s="65" t="s">
        <v>726</v>
      </c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00" customHeight="1">
      <c r="A73" s="22" t="s">
        <v>727</v>
      </c>
      <c r="B73" s="23" t="s">
        <v>728</v>
      </c>
      <c r="C73" s="23">
        <v>38309</v>
      </c>
      <c r="D73" s="22">
        <f t="shared" ca="1" si="2"/>
        <v>21</v>
      </c>
      <c r="E73" s="22" t="s">
        <v>164</v>
      </c>
      <c r="F73" s="22" t="s">
        <v>729</v>
      </c>
      <c r="G73" s="23" t="s">
        <v>730</v>
      </c>
      <c r="H73" s="23">
        <v>47664</v>
      </c>
      <c r="I73" s="24"/>
      <c r="J73" s="25"/>
      <c r="K73" s="65" t="s">
        <v>731</v>
      </c>
      <c r="L73" s="22"/>
      <c r="M73" s="22"/>
      <c r="N73" s="22"/>
      <c r="O73" s="22"/>
      <c r="P73" s="22"/>
      <c r="Q73" s="22"/>
      <c r="R73" s="22"/>
      <c r="S73" s="22"/>
      <c r="T73" s="22"/>
      <c r="U73" s="23"/>
    </row>
    <row r="74" spans="1:21" ht="100" customHeight="1">
      <c r="A74" s="22" t="s">
        <v>732</v>
      </c>
      <c r="B74" s="23"/>
      <c r="C74" s="23"/>
      <c r="D74" s="22" t="str">
        <f t="shared" ca="1" si="2"/>
        <v/>
      </c>
      <c r="E74" s="22" t="s">
        <v>164</v>
      </c>
      <c r="F74" s="22"/>
      <c r="G74" s="23"/>
      <c r="H74" s="23" t="s">
        <v>51</v>
      </c>
      <c r="I74" s="24"/>
      <c r="J74" s="25"/>
      <c r="K74" s="65" t="s">
        <v>733</v>
      </c>
      <c r="L74" s="22"/>
      <c r="M74" s="22"/>
      <c r="N74" s="22"/>
      <c r="O74" s="22"/>
      <c r="P74" s="22"/>
      <c r="Q74" s="22"/>
      <c r="R74" s="22"/>
      <c r="S74" s="22"/>
      <c r="T74" s="22"/>
      <c r="U74" s="23"/>
    </row>
    <row r="75" spans="1:21" ht="100" customHeight="1">
      <c r="A75" s="22" t="s">
        <v>734</v>
      </c>
      <c r="B75" s="23"/>
      <c r="C75" s="23"/>
      <c r="D75" s="22" t="str">
        <f t="shared" ca="1" si="2"/>
        <v/>
      </c>
      <c r="E75" s="22" t="s">
        <v>164</v>
      </c>
      <c r="F75" s="22"/>
      <c r="G75" s="23"/>
      <c r="H75" s="23" t="s">
        <v>51</v>
      </c>
      <c r="I75" s="24"/>
      <c r="J75" s="25"/>
      <c r="K75" s="65" t="s">
        <v>735</v>
      </c>
      <c r="L75" s="22"/>
      <c r="M75" s="22"/>
      <c r="N75" s="22"/>
      <c r="O75" s="22"/>
      <c r="P75" s="22"/>
      <c r="Q75" s="22"/>
      <c r="R75" s="22"/>
      <c r="S75" s="22"/>
      <c r="T75" s="22"/>
      <c r="U75" s="23"/>
    </row>
    <row r="76" spans="1:21" ht="100" customHeight="1">
      <c r="A76" s="22" t="s">
        <v>736</v>
      </c>
      <c r="B76" s="23" t="s">
        <v>271</v>
      </c>
      <c r="C76" s="23">
        <v>37823</v>
      </c>
      <c r="D76" s="22">
        <f t="shared" ca="1" si="2"/>
        <v>23</v>
      </c>
      <c r="E76" s="22" t="s">
        <v>164</v>
      </c>
      <c r="F76" s="22" t="s">
        <v>737</v>
      </c>
      <c r="G76" s="23" t="s">
        <v>738</v>
      </c>
      <c r="H76" s="23">
        <v>46203</v>
      </c>
      <c r="I76" s="24"/>
      <c r="J76" s="25"/>
      <c r="K76" s="65" t="s">
        <v>739</v>
      </c>
      <c r="L76" s="22"/>
      <c r="M76" s="22"/>
      <c r="N76" s="22"/>
      <c r="O76" s="22"/>
      <c r="P76" s="22"/>
      <c r="Q76" s="22"/>
      <c r="R76" s="22"/>
      <c r="S76" s="22"/>
      <c r="T76" s="22"/>
      <c r="U76" s="23"/>
    </row>
    <row r="77" spans="1:21" ht="100" customHeight="1">
      <c r="A77" s="22" t="s">
        <v>740</v>
      </c>
      <c r="B77" s="23"/>
      <c r="C77" s="23"/>
      <c r="D77" s="22" t="str">
        <f t="shared" ca="1" si="2"/>
        <v/>
      </c>
      <c r="E77" s="22" t="s">
        <v>164</v>
      </c>
      <c r="F77" s="22"/>
      <c r="G77" s="23"/>
      <c r="H77" s="23" t="s">
        <v>51</v>
      </c>
      <c r="I77" s="24"/>
      <c r="J77" s="25"/>
      <c r="K77" s="65" t="s">
        <v>741</v>
      </c>
      <c r="L77" s="22"/>
      <c r="M77" s="22"/>
      <c r="N77" s="22"/>
      <c r="O77" s="22"/>
      <c r="P77" s="22"/>
      <c r="Q77" s="22"/>
      <c r="R77" s="22"/>
      <c r="S77" s="22"/>
      <c r="T77" s="22"/>
      <c r="U77" s="23"/>
    </row>
    <row r="78" spans="1:21" ht="100" customHeight="1">
      <c r="A78" s="22" t="s">
        <v>742</v>
      </c>
      <c r="B78" s="23" t="s">
        <v>34</v>
      </c>
      <c r="C78" s="23">
        <v>37718</v>
      </c>
      <c r="D78" s="22">
        <f t="shared" ca="1" si="2"/>
        <v>23</v>
      </c>
      <c r="E78" s="22" t="s">
        <v>164</v>
      </c>
      <c r="F78" s="22" t="s">
        <v>743</v>
      </c>
      <c r="G78" s="23" t="s">
        <v>744</v>
      </c>
      <c r="H78" s="23">
        <v>47118</v>
      </c>
      <c r="I78" s="24"/>
      <c r="J78" s="25"/>
      <c r="K78" s="65" t="s">
        <v>745</v>
      </c>
      <c r="L78" s="22"/>
      <c r="M78" s="22"/>
      <c r="N78" s="22"/>
      <c r="O78" s="22"/>
      <c r="P78" s="22"/>
      <c r="Q78" s="22"/>
      <c r="R78" s="22"/>
      <c r="S78" s="22"/>
      <c r="T78" s="22"/>
      <c r="U78" s="23"/>
    </row>
    <row r="79" spans="1:21" ht="100" customHeight="1">
      <c r="A79" s="22" t="s">
        <v>746</v>
      </c>
      <c r="B79" s="23"/>
      <c r="C79" s="23"/>
      <c r="D79" s="22" t="str">
        <f t="shared" ca="1" si="2"/>
        <v/>
      </c>
      <c r="E79" s="22" t="s">
        <v>164</v>
      </c>
      <c r="F79" s="22"/>
      <c r="G79" s="23"/>
      <c r="H79" s="23" t="s">
        <v>51</v>
      </c>
      <c r="I79" s="24"/>
      <c r="J79" s="25"/>
      <c r="K79" s="65" t="s">
        <v>747</v>
      </c>
      <c r="L79" s="22"/>
      <c r="M79" s="22"/>
      <c r="N79" s="22"/>
      <c r="O79" s="22"/>
      <c r="P79" s="22"/>
      <c r="Q79" s="22"/>
      <c r="R79" s="22"/>
      <c r="S79" s="22"/>
      <c r="T79" s="22"/>
      <c r="U79" s="23"/>
    </row>
    <row r="80" spans="1:21" ht="100" customHeight="1">
      <c r="A80" s="22" t="s">
        <v>748</v>
      </c>
      <c r="B80" s="23"/>
      <c r="C80" s="23"/>
      <c r="D80" s="22" t="str">
        <f t="shared" ca="1" si="2"/>
        <v/>
      </c>
      <c r="E80" s="22" t="s">
        <v>164</v>
      </c>
      <c r="F80" s="22"/>
      <c r="G80" s="23"/>
      <c r="H80" s="23" t="s">
        <v>51</v>
      </c>
      <c r="I80" s="24"/>
      <c r="J80" s="25"/>
      <c r="K80" s="65" t="s">
        <v>749</v>
      </c>
      <c r="L80" s="22"/>
      <c r="M80" s="22"/>
      <c r="N80" s="22"/>
      <c r="O80" s="22"/>
      <c r="P80" s="22"/>
      <c r="Q80" s="22"/>
      <c r="R80" s="22"/>
      <c r="S80" s="22"/>
      <c r="T80" s="22"/>
      <c r="U80" s="23"/>
    </row>
    <row r="81" spans="1:21" ht="100" customHeight="1">
      <c r="A81" s="22" t="s">
        <v>750</v>
      </c>
      <c r="B81" s="23"/>
      <c r="C81" s="23"/>
      <c r="D81" s="22" t="str">
        <f t="shared" ca="1" si="2"/>
        <v/>
      </c>
      <c r="E81" s="22" t="s">
        <v>164</v>
      </c>
      <c r="F81" s="22"/>
      <c r="G81" s="23"/>
      <c r="H81" s="23" t="s">
        <v>51</v>
      </c>
      <c r="I81" s="24"/>
      <c r="J81" s="25"/>
      <c r="K81" s="65" t="s">
        <v>751</v>
      </c>
      <c r="L81" s="22"/>
      <c r="M81" s="22"/>
      <c r="N81" s="22"/>
      <c r="O81" s="22"/>
      <c r="P81" s="22"/>
      <c r="Q81" s="22"/>
      <c r="R81" s="22"/>
      <c r="S81" s="22"/>
      <c r="T81" s="22"/>
      <c r="U81" s="23"/>
    </row>
    <row r="82" spans="1:21" ht="100" customHeight="1">
      <c r="A82" s="22" t="s">
        <v>752</v>
      </c>
      <c r="B82" s="23"/>
      <c r="C82" s="23"/>
      <c r="D82" s="22" t="str">
        <f t="shared" ca="1" si="2"/>
        <v/>
      </c>
      <c r="E82" s="22" t="s">
        <v>164</v>
      </c>
      <c r="F82" s="22"/>
      <c r="G82" s="23"/>
      <c r="H82" s="23" t="s">
        <v>51</v>
      </c>
      <c r="I82" s="24"/>
      <c r="J82" s="25"/>
      <c r="K82" s="65" t="s">
        <v>753</v>
      </c>
      <c r="L82" s="22"/>
      <c r="M82" s="22"/>
      <c r="N82" s="22"/>
      <c r="O82" s="22"/>
      <c r="P82" s="22"/>
      <c r="Q82" s="22"/>
      <c r="R82" s="22"/>
      <c r="S82" s="22"/>
      <c r="T82" s="22"/>
      <c r="U82" s="23"/>
    </row>
    <row r="83" spans="1:21" ht="100" customHeight="1">
      <c r="A83" s="22" t="s">
        <v>754</v>
      </c>
      <c r="B83" s="23"/>
      <c r="C83" s="23"/>
      <c r="D83" s="22" t="str">
        <f t="shared" ca="1" si="2"/>
        <v/>
      </c>
      <c r="E83" s="22" t="s">
        <v>164</v>
      </c>
      <c r="F83" s="22"/>
      <c r="G83" s="23"/>
      <c r="H83" s="23" t="s">
        <v>51</v>
      </c>
      <c r="I83" s="24"/>
      <c r="J83" s="25"/>
      <c r="K83" s="65" t="s">
        <v>755</v>
      </c>
      <c r="L83" s="22"/>
      <c r="M83" s="22"/>
      <c r="N83" s="22"/>
      <c r="O83" s="22"/>
      <c r="P83" s="22"/>
      <c r="Q83" s="22"/>
      <c r="R83" s="22"/>
      <c r="S83" s="22"/>
      <c r="T83" s="22"/>
      <c r="U83" s="23"/>
    </row>
    <row r="84" spans="1:21" ht="100" customHeight="1">
      <c r="A84" s="22" t="s">
        <v>756</v>
      </c>
      <c r="B84" s="23"/>
      <c r="C84" s="23"/>
      <c r="D84" s="22" t="str">
        <f t="shared" ca="1" si="2"/>
        <v/>
      </c>
      <c r="E84" s="22" t="s">
        <v>164</v>
      </c>
      <c r="F84" s="22"/>
      <c r="G84" s="23"/>
      <c r="H84" s="23" t="s">
        <v>51</v>
      </c>
      <c r="I84" s="24"/>
      <c r="J84" s="25"/>
      <c r="K84" s="65" t="s">
        <v>757</v>
      </c>
      <c r="L84" s="22"/>
      <c r="M84" s="22"/>
      <c r="N84" s="22"/>
      <c r="O84" s="22"/>
      <c r="P84" s="22"/>
      <c r="Q84" s="22"/>
      <c r="R84" s="22"/>
      <c r="S84" s="22"/>
      <c r="T84" s="22"/>
      <c r="U84" s="23"/>
    </row>
    <row r="85" spans="1:21" ht="100" customHeight="1">
      <c r="A85" s="22" t="s">
        <v>758</v>
      </c>
      <c r="B85" s="23"/>
      <c r="C85" s="23"/>
      <c r="D85" s="22" t="str">
        <f t="shared" ca="1" si="2"/>
        <v/>
      </c>
      <c r="E85" s="22" t="s">
        <v>164</v>
      </c>
      <c r="F85" s="22"/>
      <c r="G85" s="23"/>
      <c r="H85" s="23" t="s">
        <v>51</v>
      </c>
      <c r="I85" s="24"/>
      <c r="J85" s="25"/>
      <c r="K85" s="65" t="s">
        <v>759</v>
      </c>
      <c r="L85" s="22"/>
      <c r="M85" s="22"/>
      <c r="N85" s="22"/>
      <c r="O85" s="22"/>
      <c r="P85" s="22"/>
      <c r="Q85" s="22"/>
      <c r="R85" s="22"/>
      <c r="S85" s="22"/>
      <c r="T85" s="22"/>
      <c r="U85" s="23"/>
    </row>
    <row r="86" spans="1:21" ht="100" customHeight="1">
      <c r="A86" s="22" t="s">
        <v>760</v>
      </c>
      <c r="B86" s="23"/>
      <c r="C86" s="23"/>
      <c r="D86" s="22" t="str">
        <f t="shared" ca="1" si="2"/>
        <v/>
      </c>
      <c r="E86" s="22" t="s">
        <v>164</v>
      </c>
      <c r="F86" s="22"/>
      <c r="G86" s="23"/>
      <c r="H86" s="23" t="s">
        <v>51</v>
      </c>
      <c r="I86" s="24"/>
      <c r="J86" s="25"/>
      <c r="K86" s="65" t="s">
        <v>761</v>
      </c>
      <c r="L86" s="22"/>
      <c r="M86" s="22"/>
      <c r="N86" s="22"/>
      <c r="O86" s="22"/>
      <c r="P86" s="22"/>
      <c r="Q86" s="22"/>
      <c r="R86" s="22"/>
      <c r="S86" s="22"/>
      <c r="T86" s="22"/>
      <c r="U86" s="23"/>
    </row>
    <row r="87" spans="1:21" ht="100" customHeight="1">
      <c r="A87" s="22" t="s">
        <v>762</v>
      </c>
      <c r="B87" s="23" t="s">
        <v>89</v>
      </c>
      <c r="C87" s="23">
        <v>38081</v>
      </c>
      <c r="D87" s="22">
        <f t="shared" ca="1" si="2"/>
        <v>22</v>
      </c>
      <c r="E87" s="22" t="s">
        <v>164</v>
      </c>
      <c r="F87" s="22" t="s">
        <v>763</v>
      </c>
      <c r="G87" s="23" t="s">
        <v>764</v>
      </c>
      <c r="H87" s="23">
        <v>46934</v>
      </c>
      <c r="I87" s="24"/>
      <c r="J87" s="25"/>
      <c r="K87" s="65" t="s">
        <v>765</v>
      </c>
      <c r="L87" s="22"/>
      <c r="M87" s="22"/>
      <c r="N87" s="22"/>
      <c r="O87" s="22"/>
      <c r="P87" s="22"/>
      <c r="Q87" s="22"/>
      <c r="R87" s="22"/>
      <c r="S87" s="22"/>
      <c r="T87" s="22"/>
      <c r="U87" s="23"/>
    </row>
    <row r="88" spans="1:21" ht="100" customHeight="1">
      <c r="A88" s="22" t="s">
        <v>766</v>
      </c>
      <c r="B88" s="23"/>
      <c r="C88" s="23"/>
      <c r="D88" s="22" t="str">
        <f t="shared" ca="1" si="2"/>
        <v/>
      </c>
      <c r="E88" s="22" t="s">
        <v>164</v>
      </c>
      <c r="F88" s="22"/>
      <c r="G88" s="23"/>
      <c r="H88" s="23" t="s">
        <v>51</v>
      </c>
      <c r="I88" s="24"/>
      <c r="J88" s="25"/>
      <c r="K88" s="65" t="s">
        <v>767</v>
      </c>
      <c r="L88" s="22"/>
      <c r="M88" s="22"/>
      <c r="N88" s="22"/>
      <c r="O88" s="22"/>
      <c r="P88" s="22"/>
      <c r="Q88" s="22"/>
      <c r="R88" s="22"/>
      <c r="S88" s="22"/>
      <c r="T88" s="22"/>
      <c r="U88" s="23"/>
    </row>
    <row r="89" spans="1:21" ht="100" customHeight="1">
      <c r="A89" s="22" t="s">
        <v>768</v>
      </c>
      <c r="B89" s="23"/>
      <c r="C89" s="23"/>
      <c r="D89" s="22" t="str">
        <f t="shared" ca="1" si="2"/>
        <v/>
      </c>
      <c r="E89" s="22" t="s">
        <v>164</v>
      </c>
      <c r="F89" s="22"/>
      <c r="G89" s="23"/>
      <c r="H89" s="23" t="s">
        <v>51</v>
      </c>
      <c r="I89" s="24"/>
      <c r="J89" s="25"/>
      <c r="K89" s="65" t="s">
        <v>769</v>
      </c>
      <c r="L89" s="22"/>
      <c r="M89" s="22"/>
      <c r="N89" s="22"/>
      <c r="O89" s="22"/>
      <c r="P89" s="22"/>
      <c r="Q89" s="22"/>
      <c r="R89" s="22"/>
      <c r="S89" s="22"/>
      <c r="T89" s="22"/>
      <c r="U89" s="23"/>
    </row>
    <row r="90" spans="1:21" ht="100" customHeight="1">
      <c r="A90" s="22" t="s">
        <v>770</v>
      </c>
      <c r="B90" s="23" t="s">
        <v>307</v>
      </c>
      <c r="C90" s="23">
        <v>34216</v>
      </c>
      <c r="D90" s="22">
        <f t="shared" ca="1" si="2"/>
        <v>33</v>
      </c>
      <c r="E90" s="22" t="s">
        <v>164</v>
      </c>
      <c r="F90" s="22" t="s">
        <v>771</v>
      </c>
      <c r="G90" s="23"/>
      <c r="H90" s="23" t="s">
        <v>51</v>
      </c>
      <c r="I90" s="24"/>
      <c r="J90" s="25"/>
      <c r="K90" s="65" t="s">
        <v>772</v>
      </c>
      <c r="L90" s="22"/>
      <c r="M90" s="22"/>
      <c r="N90" s="22"/>
      <c r="O90" s="22"/>
      <c r="P90" s="22"/>
      <c r="Q90" s="22"/>
      <c r="R90" s="22"/>
      <c r="S90" s="22"/>
      <c r="T90" s="22"/>
      <c r="U90" s="23"/>
    </row>
    <row r="91" spans="1:21" ht="100" customHeight="1">
      <c r="A91" s="22" t="s">
        <v>773</v>
      </c>
      <c r="B91" s="23" t="s">
        <v>294</v>
      </c>
      <c r="C91" s="23">
        <v>36216</v>
      </c>
      <c r="D91" s="22">
        <f t="shared" ca="1" si="2"/>
        <v>27</v>
      </c>
      <c r="E91" s="22" t="s">
        <v>164</v>
      </c>
      <c r="F91" s="22" t="s">
        <v>774</v>
      </c>
      <c r="G91" s="23" t="s">
        <v>268</v>
      </c>
      <c r="H91" s="23" t="s">
        <v>51</v>
      </c>
      <c r="I91" s="24"/>
      <c r="J91" s="25"/>
      <c r="K91" s="65" t="s">
        <v>775</v>
      </c>
      <c r="L91" s="22"/>
      <c r="M91" s="22"/>
      <c r="N91" s="22"/>
      <c r="O91" s="22"/>
      <c r="P91" s="22"/>
      <c r="Q91" s="22"/>
      <c r="R91" s="22"/>
      <c r="S91" s="22"/>
      <c r="T91" s="22"/>
      <c r="U91" s="23"/>
    </row>
    <row r="92" spans="1:21" ht="100" customHeight="1">
      <c r="A92" s="22" t="s">
        <v>776</v>
      </c>
      <c r="B92" s="23" t="s">
        <v>246</v>
      </c>
      <c r="C92" s="23">
        <v>36670</v>
      </c>
      <c r="D92" s="22">
        <f t="shared" ca="1" si="2"/>
        <v>26</v>
      </c>
      <c r="E92" s="22" t="s">
        <v>164</v>
      </c>
      <c r="F92" s="22" t="s">
        <v>777</v>
      </c>
      <c r="G92" s="23" t="s">
        <v>778</v>
      </c>
      <c r="H92" s="23">
        <v>46387</v>
      </c>
      <c r="I92" s="24"/>
      <c r="J92" s="25"/>
      <c r="K92" s="65" t="s">
        <v>779</v>
      </c>
      <c r="L92" s="22"/>
      <c r="M92" s="22"/>
      <c r="N92" s="22"/>
      <c r="O92" s="22"/>
      <c r="P92" s="22"/>
      <c r="Q92" s="22"/>
      <c r="R92" s="22"/>
      <c r="S92" s="22"/>
      <c r="T92" s="22"/>
      <c r="U92" s="23"/>
    </row>
    <row r="93" spans="1:21" ht="100" customHeight="1">
      <c r="A93" s="22" t="s">
        <v>780</v>
      </c>
      <c r="B93" s="23" t="s">
        <v>781</v>
      </c>
      <c r="C93" s="23"/>
      <c r="D93" s="22" t="str">
        <f t="shared" ca="1" si="2"/>
        <v/>
      </c>
      <c r="E93" s="22" t="s">
        <v>164</v>
      </c>
      <c r="F93" s="22" t="s">
        <v>164</v>
      </c>
      <c r="G93" s="23"/>
      <c r="H93" s="23" t="s">
        <v>51</v>
      </c>
      <c r="I93" s="24"/>
      <c r="J93" s="25"/>
      <c r="K93" s="65" t="s">
        <v>782</v>
      </c>
      <c r="L93" s="22"/>
      <c r="M93" s="22"/>
      <c r="N93" s="22"/>
      <c r="O93" s="22"/>
      <c r="P93" s="22"/>
      <c r="Q93" s="22"/>
      <c r="R93" s="22"/>
      <c r="S93" s="22"/>
      <c r="T93" s="22"/>
      <c r="U93" s="23"/>
    </row>
    <row r="94" spans="1:21" ht="100" customHeight="1">
      <c r="A94" s="22" t="s">
        <v>783</v>
      </c>
      <c r="B94" s="23" t="s">
        <v>784</v>
      </c>
      <c r="C94" s="23">
        <v>37728</v>
      </c>
      <c r="D94" s="22">
        <f t="shared" ca="1" si="2"/>
        <v>23</v>
      </c>
      <c r="E94" s="22" t="s">
        <v>164</v>
      </c>
      <c r="F94" s="22" t="s">
        <v>785</v>
      </c>
      <c r="G94" s="23" t="s">
        <v>786</v>
      </c>
      <c r="H94" s="23">
        <v>46387</v>
      </c>
      <c r="I94" s="24"/>
      <c r="J94" s="25"/>
      <c r="K94" s="65" t="s">
        <v>787</v>
      </c>
      <c r="L94" s="22"/>
      <c r="M94" s="22"/>
      <c r="N94" s="22"/>
      <c r="O94" s="22"/>
      <c r="P94" s="22"/>
      <c r="Q94" s="22"/>
      <c r="R94" s="22"/>
      <c r="S94" s="22"/>
      <c r="T94" s="22"/>
      <c r="U94" s="23"/>
    </row>
    <row r="95" spans="1:21" ht="100" customHeight="1">
      <c r="A95" s="22" t="s">
        <v>788</v>
      </c>
      <c r="B95" s="23"/>
      <c r="C95" s="23"/>
      <c r="D95" s="22" t="str">
        <f t="shared" ca="1" si="2"/>
        <v/>
      </c>
      <c r="E95" s="22" t="s">
        <v>164</v>
      </c>
      <c r="F95" s="22" t="s">
        <v>164</v>
      </c>
      <c r="G95" s="23"/>
      <c r="H95" s="23" t="s">
        <v>51</v>
      </c>
      <c r="I95" s="24"/>
      <c r="J95" s="25"/>
      <c r="K95" s="65" t="s">
        <v>789</v>
      </c>
      <c r="L95" s="22"/>
      <c r="M95" s="22"/>
      <c r="N95" s="22"/>
      <c r="O95" s="22"/>
      <c r="P95" s="22"/>
      <c r="Q95" s="22"/>
      <c r="R95" s="22"/>
      <c r="S95" s="22"/>
      <c r="T95" s="22"/>
      <c r="U95" s="23"/>
    </row>
    <row r="96" spans="1:21" ht="100" customHeight="1">
      <c r="A96" s="22" t="s">
        <v>790</v>
      </c>
      <c r="B96" s="23" t="s">
        <v>89</v>
      </c>
      <c r="C96" s="23"/>
      <c r="D96" s="22" t="str">
        <f t="shared" ca="1" si="2"/>
        <v/>
      </c>
      <c r="E96" s="22" t="s">
        <v>164</v>
      </c>
      <c r="F96" s="22" t="s">
        <v>164</v>
      </c>
      <c r="G96" s="23"/>
      <c r="H96" s="23" t="s">
        <v>51</v>
      </c>
      <c r="I96" s="24"/>
      <c r="J96" s="25"/>
      <c r="K96" s="65" t="s">
        <v>791</v>
      </c>
      <c r="L96" s="22"/>
      <c r="M96" s="22"/>
      <c r="N96" s="22"/>
      <c r="O96" s="22"/>
      <c r="P96" s="22"/>
      <c r="Q96" s="22"/>
      <c r="R96" s="22"/>
      <c r="S96" s="22"/>
      <c r="T96" s="22"/>
      <c r="U96" s="23"/>
    </row>
    <row r="97" spans="1:21" ht="100" customHeight="1">
      <c r="A97" s="22" t="s">
        <v>792</v>
      </c>
      <c r="B97" s="23" t="s">
        <v>793</v>
      </c>
      <c r="C97" s="23">
        <v>36783</v>
      </c>
      <c r="D97" s="22">
        <f t="shared" ca="1" si="2"/>
        <v>26</v>
      </c>
      <c r="E97" s="22" t="s">
        <v>164</v>
      </c>
      <c r="F97" s="22" t="s">
        <v>794</v>
      </c>
      <c r="G97" s="23" t="s">
        <v>795</v>
      </c>
      <c r="H97" s="23">
        <v>46752</v>
      </c>
      <c r="I97" s="24"/>
      <c r="J97" s="25"/>
      <c r="K97" s="65" t="s">
        <v>796</v>
      </c>
      <c r="L97" s="22"/>
      <c r="M97" s="22"/>
      <c r="N97" s="22"/>
      <c r="O97" s="22"/>
      <c r="P97" s="22"/>
      <c r="Q97" s="22"/>
      <c r="R97" s="22"/>
      <c r="S97" s="22"/>
      <c r="T97" s="22"/>
      <c r="U97" s="23"/>
    </row>
    <row r="98" spans="1:21" ht="100" customHeight="1">
      <c r="A98" s="22" t="s">
        <v>797</v>
      </c>
      <c r="B98" s="23"/>
      <c r="C98" s="23"/>
      <c r="D98" s="22" t="str">
        <f t="shared" ca="1" si="2"/>
        <v/>
      </c>
      <c r="E98" s="22" t="s">
        <v>164</v>
      </c>
      <c r="F98" s="22" t="s">
        <v>164</v>
      </c>
      <c r="G98" s="23"/>
      <c r="H98" s="23" t="s">
        <v>51</v>
      </c>
      <c r="I98" s="24"/>
      <c r="J98" s="25"/>
      <c r="K98" s="65" t="s">
        <v>798</v>
      </c>
      <c r="L98" s="22"/>
      <c r="M98" s="22"/>
      <c r="N98" s="22"/>
      <c r="O98" s="22"/>
      <c r="P98" s="22"/>
      <c r="Q98" s="22"/>
      <c r="R98" s="22"/>
      <c r="S98" s="22"/>
      <c r="T98" s="22"/>
      <c r="U98" s="23"/>
    </row>
    <row r="99" spans="1:21" ht="100" customHeight="1">
      <c r="A99" s="22" t="s">
        <v>799</v>
      </c>
      <c r="B99" s="23"/>
      <c r="C99" s="23"/>
      <c r="D99" s="22" t="str">
        <f t="shared" ca="1" si="2"/>
        <v/>
      </c>
      <c r="E99" s="22" t="s">
        <v>164</v>
      </c>
      <c r="F99" s="22" t="s">
        <v>164</v>
      </c>
      <c r="G99" s="23"/>
      <c r="H99" s="23" t="s">
        <v>51</v>
      </c>
      <c r="I99" s="24"/>
      <c r="J99" s="25"/>
      <c r="K99" s="65" t="s">
        <v>800</v>
      </c>
      <c r="L99" s="22"/>
      <c r="M99" s="22"/>
      <c r="N99" s="22"/>
      <c r="O99" s="22"/>
      <c r="P99" s="22"/>
      <c r="Q99" s="22"/>
      <c r="R99" s="22"/>
      <c r="S99" s="22"/>
      <c r="T99" s="22"/>
      <c r="U99" s="23"/>
    </row>
    <row r="100" spans="1:21" ht="100" customHeight="1">
      <c r="A100" s="22" t="s">
        <v>801</v>
      </c>
      <c r="B100" s="23" t="s">
        <v>802</v>
      </c>
      <c r="C100" s="23"/>
      <c r="D100" s="22" t="str">
        <f t="shared" ref="D100:D103" ca="1" si="3">IF(C100="","",DATEDIF(C100,TODAY(),"Y"))</f>
        <v/>
      </c>
      <c r="E100" s="22" t="s">
        <v>164</v>
      </c>
      <c r="F100" s="22" t="s">
        <v>164</v>
      </c>
      <c r="G100" s="23"/>
      <c r="H100" s="23" t="s">
        <v>51</v>
      </c>
      <c r="I100" s="24"/>
      <c r="J100" s="25"/>
      <c r="K100" s="65" t="s">
        <v>803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3"/>
    </row>
    <row r="101" spans="1:21" ht="100" customHeight="1">
      <c r="A101" s="22"/>
      <c r="B101" s="23"/>
      <c r="C101" s="23"/>
      <c r="D101" s="22" t="str">
        <f t="shared" ca="1" si="3"/>
        <v/>
      </c>
      <c r="E101" s="22" t="s">
        <v>164</v>
      </c>
      <c r="F101" s="22"/>
      <c r="G101" s="23"/>
      <c r="H101" s="23"/>
      <c r="I101" s="24"/>
      <c r="J101" s="25"/>
      <c r="K101" s="25"/>
      <c r="L101" s="22"/>
      <c r="M101" s="22"/>
      <c r="N101" s="22"/>
      <c r="O101" s="22"/>
      <c r="P101" s="22"/>
      <c r="Q101" s="22"/>
      <c r="R101" s="22"/>
      <c r="S101" s="22"/>
      <c r="T101" s="22"/>
      <c r="U101" s="23"/>
    </row>
    <row r="102" spans="1:21" ht="100" customHeight="1">
      <c r="A102" s="22"/>
      <c r="B102" s="23"/>
      <c r="C102" s="23"/>
      <c r="D102" s="22" t="str">
        <f t="shared" ca="1" si="3"/>
        <v/>
      </c>
      <c r="E102" s="22" t="s">
        <v>164</v>
      </c>
      <c r="F102" s="22"/>
      <c r="G102" s="23"/>
      <c r="H102" s="23"/>
      <c r="I102" s="24"/>
      <c r="J102" s="25"/>
      <c r="K102" s="25"/>
      <c r="L102" s="22"/>
      <c r="M102" s="22"/>
      <c r="N102" s="22"/>
      <c r="O102" s="22"/>
      <c r="P102" s="22"/>
      <c r="Q102" s="22"/>
      <c r="R102" s="22"/>
      <c r="S102" s="22"/>
      <c r="T102" s="22"/>
      <c r="U102" s="23"/>
    </row>
    <row r="103" spans="1:21" ht="100" customHeight="1">
      <c r="A103" s="22"/>
      <c r="B103" s="23"/>
      <c r="C103" s="23"/>
      <c r="D103" s="22" t="str">
        <f t="shared" ca="1" si="3"/>
        <v/>
      </c>
      <c r="E103" s="22" t="s">
        <v>164</v>
      </c>
      <c r="F103" s="22"/>
      <c r="G103" s="23"/>
      <c r="H103" s="23"/>
      <c r="I103" s="24"/>
      <c r="J103" s="25"/>
      <c r="K103" s="25"/>
      <c r="L103" s="22"/>
      <c r="M103" s="22"/>
      <c r="N103" s="22"/>
      <c r="O103" s="22"/>
      <c r="P103" s="22"/>
      <c r="Q103" s="22"/>
      <c r="R103" s="22"/>
      <c r="S103" s="22"/>
      <c r="T103" s="22"/>
      <c r="U103" s="23"/>
    </row>
  </sheetData>
  <mergeCells count="2">
    <mergeCell ref="A1:U1"/>
    <mergeCell ref="A2:I2"/>
  </mergeCells>
  <conditionalFormatting sqref="A4:U103">
    <cfRule type="expression" dxfId="26" priority="1">
      <formula>$I4="Yeşil"</formula>
    </cfRule>
    <cfRule type="expression" dxfId="25" priority="2">
      <formula>$I4="Sarı"</formula>
    </cfRule>
    <cfRule type="expression" dxfId="24" priority="3">
      <formula>$I4="Kırmızı"</formula>
    </cfRule>
  </conditionalFormatting>
  <conditionalFormatting sqref="H4:H103">
    <cfRule type="expression" dxfId="23" priority="4">
      <formula>AND($H4&lt;&gt;"",$H4&gt;=TODAY(),$H4&lt;=EDATE(TODAY(),6))</formula>
    </cfRule>
    <cfRule type="expression" dxfId="22" priority="5">
      <formula>AND($H4&lt;&gt;"",$H4&gt;EDATE(TODAY(),6),$H4&lt;=EDATE(TODAY(),12))</formula>
    </cfRule>
  </conditionalFormatting>
  <dataValidations count="3">
    <dataValidation type="list" allowBlank="1" showErrorMessage="1" sqref="I4:I103" xr:uid="{00000000-0002-0000-0E00-000000000000}">
      <formula1>"Kırmızı,Sarı,Yeşil"</formula1>
    </dataValidation>
    <dataValidation sqref="L4:R103" xr:uid="{00000000-0002-0000-0E00-000001000000}">
      <formula1>1</formula1>
      <formula2>10</formula2>
    </dataValidation>
    <dataValidation type="list" sqref="T4:T103" xr:uid="{00000000-0002-0000-0E00-000002000000}">
      <formula1>"A Liste,B Liste,Takip,Tekrar İzle,Ele"</formula1>
    </dataValidation>
  </dataValidations>
  <hyperlinks>
    <hyperlink ref="K9" r:id="rId1" xr:uid="{00000000-0004-0000-0E00-000000000000}"/>
    <hyperlink ref="K10" r:id="rId2" xr:uid="{00000000-0004-0000-0E00-000001000000}"/>
    <hyperlink ref="K25" r:id="rId3" xr:uid="{00000000-0004-0000-0E00-000002000000}"/>
    <hyperlink ref="K26" r:id="rId4" xr:uid="{00000000-0004-0000-0E00-000003000000}"/>
    <hyperlink ref="K27" r:id="rId5" xr:uid="{00000000-0004-0000-0E00-000004000000}"/>
    <hyperlink ref="K28" r:id="rId6" xr:uid="{00000000-0004-0000-0E00-000005000000}"/>
    <hyperlink ref="K29" r:id="rId7" xr:uid="{00000000-0004-0000-0E00-000006000000}"/>
    <hyperlink ref="K30" r:id="rId8" xr:uid="{00000000-0004-0000-0E00-000007000000}"/>
    <hyperlink ref="K31" r:id="rId9" xr:uid="{00000000-0004-0000-0E00-000008000000}"/>
    <hyperlink ref="K32" r:id="rId10" xr:uid="{00000000-0004-0000-0E00-000009000000}"/>
    <hyperlink ref="K33" r:id="rId11" xr:uid="{00000000-0004-0000-0E00-00000A000000}"/>
    <hyperlink ref="K34" r:id="rId12" xr:uid="{00000000-0004-0000-0E00-00000B000000}"/>
    <hyperlink ref="K35" r:id="rId13" xr:uid="{00000000-0004-0000-0E00-00000C000000}"/>
    <hyperlink ref="K36" r:id="rId14" xr:uid="{00000000-0004-0000-0E00-00000D000000}"/>
    <hyperlink ref="K37" r:id="rId15" xr:uid="{00000000-0004-0000-0E00-00000E000000}"/>
    <hyperlink ref="K38" r:id="rId16" xr:uid="{00000000-0004-0000-0E00-00000F000000}"/>
    <hyperlink ref="K39" r:id="rId17" xr:uid="{00000000-0004-0000-0E00-000010000000}"/>
    <hyperlink ref="K40" r:id="rId18" xr:uid="{00000000-0004-0000-0E00-000011000000}"/>
    <hyperlink ref="K41" r:id="rId19" xr:uid="{00000000-0004-0000-0E00-000012000000}"/>
    <hyperlink ref="K42" r:id="rId20" xr:uid="{00000000-0004-0000-0E00-000013000000}"/>
    <hyperlink ref="K43" r:id="rId21" xr:uid="{00000000-0004-0000-0E00-000014000000}"/>
    <hyperlink ref="K44" r:id="rId22" xr:uid="{00000000-0004-0000-0E00-000015000000}"/>
    <hyperlink ref="K45" r:id="rId23" xr:uid="{00000000-0004-0000-0E00-000016000000}"/>
    <hyperlink ref="K46" r:id="rId24" xr:uid="{00000000-0004-0000-0E00-000017000000}"/>
    <hyperlink ref="K47" r:id="rId25" xr:uid="{00000000-0004-0000-0E00-000018000000}"/>
    <hyperlink ref="K48" r:id="rId26" xr:uid="{00000000-0004-0000-0E00-000019000000}"/>
    <hyperlink ref="K49" r:id="rId27" xr:uid="{00000000-0004-0000-0E00-00001A000000}"/>
    <hyperlink ref="K50" r:id="rId28" xr:uid="{00000000-0004-0000-0E00-00001B000000}"/>
    <hyperlink ref="K51" r:id="rId29" xr:uid="{00000000-0004-0000-0E00-00001C000000}"/>
    <hyperlink ref="K52" r:id="rId30" xr:uid="{00000000-0004-0000-0E00-00001D000000}"/>
    <hyperlink ref="K53" r:id="rId31" xr:uid="{00000000-0004-0000-0E00-00001E000000}"/>
    <hyperlink ref="K54" r:id="rId32" xr:uid="{00000000-0004-0000-0E00-00001F000000}"/>
    <hyperlink ref="K55" r:id="rId33" xr:uid="{00000000-0004-0000-0E00-000020000000}"/>
    <hyperlink ref="K56" r:id="rId34" xr:uid="{00000000-0004-0000-0E00-000021000000}"/>
    <hyperlink ref="K57" r:id="rId35" xr:uid="{00000000-0004-0000-0E00-000022000000}"/>
    <hyperlink ref="K58" r:id="rId36" xr:uid="{00000000-0004-0000-0E00-000023000000}"/>
    <hyperlink ref="K59" r:id="rId37" xr:uid="{00000000-0004-0000-0E00-000024000000}"/>
    <hyperlink ref="K60" r:id="rId38" xr:uid="{00000000-0004-0000-0E00-000025000000}"/>
    <hyperlink ref="K61" r:id="rId39" xr:uid="{00000000-0004-0000-0E00-000026000000}"/>
    <hyperlink ref="K62" r:id="rId40" xr:uid="{00000000-0004-0000-0E00-000027000000}"/>
    <hyperlink ref="K63" r:id="rId41" xr:uid="{00000000-0004-0000-0E00-000028000000}"/>
    <hyperlink ref="K64" r:id="rId42" xr:uid="{00000000-0004-0000-0E00-000029000000}"/>
    <hyperlink ref="K65" r:id="rId43" xr:uid="{00000000-0004-0000-0E00-00002A000000}"/>
    <hyperlink ref="K66" r:id="rId44" xr:uid="{00000000-0004-0000-0E00-00002B000000}"/>
    <hyperlink ref="K67" r:id="rId45" xr:uid="{00000000-0004-0000-0E00-00002C000000}"/>
    <hyperlink ref="K68" r:id="rId46" xr:uid="{00000000-0004-0000-0E00-00002D000000}"/>
    <hyperlink ref="K69" r:id="rId47" xr:uid="{00000000-0004-0000-0E00-00002E000000}"/>
    <hyperlink ref="K70" r:id="rId48" xr:uid="{00000000-0004-0000-0E00-00002F000000}"/>
    <hyperlink ref="K71" r:id="rId49" xr:uid="{00000000-0004-0000-0E00-000030000000}"/>
    <hyperlink ref="K72" r:id="rId50" xr:uid="{00000000-0004-0000-0E00-000031000000}"/>
    <hyperlink ref="K73" r:id="rId51" xr:uid="{00000000-0004-0000-0E00-000032000000}"/>
    <hyperlink ref="K74" r:id="rId52" xr:uid="{00000000-0004-0000-0E00-000033000000}"/>
    <hyperlink ref="K75" r:id="rId53" xr:uid="{00000000-0004-0000-0E00-000034000000}"/>
    <hyperlink ref="K76" r:id="rId54" xr:uid="{00000000-0004-0000-0E00-000035000000}"/>
    <hyperlink ref="K77" r:id="rId55" xr:uid="{00000000-0004-0000-0E00-000036000000}"/>
    <hyperlink ref="K78" r:id="rId56" xr:uid="{00000000-0004-0000-0E00-000037000000}"/>
    <hyperlink ref="K79" r:id="rId57" xr:uid="{00000000-0004-0000-0E00-000038000000}"/>
    <hyperlink ref="K80" r:id="rId58" xr:uid="{00000000-0004-0000-0E00-000039000000}"/>
    <hyperlink ref="K81" r:id="rId59" xr:uid="{00000000-0004-0000-0E00-00003A000000}"/>
    <hyperlink ref="K82" r:id="rId60" xr:uid="{00000000-0004-0000-0E00-00003B000000}"/>
    <hyperlink ref="K83" r:id="rId61" xr:uid="{00000000-0004-0000-0E00-00003C000000}"/>
    <hyperlink ref="K84" r:id="rId62" xr:uid="{00000000-0004-0000-0E00-00003D000000}"/>
    <hyperlink ref="K85" r:id="rId63" xr:uid="{00000000-0004-0000-0E00-00003E000000}"/>
    <hyperlink ref="K86" r:id="rId64" xr:uid="{00000000-0004-0000-0E00-00003F000000}"/>
    <hyperlink ref="K87" r:id="rId65" xr:uid="{00000000-0004-0000-0E00-000040000000}"/>
    <hyperlink ref="K88" r:id="rId66" xr:uid="{00000000-0004-0000-0E00-000041000000}"/>
    <hyperlink ref="K89" r:id="rId67" xr:uid="{00000000-0004-0000-0E00-000042000000}"/>
    <hyperlink ref="K90" r:id="rId68" xr:uid="{00000000-0004-0000-0E00-000043000000}"/>
    <hyperlink ref="K91" r:id="rId69" xr:uid="{00000000-0004-0000-0E00-000044000000}"/>
    <hyperlink ref="K92" r:id="rId70" xr:uid="{00000000-0004-0000-0E00-000045000000}"/>
    <hyperlink ref="K93" r:id="rId71" xr:uid="{00000000-0004-0000-0E00-000046000000}"/>
    <hyperlink ref="K94" r:id="rId72" xr:uid="{00000000-0004-0000-0E00-000047000000}"/>
    <hyperlink ref="K95" r:id="rId73" xr:uid="{00000000-0004-0000-0E00-000048000000}"/>
    <hyperlink ref="K96" r:id="rId74" xr:uid="{00000000-0004-0000-0E00-000049000000}"/>
    <hyperlink ref="K97" r:id="rId75" xr:uid="{00000000-0004-0000-0E00-00004A000000}"/>
    <hyperlink ref="K98" r:id="rId76" xr:uid="{00000000-0004-0000-0E00-00004B000000}"/>
    <hyperlink ref="K99" r:id="rId77" xr:uid="{00000000-0004-0000-0E00-00004C000000}"/>
    <hyperlink ref="K100" r:id="rId78" xr:uid="{00000000-0004-0000-0E00-00004D000000}"/>
  </hyperlinks>
  <pageMargins left="0.7" right="0.7" top="0.75" bottom="0.75" header="0.3" footer="0.3"/>
  <drawing r:id="rId79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103"/>
  <sheetViews>
    <sheetView showGridLines="0" topLeftCell="A18" workbookViewId="0">
      <selection activeCell="T22" sqref="T22"/>
    </sheetView>
  </sheetViews>
  <sheetFormatPr baseColWidth="10" defaultColWidth="8.83203125" defaultRowHeight="14"/>
  <cols>
    <col min="1" max="1" width="25.1640625" bestFit="1" customWidth="1"/>
    <col min="2" max="3" width="14" customWidth="1"/>
    <col min="4" max="4" width="8" customWidth="1"/>
    <col min="5" max="5" width="16" customWidth="1"/>
    <col min="6" max="6" width="18" customWidth="1"/>
    <col min="7" max="7" width="20" customWidth="1"/>
    <col min="8" max="8" width="18" customWidth="1"/>
    <col min="9" max="9" width="11" customWidth="1"/>
    <col min="10" max="10" width="100.83203125" customWidth="1"/>
    <col min="11" max="11" width="68.6640625" bestFit="1" customWidth="1"/>
    <col min="12" max="15" width="9" customWidth="1"/>
    <col min="16" max="17" width="10" customWidth="1"/>
    <col min="18" max="18" width="13.33203125" customWidth="1"/>
    <col min="19" max="19" width="11" customWidth="1"/>
    <col min="20" max="21" width="14" customWidth="1"/>
  </cols>
  <sheetData>
    <row r="1" spans="1:21" ht="30" customHeight="1">
      <c r="A1" s="67" t="s">
        <v>804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1:21" ht="15" customHeight="1">
      <c r="A2" s="96"/>
      <c r="B2" s="68"/>
      <c r="C2" s="68"/>
      <c r="D2" s="68"/>
      <c r="E2" s="68"/>
      <c r="F2" s="68"/>
      <c r="G2" s="68"/>
      <c r="H2" s="68"/>
      <c r="I2" s="68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30" customHeight="1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U3" s="21" t="s">
        <v>21</v>
      </c>
    </row>
    <row r="4" spans="1:21" ht="100" customHeight="1">
      <c r="A4" s="22" t="s">
        <v>805</v>
      </c>
      <c r="B4" s="23" t="s">
        <v>415</v>
      </c>
      <c r="C4" s="23">
        <v>38367</v>
      </c>
      <c r="D4" s="22">
        <f t="shared" ref="D4:D35" ca="1" si="0">IF(C4="","",DATEDIF(C4,TODAY(),"Y"))</f>
        <v>21</v>
      </c>
      <c r="E4" s="22" t="s">
        <v>166</v>
      </c>
      <c r="F4" s="22"/>
      <c r="G4" s="23" t="s">
        <v>806</v>
      </c>
      <c r="H4" s="23">
        <v>46356</v>
      </c>
      <c r="I4" s="24" t="s">
        <v>26</v>
      </c>
      <c r="J4" s="25"/>
      <c r="K4" s="25"/>
      <c r="L4" s="22"/>
      <c r="M4" s="22"/>
      <c r="N4" s="22"/>
      <c r="O4" s="22"/>
      <c r="P4" s="22"/>
      <c r="Q4" s="22"/>
      <c r="R4" s="22"/>
      <c r="S4" s="22"/>
      <c r="T4" s="22" t="s">
        <v>44</v>
      </c>
      <c r="U4" s="23"/>
    </row>
    <row r="5" spans="1:21" ht="100" customHeight="1">
      <c r="A5" s="22" t="s">
        <v>807</v>
      </c>
      <c r="B5" s="23" t="s">
        <v>333</v>
      </c>
      <c r="C5" s="23">
        <v>35341</v>
      </c>
      <c r="D5" s="22">
        <f t="shared" ca="1" si="0"/>
        <v>30</v>
      </c>
      <c r="E5" s="22" t="s">
        <v>166</v>
      </c>
      <c r="F5" s="22"/>
      <c r="G5" s="23" t="s">
        <v>808</v>
      </c>
      <c r="H5" s="23">
        <v>47299</v>
      </c>
      <c r="I5" s="24" t="s">
        <v>36</v>
      </c>
      <c r="J5" s="25"/>
      <c r="K5" s="25"/>
      <c r="L5" s="22"/>
      <c r="M5" s="22"/>
      <c r="N5" s="22"/>
      <c r="O5" s="22"/>
      <c r="P5" s="22"/>
      <c r="Q5" s="22"/>
      <c r="R5" s="22"/>
      <c r="S5" s="22"/>
      <c r="T5" s="22" t="s">
        <v>38</v>
      </c>
      <c r="U5" s="23"/>
    </row>
    <row r="6" spans="1:21" ht="100" customHeight="1">
      <c r="A6" s="22" t="s">
        <v>809</v>
      </c>
      <c r="B6" s="23" t="s">
        <v>49</v>
      </c>
      <c r="C6" s="23">
        <v>39196</v>
      </c>
      <c r="D6" s="22">
        <f t="shared" ca="1" si="0"/>
        <v>19</v>
      </c>
      <c r="E6" s="22" t="s">
        <v>166</v>
      </c>
      <c r="F6" s="22"/>
      <c r="G6" s="23" t="s">
        <v>810</v>
      </c>
      <c r="H6" s="23">
        <v>47664</v>
      </c>
      <c r="I6" s="24" t="s">
        <v>26</v>
      </c>
      <c r="J6" s="25"/>
      <c r="K6" s="25"/>
      <c r="L6" s="22"/>
      <c r="M6" s="22"/>
      <c r="N6" s="22"/>
      <c r="O6" s="22"/>
      <c r="P6" s="22"/>
      <c r="Q6" s="22"/>
      <c r="R6" s="22"/>
      <c r="S6" s="22"/>
      <c r="T6" s="22" t="s">
        <v>41</v>
      </c>
      <c r="U6" s="23"/>
    </row>
    <row r="7" spans="1:21" ht="100" customHeight="1">
      <c r="A7" s="22" t="s">
        <v>811</v>
      </c>
      <c r="B7" s="23" t="s">
        <v>812</v>
      </c>
      <c r="C7" s="23">
        <v>37580</v>
      </c>
      <c r="D7" s="22">
        <f t="shared" ca="1" si="0"/>
        <v>23</v>
      </c>
      <c r="E7" s="22" t="s">
        <v>166</v>
      </c>
      <c r="F7" s="22"/>
      <c r="G7" s="23" t="s">
        <v>813</v>
      </c>
      <c r="H7" s="23">
        <v>46538</v>
      </c>
      <c r="I7" s="24" t="s">
        <v>31</v>
      </c>
      <c r="J7" s="25"/>
      <c r="K7" s="25"/>
      <c r="L7" s="22"/>
      <c r="M7" s="22"/>
      <c r="N7" s="22"/>
      <c r="O7" s="22"/>
      <c r="P7" s="22"/>
      <c r="Q7" s="22"/>
      <c r="R7" s="22"/>
      <c r="S7" s="22"/>
      <c r="T7" s="22" t="s">
        <v>32</v>
      </c>
      <c r="U7" s="23"/>
    </row>
    <row r="8" spans="1:21" ht="100" customHeight="1">
      <c r="A8" s="22" t="s">
        <v>814</v>
      </c>
      <c r="B8" s="23" t="s">
        <v>34</v>
      </c>
      <c r="C8" s="23">
        <v>39119</v>
      </c>
      <c r="D8" s="22">
        <f t="shared" ca="1" si="0"/>
        <v>19</v>
      </c>
      <c r="E8" s="22" t="s">
        <v>166</v>
      </c>
      <c r="F8" s="22"/>
      <c r="G8" s="23" t="s">
        <v>815</v>
      </c>
      <c r="H8" s="23">
        <v>47664</v>
      </c>
      <c r="I8" s="24" t="s">
        <v>26</v>
      </c>
      <c r="J8" s="25"/>
      <c r="K8" s="25"/>
      <c r="L8" s="22"/>
      <c r="M8" s="22"/>
      <c r="N8" s="22"/>
      <c r="O8" s="22"/>
      <c r="P8" s="22"/>
      <c r="Q8" s="22"/>
      <c r="R8" s="22"/>
      <c r="S8" s="22"/>
      <c r="T8" s="22" t="s">
        <v>44</v>
      </c>
      <c r="U8" s="23"/>
    </row>
    <row r="9" spans="1:21" ht="100" customHeight="1">
      <c r="A9" s="22" t="s">
        <v>816</v>
      </c>
      <c r="B9" s="23" t="s">
        <v>349</v>
      </c>
      <c r="C9" s="23">
        <v>39094</v>
      </c>
      <c r="D9" s="22">
        <f t="shared" ca="1" si="0"/>
        <v>19</v>
      </c>
      <c r="E9" s="22" t="s">
        <v>166</v>
      </c>
      <c r="F9" s="22"/>
      <c r="G9" s="23" t="s">
        <v>817</v>
      </c>
      <c r="H9" s="23">
        <v>46934</v>
      </c>
      <c r="I9" s="24" t="s">
        <v>31</v>
      </c>
      <c r="J9" s="25"/>
      <c r="K9" s="25"/>
      <c r="L9" s="22"/>
      <c r="M9" s="22"/>
      <c r="N9" s="22"/>
      <c r="O9" s="22"/>
      <c r="P9" s="22"/>
      <c r="Q9" s="22"/>
      <c r="R9" s="22"/>
      <c r="S9" s="22"/>
      <c r="T9" s="22" t="s">
        <v>32</v>
      </c>
      <c r="U9" s="23"/>
    </row>
    <row r="10" spans="1:21" ht="100" customHeight="1">
      <c r="A10" s="22" t="s">
        <v>818</v>
      </c>
      <c r="B10" s="23" t="s">
        <v>294</v>
      </c>
      <c r="C10" s="23">
        <v>38358</v>
      </c>
      <c r="D10" s="22">
        <f t="shared" ca="1" si="0"/>
        <v>21</v>
      </c>
      <c r="E10" s="22" t="s">
        <v>166</v>
      </c>
      <c r="F10" s="22"/>
      <c r="G10" s="23" t="s">
        <v>819</v>
      </c>
      <c r="H10" s="23">
        <v>47299</v>
      </c>
      <c r="I10" s="24" t="s">
        <v>36</v>
      </c>
      <c r="J10" s="25"/>
      <c r="K10" s="25"/>
      <c r="L10" s="22"/>
      <c r="M10" s="22"/>
      <c r="N10" s="22"/>
      <c r="O10" s="22"/>
      <c r="P10" s="22"/>
      <c r="Q10" s="22"/>
      <c r="R10" s="22"/>
      <c r="S10" s="22"/>
      <c r="T10" s="22" t="s">
        <v>41</v>
      </c>
      <c r="U10" s="23"/>
    </row>
    <row r="11" spans="1:21" ht="100" customHeight="1">
      <c r="A11" s="22" t="s">
        <v>820</v>
      </c>
      <c r="B11" s="23" t="s">
        <v>821</v>
      </c>
      <c r="C11" s="23">
        <v>38251</v>
      </c>
      <c r="D11" s="22">
        <f t="shared" ca="1" si="0"/>
        <v>22</v>
      </c>
      <c r="E11" s="22" t="s">
        <v>166</v>
      </c>
      <c r="F11" s="22"/>
      <c r="G11" s="23" t="s">
        <v>822</v>
      </c>
      <c r="H11" s="23">
        <v>47664</v>
      </c>
      <c r="I11" s="24" t="s">
        <v>31</v>
      </c>
      <c r="J11" s="25"/>
      <c r="K11" s="40" t="s">
        <v>823</v>
      </c>
      <c r="L11" s="22"/>
      <c r="M11" s="22"/>
      <c r="N11" s="22"/>
      <c r="O11" s="22"/>
      <c r="P11" s="22"/>
      <c r="Q11" s="22"/>
      <c r="R11" s="22"/>
      <c r="S11" s="22"/>
      <c r="T11" s="22" t="s">
        <v>32</v>
      </c>
      <c r="U11" s="23"/>
    </row>
    <row r="12" spans="1:21" ht="100" customHeight="1">
      <c r="A12" s="22" t="s">
        <v>824</v>
      </c>
      <c r="B12" s="23" t="s">
        <v>71</v>
      </c>
      <c r="C12" s="23">
        <v>38365</v>
      </c>
      <c r="D12" s="22">
        <f t="shared" ca="1" si="0"/>
        <v>21</v>
      </c>
      <c r="E12" s="22" t="s">
        <v>166</v>
      </c>
      <c r="F12" s="22"/>
      <c r="G12" s="23" t="s">
        <v>825</v>
      </c>
      <c r="H12" s="23">
        <v>46568</v>
      </c>
      <c r="I12" s="24" t="s">
        <v>26</v>
      </c>
      <c r="J12" s="25"/>
      <c r="K12" s="25" t="s">
        <v>826</v>
      </c>
      <c r="L12" s="22"/>
      <c r="M12" s="22"/>
      <c r="N12" s="22"/>
      <c r="O12" s="22"/>
      <c r="P12" s="22"/>
      <c r="Q12" s="22"/>
      <c r="R12" s="22"/>
      <c r="S12" s="22"/>
      <c r="T12" s="22" t="s">
        <v>41</v>
      </c>
      <c r="U12" s="23"/>
    </row>
    <row r="13" spans="1:21" ht="100" customHeight="1">
      <c r="A13" s="22" t="s">
        <v>827</v>
      </c>
      <c r="B13" s="23" t="s">
        <v>821</v>
      </c>
      <c r="C13" s="23">
        <v>36708</v>
      </c>
      <c r="D13" s="22">
        <f t="shared" ca="1" si="0"/>
        <v>26</v>
      </c>
      <c r="E13" s="22" t="s">
        <v>166</v>
      </c>
      <c r="F13" s="22"/>
      <c r="G13" s="23" t="s">
        <v>828</v>
      </c>
      <c r="H13" s="23">
        <v>46934</v>
      </c>
      <c r="I13" s="24" t="s">
        <v>31</v>
      </c>
      <c r="J13" s="25"/>
      <c r="K13" s="25" t="s">
        <v>829</v>
      </c>
      <c r="L13" s="22"/>
      <c r="M13" s="22"/>
      <c r="N13" s="22"/>
      <c r="O13" s="22"/>
      <c r="P13" s="22"/>
      <c r="Q13" s="22"/>
      <c r="R13" s="22"/>
      <c r="S13" s="22"/>
      <c r="T13" s="22" t="s">
        <v>27</v>
      </c>
      <c r="U13" s="23"/>
    </row>
    <row r="14" spans="1:21" ht="100" customHeight="1">
      <c r="A14" s="22" t="s">
        <v>830</v>
      </c>
      <c r="B14" s="23" t="s">
        <v>85</v>
      </c>
      <c r="C14" s="23">
        <v>37268</v>
      </c>
      <c r="D14" s="22">
        <f t="shared" ca="1" si="0"/>
        <v>24</v>
      </c>
      <c r="E14" s="22" t="s">
        <v>166</v>
      </c>
      <c r="F14" s="22"/>
      <c r="G14" s="23" t="s">
        <v>831</v>
      </c>
      <c r="H14" s="23">
        <v>48029</v>
      </c>
      <c r="I14" s="24" t="s">
        <v>36</v>
      </c>
      <c r="J14" s="25"/>
      <c r="K14" s="25" t="s">
        <v>832</v>
      </c>
      <c r="L14" s="22"/>
      <c r="M14" s="22"/>
      <c r="N14" s="22"/>
      <c r="O14" s="22"/>
      <c r="P14" s="22"/>
      <c r="Q14" s="22"/>
      <c r="R14" s="22"/>
      <c r="S14" s="22"/>
      <c r="T14" s="22" t="s">
        <v>38</v>
      </c>
      <c r="U14" s="23"/>
    </row>
    <row r="15" spans="1:21" ht="100" customHeight="1">
      <c r="A15" s="22" t="s">
        <v>833</v>
      </c>
      <c r="B15" s="23" t="s">
        <v>834</v>
      </c>
      <c r="C15" s="23">
        <v>37070</v>
      </c>
      <c r="D15" s="22">
        <f t="shared" ca="1" si="0"/>
        <v>25</v>
      </c>
      <c r="E15" s="22" t="s">
        <v>166</v>
      </c>
      <c r="F15" s="22"/>
      <c r="G15" s="23" t="s">
        <v>835</v>
      </c>
      <c r="H15" s="23">
        <v>47269</v>
      </c>
      <c r="I15" s="24" t="s">
        <v>26</v>
      </c>
      <c r="J15" s="25"/>
      <c r="K15" s="25" t="s">
        <v>836</v>
      </c>
      <c r="L15" s="22"/>
      <c r="M15" s="22"/>
      <c r="N15" s="22"/>
      <c r="O15" s="22"/>
      <c r="P15" s="22"/>
      <c r="Q15" s="22"/>
      <c r="R15" s="22"/>
      <c r="S15" s="22"/>
      <c r="T15" s="22" t="s">
        <v>41</v>
      </c>
      <c r="U15" s="23"/>
    </row>
    <row r="16" spans="1:21" ht="100" customHeight="1">
      <c r="A16" s="22" t="s">
        <v>837</v>
      </c>
      <c r="B16" s="23" t="s">
        <v>333</v>
      </c>
      <c r="C16" s="23">
        <v>37454</v>
      </c>
      <c r="D16" s="22">
        <f t="shared" ca="1" si="0"/>
        <v>24</v>
      </c>
      <c r="E16" s="22" t="s">
        <v>166</v>
      </c>
      <c r="F16" s="22"/>
      <c r="G16" s="23" t="s">
        <v>838</v>
      </c>
      <c r="H16" s="23">
        <v>46568</v>
      </c>
      <c r="I16" s="24" t="s">
        <v>36</v>
      </c>
      <c r="J16" s="25"/>
      <c r="K16" s="25" t="s">
        <v>839</v>
      </c>
      <c r="L16" s="22"/>
      <c r="M16" s="22"/>
      <c r="N16" s="22"/>
      <c r="O16" s="22"/>
      <c r="P16" s="22"/>
      <c r="Q16" s="22"/>
      <c r="R16" s="22"/>
      <c r="S16" s="22"/>
      <c r="T16" s="22" t="s">
        <v>38</v>
      </c>
      <c r="U16" s="23"/>
    </row>
    <row r="17" spans="1:21" ht="100" customHeight="1">
      <c r="A17" s="22" t="s">
        <v>840</v>
      </c>
      <c r="B17" s="23" t="s">
        <v>71</v>
      </c>
      <c r="C17" s="23">
        <v>35599</v>
      </c>
      <c r="D17" s="22">
        <f t="shared" ca="1" si="0"/>
        <v>29</v>
      </c>
      <c r="E17" s="22" t="s">
        <v>166</v>
      </c>
      <c r="F17" s="22"/>
      <c r="G17" s="23" t="s">
        <v>841</v>
      </c>
      <c r="H17" s="23">
        <v>46568</v>
      </c>
      <c r="I17" s="24" t="s">
        <v>31</v>
      </c>
      <c r="J17" s="25"/>
      <c r="K17" s="25" t="s">
        <v>842</v>
      </c>
      <c r="L17" s="22"/>
      <c r="M17" s="22"/>
      <c r="N17" s="22"/>
      <c r="O17" s="22"/>
      <c r="P17" s="22"/>
      <c r="Q17" s="22"/>
      <c r="R17" s="22"/>
      <c r="S17" s="22"/>
      <c r="T17" s="22" t="s">
        <v>27</v>
      </c>
      <c r="U17" s="23"/>
    </row>
    <row r="18" spans="1:21" ht="100" customHeight="1">
      <c r="A18" s="22" t="s">
        <v>843</v>
      </c>
      <c r="B18" s="23" t="s">
        <v>71</v>
      </c>
      <c r="C18" s="23">
        <v>35496</v>
      </c>
      <c r="D18" s="22">
        <f t="shared" ca="1" si="0"/>
        <v>29</v>
      </c>
      <c r="E18" s="22" t="s">
        <v>166</v>
      </c>
      <c r="F18" s="22"/>
      <c r="G18" s="23" t="s">
        <v>844</v>
      </c>
      <c r="H18" s="23">
        <v>47664</v>
      </c>
      <c r="I18" s="24" t="s">
        <v>31</v>
      </c>
      <c r="J18" s="25"/>
      <c r="K18" s="25" t="s">
        <v>845</v>
      </c>
      <c r="L18" s="22"/>
      <c r="M18" s="22"/>
      <c r="N18" s="22"/>
      <c r="O18" s="22"/>
      <c r="P18" s="22"/>
      <c r="Q18" s="22"/>
      <c r="R18" s="22"/>
      <c r="S18" s="22"/>
      <c r="T18" s="22" t="s">
        <v>27</v>
      </c>
      <c r="U18" s="23"/>
    </row>
    <row r="19" spans="1:21" ht="100" customHeight="1">
      <c r="A19" s="22" t="s">
        <v>846</v>
      </c>
      <c r="B19" s="23" t="s">
        <v>847</v>
      </c>
      <c r="C19" s="23">
        <v>36068</v>
      </c>
      <c r="D19" s="22">
        <f t="shared" ca="1" si="0"/>
        <v>28</v>
      </c>
      <c r="E19" s="22" t="s">
        <v>166</v>
      </c>
      <c r="F19" s="47" t="s">
        <v>848</v>
      </c>
      <c r="G19" s="23" t="s">
        <v>849</v>
      </c>
      <c r="H19" s="23">
        <v>46894</v>
      </c>
      <c r="I19" s="24" t="s">
        <v>26</v>
      </c>
      <c r="J19" s="25"/>
      <c r="K19" s="25" t="s">
        <v>850</v>
      </c>
      <c r="L19" s="22"/>
      <c r="M19" s="22"/>
      <c r="N19" s="22"/>
      <c r="O19" s="22"/>
      <c r="P19" s="22"/>
      <c r="Q19" s="22"/>
      <c r="R19" s="22"/>
      <c r="S19" s="22"/>
      <c r="T19" s="22" t="s">
        <v>41</v>
      </c>
      <c r="U19" s="23"/>
    </row>
    <row r="20" spans="1:21" ht="100" customHeight="1">
      <c r="A20" s="22" t="s">
        <v>851</v>
      </c>
      <c r="B20" s="23" t="s">
        <v>307</v>
      </c>
      <c r="C20" s="23">
        <v>33210</v>
      </c>
      <c r="D20" s="22">
        <f t="shared" ca="1" si="0"/>
        <v>35</v>
      </c>
      <c r="E20" s="22" t="s">
        <v>166</v>
      </c>
      <c r="F20" s="22"/>
      <c r="G20" s="23" t="s">
        <v>852</v>
      </c>
      <c r="H20" s="23">
        <v>46568</v>
      </c>
      <c r="I20" s="24" t="s">
        <v>36</v>
      </c>
      <c r="J20" s="25"/>
      <c r="K20" s="25" t="s">
        <v>853</v>
      </c>
      <c r="L20" s="22"/>
      <c r="M20" s="22"/>
      <c r="N20" s="22"/>
      <c r="O20" s="22"/>
      <c r="P20" s="22"/>
      <c r="Q20" s="22"/>
      <c r="R20" s="22"/>
      <c r="S20" s="22"/>
      <c r="T20" s="22" t="s">
        <v>38</v>
      </c>
      <c r="U20" s="23"/>
    </row>
    <row r="21" spans="1:21" ht="100" customHeight="1">
      <c r="A21" s="22" t="s">
        <v>854</v>
      </c>
      <c r="B21" s="23" t="s">
        <v>333</v>
      </c>
      <c r="C21" s="23">
        <v>37108</v>
      </c>
      <c r="D21" s="22">
        <f t="shared" ca="1" si="0"/>
        <v>25</v>
      </c>
      <c r="E21" s="22" t="s">
        <v>166</v>
      </c>
      <c r="F21" s="22"/>
      <c r="G21" s="23" t="s">
        <v>817</v>
      </c>
      <c r="H21" s="23">
        <v>46934</v>
      </c>
      <c r="I21" s="24" t="s">
        <v>26</v>
      </c>
      <c r="J21" s="25"/>
      <c r="K21" s="25" t="s">
        <v>855</v>
      </c>
      <c r="L21" s="22"/>
      <c r="M21" s="22"/>
      <c r="N21" s="22"/>
      <c r="O21" s="22"/>
      <c r="P21" s="22"/>
      <c r="Q21" s="22"/>
      <c r="R21" s="22"/>
      <c r="S21" s="22"/>
      <c r="T21" s="22" t="s">
        <v>44</v>
      </c>
      <c r="U21" s="23"/>
    </row>
    <row r="22" spans="1:21" ht="100" customHeight="1">
      <c r="A22" s="22" t="s">
        <v>856</v>
      </c>
      <c r="B22" s="23" t="s">
        <v>514</v>
      </c>
      <c r="C22" s="23">
        <v>35030</v>
      </c>
      <c r="D22" s="22">
        <f t="shared" ca="1" si="0"/>
        <v>30</v>
      </c>
      <c r="E22" s="22" t="s">
        <v>166</v>
      </c>
      <c r="F22" s="22"/>
      <c r="G22" s="23" t="s">
        <v>857</v>
      </c>
      <c r="H22" s="23">
        <v>46934</v>
      </c>
      <c r="I22" s="24" t="s">
        <v>26</v>
      </c>
      <c r="J22" s="25"/>
      <c r="K22" s="40" t="s">
        <v>858</v>
      </c>
      <c r="L22" s="22"/>
      <c r="M22" s="22"/>
      <c r="N22" s="22"/>
      <c r="O22" s="22"/>
      <c r="P22" s="22"/>
      <c r="Q22" s="22"/>
      <c r="R22" s="22"/>
      <c r="S22" s="22"/>
      <c r="T22" s="22" t="s">
        <v>41</v>
      </c>
      <c r="U22" s="23"/>
    </row>
    <row r="23" spans="1:21" ht="100" customHeight="1">
      <c r="A23" s="22" t="s">
        <v>859</v>
      </c>
      <c r="B23" s="23" t="s">
        <v>821</v>
      </c>
      <c r="C23" s="23">
        <v>38251</v>
      </c>
      <c r="D23" s="22">
        <f t="shared" ca="1" si="0"/>
        <v>22</v>
      </c>
      <c r="E23" s="22" t="s">
        <v>166</v>
      </c>
      <c r="F23" s="22" t="s">
        <v>860</v>
      </c>
      <c r="G23" s="23" t="s">
        <v>861</v>
      </c>
      <c r="H23" s="23">
        <v>47664</v>
      </c>
      <c r="I23" s="24"/>
      <c r="J23" s="25"/>
      <c r="K23" s="65" t="s">
        <v>862</v>
      </c>
      <c r="L23" s="22"/>
      <c r="M23" s="22"/>
      <c r="N23" s="22"/>
      <c r="O23" s="22"/>
      <c r="P23" s="22"/>
      <c r="Q23" s="22"/>
      <c r="R23" s="22"/>
      <c r="S23" s="22"/>
      <c r="T23" s="22"/>
      <c r="U23" s="23"/>
    </row>
    <row r="24" spans="1:21" ht="100" customHeight="1">
      <c r="A24" s="22" t="s">
        <v>863</v>
      </c>
      <c r="B24" s="23" t="s">
        <v>34</v>
      </c>
      <c r="C24" s="23">
        <v>34830</v>
      </c>
      <c r="D24" s="22">
        <f t="shared" ca="1" si="0"/>
        <v>31</v>
      </c>
      <c r="E24" s="22" t="s">
        <v>166</v>
      </c>
      <c r="F24" s="22" t="s">
        <v>864</v>
      </c>
      <c r="G24" s="23" t="s">
        <v>865</v>
      </c>
      <c r="H24" s="23">
        <v>47483</v>
      </c>
      <c r="I24" s="24"/>
      <c r="J24" s="25"/>
      <c r="K24" s="65" t="s">
        <v>866</v>
      </c>
      <c r="L24" s="22"/>
      <c r="M24" s="22"/>
      <c r="N24" s="22"/>
      <c r="O24" s="22"/>
      <c r="P24" s="22"/>
      <c r="Q24" s="22"/>
      <c r="R24" s="22"/>
      <c r="S24" s="22"/>
      <c r="T24" s="22"/>
      <c r="U24" s="23"/>
    </row>
    <row r="25" spans="1:21" ht="100" customHeight="1">
      <c r="A25" s="22" t="s">
        <v>867</v>
      </c>
      <c r="B25" s="23" t="s">
        <v>680</v>
      </c>
      <c r="C25" s="23">
        <v>37844</v>
      </c>
      <c r="D25" s="22">
        <f t="shared" ca="1" si="0"/>
        <v>23</v>
      </c>
      <c r="E25" s="22" t="s">
        <v>166</v>
      </c>
      <c r="F25" s="22" t="s">
        <v>868</v>
      </c>
      <c r="G25" s="23" t="s">
        <v>869</v>
      </c>
      <c r="H25" s="23">
        <v>46934</v>
      </c>
      <c r="I25" s="24"/>
      <c r="J25" s="25"/>
      <c r="K25" s="65" t="s">
        <v>870</v>
      </c>
      <c r="L25" s="22"/>
      <c r="M25" s="22"/>
      <c r="N25" s="22"/>
      <c r="O25" s="22"/>
      <c r="P25" s="22"/>
      <c r="Q25" s="22"/>
      <c r="R25" s="22"/>
      <c r="S25" s="22"/>
      <c r="T25" s="22"/>
      <c r="U25" s="23"/>
    </row>
    <row r="26" spans="1:21" ht="100" customHeight="1">
      <c r="A26" s="22" t="s">
        <v>871</v>
      </c>
      <c r="B26" s="23" t="s">
        <v>872</v>
      </c>
      <c r="C26" s="23">
        <v>35038</v>
      </c>
      <c r="D26" s="22">
        <f t="shared" ca="1" si="0"/>
        <v>30</v>
      </c>
      <c r="E26" s="22" t="s">
        <v>166</v>
      </c>
      <c r="F26" s="22" t="s">
        <v>873</v>
      </c>
      <c r="G26" s="23" t="s">
        <v>268</v>
      </c>
      <c r="H26" s="23" t="s">
        <v>51</v>
      </c>
      <c r="I26" s="24"/>
      <c r="J26" s="25"/>
      <c r="K26" s="65" t="s">
        <v>874</v>
      </c>
      <c r="L26" s="22"/>
      <c r="M26" s="22"/>
      <c r="N26" s="22"/>
      <c r="O26" s="22"/>
      <c r="P26" s="22"/>
      <c r="Q26" s="22"/>
      <c r="R26" s="22"/>
      <c r="S26" s="22"/>
      <c r="T26" s="22"/>
      <c r="U26" s="23"/>
    </row>
    <row r="27" spans="1:21" ht="100" customHeight="1">
      <c r="A27" s="22" t="s">
        <v>875</v>
      </c>
      <c r="B27" s="23" t="s">
        <v>784</v>
      </c>
      <c r="C27" s="23">
        <v>35754</v>
      </c>
      <c r="D27" s="22">
        <f t="shared" ca="1" si="0"/>
        <v>28</v>
      </c>
      <c r="E27" s="22" t="s">
        <v>166</v>
      </c>
      <c r="F27" s="22" t="s">
        <v>876</v>
      </c>
      <c r="G27" s="23" t="s">
        <v>877</v>
      </c>
      <c r="H27" s="23" t="s">
        <v>51</v>
      </c>
      <c r="I27" s="24"/>
      <c r="J27" s="25"/>
      <c r="K27" s="65" t="s">
        <v>878</v>
      </c>
      <c r="L27" s="22"/>
      <c r="M27" s="22"/>
      <c r="N27" s="22"/>
      <c r="O27" s="22"/>
      <c r="P27" s="22"/>
      <c r="Q27" s="22"/>
      <c r="R27" s="22"/>
      <c r="S27" s="22"/>
      <c r="T27" s="22"/>
      <c r="U27" s="23"/>
    </row>
    <row r="28" spans="1:21" ht="100" customHeight="1">
      <c r="A28" s="22" t="s">
        <v>879</v>
      </c>
      <c r="B28" s="23" t="s">
        <v>880</v>
      </c>
      <c r="C28" s="23">
        <v>37612</v>
      </c>
      <c r="D28" s="22">
        <f t="shared" ca="1" si="0"/>
        <v>23</v>
      </c>
      <c r="E28" s="22" t="s">
        <v>166</v>
      </c>
      <c r="F28" s="22" t="s">
        <v>881</v>
      </c>
      <c r="G28" s="23" t="s">
        <v>882</v>
      </c>
      <c r="H28" s="23">
        <v>47299</v>
      </c>
      <c r="I28" s="24"/>
      <c r="J28" s="25"/>
      <c r="K28" s="25" t="s">
        <v>107</v>
      </c>
      <c r="L28" s="22"/>
      <c r="M28" s="22"/>
      <c r="N28" s="22"/>
      <c r="O28" s="22"/>
      <c r="P28" s="22"/>
      <c r="Q28" s="22"/>
      <c r="R28" s="22"/>
      <c r="S28" s="22"/>
      <c r="T28" s="22"/>
      <c r="U28" s="23"/>
    </row>
    <row r="29" spans="1:21" ht="100" customHeight="1">
      <c r="A29" s="22" t="s">
        <v>883</v>
      </c>
      <c r="B29" s="23" t="s">
        <v>246</v>
      </c>
      <c r="C29" s="23">
        <v>38264</v>
      </c>
      <c r="D29" s="22">
        <f t="shared" ca="1" si="0"/>
        <v>22</v>
      </c>
      <c r="E29" s="22" t="s">
        <v>166</v>
      </c>
      <c r="F29" s="22" t="s">
        <v>884</v>
      </c>
      <c r="G29" s="23" t="s">
        <v>885</v>
      </c>
      <c r="H29" s="23">
        <v>47483</v>
      </c>
      <c r="I29" s="24"/>
      <c r="J29" s="25"/>
      <c r="K29" s="65" t="s">
        <v>886</v>
      </c>
      <c r="L29" s="22"/>
      <c r="M29" s="22"/>
      <c r="N29" s="22"/>
      <c r="O29" s="22"/>
      <c r="P29" s="22"/>
      <c r="Q29" s="22"/>
      <c r="R29" s="22"/>
      <c r="S29" s="22"/>
      <c r="T29" s="22"/>
      <c r="U29" s="23"/>
    </row>
    <row r="30" spans="1:21" ht="100" customHeight="1">
      <c r="A30" s="22" t="s">
        <v>887</v>
      </c>
      <c r="B30" s="23" t="s">
        <v>888</v>
      </c>
      <c r="C30" s="23">
        <v>37760</v>
      </c>
      <c r="D30" s="22">
        <f t="shared" ca="1" si="0"/>
        <v>23</v>
      </c>
      <c r="E30" s="22" t="s">
        <v>166</v>
      </c>
      <c r="F30" s="22" t="s">
        <v>889</v>
      </c>
      <c r="G30" s="23" t="s">
        <v>890</v>
      </c>
      <c r="H30" s="23">
        <v>47299</v>
      </c>
      <c r="I30" s="24"/>
      <c r="J30" s="25"/>
      <c r="K30" s="65" t="s">
        <v>891</v>
      </c>
      <c r="L30" s="22"/>
      <c r="M30" s="22"/>
      <c r="N30" s="22"/>
      <c r="O30" s="22"/>
      <c r="P30" s="22"/>
      <c r="Q30" s="22"/>
      <c r="R30" s="22"/>
      <c r="S30" s="22"/>
      <c r="T30" s="22"/>
      <c r="U30" s="23"/>
    </row>
    <row r="31" spans="1:21" ht="100" customHeight="1">
      <c r="A31" s="22" t="s">
        <v>892</v>
      </c>
      <c r="B31" s="23" t="s">
        <v>410</v>
      </c>
      <c r="C31" s="23">
        <v>38038</v>
      </c>
      <c r="D31" s="22">
        <f t="shared" ca="1" si="0"/>
        <v>22</v>
      </c>
      <c r="E31" s="22" t="s">
        <v>166</v>
      </c>
      <c r="F31" s="22" t="s">
        <v>893</v>
      </c>
      <c r="G31" s="23" t="s">
        <v>394</v>
      </c>
      <c r="H31" s="23">
        <v>46934</v>
      </c>
      <c r="I31" s="24"/>
      <c r="J31" s="25"/>
      <c r="K31" s="65" t="s">
        <v>894</v>
      </c>
      <c r="L31" s="22"/>
      <c r="M31" s="22"/>
      <c r="N31" s="22"/>
      <c r="O31" s="22"/>
      <c r="P31" s="22"/>
      <c r="Q31" s="22"/>
      <c r="R31" s="22"/>
      <c r="S31" s="22"/>
      <c r="T31" s="22"/>
      <c r="U31" s="23"/>
    </row>
    <row r="32" spans="1:21" ht="100" customHeight="1">
      <c r="A32" s="22" t="s">
        <v>895</v>
      </c>
      <c r="B32" s="23"/>
      <c r="C32" s="23"/>
      <c r="D32" s="22" t="str">
        <f t="shared" ca="1" si="0"/>
        <v/>
      </c>
      <c r="E32" s="22" t="s">
        <v>166</v>
      </c>
      <c r="F32" s="22"/>
      <c r="G32" s="23"/>
      <c r="H32" s="23" t="s">
        <v>51</v>
      </c>
      <c r="I32" s="24"/>
      <c r="J32" s="25"/>
      <c r="K32" s="65" t="s">
        <v>896</v>
      </c>
      <c r="L32" s="22"/>
      <c r="M32" s="22"/>
      <c r="N32" s="22"/>
      <c r="O32" s="22"/>
      <c r="P32" s="22"/>
      <c r="Q32" s="22"/>
      <c r="R32" s="22"/>
      <c r="S32" s="22"/>
      <c r="T32" s="22"/>
      <c r="U32" s="23"/>
    </row>
    <row r="33" spans="1:21" ht="100" customHeight="1">
      <c r="A33" s="22" t="s">
        <v>897</v>
      </c>
      <c r="B33" s="23"/>
      <c r="C33" s="23"/>
      <c r="D33" s="22" t="str">
        <f t="shared" ca="1" si="0"/>
        <v/>
      </c>
      <c r="E33" s="22" t="s">
        <v>166</v>
      </c>
      <c r="F33" s="22"/>
      <c r="G33" s="23"/>
      <c r="H33" s="23" t="s">
        <v>51</v>
      </c>
      <c r="I33" s="24"/>
      <c r="J33" s="25"/>
      <c r="K33" s="65" t="s">
        <v>898</v>
      </c>
      <c r="L33" s="22"/>
      <c r="M33" s="22"/>
      <c r="N33" s="22"/>
      <c r="O33" s="22"/>
      <c r="P33" s="22"/>
      <c r="Q33" s="22"/>
      <c r="R33" s="22"/>
      <c r="S33" s="22"/>
      <c r="T33" s="22"/>
      <c r="U33" s="23"/>
    </row>
    <row r="34" spans="1:21" ht="100" customHeight="1">
      <c r="A34" s="22" t="s">
        <v>899</v>
      </c>
      <c r="B34" s="23"/>
      <c r="C34" s="23"/>
      <c r="D34" s="22" t="str">
        <f t="shared" ca="1" si="0"/>
        <v/>
      </c>
      <c r="E34" s="22" t="s">
        <v>166</v>
      </c>
      <c r="F34" s="22"/>
      <c r="G34" s="23"/>
      <c r="H34" s="23" t="s">
        <v>51</v>
      </c>
      <c r="I34" s="24"/>
      <c r="J34" s="25"/>
      <c r="K34" s="65" t="s">
        <v>900</v>
      </c>
      <c r="L34" s="22"/>
      <c r="M34" s="22"/>
      <c r="N34" s="22"/>
      <c r="O34" s="22"/>
      <c r="P34" s="22"/>
      <c r="Q34" s="22"/>
      <c r="R34" s="22"/>
      <c r="S34" s="22"/>
      <c r="T34" s="22"/>
      <c r="U34" s="23"/>
    </row>
    <row r="35" spans="1:21" ht="100" customHeight="1">
      <c r="A35" s="22" t="s">
        <v>901</v>
      </c>
      <c r="B35" s="23" t="s">
        <v>902</v>
      </c>
      <c r="C35" s="23">
        <v>38430</v>
      </c>
      <c r="D35" s="22">
        <f t="shared" ca="1" si="0"/>
        <v>21</v>
      </c>
      <c r="E35" s="22" t="s">
        <v>166</v>
      </c>
      <c r="F35" s="22" t="s">
        <v>903</v>
      </c>
      <c r="G35" s="23" t="s">
        <v>904</v>
      </c>
      <c r="H35" s="23">
        <v>48029</v>
      </c>
      <c r="I35" s="24"/>
      <c r="J35" s="25"/>
      <c r="K35" s="65" t="s">
        <v>905</v>
      </c>
      <c r="L35" s="22"/>
      <c r="M35" s="22"/>
      <c r="N35" s="22"/>
      <c r="O35" s="22"/>
      <c r="P35" s="22"/>
      <c r="Q35" s="22"/>
      <c r="R35" s="22"/>
      <c r="S35" s="22"/>
      <c r="T35" s="22"/>
      <c r="U35" s="23"/>
    </row>
    <row r="36" spans="1:21" ht="100" customHeight="1">
      <c r="A36" s="22" t="s">
        <v>906</v>
      </c>
      <c r="B36" s="23"/>
      <c r="C36" s="23"/>
      <c r="D36" s="22" t="str">
        <f t="shared" ref="D36:D67" ca="1" si="1">IF(C36="","",DATEDIF(C36,TODAY(),"Y"))</f>
        <v/>
      </c>
      <c r="E36" s="22" t="s">
        <v>166</v>
      </c>
      <c r="F36" s="22"/>
      <c r="G36" s="23"/>
      <c r="H36" s="23" t="s">
        <v>51</v>
      </c>
      <c r="I36" s="24"/>
      <c r="J36" s="25"/>
      <c r="K36" s="65" t="s">
        <v>907</v>
      </c>
      <c r="L36" s="22"/>
      <c r="M36" s="22"/>
      <c r="N36" s="22"/>
      <c r="O36" s="22"/>
      <c r="P36" s="22"/>
      <c r="Q36" s="22"/>
      <c r="R36" s="22"/>
      <c r="S36" s="22"/>
      <c r="T36" s="22"/>
      <c r="U36" s="23"/>
    </row>
    <row r="37" spans="1:21" ht="100" customHeight="1">
      <c r="A37" s="22" t="s">
        <v>908</v>
      </c>
      <c r="B37" s="23" t="s">
        <v>280</v>
      </c>
      <c r="C37" s="23">
        <v>38237</v>
      </c>
      <c r="D37" s="22">
        <f t="shared" ca="1" si="1"/>
        <v>22</v>
      </c>
      <c r="E37" s="22" t="s">
        <v>166</v>
      </c>
      <c r="F37" s="22" t="s">
        <v>909</v>
      </c>
      <c r="G37" s="23" t="s">
        <v>910</v>
      </c>
      <c r="H37" s="23">
        <v>46934</v>
      </c>
      <c r="I37" s="24"/>
      <c r="J37" s="25"/>
      <c r="K37" s="65" t="s">
        <v>911</v>
      </c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00" customHeight="1">
      <c r="A38" s="22" t="s">
        <v>912</v>
      </c>
      <c r="B38" s="23"/>
      <c r="C38" s="23"/>
      <c r="D38" s="22" t="str">
        <f t="shared" ca="1" si="1"/>
        <v/>
      </c>
      <c r="E38" s="22" t="s">
        <v>166</v>
      </c>
      <c r="F38" s="22"/>
      <c r="G38" s="23"/>
      <c r="H38" s="23" t="s">
        <v>51</v>
      </c>
      <c r="I38" s="24"/>
      <c r="J38" s="25"/>
      <c r="K38" s="65" t="s">
        <v>913</v>
      </c>
      <c r="L38" s="22"/>
      <c r="M38" s="22"/>
      <c r="N38" s="22"/>
      <c r="O38" s="22"/>
      <c r="P38" s="22"/>
      <c r="Q38" s="22"/>
      <c r="R38" s="22"/>
      <c r="S38" s="22"/>
      <c r="T38" s="22"/>
      <c r="U38" s="23"/>
    </row>
    <row r="39" spans="1:21" ht="100" customHeight="1">
      <c r="A39" s="22" t="s">
        <v>914</v>
      </c>
      <c r="B39" s="23"/>
      <c r="C39" s="23"/>
      <c r="D39" s="22" t="str">
        <f t="shared" ca="1" si="1"/>
        <v/>
      </c>
      <c r="E39" s="22" t="s">
        <v>166</v>
      </c>
      <c r="F39" s="22"/>
      <c r="G39" s="23"/>
      <c r="H39" s="23" t="s">
        <v>51</v>
      </c>
      <c r="I39" s="24"/>
      <c r="J39" s="25"/>
      <c r="K39" s="65" t="s">
        <v>915</v>
      </c>
      <c r="L39" s="22"/>
      <c r="M39" s="22"/>
      <c r="N39" s="22"/>
      <c r="O39" s="22"/>
      <c r="P39" s="22"/>
      <c r="Q39" s="22"/>
      <c r="R39" s="22"/>
      <c r="S39" s="22"/>
      <c r="T39" s="22"/>
      <c r="U39" s="23"/>
    </row>
    <row r="40" spans="1:21" ht="100" customHeight="1">
      <c r="A40" s="22" t="s">
        <v>916</v>
      </c>
      <c r="B40" s="23" t="s">
        <v>536</v>
      </c>
      <c r="C40" s="23"/>
      <c r="D40" s="22" t="str">
        <f t="shared" ca="1" si="1"/>
        <v/>
      </c>
      <c r="E40" s="22" t="s">
        <v>166</v>
      </c>
      <c r="F40" s="22" t="s">
        <v>917</v>
      </c>
      <c r="G40" s="23"/>
      <c r="H40" s="23" t="s">
        <v>51</v>
      </c>
      <c r="I40" s="24"/>
      <c r="J40" s="25"/>
      <c r="K40" s="65" t="s">
        <v>918</v>
      </c>
      <c r="L40" s="22"/>
      <c r="M40" s="22"/>
      <c r="N40" s="22"/>
      <c r="O40" s="22"/>
      <c r="P40" s="22"/>
      <c r="Q40" s="22"/>
      <c r="R40" s="22"/>
      <c r="S40" s="22"/>
      <c r="T40" s="22"/>
      <c r="U40" s="23"/>
    </row>
    <row r="41" spans="1:21" ht="100" customHeight="1">
      <c r="A41" s="22" t="s">
        <v>919</v>
      </c>
      <c r="B41" s="23" t="s">
        <v>34</v>
      </c>
      <c r="C41" s="23"/>
      <c r="D41" s="22" t="str">
        <f t="shared" ca="1" si="1"/>
        <v/>
      </c>
      <c r="E41" s="22" t="s">
        <v>166</v>
      </c>
      <c r="F41" s="22" t="s">
        <v>920</v>
      </c>
      <c r="G41" s="23"/>
      <c r="H41" s="23" t="s">
        <v>51</v>
      </c>
      <c r="I41" s="24"/>
      <c r="J41" s="25"/>
      <c r="K41" s="65" t="s">
        <v>921</v>
      </c>
      <c r="L41" s="22"/>
      <c r="M41" s="22"/>
      <c r="N41" s="22"/>
      <c r="O41" s="22"/>
      <c r="P41" s="22"/>
      <c r="Q41" s="22"/>
      <c r="R41" s="22"/>
      <c r="S41" s="22"/>
      <c r="T41" s="22"/>
      <c r="U41" s="23"/>
    </row>
    <row r="42" spans="1:21" ht="100" customHeight="1">
      <c r="A42" s="22"/>
      <c r="B42" s="23"/>
      <c r="C42" s="23"/>
      <c r="D42" s="22" t="str">
        <f t="shared" ca="1" si="1"/>
        <v/>
      </c>
      <c r="E42" s="22" t="s">
        <v>166</v>
      </c>
      <c r="F42" s="22"/>
      <c r="G42" s="23"/>
      <c r="H42" s="23"/>
      <c r="I42" s="24"/>
      <c r="J42" s="25"/>
      <c r="K42" s="25"/>
      <c r="L42" s="22"/>
      <c r="M42" s="22"/>
      <c r="N42" s="22"/>
      <c r="O42" s="22"/>
      <c r="P42" s="22"/>
      <c r="Q42" s="22"/>
      <c r="R42" s="22"/>
      <c r="S42" s="22"/>
      <c r="T42" s="22"/>
      <c r="U42" s="23"/>
    </row>
    <row r="43" spans="1:21" ht="100" customHeight="1">
      <c r="A43" s="22"/>
      <c r="B43" s="23"/>
      <c r="C43" s="23"/>
      <c r="D43" s="22" t="str">
        <f t="shared" ca="1" si="1"/>
        <v/>
      </c>
      <c r="E43" s="22" t="s">
        <v>166</v>
      </c>
      <c r="F43" s="22"/>
      <c r="G43" s="23"/>
      <c r="H43" s="23"/>
      <c r="I43" s="24"/>
      <c r="J43" s="25"/>
      <c r="K43" s="25"/>
      <c r="L43" s="22"/>
      <c r="M43" s="22"/>
      <c r="N43" s="22"/>
      <c r="O43" s="22"/>
      <c r="P43" s="22"/>
      <c r="Q43" s="22"/>
      <c r="R43" s="22"/>
      <c r="S43" s="22"/>
      <c r="T43" s="22"/>
      <c r="U43" s="23"/>
    </row>
    <row r="44" spans="1:21" ht="100" customHeight="1">
      <c r="A44" s="22"/>
      <c r="B44" s="23"/>
      <c r="C44" s="23"/>
      <c r="D44" s="22" t="str">
        <f t="shared" ca="1" si="1"/>
        <v/>
      </c>
      <c r="E44" s="22" t="s">
        <v>166</v>
      </c>
      <c r="F44" s="22"/>
      <c r="G44" s="23"/>
      <c r="H44" s="23"/>
      <c r="I44" s="24"/>
      <c r="J44" s="25"/>
      <c r="K44" s="25"/>
      <c r="L44" s="22"/>
      <c r="M44" s="22"/>
      <c r="N44" s="22"/>
      <c r="O44" s="22"/>
      <c r="P44" s="22"/>
      <c r="Q44" s="22"/>
      <c r="R44" s="22"/>
      <c r="S44" s="22"/>
      <c r="T44" s="22"/>
      <c r="U44" s="23"/>
    </row>
    <row r="45" spans="1:21" ht="100" customHeight="1">
      <c r="A45" s="22"/>
      <c r="B45" s="23"/>
      <c r="C45" s="23"/>
      <c r="D45" s="22" t="str">
        <f t="shared" ca="1" si="1"/>
        <v/>
      </c>
      <c r="E45" s="22" t="s">
        <v>166</v>
      </c>
      <c r="F45" s="22"/>
      <c r="G45" s="23"/>
      <c r="H45" s="23"/>
      <c r="I45" s="24"/>
      <c r="J45" s="25"/>
      <c r="K45" s="25"/>
      <c r="L45" s="22"/>
      <c r="M45" s="22"/>
      <c r="N45" s="22"/>
      <c r="O45" s="22"/>
      <c r="P45" s="22"/>
      <c r="Q45" s="22"/>
      <c r="R45" s="22"/>
      <c r="S45" s="22"/>
      <c r="T45" s="22"/>
      <c r="U45" s="23"/>
    </row>
    <row r="46" spans="1:21" ht="100" customHeight="1">
      <c r="A46" s="22"/>
      <c r="B46" s="23"/>
      <c r="C46" s="23"/>
      <c r="D46" s="22" t="str">
        <f t="shared" ca="1" si="1"/>
        <v/>
      </c>
      <c r="E46" s="22" t="s">
        <v>166</v>
      </c>
      <c r="F46" s="22"/>
      <c r="G46" s="23"/>
      <c r="H46" s="23"/>
      <c r="I46" s="24"/>
      <c r="J46" s="25"/>
      <c r="K46" s="25"/>
      <c r="L46" s="22"/>
      <c r="M46" s="22"/>
      <c r="N46" s="22"/>
      <c r="O46" s="22"/>
      <c r="P46" s="22"/>
      <c r="Q46" s="22"/>
      <c r="R46" s="22"/>
      <c r="S46" s="22"/>
      <c r="T46" s="22"/>
      <c r="U46" s="23"/>
    </row>
    <row r="47" spans="1:21" ht="100" customHeight="1">
      <c r="A47" s="22"/>
      <c r="B47" s="23"/>
      <c r="C47" s="23"/>
      <c r="D47" s="22" t="str">
        <f t="shared" ca="1" si="1"/>
        <v/>
      </c>
      <c r="E47" s="22" t="s">
        <v>166</v>
      </c>
      <c r="F47" s="22"/>
      <c r="G47" s="23"/>
      <c r="H47" s="23"/>
      <c r="I47" s="24"/>
      <c r="J47" s="25"/>
      <c r="K47" s="25"/>
      <c r="L47" s="22"/>
      <c r="M47" s="22"/>
      <c r="N47" s="22"/>
      <c r="O47" s="22"/>
      <c r="P47" s="22"/>
      <c r="Q47" s="22"/>
      <c r="R47" s="22"/>
      <c r="S47" s="22"/>
      <c r="T47" s="22"/>
      <c r="U47" s="23"/>
    </row>
    <row r="48" spans="1:21" ht="100" customHeight="1">
      <c r="A48" s="22"/>
      <c r="B48" s="23"/>
      <c r="C48" s="23"/>
      <c r="D48" s="22" t="str">
        <f t="shared" ca="1" si="1"/>
        <v/>
      </c>
      <c r="E48" s="22" t="s">
        <v>166</v>
      </c>
      <c r="F48" s="22"/>
      <c r="G48" s="23"/>
      <c r="H48" s="23"/>
      <c r="I48" s="24"/>
      <c r="J48" s="25"/>
      <c r="K48" s="25"/>
      <c r="L48" s="22"/>
      <c r="M48" s="22"/>
      <c r="N48" s="22"/>
      <c r="O48" s="22"/>
      <c r="P48" s="22"/>
      <c r="Q48" s="22"/>
      <c r="R48" s="22"/>
      <c r="S48" s="22"/>
      <c r="T48" s="22"/>
      <c r="U48" s="23"/>
    </row>
    <row r="49" spans="1:21" ht="100" customHeight="1">
      <c r="A49" s="22"/>
      <c r="B49" s="23"/>
      <c r="C49" s="23"/>
      <c r="D49" s="22" t="str">
        <f t="shared" ca="1" si="1"/>
        <v/>
      </c>
      <c r="E49" s="22" t="s">
        <v>166</v>
      </c>
      <c r="F49" s="22"/>
      <c r="G49" s="23"/>
      <c r="H49" s="23"/>
      <c r="I49" s="24"/>
      <c r="J49" s="25"/>
      <c r="K49" s="25"/>
      <c r="L49" s="22"/>
      <c r="M49" s="22"/>
      <c r="N49" s="22"/>
      <c r="O49" s="22"/>
      <c r="P49" s="22"/>
      <c r="Q49" s="22"/>
      <c r="R49" s="22"/>
      <c r="S49" s="22"/>
      <c r="T49" s="22"/>
      <c r="U49" s="23"/>
    </row>
    <row r="50" spans="1:21" ht="100" customHeight="1">
      <c r="A50" s="22"/>
      <c r="B50" s="23"/>
      <c r="C50" s="23"/>
      <c r="D50" s="22" t="str">
        <f t="shared" ca="1" si="1"/>
        <v/>
      </c>
      <c r="E50" s="22" t="s">
        <v>166</v>
      </c>
      <c r="F50" s="22"/>
      <c r="G50" s="23"/>
      <c r="H50" s="23"/>
      <c r="I50" s="24"/>
      <c r="J50" s="25"/>
      <c r="K50" s="25"/>
      <c r="L50" s="22"/>
      <c r="M50" s="22"/>
      <c r="N50" s="22"/>
      <c r="O50" s="22"/>
      <c r="P50" s="22"/>
      <c r="Q50" s="22"/>
      <c r="R50" s="22"/>
      <c r="S50" s="22"/>
      <c r="T50" s="22"/>
      <c r="U50" s="23"/>
    </row>
    <row r="51" spans="1:21" ht="100" customHeight="1">
      <c r="A51" s="22"/>
      <c r="B51" s="23"/>
      <c r="C51" s="23"/>
      <c r="D51" s="22" t="str">
        <f t="shared" ca="1" si="1"/>
        <v/>
      </c>
      <c r="E51" s="22" t="s">
        <v>166</v>
      </c>
      <c r="F51" s="22"/>
      <c r="G51" s="23"/>
      <c r="H51" s="23"/>
      <c r="I51" s="24"/>
      <c r="J51" s="25"/>
      <c r="K51" s="25"/>
      <c r="L51" s="22"/>
      <c r="M51" s="22"/>
      <c r="N51" s="22"/>
      <c r="O51" s="22"/>
      <c r="P51" s="22"/>
      <c r="Q51" s="22"/>
      <c r="R51" s="22"/>
      <c r="S51" s="22"/>
      <c r="T51" s="22"/>
      <c r="U51" s="23"/>
    </row>
    <row r="52" spans="1:21" ht="100" customHeight="1">
      <c r="A52" s="22"/>
      <c r="B52" s="23"/>
      <c r="C52" s="23"/>
      <c r="D52" s="22" t="str">
        <f t="shared" ca="1" si="1"/>
        <v/>
      </c>
      <c r="E52" s="22" t="s">
        <v>166</v>
      </c>
      <c r="F52" s="22"/>
      <c r="G52" s="23"/>
      <c r="H52" s="23"/>
      <c r="I52" s="24"/>
      <c r="J52" s="25"/>
      <c r="K52" s="25"/>
      <c r="L52" s="22"/>
      <c r="M52" s="22"/>
      <c r="N52" s="22"/>
      <c r="O52" s="22"/>
      <c r="P52" s="22"/>
      <c r="Q52" s="22"/>
      <c r="R52" s="22"/>
      <c r="S52" s="22"/>
      <c r="T52" s="22"/>
      <c r="U52" s="23"/>
    </row>
    <row r="53" spans="1:21" ht="100" customHeight="1">
      <c r="A53" s="22"/>
      <c r="B53" s="23"/>
      <c r="C53" s="23"/>
      <c r="D53" s="22" t="str">
        <f t="shared" ca="1" si="1"/>
        <v/>
      </c>
      <c r="E53" s="22" t="s">
        <v>166</v>
      </c>
      <c r="F53" s="22"/>
      <c r="G53" s="23"/>
      <c r="H53" s="23"/>
      <c r="I53" s="24"/>
      <c r="J53" s="25"/>
      <c r="K53" s="25"/>
      <c r="L53" s="22"/>
      <c r="M53" s="22"/>
      <c r="N53" s="22"/>
      <c r="O53" s="22"/>
      <c r="P53" s="22"/>
      <c r="Q53" s="22"/>
      <c r="R53" s="22"/>
      <c r="S53" s="22"/>
      <c r="T53" s="22"/>
      <c r="U53" s="23"/>
    </row>
    <row r="54" spans="1:21" ht="100" customHeight="1">
      <c r="A54" s="22"/>
      <c r="B54" s="23"/>
      <c r="C54" s="23"/>
      <c r="D54" s="22" t="str">
        <f t="shared" ca="1" si="1"/>
        <v/>
      </c>
      <c r="E54" s="22" t="s">
        <v>166</v>
      </c>
      <c r="F54" s="22"/>
      <c r="G54" s="23"/>
      <c r="H54" s="23"/>
      <c r="I54" s="24"/>
      <c r="J54" s="25"/>
      <c r="K54" s="25"/>
      <c r="L54" s="22"/>
      <c r="M54" s="22"/>
      <c r="N54" s="22"/>
      <c r="O54" s="22"/>
      <c r="P54" s="22"/>
      <c r="Q54" s="22"/>
      <c r="R54" s="22"/>
      <c r="S54" s="22"/>
      <c r="T54" s="22"/>
      <c r="U54" s="23"/>
    </row>
    <row r="55" spans="1:21" ht="100" customHeight="1">
      <c r="A55" s="22"/>
      <c r="B55" s="23"/>
      <c r="C55" s="23"/>
      <c r="D55" s="22" t="str">
        <f t="shared" ca="1" si="1"/>
        <v/>
      </c>
      <c r="E55" s="22" t="s">
        <v>166</v>
      </c>
      <c r="F55" s="22"/>
      <c r="G55" s="23"/>
      <c r="H55" s="23"/>
      <c r="I55" s="24"/>
      <c r="J55" s="25"/>
      <c r="K55" s="25"/>
      <c r="L55" s="22"/>
      <c r="M55" s="22"/>
      <c r="N55" s="22"/>
      <c r="O55" s="22"/>
      <c r="P55" s="22"/>
      <c r="Q55" s="22"/>
      <c r="R55" s="22"/>
      <c r="S55" s="22"/>
      <c r="T55" s="22"/>
      <c r="U55" s="23"/>
    </row>
    <row r="56" spans="1:21" ht="100" customHeight="1">
      <c r="A56" s="22"/>
      <c r="B56" s="23"/>
      <c r="C56" s="23"/>
      <c r="D56" s="22" t="str">
        <f t="shared" ca="1" si="1"/>
        <v/>
      </c>
      <c r="E56" s="22" t="s">
        <v>166</v>
      </c>
      <c r="F56" s="22"/>
      <c r="G56" s="23"/>
      <c r="H56" s="23"/>
      <c r="I56" s="24"/>
      <c r="J56" s="25"/>
      <c r="K56" s="25"/>
      <c r="L56" s="22"/>
      <c r="M56" s="22"/>
      <c r="N56" s="22"/>
      <c r="O56" s="22"/>
      <c r="P56" s="22"/>
      <c r="Q56" s="22"/>
      <c r="R56" s="22"/>
      <c r="S56" s="22"/>
      <c r="T56" s="22"/>
      <c r="U56" s="23"/>
    </row>
    <row r="57" spans="1:21" ht="100" customHeight="1">
      <c r="A57" s="22"/>
      <c r="B57" s="23"/>
      <c r="C57" s="23"/>
      <c r="D57" s="22" t="str">
        <f t="shared" ca="1" si="1"/>
        <v/>
      </c>
      <c r="E57" s="22" t="s">
        <v>166</v>
      </c>
      <c r="F57" s="22"/>
      <c r="G57" s="23"/>
      <c r="H57" s="23"/>
      <c r="I57" s="24"/>
      <c r="J57" s="25"/>
      <c r="K57" s="25"/>
      <c r="L57" s="22"/>
      <c r="M57" s="22"/>
      <c r="N57" s="22"/>
      <c r="O57" s="22"/>
      <c r="P57" s="22"/>
      <c r="Q57" s="22"/>
      <c r="R57" s="22"/>
      <c r="S57" s="22"/>
      <c r="T57" s="22"/>
      <c r="U57" s="23"/>
    </row>
    <row r="58" spans="1:21" ht="100" customHeight="1">
      <c r="A58" s="22"/>
      <c r="B58" s="23"/>
      <c r="C58" s="23"/>
      <c r="D58" s="22" t="str">
        <f t="shared" ca="1" si="1"/>
        <v/>
      </c>
      <c r="E58" s="22" t="s">
        <v>166</v>
      </c>
      <c r="F58" s="22"/>
      <c r="G58" s="23"/>
      <c r="H58" s="23"/>
      <c r="I58" s="24"/>
      <c r="J58" s="25"/>
      <c r="K58" s="25"/>
      <c r="L58" s="22"/>
      <c r="M58" s="22"/>
      <c r="N58" s="22"/>
      <c r="O58" s="22"/>
      <c r="P58" s="22"/>
      <c r="Q58" s="22"/>
      <c r="R58" s="22"/>
      <c r="S58" s="22"/>
      <c r="T58" s="22"/>
      <c r="U58" s="23"/>
    </row>
    <row r="59" spans="1:21" ht="100" customHeight="1">
      <c r="A59" s="22"/>
      <c r="B59" s="23"/>
      <c r="C59" s="23"/>
      <c r="D59" s="22" t="str">
        <f t="shared" ca="1" si="1"/>
        <v/>
      </c>
      <c r="E59" s="22" t="s">
        <v>166</v>
      </c>
      <c r="F59" s="22"/>
      <c r="G59" s="23"/>
      <c r="H59" s="23"/>
      <c r="I59" s="24"/>
      <c r="J59" s="25"/>
      <c r="K59" s="25"/>
      <c r="L59" s="22"/>
      <c r="M59" s="22"/>
      <c r="N59" s="22"/>
      <c r="O59" s="22"/>
      <c r="P59" s="22"/>
      <c r="Q59" s="22"/>
      <c r="R59" s="22"/>
      <c r="S59" s="22"/>
      <c r="T59" s="22"/>
      <c r="U59" s="23"/>
    </row>
    <row r="60" spans="1:21" ht="100" customHeight="1">
      <c r="A60" s="22"/>
      <c r="B60" s="23"/>
      <c r="C60" s="23"/>
      <c r="D60" s="22" t="str">
        <f t="shared" ca="1" si="1"/>
        <v/>
      </c>
      <c r="E60" s="22" t="s">
        <v>166</v>
      </c>
      <c r="F60" s="22"/>
      <c r="G60" s="23"/>
      <c r="H60" s="23"/>
      <c r="I60" s="24"/>
      <c r="J60" s="25"/>
      <c r="K60" s="25"/>
      <c r="L60" s="22"/>
      <c r="M60" s="22"/>
      <c r="N60" s="22"/>
      <c r="O60" s="22"/>
      <c r="P60" s="22"/>
      <c r="Q60" s="22"/>
      <c r="R60" s="22"/>
      <c r="S60" s="22"/>
      <c r="T60" s="22"/>
      <c r="U60" s="23"/>
    </row>
    <row r="61" spans="1:21" ht="100" customHeight="1">
      <c r="A61" s="22"/>
      <c r="B61" s="23"/>
      <c r="C61" s="23"/>
      <c r="D61" s="22" t="str">
        <f t="shared" ca="1" si="1"/>
        <v/>
      </c>
      <c r="E61" s="22" t="s">
        <v>166</v>
      </c>
      <c r="F61" s="22"/>
      <c r="G61" s="23"/>
      <c r="H61" s="23"/>
      <c r="I61" s="24"/>
      <c r="J61" s="25"/>
      <c r="K61" s="25"/>
      <c r="L61" s="22"/>
      <c r="M61" s="22"/>
      <c r="N61" s="22"/>
      <c r="O61" s="22"/>
      <c r="P61" s="22"/>
      <c r="Q61" s="22"/>
      <c r="R61" s="22"/>
      <c r="S61" s="22"/>
      <c r="T61" s="22"/>
      <c r="U61" s="23"/>
    </row>
    <row r="62" spans="1:21" ht="100" customHeight="1">
      <c r="A62" s="22"/>
      <c r="B62" s="23"/>
      <c r="C62" s="23"/>
      <c r="D62" s="22" t="str">
        <f t="shared" ca="1" si="1"/>
        <v/>
      </c>
      <c r="E62" s="22" t="s">
        <v>166</v>
      </c>
      <c r="F62" s="22"/>
      <c r="G62" s="23"/>
      <c r="H62" s="23"/>
      <c r="I62" s="24"/>
      <c r="J62" s="25"/>
      <c r="K62" s="25"/>
      <c r="L62" s="22"/>
      <c r="M62" s="22"/>
      <c r="N62" s="22"/>
      <c r="O62" s="22"/>
      <c r="P62" s="22"/>
      <c r="Q62" s="22"/>
      <c r="R62" s="22"/>
      <c r="S62" s="22"/>
      <c r="T62" s="22"/>
      <c r="U62" s="23"/>
    </row>
    <row r="63" spans="1:21" ht="100" customHeight="1">
      <c r="A63" s="22"/>
      <c r="B63" s="23"/>
      <c r="C63" s="23"/>
      <c r="D63" s="22" t="str">
        <f t="shared" ca="1" si="1"/>
        <v/>
      </c>
      <c r="E63" s="22" t="s">
        <v>166</v>
      </c>
      <c r="F63" s="22"/>
      <c r="G63" s="23"/>
      <c r="H63" s="23"/>
      <c r="I63" s="24"/>
      <c r="J63" s="25"/>
      <c r="K63" s="25"/>
      <c r="L63" s="22"/>
      <c r="M63" s="22"/>
      <c r="N63" s="22"/>
      <c r="O63" s="22"/>
      <c r="P63" s="22"/>
      <c r="Q63" s="22"/>
      <c r="R63" s="22"/>
      <c r="S63" s="22"/>
      <c r="T63" s="22"/>
      <c r="U63" s="23"/>
    </row>
    <row r="64" spans="1:21" ht="100" customHeight="1">
      <c r="A64" s="22"/>
      <c r="B64" s="23"/>
      <c r="C64" s="23"/>
      <c r="D64" s="22" t="str">
        <f t="shared" ca="1" si="1"/>
        <v/>
      </c>
      <c r="E64" s="22" t="s">
        <v>166</v>
      </c>
      <c r="F64" s="22"/>
      <c r="G64" s="23"/>
      <c r="H64" s="23"/>
      <c r="I64" s="24"/>
      <c r="J64" s="25"/>
      <c r="K64" s="25"/>
      <c r="L64" s="22"/>
      <c r="M64" s="22"/>
      <c r="N64" s="22"/>
      <c r="O64" s="22"/>
      <c r="P64" s="22"/>
      <c r="Q64" s="22"/>
      <c r="R64" s="22"/>
      <c r="S64" s="22"/>
      <c r="T64" s="22"/>
      <c r="U64" s="23"/>
    </row>
    <row r="65" spans="1:21" ht="100" customHeight="1">
      <c r="A65" s="22"/>
      <c r="B65" s="23"/>
      <c r="C65" s="23"/>
      <c r="D65" s="22" t="str">
        <f t="shared" ca="1" si="1"/>
        <v/>
      </c>
      <c r="E65" s="22" t="s">
        <v>166</v>
      </c>
      <c r="F65" s="22"/>
      <c r="G65" s="23"/>
      <c r="H65" s="23"/>
      <c r="I65" s="24"/>
      <c r="J65" s="25"/>
      <c r="K65" s="25"/>
      <c r="L65" s="22"/>
      <c r="M65" s="22"/>
      <c r="N65" s="22"/>
      <c r="O65" s="22"/>
      <c r="P65" s="22"/>
      <c r="Q65" s="22"/>
      <c r="R65" s="22"/>
      <c r="S65" s="22"/>
      <c r="T65" s="22"/>
      <c r="U65" s="23"/>
    </row>
    <row r="66" spans="1:21" ht="100" customHeight="1">
      <c r="A66" s="22"/>
      <c r="B66" s="23"/>
      <c r="C66" s="23"/>
      <c r="D66" s="22" t="str">
        <f t="shared" ca="1" si="1"/>
        <v/>
      </c>
      <c r="E66" s="22" t="s">
        <v>166</v>
      </c>
      <c r="F66" s="22"/>
      <c r="G66" s="23"/>
      <c r="H66" s="23"/>
      <c r="I66" s="24"/>
      <c r="J66" s="25"/>
      <c r="K66" s="25"/>
      <c r="L66" s="22"/>
      <c r="M66" s="22"/>
      <c r="N66" s="22"/>
      <c r="O66" s="22"/>
      <c r="P66" s="22"/>
      <c r="Q66" s="22"/>
      <c r="R66" s="22"/>
      <c r="S66" s="22"/>
      <c r="T66" s="22"/>
      <c r="U66" s="23"/>
    </row>
    <row r="67" spans="1:21" ht="100" customHeight="1">
      <c r="A67" s="22"/>
      <c r="B67" s="23"/>
      <c r="C67" s="23"/>
      <c r="D67" s="22" t="str">
        <f t="shared" ca="1" si="1"/>
        <v/>
      </c>
      <c r="E67" s="22" t="s">
        <v>166</v>
      </c>
      <c r="F67" s="22"/>
      <c r="G67" s="23"/>
      <c r="H67" s="23"/>
      <c r="I67" s="24"/>
      <c r="J67" s="25"/>
      <c r="K67" s="25"/>
      <c r="L67" s="22"/>
      <c r="M67" s="22"/>
      <c r="N67" s="22"/>
      <c r="O67" s="22"/>
      <c r="P67" s="22"/>
      <c r="Q67" s="22"/>
      <c r="R67" s="22"/>
      <c r="S67" s="22"/>
      <c r="T67" s="22"/>
      <c r="U67" s="23"/>
    </row>
    <row r="68" spans="1:21" ht="100" customHeight="1">
      <c r="A68" s="22"/>
      <c r="B68" s="23"/>
      <c r="C68" s="23"/>
      <c r="D68" s="22" t="str">
        <f t="shared" ref="D68:D99" ca="1" si="2">IF(C68="","",DATEDIF(C68,TODAY(),"Y"))</f>
        <v/>
      </c>
      <c r="E68" s="22" t="s">
        <v>166</v>
      </c>
      <c r="F68" s="22"/>
      <c r="G68" s="23"/>
      <c r="H68" s="23"/>
      <c r="I68" s="24"/>
      <c r="J68" s="25"/>
      <c r="K68" s="25"/>
      <c r="L68" s="22"/>
      <c r="M68" s="22"/>
      <c r="N68" s="22"/>
      <c r="O68" s="22"/>
      <c r="P68" s="22"/>
      <c r="Q68" s="22"/>
      <c r="R68" s="22"/>
      <c r="S68" s="22"/>
      <c r="T68" s="22"/>
      <c r="U68" s="23"/>
    </row>
    <row r="69" spans="1:21" ht="100" customHeight="1">
      <c r="A69" s="22"/>
      <c r="B69" s="23"/>
      <c r="C69" s="23"/>
      <c r="D69" s="22" t="str">
        <f t="shared" ca="1" si="2"/>
        <v/>
      </c>
      <c r="E69" s="22" t="s">
        <v>166</v>
      </c>
      <c r="F69" s="22"/>
      <c r="G69" s="23"/>
      <c r="H69" s="23"/>
      <c r="I69" s="24"/>
      <c r="J69" s="25"/>
      <c r="K69" s="25"/>
      <c r="L69" s="22"/>
      <c r="M69" s="22"/>
      <c r="N69" s="22"/>
      <c r="O69" s="22"/>
      <c r="P69" s="22"/>
      <c r="Q69" s="22"/>
      <c r="R69" s="22"/>
      <c r="S69" s="22"/>
      <c r="T69" s="22"/>
      <c r="U69" s="23"/>
    </row>
    <row r="70" spans="1:21" ht="100" customHeight="1">
      <c r="A70" s="22"/>
      <c r="B70" s="23"/>
      <c r="C70" s="23"/>
      <c r="D70" s="22" t="str">
        <f t="shared" ca="1" si="2"/>
        <v/>
      </c>
      <c r="E70" s="22" t="s">
        <v>166</v>
      </c>
      <c r="F70" s="22"/>
      <c r="G70" s="23"/>
      <c r="H70" s="23"/>
      <c r="I70" s="24"/>
      <c r="J70" s="25"/>
      <c r="K70" s="25"/>
      <c r="L70" s="22"/>
      <c r="M70" s="22"/>
      <c r="N70" s="22"/>
      <c r="O70" s="22"/>
      <c r="P70" s="22"/>
      <c r="Q70" s="22"/>
      <c r="R70" s="22"/>
      <c r="S70" s="22"/>
      <c r="T70" s="22"/>
      <c r="U70" s="23"/>
    </row>
    <row r="71" spans="1:21" ht="100" customHeight="1">
      <c r="A71" s="22"/>
      <c r="B71" s="23"/>
      <c r="C71" s="23"/>
      <c r="D71" s="22" t="str">
        <f t="shared" ca="1" si="2"/>
        <v/>
      </c>
      <c r="E71" s="22" t="s">
        <v>166</v>
      </c>
      <c r="F71" s="22"/>
      <c r="G71" s="23"/>
      <c r="H71" s="23"/>
      <c r="I71" s="24"/>
      <c r="J71" s="25"/>
      <c r="K71" s="25"/>
      <c r="L71" s="22"/>
      <c r="M71" s="22"/>
      <c r="N71" s="22"/>
      <c r="O71" s="22"/>
      <c r="P71" s="22"/>
      <c r="Q71" s="22"/>
      <c r="R71" s="22"/>
      <c r="S71" s="22"/>
      <c r="T71" s="22"/>
      <c r="U71" s="23"/>
    </row>
    <row r="72" spans="1:21" ht="100" customHeight="1">
      <c r="A72" s="22"/>
      <c r="B72" s="23"/>
      <c r="C72" s="23"/>
      <c r="D72" s="22" t="str">
        <f t="shared" ca="1" si="2"/>
        <v/>
      </c>
      <c r="E72" s="22" t="s">
        <v>166</v>
      </c>
      <c r="F72" s="22"/>
      <c r="G72" s="23"/>
      <c r="H72" s="23"/>
      <c r="I72" s="24"/>
      <c r="J72" s="25"/>
      <c r="K72" s="25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00" customHeight="1">
      <c r="A73" s="22"/>
      <c r="B73" s="23"/>
      <c r="C73" s="23"/>
      <c r="D73" s="22" t="str">
        <f t="shared" ca="1" si="2"/>
        <v/>
      </c>
      <c r="E73" s="22" t="s">
        <v>166</v>
      </c>
      <c r="F73" s="22"/>
      <c r="G73" s="23"/>
      <c r="H73" s="23"/>
      <c r="I73" s="24"/>
      <c r="J73" s="25"/>
      <c r="K73" s="25"/>
      <c r="L73" s="22"/>
      <c r="M73" s="22"/>
      <c r="N73" s="22"/>
      <c r="O73" s="22"/>
      <c r="P73" s="22"/>
      <c r="Q73" s="22"/>
      <c r="R73" s="22"/>
      <c r="S73" s="22"/>
      <c r="T73" s="22"/>
      <c r="U73" s="23"/>
    </row>
    <row r="74" spans="1:21" ht="100" customHeight="1">
      <c r="A74" s="22"/>
      <c r="B74" s="23"/>
      <c r="C74" s="23"/>
      <c r="D74" s="22" t="str">
        <f t="shared" ca="1" si="2"/>
        <v/>
      </c>
      <c r="E74" s="22" t="s">
        <v>166</v>
      </c>
      <c r="F74" s="22"/>
      <c r="G74" s="23"/>
      <c r="H74" s="23"/>
      <c r="I74" s="24"/>
      <c r="J74" s="25"/>
      <c r="K74" s="25"/>
      <c r="L74" s="22"/>
      <c r="M74" s="22"/>
      <c r="N74" s="22"/>
      <c r="O74" s="22"/>
      <c r="P74" s="22"/>
      <c r="Q74" s="22"/>
      <c r="R74" s="22"/>
      <c r="S74" s="22"/>
      <c r="T74" s="22"/>
      <c r="U74" s="23"/>
    </row>
    <row r="75" spans="1:21" ht="100" customHeight="1">
      <c r="A75" s="22"/>
      <c r="B75" s="23"/>
      <c r="C75" s="23"/>
      <c r="D75" s="22" t="str">
        <f t="shared" ca="1" si="2"/>
        <v/>
      </c>
      <c r="E75" s="22" t="s">
        <v>166</v>
      </c>
      <c r="F75" s="22"/>
      <c r="G75" s="23"/>
      <c r="H75" s="23"/>
      <c r="I75" s="24"/>
      <c r="J75" s="25"/>
      <c r="K75" s="25"/>
      <c r="L75" s="22"/>
      <c r="M75" s="22"/>
      <c r="N75" s="22"/>
      <c r="O75" s="22"/>
      <c r="P75" s="22"/>
      <c r="Q75" s="22"/>
      <c r="R75" s="22"/>
      <c r="S75" s="22"/>
      <c r="T75" s="22"/>
      <c r="U75" s="23"/>
    </row>
    <row r="76" spans="1:21" ht="100" customHeight="1">
      <c r="A76" s="22"/>
      <c r="B76" s="23"/>
      <c r="C76" s="23"/>
      <c r="D76" s="22" t="str">
        <f t="shared" ca="1" si="2"/>
        <v/>
      </c>
      <c r="E76" s="22" t="s">
        <v>166</v>
      </c>
      <c r="F76" s="22"/>
      <c r="G76" s="23"/>
      <c r="H76" s="23"/>
      <c r="I76" s="24"/>
      <c r="J76" s="25"/>
      <c r="K76" s="25"/>
      <c r="L76" s="22"/>
      <c r="M76" s="22"/>
      <c r="N76" s="22"/>
      <c r="O76" s="22"/>
      <c r="P76" s="22"/>
      <c r="Q76" s="22"/>
      <c r="R76" s="22"/>
      <c r="S76" s="22"/>
      <c r="T76" s="22"/>
      <c r="U76" s="23"/>
    </row>
    <row r="77" spans="1:21" ht="100" customHeight="1">
      <c r="A77" s="22"/>
      <c r="B77" s="23"/>
      <c r="C77" s="23"/>
      <c r="D77" s="22" t="str">
        <f t="shared" ca="1" si="2"/>
        <v/>
      </c>
      <c r="E77" s="22" t="s">
        <v>166</v>
      </c>
      <c r="F77" s="22"/>
      <c r="G77" s="23"/>
      <c r="H77" s="23"/>
      <c r="I77" s="24"/>
      <c r="J77" s="25"/>
      <c r="K77" s="25"/>
      <c r="L77" s="22"/>
      <c r="M77" s="22"/>
      <c r="N77" s="22"/>
      <c r="O77" s="22"/>
      <c r="P77" s="22"/>
      <c r="Q77" s="22"/>
      <c r="R77" s="22"/>
      <c r="S77" s="22"/>
      <c r="T77" s="22"/>
      <c r="U77" s="23"/>
    </row>
    <row r="78" spans="1:21" ht="100" customHeight="1">
      <c r="A78" s="22"/>
      <c r="B78" s="23"/>
      <c r="C78" s="23"/>
      <c r="D78" s="22" t="str">
        <f t="shared" ca="1" si="2"/>
        <v/>
      </c>
      <c r="E78" s="22" t="s">
        <v>166</v>
      </c>
      <c r="F78" s="22"/>
      <c r="G78" s="23"/>
      <c r="H78" s="23"/>
      <c r="I78" s="24"/>
      <c r="J78" s="25"/>
      <c r="K78" s="25"/>
      <c r="L78" s="22"/>
      <c r="M78" s="22"/>
      <c r="N78" s="22"/>
      <c r="O78" s="22"/>
      <c r="P78" s="22"/>
      <c r="Q78" s="22"/>
      <c r="R78" s="22"/>
      <c r="S78" s="22"/>
      <c r="T78" s="22"/>
      <c r="U78" s="23"/>
    </row>
    <row r="79" spans="1:21" ht="100" customHeight="1">
      <c r="A79" s="22"/>
      <c r="B79" s="23"/>
      <c r="C79" s="23"/>
      <c r="D79" s="22" t="str">
        <f t="shared" ca="1" si="2"/>
        <v/>
      </c>
      <c r="E79" s="22" t="s">
        <v>166</v>
      </c>
      <c r="F79" s="22"/>
      <c r="G79" s="23"/>
      <c r="H79" s="23"/>
      <c r="I79" s="24"/>
      <c r="J79" s="25"/>
      <c r="K79" s="25"/>
      <c r="L79" s="22"/>
      <c r="M79" s="22"/>
      <c r="N79" s="22"/>
      <c r="O79" s="22"/>
      <c r="P79" s="22"/>
      <c r="Q79" s="22"/>
      <c r="R79" s="22"/>
      <c r="S79" s="22"/>
      <c r="T79" s="22"/>
      <c r="U79" s="23"/>
    </row>
    <row r="80" spans="1:21" ht="100" customHeight="1">
      <c r="A80" s="22"/>
      <c r="B80" s="23"/>
      <c r="C80" s="23"/>
      <c r="D80" s="22" t="str">
        <f t="shared" ca="1" si="2"/>
        <v/>
      </c>
      <c r="E80" s="22" t="s">
        <v>166</v>
      </c>
      <c r="F80" s="22"/>
      <c r="G80" s="23"/>
      <c r="H80" s="23"/>
      <c r="I80" s="24"/>
      <c r="J80" s="25"/>
      <c r="K80" s="25"/>
      <c r="L80" s="22"/>
      <c r="M80" s="22"/>
      <c r="N80" s="22"/>
      <c r="O80" s="22"/>
      <c r="P80" s="22"/>
      <c r="Q80" s="22"/>
      <c r="R80" s="22"/>
      <c r="S80" s="22"/>
      <c r="T80" s="22"/>
      <c r="U80" s="23"/>
    </row>
    <row r="81" spans="1:21" ht="100" customHeight="1">
      <c r="A81" s="22"/>
      <c r="B81" s="23"/>
      <c r="C81" s="23"/>
      <c r="D81" s="22" t="str">
        <f t="shared" ca="1" si="2"/>
        <v/>
      </c>
      <c r="E81" s="22" t="s">
        <v>166</v>
      </c>
      <c r="F81" s="22"/>
      <c r="G81" s="23"/>
      <c r="H81" s="23"/>
      <c r="I81" s="24"/>
      <c r="J81" s="25"/>
      <c r="K81" s="25"/>
      <c r="L81" s="22"/>
      <c r="M81" s="22"/>
      <c r="N81" s="22"/>
      <c r="O81" s="22"/>
      <c r="P81" s="22"/>
      <c r="Q81" s="22"/>
      <c r="R81" s="22"/>
      <c r="S81" s="22"/>
      <c r="T81" s="22"/>
      <c r="U81" s="23"/>
    </row>
    <row r="82" spans="1:21" ht="100" customHeight="1">
      <c r="A82" s="22"/>
      <c r="B82" s="23"/>
      <c r="C82" s="23"/>
      <c r="D82" s="22" t="str">
        <f t="shared" ca="1" si="2"/>
        <v/>
      </c>
      <c r="E82" s="22" t="s">
        <v>166</v>
      </c>
      <c r="F82" s="22"/>
      <c r="G82" s="23"/>
      <c r="H82" s="23"/>
      <c r="I82" s="24"/>
      <c r="J82" s="25"/>
      <c r="K82" s="25"/>
      <c r="L82" s="22"/>
      <c r="M82" s="22"/>
      <c r="N82" s="22"/>
      <c r="O82" s="22"/>
      <c r="P82" s="22"/>
      <c r="Q82" s="22"/>
      <c r="R82" s="22"/>
      <c r="S82" s="22"/>
      <c r="T82" s="22"/>
      <c r="U82" s="23"/>
    </row>
    <row r="83" spans="1:21" ht="100" customHeight="1">
      <c r="A83" s="22"/>
      <c r="B83" s="23"/>
      <c r="C83" s="23"/>
      <c r="D83" s="22" t="str">
        <f t="shared" ca="1" si="2"/>
        <v/>
      </c>
      <c r="E83" s="22" t="s">
        <v>166</v>
      </c>
      <c r="F83" s="22"/>
      <c r="G83" s="23"/>
      <c r="H83" s="23"/>
      <c r="I83" s="24"/>
      <c r="J83" s="25"/>
      <c r="K83" s="25"/>
      <c r="L83" s="22"/>
      <c r="M83" s="22"/>
      <c r="N83" s="22"/>
      <c r="O83" s="22"/>
      <c r="P83" s="22"/>
      <c r="Q83" s="22"/>
      <c r="R83" s="22"/>
      <c r="S83" s="22"/>
      <c r="T83" s="22"/>
      <c r="U83" s="23"/>
    </row>
    <row r="84" spans="1:21" ht="100" customHeight="1">
      <c r="A84" s="22"/>
      <c r="B84" s="23"/>
      <c r="C84" s="23"/>
      <c r="D84" s="22" t="str">
        <f t="shared" ca="1" si="2"/>
        <v/>
      </c>
      <c r="E84" s="22" t="s">
        <v>166</v>
      </c>
      <c r="F84" s="22"/>
      <c r="G84" s="23"/>
      <c r="H84" s="23"/>
      <c r="I84" s="24"/>
      <c r="J84" s="25"/>
      <c r="K84" s="25"/>
      <c r="L84" s="22"/>
      <c r="M84" s="22"/>
      <c r="N84" s="22"/>
      <c r="O84" s="22"/>
      <c r="P84" s="22"/>
      <c r="Q84" s="22"/>
      <c r="R84" s="22"/>
      <c r="S84" s="22"/>
      <c r="T84" s="22"/>
      <c r="U84" s="23"/>
    </row>
    <row r="85" spans="1:21" ht="100" customHeight="1">
      <c r="A85" s="22"/>
      <c r="B85" s="23"/>
      <c r="C85" s="23"/>
      <c r="D85" s="22" t="str">
        <f t="shared" ca="1" si="2"/>
        <v/>
      </c>
      <c r="E85" s="22" t="s">
        <v>166</v>
      </c>
      <c r="F85" s="22"/>
      <c r="G85" s="23"/>
      <c r="H85" s="23"/>
      <c r="I85" s="24"/>
      <c r="J85" s="25"/>
      <c r="K85" s="25"/>
      <c r="L85" s="22"/>
      <c r="M85" s="22"/>
      <c r="N85" s="22"/>
      <c r="O85" s="22"/>
      <c r="P85" s="22"/>
      <c r="Q85" s="22"/>
      <c r="R85" s="22"/>
      <c r="S85" s="22"/>
      <c r="T85" s="22"/>
      <c r="U85" s="23"/>
    </row>
    <row r="86" spans="1:21" ht="100" customHeight="1">
      <c r="A86" s="22"/>
      <c r="B86" s="23"/>
      <c r="C86" s="23"/>
      <c r="D86" s="22" t="str">
        <f t="shared" ca="1" si="2"/>
        <v/>
      </c>
      <c r="E86" s="22" t="s">
        <v>166</v>
      </c>
      <c r="F86" s="22"/>
      <c r="G86" s="23"/>
      <c r="H86" s="23"/>
      <c r="I86" s="24"/>
      <c r="J86" s="25"/>
      <c r="K86" s="25"/>
      <c r="L86" s="22"/>
      <c r="M86" s="22"/>
      <c r="N86" s="22"/>
      <c r="O86" s="22"/>
      <c r="P86" s="22"/>
      <c r="Q86" s="22"/>
      <c r="R86" s="22"/>
      <c r="S86" s="22"/>
      <c r="T86" s="22"/>
      <c r="U86" s="23"/>
    </row>
    <row r="87" spans="1:21" ht="100" customHeight="1">
      <c r="A87" s="22"/>
      <c r="B87" s="23"/>
      <c r="C87" s="23"/>
      <c r="D87" s="22" t="str">
        <f t="shared" ca="1" si="2"/>
        <v/>
      </c>
      <c r="E87" s="22" t="s">
        <v>166</v>
      </c>
      <c r="F87" s="22"/>
      <c r="G87" s="23"/>
      <c r="H87" s="23"/>
      <c r="I87" s="24"/>
      <c r="J87" s="25"/>
      <c r="K87" s="25"/>
      <c r="L87" s="22"/>
      <c r="M87" s="22"/>
      <c r="N87" s="22"/>
      <c r="O87" s="22"/>
      <c r="P87" s="22"/>
      <c r="Q87" s="22"/>
      <c r="R87" s="22"/>
      <c r="S87" s="22"/>
      <c r="T87" s="22"/>
      <c r="U87" s="23"/>
    </row>
    <row r="88" spans="1:21" ht="100" customHeight="1">
      <c r="A88" s="22"/>
      <c r="B88" s="23"/>
      <c r="C88" s="23"/>
      <c r="D88" s="22" t="str">
        <f t="shared" ca="1" si="2"/>
        <v/>
      </c>
      <c r="E88" s="22" t="s">
        <v>166</v>
      </c>
      <c r="F88" s="22"/>
      <c r="G88" s="23"/>
      <c r="H88" s="23"/>
      <c r="I88" s="24"/>
      <c r="J88" s="25"/>
      <c r="K88" s="25"/>
      <c r="L88" s="22"/>
      <c r="M88" s="22"/>
      <c r="N88" s="22"/>
      <c r="O88" s="22"/>
      <c r="P88" s="22"/>
      <c r="Q88" s="22"/>
      <c r="R88" s="22"/>
      <c r="S88" s="22"/>
      <c r="T88" s="22"/>
      <c r="U88" s="23"/>
    </row>
    <row r="89" spans="1:21" ht="100" customHeight="1">
      <c r="A89" s="22"/>
      <c r="B89" s="23"/>
      <c r="C89" s="23"/>
      <c r="D89" s="22" t="str">
        <f t="shared" ca="1" si="2"/>
        <v/>
      </c>
      <c r="E89" s="22" t="s">
        <v>166</v>
      </c>
      <c r="F89" s="22"/>
      <c r="G89" s="23"/>
      <c r="H89" s="23"/>
      <c r="I89" s="24"/>
      <c r="J89" s="25"/>
      <c r="K89" s="25"/>
      <c r="L89" s="22"/>
      <c r="M89" s="22"/>
      <c r="N89" s="22"/>
      <c r="O89" s="22"/>
      <c r="P89" s="22"/>
      <c r="Q89" s="22"/>
      <c r="R89" s="22"/>
      <c r="S89" s="22"/>
      <c r="T89" s="22"/>
      <c r="U89" s="23"/>
    </row>
    <row r="90" spans="1:21" ht="100" customHeight="1">
      <c r="A90" s="22"/>
      <c r="B90" s="23"/>
      <c r="C90" s="23"/>
      <c r="D90" s="22" t="str">
        <f t="shared" ca="1" si="2"/>
        <v/>
      </c>
      <c r="E90" s="22" t="s">
        <v>166</v>
      </c>
      <c r="F90" s="22"/>
      <c r="G90" s="23"/>
      <c r="H90" s="23"/>
      <c r="I90" s="24"/>
      <c r="J90" s="25"/>
      <c r="K90" s="25"/>
      <c r="L90" s="22"/>
      <c r="M90" s="22"/>
      <c r="N90" s="22"/>
      <c r="O90" s="22"/>
      <c r="P90" s="22"/>
      <c r="Q90" s="22"/>
      <c r="R90" s="22"/>
      <c r="S90" s="22"/>
      <c r="T90" s="22"/>
      <c r="U90" s="23"/>
    </row>
    <row r="91" spans="1:21" ht="100" customHeight="1">
      <c r="A91" s="22"/>
      <c r="B91" s="23"/>
      <c r="C91" s="23"/>
      <c r="D91" s="22" t="str">
        <f t="shared" ca="1" si="2"/>
        <v/>
      </c>
      <c r="E91" s="22" t="s">
        <v>166</v>
      </c>
      <c r="F91" s="22"/>
      <c r="G91" s="23"/>
      <c r="H91" s="23"/>
      <c r="I91" s="24"/>
      <c r="J91" s="25"/>
      <c r="K91" s="25"/>
      <c r="L91" s="22"/>
      <c r="M91" s="22"/>
      <c r="N91" s="22"/>
      <c r="O91" s="22"/>
      <c r="P91" s="22"/>
      <c r="Q91" s="22"/>
      <c r="R91" s="22"/>
      <c r="S91" s="22"/>
      <c r="T91" s="22"/>
      <c r="U91" s="23"/>
    </row>
    <row r="92" spans="1:21" ht="100" customHeight="1">
      <c r="A92" s="22"/>
      <c r="B92" s="23"/>
      <c r="C92" s="23"/>
      <c r="D92" s="22" t="str">
        <f t="shared" ca="1" si="2"/>
        <v/>
      </c>
      <c r="E92" s="22" t="s">
        <v>166</v>
      </c>
      <c r="F92" s="22"/>
      <c r="G92" s="23"/>
      <c r="H92" s="23"/>
      <c r="I92" s="24"/>
      <c r="J92" s="25"/>
      <c r="K92" s="25"/>
      <c r="L92" s="22"/>
      <c r="M92" s="22"/>
      <c r="N92" s="22"/>
      <c r="O92" s="22"/>
      <c r="P92" s="22"/>
      <c r="Q92" s="22"/>
      <c r="R92" s="22"/>
      <c r="S92" s="22"/>
      <c r="T92" s="22"/>
      <c r="U92" s="23"/>
    </row>
    <row r="93" spans="1:21" ht="100" customHeight="1">
      <c r="A93" s="22"/>
      <c r="B93" s="23"/>
      <c r="C93" s="23"/>
      <c r="D93" s="22" t="str">
        <f t="shared" ca="1" si="2"/>
        <v/>
      </c>
      <c r="E93" s="22" t="s">
        <v>166</v>
      </c>
      <c r="F93" s="22"/>
      <c r="G93" s="23"/>
      <c r="H93" s="23"/>
      <c r="I93" s="24"/>
      <c r="J93" s="25"/>
      <c r="K93" s="25"/>
      <c r="L93" s="22"/>
      <c r="M93" s="22"/>
      <c r="N93" s="22"/>
      <c r="O93" s="22"/>
      <c r="P93" s="22"/>
      <c r="Q93" s="22"/>
      <c r="R93" s="22"/>
      <c r="S93" s="22"/>
      <c r="T93" s="22"/>
      <c r="U93" s="23"/>
    </row>
    <row r="94" spans="1:21" ht="100" customHeight="1">
      <c r="A94" s="22"/>
      <c r="B94" s="23"/>
      <c r="C94" s="23"/>
      <c r="D94" s="22" t="str">
        <f t="shared" ca="1" si="2"/>
        <v/>
      </c>
      <c r="E94" s="22" t="s">
        <v>166</v>
      </c>
      <c r="F94" s="22"/>
      <c r="G94" s="23"/>
      <c r="H94" s="23"/>
      <c r="I94" s="24"/>
      <c r="J94" s="25"/>
      <c r="K94" s="25"/>
      <c r="L94" s="22"/>
      <c r="M94" s="22"/>
      <c r="N94" s="22"/>
      <c r="O94" s="22"/>
      <c r="P94" s="22"/>
      <c r="Q94" s="22"/>
      <c r="R94" s="22"/>
      <c r="S94" s="22"/>
      <c r="T94" s="22"/>
      <c r="U94" s="23"/>
    </row>
    <row r="95" spans="1:21" ht="100" customHeight="1">
      <c r="A95" s="22"/>
      <c r="B95" s="23"/>
      <c r="C95" s="23"/>
      <c r="D95" s="22" t="str">
        <f t="shared" ca="1" si="2"/>
        <v/>
      </c>
      <c r="E95" s="22" t="s">
        <v>166</v>
      </c>
      <c r="F95" s="22"/>
      <c r="G95" s="23"/>
      <c r="H95" s="23"/>
      <c r="I95" s="24"/>
      <c r="J95" s="25"/>
      <c r="K95" s="25"/>
      <c r="L95" s="22"/>
      <c r="M95" s="22"/>
      <c r="N95" s="22"/>
      <c r="O95" s="22"/>
      <c r="P95" s="22"/>
      <c r="Q95" s="22"/>
      <c r="R95" s="22"/>
      <c r="S95" s="22"/>
      <c r="T95" s="22"/>
      <c r="U95" s="23"/>
    </row>
    <row r="96" spans="1:21" ht="100" customHeight="1">
      <c r="A96" s="22"/>
      <c r="B96" s="23"/>
      <c r="C96" s="23"/>
      <c r="D96" s="22" t="str">
        <f t="shared" ca="1" si="2"/>
        <v/>
      </c>
      <c r="E96" s="22" t="s">
        <v>166</v>
      </c>
      <c r="F96" s="22"/>
      <c r="G96" s="23"/>
      <c r="H96" s="23"/>
      <c r="I96" s="24"/>
      <c r="J96" s="25"/>
      <c r="K96" s="25"/>
      <c r="L96" s="22"/>
      <c r="M96" s="22"/>
      <c r="N96" s="22"/>
      <c r="O96" s="22"/>
      <c r="P96" s="22"/>
      <c r="Q96" s="22"/>
      <c r="R96" s="22"/>
      <c r="S96" s="22"/>
      <c r="T96" s="22"/>
      <c r="U96" s="23"/>
    </row>
    <row r="97" spans="1:21" ht="100" customHeight="1">
      <c r="A97" s="22"/>
      <c r="B97" s="23"/>
      <c r="C97" s="23"/>
      <c r="D97" s="22" t="str">
        <f t="shared" ca="1" si="2"/>
        <v/>
      </c>
      <c r="E97" s="22" t="s">
        <v>166</v>
      </c>
      <c r="F97" s="22"/>
      <c r="G97" s="23"/>
      <c r="H97" s="23"/>
      <c r="I97" s="24"/>
      <c r="J97" s="25"/>
      <c r="K97" s="25"/>
      <c r="L97" s="22"/>
      <c r="M97" s="22"/>
      <c r="N97" s="22"/>
      <c r="O97" s="22"/>
      <c r="P97" s="22"/>
      <c r="Q97" s="22"/>
      <c r="R97" s="22"/>
      <c r="S97" s="22"/>
      <c r="T97" s="22"/>
      <c r="U97" s="23"/>
    </row>
    <row r="98" spans="1:21" ht="100" customHeight="1">
      <c r="A98" s="22"/>
      <c r="B98" s="23"/>
      <c r="C98" s="23"/>
      <c r="D98" s="22" t="str">
        <f t="shared" ca="1" si="2"/>
        <v/>
      </c>
      <c r="E98" s="22" t="s">
        <v>166</v>
      </c>
      <c r="F98" s="22"/>
      <c r="G98" s="23"/>
      <c r="H98" s="23"/>
      <c r="I98" s="24"/>
      <c r="J98" s="25"/>
      <c r="K98" s="25"/>
      <c r="L98" s="22"/>
      <c r="M98" s="22"/>
      <c r="N98" s="22"/>
      <c r="O98" s="22"/>
      <c r="P98" s="22"/>
      <c r="Q98" s="22"/>
      <c r="R98" s="22"/>
      <c r="S98" s="22"/>
      <c r="T98" s="22"/>
      <c r="U98" s="23"/>
    </row>
    <row r="99" spans="1:21" ht="100" customHeight="1">
      <c r="A99" s="22"/>
      <c r="B99" s="23"/>
      <c r="C99" s="23"/>
      <c r="D99" s="22" t="str">
        <f t="shared" ca="1" si="2"/>
        <v/>
      </c>
      <c r="E99" s="22" t="s">
        <v>166</v>
      </c>
      <c r="F99" s="22"/>
      <c r="G99" s="23"/>
      <c r="H99" s="23"/>
      <c r="I99" s="24"/>
      <c r="J99" s="25"/>
      <c r="K99" s="25"/>
      <c r="L99" s="22"/>
      <c r="M99" s="22"/>
      <c r="N99" s="22"/>
      <c r="O99" s="22"/>
      <c r="P99" s="22"/>
      <c r="Q99" s="22"/>
      <c r="R99" s="22"/>
      <c r="S99" s="22"/>
      <c r="T99" s="22"/>
      <c r="U99" s="23"/>
    </row>
    <row r="100" spans="1:21" ht="100" customHeight="1">
      <c r="A100" s="22"/>
      <c r="B100" s="23"/>
      <c r="C100" s="23"/>
      <c r="D100" s="22" t="str">
        <f t="shared" ref="D100:D103" ca="1" si="3">IF(C100="","",DATEDIF(C100,TODAY(),"Y"))</f>
        <v/>
      </c>
      <c r="E100" s="22" t="s">
        <v>166</v>
      </c>
      <c r="F100" s="22"/>
      <c r="G100" s="23"/>
      <c r="H100" s="23"/>
      <c r="I100" s="24"/>
      <c r="J100" s="25"/>
      <c r="K100" s="25"/>
      <c r="L100" s="22"/>
      <c r="M100" s="22"/>
      <c r="N100" s="22"/>
      <c r="O100" s="22"/>
      <c r="P100" s="22"/>
      <c r="Q100" s="22"/>
      <c r="R100" s="22"/>
      <c r="S100" s="22"/>
      <c r="T100" s="22"/>
      <c r="U100" s="23"/>
    </row>
    <row r="101" spans="1:21" ht="100" customHeight="1">
      <c r="A101" s="22"/>
      <c r="B101" s="23"/>
      <c r="C101" s="23"/>
      <c r="D101" s="22" t="str">
        <f t="shared" ca="1" si="3"/>
        <v/>
      </c>
      <c r="E101" s="22" t="s">
        <v>166</v>
      </c>
      <c r="F101" s="22"/>
      <c r="G101" s="23"/>
      <c r="H101" s="23"/>
      <c r="I101" s="24"/>
      <c r="J101" s="25"/>
      <c r="K101" s="25"/>
      <c r="L101" s="22"/>
      <c r="M101" s="22"/>
      <c r="N101" s="22"/>
      <c r="O101" s="22"/>
      <c r="P101" s="22"/>
      <c r="Q101" s="22"/>
      <c r="R101" s="22"/>
      <c r="S101" s="22"/>
      <c r="T101" s="22"/>
      <c r="U101" s="23"/>
    </row>
    <row r="102" spans="1:21" ht="100" customHeight="1">
      <c r="A102" s="22"/>
      <c r="B102" s="23"/>
      <c r="C102" s="23"/>
      <c r="D102" s="22" t="str">
        <f t="shared" ca="1" si="3"/>
        <v/>
      </c>
      <c r="E102" s="22" t="s">
        <v>166</v>
      </c>
      <c r="F102" s="22"/>
      <c r="G102" s="23"/>
      <c r="H102" s="23"/>
      <c r="I102" s="24"/>
      <c r="J102" s="25"/>
      <c r="K102" s="25"/>
      <c r="L102" s="22"/>
      <c r="M102" s="22"/>
      <c r="N102" s="22"/>
      <c r="O102" s="22"/>
      <c r="P102" s="22"/>
      <c r="Q102" s="22"/>
      <c r="R102" s="22"/>
      <c r="S102" s="22"/>
      <c r="T102" s="22"/>
      <c r="U102" s="23"/>
    </row>
    <row r="103" spans="1:21" ht="100" customHeight="1">
      <c r="A103" s="22"/>
      <c r="B103" s="23"/>
      <c r="C103" s="23"/>
      <c r="D103" s="22" t="str">
        <f t="shared" ca="1" si="3"/>
        <v/>
      </c>
      <c r="E103" s="22" t="s">
        <v>166</v>
      </c>
      <c r="F103" s="22"/>
      <c r="G103" s="23"/>
      <c r="H103" s="23"/>
      <c r="I103" s="24"/>
      <c r="J103" s="25"/>
      <c r="K103" s="25"/>
      <c r="L103" s="22"/>
      <c r="M103" s="22"/>
      <c r="N103" s="22"/>
      <c r="O103" s="22"/>
      <c r="P103" s="22"/>
      <c r="Q103" s="22"/>
      <c r="R103" s="22"/>
      <c r="S103" s="22"/>
      <c r="T103" s="22"/>
      <c r="U103" s="23"/>
    </row>
  </sheetData>
  <mergeCells count="2">
    <mergeCell ref="A1:U1"/>
    <mergeCell ref="A2:I2"/>
  </mergeCells>
  <conditionalFormatting sqref="A4:U103">
    <cfRule type="expression" dxfId="21" priority="1">
      <formula>$I4="Yeşil"</formula>
    </cfRule>
    <cfRule type="expression" dxfId="20" priority="2">
      <formula>$I4="Sarı"</formula>
    </cfRule>
    <cfRule type="expression" dxfId="19" priority="3">
      <formula>$I4="Kırmızı"</formula>
    </cfRule>
  </conditionalFormatting>
  <conditionalFormatting sqref="H4:H103">
    <cfRule type="expression" dxfId="18" priority="4">
      <formula>AND($H4&lt;&gt;"",$H4&gt;=TODAY(),$H4&lt;=EDATE(TODAY(),6))</formula>
    </cfRule>
    <cfRule type="expression" dxfId="17" priority="5">
      <formula>AND($H4&lt;&gt;"",$H4&gt;EDATE(TODAY(),6),$H4&lt;=EDATE(TODAY(),12))</formula>
    </cfRule>
  </conditionalFormatting>
  <dataValidations count="3">
    <dataValidation type="list" allowBlank="1" showErrorMessage="1" sqref="I4:I103" xr:uid="{00000000-0002-0000-0F00-000000000000}">
      <formula1>"Kırmızı,Sarı,Yeşil"</formula1>
    </dataValidation>
    <dataValidation sqref="L4:R103" xr:uid="{00000000-0002-0000-0F00-000001000000}">
      <formula1>1</formula1>
      <formula2>10</formula2>
    </dataValidation>
    <dataValidation type="list" sqref="T4:T103" xr:uid="{00000000-0002-0000-0F00-000002000000}">
      <formula1>"A Liste,B Liste,Takip,Tekrar İzle,Ele"</formula1>
    </dataValidation>
  </dataValidations>
  <hyperlinks>
    <hyperlink ref="K22" r:id="rId1" xr:uid="{00000000-0004-0000-0F00-000000000000}"/>
    <hyperlink ref="K23" r:id="rId2" xr:uid="{00000000-0004-0000-0F00-000001000000}"/>
    <hyperlink ref="K24" r:id="rId3" xr:uid="{00000000-0004-0000-0F00-000002000000}"/>
    <hyperlink ref="K25" r:id="rId4" xr:uid="{00000000-0004-0000-0F00-000003000000}"/>
    <hyperlink ref="K26" r:id="rId5" xr:uid="{00000000-0004-0000-0F00-000004000000}"/>
    <hyperlink ref="K27" r:id="rId6" xr:uid="{00000000-0004-0000-0F00-000005000000}"/>
    <hyperlink ref="K28" r:id="rId7" xr:uid="{00000000-0004-0000-0F00-000006000000}"/>
    <hyperlink ref="K29" r:id="rId8" xr:uid="{00000000-0004-0000-0F00-000007000000}"/>
    <hyperlink ref="K30" r:id="rId9" xr:uid="{00000000-0004-0000-0F00-000008000000}"/>
    <hyperlink ref="K31" r:id="rId10" xr:uid="{00000000-0004-0000-0F00-000009000000}"/>
    <hyperlink ref="K32" r:id="rId11" xr:uid="{00000000-0004-0000-0F00-00000A000000}"/>
    <hyperlink ref="K33" r:id="rId12" xr:uid="{00000000-0004-0000-0F00-00000B000000}"/>
    <hyperlink ref="K34" r:id="rId13" xr:uid="{00000000-0004-0000-0F00-00000C000000}"/>
    <hyperlink ref="K35" r:id="rId14" xr:uid="{00000000-0004-0000-0F00-00000D000000}"/>
    <hyperlink ref="K36" r:id="rId15" xr:uid="{00000000-0004-0000-0F00-00000E000000}"/>
    <hyperlink ref="K37" r:id="rId16" xr:uid="{00000000-0004-0000-0F00-00000F000000}"/>
    <hyperlink ref="K38" r:id="rId17" xr:uid="{00000000-0004-0000-0F00-000010000000}"/>
    <hyperlink ref="K39" r:id="rId18" xr:uid="{00000000-0004-0000-0F00-000011000000}"/>
    <hyperlink ref="K40" r:id="rId19" xr:uid="{00000000-0004-0000-0F00-000012000000}"/>
    <hyperlink ref="K41" r:id="rId20" xr:uid="{00000000-0004-0000-0F00-000013000000}"/>
  </hyperlinks>
  <pageMargins left="0.7" right="0.7" top="0.75" bottom="0.75" header="0.3" footer="0.3"/>
  <drawing r:id="rId2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03"/>
  <sheetViews>
    <sheetView showGridLines="0" workbookViewId="0">
      <selection activeCell="M19" sqref="M19"/>
    </sheetView>
  </sheetViews>
  <sheetFormatPr baseColWidth="10" defaultColWidth="8.83203125" defaultRowHeight="14"/>
  <cols>
    <col min="1" max="1" width="24" customWidth="1"/>
    <col min="2" max="3" width="14" customWidth="1"/>
    <col min="4" max="4" width="8" customWidth="1"/>
    <col min="5" max="5" width="16" customWidth="1"/>
    <col min="6" max="6" width="20" customWidth="1"/>
    <col min="7" max="7" width="18" customWidth="1"/>
    <col min="8" max="8" width="11" customWidth="1"/>
    <col min="9" max="10" width="14" customWidth="1"/>
    <col min="11" max="14" width="9" customWidth="1"/>
    <col min="15" max="16" width="10" customWidth="1"/>
    <col min="17" max="17" width="12" customWidth="1"/>
    <col min="18" max="18" width="11" customWidth="1"/>
    <col min="19" max="20" width="14" customWidth="1"/>
  </cols>
  <sheetData>
    <row r="1" spans="1:20" ht="30" customHeight="1">
      <c r="A1" s="67" t="s">
        <v>922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</row>
    <row r="2" spans="1:20" ht="15" customHeight="1">
      <c r="A2" s="96"/>
      <c r="B2" s="68"/>
      <c r="C2" s="68"/>
      <c r="D2" s="68"/>
      <c r="E2" s="68"/>
      <c r="F2" s="68"/>
      <c r="G2" s="68"/>
      <c r="H2" s="68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0" ht="30" customHeight="1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7</v>
      </c>
      <c r="G3" s="21" t="s">
        <v>8</v>
      </c>
      <c r="H3" s="21" t="s">
        <v>9</v>
      </c>
      <c r="I3" s="21" t="s">
        <v>10</v>
      </c>
      <c r="J3" s="21" t="s">
        <v>11</v>
      </c>
      <c r="K3" s="21" t="s">
        <v>12</v>
      </c>
      <c r="L3" s="21" t="s">
        <v>13</v>
      </c>
      <c r="M3" s="21" t="s">
        <v>14</v>
      </c>
      <c r="N3" s="21" t="s">
        <v>15</v>
      </c>
      <c r="O3" s="21" t="s">
        <v>16</v>
      </c>
      <c r="P3" s="21" t="s">
        <v>17</v>
      </c>
      <c r="Q3" s="21" t="s">
        <v>18</v>
      </c>
      <c r="R3" s="21" t="s">
        <v>19</v>
      </c>
      <c r="S3" s="21" t="s">
        <v>20</v>
      </c>
      <c r="T3" s="21" t="s">
        <v>21</v>
      </c>
    </row>
    <row r="4" spans="1:20" ht="21" customHeight="1">
      <c r="A4" s="22"/>
      <c r="B4" s="23"/>
      <c r="C4" s="23"/>
      <c r="D4" s="22" t="str">
        <f t="shared" ref="D4:D35" ca="1" si="0">IF(C4="","",DATEDIF(C4,TODAY(),"Y"))</f>
        <v/>
      </c>
      <c r="E4" s="22"/>
      <c r="F4" s="23"/>
      <c r="G4" s="23"/>
      <c r="H4" s="24"/>
      <c r="I4" s="22"/>
      <c r="J4" s="22"/>
      <c r="K4" s="22"/>
      <c r="L4" s="22"/>
      <c r="M4" s="22"/>
      <c r="N4" s="22"/>
      <c r="O4" s="22"/>
      <c r="P4" s="22"/>
      <c r="Q4" s="22"/>
      <c r="R4" s="22" t="str">
        <f t="shared" ref="R4:R35" si="1">IF(COUNTA(K4:Q4)=0,"",ROUND(AVERAGE(K4:Q4)*10,0))</f>
        <v/>
      </c>
      <c r="S4" s="22"/>
      <c r="T4" s="23"/>
    </row>
    <row r="5" spans="1:20" ht="21" customHeight="1">
      <c r="A5" s="22"/>
      <c r="B5" s="23"/>
      <c r="C5" s="23"/>
      <c r="D5" s="22" t="str">
        <f t="shared" ca="1" si="0"/>
        <v/>
      </c>
      <c r="E5" s="22" t="s">
        <v>166</v>
      </c>
      <c r="F5" s="23"/>
      <c r="G5" s="23"/>
      <c r="H5" s="24"/>
      <c r="I5" s="22"/>
      <c r="J5" s="22"/>
      <c r="K5" s="22"/>
      <c r="L5" s="22"/>
      <c r="M5" s="22"/>
      <c r="N5" s="22"/>
      <c r="O5" s="22"/>
      <c r="P5" s="22"/>
      <c r="Q5" s="22"/>
      <c r="R5" s="22" t="str">
        <f t="shared" si="1"/>
        <v/>
      </c>
      <c r="S5" s="22"/>
      <c r="T5" s="23"/>
    </row>
    <row r="6" spans="1:20" ht="21" customHeight="1">
      <c r="A6" s="22"/>
      <c r="B6" s="23"/>
      <c r="C6" s="23"/>
      <c r="D6" s="22" t="str">
        <f t="shared" ca="1" si="0"/>
        <v/>
      </c>
      <c r="E6" s="22" t="s">
        <v>166</v>
      </c>
      <c r="F6" s="23"/>
      <c r="G6" s="23"/>
      <c r="H6" s="24"/>
      <c r="I6" s="22"/>
      <c r="J6" s="22"/>
      <c r="K6" s="22"/>
      <c r="L6" s="22"/>
      <c r="M6" s="22"/>
      <c r="N6" s="22"/>
      <c r="O6" s="22"/>
      <c r="P6" s="22"/>
      <c r="Q6" s="22"/>
      <c r="R6" s="22" t="str">
        <f t="shared" si="1"/>
        <v/>
      </c>
      <c r="S6" s="22"/>
      <c r="T6" s="23"/>
    </row>
    <row r="7" spans="1:20" ht="21" customHeight="1">
      <c r="A7" s="22"/>
      <c r="B7" s="23"/>
      <c r="C7" s="23"/>
      <c r="D7" s="22" t="str">
        <f t="shared" ca="1" si="0"/>
        <v/>
      </c>
      <c r="E7" s="22" t="s">
        <v>166</v>
      </c>
      <c r="F7" s="23"/>
      <c r="G7" s="23"/>
      <c r="H7" s="24"/>
      <c r="I7" s="22"/>
      <c r="J7" s="22"/>
      <c r="K7" s="22"/>
      <c r="L7" s="22"/>
      <c r="M7" s="22"/>
      <c r="N7" s="22"/>
      <c r="O7" s="22"/>
      <c r="P7" s="22"/>
      <c r="Q7" s="22"/>
      <c r="R7" s="22" t="str">
        <f t="shared" si="1"/>
        <v/>
      </c>
      <c r="S7" s="22"/>
      <c r="T7" s="23"/>
    </row>
    <row r="8" spans="1:20" ht="21" customHeight="1">
      <c r="A8" s="22"/>
      <c r="B8" s="23"/>
      <c r="C8" s="23"/>
      <c r="D8" s="22" t="str">
        <f t="shared" ca="1" si="0"/>
        <v/>
      </c>
      <c r="E8" s="22" t="s">
        <v>166</v>
      </c>
      <c r="F8" s="23"/>
      <c r="G8" s="23"/>
      <c r="H8" s="24"/>
      <c r="I8" s="22"/>
      <c r="J8" s="22"/>
      <c r="K8" s="22"/>
      <c r="L8" s="22"/>
      <c r="M8" s="22"/>
      <c r="N8" s="22"/>
      <c r="O8" s="22"/>
      <c r="P8" s="22"/>
      <c r="Q8" s="22"/>
      <c r="R8" s="22" t="str">
        <f t="shared" si="1"/>
        <v/>
      </c>
      <c r="S8" s="22"/>
      <c r="T8" s="23"/>
    </row>
    <row r="9" spans="1:20" ht="21" customHeight="1">
      <c r="A9" s="22"/>
      <c r="B9" s="23"/>
      <c r="C9" s="23"/>
      <c r="D9" s="22" t="str">
        <f t="shared" ca="1" si="0"/>
        <v/>
      </c>
      <c r="E9" s="22" t="s">
        <v>166</v>
      </c>
      <c r="F9" s="23"/>
      <c r="G9" s="23"/>
      <c r="H9" s="24"/>
      <c r="I9" s="22"/>
      <c r="J9" s="22"/>
      <c r="K9" s="22"/>
      <c r="L9" s="22"/>
      <c r="M9" s="22"/>
      <c r="N9" s="22"/>
      <c r="O9" s="22"/>
      <c r="P9" s="22"/>
      <c r="Q9" s="22"/>
      <c r="R9" s="22" t="str">
        <f t="shared" si="1"/>
        <v/>
      </c>
      <c r="S9" s="22"/>
      <c r="T9" s="23"/>
    </row>
    <row r="10" spans="1:20" ht="21" customHeight="1">
      <c r="A10" s="22"/>
      <c r="B10" s="23"/>
      <c r="C10" s="23"/>
      <c r="D10" s="22" t="str">
        <f t="shared" ca="1" si="0"/>
        <v/>
      </c>
      <c r="E10" s="22" t="s">
        <v>166</v>
      </c>
      <c r="F10" s="23"/>
      <c r="G10" s="23"/>
      <c r="H10" s="24"/>
      <c r="I10" s="22"/>
      <c r="J10" s="22"/>
      <c r="K10" s="22"/>
      <c r="L10" s="22"/>
      <c r="M10" s="22"/>
      <c r="N10" s="22"/>
      <c r="O10" s="22"/>
      <c r="P10" s="22"/>
      <c r="Q10" s="22"/>
      <c r="R10" s="22" t="str">
        <f t="shared" si="1"/>
        <v/>
      </c>
      <c r="S10" s="22"/>
      <c r="T10" s="23"/>
    </row>
    <row r="11" spans="1:20" ht="21" customHeight="1">
      <c r="A11" s="22"/>
      <c r="B11" s="23"/>
      <c r="C11" s="23"/>
      <c r="D11" s="22" t="str">
        <f t="shared" ca="1" si="0"/>
        <v/>
      </c>
      <c r="E11" s="22" t="s">
        <v>166</v>
      </c>
      <c r="F11" s="23"/>
      <c r="G11" s="23"/>
      <c r="H11" s="24"/>
      <c r="I11" s="22"/>
      <c r="J11" s="22"/>
      <c r="K11" s="22"/>
      <c r="L11" s="22"/>
      <c r="M11" s="22"/>
      <c r="N11" s="22"/>
      <c r="O11" s="22"/>
      <c r="P11" s="22"/>
      <c r="Q11" s="22"/>
      <c r="R11" s="22" t="str">
        <f t="shared" si="1"/>
        <v/>
      </c>
      <c r="S11" s="22"/>
      <c r="T11" s="23"/>
    </row>
    <row r="12" spans="1:20" ht="21" customHeight="1">
      <c r="A12" s="22"/>
      <c r="B12" s="23"/>
      <c r="C12" s="23"/>
      <c r="D12" s="22" t="str">
        <f t="shared" ca="1" si="0"/>
        <v/>
      </c>
      <c r="E12" s="22" t="s">
        <v>166</v>
      </c>
      <c r="F12" s="23"/>
      <c r="G12" s="23"/>
      <c r="H12" s="24"/>
      <c r="I12" s="22"/>
      <c r="J12" s="22"/>
      <c r="K12" s="22"/>
      <c r="L12" s="22"/>
      <c r="M12" s="22"/>
      <c r="N12" s="22"/>
      <c r="O12" s="22"/>
      <c r="P12" s="22"/>
      <c r="Q12" s="22"/>
      <c r="R12" s="22" t="str">
        <f t="shared" si="1"/>
        <v/>
      </c>
      <c r="S12" s="22"/>
      <c r="T12" s="23"/>
    </row>
    <row r="13" spans="1:20" ht="21" customHeight="1">
      <c r="A13" s="22"/>
      <c r="B13" s="23"/>
      <c r="C13" s="23"/>
      <c r="D13" s="22" t="str">
        <f t="shared" ca="1" si="0"/>
        <v/>
      </c>
      <c r="E13" s="22" t="s">
        <v>166</v>
      </c>
      <c r="F13" s="23"/>
      <c r="G13" s="23"/>
      <c r="H13" s="24"/>
      <c r="I13" s="22"/>
      <c r="J13" s="22"/>
      <c r="K13" s="22"/>
      <c r="L13" s="22"/>
      <c r="M13" s="22"/>
      <c r="N13" s="22"/>
      <c r="O13" s="22"/>
      <c r="P13" s="22"/>
      <c r="Q13" s="22"/>
      <c r="R13" s="22" t="str">
        <f t="shared" si="1"/>
        <v/>
      </c>
      <c r="S13" s="22"/>
      <c r="T13" s="23"/>
    </row>
    <row r="14" spans="1:20" ht="21" customHeight="1">
      <c r="A14" s="22"/>
      <c r="B14" s="23"/>
      <c r="C14" s="23"/>
      <c r="D14" s="22" t="str">
        <f t="shared" ca="1" si="0"/>
        <v/>
      </c>
      <c r="E14" s="22" t="s">
        <v>166</v>
      </c>
      <c r="F14" s="23"/>
      <c r="G14" s="23"/>
      <c r="H14" s="24"/>
      <c r="I14" s="22"/>
      <c r="J14" s="22"/>
      <c r="K14" s="22"/>
      <c r="L14" s="22"/>
      <c r="M14" s="22"/>
      <c r="N14" s="22"/>
      <c r="O14" s="22"/>
      <c r="P14" s="22"/>
      <c r="Q14" s="22"/>
      <c r="R14" s="22" t="str">
        <f t="shared" si="1"/>
        <v/>
      </c>
      <c r="S14" s="22"/>
      <c r="T14" s="23"/>
    </row>
    <row r="15" spans="1:20" ht="21" customHeight="1">
      <c r="A15" s="22"/>
      <c r="B15" s="23"/>
      <c r="C15" s="23"/>
      <c r="D15" s="22" t="str">
        <f t="shared" ca="1" si="0"/>
        <v/>
      </c>
      <c r="E15" s="22" t="s">
        <v>166</v>
      </c>
      <c r="F15" s="23"/>
      <c r="G15" s="23"/>
      <c r="H15" s="24"/>
      <c r="I15" s="22"/>
      <c r="J15" s="22"/>
      <c r="K15" s="22"/>
      <c r="L15" s="22"/>
      <c r="M15" s="22"/>
      <c r="N15" s="22"/>
      <c r="O15" s="22"/>
      <c r="P15" s="22"/>
      <c r="Q15" s="22"/>
      <c r="R15" s="22" t="str">
        <f t="shared" si="1"/>
        <v/>
      </c>
      <c r="S15" s="22"/>
      <c r="T15" s="23"/>
    </row>
    <row r="16" spans="1:20" ht="21" customHeight="1">
      <c r="A16" s="22"/>
      <c r="B16" s="23"/>
      <c r="C16" s="23"/>
      <c r="D16" s="22" t="str">
        <f t="shared" ca="1" si="0"/>
        <v/>
      </c>
      <c r="E16" s="22" t="s">
        <v>166</v>
      </c>
      <c r="F16" s="23"/>
      <c r="G16" s="23"/>
      <c r="H16" s="24"/>
      <c r="I16" s="22"/>
      <c r="J16" s="22"/>
      <c r="K16" s="22"/>
      <c r="L16" s="22"/>
      <c r="M16" s="22"/>
      <c r="N16" s="22"/>
      <c r="O16" s="22"/>
      <c r="P16" s="22"/>
      <c r="Q16" s="22"/>
      <c r="R16" s="22" t="str">
        <f t="shared" si="1"/>
        <v/>
      </c>
      <c r="S16" s="22"/>
      <c r="T16" s="23"/>
    </row>
    <row r="17" spans="1:20" ht="21" customHeight="1">
      <c r="A17" s="22"/>
      <c r="B17" s="23"/>
      <c r="C17" s="23"/>
      <c r="D17" s="22" t="str">
        <f t="shared" ca="1" si="0"/>
        <v/>
      </c>
      <c r="E17" s="22" t="s">
        <v>166</v>
      </c>
      <c r="F17" s="23"/>
      <c r="G17" s="23"/>
      <c r="H17" s="24"/>
      <c r="I17" s="22"/>
      <c r="J17" s="22"/>
      <c r="K17" s="22"/>
      <c r="L17" s="22"/>
      <c r="M17" s="22"/>
      <c r="N17" s="22"/>
      <c r="O17" s="22"/>
      <c r="P17" s="22"/>
      <c r="Q17" s="22"/>
      <c r="R17" s="22" t="str">
        <f t="shared" si="1"/>
        <v/>
      </c>
      <c r="S17" s="22"/>
      <c r="T17" s="23"/>
    </row>
    <row r="18" spans="1:20" ht="21" customHeight="1">
      <c r="A18" s="22"/>
      <c r="B18" s="23"/>
      <c r="C18" s="23"/>
      <c r="D18" s="22" t="str">
        <f t="shared" ca="1" si="0"/>
        <v/>
      </c>
      <c r="E18" s="22" t="s">
        <v>166</v>
      </c>
      <c r="F18" s="23"/>
      <c r="G18" s="23"/>
      <c r="H18" s="24"/>
      <c r="I18" s="22"/>
      <c r="J18" s="22"/>
      <c r="K18" s="22"/>
      <c r="L18" s="22"/>
      <c r="M18" s="22"/>
      <c r="N18" s="22"/>
      <c r="O18" s="22"/>
      <c r="P18" s="22"/>
      <c r="Q18" s="22"/>
      <c r="R18" s="22" t="str">
        <f t="shared" si="1"/>
        <v/>
      </c>
      <c r="S18" s="22"/>
      <c r="T18" s="23"/>
    </row>
    <row r="19" spans="1:20" ht="21" customHeight="1">
      <c r="A19" s="22"/>
      <c r="B19" s="23"/>
      <c r="C19" s="23"/>
      <c r="D19" s="22" t="str">
        <f t="shared" ca="1" si="0"/>
        <v/>
      </c>
      <c r="E19" s="22" t="s">
        <v>166</v>
      </c>
      <c r="F19" s="23"/>
      <c r="G19" s="23"/>
      <c r="H19" s="24"/>
      <c r="I19" s="22"/>
      <c r="J19" s="22"/>
      <c r="K19" s="22"/>
      <c r="L19" s="22"/>
      <c r="M19" s="22"/>
      <c r="N19" s="22"/>
      <c r="O19" s="22"/>
      <c r="P19" s="22"/>
      <c r="Q19" s="22"/>
      <c r="R19" s="22" t="str">
        <f t="shared" si="1"/>
        <v/>
      </c>
      <c r="S19" s="22"/>
      <c r="T19" s="23"/>
    </row>
    <row r="20" spans="1:20" ht="21" customHeight="1">
      <c r="A20" s="22"/>
      <c r="B20" s="23"/>
      <c r="C20" s="23"/>
      <c r="D20" s="22" t="str">
        <f t="shared" ca="1" si="0"/>
        <v/>
      </c>
      <c r="E20" s="22" t="s">
        <v>166</v>
      </c>
      <c r="F20" s="23"/>
      <c r="G20" s="23"/>
      <c r="H20" s="24"/>
      <c r="I20" s="22"/>
      <c r="J20" s="22"/>
      <c r="K20" s="22"/>
      <c r="L20" s="22"/>
      <c r="M20" s="22"/>
      <c r="N20" s="22"/>
      <c r="O20" s="22"/>
      <c r="P20" s="22"/>
      <c r="Q20" s="22"/>
      <c r="R20" s="22" t="str">
        <f t="shared" si="1"/>
        <v/>
      </c>
      <c r="S20" s="22"/>
      <c r="T20" s="23"/>
    </row>
    <row r="21" spans="1:20" ht="21" customHeight="1">
      <c r="A21" s="22"/>
      <c r="B21" s="23"/>
      <c r="C21" s="23"/>
      <c r="D21" s="22" t="str">
        <f t="shared" ca="1" si="0"/>
        <v/>
      </c>
      <c r="E21" s="22" t="s">
        <v>166</v>
      </c>
      <c r="F21" s="23"/>
      <c r="G21" s="23"/>
      <c r="H21" s="24"/>
      <c r="I21" s="22"/>
      <c r="J21" s="22"/>
      <c r="K21" s="22"/>
      <c r="L21" s="22"/>
      <c r="M21" s="22"/>
      <c r="N21" s="22"/>
      <c r="O21" s="22"/>
      <c r="P21" s="22"/>
      <c r="Q21" s="22"/>
      <c r="R21" s="22" t="str">
        <f t="shared" si="1"/>
        <v/>
      </c>
      <c r="S21" s="22"/>
      <c r="T21" s="23"/>
    </row>
    <row r="22" spans="1:20" ht="21" customHeight="1">
      <c r="A22" s="22"/>
      <c r="B22" s="23"/>
      <c r="C22" s="23"/>
      <c r="D22" s="22" t="str">
        <f t="shared" ca="1" si="0"/>
        <v/>
      </c>
      <c r="E22" s="22" t="s">
        <v>166</v>
      </c>
      <c r="F22" s="23"/>
      <c r="G22" s="23"/>
      <c r="H22" s="24"/>
      <c r="I22" s="22"/>
      <c r="J22" s="22"/>
      <c r="K22" s="22"/>
      <c r="L22" s="22"/>
      <c r="M22" s="22"/>
      <c r="N22" s="22"/>
      <c r="O22" s="22"/>
      <c r="P22" s="22"/>
      <c r="Q22" s="22"/>
      <c r="R22" s="22" t="str">
        <f t="shared" si="1"/>
        <v/>
      </c>
      <c r="S22" s="22"/>
      <c r="T22" s="23"/>
    </row>
    <row r="23" spans="1:20" ht="21" customHeight="1">
      <c r="A23" s="22"/>
      <c r="B23" s="23"/>
      <c r="C23" s="23"/>
      <c r="D23" s="22" t="str">
        <f t="shared" ca="1" si="0"/>
        <v/>
      </c>
      <c r="E23" s="22" t="s">
        <v>166</v>
      </c>
      <c r="F23" s="23"/>
      <c r="G23" s="23"/>
      <c r="H23" s="24"/>
      <c r="I23" s="22"/>
      <c r="J23" s="22"/>
      <c r="K23" s="22"/>
      <c r="L23" s="22"/>
      <c r="M23" s="22"/>
      <c r="N23" s="22"/>
      <c r="O23" s="22"/>
      <c r="P23" s="22"/>
      <c r="Q23" s="22"/>
      <c r="R23" s="22" t="str">
        <f t="shared" si="1"/>
        <v/>
      </c>
      <c r="S23" s="22"/>
      <c r="T23" s="23"/>
    </row>
    <row r="24" spans="1:20" ht="21" customHeight="1">
      <c r="A24" s="22"/>
      <c r="B24" s="23"/>
      <c r="C24" s="23"/>
      <c r="D24" s="22" t="str">
        <f t="shared" ca="1" si="0"/>
        <v/>
      </c>
      <c r="E24" s="22" t="s">
        <v>166</v>
      </c>
      <c r="F24" s="23"/>
      <c r="G24" s="23"/>
      <c r="H24" s="24"/>
      <c r="I24" s="22"/>
      <c r="J24" s="22"/>
      <c r="K24" s="22"/>
      <c r="L24" s="22"/>
      <c r="M24" s="22"/>
      <c r="N24" s="22"/>
      <c r="O24" s="22"/>
      <c r="P24" s="22"/>
      <c r="Q24" s="22"/>
      <c r="R24" s="22" t="str">
        <f t="shared" si="1"/>
        <v/>
      </c>
      <c r="S24" s="22"/>
      <c r="T24" s="23"/>
    </row>
    <row r="25" spans="1:20" ht="21" customHeight="1">
      <c r="A25" s="22"/>
      <c r="B25" s="23"/>
      <c r="C25" s="23"/>
      <c r="D25" s="22" t="str">
        <f t="shared" ca="1" si="0"/>
        <v/>
      </c>
      <c r="E25" s="22" t="s">
        <v>166</v>
      </c>
      <c r="F25" s="23"/>
      <c r="G25" s="23"/>
      <c r="H25" s="24"/>
      <c r="I25" s="22"/>
      <c r="J25" s="22"/>
      <c r="K25" s="22"/>
      <c r="L25" s="22"/>
      <c r="M25" s="22"/>
      <c r="N25" s="22"/>
      <c r="O25" s="22"/>
      <c r="P25" s="22"/>
      <c r="Q25" s="22"/>
      <c r="R25" s="22" t="str">
        <f t="shared" si="1"/>
        <v/>
      </c>
      <c r="S25" s="22"/>
      <c r="T25" s="23"/>
    </row>
    <row r="26" spans="1:20" ht="21" customHeight="1">
      <c r="A26" s="22"/>
      <c r="B26" s="23"/>
      <c r="C26" s="23"/>
      <c r="D26" s="22" t="str">
        <f t="shared" ca="1" si="0"/>
        <v/>
      </c>
      <c r="E26" s="22" t="s">
        <v>166</v>
      </c>
      <c r="F26" s="23"/>
      <c r="G26" s="23"/>
      <c r="H26" s="24"/>
      <c r="I26" s="22"/>
      <c r="J26" s="22"/>
      <c r="K26" s="22"/>
      <c r="L26" s="22"/>
      <c r="M26" s="22"/>
      <c r="N26" s="22"/>
      <c r="O26" s="22"/>
      <c r="P26" s="22"/>
      <c r="Q26" s="22"/>
      <c r="R26" s="22" t="str">
        <f t="shared" si="1"/>
        <v/>
      </c>
      <c r="S26" s="22"/>
      <c r="T26" s="23"/>
    </row>
    <row r="27" spans="1:20" ht="21" customHeight="1">
      <c r="A27" s="22"/>
      <c r="B27" s="23"/>
      <c r="C27" s="23"/>
      <c r="D27" s="22" t="str">
        <f t="shared" ca="1" si="0"/>
        <v/>
      </c>
      <c r="E27" s="22" t="s">
        <v>166</v>
      </c>
      <c r="F27" s="23"/>
      <c r="G27" s="23"/>
      <c r="H27" s="24"/>
      <c r="I27" s="22"/>
      <c r="J27" s="22"/>
      <c r="K27" s="22"/>
      <c r="L27" s="22"/>
      <c r="M27" s="22"/>
      <c r="N27" s="22"/>
      <c r="O27" s="22"/>
      <c r="P27" s="22"/>
      <c r="Q27" s="22"/>
      <c r="R27" s="22" t="str">
        <f t="shared" si="1"/>
        <v/>
      </c>
      <c r="S27" s="22"/>
      <c r="T27" s="23"/>
    </row>
    <row r="28" spans="1:20" ht="21" customHeight="1">
      <c r="A28" s="22"/>
      <c r="B28" s="23"/>
      <c r="C28" s="23"/>
      <c r="D28" s="22" t="str">
        <f t="shared" ca="1" si="0"/>
        <v/>
      </c>
      <c r="E28" s="22" t="s">
        <v>166</v>
      </c>
      <c r="F28" s="23"/>
      <c r="G28" s="23"/>
      <c r="H28" s="24"/>
      <c r="I28" s="22"/>
      <c r="J28" s="22"/>
      <c r="K28" s="22"/>
      <c r="L28" s="22"/>
      <c r="M28" s="22"/>
      <c r="N28" s="22"/>
      <c r="O28" s="22"/>
      <c r="P28" s="22"/>
      <c r="Q28" s="22"/>
      <c r="R28" s="22" t="str">
        <f t="shared" si="1"/>
        <v/>
      </c>
      <c r="S28" s="22"/>
      <c r="T28" s="23"/>
    </row>
    <row r="29" spans="1:20" ht="21" customHeight="1">
      <c r="A29" s="22"/>
      <c r="B29" s="23"/>
      <c r="C29" s="23"/>
      <c r="D29" s="22" t="str">
        <f t="shared" ca="1" si="0"/>
        <v/>
      </c>
      <c r="E29" s="22" t="s">
        <v>166</v>
      </c>
      <c r="F29" s="23"/>
      <c r="G29" s="23"/>
      <c r="H29" s="24"/>
      <c r="I29" s="22"/>
      <c r="J29" s="22"/>
      <c r="K29" s="22"/>
      <c r="L29" s="22"/>
      <c r="M29" s="22"/>
      <c r="N29" s="22"/>
      <c r="O29" s="22"/>
      <c r="P29" s="22"/>
      <c r="Q29" s="22"/>
      <c r="R29" s="22" t="str">
        <f t="shared" si="1"/>
        <v/>
      </c>
      <c r="S29" s="22"/>
      <c r="T29" s="23"/>
    </row>
    <row r="30" spans="1:20" ht="21" customHeight="1">
      <c r="A30" s="22"/>
      <c r="B30" s="23"/>
      <c r="C30" s="23"/>
      <c r="D30" s="22" t="str">
        <f t="shared" ca="1" si="0"/>
        <v/>
      </c>
      <c r="E30" s="22" t="s">
        <v>166</v>
      </c>
      <c r="F30" s="23"/>
      <c r="G30" s="23"/>
      <c r="H30" s="24"/>
      <c r="I30" s="22"/>
      <c r="J30" s="22"/>
      <c r="K30" s="22"/>
      <c r="L30" s="22"/>
      <c r="M30" s="22"/>
      <c r="N30" s="22"/>
      <c r="O30" s="22"/>
      <c r="P30" s="22"/>
      <c r="Q30" s="22"/>
      <c r="R30" s="22" t="str">
        <f t="shared" si="1"/>
        <v/>
      </c>
      <c r="S30" s="22"/>
      <c r="T30" s="23"/>
    </row>
    <row r="31" spans="1:20" ht="21" customHeight="1">
      <c r="A31" s="22"/>
      <c r="B31" s="23"/>
      <c r="C31" s="23"/>
      <c r="D31" s="22" t="str">
        <f t="shared" ca="1" si="0"/>
        <v/>
      </c>
      <c r="E31" s="22" t="s">
        <v>166</v>
      </c>
      <c r="F31" s="23"/>
      <c r="G31" s="23"/>
      <c r="H31" s="24"/>
      <c r="I31" s="22"/>
      <c r="J31" s="22"/>
      <c r="K31" s="22"/>
      <c r="L31" s="22"/>
      <c r="M31" s="22"/>
      <c r="N31" s="22"/>
      <c r="O31" s="22"/>
      <c r="P31" s="22"/>
      <c r="Q31" s="22"/>
      <c r="R31" s="22" t="str">
        <f t="shared" si="1"/>
        <v/>
      </c>
      <c r="S31" s="22"/>
      <c r="T31" s="23"/>
    </row>
    <row r="32" spans="1:20" ht="21" customHeight="1">
      <c r="A32" s="22"/>
      <c r="B32" s="23"/>
      <c r="C32" s="23"/>
      <c r="D32" s="22" t="str">
        <f t="shared" ca="1" si="0"/>
        <v/>
      </c>
      <c r="E32" s="22" t="s">
        <v>166</v>
      </c>
      <c r="F32" s="23"/>
      <c r="G32" s="23"/>
      <c r="H32" s="24"/>
      <c r="I32" s="22"/>
      <c r="J32" s="22"/>
      <c r="K32" s="22"/>
      <c r="L32" s="22"/>
      <c r="M32" s="22"/>
      <c r="N32" s="22"/>
      <c r="O32" s="22"/>
      <c r="P32" s="22"/>
      <c r="Q32" s="22"/>
      <c r="R32" s="22" t="str">
        <f t="shared" si="1"/>
        <v/>
      </c>
      <c r="S32" s="22"/>
      <c r="T32" s="23"/>
    </row>
    <row r="33" spans="1:20" ht="21" customHeight="1">
      <c r="A33" s="22"/>
      <c r="B33" s="23"/>
      <c r="C33" s="23"/>
      <c r="D33" s="22" t="str">
        <f t="shared" ca="1" si="0"/>
        <v/>
      </c>
      <c r="E33" s="22" t="s">
        <v>166</v>
      </c>
      <c r="F33" s="23"/>
      <c r="G33" s="23"/>
      <c r="H33" s="24"/>
      <c r="I33" s="22"/>
      <c r="J33" s="22"/>
      <c r="K33" s="22"/>
      <c r="L33" s="22"/>
      <c r="M33" s="22"/>
      <c r="N33" s="22"/>
      <c r="O33" s="22"/>
      <c r="P33" s="22"/>
      <c r="Q33" s="22"/>
      <c r="R33" s="22" t="str">
        <f t="shared" si="1"/>
        <v/>
      </c>
      <c r="S33" s="22"/>
      <c r="T33" s="23"/>
    </row>
    <row r="34" spans="1:20" ht="21" customHeight="1">
      <c r="A34" s="22"/>
      <c r="B34" s="23"/>
      <c r="C34" s="23"/>
      <c r="D34" s="22" t="str">
        <f t="shared" ca="1" si="0"/>
        <v/>
      </c>
      <c r="E34" s="22" t="s">
        <v>166</v>
      </c>
      <c r="F34" s="23"/>
      <c r="G34" s="23"/>
      <c r="H34" s="24"/>
      <c r="I34" s="22"/>
      <c r="J34" s="22"/>
      <c r="K34" s="22"/>
      <c r="L34" s="22"/>
      <c r="M34" s="22"/>
      <c r="N34" s="22"/>
      <c r="O34" s="22"/>
      <c r="P34" s="22"/>
      <c r="Q34" s="22"/>
      <c r="R34" s="22" t="str">
        <f t="shared" si="1"/>
        <v/>
      </c>
      <c r="S34" s="22"/>
      <c r="T34" s="23"/>
    </row>
    <row r="35" spans="1:20" ht="21" customHeight="1">
      <c r="A35" s="22"/>
      <c r="B35" s="23"/>
      <c r="C35" s="23"/>
      <c r="D35" s="22" t="str">
        <f t="shared" ca="1" si="0"/>
        <v/>
      </c>
      <c r="E35" s="22" t="s">
        <v>166</v>
      </c>
      <c r="F35" s="23"/>
      <c r="G35" s="23"/>
      <c r="H35" s="24"/>
      <c r="I35" s="22"/>
      <c r="J35" s="22"/>
      <c r="K35" s="22"/>
      <c r="L35" s="22"/>
      <c r="M35" s="22"/>
      <c r="N35" s="22"/>
      <c r="O35" s="22"/>
      <c r="P35" s="22"/>
      <c r="Q35" s="22"/>
      <c r="R35" s="22" t="str">
        <f t="shared" si="1"/>
        <v/>
      </c>
      <c r="S35" s="22"/>
      <c r="T35" s="23"/>
    </row>
    <row r="36" spans="1:20" ht="21" customHeight="1">
      <c r="A36" s="22"/>
      <c r="B36" s="23"/>
      <c r="C36" s="23"/>
      <c r="D36" s="22" t="str">
        <f t="shared" ref="D36:D67" ca="1" si="2">IF(C36="","",DATEDIF(C36,TODAY(),"Y"))</f>
        <v/>
      </c>
      <c r="E36" s="22" t="s">
        <v>166</v>
      </c>
      <c r="F36" s="23"/>
      <c r="G36" s="23"/>
      <c r="H36" s="24"/>
      <c r="I36" s="22"/>
      <c r="J36" s="22"/>
      <c r="K36" s="22"/>
      <c r="L36" s="22"/>
      <c r="M36" s="22"/>
      <c r="N36" s="22"/>
      <c r="O36" s="22"/>
      <c r="P36" s="22"/>
      <c r="Q36" s="22"/>
      <c r="R36" s="22" t="str">
        <f t="shared" ref="R36:R67" si="3">IF(COUNTA(K36:Q36)=0,"",ROUND(AVERAGE(K36:Q36)*10,0))</f>
        <v/>
      </c>
      <c r="S36" s="22"/>
      <c r="T36" s="23"/>
    </row>
    <row r="37" spans="1:20" ht="21" customHeight="1">
      <c r="A37" s="22"/>
      <c r="B37" s="23"/>
      <c r="C37" s="23"/>
      <c r="D37" s="22" t="str">
        <f t="shared" ca="1" si="2"/>
        <v/>
      </c>
      <c r="E37" s="22" t="s">
        <v>166</v>
      </c>
      <c r="F37" s="23"/>
      <c r="G37" s="23"/>
      <c r="H37" s="24"/>
      <c r="I37" s="22"/>
      <c r="J37" s="22"/>
      <c r="K37" s="22"/>
      <c r="L37" s="22"/>
      <c r="M37" s="22"/>
      <c r="N37" s="22"/>
      <c r="O37" s="22"/>
      <c r="P37" s="22"/>
      <c r="Q37" s="22"/>
      <c r="R37" s="22" t="str">
        <f t="shared" si="3"/>
        <v/>
      </c>
      <c r="S37" s="22"/>
      <c r="T37" s="23"/>
    </row>
    <row r="38" spans="1:20" ht="21" customHeight="1">
      <c r="A38" s="22"/>
      <c r="B38" s="23"/>
      <c r="C38" s="23"/>
      <c r="D38" s="22" t="str">
        <f t="shared" ca="1" si="2"/>
        <v/>
      </c>
      <c r="E38" s="22" t="s">
        <v>166</v>
      </c>
      <c r="F38" s="23"/>
      <c r="G38" s="23"/>
      <c r="H38" s="24"/>
      <c r="I38" s="22"/>
      <c r="J38" s="22"/>
      <c r="K38" s="22"/>
      <c r="L38" s="22"/>
      <c r="M38" s="22"/>
      <c r="N38" s="22"/>
      <c r="O38" s="22"/>
      <c r="P38" s="22"/>
      <c r="Q38" s="22"/>
      <c r="R38" s="22" t="str">
        <f t="shared" si="3"/>
        <v/>
      </c>
      <c r="S38" s="22"/>
      <c r="T38" s="23"/>
    </row>
    <row r="39" spans="1:20" ht="21" customHeight="1">
      <c r="A39" s="22"/>
      <c r="B39" s="23"/>
      <c r="C39" s="23"/>
      <c r="D39" s="22" t="str">
        <f t="shared" ca="1" si="2"/>
        <v/>
      </c>
      <c r="E39" s="22" t="s">
        <v>166</v>
      </c>
      <c r="F39" s="23"/>
      <c r="G39" s="23"/>
      <c r="H39" s="24"/>
      <c r="I39" s="22"/>
      <c r="J39" s="22"/>
      <c r="K39" s="22"/>
      <c r="L39" s="22"/>
      <c r="M39" s="22"/>
      <c r="N39" s="22"/>
      <c r="O39" s="22"/>
      <c r="P39" s="22"/>
      <c r="Q39" s="22"/>
      <c r="R39" s="22" t="str">
        <f t="shared" si="3"/>
        <v/>
      </c>
      <c r="S39" s="22"/>
      <c r="T39" s="23"/>
    </row>
    <row r="40" spans="1:20" ht="21" customHeight="1">
      <c r="A40" s="22"/>
      <c r="B40" s="23"/>
      <c r="C40" s="23"/>
      <c r="D40" s="22" t="str">
        <f t="shared" ca="1" si="2"/>
        <v/>
      </c>
      <c r="E40" s="22" t="s">
        <v>166</v>
      </c>
      <c r="F40" s="23"/>
      <c r="G40" s="23"/>
      <c r="H40" s="24"/>
      <c r="I40" s="22"/>
      <c r="J40" s="22"/>
      <c r="K40" s="22"/>
      <c r="L40" s="22"/>
      <c r="M40" s="22"/>
      <c r="N40" s="22"/>
      <c r="O40" s="22"/>
      <c r="P40" s="22"/>
      <c r="Q40" s="22"/>
      <c r="R40" s="22" t="str">
        <f t="shared" si="3"/>
        <v/>
      </c>
      <c r="S40" s="22"/>
      <c r="T40" s="23"/>
    </row>
    <row r="41" spans="1:20" ht="21" customHeight="1">
      <c r="A41" s="22"/>
      <c r="B41" s="23"/>
      <c r="C41" s="23"/>
      <c r="D41" s="22" t="str">
        <f t="shared" ca="1" si="2"/>
        <v/>
      </c>
      <c r="E41" s="22" t="s">
        <v>166</v>
      </c>
      <c r="F41" s="23"/>
      <c r="G41" s="23"/>
      <c r="H41" s="24"/>
      <c r="I41" s="22"/>
      <c r="J41" s="22"/>
      <c r="K41" s="22"/>
      <c r="L41" s="22"/>
      <c r="M41" s="22"/>
      <c r="N41" s="22"/>
      <c r="O41" s="22"/>
      <c r="P41" s="22"/>
      <c r="Q41" s="22"/>
      <c r="R41" s="22" t="str">
        <f t="shared" si="3"/>
        <v/>
      </c>
      <c r="S41" s="22"/>
      <c r="T41" s="23"/>
    </row>
    <row r="42" spans="1:20" ht="21" customHeight="1">
      <c r="A42" s="22"/>
      <c r="B42" s="23"/>
      <c r="C42" s="23"/>
      <c r="D42" s="22" t="str">
        <f t="shared" ca="1" si="2"/>
        <v/>
      </c>
      <c r="E42" s="22" t="s">
        <v>166</v>
      </c>
      <c r="F42" s="23"/>
      <c r="G42" s="23"/>
      <c r="H42" s="24"/>
      <c r="I42" s="22"/>
      <c r="J42" s="22"/>
      <c r="K42" s="22"/>
      <c r="L42" s="22"/>
      <c r="M42" s="22"/>
      <c r="N42" s="22"/>
      <c r="O42" s="22"/>
      <c r="P42" s="22"/>
      <c r="Q42" s="22"/>
      <c r="R42" s="22" t="str">
        <f t="shared" si="3"/>
        <v/>
      </c>
      <c r="S42" s="22"/>
      <c r="T42" s="23"/>
    </row>
    <row r="43" spans="1:20" ht="21" customHeight="1">
      <c r="A43" s="22"/>
      <c r="B43" s="23"/>
      <c r="C43" s="23"/>
      <c r="D43" s="22" t="str">
        <f t="shared" ca="1" si="2"/>
        <v/>
      </c>
      <c r="E43" s="22" t="s">
        <v>166</v>
      </c>
      <c r="F43" s="23"/>
      <c r="G43" s="23"/>
      <c r="H43" s="24"/>
      <c r="I43" s="22"/>
      <c r="J43" s="22"/>
      <c r="K43" s="22"/>
      <c r="L43" s="22"/>
      <c r="M43" s="22"/>
      <c r="N43" s="22"/>
      <c r="O43" s="22"/>
      <c r="P43" s="22"/>
      <c r="Q43" s="22"/>
      <c r="R43" s="22" t="str">
        <f t="shared" si="3"/>
        <v/>
      </c>
      <c r="S43" s="22"/>
      <c r="T43" s="23"/>
    </row>
    <row r="44" spans="1:20" ht="21" customHeight="1">
      <c r="A44" s="22"/>
      <c r="B44" s="23"/>
      <c r="C44" s="23"/>
      <c r="D44" s="22" t="str">
        <f t="shared" ca="1" si="2"/>
        <v/>
      </c>
      <c r="E44" s="22" t="s">
        <v>166</v>
      </c>
      <c r="F44" s="23"/>
      <c r="G44" s="23"/>
      <c r="H44" s="24"/>
      <c r="I44" s="22"/>
      <c r="J44" s="22"/>
      <c r="K44" s="22"/>
      <c r="L44" s="22"/>
      <c r="M44" s="22"/>
      <c r="N44" s="22"/>
      <c r="O44" s="22"/>
      <c r="P44" s="22"/>
      <c r="Q44" s="22"/>
      <c r="R44" s="22" t="str">
        <f t="shared" si="3"/>
        <v/>
      </c>
      <c r="S44" s="22"/>
      <c r="T44" s="23"/>
    </row>
    <row r="45" spans="1:20" ht="21" customHeight="1">
      <c r="A45" s="22"/>
      <c r="B45" s="23"/>
      <c r="C45" s="23"/>
      <c r="D45" s="22" t="str">
        <f t="shared" ca="1" si="2"/>
        <v/>
      </c>
      <c r="E45" s="22" t="s">
        <v>166</v>
      </c>
      <c r="F45" s="23"/>
      <c r="G45" s="23"/>
      <c r="H45" s="24"/>
      <c r="I45" s="22"/>
      <c r="J45" s="22"/>
      <c r="K45" s="22"/>
      <c r="L45" s="22"/>
      <c r="M45" s="22"/>
      <c r="N45" s="22"/>
      <c r="O45" s="22"/>
      <c r="P45" s="22"/>
      <c r="Q45" s="22"/>
      <c r="R45" s="22" t="str">
        <f t="shared" si="3"/>
        <v/>
      </c>
      <c r="S45" s="22"/>
      <c r="T45" s="23"/>
    </row>
    <row r="46" spans="1:20" ht="21" customHeight="1">
      <c r="A46" s="22"/>
      <c r="B46" s="23"/>
      <c r="C46" s="23"/>
      <c r="D46" s="22" t="str">
        <f t="shared" ca="1" si="2"/>
        <v/>
      </c>
      <c r="E46" s="22" t="s">
        <v>166</v>
      </c>
      <c r="F46" s="23"/>
      <c r="G46" s="23"/>
      <c r="H46" s="24"/>
      <c r="I46" s="22"/>
      <c r="J46" s="22"/>
      <c r="K46" s="22"/>
      <c r="L46" s="22"/>
      <c r="M46" s="22"/>
      <c r="N46" s="22"/>
      <c r="O46" s="22"/>
      <c r="P46" s="22"/>
      <c r="Q46" s="22"/>
      <c r="R46" s="22" t="str">
        <f t="shared" si="3"/>
        <v/>
      </c>
      <c r="S46" s="22"/>
      <c r="T46" s="23"/>
    </row>
    <row r="47" spans="1:20" ht="21" customHeight="1">
      <c r="A47" s="22"/>
      <c r="B47" s="23"/>
      <c r="C47" s="23"/>
      <c r="D47" s="22" t="str">
        <f t="shared" ca="1" si="2"/>
        <v/>
      </c>
      <c r="E47" s="22" t="s">
        <v>166</v>
      </c>
      <c r="F47" s="23"/>
      <c r="G47" s="23"/>
      <c r="H47" s="24"/>
      <c r="I47" s="22"/>
      <c r="J47" s="22"/>
      <c r="K47" s="22"/>
      <c r="L47" s="22"/>
      <c r="M47" s="22"/>
      <c r="N47" s="22"/>
      <c r="O47" s="22"/>
      <c r="P47" s="22"/>
      <c r="Q47" s="22"/>
      <c r="R47" s="22" t="str">
        <f t="shared" si="3"/>
        <v/>
      </c>
      <c r="S47" s="22"/>
      <c r="T47" s="23"/>
    </row>
    <row r="48" spans="1:20" ht="21" customHeight="1">
      <c r="A48" s="22"/>
      <c r="B48" s="23"/>
      <c r="C48" s="23"/>
      <c r="D48" s="22" t="str">
        <f t="shared" ca="1" si="2"/>
        <v/>
      </c>
      <c r="E48" s="22" t="s">
        <v>166</v>
      </c>
      <c r="F48" s="23"/>
      <c r="G48" s="23"/>
      <c r="H48" s="24"/>
      <c r="I48" s="22"/>
      <c r="J48" s="22"/>
      <c r="K48" s="22"/>
      <c r="L48" s="22"/>
      <c r="M48" s="22"/>
      <c r="N48" s="22"/>
      <c r="O48" s="22"/>
      <c r="P48" s="22"/>
      <c r="Q48" s="22"/>
      <c r="R48" s="22" t="str">
        <f t="shared" si="3"/>
        <v/>
      </c>
      <c r="S48" s="22"/>
      <c r="T48" s="23"/>
    </row>
    <row r="49" spans="1:20" ht="21" customHeight="1">
      <c r="A49" s="22"/>
      <c r="B49" s="23"/>
      <c r="C49" s="23"/>
      <c r="D49" s="22" t="str">
        <f t="shared" ca="1" si="2"/>
        <v/>
      </c>
      <c r="E49" s="22" t="s">
        <v>166</v>
      </c>
      <c r="F49" s="23"/>
      <c r="G49" s="23"/>
      <c r="H49" s="24"/>
      <c r="I49" s="22"/>
      <c r="J49" s="22"/>
      <c r="K49" s="22"/>
      <c r="L49" s="22"/>
      <c r="M49" s="22"/>
      <c r="N49" s="22"/>
      <c r="O49" s="22"/>
      <c r="P49" s="22"/>
      <c r="Q49" s="22"/>
      <c r="R49" s="22" t="str">
        <f t="shared" si="3"/>
        <v/>
      </c>
      <c r="S49" s="22"/>
      <c r="T49" s="23"/>
    </row>
    <row r="50" spans="1:20" ht="21" customHeight="1">
      <c r="A50" s="22"/>
      <c r="B50" s="23"/>
      <c r="C50" s="23"/>
      <c r="D50" s="22" t="str">
        <f t="shared" ca="1" si="2"/>
        <v/>
      </c>
      <c r="E50" s="22" t="s">
        <v>166</v>
      </c>
      <c r="F50" s="23"/>
      <c r="G50" s="23"/>
      <c r="H50" s="24"/>
      <c r="I50" s="22"/>
      <c r="J50" s="22"/>
      <c r="K50" s="22"/>
      <c r="L50" s="22"/>
      <c r="M50" s="22"/>
      <c r="N50" s="22"/>
      <c r="O50" s="22"/>
      <c r="P50" s="22"/>
      <c r="Q50" s="22"/>
      <c r="R50" s="22" t="str">
        <f t="shared" si="3"/>
        <v/>
      </c>
      <c r="S50" s="22"/>
      <c r="T50" s="23"/>
    </row>
    <row r="51" spans="1:20" ht="21" customHeight="1">
      <c r="A51" s="22"/>
      <c r="B51" s="23"/>
      <c r="C51" s="23"/>
      <c r="D51" s="22" t="str">
        <f t="shared" ca="1" si="2"/>
        <v/>
      </c>
      <c r="E51" s="22" t="s">
        <v>166</v>
      </c>
      <c r="F51" s="23"/>
      <c r="G51" s="23"/>
      <c r="H51" s="24"/>
      <c r="I51" s="22"/>
      <c r="J51" s="22"/>
      <c r="K51" s="22"/>
      <c r="L51" s="22"/>
      <c r="M51" s="22"/>
      <c r="N51" s="22"/>
      <c r="O51" s="22"/>
      <c r="P51" s="22"/>
      <c r="Q51" s="22"/>
      <c r="R51" s="22" t="str">
        <f t="shared" si="3"/>
        <v/>
      </c>
      <c r="S51" s="22"/>
      <c r="T51" s="23"/>
    </row>
    <row r="52" spans="1:20" ht="21" customHeight="1">
      <c r="A52" s="22"/>
      <c r="B52" s="23"/>
      <c r="C52" s="23"/>
      <c r="D52" s="22" t="str">
        <f t="shared" ca="1" si="2"/>
        <v/>
      </c>
      <c r="E52" s="22" t="s">
        <v>166</v>
      </c>
      <c r="F52" s="23"/>
      <c r="G52" s="23"/>
      <c r="H52" s="24"/>
      <c r="I52" s="22"/>
      <c r="J52" s="22"/>
      <c r="K52" s="22"/>
      <c r="L52" s="22"/>
      <c r="M52" s="22"/>
      <c r="N52" s="22"/>
      <c r="O52" s="22"/>
      <c r="P52" s="22"/>
      <c r="Q52" s="22"/>
      <c r="R52" s="22" t="str">
        <f t="shared" si="3"/>
        <v/>
      </c>
      <c r="S52" s="22"/>
      <c r="T52" s="23"/>
    </row>
    <row r="53" spans="1:20" ht="21" customHeight="1">
      <c r="A53" s="22"/>
      <c r="B53" s="23"/>
      <c r="C53" s="23"/>
      <c r="D53" s="22" t="str">
        <f t="shared" ca="1" si="2"/>
        <v/>
      </c>
      <c r="E53" s="22" t="s">
        <v>166</v>
      </c>
      <c r="F53" s="23"/>
      <c r="G53" s="23"/>
      <c r="H53" s="24"/>
      <c r="I53" s="22"/>
      <c r="J53" s="22"/>
      <c r="K53" s="22"/>
      <c r="L53" s="22"/>
      <c r="M53" s="22"/>
      <c r="N53" s="22"/>
      <c r="O53" s="22"/>
      <c r="P53" s="22"/>
      <c r="Q53" s="22"/>
      <c r="R53" s="22" t="str">
        <f t="shared" si="3"/>
        <v/>
      </c>
      <c r="S53" s="22"/>
      <c r="T53" s="23"/>
    </row>
    <row r="54" spans="1:20" ht="21" customHeight="1">
      <c r="A54" s="22"/>
      <c r="B54" s="23"/>
      <c r="C54" s="23"/>
      <c r="D54" s="22" t="str">
        <f t="shared" ca="1" si="2"/>
        <v/>
      </c>
      <c r="E54" s="22" t="s">
        <v>166</v>
      </c>
      <c r="F54" s="23"/>
      <c r="G54" s="23"/>
      <c r="H54" s="24"/>
      <c r="I54" s="22"/>
      <c r="J54" s="22"/>
      <c r="K54" s="22"/>
      <c r="L54" s="22"/>
      <c r="M54" s="22"/>
      <c r="N54" s="22"/>
      <c r="O54" s="22"/>
      <c r="P54" s="22"/>
      <c r="Q54" s="22"/>
      <c r="R54" s="22" t="str">
        <f t="shared" si="3"/>
        <v/>
      </c>
      <c r="S54" s="22"/>
      <c r="T54" s="23"/>
    </row>
    <row r="55" spans="1:20" ht="21" customHeight="1">
      <c r="A55" s="22"/>
      <c r="B55" s="23"/>
      <c r="C55" s="23"/>
      <c r="D55" s="22" t="str">
        <f t="shared" ca="1" si="2"/>
        <v/>
      </c>
      <c r="E55" s="22" t="s">
        <v>166</v>
      </c>
      <c r="F55" s="23"/>
      <c r="G55" s="23"/>
      <c r="H55" s="24"/>
      <c r="I55" s="22"/>
      <c r="J55" s="22"/>
      <c r="K55" s="22"/>
      <c r="L55" s="22"/>
      <c r="M55" s="22"/>
      <c r="N55" s="22"/>
      <c r="O55" s="22"/>
      <c r="P55" s="22"/>
      <c r="Q55" s="22"/>
      <c r="R55" s="22" t="str">
        <f t="shared" si="3"/>
        <v/>
      </c>
      <c r="S55" s="22"/>
      <c r="T55" s="23"/>
    </row>
    <row r="56" spans="1:20" ht="21" customHeight="1">
      <c r="A56" s="22"/>
      <c r="B56" s="23"/>
      <c r="C56" s="23"/>
      <c r="D56" s="22" t="str">
        <f t="shared" ca="1" si="2"/>
        <v/>
      </c>
      <c r="E56" s="22" t="s">
        <v>166</v>
      </c>
      <c r="F56" s="23"/>
      <c r="G56" s="23"/>
      <c r="H56" s="24"/>
      <c r="I56" s="22"/>
      <c r="J56" s="22"/>
      <c r="K56" s="22"/>
      <c r="L56" s="22"/>
      <c r="M56" s="22"/>
      <c r="N56" s="22"/>
      <c r="O56" s="22"/>
      <c r="P56" s="22"/>
      <c r="Q56" s="22"/>
      <c r="R56" s="22" t="str">
        <f t="shared" si="3"/>
        <v/>
      </c>
      <c r="S56" s="22"/>
      <c r="T56" s="23"/>
    </row>
    <row r="57" spans="1:20" ht="21" customHeight="1">
      <c r="A57" s="22"/>
      <c r="B57" s="23"/>
      <c r="C57" s="23"/>
      <c r="D57" s="22" t="str">
        <f t="shared" ca="1" si="2"/>
        <v/>
      </c>
      <c r="E57" s="22" t="s">
        <v>166</v>
      </c>
      <c r="F57" s="23"/>
      <c r="G57" s="23"/>
      <c r="H57" s="24"/>
      <c r="I57" s="22"/>
      <c r="J57" s="22"/>
      <c r="K57" s="22"/>
      <c r="L57" s="22"/>
      <c r="M57" s="22"/>
      <c r="N57" s="22"/>
      <c r="O57" s="22"/>
      <c r="P57" s="22"/>
      <c r="Q57" s="22"/>
      <c r="R57" s="22" t="str">
        <f t="shared" si="3"/>
        <v/>
      </c>
      <c r="S57" s="22"/>
      <c r="T57" s="23"/>
    </row>
    <row r="58" spans="1:20" ht="21" customHeight="1">
      <c r="A58" s="22"/>
      <c r="B58" s="23"/>
      <c r="C58" s="23"/>
      <c r="D58" s="22" t="str">
        <f t="shared" ca="1" si="2"/>
        <v/>
      </c>
      <c r="E58" s="22" t="s">
        <v>166</v>
      </c>
      <c r="F58" s="23"/>
      <c r="G58" s="23"/>
      <c r="H58" s="24"/>
      <c r="I58" s="22"/>
      <c r="J58" s="22"/>
      <c r="K58" s="22"/>
      <c r="L58" s="22"/>
      <c r="M58" s="22"/>
      <c r="N58" s="22"/>
      <c r="O58" s="22"/>
      <c r="P58" s="22"/>
      <c r="Q58" s="22"/>
      <c r="R58" s="22" t="str">
        <f t="shared" si="3"/>
        <v/>
      </c>
      <c r="S58" s="22"/>
      <c r="T58" s="23"/>
    </row>
    <row r="59" spans="1:20" ht="21" customHeight="1">
      <c r="A59" s="22"/>
      <c r="B59" s="23"/>
      <c r="C59" s="23"/>
      <c r="D59" s="22" t="str">
        <f t="shared" ca="1" si="2"/>
        <v/>
      </c>
      <c r="E59" s="22" t="s">
        <v>166</v>
      </c>
      <c r="F59" s="23"/>
      <c r="G59" s="23"/>
      <c r="H59" s="24"/>
      <c r="I59" s="22"/>
      <c r="J59" s="22"/>
      <c r="K59" s="22"/>
      <c r="L59" s="22"/>
      <c r="M59" s="22"/>
      <c r="N59" s="22"/>
      <c r="O59" s="22"/>
      <c r="P59" s="22"/>
      <c r="Q59" s="22"/>
      <c r="R59" s="22" t="str">
        <f t="shared" si="3"/>
        <v/>
      </c>
      <c r="S59" s="22"/>
      <c r="T59" s="23"/>
    </row>
    <row r="60" spans="1:20" ht="21" customHeight="1">
      <c r="A60" s="22"/>
      <c r="B60" s="23"/>
      <c r="C60" s="23"/>
      <c r="D60" s="22" t="str">
        <f t="shared" ca="1" si="2"/>
        <v/>
      </c>
      <c r="E60" s="22" t="s">
        <v>166</v>
      </c>
      <c r="F60" s="23"/>
      <c r="G60" s="23"/>
      <c r="H60" s="24"/>
      <c r="I60" s="22"/>
      <c r="J60" s="22"/>
      <c r="K60" s="22"/>
      <c r="L60" s="22"/>
      <c r="M60" s="22"/>
      <c r="N60" s="22"/>
      <c r="O60" s="22"/>
      <c r="P60" s="22"/>
      <c r="Q60" s="22"/>
      <c r="R60" s="22" t="str">
        <f t="shared" si="3"/>
        <v/>
      </c>
      <c r="S60" s="22"/>
      <c r="T60" s="23"/>
    </row>
    <row r="61" spans="1:20" ht="21" customHeight="1">
      <c r="A61" s="22"/>
      <c r="B61" s="23"/>
      <c r="C61" s="23"/>
      <c r="D61" s="22" t="str">
        <f t="shared" ca="1" si="2"/>
        <v/>
      </c>
      <c r="E61" s="22" t="s">
        <v>166</v>
      </c>
      <c r="F61" s="23"/>
      <c r="G61" s="23"/>
      <c r="H61" s="24"/>
      <c r="I61" s="22"/>
      <c r="J61" s="22"/>
      <c r="K61" s="22"/>
      <c r="L61" s="22"/>
      <c r="M61" s="22"/>
      <c r="N61" s="22"/>
      <c r="O61" s="22"/>
      <c r="P61" s="22"/>
      <c r="Q61" s="22"/>
      <c r="R61" s="22" t="str">
        <f t="shared" si="3"/>
        <v/>
      </c>
      <c r="S61" s="22"/>
      <c r="T61" s="23"/>
    </row>
    <row r="62" spans="1:20" ht="21" customHeight="1">
      <c r="A62" s="22"/>
      <c r="B62" s="23"/>
      <c r="C62" s="23"/>
      <c r="D62" s="22" t="str">
        <f t="shared" ca="1" si="2"/>
        <v/>
      </c>
      <c r="E62" s="22" t="s">
        <v>166</v>
      </c>
      <c r="F62" s="23"/>
      <c r="G62" s="23"/>
      <c r="H62" s="24"/>
      <c r="I62" s="22"/>
      <c r="J62" s="22"/>
      <c r="K62" s="22"/>
      <c r="L62" s="22"/>
      <c r="M62" s="22"/>
      <c r="N62" s="22"/>
      <c r="O62" s="22"/>
      <c r="P62" s="22"/>
      <c r="Q62" s="22"/>
      <c r="R62" s="22" t="str">
        <f t="shared" si="3"/>
        <v/>
      </c>
      <c r="S62" s="22"/>
      <c r="T62" s="23"/>
    </row>
    <row r="63" spans="1:20" ht="21" customHeight="1">
      <c r="A63" s="22"/>
      <c r="B63" s="23"/>
      <c r="C63" s="23"/>
      <c r="D63" s="22" t="str">
        <f t="shared" ca="1" si="2"/>
        <v/>
      </c>
      <c r="E63" s="22" t="s">
        <v>166</v>
      </c>
      <c r="F63" s="23"/>
      <c r="G63" s="23"/>
      <c r="H63" s="24"/>
      <c r="I63" s="22"/>
      <c r="J63" s="22"/>
      <c r="K63" s="22"/>
      <c r="L63" s="22"/>
      <c r="M63" s="22"/>
      <c r="N63" s="22"/>
      <c r="O63" s="22"/>
      <c r="P63" s="22"/>
      <c r="Q63" s="22"/>
      <c r="R63" s="22" t="str">
        <f t="shared" si="3"/>
        <v/>
      </c>
      <c r="S63" s="22"/>
      <c r="T63" s="23"/>
    </row>
    <row r="64" spans="1:20" ht="21" customHeight="1">
      <c r="A64" s="22"/>
      <c r="B64" s="23"/>
      <c r="C64" s="23"/>
      <c r="D64" s="22" t="str">
        <f t="shared" ca="1" si="2"/>
        <v/>
      </c>
      <c r="E64" s="22" t="s">
        <v>166</v>
      </c>
      <c r="F64" s="23"/>
      <c r="G64" s="23"/>
      <c r="H64" s="24"/>
      <c r="I64" s="22"/>
      <c r="J64" s="22"/>
      <c r="K64" s="22"/>
      <c r="L64" s="22"/>
      <c r="M64" s="22"/>
      <c r="N64" s="22"/>
      <c r="O64" s="22"/>
      <c r="P64" s="22"/>
      <c r="Q64" s="22"/>
      <c r="R64" s="22" t="str">
        <f t="shared" si="3"/>
        <v/>
      </c>
      <c r="S64" s="22"/>
      <c r="T64" s="23"/>
    </row>
    <row r="65" spans="1:20" ht="21" customHeight="1">
      <c r="A65" s="22"/>
      <c r="B65" s="23"/>
      <c r="C65" s="23"/>
      <c r="D65" s="22" t="str">
        <f t="shared" ca="1" si="2"/>
        <v/>
      </c>
      <c r="E65" s="22" t="s">
        <v>166</v>
      </c>
      <c r="F65" s="23"/>
      <c r="G65" s="23"/>
      <c r="H65" s="24"/>
      <c r="I65" s="22"/>
      <c r="J65" s="22"/>
      <c r="K65" s="22"/>
      <c r="L65" s="22"/>
      <c r="M65" s="22"/>
      <c r="N65" s="22"/>
      <c r="O65" s="22"/>
      <c r="P65" s="22"/>
      <c r="Q65" s="22"/>
      <c r="R65" s="22" t="str">
        <f t="shared" si="3"/>
        <v/>
      </c>
      <c r="S65" s="22"/>
      <c r="T65" s="23"/>
    </row>
    <row r="66" spans="1:20" ht="21" customHeight="1">
      <c r="A66" s="22"/>
      <c r="B66" s="23"/>
      <c r="C66" s="23"/>
      <c r="D66" s="22" t="str">
        <f t="shared" ca="1" si="2"/>
        <v/>
      </c>
      <c r="E66" s="22" t="s">
        <v>166</v>
      </c>
      <c r="F66" s="23"/>
      <c r="G66" s="23"/>
      <c r="H66" s="24"/>
      <c r="I66" s="22"/>
      <c r="J66" s="22"/>
      <c r="K66" s="22"/>
      <c r="L66" s="22"/>
      <c r="M66" s="22"/>
      <c r="N66" s="22"/>
      <c r="O66" s="22"/>
      <c r="P66" s="22"/>
      <c r="Q66" s="22"/>
      <c r="R66" s="22" t="str">
        <f t="shared" si="3"/>
        <v/>
      </c>
      <c r="S66" s="22"/>
      <c r="T66" s="23"/>
    </row>
    <row r="67" spans="1:20" ht="21" customHeight="1">
      <c r="A67" s="22"/>
      <c r="B67" s="23"/>
      <c r="C67" s="23"/>
      <c r="D67" s="22" t="str">
        <f t="shared" ca="1" si="2"/>
        <v/>
      </c>
      <c r="E67" s="22" t="s">
        <v>166</v>
      </c>
      <c r="F67" s="23"/>
      <c r="G67" s="23"/>
      <c r="H67" s="24"/>
      <c r="I67" s="22"/>
      <c r="J67" s="22"/>
      <c r="K67" s="22"/>
      <c r="L67" s="22"/>
      <c r="M67" s="22"/>
      <c r="N67" s="22"/>
      <c r="O67" s="22"/>
      <c r="P67" s="22"/>
      <c r="Q67" s="22"/>
      <c r="R67" s="22" t="str">
        <f t="shared" si="3"/>
        <v/>
      </c>
      <c r="S67" s="22"/>
      <c r="T67" s="23"/>
    </row>
    <row r="68" spans="1:20" ht="21" customHeight="1">
      <c r="A68" s="22"/>
      <c r="B68" s="23"/>
      <c r="C68" s="23"/>
      <c r="D68" s="22" t="str">
        <f t="shared" ref="D68:D99" ca="1" si="4">IF(C68="","",DATEDIF(C68,TODAY(),"Y"))</f>
        <v/>
      </c>
      <c r="E68" s="22" t="s">
        <v>166</v>
      </c>
      <c r="F68" s="23"/>
      <c r="G68" s="23"/>
      <c r="H68" s="24"/>
      <c r="I68" s="22"/>
      <c r="J68" s="22"/>
      <c r="K68" s="22"/>
      <c r="L68" s="22"/>
      <c r="M68" s="22"/>
      <c r="N68" s="22"/>
      <c r="O68" s="22"/>
      <c r="P68" s="22"/>
      <c r="Q68" s="22"/>
      <c r="R68" s="22" t="str">
        <f t="shared" ref="R68:R99" si="5">IF(COUNTA(K68:Q68)=0,"",ROUND(AVERAGE(K68:Q68)*10,0))</f>
        <v/>
      </c>
      <c r="S68" s="22"/>
      <c r="T68" s="23"/>
    </row>
    <row r="69" spans="1:20" ht="21" customHeight="1">
      <c r="A69" s="22"/>
      <c r="B69" s="23"/>
      <c r="C69" s="23"/>
      <c r="D69" s="22" t="str">
        <f t="shared" ca="1" si="4"/>
        <v/>
      </c>
      <c r="E69" s="22" t="s">
        <v>166</v>
      </c>
      <c r="F69" s="23"/>
      <c r="G69" s="23"/>
      <c r="H69" s="24"/>
      <c r="I69" s="22"/>
      <c r="J69" s="22"/>
      <c r="K69" s="22"/>
      <c r="L69" s="22"/>
      <c r="M69" s="22"/>
      <c r="N69" s="22"/>
      <c r="O69" s="22"/>
      <c r="P69" s="22"/>
      <c r="Q69" s="22"/>
      <c r="R69" s="22" t="str">
        <f t="shared" si="5"/>
        <v/>
      </c>
      <c r="S69" s="22"/>
      <c r="T69" s="23"/>
    </row>
    <row r="70" spans="1:20" ht="21" customHeight="1">
      <c r="A70" s="22"/>
      <c r="B70" s="23"/>
      <c r="C70" s="23"/>
      <c r="D70" s="22" t="str">
        <f t="shared" ca="1" si="4"/>
        <v/>
      </c>
      <c r="E70" s="22" t="s">
        <v>166</v>
      </c>
      <c r="F70" s="23"/>
      <c r="G70" s="23"/>
      <c r="H70" s="24"/>
      <c r="I70" s="22"/>
      <c r="J70" s="22"/>
      <c r="K70" s="22"/>
      <c r="L70" s="22"/>
      <c r="M70" s="22"/>
      <c r="N70" s="22"/>
      <c r="O70" s="22"/>
      <c r="P70" s="22"/>
      <c r="Q70" s="22"/>
      <c r="R70" s="22" t="str">
        <f t="shared" si="5"/>
        <v/>
      </c>
      <c r="S70" s="22"/>
      <c r="T70" s="23"/>
    </row>
    <row r="71" spans="1:20" ht="21" customHeight="1">
      <c r="A71" s="22"/>
      <c r="B71" s="23"/>
      <c r="C71" s="23"/>
      <c r="D71" s="22" t="str">
        <f t="shared" ca="1" si="4"/>
        <v/>
      </c>
      <c r="E71" s="22" t="s">
        <v>166</v>
      </c>
      <c r="F71" s="23"/>
      <c r="G71" s="23"/>
      <c r="H71" s="24"/>
      <c r="I71" s="22"/>
      <c r="J71" s="22"/>
      <c r="K71" s="22"/>
      <c r="L71" s="22"/>
      <c r="M71" s="22"/>
      <c r="N71" s="22"/>
      <c r="O71" s="22"/>
      <c r="P71" s="22"/>
      <c r="Q71" s="22"/>
      <c r="R71" s="22" t="str">
        <f t="shared" si="5"/>
        <v/>
      </c>
      <c r="S71" s="22"/>
      <c r="T71" s="23"/>
    </row>
    <row r="72" spans="1:20" ht="21" customHeight="1">
      <c r="A72" s="22"/>
      <c r="B72" s="23"/>
      <c r="C72" s="23"/>
      <c r="D72" s="22" t="str">
        <f t="shared" ca="1" si="4"/>
        <v/>
      </c>
      <c r="E72" s="22" t="s">
        <v>166</v>
      </c>
      <c r="F72" s="23"/>
      <c r="G72" s="23"/>
      <c r="H72" s="24"/>
      <c r="I72" s="22"/>
      <c r="J72" s="22"/>
      <c r="K72" s="22"/>
      <c r="L72" s="22"/>
      <c r="M72" s="22"/>
      <c r="N72" s="22"/>
      <c r="O72" s="22"/>
      <c r="P72" s="22"/>
      <c r="Q72" s="22"/>
      <c r="R72" s="22" t="str">
        <f t="shared" si="5"/>
        <v/>
      </c>
      <c r="S72" s="22"/>
      <c r="T72" s="23"/>
    </row>
    <row r="73" spans="1:20" ht="21" customHeight="1">
      <c r="A73" s="22"/>
      <c r="B73" s="23"/>
      <c r="C73" s="23"/>
      <c r="D73" s="22" t="str">
        <f t="shared" ca="1" si="4"/>
        <v/>
      </c>
      <c r="E73" s="22" t="s">
        <v>166</v>
      </c>
      <c r="F73" s="23"/>
      <c r="G73" s="23"/>
      <c r="H73" s="24"/>
      <c r="I73" s="22"/>
      <c r="J73" s="22"/>
      <c r="K73" s="22"/>
      <c r="L73" s="22"/>
      <c r="M73" s="22"/>
      <c r="N73" s="22"/>
      <c r="O73" s="22"/>
      <c r="P73" s="22"/>
      <c r="Q73" s="22"/>
      <c r="R73" s="22" t="str">
        <f t="shared" si="5"/>
        <v/>
      </c>
      <c r="S73" s="22"/>
      <c r="T73" s="23"/>
    </row>
    <row r="74" spans="1:20" ht="21" customHeight="1">
      <c r="A74" s="22"/>
      <c r="B74" s="23"/>
      <c r="C74" s="23"/>
      <c r="D74" s="22" t="str">
        <f t="shared" ca="1" si="4"/>
        <v/>
      </c>
      <c r="E74" s="22" t="s">
        <v>166</v>
      </c>
      <c r="F74" s="23"/>
      <c r="G74" s="23"/>
      <c r="H74" s="24"/>
      <c r="I74" s="22"/>
      <c r="J74" s="22"/>
      <c r="K74" s="22"/>
      <c r="L74" s="22"/>
      <c r="M74" s="22"/>
      <c r="N74" s="22"/>
      <c r="O74" s="22"/>
      <c r="P74" s="22"/>
      <c r="Q74" s="22"/>
      <c r="R74" s="22" t="str">
        <f t="shared" si="5"/>
        <v/>
      </c>
      <c r="S74" s="22"/>
      <c r="T74" s="23"/>
    </row>
    <row r="75" spans="1:20" ht="21" customHeight="1">
      <c r="A75" s="22"/>
      <c r="B75" s="23"/>
      <c r="C75" s="23"/>
      <c r="D75" s="22" t="str">
        <f t="shared" ca="1" si="4"/>
        <v/>
      </c>
      <c r="E75" s="22" t="s">
        <v>166</v>
      </c>
      <c r="F75" s="23"/>
      <c r="G75" s="23"/>
      <c r="H75" s="24"/>
      <c r="I75" s="22"/>
      <c r="J75" s="22"/>
      <c r="K75" s="22"/>
      <c r="L75" s="22"/>
      <c r="M75" s="22"/>
      <c r="N75" s="22"/>
      <c r="O75" s="22"/>
      <c r="P75" s="22"/>
      <c r="Q75" s="22"/>
      <c r="R75" s="22" t="str">
        <f t="shared" si="5"/>
        <v/>
      </c>
      <c r="S75" s="22"/>
      <c r="T75" s="23"/>
    </row>
    <row r="76" spans="1:20" ht="21" customHeight="1">
      <c r="A76" s="22"/>
      <c r="B76" s="23"/>
      <c r="C76" s="23"/>
      <c r="D76" s="22" t="str">
        <f t="shared" ca="1" si="4"/>
        <v/>
      </c>
      <c r="E76" s="22" t="s">
        <v>166</v>
      </c>
      <c r="F76" s="23"/>
      <c r="G76" s="23"/>
      <c r="H76" s="24"/>
      <c r="I76" s="22"/>
      <c r="J76" s="22"/>
      <c r="K76" s="22"/>
      <c r="L76" s="22"/>
      <c r="M76" s="22"/>
      <c r="N76" s="22"/>
      <c r="O76" s="22"/>
      <c r="P76" s="22"/>
      <c r="Q76" s="22"/>
      <c r="R76" s="22" t="str">
        <f t="shared" si="5"/>
        <v/>
      </c>
      <c r="S76" s="22"/>
      <c r="T76" s="23"/>
    </row>
    <row r="77" spans="1:20" ht="21" customHeight="1">
      <c r="A77" s="22"/>
      <c r="B77" s="23"/>
      <c r="C77" s="23"/>
      <c r="D77" s="22" t="str">
        <f t="shared" ca="1" si="4"/>
        <v/>
      </c>
      <c r="E77" s="22" t="s">
        <v>166</v>
      </c>
      <c r="F77" s="23"/>
      <c r="G77" s="23"/>
      <c r="H77" s="24"/>
      <c r="I77" s="22"/>
      <c r="J77" s="22"/>
      <c r="K77" s="22"/>
      <c r="L77" s="22"/>
      <c r="M77" s="22"/>
      <c r="N77" s="22"/>
      <c r="O77" s="22"/>
      <c r="P77" s="22"/>
      <c r="Q77" s="22"/>
      <c r="R77" s="22" t="str">
        <f t="shared" si="5"/>
        <v/>
      </c>
      <c r="S77" s="22"/>
      <c r="T77" s="23"/>
    </row>
    <row r="78" spans="1:20" ht="21" customHeight="1">
      <c r="A78" s="22"/>
      <c r="B78" s="23"/>
      <c r="C78" s="23"/>
      <c r="D78" s="22" t="str">
        <f t="shared" ca="1" si="4"/>
        <v/>
      </c>
      <c r="E78" s="22" t="s">
        <v>166</v>
      </c>
      <c r="F78" s="23"/>
      <c r="G78" s="23"/>
      <c r="H78" s="24"/>
      <c r="I78" s="22"/>
      <c r="J78" s="22"/>
      <c r="K78" s="22"/>
      <c r="L78" s="22"/>
      <c r="M78" s="22"/>
      <c r="N78" s="22"/>
      <c r="O78" s="22"/>
      <c r="P78" s="22"/>
      <c r="Q78" s="22"/>
      <c r="R78" s="22" t="str">
        <f t="shared" si="5"/>
        <v/>
      </c>
      <c r="S78" s="22"/>
      <c r="T78" s="23"/>
    </row>
    <row r="79" spans="1:20" ht="21" customHeight="1">
      <c r="A79" s="22"/>
      <c r="B79" s="23"/>
      <c r="C79" s="23"/>
      <c r="D79" s="22" t="str">
        <f t="shared" ca="1" si="4"/>
        <v/>
      </c>
      <c r="E79" s="22" t="s">
        <v>166</v>
      </c>
      <c r="F79" s="23"/>
      <c r="G79" s="23"/>
      <c r="H79" s="24"/>
      <c r="I79" s="22"/>
      <c r="J79" s="22"/>
      <c r="K79" s="22"/>
      <c r="L79" s="22"/>
      <c r="M79" s="22"/>
      <c r="N79" s="22"/>
      <c r="O79" s="22"/>
      <c r="P79" s="22"/>
      <c r="Q79" s="22"/>
      <c r="R79" s="22" t="str">
        <f t="shared" si="5"/>
        <v/>
      </c>
      <c r="S79" s="22"/>
      <c r="T79" s="23"/>
    </row>
    <row r="80" spans="1:20" ht="21" customHeight="1">
      <c r="A80" s="22"/>
      <c r="B80" s="23"/>
      <c r="C80" s="23"/>
      <c r="D80" s="22" t="str">
        <f t="shared" ca="1" si="4"/>
        <v/>
      </c>
      <c r="E80" s="22" t="s">
        <v>166</v>
      </c>
      <c r="F80" s="23"/>
      <c r="G80" s="23"/>
      <c r="H80" s="24"/>
      <c r="I80" s="22"/>
      <c r="J80" s="22"/>
      <c r="K80" s="22"/>
      <c r="L80" s="22"/>
      <c r="M80" s="22"/>
      <c r="N80" s="22"/>
      <c r="O80" s="22"/>
      <c r="P80" s="22"/>
      <c r="Q80" s="22"/>
      <c r="R80" s="22" t="str">
        <f t="shared" si="5"/>
        <v/>
      </c>
      <c r="S80" s="22"/>
      <c r="T80" s="23"/>
    </row>
    <row r="81" spans="1:20" ht="21" customHeight="1">
      <c r="A81" s="22"/>
      <c r="B81" s="23"/>
      <c r="C81" s="23"/>
      <c r="D81" s="22" t="str">
        <f t="shared" ca="1" si="4"/>
        <v/>
      </c>
      <c r="E81" s="22" t="s">
        <v>166</v>
      </c>
      <c r="F81" s="23"/>
      <c r="G81" s="23"/>
      <c r="H81" s="24"/>
      <c r="I81" s="22"/>
      <c r="J81" s="22"/>
      <c r="K81" s="22"/>
      <c r="L81" s="22"/>
      <c r="M81" s="22"/>
      <c r="N81" s="22"/>
      <c r="O81" s="22"/>
      <c r="P81" s="22"/>
      <c r="Q81" s="22"/>
      <c r="R81" s="22" t="str">
        <f t="shared" si="5"/>
        <v/>
      </c>
      <c r="S81" s="22"/>
      <c r="T81" s="23"/>
    </row>
    <row r="82" spans="1:20" ht="21" customHeight="1">
      <c r="A82" s="22"/>
      <c r="B82" s="23"/>
      <c r="C82" s="23"/>
      <c r="D82" s="22" t="str">
        <f t="shared" ca="1" si="4"/>
        <v/>
      </c>
      <c r="E82" s="22" t="s">
        <v>166</v>
      </c>
      <c r="F82" s="23"/>
      <c r="G82" s="23"/>
      <c r="H82" s="24"/>
      <c r="I82" s="22"/>
      <c r="J82" s="22"/>
      <c r="K82" s="22"/>
      <c r="L82" s="22"/>
      <c r="M82" s="22"/>
      <c r="N82" s="22"/>
      <c r="O82" s="22"/>
      <c r="P82" s="22"/>
      <c r="Q82" s="22"/>
      <c r="R82" s="22" t="str">
        <f t="shared" si="5"/>
        <v/>
      </c>
      <c r="S82" s="22"/>
      <c r="T82" s="23"/>
    </row>
    <row r="83" spans="1:20" ht="21" customHeight="1">
      <c r="A83" s="22"/>
      <c r="B83" s="23"/>
      <c r="C83" s="23"/>
      <c r="D83" s="22" t="str">
        <f t="shared" ca="1" si="4"/>
        <v/>
      </c>
      <c r="E83" s="22" t="s">
        <v>166</v>
      </c>
      <c r="F83" s="23"/>
      <c r="G83" s="23"/>
      <c r="H83" s="24"/>
      <c r="I83" s="22"/>
      <c r="J83" s="22"/>
      <c r="K83" s="22"/>
      <c r="L83" s="22"/>
      <c r="M83" s="22"/>
      <c r="N83" s="22"/>
      <c r="O83" s="22"/>
      <c r="P83" s="22"/>
      <c r="Q83" s="22"/>
      <c r="R83" s="22" t="str">
        <f t="shared" si="5"/>
        <v/>
      </c>
      <c r="S83" s="22"/>
      <c r="T83" s="23"/>
    </row>
    <row r="84" spans="1:20" ht="21" customHeight="1">
      <c r="A84" s="22"/>
      <c r="B84" s="23"/>
      <c r="C84" s="23"/>
      <c r="D84" s="22" t="str">
        <f t="shared" ca="1" si="4"/>
        <v/>
      </c>
      <c r="E84" s="22" t="s">
        <v>166</v>
      </c>
      <c r="F84" s="23"/>
      <c r="G84" s="23"/>
      <c r="H84" s="24"/>
      <c r="I84" s="22"/>
      <c r="J84" s="22"/>
      <c r="K84" s="22"/>
      <c r="L84" s="22"/>
      <c r="M84" s="22"/>
      <c r="N84" s="22"/>
      <c r="O84" s="22"/>
      <c r="P84" s="22"/>
      <c r="Q84" s="22"/>
      <c r="R84" s="22" t="str">
        <f t="shared" si="5"/>
        <v/>
      </c>
      <c r="S84" s="22"/>
      <c r="T84" s="23"/>
    </row>
    <row r="85" spans="1:20" ht="21" customHeight="1">
      <c r="A85" s="22"/>
      <c r="B85" s="23"/>
      <c r="C85" s="23"/>
      <c r="D85" s="22" t="str">
        <f t="shared" ca="1" si="4"/>
        <v/>
      </c>
      <c r="E85" s="22" t="s">
        <v>166</v>
      </c>
      <c r="F85" s="23"/>
      <c r="G85" s="23"/>
      <c r="H85" s="24"/>
      <c r="I85" s="22"/>
      <c r="J85" s="22"/>
      <c r="K85" s="22"/>
      <c r="L85" s="22"/>
      <c r="M85" s="22"/>
      <c r="N85" s="22"/>
      <c r="O85" s="22"/>
      <c r="P85" s="22"/>
      <c r="Q85" s="22"/>
      <c r="R85" s="22" t="str">
        <f t="shared" si="5"/>
        <v/>
      </c>
      <c r="S85" s="22"/>
      <c r="T85" s="23"/>
    </row>
    <row r="86" spans="1:20" ht="21" customHeight="1">
      <c r="A86" s="22"/>
      <c r="B86" s="23"/>
      <c r="C86" s="23"/>
      <c r="D86" s="22" t="str">
        <f t="shared" ca="1" si="4"/>
        <v/>
      </c>
      <c r="E86" s="22" t="s">
        <v>166</v>
      </c>
      <c r="F86" s="23"/>
      <c r="G86" s="23"/>
      <c r="H86" s="24"/>
      <c r="I86" s="22"/>
      <c r="J86" s="22"/>
      <c r="K86" s="22"/>
      <c r="L86" s="22"/>
      <c r="M86" s="22"/>
      <c r="N86" s="22"/>
      <c r="O86" s="22"/>
      <c r="P86" s="22"/>
      <c r="Q86" s="22"/>
      <c r="R86" s="22" t="str">
        <f t="shared" si="5"/>
        <v/>
      </c>
      <c r="S86" s="22"/>
      <c r="T86" s="23"/>
    </row>
    <row r="87" spans="1:20" ht="21" customHeight="1">
      <c r="A87" s="22"/>
      <c r="B87" s="23"/>
      <c r="C87" s="23"/>
      <c r="D87" s="22" t="str">
        <f t="shared" ca="1" si="4"/>
        <v/>
      </c>
      <c r="E87" s="22" t="s">
        <v>166</v>
      </c>
      <c r="F87" s="23"/>
      <c r="G87" s="23"/>
      <c r="H87" s="24"/>
      <c r="I87" s="22"/>
      <c r="J87" s="22"/>
      <c r="K87" s="22"/>
      <c r="L87" s="22"/>
      <c r="M87" s="22"/>
      <c r="N87" s="22"/>
      <c r="O87" s="22"/>
      <c r="P87" s="22"/>
      <c r="Q87" s="22"/>
      <c r="R87" s="22" t="str">
        <f t="shared" si="5"/>
        <v/>
      </c>
      <c r="S87" s="22"/>
      <c r="T87" s="23"/>
    </row>
    <row r="88" spans="1:20" ht="21" customHeight="1">
      <c r="A88" s="22"/>
      <c r="B88" s="23"/>
      <c r="C88" s="23"/>
      <c r="D88" s="22" t="str">
        <f t="shared" ca="1" si="4"/>
        <v/>
      </c>
      <c r="E88" s="22" t="s">
        <v>166</v>
      </c>
      <c r="F88" s="23"/>
      <c r="G88" s="23"/>
      <c r="H88" s="24"/>
      <c r="I88" s="22"/>
      <c r="J88" s="22"/>
      <c r="K88" s="22"/>
      <c r="L88" s="22"/>
      <c r="M88" s="22"/>
      <c r="N88" s="22"/>
      <c r="O88" s="22"/>
      <c r="P88" s="22"/>
      <c r="Q88" s="22"/>
      <c r="R88" s="22" t="str">
        <f t="shared" si="5"/>
        <v/>
      </c>
      <c r="S88" s="22"/>
      <c r="T88" s="23"/>
    </row>
    <row r="89" spans="1:20" ht="21" customHeight="1">
      <c r="A89" s="22"/>
      <c r="B89" s="23"/>
      <c r="C89" s="23"/>
      <c r="D89" s="22" t="str">
        <f t="shared" ca="1" si="4"/>
        <v/>
      </c>
      <c r="E89" s="22" t="s">
        <v>166</v>
      </c>
      <c r="F89" s="23"/>
      <c r="G89" s="23"/>
      <c r="H89" s="24"/>
      <c r="I89" s="22"/>
      <c r="J89" s="22"/>
      <c r="K89" s="22"/>
      <c r="L89" s="22"/>
      <c r="M89" s="22"/>
      <c r="N89" s="22"/>
      <c r="O89" s="22"/>
      <c r="P89" s="22"/>
      <c r="Q89" s="22"/>
      <c r="R89" s="22" t="str">
        <f t="shared" si="5"/>
        <v/>
      </c>
      <c r="S89" s="22"/>
      <c r="T89" s="23"/>
    </row>
    <row r="90" spans="1:20" ht="21" customHeight="1">
      <c r="A90" s="22"/>
      <c r="B90" s="23"/>
      <c r="C90" s="23"/>
      <c r="D90" s="22" t="str">
        <f t="shared" ca="1" si="4"/>
        <v/>
      </c>
      <c r="E90" s="22" t="s">
        <v>166</v>
      </c>
      <c r="F90" s="23"/>
      <c r="G90" s="23"/>
      <c r="H90" s="24"/>
      <c r="I90" s="22"/>
      <c r="J90" s="22"/>
      <c r="K90" s="22"/>
      <c r="L90" s="22"/>
      <c r="M90" s="22"/>
      <c r="N90" s="22"/>
      <c r="O90" s="22"/>
      <c r="P90" s="22"/>
      <c r="Q90" s="22"/>
      <c r="R90" s="22" t="str">
        <f t="shared" si="5"/>
        <v/>
      </c>
      <c r="S90" s="22"/>
      <c r="T90" s="23"/>
    </row>
    <row r="91" spans="1:20" ht="21" customHeight="1">
      <c r="A91" s="22"/>
      <c r="B91" s="23"/>
      <c r="C91" s="23"/>
      <c r="D91" s="22" t="str">
        <f t="shared" ca="1" si="4"/>
        <v/>
      </c>
      <c r="E91" s="22" t="s">
        <v>166</v>
      </c>
      <c r="F91" s="23"/>
      <c r="G91" s="23"/>
      <c r="H91" s="24"/>
      <c r="I91" s="22"/>
      <c r="J91" s="22"/>
      <c r="K91" s="22"/>
      <c r="L91" s="22"/>
      <c r="M91" s="22"/>
      <c r="N91" s="22"/>
      <c r="O91" s="22"/>
      <c r="P91" s="22"/>
      <c r="Q91" s="22"/>
      <c r="R91" s="22" t="str">
        <f t="shared" si="5"/>
        <v/>
      </c>
      <c r="S91" s="22"/>
      <c r="T91" s="23"/>
    </row>
    <row r="92" spans="1:20" ht="21" customHeight="1">
      <c r="A92" s="22"/>
      <c r="B92" s="23"/>
      <c r="C92" s="23"/>
      <c r="D92" s="22" t="str">
        <f t="shared" ca="1" si="4"/>
        <v/>
      </c>
      <c r="E92" s="22" t="s">
        <v>166</v>
      </c>
      <c r="F92" s="23"/>
      <c r="G92" s="23"/>
      <c r="H92" s="24"/>
      <c r="I92" s="22"/>
      <c r="J92" s="22"/>
      <c r="K92" s="22"/>
      <c r="L92" s="22"/>
      <c r="M92" s="22"/>
      <c r="N92" s="22"/>
      <c r="O92" s="22"/>
      <c r="P92" s="22"/>
      <c r="Q92" s="22"/>
      <c r="R92" s="22" t="str">
        <f t="shared" si="5"/>
        <v/>
      </c>
      <c r="S92" s="22"/>
      <c r="T92" s="23"/>
    </row>
    <row r="93" spans="1:20" ht="21" customHeight="1">
      <c r="A93" s="22"/>
      <c r="B93" s="23"/>
      <c r="C93" s="23"/>
      <c r="D93" s="22" t="str">
        <f t="shared" ca="1" si="4"/>
        <v/>
      </c>
      <c r="E93" s="22" t="s">
        <v>166</v>
      </c>
      <c r="F93" s="23"/>
      <c r="G93" s="23"/>
      <c r="H93" s="24"/>
      <c r="I93" s="22"/>
      <c r="J93" s="22"/>
      <c r="K93" s="22"/>
      <c r="L93" s="22"/>
      <c r="M93" s="22"/>
      <c r="N93" s="22"/>
      <c r="O93" s="22"/>
      <c r="P93" s="22"/>
      <c r="Q93" s="22"/>
      <c r="R93" s="22" t="str">
        <f t="shared" si="5"/>
        <v/>
      </c>
      <c r="S93" s="22"/>
      <c r="T93" s="23"/>
    </row>
    <row r="94" spans="1:20" ht="21" customHeight="1">
      <c r="A94" s="22"/>
      <c r="B94" s="23"/>
      <c r="C94" s="23"/>
      <c r="D94" s="22" t="str">
        <f t="shared" ca="1" si="4"/>
        <v/>
      </c>
      <c r="E94" s="22" t="s">
        <v>166</v>
      </c>
      <c r="F94" s="23"/>
      <c r="G94" s="23"/>
      <c r="H94" s="24"/>
      <c r="I94" s="22"/>
      <c r="J94" s="22"/>
      <c r="K94" s="22"/>
      <c r="L94" s="22"/>
      <c r="M94" s="22"/>
      <c r="N94" s="22"/>
      <c r="O94" s="22"/>
      <c r="P94" s="22"/>
      <c r="Q94" s="22"/>
      <c r="R94" s="22" t="str">
        <f t="shared" si="5"/>
        <v/>
      </c>
      <c r="S94" s="22"/>
      <c r="T94" s="23"/>
    </row>
    <row r="95" spans="1:20" ht="21" customHeight="1">
      <c r="A95" s="22"/>
      <c r="B95" s="23"/>
      <c r="C95" s="23"/>
      <c r="D95" s="22" t="str">
        <f t="shared" ca="1" si="4"/>
        <v/>
      </c>
      <c r="E95" s="22" t="s">
        <v>166</v>
      </c>
      <c r="F95" s="23"/>
      <c r="G95" s="23"/>
      <c r="H95" s="24"/>
      <c r="I95" s="22"/>
      <c r="J95" s="22"/>
      <c r="K95" s="22"/>
      <c r="L95" s="22"/>
      <c r="M95" s="22"/>
      <c r="N95" s="22"/>
      <c r="O95" s="22"/>
      <c r="P95" s="22"/>
      <c r="Q95" s="22"/>
      <c r="R95" s="22" t="str">
        <f t="shared" si="5"/>
        <v/>
      </c>
      <c r="S95" s="22"/>
      <c r="T95" s="23"/>
    </row>
    <row r="96" spans="1:20" ht="21" customHeight="1">
      <c r="A96" s="22"/>
      <c r="B96" s="23"/>
      <c r="C96" s="23"/>
      <c r="D96" s="22" t="str">
        <f t="shared" ca="1" si="4"/>
        <v/>
      </c>
      <c r="E96" s="22" t="s">
        <v>166</v>
      </c>
      <c r="F96" s="23"/>
      <c r="G96" s="23"/>
      <c r="H96" s="24"/>
      <c r="I96" s="22"/>
      <c r="J96" s="22"/>
      <c r="K96" s="22"/>
      <c r="L96" s="22"/>
      <c r="M96" s="22"/>
      <c r="N96" s="22"/>
      <c r="O96" s="22"/>
      <c r="P96" s="22"/>
      <c r="Q96" s="22"/>
      <c r="R96" s="22" t="str">
        <f t="shared" si="5"/>
        <v/>
      </c>
      <c r="S96" s="22"/>
      <c r="T96" s="23"/>
    </row>
    <row r="97" spans="1:20" ht="21" customHeight="1">
      <c r="A97" s="22"/>
      <c r="B97" s="23"/>
      <c r="C97" s="23"/>
      <c r="D97" s="22" t="str">
        <f t="shared" ca="1" si="4"/>
        <v/>
      </c>
      <c r="E97" s="22" t="s">
        <v>166</v>
      </c>
      <c r="F97" s="23"/>
      <c r="G97" s="23"/>
      <c r="H97" s="24"/>
      <c r="I97" s="22"/>
      <c r="J97" s="22"/>
      <c r="K97" s="22"/>
      <c r="L97" s="22"/>
      <c r="M97" s="22"/>
      <c r="N97" s="22"/>
      <c r="O97" s="22"/>
      <c r="P97" s="22"/>
      <c r="Q97" s="22"/>
      <c r="R97" s="22" t="str">
        <f t="shared" si="5"/>
        <v/>
      </c>
      <c r="S97" s="22"/>
      <c r="T97" s="23"/>
    </row>
    <row r="98" spans="1:20" ht="21" customHeight="1">
      <c r="A98" s="22"/>
      <c r="B98" s="23"/>
      <c r="C98" s="23"/>
      <c r="D98" s="22" t="str">
        <f t="shared" ca="1" si="4"/>
        <v/>
      </c>
      <c r="E98" s="22" t="s">
        <v>166</v>
      </c>
      <c r="F98" s="23"/>
      <c r="G98" s="23"/>
      <c r="H98" s="24"/>
      <c r="I98" s="22"/>
      <c r="J98" s="22"/>
      <c r="K98" s="22"/>
      <c r="L98" s="22"/>
      <c r="M98" s="22"/>
      <c r="N98" s="22"/>
      <c r="O98" s="22"/>
      <c r="P98" s="22"/>
      <c r="Q98" s="22"/>
      <c r="R98" s="22" t="str">
        <f t="shared" si="5"/>
        <v/>
      </c>
      <c r="S98" s="22"/>
      <c r="T98" s="23"/>
    </row>
    <row r="99" spans="1:20" ht="21" customHeight="1">
      <c r="A99" s="22"/>
      <c r="B99" s="23"/>
      <c r="C99" s="23"/>
      <c r="D99" s="22" t="str">
        <f t="shared" ca="1" si="4"/>
        <v/>
      </c>
      <c r="E99" s="22" t="s">
        <v>166</v>
      </c>
      <c r="F99" s="23"/>
      <c r="G99" s="23"/>
      <c r="H99" s="24"/>
      <c r="I99" s="22"/>
      <c r="J99" s="22"/>
      <c r="K99" s="22"/>
      <c r="L99" s="22"/>
      <c r="M99" s="22"/>
      <c r="N99" s="22"/>
      <c r="O99" s="22"/>
      <c r="P99" s="22"/>
      <c r="Q99" s="22"/>
      <c r="R99" s="22" t="str">
        <f t="shared" si="5"/>
        <v/>
      </c>
      <c r="S99" s="22"/>
      <c r="T99" s="23"/>
    </row>
    <row r="100" spans="1:20" ht="21" customHeight="1">
      <c r="A100" s="22"/>
      <c r="B100" s="23"/>
      <c r="C100" s="23"/>
      <c r="D100" s="22" t="str">
        <f t="shared" ref="D100:D103" ca="1" si="6">IF(C100="","",DATEDIF(C100,TODAY(),"Y"))</f>
        <v/>
      </c>
      <c r="E100" s="22" t="s">
        <v>166</v>
      </c>
      <c r="F100" s="23"/>
      <c r="G100" s="23"/>
      <c r="H100" s="24"/>
      <c r="I100" s="22"/>
      <c r="J100" s="22"/>
      <c r="K100" s="22"/>
      <c r="L100" s="22"/>
      <c r="M100" s="22"/>
      <c r="N100" s="22"/>
      <c r="O100" s="22"/>
      <c r="P100" s="22"/>
      <c r="Q100" s="22"/>
      <c r="R100" s="22" t="str">
        <f t="shared" ref="R100:R103" si="7">IF(COUNTA(K100:Q100)=0,"",ROUND(AVERAGE(K100:Q100)*10,0))</f>
        <v/>
      </c>
      <c r="S100" s="22"/>
      <c r="T100" s="23"/>
    </row>
    <row r="101" spans="1:20" ht="21" customHeight="1">
      <c r="A101" s="22"/>
      <c r="B101" s="23"/>
      <c r="C101" s="23"/>
      <c r="D101" s="22" t="str">
        <f t="shared" ca="1" si="6"/>
        <v/>
      </c>
      <c r="E101" s="22" t="s">
        <v>166</v>
      </c>
      <c r="F101" s="23"/>
      <c r="G101" s="23"/>
      <c r="H101" s="24"/>
      <c r="I101" s="22"/>
      <c r="J101" s="22"/>
      <c r="K101" s="22"/>
      <c r="L101" s="22"/>
      <c r="M101" s="22"/>
      <c r="N101" s="22"/>
      <c r="O101" s="22"/>
      <c r="P101" s="22"/>
      <c r="Q101" s="22"/>
      <c r="R101" s="22" t="str">
        <f t="shared" si="7"/>
        <v/>
      </c>
      <c r="S101" s="22"/>
      <c r="T101" s="23"/>
    </row>
    <row r="102" spans="1:20" ht="21" customHeight="1">
      <c r="A102" s="22"/>
      <c r="B102" s="23"/>
      <c r="C102" s="23"/>
      <c r="D102" s="22" t="str">
        <f t="shared" ca="1" si="6"/>
        <v/>
      </c>
      <c r="E102" s="22" t="s">
        <v>166</v>
      </c>
      <c r="F102" s="23"/>
      <c r="G102" s="23"/>
      <c r="H102" s="24"/>
      <c r="I102" s="22"/>
      <c r="J102" s="22"/>
      <c r="K102" s="22"/>
      <c r="L102" s="22"/>
      <c r="M102" s="22"/>
      <c r="N102" s="22"/>
      <c r="O102" s="22"/>
      <c r="P102" s="22"/>
      <c r="Q102" s="22"/>
      <c r="R102" s="22" t="str">
        <f t="shared" si="7"/>
        <v/>
      </c>
      <c r="S102" s="22"/>
      <c r="T102" s="23"/>
    </row>
    <row r="103" spans="1:20" ht="21" customHeight="1">
      <c r="A103" s="22"/>
      <c r="B103" s="23"/>
      <c r="C103" s="23"/>
      <c r="D103" s="22" t="str">
        <f t="shared" ca="1" si="6"/>
        <v/>
      </c>
      <c r="E103" s="22" t="s">
        <v>166</v>
      </c>
      <c r="F103" s="23"/>
      <c r="G103" s="23"/>
      <c r="H103" s="24"/>
      <c r="I103" s="22"/>
      <c r="J103" s="22"/>
      <c r="K103" s="22"/>
      <c r="L103" s="22"/>
      <c r="M103" s="22"/>
      <c r="N103" s="22"/>
      <c r="O103" s="22"/>
      <c r="P103" s="22"/>
      <c r="Q103" s="22"/>
      <c r="R103" s="22" t="str">
        <f t="shared" si="7"/>
        <v/>
      </c>
      <c r="S103" s="22"/>
      <c r="T103" s="23"/>
    </row>
  </sheetData>
  <mergeCells count="2">
    <mergeCell ref="A1:T1"/>
    <mergeCell ref="A2:H2"/>
  </mergeCells>
  <conditionalFormatting sqref="A4:T103">
    <cfRule type="expression" dxfId="16" priority="1">
      <formula>$H4="Yeşil"</formula>
    </cfRule>
    <cfRule type="expression" dxfId="15" priority="2">
      <formula>$H4="Sarı"</formula>
    </cfRule>
    <cfRule type="expression" dxfId="14" priority="3">
      <formula>$H4="Kırmızı"</formula>
    </cfRule>
  </conditionalFormatting>
  <conditionalFormatting sqref="G4:G103">
    <cfRule type="expression" dxfId="13" priority="4">
      <formula>AND($G4&lt;&gt;"",$G4&gt;=TODAY(),$G4&lt;=EDATE(TODAY(),6))</formula>
    </cfRule>
    <cfRule type="expression" dxfId="12" priority="5">
      <formula>AND($G4&lt;&gt;"",$G4&gt;EDATE(TODAY(),6),$G4&lt;=EDATE(TODAY(),12))</formula>
    </cfRule>
  </conditionalFormatting>
  <dataValidations count="3">
    <dataValidation type="list" allowBlank="1" showErrorMessage="1" sqref="H4:H103" xr:uid="{00000000-0002-0000-1000-000000000000}">
      <formula1>"Kırmızı,Sarı,Yeşil"</formula1>
    </dataValidation>
    <dataValidation sqref="K4:Q103" xr:uid="{00000000-0002-0000-1000-000001000000}">
      <formula1>1</formula1>
      <formula2>10</formula2>
    </dataValidation>
    <dataValidation type="list" sqref="S4:S103" xr:uid="{00000000-0002-0000-1000-000002000000}">
      <formula1>"A Liste,B Liste,Takip,Tekrar İzle,Ele"</formula1>
    </dataValidation>
  </dataValidation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1001"/>
  <sheetViews>
    <sheetView workbookViewId="0">
      <selection activeCell="I1001" sqref="I1001"/>
    </sheetView>
  </sheetViews>
  <sheetFormatPr baseColWidth="10" defaultColWidth="8.83203125" defaultRowHeight="14"/>
  <cols>
    <col min="1" max="1" width="24" customWidth="1"/>
    <col min="2" max="3" width="14" customWidth="1"/>
    <col min="4" max="4" width="8" customWidth="1"/>
    <col min="5" max="5" width="16" customWidth="1"/>
    <col min="6" max="6" width="20" customWidth="1"/>
    <col min="7" max="7" width="14.1640625" bestFit="1" customWidth="1"/>
    <col min="8" max="8" width="11" customWidth="1"/>
    <col min="9" max="9" width="8.1640625" bestFit="1" customWidth="1"/>
    <col min="18" max="18" width="11" customWidth="1"/>
    <col min="19" max="20" width="14" customWidth="1"/>
    <col min="21" max="21" width="24" customWidth="1"/>
    <col min="22" max="22" width="12" customWidth="1"/>
    <col min="23" max="24" width="13" hidden="1" customWidth="1"/>
  </cols>
  <sheetData>
    <row r="1" spans="1:24" ht="32" customHeight="1">
      <c r="A1" s="26" t="s">
        <v>1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7</v>
      </c>
      <c r="G1" s="26" t="s">
        <v>8</v>
      </c>
      <c r="H1" s="26" t="s">
        <v>9</v>
      </c>
      <c r="I1" s="26" t="s">
        <v>10</v>
      </c>
      <c r="J1" s="26" t="s">
        <v>11</v>
      </c>
      <c r="K1" s="26" t="s">
        <v>12</v>
      </c>
      <c r="L1" s="26" t="s">
        <v>13</v>
      </c>
      <c r="M1" s="26" t="s">
        <v>14</v>
      </c>
      <c r="N1" s="26" t="s">
        <v>15</v>
      </c>
      <c r="O1" s="26" t="s">
        <v>16</v>
      </c>
      <c r="P1" s="26" t="s">
        <v>17</v>
      </c>
      <c r="Q1" s="26" t="s">
        <v>18</v>
      </c>
      <c r="R1" s="26" t="s">
        <v>19</v>
      </c>
      <c r="S1" s="26" t="s">
        <v>20</v>
      </c>
      <c r="T1" s="26" t="s">
        <v>21</v>
      </c>
      <c r="U1" s="26" t="s">
        <v>182</v>
      </c>
      <c r="V1" s="26" t="s">
        <v>923</v>
      </c>
      <c r="W1" s="26" t="s">
        <v>924</v>
      </c>
      <c r="X1" t="s">
        <v>925</v>
      </c>
    </row>
    <row r="2" spans="1:24">
      <c r="A2" t="str">
        <f>IF(Kaleciler!A4="","",Kaleciler!A4)</f>
        <v/>
      </c>
      <c r="B2" t="str">
        <f>IF(Kaleciler!B4="","",Kaleciler!B4)</f>
        <v/>
      </c>
      <c r="C2" s="2" t="str">
        <f>IF(Kaleciler!C4="","",Kaleciler!C4)</f>
        <v/>
      </c>
      <c r="D2" t="str">
        <f ca="1">IF(Kaleciler!D4="","",Kaleciler!D4)</f>
        <v/>
      </c>
      <c r="E2" t="str">
        <f>IF(Kaleciler!E4="","",Kaleciler!E4)</f>
        <v>Kaleci</v>
      </c>
      <c r="F2" t="str">
        <f>IF(Kaleciler!G4="","",Kaleciler!G4)</f>
        <v/>
      </c>
      <c r="G2" s="2" t="str">
        <f>IF(Kaleciler!H4="","",Kaleciler!H4)</f>
        <v/>
      </c>
      <c r="H2" t="str">
        <f>IF(Kaleciler!I4="","",Kaleciler!I4)</f>
        <v/>
      </c>
      <c r="I2" t="str">
        <f>IF(Kaleciler!A4="","",Kaleciler!J4)</f>
        <v/>
      </c>
      <c r="J2" t="str">
        <f>IF(Kaleciler!A4="","",Kaleciler!K4)</f>
        <v/>
      </c>
      <c r="K2" t="str">
        <f>IF(Kaleciler!L4="","",Kaleciler!L4)</f>
        <v/>
      </c>
      <c r="L2" t="str">
        <f>IF(Kaleciler!M4="","",Kaleciler!M4)</f>
        <v/>
      </c>
      <c r="M2" t="str">
        <f>IF(Kaleciler!N4="","",Kaleciler!N4)</f>
        <v/>
      </c>
      <c r="N2" t="str">
        <f>IF(Kaleciler!O4="","",Kaleciler!O4)</f>
        <v/>
      </c>
      <c r="O2" t="str">
        <f>IF(Kaleciler!P4="","",Kaleciler!P4)</f>
        <v/>
      </c>
      <c r="P2" t="str">
        <f>IF(Kaleciler!Q4="","",Kaleciler!Q4)</f>
        <v/>
      </c>
      <c r="Q2" t="str">
        <f>IF(Kaleciler!R4="","",Kaleciler!R4)</f>
        <v/>
      </c>
      <c r="R2" t="str">
        <f>IF(Kaleciler!S4="","",Kaleciler!S4)</f>
        <v/>
      </c>
      <c r="S2" t="str">
        <f>IF(Kaleciler!T4="","",Kaleciler!T4)</f>
        <v/>
      </c>
      <c r="T2" s="2" t="str">
        <f>IF(Kaleciler!U4="","",Kaleciler!U4)</f>
        <v/>
      </c>
      <c r="U2" t="s">
        <v>926</v>
      </c>
      <c r="V2">
        <v>4</v>
      </c>
      <c r="W2" t="str">
        <f ca="1">IF(AND($A2&lt;&gt;"",ISNUMBER($G2),$G2&gt;=TODAY(),$G2&lt;=EDATE(TODAY(),12)),COUNTIFS($G$2:$G$1001,"&gt;="&amp;TODAY(),$G$2:$G$1001,"&lt;"&amp;$G2,$A$2:$A$1001,"&lt;&gt;")+COUNTIFS($G$2:$G2,$G2,$A$2:$A2,"&lt;&gt;"),"")</f>
        <v/>
      </c>
      <c r="X2" t="str">
        <f>IF(AND($A2&lt;&gt;"",ISNUMBER($C2),$C2&gt;=DATE(2003,1,1)),COUNTIFS($C$2:$C2,"&gt;="&amp;DATE(2003,1,1),$A$2:$A2,"&lt;&gt;"),"")</f>
        <v/>
      </c>
    </row>
    <row r="3" spans="1:24">
      <c r="A3" t="str">
        <f>IF(Kaleciler!A5="","",Kaleciler!A5)</f>
        <v/>
      </c>
      <c r="B3" t="str">
        <f>IF(Kaleciler!B5="","",Kaleciler!B5)</f>
        <v/>
      </c>
      <c r="C3" s="2" t="str">
        <f>IF(Kaleciler!C5="","",Kaleciler!C5)</f>
        <v/>
      </c>
      <c r="D3" t="str">
        <f ca="1">IF(Kaleciler!D5="","",Kaleciler!D5)</f>
        <v/>
      </c>
      <c r="E3" t="str">
        <f>IF(Kaleciler!E5="","",Kaleciler!E5)</f>
        <v>Kaleci</v>
      </c>
      <c r="F3" t="str">
        <f>IF(Kaleciler!G5="","",Kaleciler!G5)</f>
        <v/>
      </c>
      <c r="G3" s="2" t="str">
        <f>IF(Kaleciler!H5="","",Kaleciler!H5)</f>
        <v/>
      </c>
      <c r="H3" t="str">
        <f>IF(Kaleciler!I5="","",Kaleciler!I5)</f>
        <v/>
      </c>
      <c r="I3" t="str">
        <f>IF(Kaleciler!A5="","",Kaleciler!J5)</f>
        <v/>
      </c>
      <c r="J3" t="str">
        <f>IF(Kaleciler!A5="","",Kaleciler!K5)</f>
        <v/>
      </c>
      <c r="K3" t="str">
        <f>IF(Kaleciler!L5="","",Kaleciler!L5)</f>
        <v/>
      </c>
      <c r="L3" t="str">
        <f>IF(Kaleciler!M5="","",Kaleciler!M5)</f>
        <v/>
      </c>
      <c r="M3" t="str">
        <f>IF(Kaleciler!N5="","",Kaleciler!N5)</f>
        <v/>
      </c>
      <c r="N3" t="str">
        <f>IF(Kaleciler!O5="","",Kaleciler!O5)</f>
        <v/>
      </c>
      <c r="O3" t="str">
        <f>IF(Kaleciler!P5="","",Kaleciler!P5)</f>
        <v/>
      </c>
      <c r="P3" t="str">
        <f>IF(Kaleciler!Q5="","",Kaleciler!Q5)</f>
        <v/>
      </c>
      <c r="Q3" t="str">
        <f>IF(Kaleciler!R5="","",Kaleciler!R5)</f>
        <v/>
      </c>
      <c r="R3" t="str">
        <f>IF(Kaleciler!S5="","",Kaleciler!S5)</f>
        <v/>
      </c>
      <c r="S3" t="str">
        <f>IF(Kaleciler!T5="","",Kaleciler!T5)</f>
        <v/>
      </c>
      <c r="T3" s="2" t="str">
        <f>IF(Kaleciler!U5="","",Kaleciler!U5)</f>
        <v/>
      </c>
      <c r="U3" t="s">
        <v>926</v>
      </c>
      <c r="V3">
        <v>5</v>
      </c>
      <c r="W3" t="str">
        <f ca="1">IF(AND($A3&lt;&gt;"",ISNUMBER($G3),$G3&gt;=TODAY(),$G3&lt;=EDATE(TODAY(),12)),COUNTIFS($G$2:$G$1001,"&gt;="&amp;TODAY(),$G$2:$G$1001,"&lt;"&amp;$G3,$A$2:$A$1001,"&lt;&gt;")+COUNTIFS($G$2:$G3,$G3,$A$2:$A3,"&lt;&gt;"),"")</f>
        <v/>
      </c>
      <c r="X3" t="str">
        <f>IF(AND($A3&lt;&gt;"",ISNUMBER($C3),$C3&gt;=DATE(2003,1,1)),COUNTIFS($C$2:$C3,"&gt;="&amp;DATE(2003,1,1),$A$2:$A3,"&lt;&gt;"),"")</f>
        <v/>
      </c>
    </row>
    <row r="4" spans="1:24">
      <c r="A4" t="str">
        <f>IF(Kaleciler!A6="","",Kaleciler!A6)</f>
        <v/>
      </c>
      <c r="B4" t="str">
        <f>IF(Kaleciler!B6="","",Kaleciler!B6)</f>
        <v/>
      </c>
      <c r="C4" s="2" t="str">
        <f>IF(Kaleciler!C6="","",Kaleciler!C6)</f>
        <v/>
      </c>
      <c r="D4" t="str">
        <f ca="1">IF(Kaleciler!D6="","",Kaleciler!D6)</f>
        <v/>
      </c>
      <c r="E4" t="str">
        <f>IF(Kaleciler!E6="","",Kaleciler!E6)</f>
        <v>Kaleci</v>
      </c>
      <c r="F4" t="str">
        <f>IF(Kaleciler!G6="","",Kaleciler!G6)</f>
        <v/>
      </c>
      <c r="G4" s="2" t="str">
        <f>IF(Kaleciler!H6="","",Kaleciler!H6)</f>
        <v/>
      </c>
      <c r="H4" t="str">
        <f>IF(Kaleciler!I6="","",Kaleciler!I6)</f>
        <v/>
      </c>
      <c r="I4" t="str">
        <f>IF(Kaleciler!A6="","",Kaleciler!J6)</f>
        <v/>
      </c>
      <c r="J4" t="str">
        <f>IF(Kaleciler!A6="","",Kaleciler!K6)</f>
        <v/>
      </c>
      <c r="K4" t="str">
        <f>IF(Kaleciler!L6="","",Kaleciler!L6)</f>
        <v/>
      </c>
      <c r="L4" t="str">
        <f>IF(Kaleciler!M6="","",Kaleciler!M6)</f>
        <v/>
      </c>
      <c r="M4" t="str">
        <f>IF(Kaleciler!N6="","",Kaleciler!N6)</f>
        <v/>
      </c>
      <c r="N4" t="str">
        <f>IF(Kaleciler!O6="","",Kaleciler!O6)</f>
        <v/>
      </c>
      <c r="O4" t="str">
        <f>IF(Kaleciler!P6="","",Kaleciler!P6)</f>
        <v/>
      </c>
      <c r="P4" t="str">
        <f>IF(Kaleciler!Q6="","",Kaleciler!Q6)</f>
        <v/>
      </c>
      <c r="Q4" t="str">
        <f>IF(Kaleciler!R6="","",Kaleciler!R6)</f>
        <v/>
      </c>
      <c r="R4" t="str">
        <f>IF(Kaleciler!S6="","",Kaleciler!S6)</f>
        <v/>
      </c>
      <c r="S4" t="str">
        <f>IF(Kaleciler!T6="","",Kaleciler!T6)</f>
        <v/>
      </c>
      <c r="T4" s="2" t="str">
        <f>IF(Kaleciler!U6="","",Kaleciler!U6)</f>
        <v/>
      </c>
      <c r="U4" t="s">
        <v>926</v>
      </c>
      <c r="V4">
        <v>6</v>
      </c>
      <c r="W4" t="str">
        <f ca="1">IF(AND($A4&lt;&gt;"",ISNUMBER($G4),$G4&gt;=TODAY(),$G4&lt;=EDATE(TODAY(),12)),COUNTIFS($G$2:$G$1001,"&gt;="&amp;TODAY(),$G$2:$G$1001,"&lt;"&amp;$G4,$A$2:$A$1001,"&lt;&gt;")+COUNTIFS($G$2:$G4,$G4,$A$2:$A4,"&lt;&gt;"),"")</f>
        <v/>
      </c>
      <c r="X4" t="str">
        <f>IF(AND($A4&lt;&gt;"",ISNUMBER($C4),$C4&gt;=DATE(2003,1,1)),COUNTIFS($C$2:$C4,"&gt;="&amp;DATE(2003,1,1),$A$2:$A4,"&lt;&gt;"),"")</f>
        <v/>
      </c>
    </row>
    <row r="5" spans="1:24">
      <c r="A5" t="str">
        <f>IF(Kaleciler!A7="","",Kaleciler!A7)</f>
        <v/>
      </c>
      <c r="B5" t="str">
        <f>IF(Kaleciler!B7="","",Kaleciler!B7)</f>
        <v/>
      </c>
      <c r="C5" s="2" t="str">
        <f>IF(Kaleciler!C7="","",Kaleciler!C7)</f>
        <v/>
      </c>
      <c r="D5" t="str">
        <f ca="1">IF(Kaleciler!D7="","",Kaleciler!D7)</f>
        <v/>
      </c>
      <c r="E5" t="str">
        <f>IF(Kaleciler!E7="","",Kaleciler!E7)</f>
        <v>Kaleci</v>
      </c>
      <c r="F5" t="str">
        <f>IF(Kaleciler!G7="","",Kaleciler!G7)</f>
        <v/>
      </c>
      <c r="G5" s="2" t="str">
        <f>IF(Kaleciler!H7="","",Kaleciler!H7)</f>
        <v/>
      </c>
      <c r="H5" t="str">
        <f>IF(Kaleciler!I7="","",Kaleciler!I7)</f>
        <v/>
      </c>
      <c r="I5" t="str">
        <f>IF(Kaleciler!A7="","",Kaleciler!J7)</f>
        <v/>
      </c>
      <c r="J5" t="str">
        <f>IF(Kaleciler!A7="","",Kaleciler!K7)</f>
        <v/>
      </c>
      <c r="K5" t="str">
        <f>IF(Kaleciler!L7="","",Kaleciler!L7)</f>
        <v/>
      </c>
      <c r="L5" t="str">
        <f>IF(Kaleciler!M7="","",Kaleciler!M7)</f>
        <v/>
      </c>
      <c r="M5" t="str">
        <f>IF(Kaleciler!N7="","",Kaleciler!N7)</f>
        <v/>
      </c>
      <c r="N5" t="str">
        <f>IF(Kaleciler!O7="","",Kaleciler!O7)</f>
        <v/>
      </c>
      <c r="O5" t="str">
        <f>IF(Kaleciler!P7="","",Kaleciler!P7)</f>
        <v/>
      </c>
      <c r="P5" t="str">
        <f>IF(Kaleciler!Q7="","",Kaleciler!Q7)</f>
        <v/>
      </c>
      <c r="Q5" t="str">
        <f>IF(Kaleciler!R7="","",Kaleciler!R7)</f>
        <v/>
      </c>
      <c r="R5" t="str">
        <f>IF(Kaleciler!S7="","",Kaleciler!S7)</f>
        <v/>
      </c>
      <c r="S5" t="str">
        <f>IF(Kaleciler!T7="","",Kaleciler!T7)</f>
        <v/>
      </c>
      <c r="T5" s="2" t="str">
        <f>IF(Kaleciler!U7="","",Kaleciler!U7)</f>
        <v/>
      </c>
      <c r="U5" t="s">
        <v>926</v>
      </c>
      <c r="V5">
        <v>7</v>
      </c>
      <c r="W5" t="str">
        <f ca="1">IF(AND($A5&lt;&gt;"",ISNUMBER($G5),$G5&gt;=TODAY(),$G5&lt;=EDATE(TODAY(),12)),COUNTIFS($G$2:$G$1001,"&gt;="&amp;TODAY(),$G$2:$G$1001,"&lt;"&amp;$G5,$A$2:$A$1001,"&lt;&gt;")+COUNTIFS($G$2:$G5,$G5,$A$2:$A5,"&lt;&gt;"),"")</f>
        <v/>
      </c>
      <c r="X5" t="str">
        <f>IF(AND($A5&lt;&gt;"",ISNUMBER($C5),$C5&gt;=DATE(2003,1,1)),COUNTIFS($C$2:$C5,"&gt;="&amp;DATE(2003,1,1),$A$2:$A5,"&lt;&gt;"),"")</f>
        <v/>
      </c>
    </row>
    <row r="6" spans="1:24">
      <c r="A6" t="str">
        <f>IF(Kaleciler!A8="","",Kaleciler!A8)</f>
        <v/>
      </c>
      <c r="B6" t="str">
        <f>IF(Kaleciler!B8="","",Kaleciler!B8)</f>
        <v/>
      </c>
      <c r="C6" s="2" t="str">
        <f>IF(Kaleciler!C8="","",Kaleciler!C8)</f>
        <v/>
      </c>
      <c r="D6" t="str">
        <f ca="1">IF(Kaleciler!D8="","",Kaleciler!D8)</f>
        <v/>
      </c>
      <c r="E6" t="str">
        <f>IF(Kaleciler!E8="","",Kaleciler!E8)</f>
        <v>Kaleci</v>
      </c>
      <c r="F6" t="str">
        <f>IF(Kaleciler!G8="","",Kaleciler!G8)</f>
        <v/>
      </c>
      <c r="G6" s="2" t="str">
        <f>IF(Kaleciler!H8="","",Kaleciler!H8)</f>
        <v/>
      </c>
      <c r="H6" t="str">
        <f>IF(Kaleciler!I8="","",Kaleciler!I8)</f>
        <v/>
      </c>
      <c r="I6" t="str">
        <f>IF(Kaleciler!A8="","",Kaleciler!J8)</f>
        <v/>
      </c>
      <c r="J6" t="str">
        <f>IF(Kaleciler!A8="","",Kaleciler!K8)</f>
        <v/>
      </c>
      <c r="K6" t="str">
        <f>IF(Kaleciler!L8="","",Kaleciler!L8)</f>
        <v/>
      </c>
      <c r="L6" t="str">
        <f>IF(Kaleciler!M8="","",Kaleciler!M8)</f>
        <v/>
      </c>
      <c r="M6" t="str">
        <f>IF(Kaleciler!N8="","",Kaleciler!N8)</f>
        <v/>
      </c>
      <c r="N6" t="str">
        <f>IF(Kaleciler!O8="","",Kaleciler!O8)</f>
        <v/>
      </c>
      <c r="O6" t="str">
        <f>IF(Kaleciler!P8="","",Kaleciler!P8)</f>
        <v/>
      </c>
      <c r="P6" t="str">
        <f>IF(Kaleciler!Q8="","",Kaleciler!Q8)</f>
        <v/>
      </c>
      <c r="Q6" t="str">
        <f>IF(Kaleciler!R8="","",Kaleciler!R8)</f>
        <v/>
      </c>
      <c r="R6" t="str">
        <f>IF(Kaleciler!S8="","",Kaleciler!S8)</f>
        <v/>
      </c>
      <c r="S6" t="str">
        <f>IF(Kaleciler!T8="","",Kaleciler!T8)</f>
        <v/>
      </c>
      <c r="T6" s="2" t="str">
        <f>IF(Kaleciler!U8="","",Kaleciler!U8)</f>
        <v/>
      </c>
      <c r="U6" t="s">
        <v>926</v>
      </c>
      <c r="V6">
        <v>8</v>
      </c>
      <c r="W6" t="str">
        <f ca="1">IF(AND($A6&lt;&gt;"",ISNUMBER($G6),$G6&gt;=TODAY(),$G6&lt;=EDATE(TODAY(),12)),COUNTIFS($G$2:$G$1001,"&gt;="&amp;TODAY(),$G$2:$G$1001,"&lt;"&amp;$G6,$A$2:$A$1001,"&lt;&gt;")+COUNTIFS($G$2:$G6,$G6,$A$2:$A6,"&lt;&gt;"),"")</f>
        <v/>
      </c>
      <c r="X6" t="str">
        <f>IF(AND($A6&lt;&gt;"",ISNUMBER($C6),$C6&gt;=DATE(2003,1,1)),COUNTIFS($C$2:$C6,"&gt;="&amp;DATE(2003,1,1),$A$2:$A6,"&lt;&gt;"),"")</f>
        <v/>
      </c>
    </row>
    <row r="7" spans="1:24">
      <c r="A7" t="str">
        <f>IF(Kaleciler!A9="","",Kaleciler!A9)</f>
        <v/>
      </c>
      <c r="B7" t="str">
        <f>IF(Kaleciler!B9="","",Kaleciler!B9)</f>
        <v/>
      </c>
      <c r="C7" s="2" t="str">
        <f>IF(Kaleciler!C9="","",Kaleciler!C9)</f>
        <v/>
      </c>
      <c r="D7" t="str">
        <f ca="1">IF(Kaleciler!D9="","",Kaleciler!D9)</f>
        <v/>
      </c>
      <c r="E7" t="str">
        <f>IF(Kaleciler!E9="","",Kaleciler!E9)</f>
        <v>Kaleci</v>
      </c>
      <c r="F7" t="str">
        <f>IF(Kaleciler!G9="","",Kaleciler!G9)</f>
        <v/>
      </c>
      <c r="G7" s="2" t="str">
        <f>IF(Kaleciler!H9="","",Kaleciler!H9)</f>
        <v/>
      </c>
      <c r="H7" t="str">
        <f>IF(Kaleciler!I9="","",Kaleciler!I9)</f>
        <v/>
      </c>
      <c r="I7" t="str">
        <f>IF(Kaleciler!A9="","",Kaleciler!J9)</f>
        <v/>
      </c>
      <c r="J7" t="str">
        <f>IF(Kaleciler!A9="","",Kaleciler!K9)</f>
        <v/>
      </c>
      <c r="K7" t="str">
        <f>IF(Kaleciler!L9="","",Kaleciler!L9)</f>
        <v/>
      </c>
      <c r="L7" t="str">
        <f>IF(Kaleciler!M9="","",Kaleciler!M9)</f>
        <v/>
      </c>
      <c r="M7" t="str">
        <f>IF(Kaleciler!N9="","",Kaleciler!N9)</f>
        <v/>
      </c>
      <c r="N7" t="str">
        <f>IF(Kaleciler!O9="","",Kaleciler!O9)</f>
        <v/>
      </c>
      <c r="O7" t="str">
        <f>IF(Kaleciler!P9="","",Kaleciler!P9)</f>
        <v/>
      </c>
      <c r="P7" t="str">
        <f>IF(Kaleciler!Q9="","",Kaleciler!Q9)</f>
        <v/>
      </c>
      <c r="Q7" t="str">
        <f>IF(Kaleciler!R9="","",Kaleciler!R9)</f>
        <v/>
      </c>
      <c r="R7" t="str">
        <f>IF(Kaleciler!S9="","",Kaleciler!S9)</f>
        <v/>
      </c>
      <c r="S7" t="str">
        <f>IF(Kaleciler!T9="","",Kaleciler!T9)</f>
        <v/>
      </c>
      <c r="T7" s="2" t="str">
        <f>IF(Kaleciler!U9="","",Kaleciler!U9)</f>
        <v/>
      </c>
      <c r="U7" t="s">
        <v>926</v>
      </c>
      <c r="V7">
        <v>9</v>
      </c>
      <c r="W7" t="str">
        <f ca="1">IF(AND($A7&lt;&gt;"",ISNUMBER($G7),$G7&gt;=TODAY(),$G7&lt;=EDATE(TODAY(),12)),COUNTIFS($G$2:$G$1001,"&gt;="&amp;TODAY(),$G$2:$G$1001,"&lt;"&amp;$G7,$A$2:$A$1001,"&lt;&gt;")+COUNTIFS($G$2:$G7,$G7,$A$2:$A7,"&lt;&gt;"),"")</f>
        <v/>
      </c>
      <c r="X7" t="str">
        <f>IF(AND($A7&lt;&gt;"",ISNUMBER($C7),$C7&gt;=DATE(2003,1,1)),COUNTIFS($C$2:$C7,"&gt;="&amp;DATE(2003,1,1),$A$2:$A7,"&lt;&gt;"),"")</f>
        <v/>
      </c>
    </row>
    <row r="8" spans="1:24">
      <c r="A8" t="str">
        <f>IF(Kaleciler!A10="","",Kaleciler!A10)</f>
        <v/>
      </c>
      <c r="B8" t="str">
        <f>IF(Kaleciler!B10="","",Kaleciler!B10)</f>
        <v/>
      </c>
      <c r="C8" s="2" t="str">
        <f>IF(Kaleciler!C10="","",Kaleciler!C10)</f>
        <v/>
      </c>
      <c r="D8" t="str">
        <f ca="1">IF(Kaleciler!D10="","",Kaleciler!D10)</f>
        <v/>
      </c>
      <c r="E8" t="str">
        <f>IF(Kaleciler!E10="","",Kaleciler!E10)</f>
        <v>Kaleci</v>
      </c>
      <c r="F8" t="str">
        <f>IF(Kaleciler!G10="","",Kaleciler!G10)</f>
        <v/>
      </c>
      <c r="G8" s="2" t="str">
        <f>IF(Kaleciler!H10="","",Kaleciler!H10)</f>
        <v/>
      </c>
      <c r="H8" t="str">
        <f>IF(Kaleciler!I10="","",Kaleciler!I10)</f>
        <v/>
      </c>
      <c r="I8" t="str">
        <f>IF(Kaleciler!A10="","",Kaleciler!J10)</f>
        <v/>
      </c>
      <c r="J8" t="str">
        <f>IF(Kaleciler!A10="","",Kaleciler!K10)</f>
        <v/>
      </c>
      <c r="K8" t="str">
        <f>IF(Kaleciler!L10="","",Kaleciler!L10)</f>
        <v/>
      </c>
      <c r="L8" t="str">
        <f>IF(Kaleciler!M10="","",Kaleciler!M10)</f>
        <v/>
      </c>
      <c r="M8" t="str">
        <f>IF(Kaleciler!N10="","",Kaleciler!N10)</f>
        <v/>
      </c>
      <c r="N8" t="str">
        <f>IF(Kaleciler!O10="","",Kaleciler!O10)</f>
        <v/>
      </c>
      <c r="O8" t="str">
        <f>IF(Kaleciler!P10="","",Kaleciler!P10)</f>
        <v/>
      </c>
      <c r="P8" t="str">
        <f>IF(Kaleciler!Q10="","",Kaleciler!Q10)</f>
        <v/>
      </c>
      <c r="Q8" t="str">
        <f>IF(Kaleciler!R10="","",Kaleciler!R10)</f>
        <v/>
      </c>
      <c r="R8" t="str">
        <f>IF(Kaleciler!S10="","",Kaleciler!S10)</f>
        <v/>
      </c>
      <c r="S8" t="str">
        <f>IF(Kaleciler!T10="","",Kaleciler!T10)</f>
        <v/>
      </c>
      <c r="T8" s="2" t="str">
        <f>IF(Kaleciler!U10="","",Kaleciler!U10)</f>
        <v/>
      </c>
      <c r="U8" t="s">
        <v>926</v>
      </c>
      <c r="V8">
        <v>10</v>
      </c>
      <c r="W8" t="str">
        <f ca="1">IF(AND($A8&lt;&gt;"",ISNUMBER($G8),$G8&gt;=TODAY(),$G8&lt;=EDATE(TODAY(),12)),COUNTIFS($G$2:$G$1001,"&gt;="&amp;TODAY(),$G$2:$G$1001,"&lt;"&amp;$G8,$A$2:$A$1001,"&lt;&gt;")+COUNTIFS($G$2:$G8,$G8,$A$2:$A8,"&lt;&gt;"),"")</f>
        <v/>
      </c>
      <c r="X8" t="str">
        <f>IF(AND($A8&lt;&gt;"",ISNUMBER($C8),$C8&gt;=DATE(2003,1,1)),COUNTIFS($C$2:$C8,"&gt;="&amp;DATE(2003,1,1),$A$2:$A8,"&lt;&gt;"),"")</f>
        <v/>
      </c>
    </row>
    <row r="9" spans="1:24">
      <c r="A9" t="str">
        <f>IF(Kaleciler!A11="","",Kaleciler!A11)</f>
        <v/>
      </c>
      <c r="B9" t="str">
        <f>IF(Kaleciler!B11="","",Kaleciler!B11)</f>
        <v/>
      </c>
      <c r="C9" s="2" t="str">
        <f>IF(Kaleciler!C11="","",Kaleciler!C11)</f>
        <v/>
      </c>
      <c r="D9" t="str">
        <f ca="1">IF(Kaleciler!D11="","",Kaleciler!D11)</f>
        <v/>
      </c>
      <c r="E9" t="str">
        <f>IF(Kaleciler!E11="","",Kaleciler!E11)</f>
        <v>Kaleci</v>
      </c>
      <c r="F9" t="str">
        <f>IF(Kaleciler!G11="","",Kaleciler!G11)</f>
        <v/>
      </c>
      <c r="G9" s="2" t="str">
        <f>IF(Kaleciler!H11="","",Kaleciler!H11)</f>
        <v/>
      </c>
      <c r="H9" t="str">
        <f>IF(Kaleciler!I11="","",Kaleciler!I11)</f>
        <v/>
      </c>
      <c r="I9" t="str">
        <f>IF(Kaleciler!A11="","",Kaleciler!J11)</f>
        <v/>
      </c>
      <c r="J9" t="str">
        <f>IF(Kaleciler!A11="","",Kaleciler!K11)</f>
        <v/>
      </c>
      <c r="K9" t="str">
        <f>IF(Kaleciler!L11="","",Kaleciler!L11)</f>
        <v/>
      </c>
      <c r="L9" t="str">
        <f>IF(Kaleciler!M11="","",Kaleciler!M11)</f>
        <v/>
      </c>
      <c r="M9" t="str">
        <f>IF(Kaleciler!N11="","",Kaleciler!N11)</f>
        <v/>
      </c>
      <c r="N9" t="str">
        <f>IF(Kaleciler!O11="","",Kaleciler!O11)</f>
        <v/>
      </c>
      <c r="O9" t="str">
        <f>IF(Kaleciler!P11="","",Kaleciler!P11)</f>
        <v/>
      </c>
      <c r="P9" t="str">
        <f>IF(Kaleciler!Q11="","",Kaleciler!Q11)</f>
        <v/>
      </c>
      <c r="Q9" t="str">
        <f>IF(Kaleciler!R11="","",Kaleciler!R11)</f>
        <v/>
      </c>
      <c r="R9" t="str">
        <f>IF(Kaleciler!S11="","",Kaleciler!S11)</f>
        <v/>
      </c>
      <c r="S9" t="str">
        <f>IF(Kaleciler!T11="","",Kaleciler!T11)</f>
        <v/>
      </c>
      <c r="T9" s="2" t="str">
        <f>IF(Kaleciler!U11="","",Kaleciler!U11)</f>
        <v/>
      </c>
      <c r="U9" t="s">
        <v>926</v>
      </c>
      <c r="V9">
        <v>11</v>
      </c>
      <c r="W9" t="str">
        <f ca="1">IF(AND($A9&lt;&gt;"",ISNUMBER($G9),$G9&gt;=TODAY(),$G9&lt;=EDATE(TODAY(),12)),COUNTIFS($G$2:$G$1001,"&gt;="&amp;TODAY(),$G$2:$G$1001,"&lt;"&amp;$G9,$A$2:$A$1001,"&lt;&gt;")+COUNTIFS($G$2:$G9,$G9,$A$2:$A9,"&lt;&gt;"),"")</f>
        <v/>
      </c>
      <c r="X9" t="str">
        <f>IF(AND($A9&lt;&gt;"",ISNUMBER($C9),$C9&gt;=DATE(2003,1,1)),COUNTIFS($C$2:$C9,"&gt;="&amp;DATE(2003,1,1),$A$2:$A9,"&lt;&gt;"),"")</f>
        <v/>
      </c>
    </row>
    <row r="10" spans="1:24">
      <c r="A10" t="str">
        <f>IF(Kaleciler!A12="","",Kaleciler!A12)</f>
        <v/>
      </c>
      <c r="B10" t="str">
        <f>IF(Kaleciler!B12="","",Kaleciler!B12)</f>
        <v/>
      </c>
      <c r="C10" s="2" t="str">
        <f>IF(Kaleciler!C12="","",Kaleciler!C12)</f>
        <v/>
      </c>
      <c r="D10" t="str">
        <f ca="1">IF(Kaleciler!D12="","",Kaleciler!D12)</f>
        <v/>
      </c>
      <c r="E10" t="str">
        <f>IF(Kaleciler!E12="","",Kaleciler!E12)</f>
        <v>Kaleci</v>
      </c>
      <c r="F10" t="str">
        <f>IF(Kaleciler!G12="","",Kaleciler!G12)</f>
        <v/>
      </c>
      <c r="G10" s="2" t="str">
        <f>IF(Kaleciler!H12="","",Kaleciler!H12)</f>
        <v/>
      </c>
      <c r="H10" t="str">
        <f>IF(Kaleciler!I12="","",Kaleciler!I12)</f>
        <v/>
      </c>
      <c r="I10" t="str">
        <f>IF(Kaleciler!A12="","",Kaleciler!J12)</f>
        <v/>
      </c>
      <c r="J10" t="str">
        <f>IF(Kaleciler!A12="","",Kaleciler!K12)</f>
        <v/>
      </c>
      <c r="K10" t="str">
        <f>IF(Kaleciler!L12="","",Kaleciler!L12)</f>
        <v/>
      </c>
      <c r="L10" t="str">
        <f>IF(Kaleciler!M12="","",Kaleciler!M12)</f>
        <v/>
      </c>
      <c r="M10" t="str">
        <f>IF(Kaleciler!N12="","",Kaleciler!N12)</f>
        <v/>
      </c>
      <c r="N10" t="str">
        <f>IF(Kaleciler!O12="","",Kaleciler!O12)</f>
        <v/>
      </c>
      <c r="O10" t="str">
        <f>IF(Kaleciler!P12="","",Kaleciler!P12)</f>
        <v/>
      </c>
      <c r="P10" t="str">
        <f>IF(Kaleciler!Q12="","",Kaleciler!Q12)</f>
        <v/>
      </c>
      <c r="Q10" t="str">
        <f>IF(Kaleciler!R12="","",Kaleciler!R12)</f>
        <v/>
      </c>
      <c r="R10" t="str">
        <f>IF(Kaleciler!S12="","",Kaleciler!S12)</f>
        <v/>
      </c>
      <c r="S10" t="str">
        <f>IF(Kaleciler!T12="","",Kaleciler!T12)</f>
        <v/>
      </c>
      <c r="T10" s="2" t="str">
        <f>IF(Kaleciler!U12="","",Kaleciler!U12)</f>
        <v/>
      </c>
      <c r="U10" t="s">
        <v>926</v>
      </c>
      <c r="V10">
        <v>12</v>
      </c>
      <c r="W10" t="str">
        <f ca="1">IF(AND($A10&lt;&gt;"",ISNUMBER($G10),$G10&gt;=TODAY(),$G10&lt;=EDATE(TODAY(),12)),COUNTIFS($G$2:$G$1001,"&gt;="&amp;TODAY(),$G$2:$G$1001,"&lt;"&amp;$G10,$A$2:$A$1001,"&lt;&gt;")+COUNTIFS($G$2:$G10,$G10,$A$2:$A10,"&lt;&gt;"),"")</f>
        <v/>
      </c>
      <c r="X10" t="str">
        <f>IF(AND($A10&lt;&gt;"",ISNUMBER($C10),$C10&gt;=DATE(2003,1,1)),COUNTIFS($C$2:$C10,"&gt;="&amp;DATE(2003,1,1),$A$2:$A10,"&lt;&gt;"),"")</f>
        <v/>
      </c>
    </row>
    <row r="11" spans="1:24">
      <c r="A11" t="str">
        <f>IF(Kaleciler!A13="","",Kaleciler!A13)</f>
        <v/>
      </c>
      <c r="B11" t="str">
        <f>IF(Kaleciler!B13="","",Kaleciler!B13)</f>
        <v/>
      </c>
      <c r="C11" s="2" t="str">
        <f>IF(Kaleciler!C13="","",Kaleciler!C13)</f>
        <v/>
      </c>
      <c r="D11" t="str">
        <f ca="1">IF(Kaleciler!D13="","",Kaleciler!D13)</f>
        <v/>
      </c>
      <c r="E11" t="str">
        <f>IF(Kaleciler!E13="","",Kaleciler!E13)</f>
        <v>Kaleci</v>
      </c>
      <c r="F11" t="str">
        <f>IF(Kaleciler!G13="","",Kaleciler!G13)</f>
        <v/>
      </c>
      <c r="G11" s="2" t="str">
        <f>IF(Kaleciler!H13="","",Kaleciler!H13)</f>
        <v/>
      </c>
      <c r="H11" t="str">
        <f>IF(Kaleciler!I13="","",Kaleciler!I13)</f>
        <v/>
      </c>
      <c r="I11" t="str">
        <f>IF(Kaleciler!A13="","",Kaleciler!J13)</f>
        <v/>
      </c>
      <c r="J11" t="str">
        <f>IF(Kaleciler!A13="","",Kaleciler!K13)</f>
        <v/>
      </c>
      <c r="K11" t="str">
        <f>IF(Kaleciler!L13="","",Kaleciler!L13)</f>
        <v/>
      </c>
      <c r="L11" t="str">
        <f>IF(Kaleciler!M13="","",Kaleciler!M13)</f>
        <v/>
      </c>
      <c r="M11" t="str">
        <f>IF(Kaleciler!N13="","",Kaleciler!N13)</f>
        <v/>
      </c>
      <c r="N11" t="str">
        <f>IF(Kaleciler!O13="","",Kaleciler!O13)</f>
        <v/>
      </c>
      <c r="O11" t="str">
        <f>IF(Kaleciler!P13="","",Kaleciler!P13)</f>
        <v/>
      </c>
      <c r="P11" t="str">
        <f>IF(Kaleciler!Q13="","",Kaleciler!Q13)</f>
        <v/>
      </c>
      <c r="Q11" t="str">
        <f>IF(Kaleciler!R13="","",Kaleciler!R13)</f>
        <v/>
      </c>
      <c r="R11" t="str">
        <f>IF(Kaleciler!S13="","",Kaleciler!S13)</f>
        <v/>
      </c>
      <c r="S11" t="str">
        <f>IF(Kaleciler!T13="","",Kaleciler!T13)</f>
        <v/>
      </c>
      <c r="T11" s="2" t="str">
        <f>IF(Kaleciler!U13="","",Kaleciler!U13)</f>
        <v/>
      </c>
      <c r="U11" t="s">
        <v>926</v>
      </c>
      <c r="V11">
        <v>13</v>
      </c>
      <c r="W11" t="str">
        <f ca="1">IF(AND($A11&lt;&gt;"",ISNUMBER($G11),$G11&gt;=TODAY(),$G11&lt;=EDATE(TODAY(),12)),COUNTIFS($G$2:$G$1001,"&gt;="&amp;TODAY(),$G$2:$G$1001,"&lt;"&amp;$G11,$A$2:$A$1001,"&lt;&gt;")+COUNTIFS($G$2:$G11,$G11,$A$2:$A11,"&lt;&gt;"),"")</f>
        <v/>
      </c>
      <c r="X11" t="str">
        <f>IF(AND($A11&lt;&gt;"",ISNUMBER($C11),$C11&gt;=DATE(2003,1,1)),COUNTIFS($C$2:$C11,"&gt;="&amp;DATE(2003,1,1),$A$2:$A11,"&lt;&gt;"),"")</f>
        <v/>
      </c>
    </row>
    <row r="12" spans="1:24">
      <c r="A12" t="str">
        <f>IF(Kaleciler!A14="","",Kaleciler!A14)</f>
        <v/>
      </c>
      <c r="B12" t="str">
        <f>IF(Kaleciler!B14="","",Kaleciler!B14)</f>
        <v/>
      </c>
      <c r="C12" s="2" t="str">
        <f>IF(Kaleciler!C14="","",Kaleciler!C14)</f>
        <v/>
      </c>
      <c r="D12" t="str">
        <f ca="1">IF(Kaleciler!D14="","",Kaleciler!D14)</f>
        <v/>
      </c>
      <c r="E12" t="str">
        <f>IF(Kaleciler!E14="","",Kaleciler!E14)</f>
        <v>Kaleci</v>
      </c>
      <c r="F12" t="str">
        <f>IF(Kaleciler!G14="","",Kaleciler!G14)</f>
        <v/>
      </c>
      <c r="G12" s="2" t="str">
        <f>IF(Kaleciler!H14="","",Kaleciler!H14)</f>
        <v/>
      </c>
      <c r="H12" t="str">
        <f>IF(Kaleciler!I14="","",Kaleciler!I14)</f>
        <v/>
      </c>
      <c r="I12" t="str">
        <f>IF(Kaleciler!A14="","",Kaleciler!J14)</f>
        <v/>
      </c>
      <c r="J12" t="str">
        <f>IF(Kaleciler!A14="","",Kaleciler!K14)</f>
        <v/>
      </c>
      <c r="K12" t="str">
        <f>IF(Kaleciler!L14="","",Kaleciler!L14)</f>
        <v/>
      </c>
      <c r="L12" t="str">
        <f>IF(Kaleciler!M14="","",Kaleciler!M14)</f>
        <v/>
      </c>
      <c r="M12" t="str">
        <f>IF(Kaleciler!N14="","",Kaleciler!N14)</f>
        <v/>
      </c>
      <c r="N12" t="str">
        <f>IF(Kaleciler!O14="","",Kaleciler!O14)</f>
        <v/>
      </c>
      <c r="O12" t="str">
        <f>IF(Kaleciler!P14="","",Kaleciler!P14)</f>
        <v/>
      </c>
      <c r="P12" t="str">
        <f>IF(Kaleciler!Q14="","",Kaleciler!Q14)</f>
        <v/>
      </c>
      <c r="Q12" t="str">
        <f>IF(Kaleciler!R14="","",Kaleciler!R14)</f>
        <v/>
      </c>
      <c r="R12" t="str">
        <f>IF(Kaleciler!S14="","",Kaleciler!S14)</f>
        <v/>
      </c>
      <c r="S12" t="str">
        <f>IF(Kaleciler!T14="","",Kaleciler!T14)</f>
        <v/>
      </c>
      <c r="T12" s="2" t="str">
        <f>IF(Kaleciler!U14="","",Kaleciler!U14)</f>
        <v/>
      </c>
      <c r="U12" t="s">
        <v>926</v>
      </c>
      <c r="V12">
        <v>14</v>
      </c>
      <c r="W12" t="str">
        <f ca="1">IF(AND($A12&lt;&gt;"",ISNUMBER($G12),$G12&gt;=TODAY(),$G12&lt;=EDATE(TODAY(),12)),COUNTIFS($G$2:$G$1001,"&gt;="&amp;TODAY(),$G$2:$G$1001,"&lt;"&amp;$G12,$A$2:$A$1001,"&lt;&gt;")+COUNTIFS($G$2:$G12,$G12,$A$2:$A12,"&lt;&gt;"),"")</f>
        <v/>
      </c>
      <c r="X12" t="str">
        <f>IF(AND($A12&lt;&gt;"",ISNUMBER($C12),$C12&gt;=DATE(2003,1,1)),COUNTIFS($C$2:$C12,"&gt;="&amp;DATE(2003,1,1),$A$2:$A12,"&lt;&gt;"),"")</f>
        <v/>
      </c>
    </row>
    <row r="13" spans="1:24">
      <c r="A13" t="str">
        <f>IF(Kaleciler!A15="","",Kaleciler!A15)</f>
        <v/>
      </c>
      <c r="B13" t="str">
        <f>IF(Kaleciler!B15="","",Kaleciler!B15)</f>
        <v/>
      </c>
      <c r="C13" s="2" t="str">
        <f>IF(Kaleciler!C15="","",Kaleciler!C15)</f>
        <v/>
      </c>
      <c r="D13" t="str">
        <f ca="1">IF(Kaleciler!D15="","",Kaleciler!D15)</f>
        <v/>
      </c>
      <c r="E13" t="str">
        <f>IF(Kaleciler!E15="","",Kaleciler!E15)</f>
        <v>Kaleci</v>
      </c>
      <c r="F13" t="str">
        <f>IF(Kaleciler!G15="","",Kaleciler!G15)</f>
        <v/>
      </c>
      <c r="G13" s="2" t="str">
        <f>IF(Kaleciler!H15="","",Kaleciler!H15)</f>
        <v/>
      </c>
      <c r="H13" t="str">
        <f>IF(Kaleciler!I15="","",Kaleciler!I15)</f>
        <v/>
      </c>
      <c r="I13" t="str">
        <f>IF(Kaleciler!A15="","",Kaleciler!J15)</f>
        <v/>
      </c>
      <c r="J13" t="str">
        <f>IF(Kaleciler!A15="","",Kaleciler!K15)</f>
        <v/>
      </c>
      <c r="K13" t="str">
        <f>IF(Kaleciler!L15="","",Kaleciler!L15)</f>
        <v/>
      </c>
      <c r="L13" t="str">
        <f>IF(Kaleciler!M15="","",Kaleciler!M15)</f>
        <v/>
      </c>
      <c r="M13" t="str">
        <f>IF(Kaleciler!N15="","",Kaleciler!N15)</f>
        <v/>
      </c>
      <c r="N13" t="str">
        <f>IF(Kaleciler!O15="","",Kaleciler!O15)</f>
        <v/>
      </c>
      <c r="O13" t="str">
        <f>IF(Kaleciler!P15="","",Kaleciler!P15)</f>
        <v/>
      </c>
      <c r="P13" t="str">
        <f>IF(Kaleciler!Q15="","",Kaleciler!Q15)</f>
        <v/>
      </c>
      <c r="Q13" t="str">
        <f>IF(Kaleciler!R15="","",Kaleciler!R15)</f>
        <v/>
      </c>
      <c r="R13" t="str">
        <f>IF(Kaleciler!S15="","",Kaleciler!S15)</f>
        <v/>
      </c>
      <c r="S13" t="str">
        <f>IF(Kaleciler!T15="","",Kaleciler!T15)</f>
        <v/>
      </c>
      <c r="T13" s="2" t="str">
        <f>IF(Kaleciler!U15="","",Kaleciler!U15)</f>
        <v/>
      </c>
      <c r="U13" t="s">
        <v>926</v>
      </c>
      <c r="V13">
        <v>15</v>
      </c>
      <c r="W13" t="str">
        <f ca="1">IF(AND($A13&lt;&gt;"",ISNUMBER($G13),$G13&gt;=TODAY(),$G13&lt;=EDATE(TODAY(),12)),COUNTIFS($G$2:$G$1001,"&gt;="&amp;TODAY(),$G$2:$G$1001,"&lt;"&amp;$G13,$A$2:$A$1001,"&lt;&gt;")+COUNTIFS($G$2:$G13,$G13,$A$2:$A13,"&lt;&gt;"),"")</f>
        <v/>
      </c>
      <c r="X13" t="str">
        <f>IF(AND($A13&lt;&gt;"",ISNUMBER($C13),$C13&gt;=DATE(2003,1,1)),COUNTIFS($C$2:$C13,"&gt;="&amp;DATE(2003,1,1),$A$2:$A13,"&lt;&gt;"),"")</f>
        <v/>
      </c>
    </row>
    <row r="14" spans="1:24">
      <c r="A14" t="str">
        <f>IF(Kaleciler!A16="","",Kaleciler!A16)</f>
        <v/>
      </c>
      <c r="B14" t="str">
        <f>IF(Kaleciler!B16="","",Kaleciler!B16)</f>
        <v/>
      </c>
      <c r="C14" s="2" t="str">
        <f>IF(Kaleciler!C16="","",Kaleciler!C16)</f>
        <v/>
      </c>
      <c r="D14" t="str">
        <f ca="1">IF(Kaleciler!D16="","",Kaleciler!D16)</f>
        <v/>
      </c>
      <c r="E14" t="str">
        <f>IF(Kaleciler!E16="","",Kaleciler!E16)</f>
        <v>Kaleci</v>
      </c>
      <c r="F14" t="str">
        <f>IF(Kaleciler!G16="","",Kaleciler!G16)</f>
        <v/>
      </c>
      <c r="G14" s="2" t="str">
        <f>IF(Kaleciler!H16="","",Kaleciler!H16)</f>
        <v/>
      </c>
      <c r="H14" t="str">
        <f>IF(Kaleciler!I16="","",Kaleciler!I16)</f>
        <v/>
      </c>
      <c r="I14" t="str">
        <f>IF(Kaleciler!A16="","",Kaleciler!J16)</f>
        <v/>
      </c>
      <c r="J14" t="str">
        <f>IF(Kaleciler!A16="","",Kaleciler!K16)</f>
        <v/>
      </c>
      <c r="K14" t="str">
        <f>IF(Kaleciler!L16="","",Kaleciler!L16)</f>
        <v/>
      </c>
      <c r="L14" t="str">
        <f>IF(Kaleciler!M16="","",Kaleciler!M16)</f>
        <v/>
      </c>
      <c r="M14" t="str">
        <f>IF(Kaleciler!N16="","",Kaleciler!N16)</f>
        <v/>
      </c>
      <c r="N14" t="str">
        <f>IF(Kaleciler!O16="","",Kaleciler!O16)</f>
        <v/>
      </c>
      <c r="O14" t="str">
        <f>IF(Kaleciler!P16="","",Kaleciler!P16)</f>
        <v/>
      </c>
      <c r="P14" t="str">
        <f>IF(Kaleciler!Q16="","",Kaleciler!Q16)</f>
        <v/>
      </c>
      <c r="Q14" t="str">
        <f>IF(Kaleciler!R16="","",Kaleciler!R16)</f>
        <v/>
      </c>
      <c r="R14" t="str">
        <f>IF(Kaleciler!S16="","",Kaleciler!S16)</f>
        <v/>
      </c>
      <c r="S14" t="str">
        <f>IF(Kaleciler!T16="","",Kaleciler!T16)</f>
        <v/>
      </c>
      <c r="T14" s="2" t="str">
        <f>IF(Kaleciler!U16="","",Kaleciler!U16)</f>
        <v/>
      </c>
      <c r="U14" t="s">
        <v>926</v>
      </c>
      <c r="V14">
        <v>16</v>
      </c>
      <c r="W14" t="str">
        <f ca="1">IF(AND($A14&lt;&gt;"",ISNUMBER($G14),$G14&gt;=TODAY(),$G14&lt;=EDATE(TODAY(),12)),COUNTIFS($G$2:$G$1001,"&gt;="&amp;TODAY(),$G$2:$G$1001,"&lt;"&amp;$G14,$A$2:$A$1001,"&lt;&gt;")+COUNTIFS($G$2:$G14,$G14,$A$2:$A14,"&lt;&gt;"),"")</f>
        <v/>
      </c>
      <c r="X14" t="str">
        <f>IF(AND($A14&lt;&gt;"",ISNUMBER($C14),$C14&gt;=DATE(2003,1,1)),COUNTIFS($C$2:$C14,"&gt;="&amp;DATE(2003,1,1),$A$2:$A14,"&lt;&gt;"),"")</f>
        <v/>
      </c>
    </row>
    <row r="15" spans="1:24">
      <c r="A15" t="str">
        <f>IF(Kaleciler!A17="","",Kaleciler!A17)</f>
        <v/>
      </c>
      <c r="B15" t="str">
        <f>IF(Kaleciler!B17="","",Kaleciler!B17)</f>
        <v/>
      </c>
      <c r="C15" s="2" t="str">
        <f>IF(Kaleciler!C17="","",Kaleciler!C17)</f>
        <v/>
      </c>
      <c r="D15" t="str">
        <f ca="1">IF(Kaleciler!D17="","",Kaleciler!D17)</f>
        <v/>
      </c>
      <c r="E15" t="str">
        <f>IF(Kaleciler!E17="","",Kaleciler!E17)</f>
        <v>Kaleci</v>
      </c>
      <c r="F15" t="str">
        <f>IF(Kaleciler!G17="","",Kaleciler!G17)</f>
        <v/>
      </c>
      <c r="G15" s="2" t="str">
        <f>IF(Kaleciler!H17="","",Kaleciler!H17)</f>
        <v/>
      </c>
      <c r="H15" t="str">
        <f>IF(Kaleciler!I17="","",Kaleciler!I17)</f>
        <v/>
      </c>
      <c r="I15" t="str">
        <f>IF(Kaleciler!A17="","",Kaleciler!J17)</f>
        <v/>
      </c>
      <c r="J15" t="str">
        <f>IF(Kaleciler!A17="","",Kaleciler!K17)</f>
        <v/>
      </c>
      <c r="K15" t="str">
        <f>IF(Kaleciler!L17="","",Kaleciler!L17)</f>
        <v/>
      </c>
      <c r="L15" t="str">
        <f>IF(Kaleciler!M17="","",Kaleciler!M17)</f>
        <v/>
      </c>
      <c r="M15" t="str">
        <f>IF(Kaleciler!N17="","",Kaleciler!N17)</f>
        <v/>
      </c>
      <c r="N15" t="str">
        <f>IF(Kaleciler!O17="","",Kaleciler!O17)</f>
        <v/>
      </c>
      <c r="O15" t="str">
        <f>IF(Kaleciler!P17="","",Kaleciler!P17)</f>
        <v/>
      </c>
      <c r="P15" t="str">
        <f>IF(Kaleciler!Q17="","",Kaleciler!Q17)</f>
        <v/>
      </c>
      <c r="Q15" t="str">
        <f>IF(Kaleciler!R17="","",Kaleciler!R17)</f>
        <v/>
      </c>
      <c r="R15" t="str">
        <f>IF(Kaleciler!S17="","",Kaleciler!S17)</f>
        <v/>
      </c>
      <c r="S15" t="str">
        <f>IF(Kaleciler!T17="","",Kaleciler!T17)</f>
        <v/>
      </c>
      <c r="T15" s="2" t="str">
        <f>IF(Kaleciler!U17="","",Kaleciler!U17)</f>
        <v/>
      </c>
      <c r="U15" t="s">
        <v>926</v>
      </c>
      <c r="V15">
        <v>17</v>
      </c>
      <c r="W15" t="str">
        <f ca="1">IF(AND($A15&lt;&gt;"",ISNUMBER($G15),$G15&gt;=TODAY(),$G15&lt;=EDATE(TODAY(),12)),COUNTIFS($G$2:$G$1001,"&gt;="&amp;TODAY(),$G$2:$G$1001,"&lt;"&amp;$G15,$A$2:$A$1001,"&lt;&gt;")+COUNTIFS($G$2:$G15,$G15,$A$2:$A15,"&lt;&gt;"),"")</f>
        <v/>
      </c>
      <c r="X15" t="str">
        <f>IF(AND($A15&lt;&gt;"",ISNUMBER($C15),$C15&gt;=DATE(2003,1,1)),COUNTIFS($C$2:$C15,"&gt;="&amp;DATE(2003,1,1),$A$2:$A15,"&lt;&gt;"),"")</f>
        <v/>
      </c>
    </row>
    <row r="16" spans="1:24">
      <c r="A16" t="str">
        <f>IF(Kaleciler!A18="","",Kaleciler!A18)</f>
        <v/>
      </c>
      <c r="B16" t="str">
        <f>IF(Kaleciler!B18="","",Kaleciler!B18)</f>
        <v/>
      </c>
      <c r="C16" s="2" t="str">
        <f>IF(Kaleciler!C18="","",Kaleciler!C18)</f>
        <v/>
      </c>
      <c r="D16" t="str">
        <f ca="1">IF(Kaleciler!D18="","",Kaleciler!D18)</f>
        <v/>
      </c>
      <c r="E16" t="str">
        <f>IF(Kaleciler!E18="","",Kaleciler!E18)</f>
        <v>Kaleci</v>
      </c>
      <c r="F16" t="str">
        <f>IF(Kaleciler!G18="","",Kaleciler!G18)</f>
        <v/>
      </c>
      <c r="G16" s="2" t="str">
        <f>IF(Kaleciler!H18="","",Kaleciler!H18)</f>
        <v/>
      </c>
      <c r="H16" t="str">
        <f>IF(Kaleciler!I18="","",Kaleciler!I18)</f>
        <v/>
      </c>
      <c r="I16" t="str">
        <f>IF(Kaleciler!A18="","",Kaleciler!J18)</f>
        <v/>
      </c>
      <c r="J16" t="str">
        <f>IF(Kaleciler!A18="","",Kaleciler!K18)</f>
        <v/>
      </c>
      <c r="K16" t="str">
        <f>IF(Kaleciler!L18="","",Kaleciler!L18)</f>
        <v/>
      </c>
      <c r="L16" t="str">
        <f>IF(Kaleciler!M18="","",Kaleciler!M18)</f>
        <v/>
      </c>
      <c r="M16" t="str">
        <f>IF(Kaleciler!N18="","",Kaleciler!N18)</f>
        <v/>
      </c>
      <c r="N16" t="str">
        <f>IF(Kaleciler!O18="","",Kaleciler!O18)</f>
        <v/>
      </c>
      <c r="O16" t="str">
        <f>IF(Kaleciler!P18="","",Kaleciler!P18)</f>
        <v/>
      </c>
      <c r="P16" t="str">
        <f>IF(Kaleciler!Q18="","",Kaleciler!Q18)</f>
        <v/>
      </c>
      <c r="Q16" t="str">
        <f>IF(Kaleciler!R18="","",Kaleciler!R18)</f>
        <v/>
      </c>
      <c r="R16" t="str">
        <f>IF(Kaleciler!S18="","",Kaleciler!S18)</f>
        <v/>
      </c>
      <c r="S16" t="str">
        <f>IF(Kaleciler!T18="","",Kaleciler!T18)</f>
        <v/>
      </c>
      <c r="T16" s="2" t="str">
        <f>IF(Kaleciler!U18="","",Kaleciler!U18)</f>
        <v/>
      </c>
      <c r="U16" t="s">
        <v>926</v>
      </c>
      <c r="V16">
        <v>18</v>
      </c>
      <c r="W16" t="str">
        <f ca="1">IF(AND($A16&lt;&gt;"",ISNUMBER($G16),$G16&gt;=TODAY(),$G16&lt;=EDATE(TODAY(),12)),COUNTIFS($G$2:$G$1001,"&gt;="&amp;TODAY(),$G$2:$G$1001,"&lt;"&amp;$G16,$A$2:$A$1001,"&lt;&gt;")+COUNTIFS($G$2:$G16,$G16,$A$2:$A16,"&lt;&gt;"),"")</f>
        <v/>
      </c>
      <c r="X16" t="str">
        <f>IF(AND($A16&lt;&gt;"",ISNUMBER($C16),$C16&gt;=DATE(2003,1,1)),COUNTIFS($C$2:$C16,"&gt;="&amp;DATE(2003,1,1),$A$2:$A16,"&lt;&gt;"),"")</f>
        <v/>
      </c>
    </row>
    <row r="17" spans="1:24">
      <c r="A17" t="str">
        <f>IF(Kaleciler!A19="","",Kaleciler!A19)</f>
        <v/>
      </c>
      <c r="B17" t="str">
        <f>IF(Kaleciler!B19="","",Kaleciler!B19)</f>
        <v/>
      </c>
      <c r="C17" s="2" t="str">
        <f>IF(Kaleciler!C19="","",Kaleciler!C19)</f>
        <v/>
      </c>
      <c r="D17" t="str">
        <f ca="1">IF(Kaleciler!D19="","",Kaleciler!D19)</f>
        <v/>
      </c>
      <c r="E17" t="str">
        <f>IF(Kaleciler!E19="","",Kaleciler!E19)</f>
        <v>Kaleci</v>
      </c>
      <c r="F17" t="str">
        <f>IF(Kaleciler!G19="","",Kaleciler!G19)</f>
        <v/>
      </c>
      <c r="G17" s="2" t="str">
        <f>IF(Kaleciler!H19="","",Kaleciler!H19)</f>
        <v/>
      </c>
      <c r="H17" t="str">
        <f>IF(Kaleciler!I19="","",Kaleciler!I19)</f>
        <v/>
      </c>
      <c r="I17" t="str">
        <f>IF(Kaleciler!A19="","",Kaleciler!J19)</f>
        <v/>
      </c>
      <c r="J17" t="str">
        <f>IF(Kaleciler!A19="","",Kaleciler!K19)</f>
        <v/>
      </c>
      <c r="K17" t="str">
        <f>IF(Kaleciler!L19="","",Kaleciler!L19)</f>
        <v/>
      </c>
      <c r="L17" t="str">
        <f>IF(Kaleciler!M19="","",Kaleciler!M19)</f>
        <v/>
      </c>
      <c r="M17" t="str">
        <f>IF(Kaleciler!N19="","",Kaleciler!N19)</f>
        <v/>
      </c>
      <c r="N17" t="str">
        <f>IF(Kaleciler!O19="","",Kaleciler!O19)</f>
        <v/>
      </c>
      <c r="O17" t="str">
        <f>IF(Kaleciler!P19="","",Kaleciler!P19)</f>
        <v/>
      </c>
      <c r="P17" t="str">
        <f>IF(Kaleciler!Q19="","",Kaleciler!Q19)</f>
        <v/>
      </c>
      <c r="Q17" t="str">
        <f>IF(Kaleciler!R19="","",Kaleciler!R19)</f>
        <v/>
      </c>
      <c r="R17" t="str">
        <f>IF(Kaleciler!S19="","",Kaleciler!S19)</f>
        <v/>
      </c>
      <c r="S17" t="str">
        <f>IF(Kaleciler!T19="","",Kaleciler!T19)</f>
        <v/>
      </c>
      <c r="T17" s="2" t="str">
        <f>IF(Kaleciler!U19="","",Kaleciler!U19)</f>
        <v/>
      </c>
      <c r="U17" t="s">
        <v>926</v>
      </c>
      <c r="V17">
        <v>19</v>
      </c>
      <c r="W17" t="str">
        <f ca="1">IF(AND($A17&lt;&gt;"",ISNUMBER($G17),$G17&gt;=TODAY(),$G17&lt;=EDATE(TODAY(),12)),COUNTIFS($G$2:$G$1001,"&gt;="&amp;TODAY(),$G$2:$G$1001,"&lt;"&amp;$G17,$A$2:$A$1001,"&lt;&gt;")+COUNTIFS($G$2:$G17,$G17,$A$2:$A17,"&lt;&gt;"),"")</f>
        <v/>
      </c>
      <c r="X17" t="str">
        <f>IF(AND($A17&lt;&gt;"",ISNUMBER($C17),$C17&gt;=DATE(2003,1,1)),COUNTIFS($C$2:$C17,"&gt;="&amp;DATE(2003,1,1),$A$2:$A17,"&lt;&gt;"),"")</f>
        <v/>
      </c>
    </row>
    <row r="18" spans="1:24">
      <c r="A18" t="str">
        <f>IF(Kaleciler!A20="","",Kaleciler!A20)</f>
        <v/>
      </c>
      <c r="B18" t="str">
        <f>IF(Kaleciler!B20="","",Kaleciler!B20)</f>
        <v/>
      </c>
      <c r="C18" s="2" t="str">
        <f>IF(Kaleciler!C20="","",Kaleciler!C20)</f>
        <v/>
      </c>
      <c r="D18" t="str">
        <f ca="1">IF(Kaleciler!D20="","",Kaleciler!D20)</f>
        <v/>
      </c>
      <c r="E18" t="str">
        <f>IF(Kaleciler!E20="","",Kaleciler!E20)</f>
        <v>Kaleci</v>
      </c>
      <c r="F18" t="str">
        <f>IF(Kaleciler!G20="","",Kaleciler!G20)</f>
        <v/>
      </c>
      <c r="G18" s="2" t="str">
        <f>IF(Kaleciler!H20="","",Kaleciler!H20)</f>
        <v/>
      </c>
      <c r="H18" t="str">
        <f>IF(Kaleciler!I20="","",Kaleciler!I20)</f>
        <v/>
      </c>
      <c r="I18" t="str">
        <f>IF(Kaleciler!A20="","",Kaleciler!J20)</f>
        <v/>
      </c>
      <c r="J18" t="str">
        <f>IF(Kaleciler!A20="","",Kaleciler!K20)</f>
        <v/>
      </c>
      <c r="K18" t="str">
        <f>IF(Kaleciler!L20="","",Kaleciler!L20)</f>
        <v/>
      </c>
      <c r="L18" t="str">
        <f>IF(Kaleciler!M20="","",Kaleciler!M20)</f>
        <v/>
      </c>
      <c r="M18" t="str">
        <f>IF(Kaleciler!N20="","",Kaleciler!N20)</f>
        <v/>
      </c>
      <c r="N18" t="str">
        <f>IF(Kaleciler!O20="","",Kaleciler!O20)</f>
        <v/>
      </c>
      <c r="O18" t="str">
        <f>IF(Kaleciler!P20="","",Kaleciler!P20)</f>
        <v/>
      </c>
      <c r="P18" t="str">
        <f>IF(Kaleciler!Q20="","",Kaleciler!Q20)</f>
        <v/>
      </c>
      <c r="Q18" t="str">
        <f>IF(Kaleciler!R20="","",Kaleciler!R20)</f>
        <v/>
      </c>
      <c r="R18" t="str">
        <f>IF(Kaleciler!S20="","",Kaleciler!S20)</f>
        <v/>
      </c>
      <c r="S18" t="str">
        <f>IF(Kaleciler!T20="","",Kaleciler!T20)</f>
        <v/>
      </c>
      <c r="T18" s="2" t="str">
        <f>IF(Kaleciler!U20="","",Kaleciler!U20)</f>
        <v/>
      </c>
      <c r="U18" t="s">
        <v>926</v>
      </c>
      <c r="V18">
        <v>20</v>
      </c>
      <c r="W18" t="str">
        <f ca="1">IF(AND($A18&lt;&gt;"",ISNUMBER($G18),$G18&gt;=TODAY(),$G18&lt;=EDATE(TODAY(),12)),COUNTIFS($G$2:$G$1001,"&gt;="&amp;TODAY(),$G$2:$G$1001,"&lt;"&amp;$G18,$A$2:$A$1001,"&lt;&gt;")+COUNTIFS($G$2:$G18,$G18,$A$2:$A18,"&lt;&gt;"),"")</f>
        <v/>
      </c>
      <c r="X18" t="str">
        <f>IF(AND($A18&lt;&gt;"",ISNUMBER($C18),$C18&gt;=DATE(2003,1,1)),COUNTIFS($C$2:$C18,"&gt;="&amp;DATE(2003,1,1),$A$2:$A18,"&lt;&gt;"),"")</f>
        <v/>
      </c>
    </row>
    <row r="19" spans="1:24">
      <c r="A19" t="str">
        <f>IF(Kaleciler!A21="","",Kaleciler!A21)</f>
        <v/>
      </c>
      <c r="B19" t="str">
        <f>IF(Kaleciler!B21="","",Kaleciler!B21)</f>
        <v/>
      </c>
      <c r="C19" s="2" t="str">
        <f>IF(Kaleciler!C21="","",Kaleciler!C21)</f>
        <v/>
      </c>
      <c r="D19" t="str">
        <f ca="1">IF(Kaleciler!D21="","",Kaleciler!D21)</f>
        <v/>
      </c>
      <c r="E19" t="str">
        <f>IF(Kaleciler!E21="","",Kaleciler!E21)</f>
        <v>Kaleci</v>
      </c>
      <c r="F19" t="str">
        <f>IF(Kaleciler!G21="","",Kaleciler!G21)</f>
        <v/>
      </c>
      <c r="G19" s="2" t="str">
        <f>IF(Kaleciler!H21="","",Kaleciler!H21)</f>
        <v/>
      </c>
      <c r="H19" t="str">
        <f>IF(Kaleciler!I21="","",Kaleciler!I21)</f>
        <v/>
      </c>
      <c r="I19" t="str">
        <f>IF(Kaleciler!A21="","",Kaleciler!J21)</f>
        <v/>
      </c>
      <c r="J19" t="str">
        <f>IF(Kaleciler!A21="","",Kaleciler!K21)</f>
        <v/>
      </c>
      <c r="K19" t="str">
        <f>IF(Kaleciler!L21="","",Kaleciler!L21)</f>
        <v/>
      </c>
      <c r="L19" t="str">
        <f>IF(Kaleciler!M21="","",Kaleciler!M21)</f>
        <v/>
      </c>
      <c r="M19" t="str">
        <f>IF(Kaleciler!N21="","",Kaleciler!N21)</f>
        <v/>
      </c>
      <c r="N19" t="str">
        <f>IF(Kaleciler!O21="","",Kaleciler!O21)</f>
        <v/>
      </c>
      <c r="O19" t="str">
        <f>IF(Kaleciler!P21="","",Kaleciler!P21)</f>
        <v/>
      </c>
      <c r="P19" t="str">
        <f>IF(Kaleciler!Q21="","",Kaleciler!Q21)</f>
        <v/>
      </c>
      <c r="Q19" t="str">
        <f>IF(Kaleciler!R21="","",Kaleciler!R21)</f>
        <v/>
      </c>
      <c r="R19" t="str">
        <f>IF(Kaleciler!S21="","",Kaleciler!S21)</f>
        <v/>
      </c>
      <c r="S19" t="str">
        <f>IF(Kaleciler!T21="","",Kaleciler!T21)</f>
        <v/>
      </c>
      <c r="T19" s="2" t="str">
        <f>IF(Kaleciler!U21="","",Kaleciler!U21)</f>
        <v/>
      </c>
      <c r="U19" t="s">
        <v>926</v>
      </c>
      <c r="V19">
        <v>21</v>
      </c>
      <c r="W19" t="str">
        <f ca="1">IF(AND($A19&lt;&gt;"",ISNUMBER($G19),$G19&gt;=TODAY(),$G19&lt;=EDATE(TODAY(),12)),COUNTIFS($G$2:$G$1001,"&gt;="&amp;TODAY(),$G$2:$G$1001,"&lt;"&amp;$G19,$A$2:$A$1001,"&lt;&gt;")+COUNTIFS($G$2:$G19,$G19,$A$2:$A19,"&lt;&gt;"),"")</f>
        <v/>
      </c>
      <c r="X19" t="str">
        <f>IF(AND($A19&lt;&gt;"",ISNUMBER($C19),$C19&gt;=DATE(2003,1,1)),COUNTIFS($C$2:$C19,"&gt;="&amp;DATE(2003,1,1),$A$2:$A19,"&lt;&gt;"),"")</f>
        <v/>
      </c>
    </row>
    <row r="20" spans="1:24">
      <c r="A20" t="str">
        <f>IF(Kaleciler!A22="","",Kaleciler!A22)</f>
        <v/>
      </c>
      <c r="B20" t="str">
        <f>IF(Kaleciler!B22="","",Kaleciler!B22)</f>
        <v/>
      </c>
      <c r="C20" s="2" t="str">
        <f>IF(Kaleciler!C22="","",Kaleciler!C22)</f>
        <v/>
      </c>
      <c r="D20" t="str">
        <f ca="1">IF(Kaleciler!D22="","",Kaleciler!D22)</f>
        <v/>
      </c>
      <c r="E20" t="str">
        <f>IF(Kaleciler!E22="","",Kaleciler!E22)</f>
        <v>Kaleci</v>
      </c>
      <c r="F20" t="str">
        <f>IF(Kaleciler!G22="","",Kaleciler!G22)</f>
        <v/>
      </c>
      <c r="G20" s="2" t="str">
        <f>IF(Kaleciler!H22="","",Kaleciler!H22)</f>
        <v/>
      </c>
      <c r="H20" t="str">
        <f>IF(Kaleciler!I22="","",Kaleciler!I22)</f>
        <v/>
      </c>
      <c r="I20" t="str">
        <f>IF(Kaleciler!A22="","",Kaleciler!J22)</f>
        <v/>
      </c>
      <c r="J20" t="str">
        <f>IF(Kaleciler!A22="","",Kaleciler!K22)</f>
        <v/>
      </c>
      <c r="K20" t="str">
        <f>IF(Kaleciler!L22="","",Kaleciler!L22)</f>
        <v/>
      </c>
      <c r="L20" t="str">
        <f>IF(Kaleciler!M22="","",Kaleciler!M22)</f>
        <v/>
      </c>
      <c r="M20" t="str">
        <f>IF(Kaleciler!N22="","",Kaleciler!N22)</f>
        <v/>
      </c>
      <c r="N20" t="str">
        <f>IF(Kaleciler!O22="","",Kaleciler!O22)</f>
        <v/>
      </c>
      <c r="O20" t="str">
        <f>IF(Kaleciler!P22="","",Kaleciler!P22)</f>
        <v/>
      </c>
      <c r="P20" t="str">
        <f>IF(Kaleciler!Q22="","",Kaleciler!Q22)</f>
        <v/>
      </c>
      <c r="Q20" t="str">
        <f>IF(Kaleciler!R22="","",Kaleciler!R22)</f>
        <v/>
      </c>
      <c r="R20" t="str">
        <f>IF(Kaleciler!S22="","",Kaleciler!S22)</f>
        <v/>
      </c>
      <c r="S20" t="str">
        <f>IF(Kaleciler!T22="","",Kaleciler!T22)</f>
        <v/>
      </c>
      <c r="T20" s="2" t="str">
        <f>IF(Kaleciler!U22="","",Kaleciler!U22)</f>
        <v/>
      </c>
      <c r="U20" t="s">
        <v>926</v>
      </c>
      <c r="V20">
        <v>22</v>
      </c>
      <c r="W20" t="str">
        <f ca="1">IF(AND($A20&lt;&gt;"",ISNUMBER($G20),$G20&gt;=TODAY(),$G20&lt;=EDATE(TODAY(),12)),COUNTIFS($G$2:$G$1001,"&gt;="&amp;TODAY(),$G$2:$G$1001,"&lt;"&amp;$G20,$A$2:$A$1001,"&lt;&gt;")+COUNTIFS($G$2:$G20,$G20,$A$2:$A20,"&lt;&gt;"),"")</f>
        <v/>
      </c>
      <c r="X20" t="str">
        <f>IF(AND($A20&lt;&gt;"",ISNUMBER($C20),$C20&gt;=DATE(2003,1,1)),COUNTIFS($C$2:$C20,"&gt;="&amp;DATE(2003,1,1),$A$2:$A20,"&lt;&gt;"),"")</f>
        <v/>
      </c>
    </row>
    <row r="21" spans="1:24">
      <c r="A21" t="str">
        <f>IF(Kaleciler!A23="","",Kaleciler!A23)</f>
        <v/>
      </c>
      <c r="B21" t="str">
        <f>IF(Kaleciler!B23="","",Kaleciler!B23)</f>
        <v/>
      </c>
      <c r="C21" s="2" t="str">
        <f>IF(Kaleciler!C23="","",Kaleciler!C23)</f>
        <v/>
      </c>
      <c r="D21" t="str">
        <f ca="1">IF(Kaleciler!D23="","",Kaleciler!D23)</f>
        <v/>
      </c>
      <c r="E21" t="str">
        <f>IF(Kaleciler!E23="","",Kaleciler!E23)</f>
        <v>Kaleci</v>
      </c>
      <c r="F21" t="str">
        <f>IF(Kaleciler!G23="","",Kaleciler!G23)</f>
        <v/>
      </c>
      <c r="G21" s="2" t="str">
        <f>IF(Kaleciler!H23="","",Kaleciler!H23)</f>
        <v/>
      </c>
      <c r="H21" t="str">
        <f>IF(Kaleciler!I23="","",Kaleciler!I23)</f>
        <v/>
      </c>
      <c r="I21" t="str">
        <f>IF(Kaleciler!A23="","",Kaleciler!J23)</f>
        <v/>
      </c>
      <c r="J21" t="str">
        <f>IF(Kaleciler!A23="","",Kaleciler!K23)</f>
        <v/>
      </c>
      <c r="K21" t="str">
        <f>IF(Kaleciler!L23="","",Kaleciler!L23)</f>
        <v/>
      </c>
      <c r="L21" t="str">
        <f>IF(Kaleciler!M23="","",Kaleciler!M23)</f>
        <v/>
      </c>
      <c r="M21" t="str">
        <f>IF(Kaleciler!N23="","",Kaleciler!N23)</f>
        <v/>
      </c>
      <c r="N21" t="str">
        <f>IF(Kaleciler!O23="","",Kaleciler!O23)</f>
        <v/>
      </c>
      <c r="O21" t="str">
        <f>IF(Kaleciler!P23="","",Kaleciler!P23)</f>
        <v/>
      </c>
      <c r="P21" t="str">
        <f>IF(Kaleciler!Q23="","",Kaleciler!Q23)</f>
        <v/>
      </c>
      <c r="Q21" t="str">
        <f>IF(Kaleciler!R23="","",Kaleciler!R23)</f>
        <v/>
      </c>
      <c r="R21" t="str">
        <f>IF(Kaleciler!S23="","",Kaleciler!S23)</f>
        <v/>
      </c>
      <c r="S21" t="str">
        <f>IF(Kaleciler!T23="","",Kaleciler!T23)</f>
        <v/>
      </c>
      <c r="T21" s="2" t="str">
        <f>IF(Kaleciler!U23="","",Kaleciler!U23)</f>
        <v/>
      </c>
      <c r="U21" t="s">
        <v>926</v>
      </c>
      <c r="V21">
        <v>23</v>
      </c>
      <c r="W21" t="str">
        <f ca="1">IF(AND($A21&lt;&gt;"",ISNUMBER($G21),$G21&gt;=TODAY(),$G21&lt;=EDATE(TODAY(),12)),COUNTIFS($G$2:$G$1001,"&gt;="&amp;TODAY(),$G$2:$G$1001,"&lt;"&amp;$G21,$A$2:$A$1001,"&lt;&gt;")+COUNTIFS($G$2:$G21,$G21,$A$2:$A21,"&lt;&gt;"),"")</f>
        <v/>
      </c>
      <c r="X21" t="str">
        <f>IF(AND($A21&lt;&gt;"",ISNUMBER($C21),$C21&gt;=DATE(2003,1,1)),COUNTIFS($C$2:$C21,"&gt;="&amp;DATE(2003,1,1),$A$2:$A21,"&lt;&gt;"),"")</f>
        <v/>
      </c>
    </row>
    <row r="22" spans="1:24">
      <c r="A22" t="str">
        <f>IF(Kaleciler!A24="","",Kaleciler!A24)</f>
        <v/>
      </c>
      <c r="B22" t="str">
        <f>IF(Kaleciler!B24="","",Kaleciler!B24)</f>
        <v/>
      </c>
      <c r="C22" s="2" t="str">
        <f>IF(Kaleciler!C24="","",Kaleciler!C24)</f>
        <v/>
      </c>
      <c r="D22" t="str">
        <f ca="1">IF(Kaleciler!D24="","",Kaleciler!D24)</f>
        <v/>
      </c>
      <c r="E22" t="str">
        <f>IF(Kaleciler!E24="","",Kaleciler!E24)</f>
        <v>Kaleci</v>
      </c>
      <c r="F22" t="str">
        <f>IF(Kaleciler!G24="","",Kaleciler!G24)</f>
        <v/>
      </c>
      <c r="G22" s="2" t="str">
        <f>IF(Kaleciler!H24="","",Kaleciler!H24)</f>
        <v/>
      </c>
      <c r="H22" t="str">
        <f>IF(Kaleciler!I24="","",Kaleciler!I24)</f>
        <v/>
      </c>
      <c r="I22" t="str">
        <f>IF(Kaleciler!A24="","",Kaleciler!J24)</f>
        <v/>
      </c>
      <c r="J22" t="str">
        <f>IF(Kaleciler!A24="","",Kaleciler!K24)</f>
        <v/>
      </c>
      <c r="K22" t="str">
        <f>IF(Kaleciler!L24="","",Kaleciler!L24)</f>
        <v/>
      </c>
      <c r="L22" t="str">
        <f>IF(Kaleciler!M24="","",Kaleciler!M24)</f>
        <v/>
      </c>
      <c r="M22" t="str">
        <f>IF(Kaleciler!N24="","",Kaleciler!N24)</f>
        <v/>
      </c>
      <c r="N22" t="str">
        <f>IF(Kaleciler!O24="","",Kaleciler!O24)</f>
        <v/>
      </c>
      <c r="O22" t="str">
        <f>IF(Kaleciler!P24="","",Kaleciler!P24)</f>
        <v/>
      </c>
      <c r="P22" t="str">
        <f>IF(Kaleciler!Q24="","",Kaleciler!Q24)</f>
        <v/>
      </c>
      <c r="Q22" t="str">
        <f>IF(Kaleciler!R24="","",Kaleciler!R24)</f>
        <v/>
      </c>
      <c r="R22" t="str">
        <f>IF(Kaleciler!S24="","",Kaleciler!S24)</f>
        <v/>
      </c>
      <c r="S22" t="str">
        <f>IF(Kaleciler!T24="","",Kaleciler!T24)</f>
        <v/>
      </c>
      <c r="T22" s="2" t="str">
        <f>IF(Kaleciler!U24="","",Kaleciler!U24)</f>
        <v/>
      </c>
      <c r="U22" t="s">
        <v>926</v>
      </c>
      <c r="V22">
        <v>24</v>
      </c>
      <c r="W22" t="str">
        <f ca="1">IF(AND($A22&lt;&gt;"",ISNUMBER($G22),$G22&gt;=TODAY(),$G22&lt;=EDATE(TODAY(),12)),COUNTIFS($G$2:$G$1001,"&gt;="&amp;TODAY(),$G$2:$G$1001,"&lt;"&amp;$G22,$A$2:$A$1001,"&lt;&gt;")+COUNTIFS($G$2:$G22,$G22,$A$2:$A22,"&lt;&gt;"),"")</f>
        <v/>
      </c>
      <c r="X22" t="str">
        <f>IF(AND($A22&lt;&gt;"",ISNUMBER($C22),$C22&gt;=DATE(2003,1,1)),COUNTIFS($C$2:$C22,"&gt;="&amp;DATE(2003,1,1),$A$2:$A22,"&lt;&gt;"),"")</f>
        <v/>
      </c>
    </row>
    <row r="23" spans="1:24">
      <c r="A23" t="str">
        <f>IF(Kaleciler!A25="","",Kaleciler!A25)</f>
        <v/>
      </c>
      <c r="B23" t="str">
        <f>IF(Kaleciler!B25="","",Kaleciler!B25)</f>
        <v/>
      </c>
      <c r="C23" s="2" t="str">
        <f>IF(Kaleciler!C25="","",Kaleciler!C25)</f>
        <v/>
      </c>
      <c r="D23" t="str">
        <f ca="1">IF(Kaleciler!D25="","",Kaleciler!D25)</f>
        <v/>
      </c>
      <c r="E23" t="str">
        <f>IF(Kaleciler!E25="","",Kaleciler!E25)</f>
        <v>Kaleci</v>
      </c>
      <c r="F23" t="str">
        <f>IF(Kaleciler!G25="","",Kaleciler!G25)</f>
        <v/>
      </c>
      <c r="G23" s="2" t="str">
        <f>IF(Kaleciler!H25="","",Kaleciler!H25)</f>
        <v/>
      </c>
      <c r="H23" t="str">
        <f>IF(Kaleciler!I25="","",Kaleciler!I25)</f>
        <v/>
      </c>
      <c r="I23" t="str">
        <f>IF(Kaleciler!A25="","",Kaleciler!J25)</f>
        <v/>
      </c>
      <c r="J23" t="str">
        <f>IF(Kaleciler!A25="","",Kaleciler!K25)</f>
        <v/>
      </c>
      <c r="K23" t="str">
        <f>IF(Kaleciler!L25="","",Kaleciler!L25)</f>
        <v/>
      </c>
      <c r="L23" t="str">
        <f>IF(Kaleciler!M25="","",Kaleciler!M25)</f>
        <v/>
      </c>
      <c r="M23" t="str">
        <f>IF(Kaleciler!N25="","",Kaleciler!N25)</f>
        <v/>
      </c>
      <c r="N23" t="str">
        <f>IF(Kaleciler!O25="","",Kaleciler!O25)</f>
        <v/>
      </c>
      <c r="O23" t="str">
        <f>IF(Kaleciler!P25="","",Kaleciler!P25)</f>
        <v/>
      </c>
      <c r="P23" t="str">
        <f>IF(Kaleciler!Q25="","",Kaleciler!Q25)</f>
        <v/>
      </c>
      <c r="Q23" t="str">
        <f>IF(Kaleciler!R25="","",Kaleciler!R25)</f>
        <v/>
      </c>
      <c r="R23" t="str">
        <f>IF(Kaleciler!S25="","",Kaleciler!S25)</f>
        <v/>
      </c>
      <c r="S23" t="str">
        <f>IF(Kaleciler!T25="","",Kaleciler!T25)</f>
        <v/>
      </c>
      <c r="T23" s="2" t="str">
        <f>IF(Kaleciler!U25="","",Kaleciler!U25)</f>
        <v/>
      </c>
      <c r="U23" t="s">
        <v>926</v>
      </c>
      <c r="V23">
        <v>25</v>
      </c>
      <c r="W23" t="str">
        <f ca="1">IF(AND($A23&lt;&gt;"",ISNUMBER($G23),$G23&gt;=TODAY(),$G23&lt;=EDATE(TODAY(),12)),COUNTIFS($G$2:$G$1001,"&gt;="&amp;TODAY(),$G$2:$G$1001,"&lt;"&amp;$G23,$A$2:$A$1001,"&lt;&gt;")+COUNTIFS($G$2:$G23,$G23,$A$2:$A23,"&lt;&gt;"),"")</f>
        <v/>
      </c>
      <c r="X23" t="str">
        <f>IF(AND($A23&lt;&gt;"",ISNUMBER($C23),$C23&gt;=DATE(2003,1,1)),COUNTIFS($C$2:$C23,"&gt;="&amp;DATE(2003,1,1),$A$2:$A23,"&lt;&gt;"),"")</f>
        <v/>
      </c>
    </row>
    <row r="24" spans="1:24">
      <c r="A24" t="str">
        <f>IF(Kaleciler!A26="","",Kaleciler!A26)</f>
        <v/>
      </c>
      <c r="B24" t="str">
        <f>IF(Kaleciler!B26="","",Kaleciler!B26)</f>
        <v/>
      </c>
      <c r="C24" s="2" t="str">
        <f>IF(Kaleciler!C26="","",Kaleciler!C26)</f>
        <v/>
      </c>
      <c r="D24" t="str">
        <f ca="1">IF(Kaleciler!D26="","",Kaleciler!D26)</f>
        <v/>
      </c>
      <c r="E24" t="str">
        <f>IF(Kaleciler!E26="","",Kaleciler!E26)</f>
        <v>Kaleci</v>
      </c>
      <c r="F24" t="str">
        <f>IF(Kaleciler!G26="","",Kaleciler!G26)</f>
        <v/>
      </c>
      <c r="G24" s="2" t="str">
        <f>IF(Kaleciler!H26="","",Kaleciler!H26)</f>
        <v/>
      </c>
      <c r="H24" t="str">
        <f>IF(Kaleciler!I26="","",Kaleciler!I26)</f>
        <v/>
      </c>
      <c r="I24" t="str">
        <f>IF(Kaleciler!A26="","",Kaleciler!J26)</f>
        <v/>
      </c>
      <c r="J24" t="str">
        <f>IF(Kaleciler!A26="","",Kaleciler!K26)</f>
        <v/>
      </c>
      <c r="K24" t="str">
        <f>IF(Kaleciler!L26="","",Kaleciler!L26)</f>
        <v/>
      </c>
      <c r="L24" t="str">
        <f>IF(Kaleciler!M26="","",Kaleciler!M26)</f>
        <v/>
      </c>
      <c r="M24" t="str">
        <f>IF(Kaleciler!N26="","",Kaleciler!N26)</f>
        <v/>
      </c>
      <c r="N24" t="str">
        <f>IF(Kaleciler!O26="","",Kaleciler!O26)</f>
        <v/>
      </c>
      <c r="O24" t="str">
        <f>IF(Kaleciler!P26="","",Kaleciler!P26)</f>
        <v/>
      </c>
      <c r="P24" t="str">
        <f>IF(Kaleciler!Q26="","",Kaleciler!Q26)</f>
        <v/>
      </c>
      <c r="Q24" t="str">
        <f>IF(Kaleciler!R26="","",Kaleciler!R26)</f>
        <v/>
      </c>
      <c r="R24" t="str">
        <f>IF(Kaleciler!S26="","",Kaleciler!S26)</f>
        <v/>
      </c>
      <c r="S24" t="str">
        <f>IF(Kaleciler!T26="","",Kaleciler!T26)</f>
        <v/>
      </c>
      <c r="T24" s="2" t="str">
        <f>IF(Kaleciler!U26="","",Kaleciler!U26)</f>
        <v/>
      </c>
      <c r="U24" t="s">
        <v>926</v>
      </c>
      <c r="V24">
        <v>26</v>
      </c>
      <c r="W24" t="str">
        <f ca="1">IF(AND($A24&lt;&gt;"",ISNUMBER($G24),$G24&gt;=TODAY(),$G24&lt;=EDATE(TODAY(),12)),COUNTIFS($G$2:$G$1001,"&gt;="&amp;TODAY(),$G$2:$G$1001,"&lt;"&amp;$G24,$A$2:$A$1001,"&lt;&gt;")+COUNTIFS($G$2:$G24,$G24,$A$2:$A24,"&lt;&gt;"),"")</f>
        <v/>
      </c>
      <c r="X24" t="str">
        <f>IF(AND($A24&lt;&gt;"",ISNUMBER($C24),$C24&gt;=DATE(2003,1,1)),COUNTIFS($C$2:$C24,"&gt;="&amp;DATE(2003,1,1),$A$2:$A24,"&lt;&gt;"),"")</f>
        <v/>
      </c>
    </row>
    <row r="25" spans="1:24">
      <c r="A25" t="str">
        <f>IF(Kaleciler!A27="","",Kaleciler!A27)</f>
        <v/>
      </c>
      <c r="B25" t="str">
        <f>IF(Kaleciler!B27="","",Kaleciler!B27)</f>
        <v/>
      </c>
      <c r="C25" s="2" t="str">
        <f>IF(Kaleciler!C27="","",Kaleciler!C27)</f>
        <v/>
      </c>
      <c r="D25" t="str">
        <f ca="1">IF(Kaleciler!D27="","",Kaleciler!D27)</f>
        <v/>
      </c>
      <c r="E25" t="str">
        <f>IF(Kaleciler!E27="","",Kaleciler!E27)</f>
        <v>Kaleci</v>
      </c>
      <c r="F25" t="str">
        <f>IF(Kaleciler!G27="","",Kaleciler!G27)</f>
        <v/>
      </c>
      <c r="G25" s="2" t="str">
        <f>IF(Kaleciler!H27="","",Kaleciler!H27)</f>
        <v/>
      </c>
      <c r="H25" t="str">
        <f>IF(Kaleciler!I27="","",Kaleciler!I27)</f>
        <v/>
      </c>
      <c r="I25" t="str">
        <f>IF(Kaleciler!A27="","",Kaleciler!J27)</f>
        <v/>
      </c>
      <c r="J25" t="str">
        <f>IF(Kaleciler!A27="","",Kaleciler!K27)</f>
        <v/>
      </c>
      <c r="K25" t="str">
        <f>IF(Kaleciler!L27="","",Kaleciler!L27)</f>
        <v/>
      </c>
      <c r="L25" t="str">
        <f>IF(Kaleciler!M27="","",Kaleciler!M27)</f>
        <v/>
      </c>
      <c r="M25" t="str">
        <f>IF(Kaleciler!N27="","",Kaleciler!N27)</f>
        <v/>
      </c>
      <c r="N25" t="str">
        <f>IF(Kaleciler!O27="","",Kaleciler!O27)</f>
        <v/>
      </c>
      <c r="O25" t="str">
        <f>IF(Kaleciler!P27="","",Kaleciler!P27)</f>
        <v/>
      </c>
      <c r="P25" t="str">
        <f>IF(Kaleciler!Q27="","",Kaleciler!Q27)</f>
        <v/>
      </c>
      <c r="Q25" t="str">
        <f>IF(Kaleciler!R27="","",Kaleciler!R27)</f>
        <v/>
      </c>
      <c r="R25" t="str">
        <f>IF(Kaleciler!S27="","",Kaleciler!S27)</f>
        <v/>
      </c>
      <c r="S25" t="str">
        <f>IF(Kaleciler!T27="","",Kaleciler!T27)</f>
        <v/>
      </c>
      <c r="T25" s="2" t="str">
        <f>IF(Kaleciler!U27="","",Kaleciler!U27)</f>
        <v/>
      </c>
      <c r="U25" t="s">
        <v>926</v>
      </c>
      <c r="V25">
        <v>27</v>
      </c>
      <c r="W25" t="str">
        <f ca="1">IF(AND($A25&lt;&gt;"",ISNUMBER($G25),$G25&gt;=TODAY(),$G25&lt;=EDATE(TODAY(),12)),COUNTIFS($G$2:$G$1001,"&gt;="&amp;TODAY(),$G$2:$G$1001,"&lt;"&amp;$G25,$A$2:$A$1001,"&lt;&gt;")+COUNTIFS($G$2:$G25,$G25,$A$2:$A25,"&lt;&gt;"),"")</f>
        <v/>
      </c>
      <c r="X25" t="str">
        <f>IF(AND($A25&lt;&gt;"",ISNUMBER($C25),$C25&gt;=DATE(2003,1,1)),COUNTIFS($C$2:$C25,"&gt;="&amp;DATE(2003,1,1),$A$2:$A25,"&lt;&gt;"),"")</f>
        <v/>
      </c>
    </row>
    <row r="26" spans="1:24">
      <c r="A26" t="str">
        <f>IF(Kaleciler!A28="","",Kaleciler!A28)</f>
        <v/>
      </c>
      <c r="B26" t="str">
        <f>IF(Kaleciler!B28="","",Kaleciler!B28)</f>
        <v/>
      </c>
      <c r="C26" s="2" t="str">
        <f>IF(Kaleciler!C28="","",Kaleciler!C28)</f>
        <v/>
      </c>
      <c r="D26" t="str">
        <f ca="1">IF(Kaleciler!D28="","",Kaleciler!D28)</f>
        <v/>
      </c>
      <c r="E26" t="str">
        <f>IF(Kaleciler!E28="","",Kaleciler!E28)</f>
        <v>Kaleci</v>
      </c>
      <c r="F26" t="str">
        <f>IF(Kaleciler!G28="","",Kaleciler!G28)</f>
        <v/>
      </c>
      <c r="G26" s="2" t="str">
        <f>IF(Kaleciler!H28="","",Kaleciler!H28)</f>
        <v/>
      </c>
      <c r="H26" t="str">
        <f>IF(Kaleciler!I28="","",Kaleciler!I28)</f>
        <v/>
      </c>
      <c r="I26" t="str">
        <f>IF(Kaleciler!A28="","",Kaleciler!J28)</f>
        <v/>
      </c>
      <c r="J26" t="str">
        <f>IF(Kaleciler!A28="","",Kaleciler!K28)</f>
        <v/>
      </c>
      <c r="K26" t="str">
        <f>IF(Kaleciler!L28="","",Kaleciler!L28)</f>
        <v/>
      </c>
      <c r="L26" t="str">
        <f>IF(Kaleciler!M28="","",Kaleciler!M28)</f>
        <v/>
      </c>
      <c r="M26" t="str">
        <f>IF(Kaleciler!N28="","",Kaleciler!N28)</f>
        <v/>
      </c>
      <c r="N26" t="str">
        <f>IF(Kaleciler!O28="","",Kaleciler!O28)</f>
        <v/>
      </c>
      <c r="O26" t="str">
        <f>IF(Kaleciler!P28="","",Kaleciler!P28)</f>
        <v/>
      </c>
      <c r="P26" t="str">
        <f>IF(Kaleciler!Q28="","",Kaleciler!Q28)</f>
        <v/>
      </c>
      <c r="Q26" t="str">
        <f>IF(Kaleciler!R28="","",Kaleciler!R28)</f>
        <v/>
      </c>
      <c r="R26" t="str">
        <f>IF(Kaleciler!S28="","",Kaleciler!S28)</f>
        <v/>
      </c>
      <c r="S26" t="str">
        <f>IF(Kaleciler!T28="","",Kaleciler!T28)</f>
        <v/>
      </c>
      <c r="T26" s="2" t="str">
        <f>IF(Kaleciler!U28="","",Kaleciler!U28)</f>
        <v/>
      </c>
      <c r="U26" t="s">
        <v>926</v>
      </c>
      <c r="V26">
        <v>28</v>
      </c>
      <c r="W26" t="str">
        <f ca="1">IF(AND($A26&lt;&gt;"",ISNUMBER($G26),$G26&gt;=TODAY(),$G26&lt;=EDATE(TODAY(),12)),COUNTIFS($G$2:$G$1001,"&gt;="&amp;TODAY(),$G$2:$G$1001,"&lt;"&amp;$G26,$A$2:$A$1001,"&lt;&gt;")+COUNTIFS($G$2:$G26,$G26,$A$2:$A26,"&lt;&gt;"),"")</f>
        <v/>
      </c>
      <c r="X26" t="str">
        <f>IF(AND($A26&lt;&gt;"",ISNUMBER($C26),$C26&gt;=DATE(2003,1,1)),COUNTIFS($C$2:$C26,"&gt;="&amp;DATE(2003,1,1),$A$2:$A26,"&lt;&gt;"),"")</f>
        <v/>
      </c>
    </row>
    <row r="27" spans="1:24">
      <c r="A27" t="str">
        <f>IF(Kaleciler!A29="","",Kaleciler!A29)</f>
        <v/>
      </c>
      <c r="B27" t="str">
        <f>IF(Kaleciler!B29="","",Kaleciler!B29)</f>
        <v/>
      </c>
      <c r="C27" s="2" t="str">
        <f>IF(Kaleciler!C29="","",Kaleciler!C29)</f>
        <v/>
      </c>
      <c r="D27" t="str">
        <f ca="1">IF(Kaleciler!D29="","",Kaleciler!D29)</f>
        <v/>
      </c>
      <c r="E27" t="str">
        <f>IF(Kaleciler!E29="","",Kaleciler!E29)</f>
        <v>Kaleci</v>
      </c>
      <c r="F27" t="str">
        <f>IF(Kaleciler!G29="","",Kaleciler!G29)</f>
        <v/>
      </c>
      <c r="G27" s="2" t="str">
        <f>IF(Kaleciler!H29="","",Kaleciler!H29)</f>
        <v/>
      </c>
      <c r="H27" t="str">
        <f>IF(Kaleciler!I29="","",Kaleciler!I29)</f>
        <v/>
      </c>
      <c r="I27" t="str">
        <f>IF(Kaleciler!A29="","",Kaleciler!J29)</f>
        <v/>
      </c>
      <c r="J27" t="str">
        <f>IF(Kaleciler!A29="","",Kaleciler!K29)</f>
        <v/>
      </c>
      <c r="K27" t="str">
        <f>IF(Kaleciler!L29="","",Kaleciler!L29)</f>
        <v/>
      </c>
      <c r="L27" t="str">
        <f>IF(Kaleciler!M29="","",Kaleciler!M29)</f>
        <v/>
      </c>
      <c r="M27" t="str">
        <f>IF(Kaleciler!N29="","",Kaleciler!N29)</f>
        <v/>
      </c>
      <c r="N27" t="str">
        <f>IF(Kaleciler!O29="","",Kaleciler!O29)</f>
        <v/>
      </c>
      <c r="O27" t="str">
        <f>IF(Kaleciler!P29="","",Kaleciler!P29)</f>
        <v/>
      </c>
      <c r="P27" t="str">
        <f>IF(Kaleciler!Q29="","",Kaleciler!Q29)</f>
        <v/>
      </c>
      <c r="Q27" t="str">
        <f>IF(Kaleciler!R29="","",Kaleciler!R29)</f>
        <v/>
      </c>
      <c r="R27" t="str">
        <f>IF(Kaleciler!S29="","",Kaleciler!S29)</f>
        <v/>
      </c>
      <c r="S27" t="str">
        <f>IF(Kaleciler!T29="","",Kaleciler!T29)</f>
        <v/>
      </c>
      <c r="T27" s="2" t="str">
        <f>IF(Kaleciler!U29="","",Kaleciler!U29)</f>
        <v/>
      </c>
      <c r="U27" t="s">
        <v>926</v>
      </c>
      <c r="V27">
        <v>29</v>
      </c>
      <c r="W27" t="str">
        <f ca="1">IF(AND($A27&lt;&gt;"",ISNUMBER($G27),$G27&gt;=TODAY(),$G27&lt;=EDATE(TODAY(),12)),COUNTIFS($G$2:$G$1001,"&gt;="&amp;TODAY(),$G$2:$G$1001,"&lt;"&amp;$G27,$A$2:$A$1001,"&lt;&gt;")+COUNTIFS($G$2:$G27,$G27,$A$2:$A27,"&lt;&gt;"),"")</f>
        <v/>
      </c>
      <c r="X27" t="str">
        <f>IF(AND($A27&lt;&gt;"",ISNUMBER($C27),$C27&gt;=DATE(2003,1,1)),COUNTIFS($C$2:$C27,"&gt;="&amp;DATE(2003,1,1),$A$2:$A27,"&lt;&gt;"),"")</f>
        <v/>
      </c>
    </row>
    <row r="28" spans="1:24">
      <c r="A28" t="str">
        <f>IF(Kaleciler!A30="","",Kaleciler!A30)</f>
        <v/>
      </c>
      <c r="B28" t="str">
        <f>IF(Kaleciler!B30="","",Kaleciler!B30)</f>
        <v/>
      </c>
      <c r="C28" s="2" t="str">
        <f>IF(Kaleciler!C30="","",Kaleciler!C30)</f>
        <v/>
      </c>
      <c r="D28" t="str">
        <f ca="1">IF(Kaleciler!D30="","",Kaleciler!D30)</f>
        <v/>
      </c>
      <c r="E28" t="str">
        <f>IF(Kaleciler!E30="","",Kaleciler!E30)</f>
        <v>Kaleci</v>
      </c>
      <c r="F28" t="str">
        <f>IF(Kaleciler!G30="","",Kaleciler!G30)</f>
        <v/>
      </c>
      <c r="G28" s="2" t="str">
        <f>IF(Kaleciler!H30="","",Kaleciler!H30)</f>
        <v/>
      </c>
      <c r="H28" t="str">
        <f>IF(Kaleciler!I30="","",Kaleciler!I30)</f>
        <v/>
      </c>
      <c r="I28" t="str">
        <f>IF(Kaleciler!A30="","",Kaleciler!J30)</f>
        <v/>
      </c>
      <c r="J28" t="str">
        <f>IF(Kaleciler!A30="","",Kaleciler!K30)</f>
        <v/>
      </c>
      <c r="K28" t="str">
        <f>IF(Kaleciler!L30="","",Kaleciler!L30)</f>
        <v/>
      </c>
      <c r="L28" t="str">
        <f>IF(Kaleciler!M30="","",Kaleciler!M30)</f>
        <v/>
      </c>
      <c r="M28" t="str">
        <f>IF(Kaleciler!N30="","",Kaleciler!N30)</f>
        <v/>
      </c>
      <c r="N28" t="str">
        <f>IF(Kaleciler!O30="","",Kaleciler!O30)</f>
        <v/>
      </c>
      <c r="O28" t="str">
        <f>IF(Kaleciler!P30="","",Kaleciler!P30)</f>
        <v/>
      </c>
      <c r="P28" t="str">
        <f>IF(Kaleciler!Q30="","",Kaleciler!Q30)</f>
        <v/>
      </c>
      <c r="Q28" t="str">
        <f>IF(Kaleciler!R30="","",Kaleciler!R30)</f>
        <v/>
      </c>
      <c r="R28" t="str">
        <f>IF(Kaleciler!S30="","",Kaleciler!S30)</f>
        <v/>
      </c>
      <c r="S28" t="str">
        <f>IF(Kaleciler!T30="","",Kaleciler!T30)</f>
        <v/>
      </c>
      <c r="T28" s="2" t="str">
        <f>IF(Kaleciler!U30="","",Kaleciler!U30)</f>
        <v/>
      </c>
      <c r="U28" t="s">
        <v>926</v>
      </c>
      <c r="V28">
        <v>30</v>
      </c>
      <c r="W28" t="str">
        <f ca="1">IF(AND($A28&lt;&gt;"",ISNUMBER($G28),$G28&gt;=TODAY(),$G28&lt;=EDATE(TODAY(),12)),COUNTIFS($G$2:$G$1001,"&gt;="&amp;TODAY(),$G$2:$G$1001,"&lt;"&amp;$G28,$A$2:$A$1001,"&lt;&gt;")+COUNTIFS($G$2:$G28,$G28,$A$2:$A28,"&lt;&gt;"),"")</f>
        <v/>
      </c>
      <c r="X28" t="str">
        <f>IF(AND($A28&lt;&gt;"",ISNUMBER($C28),$C28&gt;=DATE(2003,1,1)),COUNTIFS($C$2:$C28,"&gt;="&amp;DATE(2003,1,1),$A$2:$A28,"&lt;&gt;"),"")</f>
        <v/>
      </c>
    </row>
    <row r="29" spans="1:24">
      <c r="A29" t="str">
        <f>IF(Kaleciler!A31="","",Kaleciler!A31)</f>
        <v/>
      </c>
      <c r="B29" t="str">
        <f>IF(Kaleciler!B31="","",Kaleciler!B31)</f>
        <v/>
      </c>
      <c r="C29" s="2" t="str">
        <f>IF(Kaleciler!C31="","",Kaleciler!C31)</f>
        <v/>
      </c>
      <c r="D29" t="str">
        <f ca="1">IF(Kaleciler!D31="","",Kaleciler!D31)</f>
        <v/>
      </c>
      <c r="E29" t="str">
        <f>IF(Kaleciler!E31="","",Kaleciler!E31)</f>
        <v>Kaleci</v>
      </c>
      <c r="F29" t="str">
        <f>IF(Kaleciler!G31="","",Kaleciler!G31)</f>
        <v/>
      </c>
      <c r="G29" s="2" t="str">
        <f>IF(Kaleciler!H31="","",Kaleciler!H31)</f>
        <v/>
      </c>
      <c r="H29" t="str">
        <f>IF(Kaleciler!I31="","",Kaleciler!I31)</f>
        <v/>
      </c>
      <c r="I29" t="str">
        <f>IF(Kaleciler!A31="","",Kaleciler!J31)</f>
        <v/>
      </c>
      <c r="J29" t="str">
        <f>IF(Kaleciler!A31="","",Kaleciler!K31)</f>
        <v/>
      </c>
      <c r="K29" t="str">
        <f>IF(Kaleciler!L31="","",Kaleciler!L31)</f>
        <v/>
      </c>
      <c r="L29" t="str">
        <f>IF(Kaleciler!M31="","",Kaleciler!M31)</f>
        <v/>
      </c>
      <c r="M29" t="str">
        <f>IF(Kaleciler!N31="","",Kaleciler!N31)</f>
        <v/>
      </c>
      <c r="N29" t="str">
        <f>IF(Kaleciler!O31="","",Kaleciler!O31)</f>
        <v/>
      </c>
      <c r="O29" t="str">
        <f>IF(Kaleciler!P31="","",Kaleciler!P31)</f>
        <v/>
      </c>
      <c r="P29" t="str">
        <f>IF(Kaleciler!Q31="","",Kaleciler!Q31)</f>
        <v/>
      </c>
      <c r="Q29" t="str">
        <f>IF(Kaleciler!R31="","",Kaleciler!R31)</f>
        <v/>
      </c>
      <c r="R29" t="str">
        <f>IF(Kaleciler!S31="","",Kaleciler!S31)</f>
        <v/>
      </c>
      <c r="S29" t="str">
        <f>IF(Kaleciler!T31="","",Kaleciler!T31)</f>
        <v/>
      </c>
      <c r="T29" s="2" t="str">
        <f>IF(Kaleciler!U31="","",Kaleciler!U31)</f>
        <v/>
      </c>
      <c r="U29" t="s">
        <v>926</v>
      </c>
      <c r="V29">
        <v>31</v>
      </c>
      <c r="W29" t="str">
        <f ca="1">IF(AND($A29&lt;&gt;"",ISNUMBER($G29),$G29&gt;=TODAY(),$G29&lt;=EDATE(TODAY(),12)),COUNTIFS($G$2:$G$1001,"&gt;="&amp;TODAY(),$G$2:$G$1001,"&lt;"&amp;$G29,$A$2:$A$1001,"&lt;&gt;")+COUNTIFS($G$2:$G29,$G29,$A$2:$A29,"&lt;&gt;"),"")</f>
        <v/>
      </c>
      <c r="X29" t="str">
        <f>IF(AND($A29&lt;&gt;"",ISNUMBER($C29),$C29&gt;=DATE(2003,1,1)),COUNTIFS($C$2:$C29,"&gt;="&amp;DATE(2003,1,1),$A$2:$A29,"&lt;&gt;"),"")</f>
        <v/>
      </c>
    </row>
    <row r="30" spans="1:24">
      <c r="A30" t="str">
        <f>IF(Kaleciler!A32="","",Kaleciler!A32)</f>
        <v/>
      </c>
      <c r="B30" t="str">
        <f>IF(Kaleciler!B32="","",Kaleciler!B32)</f>
        <v/>
      </c>
      <c r="C30" s="2" t="str">
        <f>IF(Kaleciler!C32="","",Kaleciler!C32)</f>
        <v/>
      </c>
      <c r="D30" t="str">
        <f ca="1">IF(Kaleciler!D32="","",Kaleciler!D32)</f>
        <v/>
      </c>
      <c r="E30" t="str">
        <f>IF(Kaleciler!E32="","",Kaleciler!E32)</f>
        <v>Kaleci</v>
      </c>
      <c r="F30" t="str">
        <f>IF(Kaleciler!G32="","",Kaleciler!G32)</f>
        <v/>
      </c>
      <c r="G30" s="2" t="str">
        <f>IF(Kaleciler!H32="","",Kaleciler!H32)</f>
        <v/>
      </c>
      <c r="H30" t="str">
        <f>IF(Kaleciler!I32="","",Kaleciler!I32)</f>
        <v/>
      </c>
      <c r="I30" t="str">
        <f>IF(Kaleciler!A32="","",Kaleciler!J32)</f>
        <v/>
      </c>
      <c r="J30" t="str">
        <f>IF(Kaleciler!A32="","",Kaleciler!K32)</f>
        <v/>
      </c>
      <c r="K30" t="str">
        <f>IF(Kaleciler!L32="","",Kaleciler!L32)</f>
        <v/>
      </c>
      <c r="L30" t="str">
        <f>IF(Kaleciler!M32="","",Kaleciler!M32)</f>
        <v/>
      </c>
      <c r="M30" t="str">
        <f>IF(Kaleciler!N32="","",Kaleciler!N32)</f>
        <v/>
      </c>
      <c r="N30" t="str">
        <f>IF(Kaleciler!O32="","",Kaleciler!O32)</f>
        <v/>
      </c>
      <c r="O30" t="str">
        <f>IF(Kaleciler!P32="","",Kaleciler!P32)</f>
        <v/>
      </c>
      <c r="P30" t="str">
        <f>IF(Kaleciler!Q32="","",Kaleciler!Q32)</f>
        <v/>
      </c>
      <c r="Q30" t="str">
        <f>IF(Kaleciler!R32="","",Kaleciler!R32)</f>
        <v/>
      </c>
      <c r="R30" t="str">
        <f>IF(Kaleciler!S32="","",Kaleciler!S32)</f>
        <v/>
      </c>
      <c r="S30" t="str">
        <f>IF(Kaleciler!T32="","",Kaleciler!T32)</f>
        <v/>
      </c>
      <c r="T30" s="2" t="str">
        <f>IF(Kaleciler!U32="","",Kaleciler!U32)</f>
        <v/>
      </c>
      <c r="U30" t="s">
        <v>926</v>
      </c>
      <c r="V30">
        <v>32</v>
      </c>
      <c r="W30" t="str">
        <f ca="1">IF(AND($A30&lt;&gt;"",ISNUMBER($G30),$G30&gt;=TODAY(),$G30&lt;=EDATE(TODAY(),12)),COUNTIFS($G$2:$G$1001,"&gt;="&amp;TODAY(),$G$2:$G$1001,"&lt;"&amp;$G30,$A$2:$A$1001,"&lt;&gt;")+COUNTIFS($G$2:$G30,$G30,$A$2:$A30,"&lt;&gt;"),"")</f>
        <v/>
      </c>
      <c r="X30" t="str">
        <f>IF(AND($A30&lt;&gt;"",ISNUMBER($C30),$C30&gt;=DATE(2003,1,1)),COUNTIFS($C$2:$C30,"&gt;="&amp;DATE(2003,1,1),$A$2:$A30,"&lt;&gt;"),"")</f>
        <v/>
      </c>
    </row>
    <row r="31" spans="1:24">
      <c r="A31" t="str">
        <f>IF(Kaleciler!A33="","",Kaleciler!A33)</f>
        <v/>
      </c>
      <c r="B31" t="str">
        <f>IF(Kaleciler!B33="","",Kaleciler!B33)</f>
        <v/>
      </c>
      <c r="C31" s="2" t="str">
        <f>IF(Kaleciler!C33="","",Kaleciler!C33)</f>
        <v/>
      </c>
      <c r="D31" t="str">
        <f ca="1">IF(Kaleciler!D33="","",Kaleciler!D33)</f>
        <v/>
      </c>
      <c r="E31" t="str">
        <f>IF(Kaleciler!E33="","",Kaleciler!E33)</f>
        <v>Kaleci</v>
      </c>
      <c r="F31" t="str">
        <f>IF(Kaleciler!G33="","",Kaleciler!G33)</f>
        <v/>
      </c>
      <c r="G31" s="2" t="str">
        <f>IF(Kaleciler!H33="","",Kaleciler!H33)</f>
        <v/>
      </c>
      <c r="H31" t="str">
        <f>IF(Kaleciler!I33="","",Kaleciler!I33)</f>
        <v/>
      </c>
      <c r="I31" t="str">
        <f>IF(Kaleciler!A33="","",Kaleciler!J33)</f>
        <v/>
      </c>
      <c r="J31" t="str">
        <f>IF(Kaleciler!A33="","",Kaleciler!K33)</f>
        <v/>
      </c>
      <c r="K31" t="str">
        <f>IF(Kaleciler!L33="","",Kaleciler!L33)</f>
        <v/>
      </c>
      <c r="L31" t="str">
        <f>IF(Kaleciler!M33="","",Kaleciler!M33)</f>
        <v/>
      </c>
      <c r="M31" t="str">
        <f>IF(Kaleciler!N33="","",Kaleciler!N33)</f>
        <v/>
      </c>
      <c r="N31" t="str">
        <f>IF(Kaleciler!O33="","",Kaleciler!O33)</f>
        <v/>
      </c>
      <c r="O31" t="str">
        <f>IF(Kaleciler!P33="","",Kaleciler!P33)</f>
        <v/>
      </c>
      <c r="P31" t="str">
        <f>IF(Kaleciler!Q33="","",Kaleciler!Q33)</f>
        <v/>
      </c>
      <c r="Q31" t="str">
        <f>IF(Kaleciler!R33="","",Kaleciler!R33)</f>
        <v/>
      </c>
      <c r="R31" t="str">
        <f>IF(Kaleciler!S33="","",Kaleciler!S33)</f>
        <v/>
      </c>
      <c r="S31" t="str">
        <f>IF(Kaleciler!T33="","",Kaleciler!T33)</f>
        <v/>
      </c>
      <c r="T31" s="2" t="str">
        <f>IF(Kaleciler!U33="","",Kaleciler!U33)</f>
        <v/>
      </c>
      <c r="U31" t="s">
        <v>926</v>
      </c>
      <c r="V31">
        <v>33</v>
      </c>
      <c r="W31" t="str">
        <f ca="1">IF(AND($A31&lt;&gt;"",ISNUMBER($G31),$G31&gt;=TODAY(),$G31&lt;=EDATE(TODAY(),12)),COUNTIFS($G$2:$G$1001,"&gt;="&amp;TODAY(),$G$2:$G$1001,"&lt;"&amp;$G31,$A$2:$A$1001,"&lt;&gt;")+COUNTIFS($G$2:$G31,$G31,$A$2:$A31,"&lt;&gt;"),"")</f>
        <v/>
      </c>
      <c r="X31" t="str">
        <f>IF(AND($A31&lt;&gt;"",ISNUMBER($C31),$C31&gt;=DATE(2003,1,1)),COUNTIFS($C$2:$C31,"&gt;="&amp;DATE(2003,1,1),$A$2:$A31,"&lt;&gt;"),"")</f>
        <v/>
      </c>
    </row>
    <row r="32" spans="1:24">
      <c r="A32" t="str">
        <f>IF(Kaleciler!A34="","",Kaleciler!A34)</f>
        <v/>
      </c>
      <c r="B32" t="str">
        <f>IF(Kaleciler!B34="","",Kaleciler!B34)</f>
        <v/>
      </c>
      <c r="C32" s="2" t="str">
        <f>IF(Kaleciler!C34="","",Kaleciler!C34)</f>
        <v/>
      </c>
      <c r="D32" t="str">
        <f ca="1">IF(Kaleciler!D34="","",Kaleciler!D34)</f>
        <v/>
      </c>
      <c r="E32" t="str">
        <f>IF(Kaleciler!E34="","",Kaleciler!E34)</f>
        <v>Kaleci</v>
      </c>
      <c r="F32" t="str">
        <f>IF(Kaleciler!G34="","",Kaleciler!G34)</f>
        <v/>
      </c>
      <c r="G32" s="2" t="str">
        <f>IF(Kaleciler!H34="","",Kaleciler!H34)</f>
        <v/>
      </c>
      <c r="H32" t="str">
        <f>IF(Kaleciler!I34="","",Kaleciler!I34)</f>
        <v/>
      </c>
      <c r="I32" t="str">
        <f>IF(Kaleciler!A34="","",Kaleciler!J34)</f>
        <v/>
      </c>
      <c r="J32" t="str">
        <f>IF(Kaleciler!A34="","",Kaleciler!K34)</f>
        <v/>
      </c>
      <c r="K32" t="str">
        <f>IF(Kaleciler!L34="","",Kaleciler!L34)</f>
        <v/>
      </c>
      <c r="L32" t="str">
        <f>IF(Kaleciler!M34="","",Kaleciler!M34)</f>
        <v/>
      </c>
      <c r="M32" t="str">
        <f>IF(Kaleciler!N34="","",Kaleciler!N34)</f>
        <v/>
      </c>
      <c r="N32" t="str">
        <f>IF(Kaleciler!O34="","",Kaleciler!O34)</f>
        <v/>
      </c>
      <c r="O32" t="str">
        <f>IF(Kaleciler!P34="","",Kaleciler!P34)</f>
        <v/>
      </c>
      <c r="P32" t="str">
        <f>IF(Kaleciler!Q34="","",Kaleciler!Q34)</f>
        <v/>
      </c>
      <c r="Q32" t="str">
        <f>IF(Kaleciler!R34="","",Kaleciler!R34)</f>
        <v/>
      </c>
      <c r="R32" t="str">
        <f>IF(Kaleciler!S34="","",Kaleciler!S34)</f>
        <v/>
      </c>
      <c r="S32" t="str">
        <f>IF(Kaleciler!T34="","",Kaleciler!T34)</f>
        <v/>
      </c>
      <c r="T32" s="2" t="str">
        <f>IF(Kaleciler!U34="","",Kaleciler!U34)</f>
        <v/>
      </c>
      <c r="U32" t="s">
        <v>926</v>
      </c>
      <c r="V32">
        <v>34</v>
      </c>
      <c r="W32" t="str">
        <f ca="1">IF(AND($A32&lt;&gt;"",ISNUMBER($G32),$G32&gt;=TODAY(),$G32&lt;=EDATE(TODAY(),12)),COUNTIFS($G$2:$G$1001,"&gt;="&amp;TODAY(),$G$2:$G$1001,"&lt;"&amp;$G32,$A$2:$A$1001,"&lt;&gt;")+COUNTIFS($G$2:$G32,$G32,$A$2:$A32,"&lt;&gt;"),"")</f>
        <v/>
      </c>
      <c r="X32" t="str">
        <f>IF(AND($A32&lt;&gt;"",ISNUMBER($C32),$C32&gt;=DATE(2003,1,1)),COUNTIFS($C$2:$C32,"&gt;="&amp;DATE(2003,1,1),$A$2:$A32,"&lt;&gt;"),"")</f>
        <v/>
      </c>
    </row>
    <row r="33" spans="1:24">
      <c r="A33" t="str">
        <f>IF(Kaleciler!A35="","",Kaleciler!A35)</f>
        <v/>
      </c>
      <c r="B33" t="str">
        <f>IF(Kaleciler!B35="","",Kaleciler!B35)</f>
        <v/>
      </c>
      <c r="C33" s="2" t="str">
        <f>IF(Kaleciler!C35="","",Kaleciler!C35)</f>
        <v/>
      </c>
      <c r="D33" t="str">
        <f ca="1">IF(Kaleciler!D35="","",Kaleciler!D35)</f>
        <v/>
      </c>
      <c r="E33" t="str">
        <f>IF(Kaleciler!E35="","",Kaleciler!E35)</f>
        <v>Kaleci</v>
      </c>
      <c r="F33" t="str">
        <f>IF(Kaleciler!G35="","",Kaleciler!G35)</f>
        <v/>
      </c>
      <c r="G33" s="2" t="str">
        <f>IF(Kaleciler!H35="","",Kaleciler!H35)</f>
        <v/>
      </c>
      <c r="H33" t="str">
        <f>IF(Kaleciler!I35="","",Kaleciler!I35)</f>
        <v/>
      </c>
      <c r="I33" t="str">
        <f>IF(Kaleciler!A35="","",Kaleciler!J35)</f>
        <v/>
      </c>
      <c r="J33" t="str">
        <f>IF(Kaleciler!A35="","",Kaleciler!K35)</f>
        <v/>
      </c>
      <c r="K33" t="str">
        <f>IF(Kaleciler!L35="","",Kaleciler!L35)</f>
        <v/>
      </c>
      <c r="L33" t="str">
        <f>IF(Kaleciler!M35="","",Kaleciler!M35)</f>
        <v/>
      </c>
      <c r="M33" t="str">
        <f>IF(Kaleciler!N35="","",Kaleciler!N35)</f>
        <v/>
      </c>
      <c r="N33" t="str">
        <f>IF(Kaleciler!O35="","",Kaleciler!O35)</f>
        <v/>
      </c>
      <c r="O33" t="str">
        <f>IF(Kaleciler!P35="","",Kaleciler!P35)</f>
        <v/>
      </c>
      <c r="P33" t="str">
        <f>IF(Kaleciler!Q35="","",Kaleciler!Q35)</f>
        <v/>
      </c>
      <c r="Q33" t="str">
        <f>IF(Kaleciler!R35="","",Kaleciler!R35)</f>
        <v/>
      </c>
      <c r="R33" t="str">
        <f>IF(Kaleciler!S35="","",Kaleciler!S35)</f>
        <v/>
      </c>
      <c r="S33" t="str">
        <f>IF(Kaleciler!T35="","",Kaleciler!T35)</f>
        <v/>
      </c>
      <c r="T33" s="2" t="str">
        <f>IF(Kaleciler!U35="","",Kaleciler!U35)</f>
        <v/>
      </c>
      <c r="U33" t="s">
        <v>926</v>
      </c>
      <c r="V33">
        <v>35</v>
      </c>
      <c r="W33" t="str">
        <f ca="1">IF(AND($A33&lt;&gt;"",ISNUMBER($G33),$G33&gt;=TODAY(),$G33&lt;=EDATE(TODAY(),12)),COUNTIFS($G$2:$G$1001,"&gt;="&amp;TODAY(),$G$2:$G$1001,"&lt;"&amp;$G33,$A$2:$A$1001,"&lt;&gt;")+COUNTIFS($G$2:$G33,$G33,$A$2:$A33,"&lt;&gt;"),"")</f>
        <v/>
      </c>
      <c r="X33" t="str">
        <f>IF(AND($A33&lt;&gt;"",ISNUMBER($C33),$C33&gt;=DATE(2003,1,1)),COUNTIFS($C$2:$C33,"&gt;="&amp;DATE(2003,1,1),$A$2:$A33,"&lt;&gt;"),"")</f>
        <v/>
      </c>
    </row>
    <row r="34" spans="1:24">
      <c r="A34" t="str">
        <f>IF(Kaleciler!A36="","",Kaleciler!A36)</f>
        <v/>
      </c>
      <c r="B34" t="str">
        <f>IF(Kaleciler!B36="","",Kaleciler!B36)</f>
        <v/>
      </c>
      <c r="C34" s="2" t="str">
        <f>IF(Kaleciler!C36="","",Kaleciler!C36)</f>
        <v/>
      </c>
      <c r="D34" t="str">
        <f ca="1">IF(Kaleciler!D36="","",Kaleciler!D36)</f>
        <v/>
      </c>
      <c r="E34" t="str">
        <f>IF(Kaleciler!E36="","",Kaleciler!E36)</f>
        <v>Kaleci</v>
      </c>
      <c r="F34" t="str">
        <f>IF(Kaleciler!G36="","",Kaleciler!G36)</f>
        <v/>
      </c>
      <c r="G34" s="2" t="str">
        <f>IF(Kaleciler!H36="","",Kaleciler!H36)</f>
        <v/>
      </c>
      <c r="H34" t="str">
        <f>IF(Kaleciler!I36="","",Kaleciler!I36)</f>
        <v/>
      </c>
      <c r="I34" t="str">
        <f>IF(Kaleciler!A36="","",Kaleciler!J36)</f>
        <v/>
      </c>
      <c r="J34" t="str">
        <f>IF(Kaleciler!A36="","",Kaleciler!K36)</f>
        <v/>
      </c>
      <c r="K34" t="str">
        <f>IF(Kaleciler!L36="","",Kaleciler!L36)</f>
        <v/>
      </c>
      <c r="L34" t="str">
        <f>IF(Kaleciler!M36="","",Kaleciler!M36)</f>
        <v/>
      </c>
      <c r="M34" t="str">
        <f>IF(Kaleciler!N36="","",Kaleciler!N36)</f>
        <v/>
      </c>
      <c r="N34" t="str">
        <f>IF(Kaleciler!O36="","",Kaleciler!O36)</f>
        <v/>
      </c>
      <c r="O34" t="str">
        <f>IF(Kaleciler!P36="","",Kaleciler!P36)</f>
        <v/>
      </c>
      <c r="P34" t="str">
        <f>IF(Kaleciler!Q36="","",Kaleciler!Q36)</f>
        <v/>
      </c>
      <c r="Q34" t="str">
        <f>IF(Kaleciler!R36="","",Kaleciler!R36)</f>
        <v/>
      </c>
      <c r="R34" t="str">
        <f>IF(Kaleciler!S36="","",Kaleciler!S36)</f>
        <v/>
      </c>
      <c r="S34" t="str">
        <f>IF(Kaleciler!T36="","",Kaleciler!T36)</f>
        <v/>
      </c>
      <c r="T34" s="2" t="str">
        <f>IF(Kaleciler!U36="","",Kaleciler!U36)</f>
        <v/>
      </c>
      <c r="U34" t="s">
        <v>926</v>
      </c>
      <c r="V34">
        <v>36</v>
      </c>
      <c r="W34" t="str">
        <f ca="1">IF(AND($A34&lt;&gt;"",ISNUMBER($G34),$G34&gt;=TODAY(),$G34&lt;=EDATE(TODAY(),12)),COUNTIFS($G$2:$G$1001,"&gt;="&amp;TODAY(),$G$2:$G$1001,"&lt;"&amp;$G34,$A$2:$A$1001,"&lt;&gt;")+COUNTIFS($G$2:$G34,$G34,$A$2:$A34,"&lt;&gt;"),"")</f>
        <v/>
      </c>
      <c r="X34" t="str">
        <f>IF(AND($A34&lt;&gt;"",ISNUMBER($C34),$C34&gt;=DATE(2003,1,1)),COUNTIFS($C$2:$C34,"&gt;="&amp;DATE(2003,1,1),$A$2:$A34,"&lt;&gt;"),"")</f>
        <v/>
      </c>
    </row>
    <row r="35" spans="1:24">
      <c r="A35" t="str">
        <f>IF(Kaleciler!A37="","",Kaleciler!A37)</f>
        <v/>
      </c>
      <c r="B35" t="str">
        <f>IF(Kaleciler!B37="","",Kaleciler!B37)</f>
        <v/>
      </c>
      <c r="C35" s="2" t="str">
        <f>IF(Kaleciler!C37="","",Kaleciler!C37)</f>
        <v/>
      </c>
      <c r="D35" t="str">
        <f ca="1">IF(Kaleciler!D37="","",Kaleciler!D37)</f>
        <v/>
      </c>
      <c r="E35" t="str">
        <f>IF(Kaleciler!E37="","",Kaleciler!E37)</f>
        <v>Kaleci</v>
      </c>
      <c r="F35" t="str">
        <f>IF(Kaleciler!G37="","",Kaleciler!G37)</f>
        <v/>
      </c>
      <c r="G35" s="2" t="str">
        <f>IF(Kaleciler!H37="","",Kaleciler!H37)</f>
        <v/>
      </c>
      <c r="H35" t="str">
        <f>IF(Kaleciler!I37="","",Kaleciler!I37)</f>
        <v/>
      </c>
      <c r="I35" t="str">
        <f>IF(Kaleciler!A37="","",Kaleciler!J37)</f>
        <v/>
      </c>
      <c r="J35" t="str">
        <f>IF(Kaleciler!A37="","",Kaleciler!K37)</f>
        <v/>
      </c>
      <c r="K35" t="str">
        <f>IF(Kaleciler!L37="","",Kaleciler!L37)</f>
        <v/>
      </c>
      <c r="L35" t="str">
        <f>IF(Kaleciler!M37="","",Kaleciler!M37)</f>
        <v/>
      </c>
      <c r="M35" t="str">
        <f>IF(Kaleciler!N37="","",Kaleciler!N37)</f>
        <v/>
      </c>
      <c r="N35" t="str">
        <f>IF(Kaleciler!O37="","",Kaleciler!O37)</f>
        <v/>
      </c>
      <c r="O35" t="str">
        <f>IF(Kaleciler!P37="","",Kaleciler!P37)</f>
        <v/>
      </c>
      <c r="P35" t="str">
        <f>IF(Kaleciler!Q37="","",Kaleciler!Q37)</f>
        <v/>
      </c>
      <c r="Q35" t="str">
        <f>IF(Kaleciler!R37="","",Kaleciler!R37)</f>
        <v/>
      </c>
      <c r="R35" t="str">
        <f>IF(Kaleciler!S37="","",Kaleciler!S37)</f>
        <v/>
      </c>
      <c r="S35" t="str">
        <f>IF(Kaleciler!T37="","",Kaleciler!T37)</f>
        <v/>
      </c>
      <c r="T35" s="2" t="str">
        <f>IF(Kaleciler!U37="","",Kaleciler!U37)</f>
        <v/>
      </c>
      <c r="U35" t="s">
        <v>926</v>
      </c>
      <c r="V35">
        <v>37</v>
      </c>
      <c r="W35" t="str">
        <f ca="1">IF(AND($A35&lt;&gt;"",ISNUMBER($G35),$G35&gt;=TODAY(),$G35&lt;=EDATE(TODAY(),12)),COUNTIFS($G$2:$G$1001,"&gt;="&amp;TODAY(),$G$2:$G$1001,"&lt;"&amp;$G35,$A$2:$A$1001,"&lt;&gt;")+COUNTIFS($G$2:$G35,$G35,$A$2:$A35,"&lt;&gt;"),"")</f>
        <v/>
      </c>
      <c r="X35" t="str">
        <f>IF(AND($A35&lt;&gt;"",ISNUMBER($C35),$C35&gt;=DATE(2003,1,1)),COUNTIFS($C$2:$C35,"&gt;="&amp;DATE(2003,1,1),$A$2:$A35,"&lt;&gt;"),"")</f>
        <v/>
      </c>
    </row>
    <row r="36" spans="1:24">
      <c r="A36" t="str">
        <f>IF(Kaleciler!A38="","",Kaleciler!A38)</f>
        <v/>
      </c>
      <c r="B36" t="str">
        <f>IF(Kaleciler!B38="","",Kaleciler!B38)</f>
        <v/>
      </c>
      <c r="C36" s="2" t="str">
        <f>IF(Kaleciler!C38="","",Kaleciler!C38)</f>
        <v/>
      </c>
      <c r="D36" t="str">
        <f ca="1">IF(Kaleciler!D38="","",Kaleciler!D38)</f>
        <v/>
      </c>
      <c r="E36" t="str">
        <f>IF(Kaleciler!E38="","",Kaleciler!E38)</f>
        <v>Kaleci</v>
      </c>
      <c r="F36" t="str">
        <f>IF(Kaleciler!G38="","",Kaleciler!G38)</f>
        <v/>
      </c>
      <c r="G36" s="2" t="str">
        <f>IF(Kaleciler!H38="","",Kaleciler!H38)</f>
        <v/>
      </c>
      <c r="H36" t="str">
        <f>IF(Kaleciler!I38="","",Kaleciler!I38)</f>
        <v/>
      </c>
      <c r="I36" t="str">
        <f>IF(Kaleciler!A38="","",Kaleciler!J38)</f>
        <v/>
      </c>
      <c r="J36" t="str">
        <f>IF(Kaleciler!A38="","",Kaleciler!K38)</f>
        <v/>
      </c>
      <c r="K36" t="str">
        <f>IF(Kaleciler!L38="","",Kaleciler!L38)</f>
        <v/>
      </c>
      <c r="L36" t="str">
        <f>IF(Kaleciler!M38="","",Kaleciler!M38)</f>
        <v/>
      </c>
      <c r="M36" t="str">
        <f>IF(Kaleciler!N38="","",Kaleciler!N38)</f>
        <v/>
      </c>
      <c r="N36" t="str">
        <f>IF(Kaleciler!O38="","",Kaleciler!O38)</f>
        <v/>
      </c>
      <c r="O36" t="str">
        <f>IF(Kaleciler!P38="","",Kaleciler!P38)</f>
        <v/>
      </c>
      <c r="P36" t="str">
        <f>IF(Kaleciler!Q38="","",Kaleciler!Q38)</f>
        <v/>
      </c>
      <c r="Q36" t="str">
        <f>IF(Kaleciler!R38="","",Kaleciler!R38)</f>
        <v/>
      </c>
      <c r="R36" t="str">
        <f>IF(Kaleciler!S38="","",Kaleciler!S38)</f>
        <v/>
      </c>
      <c r="S36" t="str">
        <f>IF(Kaleciler!T38="","",Kaleciler!T38)</f>
        <v/>
      </c>
      <c r="T36" s="2" t="str">
        <f>IF(Kaleciler!U38="","",Kaleciler!U38)</f>
        <v/>
      </c>
      <c r="U36" t="s">
        <v>926</v>
      </c>
      <c r="V36">
        <v>38</v>
      </c>
      <c r="W36" t="str">
        <f ca="1">IF(AND($A36&lt;&gt;"",ISNUMBER($G36),$G36&gt;=TODAY(),$G36&lt;=EDATE(TODAY(),12)),COUNTIFS($G$2:$G$1001,"&gt;="&amp;TODAY(),$G$2:$G$1001,"&lt;"&amp;$G36,$A$2:$A$1001,"&lt;&gt;")+COUNTIFS($G$2:$G36,$G36,$A$2:$A36,"&lt;&gt;"),"")</f>
        <v/>
      </c>
      <c r="X36" t="str">
        <f>IF(AND($A36&lt;&gt;"",ISNUMBER($C36),$C36&gt;=DATE(2003,1,1)),COUNTIFS($C$2:$C36,"&gt;="&amp;DATE(2003,1,1),$A$2:$A36,"&lt;&gt;"),"")</f>
        <v/>
      </c>
    </row>
    <row r="37" spans="1:24">
      <c r="A37" t="str">
        <f>IF(Kaleciler!A39="","",Kaleciler!A39)</f>
        <v/>
      </c>
      <c r="B37" t="str">
        <f>IF(Kaleciler!B39="","",Kaleciler!B39)</f>
        <v/>
      </c>
      <c r="C37" s="2" t="str">
        <f>IF(Kaleciler!C39="","",Kaleciler!C39)</f>
        <v/>
      </c>
      <c r="D37" t="str">
        <f ca="1">IF(Kaleciler!D39="","",Kaleciler!D39)</f>
        <v/>
      </c>
      <c r="E37" t="str">
        <f>IF(Kaleciler!E39="","",Kaleciler!E39)</f>
        <v>Kaleci</v>
      </c>
      <c r="F37" t="str">
        <f>IF(Kaleciler!G39="","",Kaleciler!G39)</f>
        <v/>
      </c>
      <c r="G37" s="2" t="str">
        <f>IF(Kaleciler!H39="","",Kaleciler!H39)</f>
        <v/>
      </c>
      <c r="H37" t="str">
        <f>IF(Kaleciler!I39="","",Kaleciler!I39)</f>
        <v/>
      </c>
      <c r="I37" t="str">
        <f>IF(Kaleciler!A39="","",Kaleciler!J39)</f>
        <v/>
      </c>
      <c r="J37" t="str">
        <f>IF(Kaleciler!A39="","",Kaleciler!K39)</f>
        <v/>
      </c>
      <c r="K37" t="str">
        <f>IF(Kaleciler!L39="","",Kaleciler!L39)</f>
        <v/>
      </c>
      <c r="L37" t="str">
        <f>IF(Kaleciler!M39="","",Kaleciler!M39)</f>
        <v/>
      </c>
      <c r="M37" t="str">
        <f>IF(Kaleciler!N39="","",Kaleciler!N39)</f>
        <v/>
      </c>
      <c r="N37" t="str">
        <f>IF(Kaleciler!O39="","",Kaleciler!O39)</f>
        <v/>
      </c>
      <c r="O37" t="str">
        <f>IF(Kaleciler!P39="","",Kaleciler!P39)</f>
        <v/>
      </c>
      <c r="P37" t="str">
        <f>IF(Kaleciler!Q39="","",Kaleciler!Q39)</f>
        <v/>
      </c>
      <c r="Q37" t="str">
        <f>IF(Kaleciler!R39="","",Kaleciler!R39)</f>
        <v/>
      </c>
      <c r="R37" t="str">
        <f>IF(Kaleciler!S39="","",Kaleciler!S39)</f>
        <v/>
      </c>
      <c r="S37" t="str">
        <f>IF(Kaleciler!T39="","",Kaleciler!T39)</f>
        <v/>
      </c>
      <c r="T37" s="2" t="str">
        <f>IF(Kaleciler!U39="","",Kaleciler!U39)</f>
        <v/>
      </c>
      <c r="U37" t="s">
        <v>926</v>
      </c>
      <c r="V37">
        <v>39</v>
      </c>
      <c r="W37" t="str">
        <f ca="1">IF(AND($A37&lt;&gt;"",ISNUMBER($G37),$G37&gt;=TODAY(),$G37&lt;=EDATE(TODAY(),12)),COUNTIFS($G$2:$G$1001,"&gt;="&amp;TODAY(),$G$2:$G$1001,"&lt;"&amp;$G37,$A$2:$A$1001,"&lt;&gt;")+COUNTIFS($G$2:$G37,$G37,$A$2:$A37,"&lt;&gt;"),"")</f>
        <v/>
      </c>
      <c r="X37" t="str">
        <f>IF(AND($A37&lt;&gt;"",ISNUMBER($C37),$C37&gt;=DATE(2003,1,1)),COUNTIFS($C$2:$C37,"&gt;="&amp;DATE(2003,1,1),$A$2:$A37,"&lt;&gt;"),"")</f>
        <v/>
      </c>
    </row>
    <row r="38" spans="1:24">
      <c r="A38" t="str">
        <f>IF(Kaleciler!A40="","",Kaleciler!A40)</f>
        <v/>
      </c>
      <c r="B38" t="str">
        <f>IF(Kaleciler!B40="","",Kaleciler!B40)</f>
        <v/>
      </c>
      <c r="C38" s="2" t="str">
        <f>IF(Kaleciler!C40="","",Kaleciler!C40)</f>
        <v/>
      </c>
      <c r="D38" t="str">
        <f ca="1">IF(Kaleciler!D40="","",Kaleciler!D40)</f>
        <v/>
      </c>
      <c r="E38" t="str">
        <f>IF(Kaleciler!E40="","",Kaleciler!E40)</f>
        <v>Kaleci</v>
      </c>
      <c r="F38" t="str">
        <f>IF(Kaleciler!G40="","",Kaleciler!G40)</f>
        <v/>
      </c>
      <c r="G38" s="2" t="str">
        <f>IF(Kaleciler!H40="","",Kaleciler!H40)</f>
        <v/>
      </c>
      <c r="H38" t="str">
        <f>IF(Kaleciler!I40="","",Kaleciler!I40)</f>
        <v/>
      </c>
      <c r="I38" t="str">
        <f>IF(Kaleciler!A40="","",Kaleciler!J40)</f>
        <v/>
      </c>
      <c r="J38" t="str">
        <f>IF(Kaleciler!A40="","",Kaleciler!K40)</f>
        <v/>
      </c>
      <c r="K38" t="str">
        <f>IF(Kaleciler!L40="","",Kaleciler!L40)</f>
        <v/>
      </c>
      <c r="L38" t="str">
        <f>IF(Kaleciler!M40="","",Kaleciler!M40)</f>
        <v/>
      </c>
      <c r="M38" t="str">
        <f>IF(Kaleciler!N40="","",Kaleciler!N40)</f>
        <v/>
      </c>
      <c r="N38" t="str">
        <f>IF(Kaleciler!O40="","",Kaleciler!O40)</f>
        <v/>
      </c>
      <c r="O38" t="str">
        <f>IF(Kaleciler!P40="","",Kaleciler!P40)</f>
        <v/>
      </c>
      <c r="P38" t="str">
        <f>IF(Kaleciler!Q40="","",Kaleciler!Q40)</f>
        <v/>
      </c>
      <c r="Q38" t="str">
        <f>IF(Kaleciler!R40="","",Kaleciler!R40)</f>
        <v/>
      </c>
      <c r="R38" t="str">
        <f>IF(Kaleciler!S40="","",Kaleciler!S40)</f>
        <v/>
      </c>
      <c r="S38" t="str">
        <f>IF(Kaleciler!T40="","",Kaleciler!T40)</f>
        <v/>
      </c>
      <c r="T38" s="2" t="str">
        <f>IF(Kaleciler!U40="","",Kaleciler!U40)</f>
        <v/>
      </c>
      <c r="U38" t="s">
        <v>926</v>
      </c>
      <c r="V38">
        <v>40</v>
      </c>
      <c r="W38" t="str">
        <f ca="1">IF(AND($A38&lt;&gt;"",ISNUMBER($G38),$G38&gt;=TODAY(),$G38&lt;=EDATE(TODAY(),12)),COUNTIFS($G$2:$G$1001,"&gt;="&amp;TODAY(),$G$2:$G$1001,"&lt;"&amp;$G38,$A$2:$A$1001,"&lt;&gt;")+COUNTIFS($G$2:$G38,$G38,$A$2:$A38,"&lt;&gt;"),"")</f>
        <v/>
      </c>
      <c r="X38" t="str">
        <f>IF(AND($A38&lt;&gt;"",ISNUMBER($C38),$C38&gt;=DATE(2003,1,1)),COUNTIFS($C$2:$C38,"&gt;="&amp;DATE(2003,1,1),$A$2:$A38,"&lt;&gt;"),"")</f>
        <v/>
      </c>
    </row>
    <row r="39" spans="1:24">
      <c r="A39" t="str">
        <f>IF(Kaleciler!A41="","",Kaleciler!A41)</f>
        <v/>
      </c>
      <c r="B39" t="str">
        <f>IF(Kaleciler!B41="","",Kaleciler!B41)</f>
        <v/>
      </c>
      <c r="C39" s="2" t="str">
        <f>IF(Kaleciler!C41="","",Kaleciler!C41)</f>
        <v/>
      </c>
      <c r="D39" t="str">
        <f ca="1">IF(Kaleciler!D41="","",Kaleciler!D41)</f>
        <v/>
      </c>
      <c r="E39" t="str">
        <f>IF(Kaleciler!E41="","",Kaleciler!E41)</f>
        <v>Kaleci</v>
      </c>
      <c r="F39" t="str">
        <f>IF(Kaleciler!G41="","",Kaleciler!G41)</f>
        <v/>
      </c>
      <c r="G39" s="2" t="str">
        <f>IF(Kaleciler!H41="","",Kaleciler!H41)</f>
        <v/>
      </c>
      <c r="H39" t="str">
        <f>IF(Kaleciler!I41="","",Kaleciler!I41)</f>
        <v/>
      </c>
      <c r="I39" t="str">
        <f>IF(Kaleciler!A41="","",Kaleciler!J41)</f>
        <v/>
      </c>
      <c r="J39" t="str">
        <f>IF(Kaleciler!A41="","",Kaleciler!K41)</f>
        <v/>
      </c>
      <c r="K39" t="str">
        <f>IF(Kaleciler!L41="","",Kaleciler!L41)</f>
        <v/>
      </c>
      <c r="L39" t="str">
        <f>IF(Kaleciler!M41="","",Kaleciler!M41)</f>
        <v/>
      </c>
      <c r="M39" t="str">
        <f>IF(Kaleciler!N41="","",Kaleciler!N41)</f>
        <v/>
      </c>
      <c r="N39" t="str">
        <f>IF(Kaleciler!O41="","",Kaleciler!O41)</f>
        <v/>
      </c>
      <c r="O39" t="str">
        <f>IF(Kaleciler!P41="","",Kaleciler!P41)</f>
        <v/>
      </c>
      <c r="P39" t="str">
        <f>IF(Kaleciler!Q41="","",Kaleciler!Q41)</f>
        <v/>
      </c>
      <c r="Q39" t="str">
        <f>IF(Kaleciler!R41="","",Kaleciler!R41)</f>
        <v/>
      </c>
      <c r="R39" t="str">
        <f>IF(Kaleciler!S41="","",Kaleciler!S41)</f>
        <v/>
      </c>
      <c r="S39" t="str">
        <f>IF(Kaleciler!T41="","",Kaleciler!T41)</f>
        <v/>
      </c>
      <c r="T39" s="2" t="str">
        <f>IF(Kaleciler!U41="","",Kaleciler!U41)</f>
        <v/>
      </c>
      <c r="U39" t="s">
        <v>926</v>
      </c>
      <c r="V39">
        <v>41</v>
      </c>
      <c r="W39" t="str">
        <f ca="1">IF(AND($A39&lt;&gt;"",ISNUMBER($G39),$G39&gt;=TODAY(),$G39&lt;=EDATE(TODAY(),12)),COUNTIFS($G$2:$G$1001,"&gt;="&amp;TODAY(),$G$2:$G$1001,"&lt;"&amp;$G39,$A$2:$A$1001,"&lt;&gt;")+COUNTIFS($G$2:$G39,$G39,$A$2:$A39,"&lt;&gt;"),"")</f>
        <v/>
      </c>
      <c r="X39" t="str">
        <f>IF(AND($A39&lt;&gt;"",ISNUMBER($C39),$C39&gt;=DATE(2003,1,1)),COUNTIFS($C$2:$C39,"&gt;="&amp;DATE(2003,1,1),$A$2:$A39,"&lt;&gt;"),"")</f>
        <v/>
      </c>
    </row>
    <row r="40" spans="1:24">
      <c r="A40" t="str">
        <f>IF(Kaleciler!A42="","",Kaleciler!A42)</f>
        <v/>
      </c>
      <c r="B40" t="str">
        <f>IF(Kaleciler!B42="","",Kaleciler!B42)</f>
        <v/>
      </c>
      <c r="C40" s="2" t="str">
        <f>IF(Kaleciler!C42="","",Kaleciler!C42)</f>
        <v/>
      </c>
      <c r="D40" t="str">
        <f ca="1">IF(Kaleciler!D42="","",Kaleciler!D42)</f>
        <v/>
      </c>
      <c r="E40" t="str">
        <f>IF(Kaleciler!E42="","",Kaleciler!E42)</f>
        <v>Kaleci</v>
      </c>
      <c r="F40" t="str">
        <f>IF(Kaleciler!G42="","",Kaleciler!G42)</f>
        <v/>
      </c>
      <c r="G40" s="2" t="str">
        <f>IF(Kaleciler!H42="","",Kaleciler!H42)</f>
        <v/>
      </c>
      <c r="H40" t="str">
        <f>IF(Kaleciler!I42="","",Kaleciler!I42)</f>
        <v/>
      </c>
      <c r="I40" t="str">
        <f>IF(Kaleciler!A42="","",Kaleciler!J42)</f>
        <v/>
      </c>
      <c r="J40" t="str">
        <f>IF(Kaleciler!A42="","",Kaleciler!K42)</f>
        <v/>
      </c>
      <c r="K40" t="str">
        <f>IF(Kaleciler!L42="","",Kaleciler!L42)</f>
        <v/>
      </c>
      <c r="L40" t="str">
        <f>IF(Kaleciler!M42="","",Kaleciler!M42)</f>
        <v/>
      </c>
      <c r="M40" t="str">
        <f>IF(Kaleciler!N42="","",Kaleciler!N42)</f>
        <v/>
      </c>
      <c r="N40" t="str">
        <f>IF(Kaleciler!O42="","",Kaleciler!O42)</f>
        <v/>
      </c>
      <c r="O40" t="str">
        <f>IF(Kaleciler!P42="","",Kaleciler!P42)</f>
        <v/>
      </c>
      <c r="P40" t="str">
        <f>IF(Kaleciler!Q42="","",Kaleciler!Q42)</f>
        <v/>
      </c>
      <c r="Q40" t="str">
        <f>IF(Kaleciler!R42="","",Kaleciler!R42)</f>
        <v/>
      </c>
      <c r="R40" t="str">
        <f>IF(Kaleciler!S42="","",Kaleciler!S42)</f>
        <v/>
      </c>
      <c r="S40" t="str">
        <f>IF(Kaleciler!T42="","",Kaleciler!T42)</f>
        <v/>
      </c>
      <c r="T40" s="2" t="str">
        <f>IF(Kaleciler!U42="","",Kaleciler!U42)</f>
        <v/>
      </c>
      <c r="U40" t="s">
        <v>926</v>
      </c>
      <c r="V40">
        <v>42</v>
      </c>
      <c r="W40" t="str">
        <f ca="1">IF(AND($A40&lt;&gt;"",ISNUMBER($G40),$G40&gt;=TODAY(),$G40&lt;=EDATE(TODAY(),12)),COUNTIFS($G$2:$G$1001,"&gt;="&amp;TODAY(),$G$2:$G$1001,"&lt;"&amp;$G40,$A$2:$A$1001,"&lt;&gt;")+COUNTIFS($G$2:$G40,$G40,$A$2:$A40,"&lt;&gt;"),"")</f>
        <v/>
      </c>
      <c r="X40" t="str">
        <f>IF(AND($A40&lt;&gt;"",ISNUMBER($C40),$C40&gt;=DATE(2003,1,1)),COUNTIFS($C$2:$C40,"&gt;="&amp;DATE(2003,1,1),$A$2:$A40,"&lt;&gt;"),"")</f>
        <v/>
      </c>
    </row>
    <row r="41" spans="1:24">
      <c r="A41" t="str">
        <f>IF(Kaleciler!A43="","",Kaleciler!A43)</f>
        <v/>
      </c>
      <c r="B41" t="str">
        <f>IF(Kaleciler!B43="","",Kaleciler!B43)</f>
        <v/>
      </c>
      <c r="C41" s="2" t="str">
        <f>IF(Kaleciler!C43="","",Kaleciler!C43)</f>
        <v/>
      </c>
      <c r="D41" t="str">
        <f ca="1">IF(Kaleciler!D43="","",Kaleciler!D43)</f>
        <v/>
      </c>
      <c r="E41" t="str">
        <f>IF(Kaleciler!E43="","",Kaleciler!E43)</f>
        <v>Kaleci</v>
      </c>
      <c r="F41" t="str">
        <f>IF(Kaleciler!G43="","",Kaleciler!G43)</f>
        <v/>
      </c>
      <c r="G41" s="2" t="str">
        <f>IF(Kaleciler!H43="","",Kaleciler!H43)</f>
        <v/>
      </c>
      <c r="H41" t="str">
        <f>IF(Kaleciler!I43="","",Kaleciler!I43)</f>
        <v/>
      </c>
      <c r="I41" t="str">
        <f>IF(Kaleciler!A43="","",Kaleciler!J43)</f>
        <v/>
      </c>
      <c r="J41" t="str">
        <f>IF(Kaleciler!A43="","",Kaleciler!K43)</f>
        <v/>
      </c>
      <c r="K41" t="str">
        <f>IF(Kaleciler!L43="","",Kaleciler!L43)</f>
        <v/>
      </c>
      <c r="L41" t="str">
        <f>IF(Kaleciler!M43="","",Kaleciler!M43)</f>
        <v/>
      </c>
      <c r="M41" t="str">
        <f>IF(Kaleciler!N43="","",Kaleciler!N43)</f>
        <v/>
      </c>
      <c r="N41" t="str">
        <f>IF(Kaleciler!O43="","",Kaleciler!O43)</f>
        <v/>
      </c>
      <c r="O41" t="str">
        <f>IF(Kaleciler!P43="","",Kaleciler!P43)</f>
        <v/>
      </c>
      <c r="P41" t="str">
        <f>IF(Kaleciler!Q43="","",Kaleciler!Q43)</f>
        <v/>
      </c>
      <c r="Q41" t="str">
        <f>IF(Kaleciler!R43="","",Kaleciler!R43)</f>
        <v/>
      </c>
      <c r="R41" t="str">
        <f>IF(Kaleciler!S43="","",Kaleciler!S43)</f>
        <v/>
      </c>
      <c r="S41" t="str">
        <f>IF(Kaleciler!T43="","",Kaleciler!T43)</f>
        <v/>
      </c>
      <c r="T41" s="2" t="str">
        <f>IF(Kaleciler!U43="","",Kaleciler!U43)</f>
        <v/>
      </c>
      <c r="U41" t="s">
        <v>926</v>
      </c>
      <c r="V41">
        <v>43</v>
      </c>
      <c r="W41" t="str">
        <f ca="1">IF(AND($A41&lt;&gt;"",ISNUMBER($G41),$G41&gt;=TODAY(),$G41&lt;=EDATE(TODAY(),12)),COUNTIFS($G$2:$G$1001,"&gt;="&amp;TODAY(),$G$2:$G$1001,"&lt;"&amp;$G41,$A$2:$A$1001,"&lt;&gt;")+COUNTIFS($G$2:$G41,$G41,$A$2:$A41,"&lt;&gt;"),"")</f>
        <v/>
      </c>
      <c r="X41" t="str">
        <f>IF(AND($A41&lt;&gt;"",ISNUMBER($C41),$C41&gt;=DATE(2003,1,1)),COUNTIFS($C$2:$C41,"&gt;="&amp;DATE(2003,1,1),$A$2:$A41,"&lt;&gt;"),"")</f>
        <v/>
      </c>
    </row>
    <row r="42" spans="1:24">
      <c r="A42" t="str">
        <f>IF(Kaleciler!A44="","",Kaleciler!A44)</f>
        <v/>
      </c>
      <c r="B42" t="str">
        <f>IF(Kaleciler!B44="","",Kaleciler!B44)</f>
        <v/>
      </c>
      <c r="C42" s="2" t="str">
        <f>IF(Kaleciler!C44="","",Kaleciler!C44)</f>
        <v/>
      </c>
      <c r="D42" t="str">
        <f ca="1">IF(Kaleciler!D44="","",Kaleciler!D44)</f>
        <v/>
      </c>
      <c r="E42" t="str">
        <f>IF(Kaleciler!E44="","",Kaleciler!E44)</f>
        <v>Kaleci</v>
      </c>
      <c r="F42" t="str">
        <f>IF(Kaleciler!G44="","",Kaleciler!G44)</f>
        <v/>
      </c>
      <c r="G42" s="2" t="str">
        <f>IF(Kaleciler!H44="","",Kaleciler!H44)</f>
        <v/>
      </c>
      <c r="H42" t="str">
        <f>IF(Kaleciler!I44="","",Kaleciler!I44)</f>
        <v/>
      </c>
      <c r="I42" t="str">
        <f>IF(Kaleciler!A44="","",Kaleciler!J44)</f>
        <v/>
      </c>
      <c r="J42" t="str">
        <f>IF(Kaleciler!A44="","",Kaleciler!K44)</f>
        <v/>
      </c>
      <c r="K42" t="str">
        <f>IF(Kaleciler!L44="","",Kaleciler!L44)</f>
        <v/>
      </c>
      <c r="L42" t="str">
        <f>IF(Kaleciler!M44="","",Kaleciler!M44)</f>
        <v/>
      </c>
      <c r="M42" t="str">
        <f>IF(Kaleciler!N44="","",Kaleciler!N44)</f>
        <v/>
      </c>
      <c r="N42" t="str">
        <f>IF(Kaleciler!O44="","",Kaleciler!O44)</f>
        <v/>
      </c>
      <c r="O42" t="str">
        <f>IF(Kaleciler!P44="","",Kaleciler!P44)</f>
        <v/>
      </c>
      <c r="P42" t="str">
        <f>IF(Kaleciler!Q44="","",Kaleciler!Q44)</f>
        <v/>
      </c>
      <c r="Q42" t="str">
        <f>IF(Kaleciler!R44="","",Kaleciler!R44)</f>
        <v/>
      </c>
      <c r="R42" t="str">
        <f>IF(Kaleciler!S44="","",Kaleciler!S44)</f>
        <v/>
      </c>
      <c r="S42" t="str">
        <f>IF(Kaleciler!T44="","",Kaleciler!T44)</f>
        <v/>
      </c>
      <c r="T42" s="2" t="str">
        <f>IF(Kaleciler!U44="","",Kaleciler!U44)</f>
        <v/>
      </c>
      <c r="U42" t="s">
        <v>926</v>
      </c>
      <c r="V42">
        <v>44</v>
      </c>
      <c r="W42" t="str">
        <f ca="1">IF(AND($A42&lt;&gt;"",ISNUMBER($G42),$G42&gt;=TODAY(),$G42&lt;=EDATE(TODAY(),12)),COUNTIFS($G$2:$G$1001,"&gt;="&amp;TODAY(),$G$2:$G$1001,"&lt;"&amp;$G42,$A$2:$A$1001,"&lt;&gt;")+COUNTIFS($G$2:$G42,$G42,$A$2:$A42,"&lt;&gt;"),"")</f>
        <v/>
      </c>
      <c r="X42" t="str">
        <f>IF(AND($A42&lt;&gt;"",ISNUMBER($C42),$C42&gt;=DATE(2003,1,1)),COUNTIFS($C$2:$C42,"&gt;="&amp;DATE(2003,1,1),$A$2:$A42,"&lt;&gt;"),"")</f>
        <v/>
      </c>
    </row>
    <row r="43" spans="1:24">
      <c r="A43" t="str">
        <f>IF(Kaleciler!A45="","",Kaleciler!A45)</f>
        <v/>
      </c>
      <c r="B43" t="str">
        <f>IF(Kaleciler!B45="","",Kaleciler!B45)</f>
        <v/>
      </c>
      <c r="C43" s="2" t="str">
        <f>IF(Kaleciler!C45="","",Kaleciler!C45)</f>
        <v/>
      </c>
      <c r="D43" t="str">
        <f ca="1">IF(Kaleciler!D45="","",Kaleciler!D45)</f>
        <v/>
      </c>
      <c r="E43" t="str">
        <f>IF(Kaleciler!E45="","",Kaleciler!E45)</f>
        <v>Kaleci</v>
      </c>
      <c r="F43" t="str">
        <f>IF(Kaleciler!G45="","",Kaleciler!G45)</f>
        <v/>
      </c>
      <c r="G43" s="2" t="str">
        <f>IF(Kaleciler!H45="","",Kaleciler!H45)</f>
        <v/>
      </c>
      <c r="H43" t="str">
        <f>IF(Kaleciler!I45="","",Kaleciler!I45)</f>
        <v/>
      </c>
      <c r="I43" t="str">
        <f>IF(Kaleciler!A45="","",Kaleciler!J45)</f>
        <v/>
      </c>
      <c r="J43" t="str">
        <f>IF(Kaleciler!A45="","",Kaleciler!K45)</f>
        <v/>
      </c>
      <c r="K43" t="str">
        <f>IF(Kaleciler!L45="","",Kaleciler!L45)</f>
        <v/>
      </c>
      <c r="L43" t="str">
        <f>IF(Kaleciler!M45="","",Kaleciler!M45)</f>
        <v/>
      </c>
      <c r="M43" t="str">
        <f>IF(Kaleciler!N45="","",Kaleciler!N45)</f>
        <v/>
      </c>
      <c r="N43" t="str">
        <f>IF(Kaleciler!O45="","",Kaleciler!O45)</f>
        <v/>
      </c>
      <c r="O43" t="str">
        <f>IF(Kaleciler!P45="","",Kaleciler!P45)</f>
        <v/>
      </c>
      <c r="P43" t="str">
        <f>IF(Kaleciler!Q45="","",Kaleciler!Q45)</f>
        <v/>
      </c>
      <c r="Q43" t="str">
        <f>IF(Kaleciler!R45="","",Kaleciler!R45)</f>
        <v/>
      </c>
      <c r="R43" t="str">
        <f>IF(Kaleciler!S45="","",Kaleciler!S45)</f>
        <v/>
      </c>
      <c r="S43" t="str">
        <f>IF(Kaleciler!T45="","",Kaleciler!T45)</f>
        <v/>
      </c>
      <c r="T43" s="2" t="str">
        <f>IF(Kaleciler!U45="","",Kaleciler!U45)</f>
        <v/>
      </c>
      <c r="U43" t="s">
        <v>926</v>
      </c>
      <c r="V43">
        <v>45</v>
      </c>
      <c r="W43" t="str">
        <f ca="1">IF(AND($A43&lt;&gt;"",ISNUMBER($G43),$G43&gt;=TODAY(),$G43&lt;=EDATE(TODAY(),12)),COUNTIFS($G$2:$G$1001,"&gt;="&amp;TODAY(),$G$2:$G$1001,"&lt;"&amp;$G43,$A$2:$A$1001,"&lt;&gt;")+COUNTIFS($G$2:$G43,$G43,$A$2:$A43,"&lt;&gt;"),"")</f>
        <v/>
      </c>
      <c r="X43" t="str">
        <f>IF(AND($A43&lt;&gt;"",ISNUMBER($C43),$C43&gt;=DATE(2003,1,1)),COUNTIFS($C$2:$C43,"&gt;="&amp;DATE(2003,1,1),$A$2:$A43,"&lt;&gt;"),"")</f>
        <v/>
      </c>
    </row>
    <row r="44" spans="1:24">
      <c r="A44" t="str">
        <f>IF(Kaleciler!A46="","",Kaleciler!A46)</f>
        <v/>
      </c>
      <c r="B44" t="str">
        <f>IF(Kaleciler!B46="","",Kaleciler!B46)</f>
        <v/>
      </c>
      <c r="C44" s="2" t="str">
        <f>IF(Kaleciler!C46="","",Kaleciler!C46)</f>
        <v/>
      </c>
      <c r="D44" t="str">
        <f ca="1">IF(Kaleciler!D46="","",Kaleciler!D46)</f>
        <v/>
      </c>
      <c r="E44" t="str">
        <f>IF(Kaleciler!E46="","",Kaleciler!E46)</f>
        <v>Kaleci</v>
      </c>
      <c r="F44" t="str">
        <f>IF(Kaleciler!G46="","",Kaleciler!G46)</f>
        <v/>
      </c>
      <c r="G44" s="2" t="str">
        <f>IF(Kaleciler!H46="","",Kaleciler!H46)</f>
        <v/>
      </c>
      <c r="H44" t="str">
        <f>IF(Kaleciler!I46="","",Kaleciler!I46)</f>
        <v/>
      </c>
      <c r="I44" t="str">
        <f>IF(Kaleciler!A46="","",Kaleciler!J46)</f>
        <v/>
      </c>
      <c r="J44" t="str">
        <f>IF(Kaleciler!A46="","",Kaleciler!K46)</f>
        <v/>
      </c>
      <c r="K44" t="str">
        <f>IF(Kaleciler!L46="","",Kaleciler!L46)</f>
        <v/>
      </c>
      <c r="L44" t="str">
        <f>IF(Kaleciler!M46="","",Kaleciler!M46)</f>
        <v/>
      </c>
      <c r="M44" t="str">
        <f>IF(Kaleciler!N46="","",Kaleciler!N46)</f>
        <v/>
      </c>
      <c r="N44" t="str">
        <f>IF(Kaleciler!O46="","",Kaleciler!O46)</f>
        <v/>
      </c>
      <c r="O44" t="str">
        <f>IF(Kaleciler!P46="","",Kaleciler!P46)</f>
        <v/>
      </c>
      <c r="P44" t="str">
        <f>IF(Kaleciler!Q46="","",Kaleciler!Q46)</f>
        <v/>
      </c>
      <c r="Q44" t="str">
        <f>IF(Kaleciler!R46="","",Kaleciler!R46)</f>
        <v/>
      </c>
      <c r="R44" t="str">
        <f>IF(Kaleciler!S46="","",Kaleciler!S46)</f>
        <v/>
      </c>
      <c r="S44" t="str">
        <f>IF(Kaleciler!T46="","",Kaleciler!T46)</f>
        <v/>
      </c>
      <c r="T44" s="2" t="str">
        <f>IF(Kaleciler!U46="","",Kaleciler!U46)</f>
        <v/>
      </c>
      <c r="U44" t="s">
        <v>926</v>
      </c>
      <c r="V44">
        <v>46</v>
      </c>
      <c r="W44" t="str">
        <f ca="1">IF(AND($A44&lt;&gt;"",ISNUMBER($G44),$G44&gt;=TODAY(),$G44&lt;=EDATE(TODAY(),12)),COUNTIFS($G$2:$G$1001,"&gt;="&amp;TODAY(),$G$2:$G$1001,"&lt;"&amp;$G44,$A$2:$A$1001,"&lt;&gt;")+COUNTIFS($G$2:$G44,$G44,$A$2:$A44,"&lt;&gt;"),"")</f>
        <v/>
      </c>
      <c r="X44" t="str">
        <f>IF(AND($A44&lt;&gt;"",ISNUMBER($C44),$C44&gt;=DATE(2003,1,1)),COUNTIFS($C$2:$C44,"&gt;="&amp;DATE(2003,1,1),$A$2:$A44,"&lt;&gt;"),"")</f>
        <v/>
      </c>
    </row>
    <row r="45" spans="1:24">
      <c r="A45" t="str">
        <f>IF(Kaleciler!A47="","",Kaleciler!A47)</f>
        <v/>
      </c>
      <c r="B45" t="str">
        <f>IF(Kaleciler!B47="","",Kaleciler!B47)</f>
        <v/>
      </c>
      <c r="C45" s="2" t="str">
        <f>IF(Kaleciler!C47="","",Kaleciler!C47)</f>
        <v/>
      </c>
      <c r="D45" t="str">
        <f ca="1">IF(Kaleciler!D47="","",Kaleciler!D47)</f>
        <v/>
      </c>
      <c r="E45" t="str">
        <f>IF(Kaleciler!E47="","",Kaleciler!E47)</f>
        <v>Kaleci</v>
      </c>
      <c r="F45" t="str">
        <f>IF(Kaleciler!G47="","",Kaleciler!G47)</f>
        <v/>
      </c>
      <c r="G45" s="2" t="str">
        <f>IF(Kaleciler!H47="","",Kaleciler!H47)</f>
        <v/>
      </c>
      <c r="H45" t="str">
        <f>IF(Kaleciler!I47="","",Kaleciler!I47)</f>
        <v/>
      </c>
      <c r="I45" t="str">
        <f>IF(Kaleciler!A47="","",Kaleciler!J47)</f>
        <v/>
      </c>
      <c r="J45" t="str">
        <f>IF(Kaleciler!A47="","",Kaleciler!K47)</f>
        <v/>
      </c>
      <c r="K45" t="str">
        <f>IF(Kaleciler!L47="","",Kaleciler!L47)</f>
        <v/>
      </c>
      <c r="L45" t="str">
        <f>IF(Kaleciler!M47="","",Kaleciler!M47)</f>
        <v/>
      </c>
      <c r="M45" t="str">
        <f>IF(Kaleciler!N47="","",Kaleciler!N47)</f>
        <v/>
      </c>
      <c r="N45" t="str">
        <f>IF(Kaleciler!O47="","",Kaleciler!O47)</f>
        <v/>
      </c>
      <c r="O45" t="str">
        <f>IF(Kaleciler!P47="","",Kaleciler!P47)</f>
        <v/>
      </c>
      <c r="P45" t="str">
        <f>IF(Kaleciler!Q47="","",Kaleciler!Q47)</f>
        <v/>
      </c>
      <c r="Q45" t="str">
        <f>IF(Kaleciler!R47="","",Kaleciler!R47)</f>
        <v/>
      </c>
      <c r="R45" t="str">
        <f>IF(Kaleciler!S47="","",Kaleciler!S47)</f>
        <v/>
      </c>
      <c r="S45" t="str">
        <f>IF(Kaleciler!T47="","",Kaleciler!T47)</f>
        <v/>
      </c>
      <c r="T45" s="2" t="str">
        <f>IF(Kaleciler!U47="","",Kaleciler!U47)</f>
        <v/>
      </c>
      <c r="U45" t="s">
        <v>926</v>
      </c>
      <c r="V45">
        <v>47</v>
      </c>
      <c r="W45" t="str">
        <f ca="1">IF(AND($A45&lt;&gt;"",ISNUMBER($G45),$G45&gt;=TODAY(),$G45&lt;=EDATE(TODAY(),12)),COUNTIFS($G$2:$G$1001,"&gt;="&amp;TODAY(),$G$2:$G$1001,"&lt;"&amp;$G45,$A$2:$A$1001,"&lt;&gt;")+COUNTIFS($G$2:$G45,$G45,$A$2:$A45,"&lt;&gt;"),"")</f>
        <v/>
      </c>
      <c r="X45" t="str">
        <f>IF(AND($A45&lt;&gt;"",ISNUMBER($C45),$C45&gt;=DATE(2003,1,1)),COUNTIFS($C$2:$C45,"&gt;="&amp;DATE(2003,1,1),$A$2:$A45,"&lt;&gt;"),"")</f>
        <v/>
      </c>
    </row>
    <row r="46" spans="1:24">
      <c r="A46" t="str">
        <f>IF(Kaleciler!A48="","",Kaleciler!A48)</f>
        <v/>
      </c>
      <c r="B46" t="str">
        <f>IF(Kaleciler!B48="","",Kaleciler!B48)</f>
        <v/>
      </c>
      <c r="C46" s="2" t="str">
        <f>IF(Kaleciler!C48="","",Kaleciler!C48)</f>
        <v/>
      </c>
      <c r="D46" t="str">
        <f ca="1">IF(Kaleciler!D48="","",Kaleciler!D48)</f>
        <v/>
      </c>
      <c r="E46" t="str">
        <f>IF(Kaleciler!E48="","",Kaleciler!E48)</f>
        <v>Kaleci</v>
      </c>
      <c r="F46" t="str">
        <f>IF(Kaleciler!G48="","",Kaleciler!G48)</f>
        <v/>
      </c>
      <c r="G46" s="2" t="str">
        <f>IF(Kaleciler!H48="","",Kaleciler!H48)</f>
        <v/>
      </c>
      <c r="H46" t="str">
        <f>IF(Kaleciler!I48="","",Kaleciler!I48)</f>
        <v/>
      </c>
      <c r="I46" t="str">
        <f>IF(Kaleciler!A48="","",Kaleciler!J48)</f>
        <v/>
      </c>
      <c r="J46" t="str">
        <f>IF(Kaleciler!A48="","",Kaleciler!K48)</f>
        <v/>
      </c>
      <c r="K46" t="str">
        <f>IF(Kaleciler!L48="","",Kaleciler!L48)</f>
        <v/>
      </c>
      <c r="L46" t="str">
        <f>IF(Kaleciler!M48="","",Kaleciler!M48)</f>
        <v/>
      </c>
      <c r="M46" t="str">
        <f>IF(Kaleciler!N48="","",Kaleciler!N48)</f>
        <v/>
      </c>
      <c r="N46" t="str">
        <f>IF(Kaleciler!O48="","",Kaleciler!O48)</f>
        <v/>
      </c>
      <c r="O46" t="str">
        <f>IF(Kaleciler!P48="","",Kaleciler!P48)</f>
        <v/>
      </c>
      <c r="P46" t="str">
        <f>IF(Kaleciler!Q48="","",Kaleciler!Q48)</f>
        <v/>
      </c>
      <c r="Q46" t="str">
        <f>IF(Kaleciler!R48="","",Kaleciler!R48)</f>
        <v/>
      </c>
      <c r="R46" t="str">
        <f>IF(Kaleciler!S48="","",Kaleciler!S48)</f>
        <v/>
      </c>
      <c r="S46" t="str">
        <f>IF(Kaleciler!T48="","",Kaleciler!T48)</f>
        <v/>
      </c>
      <c r="T46" s="2" t="str">
        <f>IF(Kaleciler!U48="","",Kaleciler!U48)</f>
        <v/>
      </c>
      <c r="U46" t="s">
        <v>926</v>
      </c>
      <c r="V46">
        <v>48</v>
      </c>
      <c r="W46" t="str">
        <f ca="1">IF(AND($A46&lt;&gt;"",ISNUMBER($G46),$G46&gt;=TODAY(),$G46&lt;=EDATE(TODAY(),12)),COUNTIFS($G$2:$G$1001,"&gt;="&amp;TODAY(),$G$2:$G$1001,"&lt;"&amp;$G46,$A$2:$A$1001,"&lt;&gt;")+COUNTIFS($G$2:$G46,$G46,$A$2:$A46,"&lt;&gt;"),"")</f>
        <v/>
      </c>
      <c r="X46" t="str">
        <f>IF(AND($A46&lt;&gt;"",ISNUMBER($C46),$C46&gt;=DATE(2003,1,1)),COUNTIFS($C$2:$C46,"&gt;="&amp;DATE(2003,1,1),$A$2:$A46,"&lt;&gt;"),"")</f>
        <v/>
      </c>
    </row>
    <row r="47" spans="1:24">
      <c r="A47" t="str">
        <f>IF(Kaleciler!A49="","",Kaleciler!A49)</f>
        <v/>
      </c>
      <c r="B47" t="str">
        <f>IF(Kaleciler!B49="","",Kaleciler!B49)</f>
        <v/>
      </c>
      <c r="C47" s="2" t="str">
        <f>IF(Kaleciler!C49="","",Kaleciler!C49)</f>
        <v/>
      </c>
      <c r="D47" t="str">
        <f ca="1">IF(Kaleciler!D49="","",Kaleciler!D49)</f>
        <v/>
      </c>
      <c r="E47" t="str">
        <f>IF(Kaleciler!E49="","",Kaleciler!E49)</f>
        <v>Kaleci</v>
      </c>
      <c r="F47" t="str">
        <f>IF(Kaleciler!G49="","",Kaleciler!G49)</f>
        <v/>
      </c>
      <c r="G47" s="2" t="str">
        <f>IF(Kaleciler!H49="","",Kaleciler!H49)</f>
        <v/>
      </c>
      <c r="H47" t="str">
        <f>IF(Kaleciler!I49="","",Kaleciler!I49)</f>
        <v/>
      </c>
      <c r="I47" t="str">
        <f>IF(Kaleciler!A49="","",Kaleciler!J49)</f>
        <v/>
      </c>
      <c r="J47" t="str">
        <f>IF(Kaleciler!A49="","",Kaleciler!K49)</f>
        <v/>
      </c>
      <c r="K47" t="str">
        <f>IF(Kaleciler!L49="","",Kaleciler!L49)</f>
        <v/>
      </c>
      <c r="L47" t="str">
        <f>IF(Kaleciler!M49="","",Kaleciler!M49)</f>
        <v/>
      </c>
      <c r="M47" t="str">
        <f>IF(Kaleciler!N49="","",Kaleciler!N49)</f>
        <v/>
      </c>
      <c r="N47" t="str">
        <f>IF(Kaleciler!O49="","",Kaleciler!O49)</f>
        <v/>
      </c>
      <c r="O47" t="str">
        <f>IF(Kaleciler!P49="","",Kaleciler!P49)</f>
        <v/>
      </c>
      <c r="P47" t="str">
        <f>IF(Kaleciler!Q49="","",Kaleciler!Q49)</f>
        <v/>
      </c>
      <c r="Q47" t="str">
        <f>IF(Kaleciler!R49="","",Kaleciler!R49)</f>
        <v/>
      </c>
      <c r="R47" t="str">
        <f>IF(Kaleciler!S49="","",Kaleciler!S49)</f>
        <v/>
      </c>
      <c r="S47" t="str">
        <f>IF(Kaleciler!T49="","",Kaleciler!T49)</f>
        <v/>
      </c>
      <c r="T47" s="2" t="str">
        <f>IF(Kaleciler!U49="","",Kaleciler!U49)</f>
        <v/>
      </c>
      <c r="U47" t="s">
        <v>926</v>
      </c>
      <c r="V47">
        <v>49</v>
      </c>
      <c r="W47" t="str">
        <f ca="1">IF(AND($A47&lt;&gt;"",ISNUMBER($G47),$G47&gt;=TODAY(),$G47&lt;=EDATE(TODAY(),12)),COUNTIFS($G$2:$G$1001,"&gt;="&amp;TODAY(),$G$2:$G$1001,"&lt;"&amp;$G47,$A$2:$A$1001,"&lt;&gt;")+COUNTIFS($G$2:$G47,$G47,$A$2:$A47,"&lt;&gt;"),"")</f>
        <v/>
      </c>
      <c r="X47" t="str">
        <f>IF(AND($A47&lt;&gt;"",ISNUMBER($C47),$C47&gt;=DATE(2003,1,1)),COUNTIFS($C$2:$C47,"&gt;="&amp;DATE(2003,1,1),$A$2:$A47,"&lt;&gt;"),"")</f>
        <v/>
      </c>
    </row>
    <row r="48" spans="1:24">
      <c r="A48" t="str">
        <f>IF(Kaleciler!A50="","",Kaleciler!A50)</f>
        <v/>
      </c>
      <c r="B48" t="str">
        <f>IF(Kaleciler!B50="","",Kaleciler!B50)</f>
        <v/>
      </c>
      <c r="C48" s="2" t="str">
        <f>IF(Kaleciler!C50="","",Kaleciler!C50)</f>
        <v/>
      </c>
      <c r="D48" t="str">
        <f ca="1">IF(Kaleciler!D50="","",Kaleciler!D50)</f>
        <v/>
      </c>
      <c r="E48" t="str">
        <f>IF(Kaleciler!E50="","",Kaleciler!E50)</f>
        <v>Kaleci</v>
      </c>
      <c r="F48" t="str">
        <f>IF(Kaleciler!G50="","",Kaleciler!G50)</f>
        <v/>
      </c>
      <c r="G48" s="2" t="str">
        <f>IF(Kaleciler!H50="","",Kaleciler!H50)</f>
        <v/>
      </c>
      <c r="H48" t="str">
        <f>IF(Kaleciler!I50="","",Kaleciler!I50)</f>
        <v/>
      </c>
      <c r="I48" t="str">
        <f>IF(Kaleciler!A50="","",Kaleciler!J50)</f>
        <v/>
      </c>
      <c r="J48" t="str">
        <f>IF(Kaleciler!A50="","",Kaleciler!K50)</f>
        <v/>
      </c>
      <c r="K48" t="str">
        <f>IF(Kaleciler!L50="","",Kaleciler!L50)</f>
        <v/>
      </c>
      <c r="L48" t="str">
        <f>IF(Kaleciler!M50="","",Kaleciler!M50)</f>
        <v/>
      </c>
      <c r="M48" t="str">
        <f>IF(Kaleciler!N50="","",Kaleciler!N50)</f>
        <v/>
      </c>
      <c r="N48" t="str">
        <f>IF(Kaleciler!O50="","",Kaleciler!O50)</f>
        <v/>
      </c>
      <c r="O48" t="str">
        <f>IF(Kaleciler!P50="","",Kaleciler!P50)</f>
        <v/>
      </c>
      <c r="P48" t="str">
        <f>IF(Kaleciler!Q50="","",Kaleciler!Q50)</f>
        <v/>
      </c>
      <c r="Q48" t="str">
        <f>IF(Kaleciler!R50="","",Kaleciler!R50)</f>
        <v/>
      </c>
      <c r="R48" t="str">
        <f>IF(Kaleciler!S50="","",Kaleciler!S50)</f>
        <v/>
      </c>
      <c r="S48" t="str">
        <f>IF(Kaleciler!T50="","",Kaleciler!T50)</f>
        <v/>
      </c>
      <c r="T48" s="2" t="str">
        <f>IF(Kaleciler!U50="","",Kaleciler!U50)</f>
        <v/>
      </c>
      <c r="U48" t="s">
        <v>926</v>
      </c>
      <c r="V48">
        <v>50</v>
      </c>
      <c r="W48" t="str">
        <f ca="1">IF(AND($A48&lt;&gt;"",ISNUMBER($G48),$G48&gt;=TODAY(),$G48&lt;=EDATE(TODAY(),12)),COUNTIFS($G$2:$G$1001,"&gt;="&amp;TODAY(),$G$2:$G$1001,"&lt;"&amp;$G48,$A$2:$A$1001,"&lt;&gt;")+COUNTIFS($G$2:$G48,$G48,$A$2:$A48,"&lt;&gt;"),"")</f>
        <v/>
      </c>
      <c r="X48" t="str">
        <f>IF(AND($A48&lt;&gt;"",ISNUMBER($C48),$C48&gt;=DATE(2003,1,1)),COUNTIFS($C$2:$C48,"&gt;="&amp;DATE(2003,1,1),$A$2:$A48,"&lt;&gt;"),"")</f>
        <v/>
      </c>
    </row>
    <row r="49" spans="1:24">
      <c r="A49" t="str">
        <f>IF(Kaleciler!A51="","",Kaleciler!A51)</f>
        <v/>
      </c>
      <c r="B49" t="str">
        <f>IF(Kaleciler!B51="","",Kaleciler!B51)</f>
        <v/>
      </c>
      <c r="C49" s="2" t="str">
        <f>IF(Kaleciler!C51="","",Kaleciler!C51)</f>
        <v/>
      </c>
      <c r="D49" t="str">
        <f ca="1">IF(Kaleciler!D51="","",Kaleciler!D51)</f>
        <v/>
      </c>
      <c r="E49" t="str">
        <f>IF(Kaleciler!E51="","",Kaleciler!E51)</f>
        <v>Kaleci</v>
      </c>
      <c r="F49" t="str">
        <f>IF(Kaleciler!G51="","",Kaleciler!G51)</f>
        <v/>
      </c>
      <c r="G49" s="2" t="str">
        <f>IF(Kaleciler!H51="","",Kaleciler!H51)</f>
        <v/>
      </c>
      <c r="H49" t="str">
        <f>IF(Kaleciler!I51="","",Kaleciler!I51)</f>
        <v/>
      </c>
      <c r="I49" t="str">
        <f>IF(Kaleciler!A51="","",Kaleciler!J51)</f>
        <v/>
      </c>
      <c r="J49" t="str">
        <f>IF(Kaleciler!A51="","",Kaleciler!K51)</f>
        <v/>
      </c>
      <c r="K49" t="str">
        <f>IF(Kaleciler!L51="","",Kaleciler!L51)</f>
        <v/>
      </c>
      <c r="L49" t="str">
        <f>IF(Kaleciler!M51="","",Kaleciler!M51)</f>
        <v/>
      </c>
      <c r="M49" t="str">
        <f>IF(Kaleciler!N51="","",Kaleciler!N51)</f>
        <v/>
      </c>
      <c r="N49" t="str">
        <f>IF(Kaleciler!O51="","",Kaleciler!O51)</f>
        <v/>
      </c>
      <c r="O49" t="str">
        <f>IF(Kaleciler!P51="","",Kaleciler!P51)</f>
        <v/>
      </c>
      <c r="P49" t="str">
        <f>IF(Kaleciler!Q51="","",Kaleciler!Q51)</f>
        <v/>
      </c>
      <c r="Q49" t="str">
        <f>IF(Kaleciler!R51="","",Kaleciler!R51)</f>
        <v/>
      </c>
      <c r="R49" t="str">
        <f>IF(Kaleciler!S51="","",Kaleciler!S51)</f>
        <v/>
      </c>
      <c r="S49" t="str">
        <f>IF(Kaleciler!T51="","",Kaleciler!T51)</f>
        <v/>
      </c>
      <c r="T49" s="2" t="str">
        <f>IF(Kaleciler!U51="","",Kaleciler!U51)</f>
        <v/>
      </c>
      <c r="U49" t="s">
        <v>926</v>
      </c>
      <c r="V49">
        <v>51</v>
      </c>
      <c r="W49" t="str">
        <f ca="1">IF(AND($A49&lt;&gt;"",ISNUMBER($G49),$G49&gt;=TODAY(),$G49&lt;=EDATE(TODAY(),12)),COUNTIFS($G$2:$G$1001,"&gt;="&amp;TODAY(),$G$2:$G$1001,"&lt;"&amp;$G49,$A$2:$A$1001,"&lt;&gt;")+COUNTIFS($G$2:$G49,$G49,$A$2:$A49,"&lt;&gt;"),"")</f>
        <v/>
      </c>
      <c r="X49" t="str">
        <f>IF(AND($A49&lt;&gt;"",ISNUMBER($C49),$C49&gt;=DATE(2003,1,1)),COUNTIFS($C$2:$C49,"&gt;="&amp;DATE(2003,1,1),$A$2:$A49,"&lt;&gt;"),"")</f>
        <v/>
      </c>
    </row>
    <row r="50" spans="1:24">
      <c r="A50" t="str">
        <f>IF(Kaleciler!A52="","",Kaleciler!A52)</f>
        <v/>
      </c>
      <c r="B50" t="str">
        <f>IF(Kaleciler!B52="","",Kaleciler!B52)</f>
        <v/>
      </c>
      <c r="C50" s="2" t="str">
        <f>IF(Kaleciler!C52="","",Kaleciler!C52)</f>
        <v/>
      </c>
      <c r="D50" t="str">
        <f ca="1">IF(Kaleciler!D52="","",Kaleciler!D52)</f>
        <v/>
      </c>
      <c r="E50" t="str">
        <f>IF(Kaleciler!E52="","",Kaleciler!E52)</f>
        <v>Kaleci</v>
      </c>
      <c r="F50" t="str">
        <f>IF(Kaleciler!G52="","",Kaleciler!G52)</f>
        <v/>
      </c>
      <c r="G50" s="2" t="str">
        <f>IF(Kaleciler!H52="","",Kaleciler!H52)</f>
        <v/>
      </c>
      <c r="H50" t="str">
        <f>IF(Kaleciler!I52="","",Kaleciler!I52)</f>
        <v/>
      </c>
      <c r="I50" t="str">
        <f>IF(Kaleciler!A52="","",Kaleciler!J52)</f>
        <v/>
      </c>
      <c r="J50" t="str">
        <f>IF(Kaleciler!A52="","",Kaleciler!K52)</f>
        <v/>
      </c>
      <c r="K50" t="str">
        <f>IF(Kaleciler!L52="","",Kaleciler!L52)</f>
        <v/>
      </c>
      <c r="L50" t="str">
        <f>IF(Kaleciler!M52="","",Kaleciler!M52)</f>
        <v/>
      </c>
      <c r="M50" t="str">
        <f>IF(Kaleciler!N52="","",Kaleciler!N52)</f>
        <v/>
      </c>
      <c r="N50" t="str">
        <f>IF(Kaleciler!O52="","",Kaleciler!O52)</f>
        <v/>
      </c>
      <c r="O50" t="str">
        <f>IF(Kaleciler!P52="","",Kaleciler!P52)</f>
        <v/>
      </c>
      <c r="P50" t="str">
        <f>IF(Kaleciler!Q52="","",Kaleciler!Q52)</f>
        <v/>
      </c>
      <c r="Q50" t="str">
        <f>IF(Kaleciler!R52="","",Kaleciler!R52)</f>
        <v/>
      </c>
      <c r="R50" t="str">
        <f>IF(Kaleciler!S52="","",Kaleciler!S52)</f>
        <v/>
      </c>
      <c r="S50" t="str">
        <f>IF(Kaleciler!T52="","",Kaleciler!T52)</f>
        <v/>
      </c>
      <c r="T50" s="2" t="str">
        <f>IF(Kaleciler!U52="","",Kaleciler!U52)</f>
        <v/>
      </c>
      <c r="U50" t="s">
        <v>926</v>
      </c>
      <c r="V50">
        <v>52</v>
      </c>
      <c r="W50" t="str">
        <f ca="1">IF(AND($A50&lt;&gt;"",ISNUMBER($G50),$G50&gt;=TODAY(),$G50&lt;=EDATE(TODAY(),12)),COUNTIFS($G$2:$G$1001,"&gt;="&amp;TODAY(),$G$2:$G$1001,"&lt;"&amp;$G50,$A$2:$A$1001,"&lt;&gt;")+COUNTIFS($G$2:$G50,$G50,$A$2:$A50,"&lt;&gt;"),"")</f>
        <v/>
      </c>
      <c r="X50" t="str">
        <f>IF(AND($A50&lt;&gt;"",ISNUMBER($C50),$C50&gt;=DATE(2003,1,1)),COUNTIFS($C$2:$C50,"&gt;="&amp;DATE(2003,1,1),$A$2:$A50,"&lt;&gt;"),"")</f>
        <v/>
      </c>
    </row>
    <row r="51" spans="1:24">
      <c r="A51" t="str">
        <f>IF(Kaleciler!A53="","",Kaleciler!A53)</f>
        <v/>
      </c>
      <c r="B51" t="str">
        <f>IF(Kaleciler!B53="","",Kaleciler!B53)</f>
        <v/>
      </c>
      <c r="C51" s="2" t="str">
        <f>IF(Kaleciler!C53="","",Kaleciler!C53)</f>
        <v/>
      </c>
      <c r="D51" t="str">
        <f ca="1">IF(Kaleciler!D53="","",Kaleciler!D53)</f>
        <v/>
      </c>
      <c r="E51" t="str">
        <f>IF(Kaleciler!E53="","",Kaleciler!E53)</f>
        <v>Kaleci</v>
      </c>
      <c r="F51" t="str">
        <f>IF(Kaleciler!G53="","",Kaleciler!G53)</f>
        <v/>
      </c>
      <c r="G51" s="2" t="str">
        <f>IF(Kaleciler!H53="","",Kaleciler!H53)</f>
        <v/>
      </c>
      <c r="H51" t="str">
        <f>IF(Kaleciler!I53="","",Kaleciler!I53)</f>
        <v/>
      </c>
      <c r="I51" t="str">
        <f>IF(Kaleciler!A53="","",Kaleciler!J53)</f>
        <v/>
      </c>
      <c r="J51" t="str">
        <f>IF(Kaleciler!A53="","",Kaleciler!K53)</f>
        <v/>
      </c>
      <c r="K51" t="str">
        <f>IF(Kaleciler!L53="","",Kaleciler!L53)</f>
        <v/>
      </c>
      <c r="L51" t="str">
        <f>IF(Kaleciler!M53="","",Kaleciler!M53)</f>
        <v/>
      </c>
      <c r="M51" t="str">
        <f>IF(Kaleciler!N53="","",Kaleciler!N53)</f>
        <v/>
      </c>
      <c r="N51" t="str">
        <f>IF(Kaleciler!O53="","",Kaleciler!O53)</f>
        <v/>
      </c>
      <c r="O51" t="str">
        <f>IF(Kaleciler!P53="","",Kaleciler!P53)</f>
        <v/>
      </c>
      <c r="P51" t="str">
        <f>IF(Kaleciler!Q53="","",Kaleciler!Q53)</f>
        <v/>
      </c>
      <c r="Q51" t="str">
        <f>IF(Kaleciler!R53="","",Kaleciler!R53)</f>
        <v/>
      </c>
      <c r="R51" t="str">
        <f>IF(Kaleciler!S53="","",Kaleciler!S53)</f>
        <v/>
      </c>
      <c r="S51" t="str">
        <f>IF(Kaleciler!T53="","",Kaleciler!T53)</f>
        <v/>
      </c>
      <c r="T51" s="2" t="str">
        <f>IF(Kaleciler!U53="","",Kaleciler!U53)</f>
        <v/>
      </c>
      <c r="U51" t="s">
        <v>926</v>
      </c>
      <c r="V51">
        <v>53</v>
      </c>
      <c r="W51" t="str">
        <f ca="1">IF(AND($A51&lt;&gt;"",ISNUMBER($G51),$G51&gt;=TODAY(),$G51&lt;=EDATE(TODAY(),12)),COUNTIFS($G$2:$G$1001,"&gt;="&amp;TODAY(),$G$2:$G$1001,"&lt;"&amp;$G51,$A$2:$A$1001,"&lt;&gt;")+COUNTIFS($G$2:$G51,$G51,$A$2:$A51,"&lt;&gt;"),"")</f>
        <v/>
      </c>
      <c r="X51" t="str">
        <f>IF(AND($A51&lt;&gt;"",ISNUMBER($C51),$C51&gt;=DATE(2003,1,1)),COUNTIFS($C$2:$C51,"&gt;="&amp;DATE(2003,1,1),$A$2:$A51,"&lt;&gt;"),"")</f>
        <v/>
      </c>
    </row>
    <row r="52" spans="1:24">
      <c r="A52" t="str">
        <f>IF(Kaleciler!A54="","",Kaleciler!A54)</f>
        <v/>
      </c>
      <c r="B52" t="str">
        <f>IF(Kaleciler!B54="","",Kaleciler!B54)</f>
        <v/>
      </c>
      <c r="C52" s="2" t="str">
        <f>IF(Kaleciler!C54="","",Kaleciler!C54)</f>
        <v/>
      </c>
      <c r="D52" t="str">
        <f ca="1">IF(Kaleciler!D54="","",Kaleciler!D54)</f>
        <v/>
      </c>
      <c r="E52" t="str">
        <f>IF(Kaleciler!E54="","",Kaleciler!E54)</f>
        <v>Kaleci</v>
      </c>
      <c r="F52" t="str">
        <f>IF(Kaleciler!G54="","",Kaleciler!G54)</f>
        <v/>
      </c>
      <c r="G52" s="2" t="str">
        <f>IF(Kaleciler!H54="","",Kaleciler!H54)</f>
        <v/>
      </c>
      <c r="H52" t="str">
        <f>IF(Kaleciler!I54="","",Kaleciler!I54)</f>
        <v/>
      </c>
      <c r="I52" t="str">
        <f>IF(Kaleciler!A54="","",Kaleciler!J54)</f>
        <v/>
      </c>
      <c r="J52" t="str">
        <f>IF(Kaleciler!A54="","",Kaleciler!K54)</f>
        <v/>
      </c>
      <c r="K52" t="str">
        <f>IF(Kaleciler!L54="","",Kaleciler!L54)</f>
        <v/>
      </c>
      <c r="L52" t="str">
        <f>IF(Kaleciler!M54="","",Kaleciler!M54)</f>
        <v/>
      </c>
      <c r="M52" t="str">
        <f>IF(Kaleciler!N54="","",Kaleciler!N54)</f>
        <v/>
      </c>
      <c r="N52" t="str">
        <f>IF(Kaleciler!O54="","",Kaleciler!O54)</f>
        <v/>
      </c>
      <c r="O52" t="str">
        <f>IF(Kaleciler!P54="","",Kaleciler!P54)</f>
        <v/>
      </c>
      <c r="P52" t="str">
        <f>IF(Kaleciler!Q54="","",Kaleciler!Q54)</f>
        <v/>
      </c>
      <c r="Q52" t="str">
        <f>IF(Kaleciler!R54="","",Kaleciler!R54)</f>
        <v/>
      </c>
      <c r="R52" t="str">
        <f>IF(Kaleciler!S54="","",Kaleciler!S54)</f>
        <v/>
      </c>
      <c r="S52" t="str">
        <f>IF(Kaleciler!T54="","",Kaleciler!T54)</f>
        <v/>
      </c>
      <c r="T52" s="2" t="str">
        <f>IF(Kaleciler!U54="","",Kaleciler!U54)</f>
        <v/>
      </c>
      <c r="U52" t="s">
        <v>926</v>
      </c>
      <c r="V52">
        <v>54</v>
      </c>
      <c r="W52" t="str">
        <f ca="1">IF(AND($A52&lt;&gt;"",ISNUMBER($G52),$G52&gt;=TODAY(),$G52&lt;=EDATE(TODAY(),12)),COUNTIFS($G$2:$G$1001,"&gt;="&amp;TODAY(),$G$2:$G$1001,"&lt;"&amp;$G52,$A$2:$A$1001,"&lt;&gt;")+COUNTIFS($G$2:$G52,$G52,$A$2:$A52,"&lt;&gt;"),"")</f>
        <v/>
      </c>
      <c r="X52" t="str">
        <f>IF(AND($A52&lt;&gt;"",ISNUMBER($C52),$C52&gt;=DATE(2003,1,1)),COUNTIFS($C$2:$C52,"&gt;="&amp;DATE(2003,1,1),$A$2:$A52,"&lt;&gt;"),"")</f>
        <v/>
      </c>
    </row>
    <row r="53" spans="1:24">
      <c r="A53" t="str">
        <f>IF(Kaleciler!A55="","",Kaleciler!A55)</f>
        <v/>
      </c>
      <c r="B53" t="str">
        <f>IF(Kaleciler!B55="","",Kaleciler!B55)</f>
        <v/>
      </c>
      <c r="C53" s="2" t="str">
        <f>IF(Kaleciler!C55="","",Kaleciler!C55)</f>
        <v/>
      </c>
      <c r="D53" t="str">
        <f ca="1">IF(Kaleciler!D55="","",Kaleciler!D55)</f>
        <v/>
      </c>
      <c r="E53" t="str">
        <f>IF(Kaleciler!E55="","",Kaleciler!E55)</f>
        <v>Kaleci</v>
      </c>
      <c r="F53" t="str">
        <f>IF(Kaleciler!G55="","",Kaleciler!G55)</f>
        <v/>
      </c>
      <c r="G53" s="2" t="str">
        <f>IF(Kaleciler!H55="","",Kaleciler!H55)</f>
        <v/>
      </c>
      <c r="H53" t="str">
        <f>IF(Kaleciler!I55="","",Kaleciler!I55)</f>
        <v/>
      </c>
      <c r="I53" t="str">
        <f>IF(Kaleciler!A55="","",Kaleciler!J55)</f>
        <v/>
      </c>
      <c r="J53" t="str">
        <f>IF(Kaleciler!A55="","",Kaleciler!K55)</f>
        <v/>
      </c>
      <c r="K53" t="str">
        <f>IF(Kaleciler!L55="","",Kaleciler!L55)</f>
        <v/>
      </c>
      <c r="L53" t="str">
        <f>IF(Kaleciler!M55="","",Kaleciler!M55)</f>
        <v/>
      </c>
      <c r="M53" t="str">
        <f>IF(Kaleciler!N55="","",Kaleciler!N55)</f>
        <v/>
      </c>
      <c r="N53" t="str">
        <f>IF(Kaleciler!O55="","",Kaleciler!O55)</f>
        <v/>
      </c>
      <c r="O53" t="str">
        <f>IF(Kaleciler!P55="","",Kaleciler!P55)</f>
        <v/>
      </c>
      <c r="P53" t="str">
        <f>IF(Kaleciler!Q55="","",Kaleciler!Q55)</f>
        <v/>
      </c>
      <c r="Q53" t="str">
        <f>IF(Kaleciler!R55="","",Kaleciler!R55)</f>
        <v/>
      </c>
      <c r="R53" t="str">
        <f>IF(Kaleciler!S55="","",Kaleciler!S55)</f>
        <v/>
      </c>
      <c r="S53" t="str">
        <f>IF(Kaleciler!T55="","",Kaleciler!T55)</f>
        <v/>
      </c>
      <c r="T53" s="2" t="str">
        <f>IF(Kaleciler!U55="","",Kaleciler!U55)</f>
        <v/>
      </c>
      <c r="U53" t="s">
        <v>926</v>
      </c>
      <c r="V53">
        <v>55</v>
      </c>
      <c r="W53" t="str">
        <f ca="1">IF(AND($A53&lt;&gt;"",ISNUMBER($G53),$G53&gt;=TODAY(),$G53&lt;=EDATE(TODAY(),12)),COUNTIFS($G$2:$G$1001,"&gt;="&amp;TODAY(),$G$2:$G$1001,"&lt;"&amp;$G53,$A$2:$A$1001,"&lt;&gt;")+COUNTIFS($G$2:$G53,$G53,$A$2:$A53,"&lt;&gt;"),"")</f>
        <v/>
      </c>
      <c r="X53" t="str">
        <f>IF(AND($A53&lt;&gt;"",ISNUMBER($C53),$C53&gt;=DATE(2003,1,1)),COUNTIFS($C$2:$C53,"&gt;="&amp;DATE(2003,1,1),$A$2:$A53,"&lt;&gt;"),"")</f>
        <v/>
      </c>
    </row>
    <row r="54" spans="1:24">
      <c r="A54" t="str">
        <f>IF(Kaleciler!A56="","",Kaleciler!A56)</f>
        <v/>
      </c>
      <c r="B54" t="str">
        <f>IF(Kaleciler!B56="","",Kaleciler!B56)</f>
        <v/>
      </c>
      <c r="C54" s="2" t="str">
        <f>IF(Kaleciler!C56="","",Kaleciler!C56)</f>
        <v/>
      </c>
      <c r="D54" t="str">
        <f ca="1">IF(Kaleciler!D56="","",Kaleciler!D56)</f>
        <v/>
      </c>
      <c r="E54" t="str">
        <f>IF(Kaleciler!E56="","",Kaleciler!E56)</f>
        <v>Kaleci</v>
      </c>
      <c r="F54" t="str">
        <f>IF(Kaleciler!G56="","",Kaleciler!G56)</f>
        <v/>
      </c>
      <c r="G54" s="2" t="str">
        <f>IF(Kaleciler!H56="","",Kaleciler!H56)</f>
        <v/>
      </c>
      <c r="H54" t="str">
        <f>IF(Kaleciler!I56="","",Kaleciler!I56)</f>
        <v/>
      </c>
      <c r="I54" t="str">
        <f>IF(Kaleciler!A56="","",Kaleciler!J56)</f>
        <v/>
      </c>
      <c r="J54" t="str">
        <f>IF(Kaleciler!A56="","",Kaleciler!K56)</f>
        <v/>
      </c>
      <c r="K54" t="str">
        <f>IF(Kaleciler!L56="","",Kaleciler!L56)</f>
        <v/>
      </c>
      <c r="L54" t="str">
        <f>IF(Kaleciler!M56="","",Kaleciler!M56)</f>
        <v/>
      </c>
      <c r="M54" t="str">
        <f>IF(Kaleciler!N56="","",Kaleciler!N56)</f>
        <v/>
      </c>
      <c r="N54" t="str">
        <f>IF(Kaleciler!O56="","",Kaleciler!O56)</f>
        <v/>
      </c>
      <c r="O54" t="str">
        <f>IF(Kaleciler!P56="","",Kaleciler!P56)</f>
        <v/>
      </c>
      <c r="P54" t="str">
        <f>IF(Kaleciler!Q56="","",Kaleciler!Q56)</f>
        <v/>
      </c>
      <c r="Q54" t="str">
        <f>IF(Kaleciler!R56="","",Kaleciler!R56)</f>
        <v/>
      </c>
      <c r="R54" t="str">
        <f>IF(Kaleciler!S56="","",Kaleciler!S56)</f>
        <v/>
      </c>
      <c r="S54" t="str">
        <f>IF(Kaleciler!T56="","",Kaleciler!T56)</f>
        <v/>
      </c>
      <c r="T54" s="2" t="str">
        <f>IF(Kaleciler!U56="","",Kaleciler!U56)</f>
        <v/>
      </c>
      <c r="U54" t="s">
        <v>926</v>
      </c>
      <c r="V54">
        <v>56</v>
      </c>
      <c r="W54" t="str">
        <f ca="1">IF(AND($A54&lt;&gt;"",ISNUMBER($G54),$G54&gt;=TODAY(),$G54&lt;=EDATE(TODAY(),12)),COUNTIFS($G$2:$G$1001,"&gt;="&amp;TODAY(),$G$2:$G$1001,"&lt;"&amp;$G54,$A$2:$A$1001,"&lt;&gt;")+COUNTIFS($G$2:$G54,$G54,$A$2:$A54,"&lt;&gt;"),"")</f>
        <v/>
      </c>
      <c r="X54" t="str">
        <f>IF(AND($A54&lt;&gt;"",ISNUMBER($C54),$C54&gt;=DATE(2003,1,1)),COUNTIFS($C$2:$C54,"&gt;="&amp;DATE(2003,1,1),$A$2:$A54,"&lt;&gt;"),"")</f>
        <v/>
      </c>
    </row>
    <row r="55" spans="1:24">
      <c r="A55" t="str">
        <f>IF(Kaleciler!A57="","",Kaleciler!A57)</f>
        <v/>
      </c>
      <c r="B55" t="str">
        <f>IF(Kaleciler!B57="","",Kaleciler!B57)</f>
        <v/>
      </c>
      <c r="C55" s="2" t="str">
        <f>IF(Kaleciler!C57="","",Kaleciler!C57)</f>
        <v/>
      </c>
      <c r="D55" t="str">
        <f ca="1">IF(Kaleciler!D57="","",Kaleciler!D57)</f>
        <v/>
      </c>
      <c r="E55" t="str">
        <f>IF(Kaleciler!E57="","",Kaleciler!E57)</f>
        <v>Kaleci</v>
      </c>
      <c r="F55" t="str">
        <f>IF(Kaleciler!G57="","",Kaleciler!G57)</f>
        <v/>
      </c>
      <c r="G55" s="2" t="str">
        <f>IF(Kaleciler!H57="","",Kaleciler!H57)</f>
        <v/>
      </c>
      <c r="H55" t="str">
        <f>IF(Kaleciler!I57="","",Kaleciler!I57)</f>
        <v/>
      </c>
      <c r="I55" t="str">
        <f>IF(Kaleciler!A57="","",Kaleciler!J57)</f>
        <v/>
      </c>
      <c r="J55" t="str">
        <f>IF(Kaleciler!A57="","",Kaleciler!K57)</f>
        <v/>
      </c>
      <c r="K55" t="str">
        <f>IF(Kaleciler!L57="","",Kaleciler!L57)</f>
        <v/>
      </c>
      <c r="L55" t="str">
        <f>IF(Kaleciler!M57="","",Kaleciler!M57)</f>
        <v/>
      </c>
      <c r="M55" t="str">
        <f>IF(Kaleciler!N57="","",Kaleciler!N57)</f>
        <v/>
      </c>
      <c r="N55" t="str">
        <f>IF(Kaleciler!O57="","",Kaleciler!O57)</f>
        <v/>
      </c>
      <c r="O55" t="str">
        <f>IF(Kaleciler!P57="","",Kaleciler!P57)</f>
        <v/>
      </c>
      <c r="P55" t="str">
        <f>IF(Kaleciler!Q57="","",Kaleciler!Q57)</f>
        <v/>
      </c>
      <c r="Q55" t="str">
        <f>IF(Kaleciler!R57="","",Kaleciler!R57)</f>
        <v/>
      </c>
      <c r="R55" t="str">
        <f>IF(Kaleciler!S57="","",Kaleciler!S57)</f>
        <v/>
      </c>
      <c r="S55" t="str">
        <f>IF(Kaleciler!T57="","",Kaleciler!T57)</f>
        <v/>
      </c>
      <c r="T55" s="2" t="str">
        <f>IF(Kaleciler!U57="","",Kaleciler!U57)</f>
        <v/>
      </c>
      <c r="U55" t="s">
        <v>926</v>
      </c>
      <c r="V55">
        <v>57</v>
      </c>
      <c r="W55" t="str">
        <f ca="1">IF(AND($A55&lt;&gt;"",ISNUMBER($G55),$G55&gt;=TODAY(),$G55&lt;=EDATE(TODAY(),12)),COUNTIFS($G$2:$G$1001,"&gt;="&amp;TODAY(),$G$2:$G$1001,"&lt;"&amp;$G55,$A$2:$A$1001,"&lt;&gt;")+COUNTIFS($G$2:$G55,$G55,$A$2:$A55,"&lt;&gt;"),"")</f>
        <v/>
      </c>
      <c r="X55" t="str">
        <f>IF(AND($A55&lt;&gt;"",ISNUMBER($C55),$C55&gt;=DATE(2003,1,1)),COUNTIFS($C$2:$C55,"&gt;="&amp;DATE(2003,1,1),$A$2:$A55,"&lt;&gt;"),"")</f>
        <v/>
      </c>
    </row>
    <row r="56" spans="1:24">
      <c r="A56" t="str">
        <f>IF(Kaleciler!A58="","",Kaleciler!A58)</f>
        <v/>
      </c>
      <c r="B56" t="str">
        <f>IF(Kaleciler!B58="","",Kaleciler!B58)</f>
        <v/>
      </c>
      <c r="C56" s="2" t="str">
        <f>IF(Kaleciler!C58="","",Kaleciler!C58)</f>
        <v/>
      </c>
      <c r="D56" t="str">
        <f ca="1">IF(Kaleciler!D58="","",Kaleciler!D58)</f>
        <v/>
      </c>
      <c r="E56" t="str">
        <f>IF(Kaleciler!E58="","",Kaleciler!E58)</f>
        <v>Kaleci</v>
      </c>
      <c r="F56" t="str">
        <f>IF(Kaleciler!G58="","",Kaleciler!G58)</f>
        <v/>
      </c>
      <c r="G56" s="2" t="str">
        <f>IF(Kaleciler!H58="","",Kaleciler!H58)</f>
        <v/>
      </c>
      <c r="H56" t="str">
        <f>IF(Kaleciler!I58="","",Kaleciler!I58)</f>
        <v/>
      </c>
      <c r="I56" t="str">
        <f>IF(Kaleciler!A58="","",Kaleciler!J58)</f>
        <v/>
      </c>
      <c r="J56" t="str">
        <f>IF(Kaleciler!A58="","",Kaleciler!K58)</f>
        <v/>
      </c>
      <c r="K56" t="str">
        <f>IF(Kaleciler!L58="","",Kaleciler!L58)</f>
        <v/>
      </c>
      <c r="L56" t="str">
        <f>IF(Kaleciler!M58="","",Kaleciler!M58)</f>
        <v/>
      </c>
      <c r="M56" t="str">
        <f>IF(Kaleciler!N58="","",Kaleciler!N58)</f>
        <v/>
      </c>
      <c r="N56" t="str">
        <f>IF(Kaleciler!O58="","",Kaleciler!O58)</f>
        <v/>
      </c>
      <c r="O56" t="str">
        <f>IF(Kaleciler!P58="","",Kaleciler!P58)</f>
        <v/>
      </c>
      <c r="P56" t="str">
        <f>IF(Kaleciler!Q58="","",Kaleciler!Q58)</f>
        <v/>
      </c>
      <c r="Q56" t="str">
        <f>IF(Kaleciler!R58="","",Kaleciler!R58)</f>
        <v/>
      </c>
      <c r="R56" t="str">
        <f>IF(Kaleciler!S58="","",Kaleciler!S58)</f>
        <v/>
      </c>
      <c r="S56" t="str">
        <f>IF(Kaleciler!T58="","",Kaleciler!T58)</f>
        <v/>
      </c>
      <c r="T56" s="2" t="str">
        <f>IF(Kaleciler!U58="","",Kaleciler!U58)</f>
        <v/>
      </c>
      <c r="U56" t="s">
        <v>926</v>
      </c>
      <c r="V56">
        <v>58</v>
      </c>
      <c r="W56" t="str">
        <f ca="1">IF(AND($A56&lt;&gt;"",ISNUMBER($G56),$G56&gt;=TODAY(),$G56&lt;=EDATE(TODAY(),12)),COUNTIFS($G$2:$G$1001,"&gt;="&amp;TODAY(),$G$2:$G$1001,"&lt;"&amp;$G56,$A$2:$A$1001,"&lt;&gt;")+COUNTIFS($G$2:$G56,$G56,$A$2:$A56,"&lt;&gt;"),"")</f>
        <v/>
      </c>
      <c r="X56" t="str">
        <f>IF(AND($A56&lt;&gt;"",ISNUMBER($C56),$C56&gt;=DATE(2003,1,1)),COUNTIFS($C$2:$C56,"&gt;="&amp;DATE(2003,1,1),$A$2:$A56,"&lt;&gt;"),"")</f>
        <v/>
      </c>
    </row>
    <row r="57" spans="1:24">
      <c r="A57" t="str">
        <f>IF(Kaleciler!A59="","",Kaleciler!A59)</f>
        <v/>
      </c>
      <c r="B57" t="str">
        <f>IF(Kaleciler!B59="","",Kaleciler!B59)</f>
        <v/>
      </c>
      <c r="C57" s="2" t="str">
        <f>IF(Kaleciler!C59="","",Kaleciler!C59)</f>
        <v/>
      </c>
      <c r="D57" t="str">
        <f ca="1">IF(Kaleciler!D59="","",Kaleciler!D59)</f>
        <v/>
      </c>
      <c r="E57" t="str">
        <f>IF(Kaleciler!E59="","",Kaleciler!E59)</f>
        <v>Kaleci</v>
      </c>
      <c r="F57" t="str">
        <f>IF(Kaleciler!G59="","",Kaleciler!G59)</f>
        <v/>
      </c>
      <c r="G57" s="2" t="str">
        <f>IF(Kaleciler!H59="","",Kaleciler!H59)</f>
        <v/>
      </c>
      <c r="H57" t="str">
        <f>IF(Kaleciler!I59="","",Kaleciler!I59)</f>
        <v/>
      </c>
      <c r="I57" t="str">
        <f>IF(Kaleciler!A59="","",Kaleciler!J59)</f>
        <v/>
      </c>
      <c r="J57" t="str">
        <f>IF(Kaleciler!A59="","",Kaleciler!K59)</f>
        <v/>
      </c>
      <c r="K57" t="str">
        <f>IF(Kaleciler!L59="","",Kaleciler!L59)</f>
        <v/>
      </c>
      <c r="L57" t="str">
        <f>IF(Kaleciler!M59="","",Kaleciler!M59)</f>
        <v/>
      </c>
      <c r="M57" t="str">
        <f>IF(Kaleciler!N59="","",Kaleciler!N59)</f>
        <v/>
      </c>
      <c r="N57" t="str">
        <f>IF(Kaleciler!O59="","",Kaleciler!O59)</f>
        <v/>
      </c>
      <c r="O57" t="str">
        <f>IF(Kaleciler!P59="","",Kaleciler!P59)</f>
        <v/>
      </c>
      <c r="P57" t="str">
        <f>IF(Kaleciler!Q59="","",Kaleciler!Q59)</f>
        <v/>
      </c>
      <c r="Q57" t="str">
        <f>IF(Kaleciler!R59="","",Kaleciler!R59)</f>
        <v/>
      </c>
      <c r="R57" t="str">
        <f>IF(Kaleciler!S59="","",Kaleciler!S59)</f>
        <v/>
      </c>
      <c r="S57" t="str">
        <f>IF(Kaleciler!T59="","",Kaleciler!T59)</f>
        <v/>
      </c>
      <c r="T57" s="2" t="str">
        <f>IF(Kaleciler!U59="","",Kaleciler!U59)</f>
        <v/>
      </c>
      <c r="U57" t="s">
        <v>926</v>
      </c>
      <c r="V57">
        <v>59</v>
      </c>
      <c r="W57" t="str">
        <f ca="1">IF(AND($A57&lt;&gt;"",ISNUMBER($G57),$G57&gt;=TODAY(),$G57&lt;=EDATE(TODAY(),12)),COUNTIFS($G$2:$G$1001,"&gt;="&amp;TODAY(),$G$2:$G$1001,"&lt;"&amp;$G57,$A$2:$A$1001,"&lt;&gt;")+COUNTIFS($G$2:$G57,$G57,$A$2:$A57,"&lt;&gt;"),"")</f>
        <v/>
      </c>
      <c r="X57" t="str">
        <f>IF(AND($A57&lt;&gt;"",ISNUMBER($C57),$C57&gt;=DATE(2003,1,1)),COUNTIFS($C$2:$C57,"&gt;="&amp;DATE(2003,1,1),$A$2:$A57,"&lt;&gt;"),"")</f>
        <v/>
      </c>
    </row>
    <row r="58" spans="1:24">
      <c r="A58" t="str">
        <f>IF(Kaleciler!A60="","",Kaleciler!A60)</f>
        <v/>
      </c>
      <c r="B58" t="str">
        <f>IF(Kaleciler!B60="","",Kaleciler!B60)</f>
        <v/>
      </c>
      <c r="C58" s="2" t="str">
        <f>IF(Kaleciler!C60="","",Kaleciler!C60)</f>
        <v/>
      </c>
      <c r="D58" t="str">
        <f ca="1">IF(Kaleciler!D60="","",Kaleciler!D60)</f>
        <v/>
      </c>
      <c r="E58" t="str">
        <f>IF(Kaleciler!E60="","",Kaleciler!E60)</f>
        <v>Kaleci</v>
      </c>
      <c r="F58" t="str">
        <f>IF(Kaleciler!G60="","",Kaleciler!G60)</f>
        <v/>
      </c>
      <c r="G58" s="2" t="str">
        <f>IF(Kaleciler!H60="","",Kaleciler!H60)</f>
        <v/>
      </c>
      <c r="H58" t="str">
        <f>IF(Kaleciler!I60="","",Kaleciler!I60)</f>
        <v/>
      </c>
      <c r="I58" t="str">
        <f>IF(Kaleciler!A60="","",Kaleciler!J60)</f>
        <v/>
      </c>
      <c r="J58" t="str">
        <f>IF(Kaleciler!A60="","",Kaleciler!K60)</f>
        <v/>
      </c>
      <c r="K58" t="str">
        <f>IF(Kaleciler!L60="","",Kaleciler!L60)</f>
        <v/>
      </c>
      <c r="L58" t="str">
        <f>IF(Kaleciler!M60="","",Kaleciler!M60)</f>
        <v/>
      </c>
      <c r="M58" t="str">
        <f>IF(Kaleciler!N60="","",Kaleciler!N60)</f>
        <v/>
      </c>
      <c r="N58" t="str">
        <f>IF(Kaleciler!O60="","",Kaleciler!O60)</f>
        <v/>
      </c>
      <c r="O58" t="str">
        <f>IF(Kaleciler!P60="","",Kaleciler!P60)</f>
        <v/>
      </c>
      <c r="P58" t="str">
        <f>IF(Kaleciler!Q60="","",Kaleciler!Q60)</f>
        <v/>
      </c>
      <c r="Q58" t="str">
        <f>IF(Kaleciler!R60="","",Kaleciler!R60)</f>
        <v/>
      </c>
      <c r="R58" t="str">
        <f>IF(Kaleciler!S60="","",Kaleciler!S60)</f>
        <v/>
      </c>
      <c r="S58" t="str">
        <f>IF(Kaleciler!T60="","",Kaleciler!T60)</f>
        <v/>
      </c>
      <c r="T58" s="2" t="str">
        <f>IF(Kaleciler!U60="","",Kaleciler!U60)</f>
        <v/>
      </c>
      <c r="U58" t="s">
        <v>926</v>
      </c>
      <c r="V58">
        <v>60</v>
      </c>
      <c r="W58" t="str">
        <f ca="1">IF(AND($A58&lt;&gt;"",ISNUMBER($G58),$G58&gt;=TODAY(),$G58&lt;=EDATE(TODAY(),12)),COUNTIFS($G$2:$G$1001,"&gt;="&amp;TODAY(),$G$2:$G$1001,"&lt;"&amp;$G58,$A$2:$A$1001,"&lt;&gt;")+COUNTIFS($G$2:$G58,$G58,$A$2:$A58,"&lt;&gt;"),"")</f>
        <v/>
      </c>
      <c r="X58" t="str">
        <f>IF(AND($A58&lt;&gt;"",ISNUMBER($C58),$C58&gt;=DATE(2003,1,1)),COUNTIFS($C$2:$C58,"&gt;="&amp;DATE(2003,1,1),$A$2:$A58,"&lt;&gt;"),"")</f>
        <v/>
      </c>
    </row>
    <row r="59" spans="1:24">
      <c r="A59" t="str">
        <f>IF(Kaleciler!A61="","",Kaleciler!A61)</f>
        <v/>
      </c>
      <c r="B59" t="str">
        <f>IF(Kaleciler!B61="","",Kaleciler!B61)</f>
        <v/>
      </c>
      <c r="C59" s="2" t="str">
        <f>IF(Kaleciler!C61="","",Kaleciler!C61)</f>
        <v/>
      </c>
      <c r="D59" t="str">
        <f ca="1">IF(Kaleciler!D61="","",Kaleciler!D61)</f>
        <v/>
      </c>
      <c r="E59" t="str">
        <f>IF(Kaleciler!E61="","",Kaleciler!E61)</f>
        <v>Kaleci</v>
      </c>
      <c r="F59" t="str">
        <f>IF(Kaleciler!G61="","",Kaleciler!G61)</f>
        <v/>
      </c>
      <c r="G59" s="2" t="str">
        <f>IF(Kaleciler!H61="","",Kaleciler!H61)</f>
        <v/>
      </c>
      <c r="H59" t="str">
        <f>IF(Kaleciler!I61="","",Kaleciler!I61)</f>
        <v/>
      </c>
      <c r="I59" t="str">
        <f>IF(Kaleciler!A61="","",Kaleciler!J61)</f>
        <v/>
      </c>
      <c r="J59" t="str">
        <f>IF(Kaleciler!A61="","",Kaleciler!K61)</f>
        <v/>
      </c>
      <c r="K59" t="str">
        <f>IF(Kaleciler!L61="","",Kaleciler!L61)</f>
        <v/>
      </c>
      <c r="L59" t="str">
        <f>IF(Kaleciler!M61="","",Kaleciler!M61)</f>
        <v/>
      </c>
      <c r="M59" t="str">
        <f>IF(Kaleciler!N61="","",Kaleciler!N61)</f>
        <v/>
      </c>
      <c r="N59" t="str">
        <f>IF(Kaleciler!O61="","",Kaleciler!O61)</f>
        <v/>
      </c>
      <c r="O59" t="str">
        <f>IF(Kaleciler!P61="","",Kaleciler!P61)</f>
        <v/>
      </c>
      <c r="P59" t="str">
        <f>IF(Kaleciler!Q61="","",Kaleciler!Q61)</f>
        <v/>
      </c>
      <c r="Q59" t="str">
        <f>IF(Kaleciler!R61="","",Kaleciler!R61)</f>
        <v/>
      </c>
      <c r="R59" t="str">
        <f>IF(Kaleciler!S61="","",Kaleciler!S61)</f>
        <v/>
      </c>
      <c r="S59" t="str">
        <f>IF(Kaleciler!T61="","",Kaleciler!T61)</f>
        <v/>
      </c>
      <c r="T59" s="2" t="str">
        <f>IF(Kaleciler!U61="","",Kaleciler!U61)</f>
        <v/>
      </c>
      <c r="U59" t="s">
        <v>926</v>
      </c>
      <c r="V59">
        <v>61</v>
      </c>
      <c r="W59" t="str">
        <f ca="1">IF(AND($A59&lt;&gt;"",ISNUMBER($G59),$G59&gt;=TODAY(),$G59&lt;=EDATE(TODAY(),12)),COUNTIFS($G$2:$G$1001,"&gt;="&amp;TODAY(),$G$2:$G$1001,"&lt;"&amp;$G59,$A$2:$A$1001,"&lt;&gt;")+COUNTIFS($G$2:$G59,$G59,$A$2:$A59,"&lt;&gt;"),"")</f>
        <v/>
      </c>
      <c r="X59" t="str">
        <f>IF(AND($A59&lt;&gt;"",ISNUMBER($C59),$C59&gt;=DATE(2003,1,1)),COUNTIFS($C$2:$C59,"&gt;="&amp;DATE(2003,1,1),$A$2:$A59,"&lt;&gt;"),"")</f>
        <v/>
      </c>
    </row>
    <row r="60" spans="1:24">
      <c r="A60" t="str">
        <f>IF(Kaleciler!A62="","",Kaleciler!A62)</f>
        <v/>
      </c>
      <c r="B60" t="str">
        <f>IF(Kaleciler!B62="","",Kaleciler!B62)</f>
        <v/>
      </c>
      <c r="C60" s="2" t="str">
        <f>IF(Kaleciler!C62="","",Kaleciler!C62)</f>
        <v/>
      </c>
      <c r="D60" t="str">
        <f ca="1">IF(Kaleciler!D62="","",Kaleciler!D62)</f>
        <v/>
      </c>
      <c r="E60" t="str">
        <f>IF(Kaleciler!E62="","",Kaleciler!E62)</f>
        <v>Kaleci</v>
      </c>
      <c r="F60" t="str">
        <f>IF(Kaleciler!G62="","",Kaleciler!G62)</f>
        <v/>
      </c>
      <c r="G60" s="2" t="str">
        <f>IF(Kaleciler!H62="","",Kaleciler!H62)</f>
        <v/>
      </c>
      <c r="H60" t="str">
        <f>IF(Kaleciler!I62="","",Kaleciler!I62)</f>
        <v/>
      </c>
      <c r="I60" t="str">
        <f>IF(Kaleciler!A62="","",Kaleciler!J62)</f>
        <v/>
      </c>
      <c r="J60" t="str">
        <f>IF(Kaleciler!A62="","",Kaleciler!K62)</f>
        <v/>
      </c>
      <c r="K60" t="str">
        <f>IF(Kaleciler!L62="","",Kaleciler!L62)</f>
        <v/>
      </c>
      <c r="L60" t="str">
        <f>IF(Kaleciler!M62="","",Kaleciler!M62)</f>
        <v/>
      </c>
      <c r="M60" t="str">
        <f>IF(Kaleciler!N62="","",Kaleciler!N62)</f>
        <v/>
      </c>
      <c r="N60" t="str">
        <f>IF(Kaleciler!O62="","",Kaleciler!O62)</f>
        <v/>
      </c>
      <c r="O60" t="str">
        <f>IF(Kaleciler!P62="","",Kaleciler!P62)</f>
        <v/>
      </c>
      <c r="P60" t="str">
        <f>IF(Kaleciler!Q62="","",Kaleciler!Q62)</f>
        <v/>
      </c>
      <c r="Q60" t="str">
        <f>IF(Kaleciler!R62="","",Kaleciler!R62)</f>
        <v/>
      </c>
      <c r="R60" t="str">
        <f>IF(Kaleciler!S62="","",Kaleciler!S62)</f>
        <v/>
      </c>
      <c r="S60" t="str">
        <f>IF(Kaleciler!T62="","",Kaleciler!T62)</f>
        <v/>
      </c>
      <c r="T60" s="2" t="str">
        <f>IF(Kaleciler!U62="","",Kaleciler!U62)</f>
        <v/>
      </c>
      <c r="U60" t="s">
        <v>926</v>
      </c>
      <c r="V60">
        <v>62</v>
      </c>
      <c r="W60" t="str">
        <f ca="1">IF(AND($A60&lt;&gt;"",ISNUMBER($G60),$G60&gt;=TODAY(),$G60&lt;=EDATE(TODAY(),12)),COUNTIFS($G$2:$G$1001,"&gt;="&amp;TODAY(),$G$2:$G$1001,"&lt;"&amp;$G60,$A$2:$A$1001,"&lt;&gt;")+COUNTIFS($G$2:$G60,$G60,$A$2:$A60,"&lt;&gt;"),"")</f>
        <v/>
      </c>
      <c r="X60" t="str">
        <f>IF(AND($A60&lt;&gt;"",ISNUMBER($C60),$C60&gt;=DATE(2003,1,1)),COUNTIFS($C$2:$C60,"&gt;="&amp;DATE(2003,1,1),$A$2:$A60,"&lt;&gt;"),"")</f>
        <v/>
      </c>
    </row>
    <row r="61" spans="1:24">
      <c r="A61" t="str">
        <f>IF(Kaleciler!A63="","",Kaleciler!A63)</f>
        <v/>
      </c>
      <c r="B61" t="str">
        <f>IF(Kaleciler!B63="","",Kaleciler!B63)</f>
        <v/>
      </c>
      <c r="C61" s="2" t="str">
        <f>IF(Kaleciler!C63="","",Kaleciler!C63)</f>
        <v/>
      </c>
      <c r="D61" t="str">
        <f ca="1">IF(Kaleciler!D63="","",Kaleciler!D63)</f>
        <v/>
      </c>
      <c r="E61" t="str">
        <f>IF(Kaleciler!E63="","",Kaleciler!E63)</f>
        <v>Kaleci</v>
      </c>
      <c r="F61" t="str">
        <f>IF(Kaleciler!G63="","",Kaleciler!G63)</f>
        <v/>
      </c>
      <c r="G61" s="2" t="str">
        <f>IF(Kaleciler!H63="","",Kaleciler!H63)</f>
        <v/>
      </c>
      <c r="H61" t="str">
        <f>IF(Kaleciler!I63="","",Kaleciler!I63)</f>
        <v/>
      </c>
      <c r="I61" t="str">
        <f>IF(Kaleciler!A63="","",Kaleciler!J63)</f>
        <v/>
      </c>
      <c r="J61" t="str">
        <f>IF(Kaleciler!A63="","",Kaleciler!K63)</f>
        <v/>
      </c>
      <c r="K61" t="str">
        <f>IF(Kaleciler!L63="","",Kaleciler!L63)</f>
        <v/>
      </c>
      <c r="L61" t="str">
        <f>IF(Kaleciler!M63="","",Kaleciler!M63)</f>
        <v/>
      </c>
      <c r="M61" t="str">
        <f>IF(Kaleciler!N63="","",Kaleciler!N63)</f>
        <v/>
      </c>
      <c r="N61" t="str">
        <f>IF(Kaleciler!O63="","",Kaleciler!O63)</f>
        <v/>
      </c>
      <c r="O61" t="str">
        <f>IF(Kaleciler!P63="","",Kaleciler!P63)</f>
        <v/>
      </c>
      <c r="P61" t="str">
        <f>IF(Kaleciler!Q63="","",Kaleciler!Q63)</f>
        <v/>
      </c>
      <c r="Q61" t="str">
        <f>IF(Kaleciler!R63="","",Kaleciler!R63)</f>
        <v/>
      </c>
      <c r="R61" t="str">
        <f>IF(Kaleciler!S63="","",Kaleciler!S63)</f>
        <v/>
      </c>
      <c r="S61" t="str">
        <f>IF(Kaleciler!T63="","",Kaleciler!T63)</f>
        <v/>
      </c>
      <c r="T61" s="2" t="str">
        <f>IF(Kaleciler!U63="","",Kaleciler!U63)</f>
        <v/>
      </c>
      <c r="U61" t="s">
        <v>926</v>
      </c>
      <c r="V61">
        <v>63</v>
      </c>
      <c r="W61" t="str">
        <f ca="1">IF(AND($A61&lt;&gt;"",ISNUMBER($G61),$G61&gt;=TODAY(),$G61&lt;=EDATE(TODAY(),12)),COUNTIFS($G$2:$G$1001,"&gt;="&amp;TODAY(),$G$2:$G$1001,"&lt;"&amp;$G61,$A$2:$A$1001,"&lt;&gt;")+COUNTIFS($G$2:$G61,$G61,$A$2:$A61,"&lt;&gt;"),"")</f>
        <v/>
      </c>
      <c r="X61" t="str">
        <f>IF(AND($A61&lt;&gt;"",ISNUMBER($C61),$C61&gt;=DATE(2003,1,1)),COUNTIFS($C$2:$C61,"&gt;="&amp;DATE(2003,1,1),$A$2:$A61,"&lt;&gt;"),"")</f>
        <v/>
      </c>
    </row>
    <row r="62" spans="1:24">
      <c r="A62" t="str">
        <f>IF(Kaleciler!A64="","",Kaleciler!A64)</f>
        <v/>
      </c>
      <c r="B62" t="str">
        <f>IF(Kaleciler!B64="","",Kaleciler!B64)</f>
        <v/>
      </c>
      <c r="C62" s="2" t="str">
        <f>IF(Kaleciler!C64="","",Kaleciler!C64)</f>
        <v/>
      </c>
      <c r="D62" t="str">
        <f ca="1">IF(Kaleciler!D64="","",Kaleciler!D64)</f>
        <v/>
      </c>
      <c r="E62" t="str">
        <f>IF(Kaleciler!E64="","",Kaleciler!E64)</f>
        <v>Kaleci</v>
      </c>
      <c r="F62" t="str">
        <f>IF(Kaleciler!G64="","",Kaleciler!G64)</f>
        <v/>
      </c>
      <c r="G62" s="2" t="str">
        <f>IF(Kaleciler!H64="","",Kaleciler!H64)</f>
        <v/>
      </c>
      <c r="H62" t="str">
        <f>IF(Kaleciler!I64="","",Kaleciler!I64)</f>
        <v/>
      </c>
      <c r="I62" t="str">
        <f>IF(Kaleciler!A64="","",Kaleciler!J64)</f>
        <v/>
      </c>
      <c r="J62" t="str">
        <f>IF(Kaleciler!A64="","",Kaleciler!K64)</f>
        <v/>
      </c>
      <c r="K62" t="str">
        <f>IF(Kaleciler!L64="","",Kaleciler!L64)</f>
        <v/>
      </c>
      <c r="L62" t="str">
        <f>IF(Kaleciler!M64="","",Kaleciler!M64)</f>
        <v/>
      </c>
      <c r="M62" t="str">
        <f>IF(Kaleciler!N64="","",Kaleciler!N64)</f>
        <v/>
      </c>
      <c r="N62" t="str">
        <f>IF(Kaleciler!O64="","",Kaleciler!O64)</f>
        <v/>
      </c>
      <c r="O62" t="str">
        <f>IF(Kaleciler!P64="","",Kaleciler!P64)</f>
        <v/>
      </c>
      <c r="P62" t="str">
        <f>IF(Kaleciler!Q64="","",Kaleciler!Q64)</f>
        <v/>
      </c>
      <c r="Q62" t="str">
        <f>IF(Kaleciler!R64="","",Kaleciler!R64)</f>
        <v/>
      </c>
      <c r="R62" t="str">
        <f>IF(Kaleciler!S64="","",Kaleciler!S64)</f>
        <v/>
      </c>
      <c r="S62" t="str">
        <f>IF(Kaleciler!T64="","",Kaleciler!T64)</f>
        <v/>
      </c>
      <c r="T62" s="2" t="str">
        <f>IF(Kaleciler!U64="","",Kaleciler!U64)</f>
        <v/>
      </c>
      <c r="U62" t="s">
        <v>926</v>
      </c>
      <c r="V62">
        <v>64</v>
      </c>
      <c r="W62" t="str">
        <f ca="1">IF(AND($A62&lt;&gt;"",ISNUMBER($G62),$G62&gt;=TODAY(),$G62&lt;=EDATE(TODAY(),12)),COUNTIFS($G$2:$G$1001,"&gt;="&amp;TODAY(),$G$2:$G$1001,"&lt;"&amp;$G62,$A$2:$A$1001,"&lt;&gt;")+COUNTIFS($G$2:$G62,$G62,$A$2:$A62,"&lt;&gt;"),"")</f>
        <v/>
      </c>
      <c r="X62" t="str">
        <f>IF(AND($A62&lt;&gt;"",ISNUMBER($C62),$C62&gt;=DATE(2003,1,1)),COUNTIFS($C$2:$C62,"&gt;="&amp;DATE(2003,1,1),$A$2:$A62,"&lt;&gt;"),"")</f>
        <v/>
      </c>
    </row>
    <row r="63" spans="1:24">
      <c r="A63" t="str">
        <f>IF(Kaleciler!A65="","",Kaleciler!A65)</f>
        <v/>
      </c>
      <c r="B63" t="str">
        <f>IF(Kaleciler!B65="","",Kaleciler!B65)</f>
        <v/>
      </c>
      <c r="C63" s="2" t="str">
        <f>IF(Kaleciler!C65="","",Kaleciler!C65)</f>
        <v/>
      </c>
      <c r="D63" t="str">
        <f ca="1">IF(Kaleciler!D65="","",Kaleciler!D65)</f>
        <v/>
      </c>
      <c r="E63" t="str">
        <f>IF(Kaleciler!E65="","",Kaleciler!E65)</f>
        <v>Kaleci</v>
      </c>
      <c r="F63" t="str">
        <f>IF(Kaleciler!G65="","",Kaleciler!G65)</f>
        <v/>
      </c>
      <c r="G63" s="2" t="str">
        <f>IF(Kaleciler!H65="","",Kaleciler!H65)</f>
        <v/>
      </c>
      <c r="H63" t="str">
        <f>IF(Kaleciler!I65="","",Kaleciler!I65)</f>
        <v/>
      </c>
      <c r="I63" t="str">
        <f>IF(Kaleciler!A65="","",Kaleciler!J65)</f>
        <v/>
      </c>
      <c r="J63" t="str">
        <f>IF(Kaleciler!A65="","",Kaleciler!K65)</f>
        <v/>
      </c>
      <c r="K63" t="str">
        <f>IF(Kaleciler!L65="","",Kaleciler!L65)</f>
        <v/>
      </c>
      <c r="L63" t="str">
        <f>IF(Kaleciler!M65="","",Kaleciler!M65)</f>
        <v/>
      </c>
      <c r="M63" t="str">
        <f>IF(Kaleciler!N65="","",Kaleciler!N65)</f>
        <v/>
      </c>
      <c r="N63" t="str">
        <f>IF(Kaleciler!O65="","",Kaleciler!O65)</f>
        <v/>
      </c>
      <c r="O63" t="str">
        <f>IF(Kaleciler!P65="","",Kaleciler!P65)</f>
        <v/>
      </c>
      <c r="P63" t="str">
        <f>IF(Kaleciler!Q65="","",Kaleciler!Q65)</f>
        <v/>
      </c>
      <c r="Q63" t="str">
        <f>IF(Kaleciler!R65="","",Kaleciler!R65)</f>
        <v/>
      </c>
      <c r="R63" t="str">
        <f>IF(Kaleciler!S65="","",Kaleciler!S65)</f>
        <v/>
      </c>
      <c r="S63" t="str">
        <f>IF(Kaleciler!T65="","",Kaleciler!T65)</f>
        <v/>
      </c>
      <c r="T63" s="2" t="str">
        <f>IF(Kaleciler!U65="","",Kaleciler!U65)</f>
        <v/>
      </c>
      <c r="U63" t="s">
        <v>926</v>
      </c>
      <c r="V63">
        <v>65</v>
      </c>
      <c r="W63" t="str">
        <f ca="1">IF(AND($A63&lt;&gt;"",ISNUMBER($G63),$G63&gt;=TODAY(),$G63&lt;=EDATE(TODAY(),12)),COUNTIFS($G$2:$G$1001,"&gt;="&amp;TODAY(),$G$2:$G$1001,"&lt;"&amp;$G63,$A$2:$A$1001,"&lt;&gt;")+COUNTIFS($G$2:$G63,$G63,$A$2:$A63,"&lt;&gt;"),"")</f>
        <v/>
      </c>
      <c r="X63" t="str">
        <f>IF(AND($A63&lt;&gt;"",ISNUMBER($C63),$C63&gt;=DATE(2003,1,1)),COUNTIFS($C$2:$C63,"&gt;="&amp;DATE(2003,1,1),$A$2:$A63,"&lt;&gt;"),"")</f>
        <v/>
      </c>
    </row>
    <row r="64" spans="1:24">
      <c r="A64" t="str">
        <f>IF(Kaleciler!A66="","",Kaleciler!A66)</f>
        <v/>
      </c>
      <c r="B64" t="str">
        <f>IF(Kaleciler!B66="","",Kaleciler!B66)</f>
        <v/>
      </c>
      <c r="C64" s="2" t="str">
        <f>IF(Kaleciler!C66="","",Kaleciler!C66)</f>
        <v/>
      </c>
      <c r="D64" t="str">
        <f ca="1">IF(Kaleciler!D66="","",Kaleciler!D66)</f>
        <v/>
      </c>
      <c r="E64" t="str">
        <f>IF(Kaleciler!E66="","",Kaleciler!E66)</f>
        <v>Kaleci</v>
      </c>
      <c r="F64" t="str">
        <f>IF(Kaleciler!G66="","",Kaleciler!G66)</f>
        <v/>
      </c>
      <c r="G64" s="2" t="str">
        <f>IF(Kaleciler!H66="","",Kaleciler!H66)</f>
        <v/>
      </c>
      <c r="H64" t="str">
        <f>IF(Kaleciler!I66="","",Kaleciler!I66)</f>
        <v/>
      </c>
      <c r="I64" t="str">
        <f>IF(Kaleciler!A66="","",Kaleciler!J66)</f>
        <v/>
      </c>
      <c r="J64" t="str">
        <f>IF(Kaleciler!A66="","",Kaleciler!K66)</f>
        <v/>
      </c>
      <c r="K64" t="str">
        <f>IF(Kaleciler!L66="","",Kaleciler!L66)</f>
        <v/>
      </c>
      <c r="L64" t="str">
        <f>IF(Kaleciler!M66="","",Kaleciler!M66)</f>
        <v/>
      </c>
      <c r="M64" t="str">
        <f>IF(Kaleciler!N66="","",Kaleciler!N66)</f>
        <v/>
      </c>
      <c r="N64" t="str">
        <f>IF(Kaleciler!O66="","",Kaleciler!O66)</f>
        <v/>
      </c>
      <c r="O64" t="str">
        <f>IF(Kaleciler!P66="","",Kaleciler!P66)</f>
        <v/>
      </c>
      <c r="P64" t="str">
        <f>IF(Kaleciler!Q66="","",Kaleciler!Q66)</f>
        <v/>
      </c>
      <c r="Q64" t="str">
        <f>IF(Kaleciler!R66="","",Kaleciler!R66)</f>
        <v/>
      </c>
      <c r="R64" t="str">
        <f>IF(Kaleciler!S66="","",Kaleciler!S66)</f>
        <v/>
      </c>
      <c r="S64" t="str">
        <f>IF(Kaleciler!T66="","",Kaleciler!T66)</f>
        <v/>
      </c>
      <c r="T64" s="2" t="str">
        <f>IF(Kaleciler!U66="","",Kaleciler!U66)</f>
        <v/>
      </c>
      <c r="U64" t="s">
        <v>926</v>
      </c>
      <c r="V64">
        <v>66</v>
      </c>
      <c r="W64" t="str">
        <f ca="1">IF(AND($A64&lt;&gt;"",ISNUMBER($G64),$G64&gt;=TODAY(),$G64&lt;=EDATE(TODAY(),12)),COUNTIFS($G$2:$G$1001,"&gt;="&amp;TODAY(),$G$2:$G$1001,"&lt;"&amp;$G64,$A$2:$A$1001,"&lt;&gt;")+COUNTIFS($G$2:$G64,$G64,$A$2:$A64,"&lt;&gt;"),"")</f>
        <v/>
      </c>
      <c r="X64" t="str">
        <f>IF(AND($A64&lt;&gt;"",ISNUMBER($C64),$C64&gt;=DATE(2003,1,1)),COUNTIFS($C$2:$C64,"&gt;="&amp;DATE(2003,1,1),$A$2:$A64,"&lt;&gt;"),"")</f>
        <v/>
      </c>
    </row>
    <row r="65" spans="1:24">
      <c r="A65" t="str">
        <f>IF(Kaleciler!A67="","",Kaleciler!A67)</f>
        <v/>
      </c>
      <c r="B65" t="str">
        <f>IF(Kaleciler!B67="","",Kaleciler!B67)</f>
        <v/>
      </c>
      <c r="C65" s="2" t="str">
        <f>IF(Kaleciler!C67="","",Kaleciler!C67)</f>
        <v/>
      </c>
      <c r="D65" t="str">
        <f ca="1">IF(Kaleciler!D67="","",Kaleciler!D67)</f>
        <v/>
      </c>
      <c r="E65" t="str">
        <f>IF(Kaleciler!E67="","",Kaleciler!E67)</f>
        <v>Kaleci</v>
      </c>
      <c r="F65" t="str">
        <f>IF(Kaleciler!G67="","",Kaleciler!G67)</f>
        <v/>
      </c>
      <c r="G65" s="2" t="str">
        <f>IF(Kaleciler!H67="","",Kaleciler!H67)</f>
        <v/>
      </c>
      <c r="H65" t="str">
        <f>IF(Kaleciler!I67="","",Kaleciler!I67)</f>
        <v/>
      </c>
      <c r="I65" t="str">
        <f>IF(Kaleciler!A67="","",Kaleciler!J67)</f>
        <v/>
      </c>
      <c r="J65" t="str">
        <f>IF(Kaleciler!A67="","",Kaleciler!K67)</f>
        <v/>
      </c>
      <c r="K65" t="str">
        <f>IF(Kaleciler!L67="","",Kaleciler!L67)</f>
        <v/>
      </c>
      <c r="L65" t="str">
        <f>IF(Kaleciler!M67="","",Kaleciler!M67)</f>
        <v/>
      </c>
      <c r="M65" t="str">
        <f>IF(Kaleciler!N67="","",Kaleciler!N67)</f>
        <v/>
      </c>
      <c r="N65" t="str">
        <f>IF(Kaleciler!O67="","",Kaleciler!O67)</f>
        <v/>
      </c>
      <c r="O65" t="str">
        <f>IF(Kaleciler!P67="","",Kaleciler!P67)</f>
        <v/>
      </c>
      <c r="P65" t="str">
        <f>IF(Kaleciler!Q67="","",Kaleciler!Q67)</f>
        <v/>
      </c>
      <c r="Q65" t="str">
        <f>IF(Kaleciler!R67="","",Kaleciler!R67)</f>
        <v/>
      </c>
      <c r="R65" t="str">
        <f>IF(Kaleciler!S67="","",Kaleciler!S67)</f>
        <v/>
      </c>
      <c r="S65" t="str">
        <f>IF(Kaleciler!T67="","",Kaleciler!T67)</f>
        <v/>
      </c>
      <c r="T65" s="2" t="str">
        <f>IF(Kaleciler!U67="","",Kaleciler!U67)</f>
        <v/>
      </c>
      <c r="U65" t="s">
        <v>926</v>
      </c>
      <c r="V65">
        <v>67</v>
      </c>
      <c r="W65" t="str">
        <f ca="1">IF(AND($A65&lt;&gt;"",ISNUMBER($G65),$G65&gt;=TODAY(),$G65&lt;=EDATE(TODAY(),12)),COUNTIFS($G$2:$G$1001,"&gt;="&amp;TODAY(),$G$2:$G$1001,"&lt;"&amp;$G65,$A$2:$A$1001,"&lt;&gt;")+COUNTIFS($G$2:$G65,$G65,$A$2:$A65,"&lt;&gt;"),"")</f>
        <v/>
      </c>
      <c r="X65" t="str">
        <f>IF(AND($A65&lt;&gt;"",ISNUMBER($C65),$C65&gt;=DATE(2003,1,1)),COUNTIFS($C$2:$C65,"&gt;="&amp;DATE(2003,1,1),$A$2:$A65,"&lt;&gt;"),"")</f>
        <v/>
      </c>
    </row>
    <row r="66" spans="1:24">
      <c r="A66" t="str">
        <f>IF(Kaleciler!A68="","",Kaleciler!A68)</f>
        <v/>
      </c>
      <c r="B66" t="str">
        <f>IF(Kaleciler!B68="","",Kaleciler!B68)</f>
        <v/>
      </c>
      <c r="C66" s="2" t="str">
        <f>IF(Kaleciler!C68="","",Kaleciler!C68)</f>
        <v/>
      </c>
      <c r="D66" t="str">
        <f ca="1">IF(Kaleciler!D68="","",Kaleciler!D68)</f>
        <v/>
      </c>
      <c r="E66" t="str">
        <f>IF(Kaleciler!E68="","",Kaleciler!E68)</f>
        <v>Kaleci</v>
      </c>
      <c r="F66" t="str">
        <f>IF(Kaleciler!G68="","",Kaleciler!G68)</f>
        <v/>
      </c>
      <c r="G66" s="2" t="str">
        <f>IF(Kaleciler!H68="","",Kaleciler!H68)</f>
        <v/>
      </c>
      <c r="H66" t="str">
        <f>IF(Kaleciler!I68="","",Kaleciler!I68)</f>
        <v/>
      </c>
      <c r="I66" t="str">
        <f>IF(Kaleciler!A68="","",Kaleciler!J68)</f>
        <v/>
      </c>
      <c r="J66" t="str">
        <f>IF(Kaleciler!A68="","",Kaleciler!K68)</f>
        <v/>
      </c>
      <c r="K66" t="str">
        <f>IF(Kaleciler!L68="","",Kaleciler!L68)</f>
        <v/>
      </c>
      <c r="L66" t="str">
        <f>IF(Kaleciler!M68="","",Kaleciler!M68)</f>
        <v/>
      </c>
      <c r="M66" t="str">
        <f>IF(Kaleciler!N68="","",Kaleciler!N68)</f>
        <v/>
      </c>
      <c r="N66" t="str">
        <f>IF(Kaleciler!O68="","",Kaleciler!O68)</f>
        <v/>
      </c>
      <c r="O66" t="str">
        <f>IF(Kaleciler!P68="","",Kaleciler!P68)</f>
        <v/>
      </c>
      <c r="P66" t="str">
        <f>IF(Kaleciler!Q68="","",Kaleciler!Q68)</f>
        <v/>
      </c>
      <c r="Q66" t="str">
        <f>IF(Kaleciler!R68="","",Kaleciler!R68)</f>
        <v/>
      </c>
      <c r="R66" t="str">
        <f>IF(Kaleciler!S68="","",Kaleciler!S68)</f>
        <v/>
      </c>
      <c r="S66" t="str">
        <f>IF(Kaleciler!T68="","",Kaleciler!T68)</f>
        <v/>
      </c>
      <c r="T66" s="2" t="str">
        <f>IF(Kaleciler!U68="","",Kaleciler!U68)</f>
        <v/>
      </c>
      <c r="U66" t="s">
        <v>926</v>
      </c>
      <c r="V66">
        <v>68</v>
      </c>
      <c r="W66" t="str">
        <f ca="1">IF(AND($A66&lt;&gt;"",ISNUMBER($G66),$G66&gt;=TODAY(),$G66&lt;=EDATE(TODAY(),12)),COUNTIFS($G$2:$G$1001,"&gt;="&amp;TODAY(),$G$2:$G$1001,"&lt;"&amp;$G66,$A$2:$A$1001,"&lt;&gt;")+COUNTIFS($G$2:$G66,$G66,$A$2:$A66,"&lt;&gt;"),"")</f>
        <v/>
      </c>
      <c r="X66" t="str">
        <f>IF(AND($A66&lt;&gt;"",ISNUMBER($C66),$C66&gt;=DATE(2003,1,1)),COUNTIFS($C$2:$C66,"&gt;="&amp;DATE(2003,1,1),$A$2:$A66,"&lt;&gt;"),"")</f>
        <v/>
      </c>
    </row>
    <row r="67" spans="1:24">
      <c r="A67" t="str">
        <f>IF(Kaleciler!A69="","",Kaleciler!A69)</f>
        <v/>
      </c>
      <c r="B67" t="str">
        <f>IF(Kaleciler!B69="","",Kaleciler!B69)</f>
        <v/>
      </c>
      <c r="C67" s="2" t="str">
        <f>IF(Kaleciler!C69="","",Kaleciler!C69)</f>
        <v/>
      </c>
      <c r="D67" t="str">
        <f ca="1">IF(Kaleciler!D69="","",Kaleciler!D69)</f>
        <v/>
      </c>
      <c r="E67" t="str">
        <f>IF(Kaleciler!E69="","",Kaleciler!E69)</f>
        <v>Kaleci</v>
      </c>
      <c r="F67" t="str">
        <f>IF(Kaleciler!G69="","",Kaleciler!G69)</f>
        <v/>
      </c>
      <c r="G67" s="2" t="str">
        <f>IF(Kaleciler!H69="","",Kaleciler!H69)</f>
        <v/>
      </c>
      <c r="H67" t="str">
        <f>IF(Kaleciler!I69="","",Kaleciler!I69)</f>
        <v/>
      </c>
      <c r="I67" t="str">
        <f>IF(Kaleciler!A69="","",Kaleciler!J69)</f>
        <v/>
      </c>
      <c r="J67" t="str">
        <f>IF(Kaleciler!A69="","",Kaleciler!K69)</f>
        <v/>
      </c>
      <c r="K67" t="str">
        <f>IF(Kaleciler!L69="","",Kaleciler!L69)</f>
        <v/>
      </c>
      <c r="L67" t="str">
        <f>IF(Kaleciler!M69="","",Kaleciler!M69)</f>
        <v/>
      </c>
      <c r="M67" t="str">
        <f>IF(Kaleciler!N69="","",Kaleciler!N69)</f>
        <v/>
      </c>
      <c r="N67" t="str">
        <f>IF(Kaleciler!O69="","",Kaleciler!O69)</f>
        <v/>
      </c>
      <c r="O67" t="str">
        <f>IF(Kaleciler!P69="","",Kaleciler!P69)</f>
        <v/>
      </c>
      <c r="P67" t="str">
        <f>IF(Kaleciler!Q69="","",Kaleciler!Q69)</f>
        <v/>
      </c>
      <c r="Q67" t="str">
        <f>IF(Kaleciler!R69="","",Kaleciler!R69)</f>
        <v/>
      </c>
      <c r="R67" t="str">
        <f>IF(Kaleciler!S69="","",Kaleciler!S69)</f>
        <v/>
      </c>
      <c r="S67" t="str">
        <f>IF(Kaleciler!T69="","",Kaleciler!T69)</f>
        <v/>
      </c>
      <c r="T67" s="2" t="str">
        <f>IF(Kaleciler!U69="","",Kaleciler!U69)</f>
        <v/>
      </c>
      <c r="U67" t="s">
        <v>926</v>
      </c>
      <c r="V67">
        <v>69</v>
      </c>
      <c r="W67" t="str">
        <f ca="1">IF(AND($A67&lt;&gt;"",ISNUMBER($G67),$G67&gt;=TODAY(),$G67&lt;=EDATE(TODAY(),12)),COUNTIFS($G$2:$G$1001,"&gt;="&amp;TODAY(),$G$2:$G$1001,"&lt;"&amp;$G67,$A$2:$A$1001,"&lt;&gt;")+COUNTIFS($G$2:$G67,$G67,$A$2:$A67,"&lt;&gt;"),"")</f>
        <v/>
      </c>
      <c r="X67" t="str">
        <f>IF(AND($A67&lt;&gt;"",ISNUMBER($C67),$C67&gt;=DATE(2003,1,1)),COUNTIFS($C$2:$C67,"&gt;="&amp;DATE(2003,1,1),$A$2:$A67,"&lt;&gt;"),"")</f>
        <v/>
      </c>
    </row>
    <row r="68" spans="1:24">
      <c r="A68" t="str">
        <f>IF(Kaleciler!A70="","",Kaleciler!A70)</f>
        <v/>
      </c>
      <c r="B68" t="str">
        <f>IF(Kaleciler!B70="","",Kaleciler!B70)</f>
        <v/>
      </c>
      <c r="C68" s="2" t="str">
        <f>IF(Kaleciler!C70="","",Kaleciler!C70)</f>
        <v/>
      </c>
      <c r="D68" t="str">
        <f ca="1">IF(Kaleciler!D70="","",Kaleciler!D70)</f>
        <v/>
      </c>
      <c r="E68" t="str">
        <f>IF(Kaleciler!E70="","",Kaleciler!E70)</f>
        <v>Kaleci</v>
      </c>
      <c r="F68" t="str">
        <f>IF(Kaleciler!G70="","",Kaleciler!G70)</f>
        <v/>
      </c>
      <c r="G68" s="2" t="str">
        <f>IF(Kaleciler!H70="","",Kaleciler!H70)</f>
        <v/>
      </c>
      <c r="H68" t="str">
        <f>IF(Kaleciler!I70="","",Kaleciler!I70)</f>
        <v/>
      </c>
      <c r="I68" t="str">
        <f>IF(Kaleciler!A70="","",Kaleciler!J70)</f>
        <v/>
      </c>
      <c r="J68" t="str">
        <f>IF(Kaleciler!A70="","",Kaleciler!K70)</f>
        <v/>
      </c>
      <c r="K68" t="str">
        <f>IF(Kaleciler!L70="","",Kaleciler!L70)</f>
        <v/>
      </c>
      <c r="L68" t="str">
        <f>IF(Kaleciler!M70="","",Kaleciler!M70)</f>
        <v/>
      </c>
      <c r="M68" t="str">
        <f>IF(Kaleciler!N70="","",Kaleciler!N70)</f>
        <v/>
      </c>
      <c r="N68" t="str">
        <f>IF(Kaleciler!O70="","",Kaleciler!O70)</f>
        <v/>
      </c>
      <c r="O68" t="str">
        <f>IF(Kaleciler!P70="","",Kaleciler!P70)</f>
        <v/>
      </c>
      <c r="P68" t="str">
        <f>IF(Kaleciler!Q70="","",Kaleciler!Q70)</f>
        <v/>
      </c>
      <c r="Q68" t="str">
        <f>IF(Kaleciler!R70="","",Kaleciler!R70)</f>
        <v/>
      </c>
      <c r="R68" t="str">
        <f>IF(Kaleciler!S70="","",Kaleciler!S70)</f>
        <v/>
      </c>
      <c r="S68" t="str">
        <f>IF(Kaleciler!T70="","",Kaleciler!T70)</f>
        <v/>
      </c>
      <c r="T68" s="2" t="str">
        <f>IF(Kaleciler!U70="","",Kaleciler!U70)</f>
        <v/>
      </c>
      <c r="U68" t="s">
        <v>926</v>
      </c>
      <c r="V68">
        <v>70</v>
      </c>
      <c r="W68" t="str">
        <f ca="1">IF(AND($A68&lt;&gt;"",ISNUMBER($G68),$G68&gt;=TODAY(),$G68&lt;=EDATE(TODAY(),12)),COUNTIFS($G$2:$G$1001,"&gt;="&amp;TODAY(),$G$2:$G$1001,"&lt;"&amp;$G68,$A$2:$A$1001,"&lt;&gt;")+COUNTIFS($G$2:$G68,$G68,$A$2:$A68,"&lt;&gt;"),"")</f>
        <v/>
      </c>
      <c r="X68" t="str">
        <f>IF(AND($A68&lt;&gt;"",ISNUMBER($C68),$C68&gt;=DATE(2003,1,1)),COUNTIFS($C$2:$C68,"&gt;="&amp;DATE(2003,1,1),$A$2:$A68,"&lt;&gt;"),"")</f>
        <v/>
      </c>
    </row>
    <row r="69" spans="1:24">
      <c r="A69" t="str">
        <f>IF(Kaleciler!A71="","",Kaleciler!A71)</f>
        <v/>
      </c>
      <c r="B69" t="str">
        <f>IF(Kaleciler!B71="","",Kaleciler!B71)</f>
        <v/>
      </c>
      <c r="C69" s="2" t="str">
        <f>IF(Kaleciler!C71="","",Kaleciler!C71)</f>
        <v/>
      </c>
      <c r="D69" t="str">
        <f ca="1">IF(Kaleciler!D71="","",Kaleciler!D71)</f>
        <v/>
      </c>
      <c r="E69" t="str">
        <f>IF(Kaleciler!E71="","",Kaleciler!E71)</f>
        <v>Kaleci</v>
      </c>
      <c r="F69" t="str">
        <f>IF(Kaleciler!G71="","",Kaleciler!G71)</f>
        <v/>
      </c>
      <c r="G69" s="2" t="str">
        <f>IF(Kaleciler!H71="","",Kaleciler!H71)</f>
        <v/>
      </c>
      <c r="H69" t="str">
        <f>IF(Kaleciler!I71="","",Kaleciler!I71)</f>
        <v/>
      </c>
      <c r="I69" t="str">
        <f>IF(Kaleciler!A71="","",Kaleciler!J71)</f>
        <v/>
      </c>
      <c r="J69" t="str">
        <f>IF(Kaleciler!A71="","",Kaleciler!K71)</f>
        <v/>
      </c>
      <c r="K69" t="str">
        <f>IF(Kaleciler!L71="","",Kaleciler!L71)</f>
        <v/>
      </c>
      <c r="L69" t="str">
        <f>IF(Kaleciler!M71="","",Kaleciler!M71)</f>
        <v/>
      </c>
      <c r="M69" t="str">
        <f>IF(Kaleciler!N71="","",Kaleciler!N71)</f>
        <v/>
      </c>
      <c r="N69" t="str">
        <f>IF(Kaleciler!O71="","",Kaleciler!O71)</f>
        <v/>
      </c>
      <c r="O69" t="str">
        <f>IF(Kaleciler!P71="","",Kaleciler!P71)</f>
        <v/>
      </c>
      <c r="P69" t="str">
        <f>IF(Kaleciler!Q71="","",Kaleciler!Q71)</f>
        <v/>
      </c>
      <c r="Q69" t="str">
        <f>IF(Kaleciler!R71="","",Kaleciler!R71)</f>
        <v/>
      </c>
      <c r="R69" t="str">
        <f>IF(Kaleciler!S71="","",Kaleciler!S71)</f>
        <v/>
      </c>
      <c r="S69" t="str">
        <f>IF(Kaleciler!T71="","",Kaleciler!T71)</f>
        <v/>
      </c>
      <c r="T69" s="2" t="str">
        <f>IF(Kaleciler!U71="","",Kaleciler!U71)</f>
        <v/>
      </c>
      <c r="U69" t="s">
        <v>926</v>
      </c>
      <c r="V69">
        <v>71</v>
      </c>
      <c r="W69" t="str">
        <f ca="1">IF(AND($A69&lt;&gt;"",ISNUMBER($G69),$G69&gt;=TODAY(),$G69&lt;=EDATE(TODAY(),12)),COUNTIFS($G$2:$G$1001,"&gt;="&amp;TODAY(),$G$2:$G$1001,"&lt;"&amp;$G69,$A$2:$A$1001,"&lt;&gt;")+COUNTIFS($G$2:$G69,$G69,$A$2:$A69,"&lt;&gt;"),"")</f>
        <v/>
      </c>
      <c r="X69" t="str">
        <f>IF(AND($A69&lt;&gt;"",ISNUMBER($C69),$C69&gt;=DATE(2003,1,1)),COUNTIFS($C$2:$C69,"&gt;="&amp;DATE(2003,1,1),$A$2:$A69,"&lt;&gt;"),"")</f>
        <v/>
      </c>
    </row>
    <row r="70" spans="1:24">
      <c r="A70" t="str">
        <f>IF(Kaleciler!A72="","",Kaleciler!A72)</f>
        <v/>
      </c>
      <c r="B70" t="str">
        <f>IF(Kaleciler!B72="","",Kaleciler!B72)</f>
        <v/>
      </c>
      <c r="C70" s="2" t="str">
        <f>IF(Kaleciler!C72="","",Kaleciler!C72)</f>
        <v/>
      </c>
      <c r="D70" t="str">
        <f ca="1">IF(Kaleciler!D72="","",Kaleciler!D72)</f>
        <v/>
      </c>
      <c r="E70" t="str">
        <f>IF(Kaleciler!E72="","",Kaleciler!E72)</f>
        <v>Kaleci</v>
      </c>
      <c r="F70" t="str">
        <f>IF(Kaleciler!G72="","",Kaleciler!G72)</f>
        <v/>
      </c>
      <c r="G70" s="2" t="str">
        <f>IF(Kaleciler!H72="","",Kaleciler!H72)</f>
        <v/>
      </c>
      <c r="H70" t="str">
        <f>IF(Kaleciler!I72="","",Kaleciler!I72)</f>
        <v/>
      </c>
      <c r="I70" t="str">
        <f>IF(Kaleciler!A72="","",Kaleciler!J72)</f>
        <v/>
      </c>
      <c r="J70" t="str">
        <f>IF(Kaleciler!A72="","",Kaleciler!K72)</f>
        <v/>
      </c>
      <c r="K70" t="str">
        <f>IF(Kaleciler!L72="","",Kaleciler!L72)</f>
        <v/>
      </c>
      <c r="L70" t="str">
        <f>IF(Kaleciler!M72="","",Kaleciler!M72)</f>
        <v/>
      </c>
      <c r="M70" t="str">
        <f>IF(Kaleciler!N72="","",Kaleciler!N72)</f>
        <v/>
      </c>
      <c r="N70" t="str">
        <f>IF(Kaleciler!O72="","",Kaleciler!O72)</f>
        <v/>
      </c>
      <c r="O70" t="str">
        <f>IF(Kaleciler!P72="","",Kaleciler!P72)</f>
        <v/>
      </c>
      <c r="P70" t="str">
        <f>IF(Kaleciler!Q72="","",Kaleciler!Q72)</f>
        <v/>
      </c>
      <c r="Q70" t="str">
        <f>IF(Kaleciler!R72="","",Kaleciler!R72)</f>
        <v/>
      </c>
      <c r="R70" t="str">
        <f>IF(Kaleciler!S72="","",Kaleciler!S72)</f>
        <v/>
      </c>
      <c r="S70" t="str">
        <f>IF(Kaleciler!T72="","",Kaleciler!T72)</f>
        <v/>
      </c>
      <c r="T70" s="2" t="str">
        <f>IF(Kaleciler!U72="","",Kaleciler!U72)</f>
        <v/>
      </c>
      <c r="U70" t="s">
        <v>926</v>
      </c>
      <c r="V70">
        <v>72</v>
      </c>
      <c r="W70" t="str">
        <f ca="1">IF(AND($A70&lt;&gt;"",ISNUMBER($G70),$G70&gt;=TODAY(),$G70&lt;=EDATE(TODAY(),12)),COUNTIFS($G$2:$G$1001,"&gt;="&amp;TODAY(),$G$2:$G$1001,"&lt;"&amp;$G70,$A$2:$A$1001,"&lt;&gt;")+COUNTIFS($G$2:$G70,$G70,$A$2:$A70,"&lt;&gt;"),"")</f>
        <v/>
      </c>
      <c r="X70" t="str">
        <f>IF(AND($A70&lt;&gt;"",ISNUMBER($C70),$C70&gt;=DATE(2003,1,1)),COUNTIFS($C$2:$C70,"&gt;="&amp;DATE(2003,1,1),$A$2:$A70,"&lt;&gt;"),"")</f>
        <v/>
      </c>
    </row>
    <row r="71" spans="1:24">
      <c r="A71" t="str">
        <f>IF(Kaleciler!A73="","",Kaleciler!A73)</f>
        <v/>
      </c>
      <c r="B71" t="str">
        <f>IF(Kaleciler!B73="","",Kaleciler!B73)</f>
        <v/>
      </c>
      <c r="C71" s="2" t="str">
        <f>IF(Kaleciler!C73="","",Kaleciler!C73)</f>
        <v/>
      </c>
      <c r="D71" t="str">
        <f ca="1">IF(Kaleciler!D73="","",Kaleciler!D73)</f>
        <v/>
      </c>
      <c r="E71" t="str">
        <f>IF(Kaleciler!E73="","",Kaleciler!E73)</f>
        <v>Kaleci</v>
      </c>
      <c r="F71" t="str">
        <f>IF(Kaleciler!G73="","",Kaleciler!G73)</f>
        <v/>
      </c>
      <c r="G71" s="2" t="str">
        <f>IF(Kaleciler!H73="","",Kaleciler!H73)</f>
        <v/>
      </c>
      <c r="H71" t="str">
        <f>IF(Kaleciler!I73="","",Kaleciler!I73)</f>
        <v/>
      </c>
      <c r="I71" t="str">
        <f>IF(Kaleciler!A73="","",Kaleciler!J73)</f>
        <v/>
      </c>
      <c r="J71" t="str">
        <f>IF(Kaleciler!A73="","",Kaleciler!K73)</f>
        <v/>
      </c>
      <c r="K71" t="str">
        <f>IF(Kaleciler!L73="","",Kaleciler!L73)</f>
        <v/>
      </c>
      <c r="L71" t="str">
        <f>IF(Kaleciler!M73="","",Kaleciler!M73)</f>
        <v/>
      </c>
      <c r="M71" t="str">
        <f>IF(Kaleciler!N73="","",Kaleciler!N73)</f>
        <v/>
      </c>
      <c r="N71" t="str">
        <f>IF(Kaleciler!O73="","",Kaleciler!O73)</f>
        <v/>
      </c>
      <c r="O71" t="str">
        <f>IF(Kaleciler!P73="","",Kaleciler!P73)</f>
        <v/>
      </c>
      <c r="P71" t="str">
        <f>IF(Kaleciler!Q73="","",Kaleciler!Q73)</f>
        <v/>
      </c>
      <c r="Q71" t="str">
        <f>IF(Kaleciler!R73="","",Kaleciler!R73)</f>
        <v/>
      </c>
      <c r="R71" t="str">
        <f>IF(Kaleciler!S73="","",Kaleciler!S73)</f>
        <v/>
      </c>
      <c r="S71" t="str">
        <f>IF(Kaleciler!T73="","",Kaleciler!T73)</f>
        <v/>
      </c>
      <c r="T71" s="2" t="str">
        <f>IF(Kaleciler!U73="","",Kaleciler!U73)</f>
        <v/>
      </c>
      <c r="U71" t="s">
        <v>926</v>
      </c>
      <c r="V71">
        <v>73</v>
      </c>
      <c r="W71" t="str">
        <f ca="1">IF(AND($A71&lt;&gt;"",ISNUMBER($G71),$G71&gt;=TODAY(),$G71&lt;=EDATE(TODAY(),12)),COUNTIFS($G$2:$G$1001,"&gt;="&amp;TODAY(),$G$2:$G$1001,"&lt;"&amp;$G71,$A$2:$A$1001,"&lt;&gt;")+COUNTIFS($G$2:$G71,$G71,$A$2:$A71,"&lt;&gt;"),"")</f>
        <v/>
      </c>
      <c r="X71" t="str">
        <f>IF(AND($A71&lt;&gt;"",ISNUMBER($C71),$C71&gt;=DATE(2003,1,1)),COUNTIFS($C$2:$C71,"&gt;="&amp;DATE(2003,1,1),$A$2:$A71,"&lt;&gt;"),"")</f>
        <v/>
      </c>
    </row>
    <row r="72" spans="1:24">
      <c r="A72" t="str">
        <f>IF(Kaleciler!A74="","",Kaleciler!A74)</f>
        <v/>
      </c>
      <c r="B72" t="str">
        <f>IF(Kaleciler!B74="","",Kaleciler!B74)</f>
        <v/>
      </c>
      <c r="C72" s="2" t="str">
        <f>IF(Kaleciler!C74="","",Kaleciler!C74)</f>
        <v/>
      </c>
      <c r="D72" t="str">
        <f ca="1">IF(Kaleciler!D74="","",Kaleciler!D74)</f>
        <v/>
      </c>
      <c r="E72" t="str">
        <f>IF(Kaleciler!E74="","",Kaleciler!E74)</f>
        <v>Kaleci</v>
      </c>
      <c r="F72" t="str">
        <f>IF(Kaleciler!G74="","",Kaleciler!G74)</f>
        <v/>
      </c>
      <c r="G72" s="2" t="str">
        <f>IF(Kaleciler!H74="","",Kaleciler!H74)</f>
        <v/>
      </c>
      <c r="H72" t="str">
        <f>IF(Kaleciler!I74="","",Kaleciler!I74)</f>
        <v/>
      </c>
      <c r="I72" t="str">
        <f>IF(Kaleciler!A74="","",Kaleciler!J74)</f>
        <v/>
      </c>
      <c r="J72" t="str">
        <f>IF(Kaleciler!A74="","",Kaleciler!K74)</f>
        <v/>
      </c>
      <c r="K72" t="str">
        <f>IF(Kaleciler!L74="","",Kaleciler!L74)</f>
        <v/>
      </c>
      <c r="L72" t="str">
        <f>IF(Kaleciler!M74="","",Kaleciler!M74)</f>
        <v/>
      </c>
      <c r="M72" t="str">
        <f>IF(Kaleciler!N74="","",Kaleciler!N74)</f>
        <v/>
      </c>
      <c r="N72" t="str">
        <f>IF(Kaleciler!O74="","",Kaleciler!O74)</f>
        <v/>
      </c>
      <c r="O72" t="str">
        <f>IF(Kaleciler!P74="","",Kaleciler!P74)</f>
        <v/>
      </c>
      <c r="P72" t="str">
        <f>IF(Kaleciler!Q74="","",Kaleciler!Q74)</f>
        <v/>
      </c>
      <c r="Q72" t="str">
        <f>IF(Kaleciler!R74="","",Kaleciler!R74)</f>
        <v/>
      </c>
      <c r="R72" t="str">
        <f>IF(Kaleciler!S74="","",Kaleciler!S74)</f>
        <v/>
      </c>
      <c r="S72" t="str">
        <f>IF(Kaleciler!T74="","",Kaleciler!T74)</f>
        <v/>
      </c>
      <c r="T72" s="2" t="str">
        <f>IF(Kaleciler!U74="","",Kaleciler!U74)</f>
        <v/>
      </c>
      <c r="U72" t="s">
        <v>926</v>
      </c>
      <c r="V72">
        <v>74</v>
      </c>
      <c r="W72" t="str">
        <f ca="1">IF(AND($A72&lt;&gt;"",ISNUMBER($G72),$G72&gt;=TODAY(),$G72&lt;=EDATE(TODAY(),12)),COUNTIFS($G$2:$G$1001,"&gt;="&amp;TODAY(),$G$2:$G$1001,"&lt;"&amp;$G72,$A$2:$A$1001,"&lt;&gt;")+COUNTIFS($G$2:$G72,$G72,$A$2:$A72,"&lt;&gt;"),"")</f>
        <v/>
      </c>
      <c r="X72" t="str">
        <f>IF(AND($A72&lt;&gt;"",ISNUMBER($C72),$C72&gt;=DATE(2003,1,1)),COUNTIFS($C$2:$C72,"&gt;="&amp;DATE(2003,1,1),$A$2:$A72,"&lt;&gt;"),"")</f>
        <v/>
      </c>
    </row>
    <row r="73" spans="1:24">
      <c r="A73" t="str">
        <f>IF(Kaleciler!A75="","",Kaleciler!A75)</f>
        <v/>
      </c>
      <c r="B73" t="str">
        <f>IF(Kaleciler!B75="","",Kaleciler!B75)</f>
        <v/>
      </c>
      <c r="C73" s="2" t="str">
        <f>IF(Kaleciler!C75="","",Kaleciler!C75)</f>
        <v/>
      </c>
      <c r="D73" t="str">
        <f ca="1">IF(Kaleciler!D75="","",Kaleciler!D75)</f>
        <v/>
      </c>
      <c r="E73" t="str">
        <f>IF(Kaleciler!E75="","",Kaleciler!E75)</f>
        <v>Kaleci</v>
      </c>
      <c r="F73" t="str">
        <f>IF(Kaleciler!G75="","",Kaleciler!G75)</f>
        <v/>
      </c>
      <c r="G73" s="2" t="str">
        <f>IF(Kaleciler!H75="","",Kaleciler!H75)</f>
        <v/>
      </c>
      <c r="H73" t="str">
        <f>IF(Kaleciler!I75="","",Kaleciler!I75)</f>
        <v/>
      </c>
      <c r="I73" t="str">
        <f>IF(Kaleciler!A75="","",Kaleciler!J75)</f>
        <v/>
      </c>
      <c r="J73" t="str">
        <f>IF(Kaleciler!A75="","",Kaleciler!K75)</f>
        <v/>
      </c>
      <c r="K73" t="str">
        <f>IF(Kaleciler!L75="","",Kaleciler!L75)</f>
        <v/>
      </c>
      <c r="L73" t="str">
        <f>IF(Kaleciler!M75="","",Kaleciler!M75)</f>
        <v/>
      </c>
      <c r="M73" t="str">
        <f>IF(Kaleciler!N75="","",Kaleciler!N75)</f>
        <v/>
      </c>
      <c r="N73" t="str">
        <f>IF(Kaleciler!O75="","",Kaleciler!O75)</f>
        <v/>
      </c>
      <c r="O73" t="str">
        <f>IF(Kaleciler!P75="","",Kaleciler!P75)</f>
        <v/>
      </c>
      <c r="P73" t="str">
        <f>IF(Kaleciler!Q75="","",Kaleciler!Q75)</f>
        <v/>
      </c>
      <c r="Q73" t="str">
        <f>IF(Kaleciler!R75="","",Kaleciler!R75)</f>
        <v/>
      </c>
      <c r="R73" t="str">
        <f>IF(Kaleciler!S75="","",Kaleciler!S75)</f>
        <v/>
      </c>
      <c r="S73" t="str">
        <f>IF(Kaleciler!T75="","",Kaleciler!T75)</f>
        <v/>
      </c>
      <c r="T73" s="2" t="str">
        <f>IF(Kaleciler!U75="","",Kaleciler!U75)</f>
        <v/>
      </c>
      <c r="U73" t="s">
        <v>926</v>
      </c>
      <c r="V73">
        <v>75</v>
      </c>
      <c r="W73" t="str">
        <f ca="1">IF(AND($A73&lt;&gt;"",ISNUMBER($G73),$G73&gt;=TODAY(),$G73&lt;=EDATE(TODAY(),12)),COUNTIFS($G$2:$G$1001,"&gt;="&amp;TODAY(),$G$2:$G$1001,"&lt;"&amp;$G73,$A$2:$A$1001,"&lt;&gt;")+COUNTIFS($G$2:$G73,$G73,$A$2:$A73,"&lt;&gt;"),"")</f>
        <v/>
      </c>
      <c r="X73" t="str">
        <f>IF(AND($A73&lt;&gt;"",ISNUMBER($C73),$C73&gt;=DATE(2003,1,1)),COUNTIFS($C$2:$C73,"&gt;="&amp;DATE(2003,1,1),$A$2:$A73,"&lt;&gt;"),"")</f>
        <v/>
      </c>
    </row>
    <row r="74" spans="1:24">
      <c r="A74" t="str">
        <f>IF(Kaleciler!A76="","",Kaleciler!A76)</f>
        <v/>
      </c>
      <c r="B74" t="str">
        <f>IF(Kaleciler!B76="","",Kaleciler!B76)</f>
        <v/>
      </c>
      <c r="C74" s="2" t="str">
        <f>IF(Kaleciler!C76="","",Kaleciler!C76)</f>
        <v/>
      </c>
      <c r="D74" t="str">
        <f ca="1">IF(Kaleciler!D76="","",Kaleciler!D76)</f>
        <v/>
      </c>
      <c r="E74" t="str">
        <f>IF(Kaleciler!E76="","",Kaleciler!E76)</f>
        <v>Kaleci</v>
      </c>
      <c r="F74" t="str">
        <f>IF(Kaleciler!G76="","",Kaleciler!G76)</f>
        <v/>
      </c>
      <c r="G74" s="2" t="str">
        <f>IF(Kaleciler!H76="","",Kaleciler!H76)</f>
        <v/>
      </c>
      <c r="H74" t="str">
        <f>IF(Kaleciler!I76="","",Kaleciler!I76)</f>
        <v/>
      </c>
      <c r="I74" t="str">
        <f>IF(Kaleciler!A76="","",Kaleciler!J76)</f>
        <v/>
      </c>
      <c r="J74" t="str">
        <f>IF(Kaleciler!A76="","",Kaleciler!K76)</f>
        <v/>
      </c>
      <c r="K74" t="str">
        <f>IF(Kaleciler!L76="","",Kaleciler!L76)</f>
        <v/>
      </c>
      <c r="L74" t="str">
        <f>IF(Kaleciler!M76="","",Kaleciler!M76)</f>
        <v/>
      </c>
      <c r="M74" t="str">
        <f>IF(Kaleciler!N76="","",Kaleciler!N76)</f>
        <v/>
      </c>
      <c r="N74" t="str">
        <f>IF(Kaleciler!O76="","",Kaleciler!O76)</f>
        <v/>
      </c>
      <c r="O74" t="str">
        <f>IF(Kaleciler!P76="","",Kaleciler!P76)</f>
        <v/>
      </c>
      <c r="P74" t="str">
        <f>IF(Kaleciler!Q76="","",Kaleciler!Q76)</f>
        <v/>
      </c>
      <c r="Q74" t="str">
        <f>IF(Kaleciler!R76="","",Kaleciler!R76)</f>
        <v/>
      </c>
      <c r="R74" t="str">
        <f>IF(Kaleciler!S76="","",Kaleciler!S76)</f>
        <v/>
      </c>
      <c r="S74" t="str">
        <f>IF(Kaleciler!T76="","",Kaleciler!T76)</f>
        <v/>
      </c>
      <c r="T74" s="2" t="str">
        <f>IF(Kaleciler!U76="","",Kaleciler!U76)</f>
        <v/>
      </c>
      <c r="U74" t="s">
        <v>926</v>
      </c>
      <c r="V74">
        <v>76</v>
      </c>
      <c r="W74" t="str">
        <f ca="1">IF(AND($A74&lt;&gt;"",ISNUMBER($G74),$G74&gt;=TODAY(),$G74&lt;=EDATE(TODAY(),12)),COUNTIFS($G$2:$G$1001,"&gt;="&amp;TODAY(),$G$2:$G$1001,"&lt;"&amp;$G74,$A$2:$A$1001,"&lt;&gt;")+COUNTIFS($G$2:$G74,$G74,$A$2:$A74,"&lt;&gt;"),"")</f>
        <v/>
      </c>
      <c r="X74" t="str">
        <f>IF(AND($A74&lt;&gt;"",ISNUMBER($C74),$C74&gt;=DATE(2003,1,1)),COUNTIFS($C$2:$C74,"&gt;="&amp;DATE(2003,1,1),$A$2:$A74,"&lt;&gt;"),"")</f>
        <v/>
      </c>
    </row>
    <row r="75" spans="1:24">
      <c r="A75" t="str">
        <f>IF(Kaleciler!A77="","",Kaleciler!A77)</f>
        <v/>
      </c>
      <c r="B75" t="str">
        <f>IF(Kaleciler!B77="","",Kaleciler!B77)</f>
        <v/>
      </c>
      <c r="C75" s="2" t="str">
        <f>IF(Kaleciler!C77="","",Kaleciler!C77)</f>
        <v/>
      </c>
      <c r="D75" t="str">
        <f ca="1">IF(Kaleciler!D77="","",Kaleciler!D77)</f>
        <v/>
      </c>
      <c r="E75" t="str">
        <f>IF(Kaleciler!E77="","",Kaleciler!E77)</f>
        <v>Kaleci</v>
      </c>
      <c r="F75" t="str">
        <f>IF(Kaleciler!G77="","",Kaleciler!G77)</f>
        <v/>
      </c>
      <c r="G75" s="2" t="str">
        <f>IF(Kaleciler!H77="","",Kaleciler!H77)</f>
        <v/>
      </c>
      <c r="H75" t="str">
        <f>IF(Kaleciler!I77="","",Kaleciler!I77)</f>
        <v/>
      </c>
      <c r="I75" t="str">
        <f>IF(Kaleciler!A77="","",Kaleciler!J77)</f>
        <v/>
      </c>
      <c r="J75" t="str">
        <f>IF(Kaleciler!A77="","",Kaleciler!K77)</f>
        <v/>
      </c>
      <c r="K75" t="str">
        <f>IF(Kaleciler!L77="","",Kaleciler!L77)</f>
        <v/>
      </c>
      <c r="L75" t="str">
        <f>IF(Kaleciler!M77="","",Kaleciler!M77)</f>
        <v/>
      </c>
      <c r="M75" t="str">
        <f>IF(Kaleciler!N77="","",Kaleciler!N77)</f>
        <v/>
      </c>
      <c r="N75" t="str">
        <f>IF(Kaleciler!O77="","",Kaleciler!O77)</f>
        <v/>
      </c>
      <c r="O75" t="str">
        <f>IF(Kaleciler!P77="","",Kaleciler!P77)</f>
        <v/>
      </c>
      <c r="P75" t="str">
        <f>IF(Kaleciler!Q77="","",Kaleciler!Q77)</f>
        <v/>
      </c>
      <c r="Q75" t="str">
        <f>IF(Kaleciler!R77="","",Kaleciler!R77)</f>
        <v/>
      </c>
      <c r="R75" t="str">
        <f>IF(Kaleciler!S77="","",Kaleciler!S77)</f>
        <v/>
      </c>
      <c r="S75" t="str">
        <f>IF(Kaleciler!T77="","",Kaleciler!T77)</f>
        <v/>
      </c>
      <c r="T75" s="2" t="str">
        <f>IF(Kaleciler!U77="","",Kaleciler!U77)</f>
        <v/>
      </c>
      <c r="U75" t="s">
        <v>926</v>
      </c>
      <c r="V75">
        <v>77</v>
      </c>
      <c r="W75" t="str">
        <f ca="1">IF(AND($A75&lt;&gt;"",ISNUMBER($G75),$G75&gt;=TODAY(),$G75&lt;=EDATE(TODAY(),12)),COUNTIFS($G$2:$G$1001,"&gt;="&amp;TODAY(),$G$2:$G$1001,"&lt;"&amp;$G75,$A$2:$A$1001,"&lt;&gt;")+COUNTIFS($G$2:$G75,$G75,$A$2:$A75,"&lt;&gt;"),"")</f>
        <v/>
      </c>
      <c r="X75" t="str">
        <f>IF(AND($A75&lt;&gt;"",ISNUMBER($C75),$C75&gt;=DATE(2003,1,1)),COUNTIFS($C$2:$C75,"&gt;="&amp;DATE(2003,1,1),$A$2:$A75,"&lt;&gt;"),"")</f>
        <v/>
      </c>
    </row>
    <row r="76" spans="1:24">
      <c r="A76" t="str">
        <f>IF(Kaleciler!A78="","",Kaleciler!A78)</f>
        <v/>
      </c>
      <c r="B76" t="str">
        <f>IF(Kaleciler!B78="","",Kaleciler!B78)</f>
        <v/>
      </c>
      <c r="C76" s="2" t="str">
        <f>IF(Kaleciler!C78="","",Kaleciler!C78)</f>
        <v/>
      </c>
      <c r="D76" t="str">
        <f ca="1">IF(Kaleciler!D78="","",Kaleciler!D78)</f>
        <v/>
      </c>
      <c r="E76" t="str">
        <f>IF(Kaleciler!E78="","",Kaleciler!E78)</f>
        <v>Kaleci</v>
      </c>
      <c r="F76" t="str">
        <f>IF(Kaleciler!G78="","",Kaleciler!G78)</f>
        <v/>
      </c>
      <c r="G76" s="2" t="str">
        <f>IF(Kaleciler!H78="","",Kaleciler!H78)</f>
        <v/>
      </c>
      <c r="H76" t="str">
        <f>IF(Kaleciler!I78="","",Kaleciler!I78)</f>
        <v/>
      </c>
      <c r="I76" t="str">
        <f>IF(Kaleciler!A78="","",Kaleciler!J78)</f>
        <v/>
      </c>
      <c r="J76" t="str">
        <f>IF(Kaleciler!A78="","",Kaleciler!K78)</f>
        <v/>
      </c>
      <c r="K76" t="str">
        <f>IF(Kaleciler!L78="","",Kaleciler!L78)</f>
        <v/>
      </c>
      <c r="L76" t="str">
        <f>IF(Kaleciler!M78="","",Kaleciler!M78)</f>
        <v/>
      </c>
      <c r="M76" t="str">
        <f>IF(Kaleciler!N78="","",Kaleciler!N78)</f>
        <v/>
      </c>
      <c r="N76" t="str">
        <f>IF(Kaleciler!O78="","",Kaleciler!O78)</f>
        <v/>
      </c>
      <c r="O76" t="str">
        <f>IF(Kaleciler!P78="","",Kaleciler!P78)</f>
        <v/>
      </c>
      <c r="P76" t="str">
        <f>IF(Kaleciler!Q78="","",Kaleciler!Q78)</f>
        <v/>
      </c>
      <c r="Q76" t="str">
        <f>IF(Kaleciler!R78="","",Kaleciler!R78)</f>
        <v/>
      </c>
      <c r="R76" t="str">
        <f>IF(Kaleciler!S78="","",Kaleciler!S78)</f>
        <v/>
      </c>
      <c r="S76" t="str">
        <f>IF(Kaleciler!T78="","",Kaleciler!T78)</f>
        <v/>
      </c>
      <c r="T76" s="2" t="str">
        <f>IF(Kaleciler!U78="","",Kaleciler!U78)</f>
        <v/>
      </c>
      <c r="U76" t="s">
        <v>926</v>
      </c>
      <c r="V76">
        <v>78</v>
      </c>
      <c r="W76" t="str">
        <f ca="1">IF(AND($A76&lt;&gt;"",ISNUMBER($G76),$G76&gt;=TODAY(),$G76&lt;=EDATE(TODAY(),12)),COUNTIFS($G$2:$G$1001,"&gt;="&amp;TODAY(),$G$2:$G$1001,"&lt;"&amp;$G76,$A$2:$A$1001,"&lt;&gt;")+COUNTIFS($G$2:$G76,$G76,$A$2:$A76,"&lt;&gt;"),"")</f>
        <v/>
      </c>
      <c r="X76" t="str">
        <f>IF(AND($A76&lt;&gt;"",ISNUMBER($C76),$C76&gt;=DATE(2003,1,1)),COUNTIFS($C$2:$C76,"&gt;="&amp;DATE(2003,1,1),$A$2:$A76,"&lt;&gt;"),"")</f>
        <v/>
      </c>
    </row>
    <row r="77" spans="1:24">
      <c r="A77" t="str">
        <f>IF(Kaleciler!A79="","",Kaleciler!A79)</f>
        <v/>
      </c>
      <c r="B77" t="str">
        <f>IF(Kaleciler!B79="","",Kaleciler!B79)</f>
        <v/>
      </c>
      <c r="C77" s="2" t="str">
        <f>IF(Kaleciler!C79="","",Kaleciler!C79)</f>
        <v/>
      </c>
      <c r="D77" t="str">
        <f ca="1">IF(Kaleciler!D79="","",Kaleciler!D79)</f>
        <v/>
      </c>
      <c r="E77" t="str">
        <f>IF(Kaleciler!E79="","",Kaleciler!E79)</f>
        <v>Kaleci</v>
      </c>
      <c r="F77" t="str">
        <f>IF(Kaleciler!G79="","",Kaleciler!G79)</f>
        <v/>
      </c>
      <c r="G77" s="2" t="str">
        <f>IF(Kaleciler!H79="","",Kaleciler!H79)</f>
        <v/>
      </c>
      <c r="H77" t="str">
        <f>IF(Kaleciler!I79="","",Kaleciler!I79)</f>
        <v/>
      </c>
      <c r="I77" t="str">
        <f>IF(Kaleciler!A79="","",Kaleciler!J79)</f>
        <v/>
      </c>
      <c r="J77" t="str">
        <f>IF(Kaleciler!A79="","",Kaleciler!K79)</f>
        <v/>
      </c>
      <c r="K77" t="str">
        <f>IF(Kaleciler!L79="","",Kaleciler!L79)</f>
        <v/>
      </c>
      <c r="L77" t="str">
        <f>IF(Kaleciler!M79="","",Kaleciler!M79)</f>
        <v/>
      </c>
      <c r="M77" t="str">
        <f>IF(Kaleciler!N79="","",Kaleciler!N79)</f>
        <v/>
      </c>
      <c r="N77" t="str">
        <f>IF(Kaleciler!O79="","",Kaleciler!O79)</f>
        <v/>
      </c>
      <c r="O77" t="str">
        <f>IF(Kaleciler!P79="","",Kaleciler!P79)</f>
        <v/>
      </c>
      <c r="P77" t="str">
        <f>IF(Kaleciler!Q79="","",Kaleciler!Q79)</f>
        <v/>
      </c>
      <c r="Q77" t="str">
        <f>IF(Kaleciler!R79="","",Kaleciler!R79)</f>
        <v/>
      </c>
      <c r="R77" t="str">
        <f>IF(Kaleciler!S79="","",Kaleciler!S79)</f>
        <v/>
      </c>
      <c r="S77" t="str">
        <f>IF(Kaleciler!T79="","",Kaleciler!T79)</f>
        <v/>
      </c>
      <c r="T77" s="2" t="str">
        <f>IF(Kaleciler!U79="","",Kaleciler!U79)</f>
        <v/>
      </c>
      <c r="U77" t="s">
        <v>926</v>
      </c>
      <c r="V77">
        <v>79</v>
      </c>
      <c r="W77" t="str">
        <f ca="1">IF(AND($A77&lt;&gt;"",ISNUMBER($G77),$G77&gt;=TODAY(),$G77&lt;=EDATE(TODAY(),12)),COUNTIFS($G$2:$G$1001,"&gt;="&amp;TODAY(),$G$2:$G$1001,"&lt;"&amp;$G77,$A$2:$A$1001,"&lt;&gt;")+COUNTIFS($G$2:$G77,$G77,$A$2:$A77,"&lt;&gt;"),"")</f>
        <v/>
      </c>
      <c r="X77" t="str">
        <f>IF(AND($A77&lt;&gt;"",ISNUMBER($C77),$C77&gt;=DATE(2003,1,1)),COUNTIFS($C$2:$C77,"&gt;="&amp;DATE(2003,1,1),$A$2:$A77,"&lt;&gt;"),"")</f>
        <v/>
      </c>
    </row>
    <row r="78" spans="1:24">
      <c r="A78" t="str">
        <f>IF(Kaleciler!A80="","",Kaleciler!A80)</f>
        <v/>
      </c>
      <c r="B78" t="str">
        <f>IF(Kaleciler!B80="","",Kaleciler!B80)</f>
        <v/>
      </c>
      <c r="C78" s="2" t="str">
        <f>IF(Kaleciler!C80="","",Kaleciler!C80)</f>
        <v/>
      </c>
      <c r="D78" t="str">
        <f ca="1">IF(Kaleciler!D80="","",Kaleciler!D80)</f>
        <v/>
      </c>
      <c r="E78" t="str">
        <f>IF(Kaleciler!E80="","",Kaleciler!E80)</f>
        <v>Kaleci</v>
      </c>
      <c r="F78" t="str">
        <f>IF(Kaleciler!G80="","",Kaleciler!G80)</f>
        <v/>
      </c>
      <c r="G78" s="2" t="str">
        <f>IF(Kaleciler!H80="","",Kaleciler!H80)</f>
        <v/>
      </c>
      <c r="H78" t="str">
        <f>IF(Kaleciler!I80="","",Kaleciler!I80)</f>
        <v/>
      </c>
      <c r="I78" t="str">
        <f>IF(Kaleciler!A80="","",Kaleciler!J80)</f>
        <v/>
      </c>
      <c r="J78" t="str">
        <f>IF(Kaleciler!A80="","",Kaleciler!K80)</f>
        <v/>
      </c>
      <c r="K78" t="str">
        <f>IF(Kaleciler!L80="","",Kaleciler!L80)</f>
        <v/>
      </c>
      <c r="L78" t="str">
        <f>IF(Kaleciler!M80="","",Kaleciler!M80)</f>
        <v/>
      </c>
      <c r="M78" t="str">
        <f>IF(Kaleciler!N80="","",Kaleciler!N80)</f>
        <v/>
      </c>
      <c r="N78" t="str">
        <f>IF(Kaleciler!O80="","",Kaleciler!O80)</f>
        <v/>
      </c>
      <c r="O78" t="str">
        <f>IF(Kaleciler!P80="","",Kaleciler!P80)</f>
        <v/>
      </c>
      <c r="P78" t="str">
        <f>IF(Kaleciler!Q80="","",Kaleciler!Q80)</f>
        <v/>
      </c>
      <c r="Q78" t="str">
        <f>IF(Kaleciler!R80="","",Kaleciler!R80)</f>
        <v/>
      </c>
      <c r="R78" t="str">
        <f>IF(Kaleciler!S80="","",Kaleciler!S80)</f>
        <v/>
      </c>
      <c r="S78" t="str">
        <f>IF(Kaleciler!T80="","",Kaleciler!T80)</f>
        <v/>
      </c>
      <c r="T78" s="2" t="str">
        <f>IF(Kaleciler!U80="","",Kaleciler!U80)</f>
        <v/>
      </c>
      <c r="U78" t="s">
        <v>926</v>
      </c>
      <c r="V78">
        <v>80</v>
      </c>
      <c r="W78" t="str">
        <f ca="1">IF(AND($A78&lt;&gt;"",ISNUMBER($G78),$G78&gt;=TODAY(),$G78&lt;=EDATE(TODAY(),12)),COUNTIFS($G$2:$G$1001,"&gt;="&amp;TODAY(),$G$2:$G$1001,"&lt;"&amp;$G78,$A$2:$A$1001,"&lt;&gt;")+COUNTIFS($G$2:$G78,$G78,$A$2:$A78,"&lt;&gt;"),"")</f>
        <v/>
      </c>
      <c r="X78" t="str">
        <f>IF(AND($A78&lt;&gt;"",ISNUMBER($C78),$C78&gt;=DATE(2003,1,1)),COUNTIFS($C$2:$C78,"&gt;="&amp;DATE(2003,1,1),$A$2:$A78,"&lt;&gt;"),"")</f>
        <v/>
      </c>
    </row>
    <row r="79" spans="1:24">
      <c r="A79" t="str">
        <f>IF(Kaleciler!A81="","",Kaleciler!A81)</f>
        <v/>
      </c>
      <c r="B79" t="str">
        <f>IF(Kaleciler!B81="","",Kaleciler!B81)</f>
        <v/>
      </c>
      <c r="C79" s="2" t="str">
        <f>IF(Kaleciler!C81="","",Kaleciler!C81)</f>
        <v/>
      </c>
      <c r="D79" t="str">
        <f ca="1">IF(Kaleciler!D81="","",Kaleciler!D81)</f>
        <v/>
      </c>
      <c r="E79" t="str">
        <f>IF(Kaleciler!E81="","",Kaleciler!E81)</f>
        <v>Kaleci</v>
      </c>
      <c r="F79" t="str">
        <f>IF(Kaleciler!G81="","",Kaleciler!G81)</f>
        <v/>
      </c>
      <c r="G79" s="2" t="str">
        <f>IF(Kaleciler!H81="","",Kaleciler!H81)</f>
        <v/>
      </c>
      <c r="H79" t="str">
        <f>IF(Kaleciler!I81="","",Kaleciler!I81)</f>
        <v/>
      </c>
      <c r="I79" t="str">
        <f>IF(Kaleciler!A81="","",Kaleciler!J81)</f>
        <v/>
      </c>
      <c r="J79" t="str">
        <f>IF(Kaleciler!A81="","",Kaleciler!K81)</f>
        <v/>
      </c>
      <c r="K79" t="str">
        <f>IF(Kaleciler!L81="","",Kaleciler!L81)</f>
        <v/>
      </c>
      <c r="L79" t="str">
        <f>IF(Kaleciler!M81="","",Kaleciler!M81)</f>
        <v/>
      </c>
      <c r="M79" t="str">
        <f>IF(Kaleciler!N81="","",Kaleciler!N81)</f>
        <v/>
      </c>
      <c r="N79" t="str">
        <f>IF(Kaleciler!O81="","",Kaleciler!O81)</f>
        <v/>
      </c>
      <c r="O79" t="str">
        <f>IF(Kaleciler!P81="","",Kaleciler!P81)</f>
        <v/>
      </c>
      <c r="P79" t="str">
        <f>IF(Kaleciler!Q81="","",Kaleciler!Q81)</f>
        <v/>
      </c>
      <c r="Q79" t="str">
        <f>IF(Kaleciler!R81="","",Kaleciler!R81)</f>
        <v/>
      </c>
      <c r="R79" t="str">
        <f>IF(Kaleciler!S81="","",Kaleciler!S81)</f>
        <v/>
      </c>
      <c r="S79" t="str">
        <f>IF(Kaleciler!T81="","",Kaleciler!T81)</f>
        <v/>
      </c>
      <c r="T79" s="2" t="str">
        <f>IF(Kaleciler!U81="","",Kaleciler!U81)</f>
        <v/>
      </c>
      <c r="U79" t="s">
        <v>926</v>
      </c>
      <c r="V79">
        <v>81</v>
      </c>
      <c r="W79" t="str">
        <f ca="1">IF(AND($A79&lt;&gt;"",ISNUMBER($G79),$G79&gt;=TODAY(),$G79&lt;=EDATE(TODAY(),12)),COUNTIFS($G$2:$G$1001,"&gt;="&amp;TODAY(),$G$2:$G$1001,"&lt;"&amp;$G79,$A$2:$A$1001,"&lt;&gt;")+COUNTIFS($G$2:$G79,$G79,$A$2:$A79,"&lt;&gt;"),"")</f>
        <v/>
      </c>
      <c r="X79" t="str">
        <f>IF(AND($A79&lt;&gt;"",ISNUMBER($C79),$C79&gt;=DATE(2003,1,1)),COUNTIFS($C$2:$C79,"&gt;="&amp;DATE(2003,1,1),$A$2:$A79,"&lt;&gt;"),"")</f>
        <v/>
      </c>
    </row>
    <row r="80" spans="1:24">
      <c r="A80" t="str">
        <f>IF(Kaleciler!A82="","",Kaleciler!A82)</f>
        <v/>
      </c>
      <c r="B80" t="str">
        <f>IF(Kaleciler!B82="","",Kaleciler!B82)</f>
        <v/>
      </c>
      <c r="C80" s="2" t="str">
        <f>IF(Kaleciler!C82="","",Kaleciler!C82)</f>
        <v/>
      </c>
      <c r="D80" t="str">
        <f ca="1">IF(Kaleciler!D82="","",Kaleciler!D82)</f>
        <v/>
      </c>
      <c r="E80" t="str">
        <f>IF(Kaleciler!E82="","",Kaleciler!E82)</f>
        <v>Kaleci</v>
      </c>
      <c r="F80" t="str">
        <f>IF(Kaleciler!G82="","",Kaleciler!G82)</f>
        <v/>
      </c>
      <c r="G80" s="2" t="str">
        <f>IF(Kaleciler!H82="","",Kaleciler!H82)</f>
        <v/>
      </c>
      <c r="H80" t="str">
        <f>IF(Kaleciler!I82="","",Kaleciler!I82)</f>
        <v/>
      </c>
      <c r="I80" t="str">
        <f>IF(Kaleciler!A82="","",Kaleciler!J82)</f>
        <v/>
      </c>
      <c r="J80" t="str">
        <f>IF(Kaleciler!A82="","",Kaleciler!K82)</f>
        <v/>
      </c>
      <c r="K80" t="str">
        <f>IF(Kaleciler!L82="","",Kaleciler!L82)</f>
        <v/>
      </c>
      <c r="L80" t="str">
        <f>IF(Kaleciler!M82="","",Kaleciler!M82)</f>
        <v/>
      </c>
      <c r="M80" t="str">
        <f>IF(Kaleciler!N82="","",Kaleciler!N82)</f>
        <v/>
      </c>
      <c r="N80" t="str">
        <f>IF(Kaleciler!O82="","",Kaleciler!O82)</f>
        <v/>
      </c>
      <c r="O80" t="str">
        <f>IF(Kaleciler!P82="","",Kaleciler!P82)</f>
        <v/>
      </c>
      <c r="P80" t="str">
        <f>IF(Kaleciler!Q82="","",Kaleciler!Q82)</f>
        <v/>
      </c>
      <c r="Q80" t="str">
        <f>IF(Kaleciler!R82="","",Kaleciler!R82)</f>
        <v/>
      </c>
      <c r="R80" t="str">
        <f>IF(Kaleciler!S82="","",Kaleciler!S82)</f>
        <v/>
      </c>
      <c r="S80" t="str">
        <f>IF(Kaleciler!T82="","",Kaleciler!T82)</f>
        <v/>
      </c>
      <c r="T80" s="2" t="str">
        <f>IF(Kaleciler!U82="","",Kaleciler!U82)</f>
        <v/>
      </c>
      <c r="U80" t="s">
        <v>926</v>
      </c>
      <c r="V80">
        <v>82</v>
      </c>
      <c r="W80" t="str">
        <f ca="1">IF(AND($A80&lt;&gt;"",ISNUMBER($G80),$G80&gt;=TODAY(),$G80&lt;=EDATE(TODAY(),12)),COUNTIFS($G$2:$G$1001,"&gt;="&amp;TODAY(),$G$2:$G$1001,"&lt;"&amp;$G80,$A$2:$A$1001,"&lt;&gt;")+COUNTIFS($G$2:$G80,$G80,$A$2:$A80,"&lt;&gt;"),"")</f>
        <v/>
      </c>
      <c r="X80" t="str">
        <f>IF(AND($A80&lt;&gt;"",ISNUMBER($C80),$C80&gt;=DATE(2003,1,1)),COUNTIFS($C$2:$C80,"&gt;="&amp;DATE(2003,1,1),$A$2:$A80,"&lt;&gt;"),"")</f>
        <v/>
      </c>
    </row>
    <row r="81" spans="1:24">
      <c r="A81" t="str">
        <f>IF(Kaleciler!A83="","",Kaleciler!A83)</f>
        <v/>
      </c>
      <c r="B81" t="str">
        <f>IF(Kaleciler!B83="","",Kaleciler!B83)</f>
        <v/>
      </c>
      <c r="C81" s="2" t="str">
        <f>IF(Kaleciler!C83="","",Kaleciler!C83)</f>
        <v/>
      </c>
      <c r="D81" t="str">
        <f ca="1">IF(Kaleciler!D83="","",Kaleciler!D83)</f>
        <v/>
      </c>
      <c r="E81" t="str">
        <f>IF(Kaleciler!E83="","",Kaleciler!E83)</f>
        <v>Kaleci</v>
      </c>
      <c r="F81" t="str">
        <f>IF(Kaleciler!G83="","",Kaleciler!G83)</f>
        <v/>
      </c>
      <c r="G81" s="2" t="str">
        <f>IF(Kaleciler!H83="","",Kaleciler!H83)</f>
        <v/>
      </c>
      <c r="H81" t="str">
        <f>IF(Kaleciler!I83="","",Kaleciler!I83)</f>
        <v/>
      </c>
      <c r="I81" t="str">
        <f>IF(Kaleciler!A83="","",Kaleciler!J83)</f>
        <v/>
      </c>
      <c r="J81" t="str">
        <f>IF(Kaleciler!A83="","",Kaleciler!K83)</f>
        <v/>
      </c>
      <c r="K81" t="str">
        <f>IF(Kaleciler!L83="","",Kaleciler!L83)</f>
        <v/>
      </c>
      <c r="L81" t="str">
        <f>IF(Kaleciler!M83="","",Kaleciler!M83)</f>
        <v/>
      </c>
      <c r="M81" t="str">
        <f>IF(Kaleciler!N83="","",Kaleciler!N83)</f>
        <v/>
      </c>
      <c r="N81" t="str">
        <f>IF(Kaleciler!O83="","",Kaleciler!O83)</f>
        <v/>
      </c>
      <c r="O81" t="str">
        <f>IF(Kaleciler!P83="","",Kaleciler!P83)</f>
        <v/>
      </c>
      <c r="P81" t="str">
        <f>IF(Kaleciler!Q83="","",Kaleciler!Q83)</f>
        <v/>
      </c>
      <c r="Q81" t="str">
        <f>IF(Kaleciler!R83="","",Kaleciler!R83)</f>
        <v/>
      </c>
      <c r="R81" t="str">
        <f>IF(Kaleciler!S83="","",Kaleciler!S83)</f>
        <v/>
      </c>
      <c r="S81" t="str">
        <f>IF(Kaleciler!T83="","",Kaleciler!T83)</f>
        <v/>
      </c>
      <c r="T81" s="2" t="str">
        <f>IF(Kaleciler!U83="","",Kaleciler!U83)</f>
        <v/>
      </c>
      <c r="U81" t="s">
        <v>926</v>
      </c>
      <c r="V81">
        <v>83</v>
      </c>
      <c r="W81" t="str">
        <f ca="1">IF(AND($A81&lt;&gt;"",ISNUMBER($G81),$G81&gt;=TODAY(),$G81&lt;=EDATE(TODAY(),12)),COUNTIFS($G$2:$G$1001,"&gt;="&amp;TODAY(),$G$2:$G$1001,"&lt;"&amp;$G81,$A$2:$A$1001,"&lt;&gt;")+COUNTIFS($G$2:$G81,$G81,$A$2:$A81,"&lt;&gt;"),"")</f>
        <v/>
      </c>
      <c r="X81" t="str">
        <f>IF(AND($A81&lt;&gt;"",ISNUMBER($C81),$C81&gt;=DATE(2003,1,1)),COUNTIFS($C$2:$C81,"&gt;="&amp;DATE(2003,1,1),$A$2:$A81,"&lt;&gt;"),"")</f>
        <v/>
      </c>
    </row>
    <row r="82" spans="1:24">
      <c r="A82" t="str">
        <f>IF(Kaleciler!A84="","",Kaleciler!A84)</f>
        <v/>
      </c>
      <c r="B82" t="str">
        <f>IF(Kaleciler!B84="","",Kaleciler!B84)</f>
        <v/>
      </c>
      <c r="C82" s="2" t="str">
        <f>IF(Kaleciler!C84="","",Kaleciler!C84)</f>
        <v/>
      </c>
      <c r="D82" t="str">
        <f ca="1">IF(Kaleciler!D84="","",Kaleciler!D84)</f>
        <v/>
      </c>
      <c r="E82" t="str">
        <f>IF(Kaleciler!E84="","",Kaleciler!E84)</f>
        <v>Kaleci</v>
      </c>
      <c r="F82" t="str">
        <f>IF(Kaleciler!G84="","",Kaleciler!G84)</f>
        <v/>
      </c>
      <c r="G82" s="2" t="str">
        <f>IF(Kaleciler!H84="","",Kaleciler!H84)</f>
        <v/>
      </c>
      <c r="H82" t="str">
        <f>IF(Kaleciler!I84="","",Kaleciler!I84)</f>
        <v/>
      </c>
      <c r="I82" t="str">
        <f>IF(Kaleciler!A84="","",Kaleciler!J84)</f>
        <v/>
      </c>
      <c r="J82" t="str">
        <f>IF(Kaleciler!A84="","",Kaleciler!K84)</f>
        <v/>
      </c>
      <c r="K82" t="str">
        <f>IF(Kaleciler!L84="","",Kaleciler!L84)</f>
        <v/>
      </c>
      <c r="L82" t="str">
        <f>IF(Kaleciler!M84="","",Kaleciler!M84)</f>
        <v/>
      </c>
      <c r="M82" t="str">
        <f>IF(Kaleciler!N84="","",Kaleciler!N84)</f>
        <v/>
      </c>
      <c r="N82" t="str">
        <f>IF(Kaleciler!O84="","",Kaleciler!O84)</f>
        <v/>
      </c>
      <c r="O82" t="str">
        <f>IF(Kaleciler!P84="","",Kaleciler!P84)</f>
        <v/>
      </c>
      <c r="P82" t="str">
        <f>IF(Kaleciler!Q84="","",Kaleciler!Q84)</f>
        <v/>
      </c>
      <c r="Q82" t="str">
        <f>IF(Kaleciler!R84="","",Kaleciler!R84)</f>
        <v/>
      </c>
      <c r="R82" t="str">
        <f>IF(Kaleciler!S84="","",Kaleciler!S84)</f>
        <v/>
      </c>
      <c r="S82" t="str">
        <f>IF(Kaleciler!T84="","",Kaleciler!T84)</f>
        <v/>
      </c>
      <c r="T82" s="2" t="str">
        <f>IF(Kaleciler!U84="","",Kaleciler!U84)</f>
        <v/>
      </c>
      <c r="U82" t="s">
        <v>926</v>
      </c>
      <c r="V82">
        <v>84</v>
      </c>
      <c r="W82" t="str">
        <f ca="1">IF(AND($A82&lt;&gt;"",ISNUMBER($G82),$G82&gt;=TODAY(),$G82&lt;=EDATE(TODAY(),12)),COUNTIFS($G$2:$G$1001,"&gt;="&amp;TODAY(),$G$2:$G$1001,"&lt;"&amp;$G82,$A$2:$A$1001,"&lt;&gt;")+COUNTIFS($G$2:$G82,$G82,$A$2:$A82,"&lt;&gt;"),"")</f>
        <v/>
      </c>
      <c r="X82" t="str">
        <f>IF(AND($A82&lt;&gt;"",ISNUMBER($C82),$C82&gt;=DATE(2003,1,1)),COUNTIFS($C$2:$C82,"&gt;="&amp;DATE(2003,1,1),$A$2:$A82,"&lt;&gt;"),"")</f>
        <v/>
      </c>
    </row>
    <row r="83" spans="1:24">
      <c r="A83" t="str">
        <f>IF(Kaleciler!A85="","",Kaleciler!A85)</f>
        <v/>
      </c>
      <c r="B83" t="str">
        <f>IF(Kaleciler!B85="","",Kaleciler!B85)</f>
        <v/>
      </c>
      <c r="C83" s="2" t="str">
        <f>IF(Kaleciler!C85="","",Kaleciler!C85)</f>
        <v/>
      </c>
      <c r="D83" t="str">
        <f ca="1">IF(Kaleciler!D85="","",Kaleciler!D85)</f>
        <v/>
      </c>
      <c r="E83" t="str">
        <f>IF(Kaleciler!E85="","",Kaleciler!E85)</f>
        <v>Kaleci</v>
      </c>
      <c r="F83" t="str">
        <f>IF(Kaleciler!G85="","",Kaleciler!G85)</f>
        <v/>
      </c>
      <c r="G83" s="2" t="str">
        <f>IF(Kaleciler!H85="","",Kaleciler!H85)</f>
        <v/>
      </c>
      <c r="H83" t="str">
        <f>IF(Kaleciler!I85="","",Kaleciler!I85)</f>
        <v/>
      </c>
      <c r="I83" t="str">
        <f>IF(Kaleciler!A85="","",Kaleciler!J85)</f>
        <v/>
      </c>
      <c r="J83" t="str">
        <f>IF(Kaleciler!A85="","",Kaleciler!K85)</f>
        <v/>
      </c>
      <c r="K83" t="str">
        <f>IF(Kaleciler!L85="","",Kaleciler!L85)</f>
        <v/>
      </c>
      <c r="L83" t="str">
        <f>IF(Kaleciler!M85="","",Kaleciler!M85)</f>
        <v/>
      </c>
      <c r="M83" t="str">
        <f>IF(Kaleciler!N85="","",Kaleciler!N85)</f>
        <v/>
      </c>
      <c r="N83" t="str">
        <f>IF(Kaleciler!O85="","",Kaleciler!O85)</f>
        <v/>
      </c>
      <c r="O83" t="str">
        <f>IF(Kaleciler!P85="","",Kaleciler!P85)</f>
        <v/>
      </c>
      <c r="P83" t="str">
        <f>IF(Kaleciler!Q85="","",Kaleciler!Q85)</f>
        <v/>
      </c>
      <c r="Q83" t="str">
        <f>IF(Kaleciler!R85="","",Kaleciler!R85)</f>
        <v/>
      </c>
      <c r="R83" t="str">
        <f>IF(Kaleciler!S85="","",Kaleciler!S85)</f>
        <v/>
      </c>
      <c r="S83" t="str">
        <f>IF(Kaleciler!T85="","",Kaleciler!T85)</f>
        <v/>
      </c>
      <c r="T83" s="2" t="str">
        <f>IF(Kaleciler!U85="","",Kaleciler!U85)</f>
        <v/>
      </c>
      <c r="U83" t="s">
        <v>926</v>
      </c>
      <c r="V83">
        <v>85</v>
      </c>
      <c r="W83" t="str">
        <f ca="1">IF(AND($A83&lt;&gt;"",ISNUMBER($G83),$G83&gt;=TODAY(),$G83&lt;=EDATE(TODAY(),12)),COUNTIFS($G$2:$G$1001,"&gt;="&amp;TODAY(),$G$2:$G$1001,"&lt;"&amp;$G83,$A$2:$A$1001,"&lt;&gt;")+COUNTIFS($G$2:$G83,$G83,$A$2:$A83,"&lt;&gt;"),"")</f>
        <v/>
      </c>
      <c r="X83" t="str">
        <f>IF(AND($A83&lt;&gt;"",ISNUMBER($C83),$C83&gt;=DATE(2003,1,1)),COUNTIFS($C$2:$C83,"&gt;="&amp;DATE(2003,1,1),$A$2:$A83,"&lt;&gt;"),"")</f>
        <v/>
      </c>
    </row>
    <row r="84" spans="1:24">
      <c r="A84" t="str">
        <f>IF(Kaleciler!A86="","",Kaleciler!A86)</f>
        <v/>
      </c>
      <c r="B84" t="str">
        <f>IF(Kaleciler!B86="","",Kaleciler!B86)</f>
        <v/>
      </c>
      <c r="C84" s="2" t="str">
        <f>IF(Kaleciler!C86="","",Kaleciler!C86)</f>
        <v/>
      </c>
      <c r="D84" t="str">
        <f ca="1">IF(Kaleciler!D86="","",Kaleciler!D86)</f>
        <v/>
      </c>
      <c r="E84" t="str">
        <f>IF(Kaleciler!E86="","",Kaleciler!E86)</f>
        <v>Kaleci</v>
      </c>
      <c r="F84" t="str">
        <f>IF(Kaleciler!G86="","",Kaleciler!G86)</f>
        <v/>
      </c>
      <c r="G84" s="2" t="str">
        <f>IF(Kaleciler!H86="","",Kaleciler!H86)</f>
        <v/>
      </c>
      <c r="H84" t="str">
        <f>IF(Kaleciler!I86="","",Kaleciler!I86)</f>
        <v/>
      </c>
      <c r="I84" t="str">
        <f>IF(Kaleciler!A86="","",Kaleciler!J86)</f>
        <v/>
      </c>
      <c r="J84" t="str">
        <f>IF(Kaleciler!A86="","",Kaleciler!K86)</f>
        <v/>
      </c>
      <c r="K84" t="str">
        <f>IF(Kaleciler!L86="","",Kaleciler!L86)</f>
        <v/>
      </c>
      <c r="L84" t="str">
        <f>IF(Kaleciler!M86="","",Kaleciler!M86)</f>
        <v/>
      </c>
      <c r="M84" t="str">
        <f>IF(Kaleciler!N86="","",Kaleciler!N86)</f>
        <v/>
      </c>
      <c r="N84" t="str">
        <f>IF(Kaleciler!O86="","",Kaleciler!O86)</f>
        <v/>
      </c>
      <c r="O84" t="str">
        <f>IF(Kaleciler!P86="","",Kaleciler!P86)</f>
        <v/>
      </c>
      <c r="P84" t="str">
        <f>IF(Kaleciler!Q86="","",Kaleciler!Q86)</f>
        <v/>
      </c>
      <c r="Q84" t="str">
        <f>IF(Kaleciler!R86="","",Kaleciler!R86)</f>
        <v/>
      </c>
      <c r="R84" t="str">
        <f>IF(Kaleciler!S86="","",Kaleciler!S86)</f>
        <v/>
      </c>
      <c r="S84" t="str">
        <f>IF(Kaleciler!T86="","",Kaleciler!T86)</f>
        <v/>
      </c>
      <c r="T84" s="2" t="str">
        <f>IF(Kaleciler!U86="","",Kaleciler!U86)</f>
        <v/>
      </c>
      <c r="U84" t="s">
        <v>926</v>
      </c>
      <c r="V84">
        <v>86</v>
      </c>
      <c r="W84" t="str">
        <f ca="1">IF(AND($A84&lt;&gt;"",ISNUMBER($G84),$G84&gt;=TODAY(),$G84&lt;=EDATE(TODAY(),12)),COUNTIFS($G$2:$G$1001,"&gt;="&amp;TODAY(),$G$2:$G$1001,"&lt;"&amp;$G84,$A$2:$A$1001,"&lt;&gt;")+COUNTIFS($G$2:$G84,$G84,$A$2:$A84,"&lt;&gt;"),"")</f>
        <v/>
      </c>
      <c r="X84" t="str">
        <f>IF(AND($A84&lt;&gt;"",ISNUMBER($C84),$C84&gt;=DATE(2003,1,1)),COUNTIFS($C$2:$C84,"&gt;="&amp;DATE(2003,1,1),$A$2:$A84,"&lt;&gt;"),"")</f>
        <v/>
      </c>
    </row>
    <row r="85" spans="1:24">
      <c r="A85" t="str">
        <f>IF(Kaleciler!A87="","",Kaleciler!A87)</f>
        <v/>
      </c>
      <c r="B85" t="str">
        <f>IF(Kaleciler!B87="","",Kaleciler!B87)</f>
        <v/>
      </c>
      <c r="C85" s="2" t="str">
        <f>IF(Kaleciler!C87="","",Kaleciler!C87)</f>
        <v/>
      </c>
      <c r="D85" t="str">
        <f ca="1">IF(Kaleciler!D87="","",Kaleciler!D87)</f>
        <v/>
      </c>
      <c r="E85" t="str">
        <f>IF(Kaleciler!E87="","",Kaleciler!E87)</f>
        <v>Kaleci</v>
      </c>
      <c r="F85" t="str">
        <f>IF(Kaleciler!G87="","",Kaleciler!G87)</f>
        <v/>
      </c>
      <c r="G85" s="2" t="str">
        <f>IF(Kaleciler!H87="","",Kaleciler!H87)</f>
        <v/>
      </c>
      <c r="H85" t="str">
        <f>IF(Kaleciler!I87="","",Kaleciler!I87)</f>
        <v/>
      </c>
      <c r="I85" t="str">
        <f>IF(Kaleciler!A87="","",Kaleciler!J87)</f>
        <v/>
      </c>
      <c r="J85" t="str">
        <f>IF(Kaleciler!A87="","",Kaleciler!K87)</f>
        <v/>
      </c>
      <c r="K85" t="str">
        <f>IF(Kaleciler!L87="","",Kaleciler!L87)</f>
        <v/>
      </c>
      <c r="L85" t="str">
        <f>IF(Kaleciler!M87="","",Kaleciler!M87)</f>
        <v/>
      </c>
      <c r="M85" t="str">
        <f>IF(Kaleciler!N87="","",Kaleciler!N87)</f>
        <v/>
      </c>
      <c r="N85" t="str">
        <f>IF(Kaleciler!O87="","",Kaleciler!O87)</f>
        <v/>
      </c>
      <c r="O85" t="str">
        <f>IF(Kaleciler!P87="","",Kaleciler!P87)</f>
        <v/>
      </c>
      <c r="P85" t="str">
        <f>IF(Kaleciler!Q87="","",Kaleciler!Q87)</f>
        <v/>
      </c>
      <c r="Q85" t="str">
        <f>IF(Kaleciler!R87="","",Kaleciler!R87)</f>
        <v/>
      </c>
      <c r="R85" t="str">
        <f>IF(Kaleciler!S87="","",Kaleciler!S87)</f>
        <v/>
      </c>
      <c r="S85" t="str">
        <f>IF(Kaleciler!T87="","",Kaleciler!T87)</f>
        <v/>
      </c>
      <c r="T85" s="2" t="str">
        <f>IF(Kaleciler!U87="","",Kaleciler!U87)</f>
        <v/>
      </c>
      <c r="U85" t="s">
        <v>926</v>
      </c>
      <c r="V85">
        <v>87</v>
      </c>
      <c r="W85" t="str">
        <f ca="1">IF(AND($A85&lt;&gt;"",ISNUMBER($G85),$G85&gt;=TODAY(),$G85&lt;=EDATE(TODAY(),12)),COUNTIFS($G$2:$G$1001,"&gt;="&amp;TODAY(),$G$2:$G$1001,"&lt;"&amp;$G85,$A$2:$A$1001,"&lt;&gt;")+COUNTIFS($G$2:$G85,$G85,$A$2:$A85,"&lt;&gt;"),"")</f>
        <v/>
      </c>
      <c r="X85" t="str">
        <f>IF(AND($A85&lt;&gt;"",ISNUMBER($C85),$C85&gt;=DATE(2003,1,1)),COUNTIFS($C$2:$C85,"&gt;="&amp;DATE(2003,1,1),$A$2:$A85,"&lt;&gt;"),"")</f>
        <v/>
      </c>
    </row>
    <row r="86" spans="1:24">
      <c r="A86" t="str">
        <f>IF(Kaleciler!A88="","",Kaleciler!A88)</f>
        <v/>
      </c>
      <c r="B86" t="str">
        <f>IF(Kaleciler!B88="","",Kaleciler!B88)</f>
        <v/>
      </c>
      <c r="C86" s="2" t="str">
        <f>IF(Kaleciler!C88="","",Kaleciler!C88)</f>
        <v/>
      </c>
      <c r="D86" t="str">
        <f ca="1">IF(Kaleciler!D88="","",Kaleciler!D88)</f>
        <v/>
      </c>
      <c r="E86" t="str">
        <f>IF(Kaleciler!E88="","",Kaleciler!E88)</f>
        <v>Kaleci</v>
      </c>
      <c r="F86" t="str">
        <f>IF(Kaleciler!G88="","",Kaleciler!G88)</f>
        <v/>
      </c>
      <c r="G86" s="2" t="str">
        <f>IF(Kaleciler!H88="","",Kaleciler!H88)</f>
        <v/>
      </c>
      <c r="H86" t="str">
        <f>IF(Kaleciler!I88="","",Kaleciler!I88)</f>
        <v/>
      </c>
      <c r="I86" t="str">
        <f>IF(Kaleciler!A88="","",Kaleciler!J88)</f>
        <v/>
      </c>
      <c r="J86" t="str">
        <f>IF(Kaleciler!A88="","",Kaleciler!K88)</f>
        <v/>
      </c>
      <c r="K86" t="str">
        <f>IF(Kaleciler!L88="","",Kaleciler!L88)</f>
        <v/>
      </c>
      <c r="L86" t="str">
        <f>IF(Kaleciler!M88="","",Kaleciler!M88)</f>
        <v/>
      </c>
      <c r="M86" t="str">
        <f>IF(Kaleciler!N88="","",Kaleciler!N88)</f>
        <v/>
      </c>
      <c r="N86" t="str">
        <f>IF(Kaleciler!O88="","",Kaleciler!O88)</f>
        <v/>
      </c>
      <c r="O86" t="str">
        <f>IF(Kaleciler!P88="","",Kaleciler!P88)</f>
        <v/>
      </c>
      <c r="P86" t="str">
        <f>IF(Kaleciler!Q88="","",Kaleciler!Q88)</f>
        <v/>
      </c>
      <c r="Q86" t="str">
        <f>IF(Kaleciler!R88="","",Kaleciler!R88)</f>
        <v/>
      </c>
      <c r="R86" t="str">
        <f>IF(Kaleciler!S88="","",Kaleciler!S88)</f>
        <v/>
      </c>
      <c r="S86" t="str">
        <f>IF(Kaleciler!T88="","",Kaleciler!T88)</f>
        <v/>
      </c>
      <c r="T86" s="2" t="str">
        <f>IF(Kaleciler!U88="","",Kaleciler!U88)</f>
        <v/>
      </c>
      <c r="U86" t="s">
        <v>926</v>
      </c>
      <c r="V86">
        <v>88</v>
      </c>
      <c r="W86" t="str">
        <f ca="1">IF(AND($A86&lt;&gt;"",ISNUMBER($G86),$G86&gt;=TODAY(),$G86&lt;=EDATE(TODAY(),12)),COUNTIFS($G$2:$G$1001,"&gt;="&amp;TODAY(),$G$2:$G$1001,"&lt;"&amp;$G86,$A$2:$A$1001,"&lt;&gt;")+COUNTIFS($G$2:$G86,$G86,$A$2:$A86,"&lt;&gt;"),"")</f>
        <v/>
      </c>
      <c r="X86" t="str">
        <f>IF(AND($A86&lt;&gt;"",ISNUMBER($C86),$C86&gt;=DATE(2003,1,1)),COUNTIFS($C$2:$C86,"&gt;="&amp;DATE(2003,1,1),$A$2:$A86,"&lt;&gt;"),"")</f>
        <v/>
      </c>
    </row>
    <row r="87" spans="1:24">
      <c r="A87" t="str">
        <f>IF(Kaleciler!A89="","",Kaleciler!A89)</f>
        <v/>
      </c>
      <c r="B87" t="str">
        <f>IF(Kaleciler!B89="","",Kaleciler!B89)</f>
        <v/>
      </c>
      <c r="C87" s="2" t="str">
        <f>IF(Kaleciler!C89="","",Kaleciler!C89)</f>
        <v/>
      </c>
      <c r="D87" t="str">
        <f ca="1">IF(Kaleciler!D89="","",Kaleciler!D89)</f>
        <v/>
      </c>
      <c r="E87" t="str">
        <f>IF(Kaleciler!E89="","",Kaleciler!E89)</f>
        <v>Kaleci</v>
      </c>
      <c r="F87" t="str">
        <f>IF(Kaleciler!G89="","",Kaleciler!G89)</f>
        <v/>
      </c>
      <c r="G87" s="2" t="str">
        <f>IF(Kaleciler!H89="","",Kaleciler!H89)</f>
        <v/>
      </c>
      <c r="H87" t="str">
        <f>IF(Kaleciler!I89="","",Kaleciler!I89)</f>
        <v/>
      </c>
      <c r="I87" t="str">
        <f>IF(Kaleciler!A89="","",Kaleciler!J89)</f>
        <v/>
      </c>
      <c r="J87" t="str">
        <f>IF(Kaleciler!A89="","",Kaleciler!K89)</f>
        <v/>
      </c>
      <c r="K87" t="str">
        <f>IF(Kaleciler!L89="","",Kaleciler!L89)</f>
        <v/>
      </c>
      <c r="L87" t="str">
        <f>IF(Kaleciler!M89="","",Kaleciler!M89)</f>
        <v/>
      </c>
      <c r="M87" t="str">
        <f>IF(Kaleciler!N89="","",Kaleciler!N89)</f>
        <v/>
      </c>
      <c r="N87" t="str">
        <f>IF(Kaleciler!O89="","",Kaleciler!O89)</f>
        <v/>
      </c>
      <c r="O87" t="str">
        <f>IF(Kaleciler!P89="","",Kaleciler!P89)</f>
        <v/>
      </c>
      <c r="P87" t="str">
        <f>IF(Kaleciler!Q89="","",Kaleciler!Q89)</f>
        <v/>
      </c>
      <c r="Q87" t="str">
        <f>IF(Kaleciler!R89="","",Kaleciler!R89)</f>
        <v/>
      </c>
      <c r="R87" t="str">
        <f>IF(Kaleciler!S89="","",Kaleciler!S89)</f>
        <v/>
      </c>
      <c r="S87" t="str">
        <f>IF(Kaleciler!T89="","",Kaleciler!T89)</f>
        <v/>
      </c>
      <c r="T87" s="2" t="str">
        <f>IF(Kaleciler!U89="","",Kaleciler!U89)</f>
        <v/>
      </c>
      <c r="U87" t="s">
        <v>926</v>
      </c>
      <c r="V87">
        <v>89</v>
      </c>
      <c r="W87" t="str">
        <f ca="1">IF(AND($A87&lt;&gt;"",ISNUMBER($G87),$G87&gt;=TODAY(),$G87&lt;=EDATE(TODAY(),12)),COUNTIFS($G$2:$G$1001,"&gt;="&amp;TODAY(),$G$2:$G$1001,"&lt;"&amp;$G87,$A$2:$A$1001,"&lt;&gt;")+COUNTIFS($G$2:$G87,$G87,$A$2:$A87,"&lt;&gt;"),"")</f>
        <v/>
      </c>
      <c r="X87" t="str">
        <f>IF(AND($A87&lt;&gt;"",ISNUMBER($C87),$C87&gt;=DATE(2003,1,1)),COUNTIFS($C$2:$C87,"&gt;="&amp;DATE(2003,1,1),$A$2:$A87,"&lt;&gt;"),"")</f>
        <v/>
      </c>
    </row>
    <row r="88" spans="1:24">
      <c r="A88" t="str">
        <f>IF(Kaleciler!A90="","",Kaleciler!A90)</f>
        <v/>
      </c>
      <c r="B88" t="str">
        <f>IF(Kaleciler!B90="","",Kaleciler!B90)</f>
        <v/>
      </c>
      <c r="C88" s="2" t="str">
        <f>IF(Kaleciler!C90="","",Kaleciler!C90)</f>
        <v/>
      </c>
      <c r="D88" t="str">
        <f ca="1">IF(Kaleciler!D90="","",Kaleciler!D90)</f>
        <v/>
      </c>
      <c r="E88" t="str">
        <f>IF(Kaleciler!E90="","",Kaleciler!E90)</f>
        <v>Kaleci</v>
      </c>
      <c r="F88" t="str">
        <f>IF(Kaleciler!G90="","",Kaleciler!G90)</f>
        <v/>
      </c>
      <c r="G88" s="2" t="str">
        <f>IF(Kaleciler!H90="","",Kaleciler!H90)</f>
        <v/>
      </c>
      <c r="H88" t="str">
        <f>IF(Kaleciler!I90="","",Kaleciler!I90)</f>
        <v/>
      </c>
      <c r="I88" t="str">
        <f>IF(Kaleciler!A90="","",Kaleciler!J90)</f>
        <v/>
      </c>
      <c r="J88" t="str">
        <f>IF(Kaleciler!A90="","",Kaleciler!K90)</f>
        <v/>
      </c>
      <c r="K88" t="str">
        <f>IF(Kaleciler!L90="","",Kaleciler!L90)</f>
        <v/>
      </c>
      <c r="L88" t="str">
        <f>IF(Kaleciler!M90="","",Kaleciler!M90)</f>
        <v/>
      </c>
      <c r="M88" t="str">
        <f>IF(Kaleciler!N90="","",Kaleciler!N90)</f>
        <v/>
      </c>
      <c r="N88" t="str">
        <f>IF(Kaleciler!O90="","",Kaleciler!O90)</f>
        <v/>
      </c>
      <c r="O88" t="str">
        <f>IF(Kaleciler!P90="","",Kaleciler!P90)</f>
        <v/>
      </c>
      <c r="P88" t="str">
        <f>IF(Kaleciler!Q90="","",Kaleciler!Q90)</f>
        <v/>
      </c>
      <c r="Q88" t="str">
        <f>IF(Kaleciler!R90="","",Kaleciler!R90)</f>
        <v/>
      </c>
      <c r="R88" t="str">
        <f>IF(Kaleciler!S90="","",Kaleciler!S90)</f>
        <v/>
      </c>
      <c r="S88" t="str">
        <f>IF(Kaleciler!T90="","",Kaleciler!T90)</f>
        <v/>
      </c>
      <c r="T88" s="2" t="str">
        <f>IF(Kaleciler!U90="","",Kaleciler!U90)</f>
        <v/>
      </c>
      <c r="U88" t="s">
        <v>926</v>
      </c>
      <c r="V88">
        <v>90</v>
      </c>
      <c r="W88" t="str">
        <f ca="1">IF(AND($A88&lt;&gt;"",ISNUMBER($G88),$G88&gt;=TODAY(),$G88&lt;=EDATE(TODAY(),12)),COUNTIFS($G$2:$G$1001,"&gt;="&amp;TODAY(),$G$2:$G$1001,"&lt;"&amp;$G88,$A$2:$A$1001,"&lt;&gt;")+COUNTIFS($G$2:$G88,$G88,$A$2:$A88,"&lt;&gt;"),"")</f>
        <v/>
      </c>
      <c r="X88" t="str">
        <f>IF(AND($A88&lt;&gt;"",ISNUMBER($C88),$C88&gt;=DATE(2003,1,1)),COUNTIFS($C$2:$C88,"&gt;="&amp;DATE(2003,1,1),$A$2:$A88,"&lt;&gt;"),"")</f>
        <v/>
      </c>
    </row>
    <row r="89" spans="1:24">
      <c r="A89" t="str">
        <f>IF(Kaleciler!A91="","",Kaleciler!A91)</f>
        <v/>
      </c>
      <c r="B89" t="str">
        <f>IF(Kaleciler!B91="","",Kaleciler!B91)</f>
        <v/>
      </c>
      <c r="C89" s="2" t="str">
        <f>IF(Kaleciler!C91="","",Kaleciler!C91)</f>
        <v/>
      </c>
      <c r="D89" t="str">
        <f ca="1">IF(Kaleciler!D91="","",Kaleciler!D91)</f>
        <v/>
      </c>
      <c r="E89" t="str">
        <f>IF(Kaleciler!E91="","",Kaleciler!E91)</f>
        <v>Kaleci</v>
      </c>
      <c r="F89" t="str">
        <f>IF(Kaleciler!G91="","",Kaleciler!G91)</f>
        <v/>
      </c>
      <c r="G89" s="2" t="str">
        <f>IF(Kaleciler!H91="","",Kaleciler!H91)</f>
        <v/>
      </c>
      <c r="H89" t="str">
        <f>IF(Kaleciler!I91="","",Kaleciler!I91)</f>
        <v/>
      </c>
      <c r="I89" t="str">
        <f>IF(Kaleciler!A91="","",Kaleciler!J91)</f>
        <v/>
      </c>
      <c r="J89" t="str">
        <f>IF(Kaleciler!A91="","",Kaleciler!K91)</f>
        <v/>
      </c>
      <c r="K89" t="str">
        <f>IF(Kaleciler!L91="","",Kaleciler!L91)</f>
        <v/>
      </c>
      <c r="L89" t="str">
        <f>IF(Kaleciler!M91="","",Kaleciler!M91)</f>
        <v/>
      </c>
      <c r="M89" t="str">
        <f>IF(Kaleciler!N91="","",Kaleciler!N91)</f>
        <v/>
      </c>
      <c r="N89" t="str">
        <f>IF(Kaleciler!O91="","",Kaleciler!O91)</f>
        <v/>
      </c>
      <c r="O89" t="str">
        <f>IF(Kaleciler!P91="","",Kaleciler!P91)</f>
        <v/>
      </c>
      <c r="P89" t="str">
        <f>IF(Kaleciler!Q91="","",Kaleciler!Q91)</f>
        <v/>
      </c>
      <c r="Q89" t="str">
        <f>IF(Kaleciler!R91="","",Kaleciler!R91)</f>
        <v/>
      </c>
      <c r="R89" t="str">
        <f>IF(Kaleciler!S91="","",Kaleciler!S91)</f>
        <v/>
      </c>
      <c r="S89" t="str">
        <f>IF(Kaleciler!T91="","",Kaleciler!T91)</f>
        <v/>
      </c>
      <c r="T89" s="2" t="str">
        <f>IF(Kaleciler!U91="","",Kaleciler!U91)</f>
        <v/>
      </c>
      <c r="U89" t="s">
        <v>926</v>
      </c>
      <c r="V89">
        <v>91</v>
      </c>
      <c r="W89" t="str">
        <f ca="1">IF(AND($A89&lt;&gt;"",ISNUMBER($G89),$G89&gt;=TODAY(),$G89&lt;=EDATE(TODAY(),12)),COUNTIFS($G$2:$G$1001,"&gt;="&amp;TODAY(),$G$2:$G$1001,"&lt;"&amp;$G89,$A$2:$A$1001,"&lt;&gt;")+COUNTIFS($G$2:$G89,$G89,$A$2:$A89,"&lt;&gt;"),"")</f>
        <v/>
      </c>
      <c r="X89" t="str">
        <f>IF(AND($A89&lt;&gt;"",ISNUMBER($C89),$C89&gt;=DATE(2003,1,1)),COUNTIFS($C$2:$C89,"&gt;="&amp;DATE(2003,1,1),$A$2:$A89,"&lt;&gt;"),"")</f>
        <v/>
      </c>
    </row>
    <row r="90" spans="1:24">
      <c r="A90" t="str">
        <f>IF(Kaleciler!A92="","",Kaleciler!A92)</f>
        <v/>
      </c>
      <c r="B90" t="str">
        <f>IF(Kaleciler!B92="","",Kaleciler!B92)</f>
        <v/>
      </c>
      <c r="C90" s="2" t="str">
        <f>IF(Kaleciler!C92="","",Kaleciler!C92)</f>
        <v/>
      </c>
      <c r="D90" t="str">
        <f ca="1">IF(Kaleciler!D92="","",Kaleciler!D92)</f>
        <v/>
      </c>
      <c r="E90" t="str">
        <f>IF(Kaleciler!E92="","",Kaleciler!E92)</f>
        <v>Kaleci</v>
      </c>
      <c r="F90" t="str">
        <f>IF(Kaleciler!G92="","",Kaleciler!G92)</f>
        <v/>
      </c>
      <c r="G90" s="2" t="str">
        <f>IF(Kaleciler!H92="","",Kaleciler!H92)</f>
        <v/>
      </c>
      <c r="H90" t="str">
        <f>IF(Kaleciler!I92="","",Kaleciler!I92)</f>
        <v/>
      </c>
      <c r="I90" t="str">
        <f>IF(Kaleciler!A92="","",Kaleciler!J92)</f>
        <v/>
      </c>
      <c r="J90" t="str">
        <f>IF(Kaleciler!A92="","",Kaleciler!K92)</f>
        <v/>
      </c>
      <c r="K90" t="str">
        <f>IF(Kaleciler!L92="","",Kaleciler!L92)</f>
        <v/>
      </c>
      <c r="L90" t="str">
        <f>IF(Kaleciler!M92="","",Kaleciler!M92)</f>
        <v/>
      </c>
      <c r="M90" t="str">
        <f>IF(Kaleciler!N92="","",Kaleciler!N92)</f>
        <v/>
      </c>
      <c r="N90" t="str">
        <f>IF(Kaleciler!O92="","",Kaleciler!O92)</f>
        <v/>
      </c>
      <c r="O90" t="str">
        <f>IF(Kaleciler!P92="","",Kaleciler!P92)</f>
        <v/>
      </c>
      <c r="P90" t="str">
        <f>IF(Kaleciler!Q92="","",Kaleciler!Q92)</f>
        <v/>
      </c>
      <c r="Q90" t="str">
        <f>IF(Kaleciler!R92="","",Kaleciler!R92)</f>
        <v/>
      </c>
      <c r="R90" t="str">
        <f>IF(Kaleciler!S92="","",Kaleciler!S92)</f>
        <v/>
      </c>
      <c r="S90" t="str">
        <f>IF(Kaleciler!T92="","",Kaleciler!T92)</f>
        <v/>
      </c>
      <c r="T90" s="2" t="str">
        <f>IF(Kaleciler!U92="","",Kaleciler!U92)</f>
        <v/>
      </c>
      <c r="U90" t="s">
        <v>926</v>
      </c>
      <c r="V90">
        <v>92</v>
      </c>
      <c r="W90" t="str">
        <f ca="1">IF(AND($A90&lt;&gt;"",ISNUMBER($G90),$G90&gt;=TODAY(),$G90&lt;=EDATE(TODAY(),12)),COUNTIFS($G$2:$G$1001,"&gt;="&amp;TODAY(),$G$2:$G$1001,"&lt;"&amp;$G90,$A$2:$A$1001,"&lt;&gt;")+COUNTIFS($G$2:$G90,$G90,$A$2:$A90,"&lt;&gt;"),"")</f>
        <v/>
      </c>
      <c r="X90" t="str">
        <f>IF(AND($A90&lt;&gt;"",ISNUMBER($C90),$C90&gt;=DATE(2003,1,1)),COUNTIFS($C$2:$C90,"&gt;="&amp;DATE(2003,1,1),$A$2:$A90,"&lt;&gt;"),"")</f>
        <v/>
      </c>
    </row>
    <row r="91" spans="1:24">
      <c r="A91" t="str">
        <f>IF(Kaleciler!A93="","",Kaleciler!A93)</f>
        <v/>
      </c>
      <c r="B91" t="str">
        <f>IF(Kaleciler!B93="","",Kaleciler!B93)</f>
        <v/>
      </c>
      <c r="C91" s="2" t="str">
        <f>IF(Kaleciler!C93="","",Kaleciler!C93)</f>
        <v/>
      </c>
      <c r="D91" t="str">
        <f ca="1">IF(Kaleciler!D93="","",Kaleciler!D93)</f>
        <v/>
      </c>
      <c r="E91" t="str">
        <f>IF(Kaleciler!E93="","",Kaleciler!E93)</f>
        <v>Kaleci</v>
      </c>
      <c r="F91" t="str">
        <f>IF(Kaleciler!G93="","",Kaleciler!G93)</f>
        <v/>
      </c>
      <c r="G91" s="2" t="str">
        <f>IF(Kaleciler!H93="","",Kaleciler!H93)</f>
        <v/>
      </c>
      <c r="H91" t="str">
        <f>IF(Kaleciler!I93="","",Kaleciler!I93)</f>
        <v/>
      </c>
      <c r="I91" t="str">
        <f>IF(Kaleciler!A93="","",Kaleciler!J93)</f>
        <v/>
      </c>
      <c r="J91" t="str">
        <f>IF(Kaleciler!A93="","",Kaleciler!K93)</f>
        <v/>
      </c>
      <c r="K91" t="str">
        <f>IF(Kaleciler!L93="","",Kaleciler!L93)</f>
        <v/>
      </c>
      <c r="L91" t="str">
        <f>IF(Kaleciler!M93="","",Kaleciler!M93)</f>
        <v/>
      </c>
      <c r="M91" t="str">
        <f>IF(Kaleciler!N93="","",Kaleciler!N93)</f>
        <v/>
      </c>
      <c r="N91" t="str">
        <f>IF(Kaleciler!O93="","",Kaleciler!O93)</f>
        <v/>
      </c>
      <c r="O91" t="str">
        <f>IF(Kaleciler!P93="","",Kaleciler!P93)</f>
        <v/>
      </c>
      <c r="P91" t="str">
        <f>IF(Kaleciler!Q93="","",Kaleciler!Q93)</f>
        <v/>
      </c>
      <c r="Q91" t="str">
        <f>IF(Kaleciler!R93="","",Kaleciler!R93)</f>
        <v/>
      </c>
      <c r="R91" t="str">
        <f>IF(Kaleciler!S93="","",Kaleciler!S93)</f>
        <v/>
      </c>
      <c r="S91" t="str">
        <f>IF(Kaleciler!T93="","",Kaleciler!T93)</f>
        <v/>
      </c>
      <c r="T91" s="2" t="str">
        <f>IF(Kaleciler!U93="","",Kaleciler!U93)</f>
        <v/>
      </c>
      <c r="U91" t="s">
        <v>926</v>
      </c>
      <c r="V91">
        <v>93</v>
      </c>
      <c r="W91" t="str">
        <f ca="1">IF(AND($A91&lt;&gt;"",ISNUMBER($G91),$G91&gt;=TODAY(),$G91&lt;=EDATE(TODAY(),12)),COUNTIFS($G$2:$G$1001,"&gt;="&amp;TODAY(),$G$2:$G$1001,"&lt;"&amp;$G91,$A$2:$A$1001,"&lt;&gt;")+COUNTIFS($G$2:$G91,$G91,$A$2:$A91,"&lt;&gt;"),"")</f>
        <v/>
      </c>
      <c r="X91" t="str">
        <f>IF(AND($A91&lt;&gt;"",ISNUMBER($C91),$C91&gt;=DATE(2003,1,1)),COUNTIFS($C$2:$C91,"&gt;="&amp;DATE(2003,1,1),$A$2:$A91,"&lt;&gt;"),"")</f>
        <v/>
      </c>
    </row>
    <row r="92" spans="1:24">
      <c r="A92" t="str">
        <f>IF(Kaleciler!A94="","",Kaleciler!A94)</f>
        <v/>
      </c>
      <c r="B92" t="str">
        <f>IF(Kaleciler!B94="","",Kaleciler!B94)</f>
        <v/>
      </c>
      <c r="C92" s="2" t="str">
        <f>IF(Kaleciler!C94="","",Kaleciler!C94)</f>
        <v/>
      </c>
      <c r="D92" t="str">
        <f ca="1">IF(Kaleciler!D94="","",Kaleciler!D94)</f>
        <v/>
      </c>
      <c r="E92" t="str">
        <f>IF(Kaleciler!E94="","",Kaleciler!E94)</f>
        <v>Kaleci</v>
      </c>
      <c r="F92" t="str">
        <f>IF(Kaleciler!G94="","",Kaleciler!G94)</f>
        <v/>
      </c>
      <c r="G92" s="2" t="str">
        <f>IF(Kaleciler!H94="","",Kaleciler!H94)</f>
        <v/>
      </c>
      <c r="H92" t="str">
        <f>IF(Kaleciler!I94="","",Kaleciler!I94)</f>
        <v/>
      </c>
      <c r="I92" t="str">
        <f>IF(Kaleciler!A94="","",Kaleciler!J94)</f>
        <v/>
      </c>
      <c r="J92" t="str">
        <f>IF(Kaleciler!A94="","",Kaleciler!K94)</f>
        <v/>
      </c>
      <c r="K92" t="str">
        <f>IF(Kaleciler!L94="","",Kaleciler!L94)</f>
        <v/>
      </c>
      <c r="L92" t="str">
        <f>IF(Kaleciler!M94="","",Kaleciler!M94)</f>
        <v/>
      </c>
      <c r="M92" t="str">
        <f>IF(Kaleciler!N94="","",Kaleciler!N94)</f>
        <v/>
      </c>
      <c r="N92" t="str">
        <f>IF(Kaleciler!O94="","",Kaleciler!O94)</f>
        <v/>
      </c>
      <c r="O92" t="str">
        <f>IF(Kaleciler!P94="","",Kaleciler!P94)</f>
        <v/>
      </c>
      <c r="P92" t="str">
        <f>IF(Kaleciler!Q94="","",Kaleciler!Q94)</f>
        <v/>
      </c>
      <c r="Q92" t="str">
        <f>IF(Kaleciler!R94="","",Kaleciler!R94)</f>
        <v/>
      </c>
      <c r="R92" t="str">
        <f>IF(Kaleciler!S94="","",Kaleciler!S94)</f>
        <v/>
      </c>
      <c r="S92" t="str">
        <f>IF(Kaleciler!T94="","",Kaleciler!T94)</f>
        <v/>
      </c>
      <c r="T92" s="2" t="str">
        <f>IF(Kaleciler!U94="","",Kaleciler!U94)</f>
        <v/>
      </c>
      <c r="U92" t="s">
        <v>926</v>
      </c>
      <c r="V92">
        <v>94</v>
      </c>
      <c r="W92" t="str">
        <f ca="1">IF(AND($A92&lt;&gt;"",ISNUMBER($G92),$G92&gt;=TODAY(),$G92&lt;=EDATE(TODAY(),12)),COUNTIFS($G$2:$G$1001,"&gt;="&amp;TODAY(),$G$2:$G$1001,"&lt;"&amp;$G92,$A$2:$A$1001,"&lt;&gt;")+COUNTIFS($G$2:$G92,$G92,$A$2:$A92,"&lt;&gt;"),"")</f>
        <v/>
      </c>
      <c r="X92" t="str">
        <f>IF(AND($A92&lt;&gt;"",ISNUMBER($C92),$C92&gt;=DATE(2003,1,1)),COUNTIFS($C$2:$C92,"&gt;="&amp;DATE(2003,1,1),$A$2:$A92,"&lt;&gt;"),"")</f>
        <v/>
      </c>
    </row>
    <row r="93" spans="1:24">
      <c r="A93" t="str">
        <f>IF(Kaleciler!A95="","",Kaleciler!A95)</f>
        <v/>
      </c>
      <c r="B93" t="str">
        <f>IF(Kaleciler!B95="","",Kaleciler!B95)</f>
        <v/>
      </c>
      <c r="C93" s="2" t="str">
        <f>IF(Kaleciler!C95="","",Kaleciler!C95)</f>
        <v/>
      </c>
      <c r="D93" t="str">
        <f ca="1">IF(Kaleciler!D95="","",Kaleciler!D95)</f>
        <v/>
      </c>
      <c r="E93" t="str">
        <f>IF(Kaleciler!E95="","",Kaleciler!E95)</f>
        <v>Kaleci</v>
      </c>
      <c r="F93" t="str">
        <f>IF(Kaleciler!G95="","",Kaleciler!G95)</f>
        <v/>
      </c>
      <c r="G93" s="2" t="str">
        <f>IF(Kaleciler!H95="","",Kaleciler!H95)</f>
        <v/>
      </c>
      <c r="H93" t="str">
        <f>IF(Kaleciler!I95="","",Kaleciler!I95)</f>
        <v/>
      </c>
      <c r="I93" t="str">
        <f>IF(Kaleciler!A95="","",Kaleciler!J95)</f>
        <v/>
      </c>
      <c r="J93" t="str">
        <f>IF(Kaleciler!A95="","",Kaleciler!K95)</f>
        <v/>
      </c>
      <c r="K93" t="str">
        <f>IF(Kaleciler!L95="","",Kaleciler!L95)</f>
        <v/>
      </c>
      <c r="L93" t="str">
        <f>IF(Kaleciler!M95="","",Kaleciler!M95)</f>
        <v/>
      </c>
      <c r="M93" t="str">
        <f>IF(Kaleciler!N95="","",Kaleciler!N95)</f>
        <v/>
      </c>
      <c r="N93" t="str">
        <f>IF(Kaleciler!O95="","",Kaleciler!O95)</f>
        <v/>
      </c>
      <c r="O93" t="str">
        <f>IF(Kaleciler!P95="","",Kaleciler!P95)</f>
        <v/>
      </c>
      <c r="P93" t="str">
        <f>IF(Kaleciler!Q95="","",Kaleciler!Q95)</f>
        <v/>
      </c>
      <c r="Q93" t="str">
        <f>IF(Kaleciler!R95="","",Kaleciler!R95)</f>
        <v/>
      </c>
      <c r="R93" t="str">
        <f>IF(Kaleciler!S95="","",Kaleciler!S95)</f>
        <v/>
      </c>
      <c r="S93" t="str">
        <f>IF(Kaleciler!T95="","",Kaleciler!T95)</f>
        <v/>
      </c>
      <c r="T93" s="2" t="str">
        <f>IF(Kaleciler!U95="","",Kaleciler!U95)</f>
        <v/>
      </c>
      <c r="U93" t="s">
        <v>926</v>
      </c>
      <c r="V93">
        <v>95</v>
      </c>
      <c r="W93" t="str">
        <f ca="1">IF(AND($A93&lt;&gt;"",ISNUMBER($G93),$G93&gt;=TODAY(),$G93&lt;=EDATE(TODAY(),12)),COUNTIFS($G$2:$G$1001,"&gt;="&amp;TODAY(),$G$2:$G$1001,"&lt;"&amp;$G93,$A$2:$A$1001,"&lt;&gt;")+COUNTIFS($G$2:$G93,$G93,$A$2:$A93,"&lt;&gt;"),"")</f>
        <v/>
      </c>
      <c r="X93" t="str">
        <f>IF(AND($A93&lt;&gt;"",ISNUMBER($C93),$C93&gt;=DATE(2003,1,1)),COUNTIFS($C$2:$C93,"&gt;="&amp;DATE(2003,1,1),$A$2:$A93,"&lt;&gt;"),"")</f>
        <v/>
      </c>
    </row>
    <row r="94" spans="1:24">
      <c r="A94" t="str">
        <f>IF(Kaleciler!A96="","",Kaleciler!A96)</f>
        <v/>
      </c>
      <c r="B94" t="str">
        <f>IF(Kaleciler!B96="","",Kaleciler!B96)</f>
        <v/>
      </c>
      <c r="C94" s="2" t="str">
        <f>IF(Kaleciler!C96="","",Kaleciler!C96)</f>
        <v/>
      </c>
      <c r="D94" t="str">
        <f ca="1">IF(Kaleciler!D96="","",Kaleciler!D96)</f>
        <v/>
      </c>
      <c r="E94" t="str">
        <f>IF(Kaleciler!E96="","",Kaleciler!E96)</f>
        <v>Kaleci</v>
      </c>
      <c r="F94" t="str">
        <f>IF(Kaleciler!G96="","",Kaleciler!G96)</f>
        <v/>
      </c>
      <c r="G94" s="2" t="str">
        <f>IF(Kaleciler!H96="","",Kaleciler!H96)</f>
        <v/>
      </c>
      <c r="H94" t="str">
        <f>IF(Kaleciler!I96="","",Kaleciler!I96)</f>
        <v/>
      </c>
      <c r="I94" t="str">
        <f>IF(Kaleciler!A96="","",Kaleciler!J96)</f>
        <v/>
      </c>
      <c r="J94" t="str">
        <f>IF(Kaleciler!A96="","",Kaleciler!K96)</f>
        <v/>
      </c>
      <c r="K94" t="str">
        <f>IF(Kaleciler!L96="","",Kaleciler!L96)</f>
        <v/>
      </c>
      <c r="L94" t="str">
        <f>IF(Kaleciler!M96="","",Kaleciler!M96)</f>
        <v/>
      </c>
      <c r="M94" t="str">
        <f>IF(Kaleciler!N96="","",Kaleciler!N96)</f>
        <v/>
      </c>
      <c r="N94" t="str">
        <f>IF(Kaleciler!O96="","",Kaleciler!O96)</f>
        <v/>
      </c>
      <c r="O94" t="str">
        <f>IF(Kaleciler!P96="","",Kaleciler!P96)</f>
        <v/>
      </c>
      <c r="P94" t="str">
        <f>IF(Kaleciler!Q96="","",Kaleciler!Q96)</f>
        <v/>
      </c>
      <c r="Q94" t="str">
        <f>IF(Kaleciler!R96="","",Kaleciler!R96)</f>
        <v/>
      </c>
      <c r="R94" t="str">
        <f>IF(Kaleciler!S96="","",Kaleciler!S96)</f>
        <v/>
      </c>
      <c r="S94" t="str">
        <f>IF(Kaleciler!T96="","",Kaleciler!T96)</f>
        <v/>
      </c>
      <c r="T94" s="2" t="str">
        <f>IF(Kaleciler!U96="","",Kaleciler!U96)</f>
        <v/>
      </c>
      <c r="U94" t="s">
        <v>926</v>
      </c>
      <c r="V94">
        <v>96</v>
      </c>
      <c r="W94" t="str">
        <f ca="1">IF(AND($A94&lt;&gt;"",ISNUMBER($G94),$G94&gt;=TODAY(),$G94&lt;=EDATE(TODAY(),12)),COUNTIFS($G$2:$G$1001,"&gt;="&amp;TODAY(),$G$2:$G$1001,"&lt;"&amp;$G94,$A$2:$A$1001,"&lt;&gt;")+COUNTIFS($G$2:$G94,$G94,$A$2:$A94,"&lt;&gt;"),"")</f>
        <v/>
      </c>
      <c r="X94" t="str">
        <f>IF(AND($A94&lt;&gt;"",ISNUMBER($C94),$C94&gt;=DATE(2003,1,1)),COUNTIFS($C$2:$C94,"&gt;="&amp;DATE(2003,1,1),$A$2:$A94,"&lt;&gt;"),"")</f>
        <v/>
      </c>
    </row>
    <row r="95" spans="1:24">
      <c r="A95" t="str">
        <f>IF(Kaleciler!A97="","",Kaleciler!A97)</f>
        <v/>
      </c>
      <c r="B95" t="str">
        <f>IF(Kaleciler!B97="","",Kaleciler!B97)</f>
        <v/>
      </c>
      <c r="C95" s="2" t="str">
        <f>IF(Kaleciler!C97="","",Kaleciler!C97)</f>
        <v/>
      </c>
      <c r="D95" t="str">
        <f ca="1">IF(Kaleciler!D97="","",Kaleciler!D97)</f>
        <v/>
      </c>
      <c r="E95" t="str">
        <f>IF(Kaleciler!E97="","",Kaleciler!E97)</f>
        <v>Kaleci</v>
      </c>
      <c r="F95" t="str">
        <f>IF(Kaleciler!G97="","",Kaleciler!G97)</f>
        <v/>
      </c>
      <c r="G95" s="2" t="str">
        <f>IF(Kaleciler!H97="","",Kaleciler!H97)</f>
        <v/>
      </c>
      <c r="H95" t="str">
        <f>IF(Kaleciler!I97="","",Kaleciler!I97)</f>
        <v/>
      </c>
      <c r="I95" t="str">
        <f>IF(Kaleciler!A97="","",Kaleciler!J97)</f>
        <v/>
      </c>
      <c r="J95" t="str">
        <f>IF(Kaleciler!A97="","",Kaleciler!K97)</f>
        <v/>
      </c>
      <c r="K95" t="str">
        <f>IF(Kaleciler!L97="","",Kaleciler!L97)</f>
        <v/>
      </c>
      <c r="L95" t="str">
        <f>IF(Kaleciler!M97="","",Kaleciler!M97)</f>
        <v/>
      </c>
      <c r="M95" t="str">
        <f>IF(Kaleciler!N97="","",Kaleciler!N97)</f>
        <v/>
      </c>
      <c r="N95" t="str">
        <f>IF(Kaleciler!O97="","",Kaleciler!O97)</f>
        <v/>
      </c>
      <c r="O95" t="str">
        <f>IF(Kaleciler!P97="","",Kaleciler!P97)</f>
        <v/>
      </c>
      <c r="P95" t="str">
        <f>IF(Kaleciler!Q97="","",Kaleciler!Q97)</f>
        <v/>
      </c>
      <c r="Q95" t="str">
        <f>IF(Kaleciler!R97="","",Kaleciler!R97)</f>
        <v/>
      </c>
      <c r="R95" t="str">
        <f>IF(Kaleciler!S97="","",Kaleciler!S97)</f>
        <v/>
      </c>
      <c r="S95" t="str">
        <f>IF(Kaleciler!T97="","",Kaleciler!T97)</f>
        <v/>
      </c>
      <c r="T95" s="2" t="str">
        <f>IF(Kaleciler!U97="","",Kaleciler!U97)</f>
        <v/>
      </c>
      <c r="U95" t="s">
        <v>926</v>
      </c>
      <c r="V95">
        <v>97</v>
      </c>
      <c r="W95" t="str">
        <f ca="1">IF(AND($A95&lt;&gt;"",ISNUMBER($G95),$G95&gt;=TODAY(),$G95&lt;=EDATE(TODAY(),12)),COUNTIFS($G$2:$G$1001,"&gt;="&amp;TODAY(),$G$2:$G$1001,"&lt;"&amp;$G95,$A$2:$A$1001,"&lt;&gt;")+COUNTIFS($G$2:$G95,$G95,$A$2:$A95,"&lt;&gt;"),"")</f>
        <v/>
      </c>
      <c r="X95" t="str">
        <f>IF(AND($A95&lt;&gt;"",ISNUMBER($C95),$C95&gt;=DATE(2003,1,1)),COUNTIFS($C$2:$C95,"&gt;="&amp;DATE(2003,1,1),$A$2:$A95,"&lt;&gt;"),"")</f>
        <v/>
      </c>
    </row>
    <row r="96" spans="1:24">
      <c r="A96" t="str">
        <f>IF(Kaleciler!A98="","",Kaleciler!A98)</f>
        <v/>
      </c>
      <c r="B96" t="str">
        <f>IF(Kaleciler!B98="","",Kaleciler!B98)</f>
        <v/>
      </c>
      <c r="C96" s="2" t="str">
        <f>IF(Kaleciler!C98="","",Kaleciler!C98)</f>
        <v/>
      </c>
      <c r="D96" t="str">
        <f ca="1">IF(Kaleciler!D98="","",Kaleciler!D98)</f>
        <v/>
      </c>
      <c r="E96" t="str">
        <f>IF(Kaleciler!E98="","",Kaleciler!E98)</f>
        <v>Kaleci</v>
      </c>
      <c r="F96" t="str">
        <f>IF(Kaleciler!G98="","",Kaleciler!G98)</f>
        <v/>
      </c>
      <c r="G96" s="2" t="str">
        <f>IF(Kaleciler!H98="","",Kaleciler!H98)</f>
        <v/>
      </c>
      <c r="H96" t="str">
        <f>IF(Kaleciler!I98="","",Kaleciler!I98)</f>
        <v/>
      </c>
      <c r="I96" t="str">
        <f>IF(Kaleciler!A98="","",Kaleciler!J98)</f>
        <v/>
      </c>
      <c r="J96" t="str">
        <f>IF(Kaleciler!A98="","",Kaleciler!K98)</f>
        <v/>
      </c>
      <c r="K96" t="str">
        <f>IF(Kaleciler!L98="","",Kaleciler!L98)</f>
        <v/>
      </c>
      <c r="L96" t="str">
        <f>IF(Kaleciler!M98="","",Kaleciler!M98)</f>
        <v/>
      </c>
      <c r="M96" t="str">
        <f>IF(Kaleciler!N98="","",Kaleciler!N98)</f>
        <v/>
      </c>
      <c r="N96" t="str">
        <f>IF(Kaleciler!O98="","",Kaleciler!O98)</f>
        <v/>
      </c>
      <c r="O96" t="str">
        <f>IF(Kaleciler!P98="","",Kaleciler!P98)</f>
        <v/>
      </c>
      <c r="P96" t="str">
        <f>IF(Kaleciler!Q98="","",Kaleciler!Q98)</f>
        <v/>
      </c>
      <c r="Q96" t="str">
        <f>IF(Kaleciler!R98="","",Kaleciler!R98)</f>
        <v/>
      </c>
      <c r="R96" t="str">
        <f>IF(Kaleciler!S98="","",Kaleciler!S98)</f>
        <v/>
      </c>
      <c r="S96" t="str">
        <f>IF(Kaleciler!T98="","",Kaleciler!T98)</f>
        <v/>
      </c>
      <c r="T96" s="2" t="str">
        <f>IF(Kaleciler!U98="","",Kaleciler!U98)</f>
        <v/>
      </c>
      <c r="U96" t="s">
        <v>926</v>
      </c>
      <c r="V96">
        <v>98</v>
      </c>
      <c r="W96" t="str">
        <f ca="1">IF(AND($A96&lt;&gt;"",ISNUMBER($G96),$G96&gt;=TODAY(),$G96&lt;=EDATE(TODAY(),12)),COUNTIFS($G$2:$G$1001,"&gt;="&amp;TODAY(),$G$2:$G$1001,"&lt;"&amp;$G96,$A$2:$A$1001,"&lt;&gt;")+COUNTIFS($G$2:$G96,$G96,$A$2:$A96,"&lt;&gt;"),"")</f>
        <v/>
      </c>
      <c r="X96" t="str">
        <f>IF(AND($A96&lt;&gt;"",ISNUMBER($C96),$C96&gt;=DATE(2003,1,1)),COUNTIFS($C$2:$C96,"&gt;="&amp;DATE(2003,1,1),$A$2:$A96,"&lt;&gt;"),"")</f>
        <v/>
      </c>
    </row>
    <row r="97" spans="1:24">
      <c r="A97" t="str">
        <f>IF(Kaleciler!A99="","",Kaleciler!A99)</f>
        <v/>
      </c>
      <c r="B97" t="str">
        <f>IF(Kaleciler!B99="","",Kaleciler!B99)</f>
        <v/>
      </c>
      <c r="C97" s="2" t="str">
        <f>IF(Kaleciler!C99="","",Kaleciler!C99)</f>
        <v/>
      </c>
      <c r="D97" t="str">
        <f ca="1">IF(Kaleciler!D99="","",Kaleciler!D99)</f>
        <v/>
      </c>
      <c r="E97" t="str">
        <f>IF(Kaleciler!E99="","",Kaleciler!E99)</f>
        <v>Kaleci</v>
      </c>
      <c r="F97" t="str">
        <f>IF(Kaleciler!G99="","",Kaleciler!G99)</f>
        <v/>
      </c>
      <c r="G97" s="2" t="str">
        <f>IF(Kaleciler!H99="","",Kaleciler!H99)</f>
        <v/>
      </c>
      <c r="H97" t="str">
        <f>IF(Kaleciler!I99="","",Kaleciler!I99)</f>
        <v/>
      </c>
      <c r="I97" t="str">
        <f>IF(Kaleciler!A99="","",Kaleciler!J99)</f>
        <v/>
      </c>
      <c r="J97" t="str">
        <f>IF(Kaleciler!A99="","",Kaleciler!K99)</f>
        <v/>
      </c>
      <c r="K97" t="str">
        <f>IF(Kaleciler!L99="","",Kaleciler!L99)</f>
        <v/>
      </c>
      <c r="L97" t="str">
        <f>IF(Kaleciler!M99="","",Kaleciler!M99)</f>
        <v/>
      </c>
      <c r="M97" t="str">
        <f>IF(Kaleciler!N99="","",Kaleciler!N99)</f>
        <v/>
      </c>
      <c r="N97" t="str">
        <f>IF(Kaleciler!O99="","",Kaleciler!O99)</f>
        <v/>
      </c>
      <c r="O97" t="str">
        <f>IF(Kaleciler!P99="","",Kaleciler!P99)</f>
        <v/>
      </c>
      <c r="P97" t="str">
        <f>IF(Kaleciler!Q99="","",Kaleciler!Q99)</f>
        <v/>
      </c>
      <c r="Q97" t="str">
        <f>IF(Kaleciler!R99="","",Kaleciler!R99)</f>
        <v/>
      </c>
      <c r="R97" t="str">
        <f>IF(Kaleciler!S99="","",Kaleciler!S99)</f>
        <v/>
      </c>
      <c r="S97" t="str">
        <f>IF(Kaleciler!T99="","",Kaleciler!T99)</f>
        <v/>
      </c>
      <c r="T97" s="2" t="str">
        <f>IF(Kaleciler!U99="","",Kaleciler!U99)</f>
        <v/>
      </c>
      <c r="U97" t="s">
        <v>926</v>
      </c>
      <c r="V97">
        <v>99</v>
      </c>
      <c r="W97" t="str">
        <f ca="1">IF(AND($A97&lt;&gt;"",ISNUMBER($G97),$G97&gt;=TODAY(),$G97&lt;=EDATE(TODAY(),12)),COUNTIFS($G$2:$G$1001,"&gt;="&amp;TODAY(),$G$2:$G$1001,"&lt;"&amp;$G97,$A$2:$A$1001,"&lt;&gt;")+COUNTIFS($G$2:$G97,$G97,$A$2:$A97,"&lt;&gt;"),"")</f>
        <v/>
      </c>
      <c r="X97" t="str">
        <f>IF(AND($A97&lt;&gt;"",ISNUMBER($C97),$C97&gt;=DATE(2003,1,1)),COUNTIFS($C$2:$C97,"&gt;="&amp;DATE(2003,1,1),$A$2:$A97,"&lt;&gt;"),"")</f>
        <v/>
      </c>
    </row>
    <row r="98" spans="1:24">
      <c r="A98" t="str">
        <f>IF(Kaleciler!A100="","",Kaleciler!A100)</f>
        <v/>
      </c>
      <c r="B98" t="str">
        <f>IF(Kaleciler!B100="","",Kaleciler!B100)</f>
        <v/>
      </c>
      <c r="C98" s="2" t="str">
        <f>IF(Kaleciler!C100="","",Kaleciler!C100)</f>
        <v/>
      </c>
      <c r="D98" t="str">
        <f ca="1">IF(Kaleciler!D100="","",Kaleciler!D100)</f>
        <v/>
      </c>
      <c r="E98" t="str">
        <f>IF(Kaleciler!E100="","",Kaleciler!E100)</f>
        <v>Kaleci</v>
      </c>
      <c r="F98" t="str">
        <f>IF(Kaleciler!G100="","",Kaleciler!G100)</f>
        <v/>
      </c>
      <c r="G98" s="2" t="str">
        <f>IF(Kaleciler!H100="","",Kaleciler!H100)</f>
        <v/>
      </c>
      <c r="H98" t="str">
        <f>IF(Kaleciler!I100="","",Kaleciler!I100)</f>
        <v/>
      </c>
      <c r="I98" t="str">
        <f>IF(Kaleciler!A100="","",Kaleciler!J100)</f>
        <v/>
      </c>
      <c r="J98" t="str">
        <f>IF(Kaleciler!A100="","",Kaleciler!K100)</f>
        <v/>
      </c>
      <c r="K98" t="str">
        <f>IF(Kaleciler!L100="","",Kaleciler!L100)</f>
        <v/>
      </c>
      <c r="L98" t="str">
        <f>IF(Kaleciler!M100="","",Kaleciler!M100)</f>
        <v/>
      </c>
      <c r="M98" t="str">
        <f>IF(Kaleciler!N100="","",Kaleciler!N100)</f>
        <v/>
      </c>
      <c r="N98" t="str">
        <f>IF(Kaleciler!O100="","",Kaleciler!O100)</f>
        <v/>
      </c>
      <c r="O98" t="str">
        <f>IF(Kaleciler!P100="","",Kaleciler!P100)</f>
        <v/>
      </c>
      <c r="P98" t="str">
        <f>IF(Kaleciler!Q100="","",Kaleciler!Q100)</f>
        <v/>
      </c>
      <c r="Q98" t="str">
        <f>IF(Kaleciler!R100="","",Kaleciler!R100)</f>
        <v/>
      </c>
      <c r="R98" t="str">
        <f>IF(Kaleciler!S100="","",Kaleciler!S100)</f>
        <v/>
      </c>
      <c r="S98" t="str">
        <f>IF(Kaleciler!T100="","",Kaleciler!T100)</f>
        <v/>
      </c>
      <c r="T98" s="2" t="str">
        <f>IF(Kaleciler!U100="","",Kaleciler!U100)</f>
        <v/>
      </c>
      <c r="U98" t="s">
        <v>926</v>
      </c>
      <c r="V98">
        <v>100</v>
      </c>
      <c r="W98" t="str">
        <f ca="1">IF(AND($A98&lt;&gt;"",ISNUMBER($G98),$G98&gt;=TODAY(),$G98&lt;=EDATE(TODAY(),12)),COUNTIFS($G$2:$G$1001,"&gt;="&amp;TODAY(),$G$2:$G$1001,"&lt;"&amp;$G98,$A$2:$A$1001,"&lt;&gt;")+COUNTIFS($G$2:$G98,$G98,$A$2:$A98,"&lt;&gt;"),"")</f>
        <v/>
      </c>
      <c r="X98" t="str">
        <f>IF(AND($A98&lt;&gt;"",ISNUMBER($C98),$C98&gt;=DATE(2003,1,1)),COUNTIFS($C$2:$C98,"&gt;="&amp;DATE(2003,1,1),$A$2:$A98,"&lt;&gt;"),"")</f>
        <v/>
      </c>
    </row>
    <row r="99" spans="1:24">
      <c r="A99" t="str">
        <f>IF(Kaleciler!A101="","",Kaleciler!A101)</f>
        <v/>
      </c>
      <c r="B99" t="str">
        <f>IF(Kaleciler!B101="","",Kaleciler!B101)</f>
        <v/>
      </c>
      <c r="C99" s="2" t="str">
        <f>IF(Kaleciler!C101="","",Kaleciler!C101)</f>
        <v/>
      </c>
      <c r="D99" t="str">
        <f ca="1">IF(Kaleciler!D101="","",Kaleciler!D101)</f>
        <v/>
      </c>
      <c r="E99" t="str">
        <f>IF(Kaleciler!E101="","",Kaleciler!E101)</f>
        <v>Kaleci</v>
      </c>
      <c r="F99" t="str">
        <f>IF(Kaleciler!G101="","",Kaleciler!G101)</f>
        <v/>
      </c>
      <c r="G99" s="2" t="str">
        <f>IF(Kaleciler!H101="","",Kaleciler!H101)</f>
        <v/>
      </c>
      <c r="H99" t="str">
        <f>IF(Kaleciler!I101="","",Kaleciler!I101)</f>
        <v/>
      </c>
      <c r="I99" t="str">
        <f>IF(Kaleciler!A101="","",Kaleciler!J101)</f>
        <v/>
      </c>
      <c r="J99" t="str">
        <f>IF(Kaleciler!A101="","",Kaleciler!K101)</f>
        <v/>
      </c>
      <c r="K99" t="str">
        <f>IF(Kaleciler!L101="","",Kaleciler!L101)</f>
        <v/>
      </c>
      <c r="L99" t="str">
        <f>IF(Kaleciler!M101="","",Kaleciler!M101)</f>
        <v/>
      </c>
      <c r="M99" t="str">
        <f>IF(Kaleciler!N101="","",Kaleciler!N101)</f>
        <v/>
      </c>
      <c r="N99" t="str">
        <f>IF(Kaleciler!O101="","",Kaleciler!O101)</f>
        <v/>
      </c>
      <c r="O99" t="str">
        <f>IF(Kaleciler!P101="","",Kaleciler!P101)</f>
        <v/>
      </c>
      <c r="P99" t="str">
        <f>IF(Kaleciler!Q101="","",Kaleciler!Q101)</f>
        <v/>
      </c>
      <c r="Q99" t="str">
        <f>IF(Kaleciler!R101="","",Kaleciler!R101)</f>
        <v/>
      </c>
      <c r="R99" t="str">
        <f>IF(Kaleciler!S101="","",Kaleciler!S101)</f>
        <v/>
      </c>
      <c r="S99" t="str">
        <f>IF(Kaleciler!T101="","",Kaleciler!T101)</f>
        <v/>
      </c>
      <c r="T99" s="2" t="str">
        <f>IF(Kaleciler!U101="","",Kaleciler!U101)</f>
        <v/>
      </c>
      <c r="U99" t="s">
        <v>926</v>
      </c>
      <c r="V99">
        <v>101</v>
      </c>
      <c r="W99" t="str">
        <f ca="1">IF(AND($A99&lt;&gt;"",ISNUMBER($G99),$G99&gt;=TODAY(),$G99&lt;=EDATE(TODAY(),12)),COUNTIFS($G$2:$G$1001,"&gt;="&amp;TODAY(),$G$2:$G$1001,"&lt;"&amp;$G99,$A$2:$A$1001,"&lt;&gt;")+COUNTIFS($G$2:$G99,$G99,$A$2:$A99,"&lt;&gt;"),"")</f>
        <v/>
      </c>
      <c r="X99" t="str">
        <f>IF(AND($A99&lt;&gt;"",ISNUMBER($C99),$C99&gt;=DATE(2003,1,1)),COUNTIFS($C$2:$C99,"&gt;="&amp;DATE(2003,1,1),$A$2:$A99,"&lt;&gt;"),"")</f>
        <v/>
      </c>
    </row>
    <row r="100" spans="1:24">
      <c r="A100" t="str">
        <f>IF(Kaleciler!A102="","",Kaleciler!A102)</f>
        <v/>
      </c>
      <c r="B100" t="str">
        <f>IF(Kaleciler!B102="","",Kaleciler!B102)</f>
        <v/>
      </c>
      <c r="C100" s="2" t="str">
        <f>IF(Kaleciler!C102="","",Kaleciler!C102)</f>
        <v/>
      </c>
      <c r="D100" t="str">
        <f ca="1">IF(Kaleciler!D102="","",Kaleciler!D102)</f>
        <v/>
      </c>
      <c r="E100" t="str">
        <f>IF(Kaleciler!E102="","",Kaleciler!E102)</f>
        <v>Kaleci</v>
      </c>
      <c r="F100" t="str">
        <f>IF(Kaleciler!G102="","",Kaleciler!G102)</f>
        <v/>
      </c>
      <c r="G100" s="2" t="str">
        <f>IF(Kaleciler!H102="","",Kaleciler!H102)</f>
        <v/>
      </c>
      <c r="H100" t="str">
        <f>IF(Kaleciler!I102="","",Kaleciler!I102)</f>
        <v/>
      </c>
      <c r="I100" t="str">
        <f>IF(Kaleciler!A102="","",Kaleciler!J102)</f>
        <v/>
      </c>
      <c r="J100" t="str">
        <f>IF(Kaleciler!A102="","",Kaleciler!K102)</f>
        <v/>
      </c>
      <c r="K100" t="str">
        <f>IF(Kaleciler!L102="","",Kaleciler!L102)</f>
        <v/>
      </c>
      <c r="L100" t="str">
        <f>IF(Kaleciler!M102="","",Kaleciler!M102)</f>
        <v/>
      </c>
      <c r="M100" t="str">
        <f>IF(Kaleciler!N102="","",Kaleciler!N102)</f>
        <v/>
      </c>
      <c r="N100" t="str">
        <f>IF(Kaleciler!O102="","",Kaleciler!O102)</f>
        <v/>
      </c>
      <c r="O100" t="str">
        <f>IF(Kaleciler!P102="","",Kaleciler!P102)</f>
        <v/>
      </c>
      <c r="P100" t="str">
        <f>IF(Kaleciler!Q102="","",Kaleciler!Q102)</f>
        <v/>
      </c>
      <c r="Q100" t="str">
        <f>IF(Kaleciler!R102="","",Kaleciler!R102)</f>
        <v/>
      </c>
      <c r="R100" t="str">
        <f>IF(Kaleciler!S102="","",Kaleciler!S102)</f>
        <v/>
      </c>
      <c r="S100" t="str">
        <f>IF(Kaleciler!T102="","",Kaleciler!T102)</f>
        <v/>
      </c>
      <c r="T100" s="2" t="str">
        <f>IF(Kaleciler!U102="","",Kaleciler!U102)</f>
        <v/>
      </c>
      <c r="U100" t="s">
        <v>926</v>
      </c>
      <c r="V100">
        <v>102</v>
      </c>
      <c r="W100" t="str">
        <f ca="1">IF(AND($A100&lt;&gt;"",ISNUMBER($G100),$G100&gt;=TODAY(),$G100&lt;=EDATE(TODAY(),12)),COUNTIFS($G$2:$G$1001,"&gt;="&amp;TODAY(),$G$2:$G$1001,"&lt;"&amp;$G100,$A$2:$A$1001,"&lt;&gt;")+COUNTIFS($G$2:$G100,$G100,$A$2:$A100,"&lt;&gt;"),"")</f>
        <v/>
      </c>
      <c r="X100" t="str">
        <f>IF(AND($A100&lt;&gt;"",ISNUMBER($C100),$C100&gt;=DATE(2003,1,1)),COUNTIFS($C$2:$C100,"&gt;="&amp;DATE(2003,1,1),$A$2:$A100,"&lt;&gt;"),"")</f>
        <v/>
      </c>
    </row>
    <row r="101" spans="1:24">
      <c r="A101" t="str">
        <f>IF(Kaleciler!A103="","",Kaleciler!A103)</f>
        <v/>
      </c>
      <c r="B101" t="str">
        <f>IF(Kaleciler!B103="","",Kaleciler!B103)</f>
        <v/>
      </c>
      <c r="C101" s="2" t="str">
        <f>IF(Kaleciler!C103="","",Kaleciler!C103)</f>
        <v/>
      </c>
      <c r="D101" t="str">
        <f ca="1">IF(Kaleciler!D103="","",Kaleciler!D103)</f>
        <v/>
      </c>
      <c r="E101" t="str">
        <f>IF(Kaleciler!E103="","",Kaleciler!E103)</f>
        <v>Kaleci</v>
      </c>
      <c r="F101" t="str">
        <f>IF(Kaleciler!G103="","",Kaleciler!G103)</f>
        <v/>
      </c>
      <c r="G101" s="2" t="str">
        <f>IF(Kaleciler!H103="","",Kaleciler!H103)</f>
        <v/>
      </c>
      <c r="H101" t="str">
        <f>IF(Kaleciler!I103="","",Kaleciler!I103)</f>
        <v/>
      </c>
      <c r="I101" t="str">
        <f>IF(Kaleciler!A103="","",Kaleciler!J103)</f>
        <v/>
      </c>
      <c r="J101" t="str">
        <f>IF(Kaleciler!A103="","",Kaleciler!K103)</f>
        <v/>
      </c>
      <c r="K101" t="str">
        <f>IF(Kaleciler!L103="","",Kaleciler!L103)</f>
        <v/>
      </c>
      <c r="L101" t="str">
        <f>IF(Kaleciler!M103="","",Kaleciler!M103)</f>
        <v/>
      </c>
      <c r="M101" t="str">
        <f>IF(Kaleciler!N103="","",Kaleciler!N103)</f>
        <v/>
      </c>
      <c r="N101" t="str">
        <f>IF(Kaleciler!O103="","",Kaleciler!O103)</f>
        <v/>
      </c>
      <c r="O101" t="str">
        <f>IF(Kaleciler!P103="","",Kaleciler!P103)</f>
        <v/>
      </c>
      <c r="P101" t="str">
        <f>IF(Kaleciler!Q103="","",Kaleciler!Q103)</f>
        <v/>
      </c>
      <c r="Q101" t="str">
        <f>IF(Kaleciler!R103="","",Kaleciler!R103)</f>
        <v/>
      </c>
      <c r="R101" t="str">
        <f>IF(Kaleciler!S103="","",Kaleciler!S103)</f>
        <v/>
      </c>
      <c r="S101" t="str">
        <f>IF(Kaleciler!T103="","",Kaleciler!T103)</f>
        <v/>
      </c>
      <c r="T101" s="2" t="str">
        <f>IF(Kaleciler!U103="","",Kaleciler!U103)</f>
        <v/>
      </c>
      <c r="U101" t="s">
        <v>926</v>
      </c>
      <c r="V101">
        <v>103</v>
      </c>
      <c r="W101" t="str">
        <f ca="1">IF(AND($A101&lt;&gt;"",ISNUMBER($G101),$G101&gt;=TODAY(),$G101&lt;=EDATE(TODAY(),12)),COUNTIFS($G$2:$G$1001,"&gt;="&amp;TODAY(),$G$2:$G$1001,"&lt;"&amp;$G101,$A$2:$A$1001,"&lt;&gt;")+COUNTIFS($G$2:$G101,$G101,$A$2:$A101,"&lt;&gt;"),"")</f>
        <v/>
      </c>
      <c r="X101" t="str">
        <f>IF(AND($A101&lt;&gt;"",ISNUMBER($C101),$C101&gt;=DATE(2003,1,1)),COUNTIFS($C$2:$C101,"&gt;="&amp;DATE(2003,1,1),$A$2:$A101,"&lt;&gt;"),"")</f>
        <v/>
      </c>
    </row>
    <row r="102" spans="1:24">
      <c r="A102" t="str">
        <f>IF(Stoperler!A4="","",Stoperler!A4)</f>
        <v>FEDERICO GOTTONI</v>
      </c>
      <c r="B102" t="str">
        <f>IF(Stoperler!B4="","",Stoperler!B4)</f>
        <v>ARJANTİN</v>
      </c>
      <c r="C102" s="2">
        <f>IF(Stoperler!C4="","",Stoperler!C4)</f>
        <v>36207</v>
      </c>
      <c r="D102">
        <f ca="1">IF(Stoperler!D4="","",Stoperler!D4)</f>
        <v>27</v>
      </c>
      <c r="E102" t="str">
        <f>IF(Stoperler!E4="","",Stoperler!E4)</f>
        <v>Stoper</v>
      </c>
      <c r="F102" t="str">
        <f>IF(Stoperler!G4="","",Stoperler!G4)</f>
        <v>ASCOLI</v>
      </c>
      <c r="G102" s="2">
        <f>IF(Stoperler!H4="","",Stoperler!H4)</f>
        <v>46568</v>
      </c>
      <c r="H102" t="str">
        <f>IF(Stoperler!I4="","",Stoperler!I4)</f>
        <v>Sarı</v>
      </c>
      <c r="I102">
        <f>IF(Stoperler!A4="","",Stoperler!J4)</f>
        <v>0</v>
      </c>
      <c r="J102">
        <f>IF(Stoperler!A4="","",Stoperler!K4)</f>
        <v>0</v>
      </c>
      <c r="K102" t="str">
        <f>IF(Stoperler!L4="","",Stoperler!L4)</f>
        <v/>
      </c>
      <c r="L102" t="str">
        <f>IF(Stoperler!M4="","",Stoperler!M4)</f>
        <v/>
      </c>
      <c r="M102" t="str">
        <f>IF(Stoperler!N4="","",Stoperler!N4)</f>
        <v/>
      </c>
      <c r="N102" t="str">
        <f>IF(Stoperler!O4="","",Stoperler!O4)</f>
        <v/>
      </c>
      <c r="O102" t="str">
        <f>IF(Stoperler!P4="","",Stoperler!P4)</f>
        <v/>
      </c>
      <c r="P102" t="str">
        <f>IF(Stoperler!Q4="","",Stoperler!Q4)</f>
        <v/>
      </c>
      <c r="Q102" t="str">
        <f>IF(Stoperler!R4="","",Stoperler!R4)</f>
        <v/>
      </c>
      <c r="R102" t="str">
        <f>IF(Stoperler!S4="","",Stoperler!S4)</f>
        <v/>
      </c>
      <c r="S102" t="str">
        <f>IF(Stoperler!T4="","",Stoperler!T4)</f>
        <v>B Liste</v>
      </c>
      <c r="T102" s="2" t="str">
        <f>IF(Stoperler!U4="","",Stoperler!U4)</f>
        <v/>
      </c>
      <c r="U102" t="s">
        <v>927</v>
      </c>
      <c r="V102">
        <v>4</v>
      </c>
      <c r="W102">
        <f ca="1">IF(AND($A102&lt;&gt;"",ISNUMBER($G102),$G102&gt;=TODAY(),$G102&lt;=EDATE(TODAY(),12)),COUNTIFS($G$2:$G$1001,"&gt;="&amp;TODAY(),$G$2:$G$1001,"&lt;"&amp;$G102,$A$2:$A$1001,"&lt;&gt;")+COUNTIFS($G$2:$G102,$G102,$A$2:$A102,"&lt;&gt;"),"")</f>
        <v>17</v>
      </c>
      <c r="X102" t="str">
        <f>IF(AND($A102&lt;&gt;"",ISNUMBER($C102),$C102&gt;=DATE(2003,1,1)),COUNTIFS($C$2:$C102,"&gt;="&amp;DATE(2003,1,1),$A$2:$A102,"&lt;&gt;"),"")</f>
        <v/>
      </c>
    </row>
    <row r="103" spans="1:24">
      <c r="A103" t="str">
        <f>IF(Stoperler!A5="","",Stoperler!A5)</f>
        <v>TUNGAY NIANZOU</v>
      </c>
      <c r="B103" t="str">
        <f>IF(Stoperler!B5="","",Stoperler!B5)</f>
        <v>FRANSA</v>
      </c>
      <c r="C103" s="2">
        <f>IF(Stoperler!C5="","",Stoperler!C5)</f>
        <v>37414</v>
      </c>
      <c r="D103">
        <f ca="1">IF(Stoperler!D5="","",Stoperler!D5)</f>
        <v>24</v>
      </c>
      <c r="E103" t="str">
        <f>IF(Stoperler!E5="","",Stoperler!E5)</f>
        <v>Stoper</v>
      </c>
      <c r="F103" t="str">
        <f>IF(Stoperler!G5="","",Stoperler!G5)</f>
        <v>LILLE</v>
      </c>
      <c r="G103" s="2">
        <f>IF(Stoperler!H5="","",Stoperler!H5)</f>
        <v>46934</v>
      </c>
      <c r="H103" t="str">
        <f>IF(Stoperler!I5="","",Stoperler!I5)</f>
        <v>Yeşil</v>
      </c>
      <c r="I103">
        <f>IF(Stoperler!A5="","",Stoperler!J5)</f>
        <v>0</v>
      </c>
      <c r="J103">
        <f>IF(Stoperler!A5="","",Stoperler!K5)</f>
        <v>0</v>
      </c>
      <c r="K103" t="str">
        <f>IF(Stoperler!L5="","",Stoperler!L5)</f>
        <v/>
      </c>
      <c r="L103" t="str">
        <f>IF(Stoperler!M5="","",Stoperler!M5)</f>
        <v/>
      </c>
      <c r="M103" t="str">
        <f>IF(Stoperler!N5="","",Stoperler!N5)</f>
        <v/>
      </c>
      <c r="N103" t="str">
        <f>IF(Stoperler!O5="","",Stoperler!O5)</f>
        <v/>
      </c>
      <c r="O103" t="str">
        <f>IF(Stoperler!P5="","",Stoperler!P5)</f>
        <v/>
      </c>
      <c r="P103" t="str">
        <f>IF(Stoperler!Q5="","",Stoperler!Q5)</f>
        <v/>
      </c>
      <c r="Q103" t="str">
        <f>IF(Stoperler!R5="","",Stoperler!R5)</f>
        <v/>
      </c>
      <c r="R103" t="str">
        <f>IF(Stoperler!S5="","",Stoperler!S5)</f>
        <v/>
      </c>
      <c r="S103" t="str">
        <f>IF(Stoperler!T5="","",Stoperler!T5)</f>
        <v>A Liste</v>
      </c>
      <c r="T103" s="2" t="str">
        <f>IF(Stoperler!U5="","",Stoperler!U5)</f>
        <v/>
      </c>
      <c r="U103" t="s">
        <v>927</v>
      </c>
      <c r="V103">
        <v>5</v>
      </c>
      <c r="W103" t="str">
        <f ca="1">IF(AND($A103&lt;&gt;"",ISNUMBER($G103),$G103&gt;=TODAY(),$G103&lt;=EDATE(TODAY(),12)),COUNTIFS($G$2:$G$1001,"&gt;="&amp;TODAY(),$G$2:$G$1001,"&lt;"&amp;$G103,$A$2:$A$1001,"&lt;&gt;")+COUNTIFS($G$2:$G103,$G103,$A$2:$A103,"&lt;&gt;"),"")</f>
        <v/>
      </c>
      <c r="X103" t="str">
        <f>IF(AND($A103&lt;&gt;"",ISNUMBER($C103),$C103&gt;=DATE(2003,1,1)),COUNTIFS($C$2:$C103,"&gt;="&amp;DATE(2003,1,1),$A$2:$A103,"&lt;&gt;"),"")</f>
        <v/>
      </c>
    </row>
    <row r="104" spans="1:24">
      <c r="A104" t="str">
        <f>IF(Stoperler!A6="","",Stoperler!A6)</f>
        <v>MARCAO</v>
      </c>
      <c r="B104" t="str">
        <f>IF(Stoperler!B6="","",Stoperler!B6)</f>
        <v>BREZİLYA</v>
      </c>
      <c r="C104" s="2">
        <f>IF(Stoperler!C6="","",Stoperler!C6)</f>
        <v>35221</v>
      </c>
      <c r="D104">
        <f ca="1">IF(Stoperler!D6="","",Stoperler!D6)</f>
        <v>30</v>
      </c>
      <c r="E104" t="str">
        <f>IF(Stoperler!E6="","",Stoperler!E6)</f>
        <v>Stoper</v>
      </c>
      <c r="F104" t="str">
        <f>IF(Stoperler!G6="","",Stoperler!G6)</f>
        <v>SEVILLA</v>
      </c>
      <c r="G104" s="2">
        <f>IF(Stoperler!H6="","",Stoperler!H6)</f>
        <v>46934</v>
      </c>
      <c r="H104" t="str">
        <f>IF(Stoperler!I6="","",Stoperler!I6)</f>
        <v>Kırmızı</v>
      </c>
      <c r="I104" t="str">
        <f>IF(Stoperler!A6="","",Stoperler!J6)</f>
        <v xml:space="preserve">Sakatlık geçmişi ve son dönem maç sayıları istikrarsız. </v>
      </c>
      <c r="J104">
        <f>IF(Stoperler!A6="","",Stoperler!K6)</f>
        <v>0</v>
      </c>
      <c r="K104" t="str">
        <f>IF(Stoperler!L6="","",Stoperler!L6)</f>
        <v/>
      </c>
      <c r="L104" t="str">
        <f>IF(Stoperler!M6="","",Stoperler!M6)</f>
        <v/>
      </c>
      <c r="M104" t="str">
        <f>IF(Stoperler!N6="","",Stoperler!N6)</f>
        <v/>
      </c>
      <c r="N104" t="str">
        <f>IF(Stoperler!O6="","",Stoperler!O6)</f>
        <v/>
      </c>
      <c r="O104" t="str">
        <f>IF(Stoperler!P6="","",Stoperler!P6)</f>
        <v/>
      </c>
      <c r="P104" t="str">
        <f>IF(Stoperler!Q6="","",Stoperler!Q6)</f>
        <v/>
      </c>
      <c r="Q104" t="str">
        <f>IF(Stoperler!R6="","",Stoperler!R6)</f>
        <v/>
      </c>
      <c r="R104" t="str">
        <f>IF(Stoperler!S6="","",Stoperler!S6)</f>
        <v/>
      </c>
      <c r="S104" t="str">
        <f>IF(Stoperler!T6="","",Stoperler!T6)</f>
        <v>Ele</v>
      </c>
      <c r="T104" s="2" t="str">
        <f>IF(Stoperler!U6="","",Stoperler!U6)</f>
        <v/>
      </c>
      <c r="U104" t="s">
        <v>927</v>
      </c>
      <c r="V104">
        <v>6</v>
      </c>
      <c r="W104" t="str">
        <f ca="1">IF(AND($A104&lt;&gt;"",ISNUMBER($G104),$G104&gt;=TODAY(),$G104&lt;=EDATE(TODAY(),12)),COUNTIFS($G$2:$G$1001,"&gt;="&amp;TODAY(),$G$2:$G$1001,"&lt;"&amp;$G104,$A$2:$A$1001,"&lt;&gt;")+COUNTIFS($G$2:$G104,$G104,$A$2:$A104,"&lt;&gt;"),"")</f>
        <v/>
      </c>
      <c r="X104" t="str">
        <f>IF(AND($A104&lt;&gt;"",ISNUMBER($C104),$C104&gt;=DATE(2003,1,1)),COUNTIFS($C$2:$C104,"&gt;="&amp;DATE(2003,1,1),$A$2:$A104,"&lt;&gt;"),"")</f>
        <v/>
      </c>
    </row>
    <row r="105" spans="1:24">
      <c r="A105" t="str">
        <f>IF(Stoperler!A7="","",Stoperler!A7)</f>
        <v>ZE IVALDO</v>
      </c>
      <c r="B105" t="str">
        <f>IF(Stoperler!B7="","",Stoperler!B7)</f>
        <v>BREZİLYA</v>
      </c>
      <c r="C105" s="2">
        <f>IF(Stoperler!C7="","",Stoperler!C7)</f>
        <v>35482</v>
      </c>
      <c r="D105">
        <f ca="1">IF(Stoperler!D7="","",Stoperler!D7)</f>
        <v>29</v>
      </c>
      <c r="E105" t="str">
        <f>IF(Stoperler!E7="","",Stoperler!E7)</f>
        <v>Stoper</v>
      </c>
      <c r="F105" t="str">
        <f>IF(Stoperler!G7="","",Stoperler!G7)</f>
        <v>REMO</v>
      </c>
      <c r="G105" s="2">
        <f>IF(Stoperler!H7="","",Stoperler!H7)</f>
        <v>46387</v>
      </c>
      <c r="H105" t="str">
        <f>IF(Stoperler!I7="","",Stoperler!I7)</f>
        <v>Sarı</v>
      </c>
      <c r="I105">
        <f>IF(Stoperler!A7="","",Stoperler!J7)</f>
        <v>0</v>
      </c>
      <c r="J105">
        <f>IF(Stoperler!A7="","",Stoperler!K7)</f>
        <v>0</v>
      </c>
      <c r="K105" t="str">
        <f>IF(Stoperler!L7="","",Stoperler!L7)</f>
        <v/>
      </c>
      <c r="L105" t="str">
        <f>IF(Stoperler!M7="","",Stoperler!M7)</f>
        <v/>
      </c>
      <c r="M105" t="str">
        <f>IF(Stoperler!N7="","",Stoperler!N7)</f>
        <v/>
      </c>
      <c r="N105" t="str">
        <f>IF(Stoperler!O7="","",Stoperler!O7)</f>
        <v/>
      </c>
      <c r="O105" t="str">
        <f>IF(Stoperler!P7="","",Stoperler!P7)</f>
        <v/>
      </c>
      <c r="P105" t="str">
        <f>IF(Stoperler!Q7="","",Stoperler!Q7)</f>
        <v/>
      </c>
      <c r="Q105" t="str">
        <f>IF(Stoperler!R7="","",Stoperler!R7)</f>
        <v/>
      </c>
      <c r="R105" t="str">
        <f>IF(Stoperler!S7="","",Stoperler!S7)</f>
        <v/>
      </c>
      <c r="S105" t="str">
        <f>IF(Stoperler!T7="","",Stoperler!T7)</f>
        <v>Tekrar İzle</v>
      </c>
      <c r="T105" s="2" t="str">
        <f>IF(Stoperler!U7="","",Stoperler!U7)</f>
        <v/>
      </c>
      <c r="U105" t="s">
        <v>927</v>
      </c>
      <c r="V105">
        <v>7</v>
      </c>
      <c r="W105">
        <f ca="1">IF(AND($A105&lt;&gt;"",ISNUMBER($G105),$G105&gt;=TODAY(),$G105&lt;=EDATE(TODAY(),12)),COUNTIFS($G$2:$G$1001,"&gt;="&amp;TODAY(),$G$2:$G$1001,"&lt;"&amp;$G105,$A$2:$A$1001,"&lt;&gt;")+COUNTIFS($G$2:$G105,$G105,$A$2:$A105,"&lt;&gt;"),"")</f>
        <v>3</v>
      </c>
      <c r="X105" t="str">
        <f>IF(AND($A105&lt;&gt;"",ISNUMBER($C105),$C105&gt;=DATE(2003,1,1)),COUNTIFS($C$2:$C105,"&gt;="&amp;DATE(2003,1,1),$A$2:$A105,"&lt;&gt;"),"")</f>
        <v/>
      </c>
    </row>
    <row r="106" spans="1:24">
      <c r="A106" t="str">
        <f>IF(Stoperler!A8="","",Stoperler!A8)</f>
        <v>LEONARDO PİNHEİRO DA CONCEİÇAO</v>
      </c>
      <c r="B106" t="str">
        <f>IF(Stoperler!B8="","",Stoperler!B8)</f>
        <v>BREZİLYA</v>
      </c>
      <c r="C106" s="2">
        <f>IF(Stoperler!C8="","",Stoperler!C8)</f>
        <v>35130</v>
      </c>
      <c r="D106">
        <f ca="1">IF(Stoperler!D8="","",Stoperler!D8)</f>
        <v>30</v>
      </c>
      <c r="E106" t="str">
        <f>IF(Stoperler!E8="","",Stoperler!E8)</f>
        <v>Stoper</v>
      </c>
      <c r="F106" t="str">
        <f>IF(Stoperler!G8="","",Stoperler!G8)</f>
        <v>ATLETICA-PR</v>
      </c>
      <c r="G106" s="2">
        <f>IF(Stoperler!H8="","",Stoperler!H8)</f>
        <v>47118</v>
      </c>
      <c r="H106" t="str">
        <f>IF(Stoperler!I8="","",Stoperler!I8)</f>
        <v>Yeşil</v>
      </c>
      <c r="I106">
        <f>IF(Stoperler!A8="","",Stoperler!J8)</f>
        <v>0</v>
      </c>
      <c r="J106">
        <f>IF(Stoperler!A8="","",Stoperler!K8)</f>
        <v>0</v>
      </c>
      <c r="K106" t="str">
        <f>IF(Stoperler!L8="","",Stoperler!L8)</f>
        <v/>
      </c>
      <c r="L106" t="str">
        <f>IF(Stoperler!M8="","",Stoperler!M8)</f>
        <v/>
      </c>
      <c r="M106" t="str">
        <f>IF(Stoperler!N8="","",Stoperler!N8)</f>
        <v/>
      </c>
      <c r="N106" t="str">
        <f>IF(Stoperler!O8="","",Stoperler!O8)</f>
        <v/>
      </c>
      <c r="O106" t="str">
        <f>IF(Stoperler!P8="","",Stoperler!P8)</f>
        <v/>
      </c>
      <c r="P106" t="str">
        <f>IF(Stoperler!Q8="","",Stoperler!Q8)</f>
        <v/>
      </c>
      <c r="Q106" t="str">
        <f>IF(Stoperler!R8="","",Stoperler!R8)</f>
        <v/>
      </c>
      <c r="R106" t="str">
        <f>IF(Stoperler!S8="","",Stoperler!S8)</f>
        <v/>
      </c>
      <c r="S106" t="str">
        <f>IF(Stoperler!T8="","",Stoperler!T8)</f>
        <v>Takip</v>
      </c>
      <c r="T106" s="2" t="str">
        <f>IF(Stoperler!U8="","",Stoperler!U8)</f>
        <v/>
      </c>
      <c r="U106" t="s">
        <v>927</v>
      </c>
      <c r="V106">
        <v>8</v>
      </c>
      <c r="W106" t="str">
        <f ca="1">IF(AND($A106&lt;&gt;"",ISNUMBER($G106),$G106&gt;=TODAY(),$G106&lt;=EDATE(TODAY(),12)),COUNTIFS($G$2:$G$1001,"&gt;="&amp;TODAY(),$G$2:$G$1001,"&lt;"&amp;$G106,$A$2:$A$1001,"&lt;&gt;")+COUNTIFS($G$2:$G106,$G106,$A$2:$A106,"&lt;&gt;"),"")</f>
        <v/>
      </c>
      <c r="X106" t="str">
        <f>IF(AND($A106&lt;&gt;"",ISNUMBER($C106),$C106&gt;=DATE(2003,1,1)),COUNTIFS($C$2:$C106,"&gt;="&amp;DATE(2003,1,1),$A$2:$A106,"&lt;&gt;"),"")</f>
        <v/>
      </c>
    </row>
    <row r="107" spans="1:24">
      <c r="A107" t="str">
        <f>IF(Stoperler!A9="","",Stoperler!A9)</f>
        <v>MİLOS VELJKOVİC</v>
      </c>
      <c r="B107" t="str">
        <f>IF(Stoperler!B9="","",Stoperler!B9)</f>
        <v>SIRBİSTAN</v>
      </c>
      <c r="C107" s="2">
        <f>IF(Stoperler!C9="","",Stoperler!C9)</f>
        <v>34968</v>
      </c>
      <c r="D107">
        <f ca="1">IF(Stoperler!D9="","",Stoperler!D9)</f>
        <v>31</v>
      </c>
      <c r="E107" t="str">
        <f>IF(Stoperler!E9="","",Stoperler!E9)</f>
        <v>Stoper</v>
      </c>
      <c r="F107" t="str">
        <f>IF(Stoperler!G9="","",Stoperler!G9)</f>
        <v>KIZILYILDIZ</v>
      </c>
      <c r="G107" s="2">
        <f>IF(Stoperler!H9="","",Stoperler!H9)</f>
        <v>46934</v>
      </c>
      <c r="H107" t="str">
        <f>IF(Stoperler!I9="","",Stoperler!I9)</f>
        <v>Sarı</v>
      </c>
      <c r="I107">
        <f>IF(Stoperler!A9="","",Stoperler!J9)</f>
        <v>0</v>
      </c>
      <c r="J107">
        <f>IF(Stoperler!A9="","",Stoperler!K9)</f>
        <v>0</v>
      </c>
      <c r="K107" t="str">
        <f>IF(Stoperler!L9="","",Stoperler!L9)</f>
        <v/>
      </c>
      <c r="L107" t="str">
        <f>IF(Stoperler!M9="","",Stoperler!M9)</f>
        <v/>
      </c>
      <c r="M107" t="str">
        <f>IF(Stoperler!N9="","",Stoperler!N9)</f>
        <v/>
      </c>
      <c r="N107" t="str">
        <f>IF(Stoperler!O9="","",Stoperler!O9)</f>
        <v/>
      </c>
      <c r="O107" t="str">
        <f>IF(Stoperler!P9="","",Stoperler!P9)</f>
        <v/>
      </c>
      <c r="P107" t="str">
        <f>IF(Stoperler!Q9="","",Stoperler!Q9)</f>
        <v/>
      </c>
      <c r="Q107" t="str">
        <f>IF(Stoperler!R9="","",Stoperler!R9)</f>
        <v/>
      </c>
      <c r="R107" t="str">
        <f>IF(Stoperler!S9="","",Stoperler!S9)</f>
        <v/>
      </c>
      <c r="S107" t="str">
        <f>IF(Stoperler!T9="","",Stoperler!T9)</f>
        <v>B Liste</v>
      </c>
      <c r="T107" s="2" t="str">
        <f>IF(Stoperler!U9="","",Stoperler!U9)</f>
        <v/>
      </c>
      <c r="U107" t="s">
        <v>927</v>
      </c>
      <c r="V107">
        <v>9</v>
      </c>
      <c r="W107" t="str">
        <f ca="1">IF(AND($A107&lt;&gt;"",ISNUMBER($G107),$G107&gt;=TODAY(),$G107&lt;=EDATE(TODAY(),12)),COUNTIFS($G$2:$G$1001,"&gt;="&amp;TODAY(),$G$2:$G$1001,"&lt;"&amp;$G107,$A$2:$A$1001,"&lt;&gt;")+COUNTIFS($G$2:$G107,$G107,$A$2:$A107,"&lt;&gt;"),"")</f>
        <v/>
      </c>
      <c r="X107" t="str">
        <f>IF(AND($A107&lt;&gt;"",ISNUMBER($C107),$C107&gt;=DATE(2003,1,1)),COUNTIFS($C$2:$C107,"&gt;="&amp;DATE(2003,1,1),$A$2:$A107,"&lt;&gt;"),"")</f>
        <v/>
      </c>
    </row>
    <row r="108" spans="1:24">
      <c r="A108" t="str">
        <f>IF(Stoperler!A10="","",Stoperler!A10)</f>
        <v>JOSEPH AIDOO</v>
      </c>
      <c r="B108" t="str">
        <f>IF(Stoperler!B10="","",Stoperler!B10)</f>
        <v>GANA</v>
      </c>
      <c r="C108" s="2">
        <f>IF(Stoperler!C10="","",Stoperler!C10)</f>
        <v>34971</v>
      </c>
      <c r="D108">
        <f ca="1">IF(Stoperler!D10="","",Stoperler!D10)</f>
        <v>31</v>
      </c>
      <c r="E108" t="str">
        <f>IF(Stoperler!E10="","",Stoperler!E10)</f>
        <v>Stoper</v>
      </c>
      <c r="F108" t="str">
        <f>IF(Stoperler!G10="","",Stoperler!G10)</f>
        <v>FREE</v>
      </c>
      <c r="G108" s="2" t="str">
        <f>IF(Stoperler!H10="","",Stoperler!H10)</f>
        <v>-</v>
      </c>
      <c r="H108" t="str">
        <f>IF(Stoperler!I10="","",Stoperler!I10)</f>
        <v>Kırmızı</v>
      </c>
      <c r="I108">
        <f>IF(Stoperler!A10="","",Stoperler!J10)</f>
        <v>0</v>
      </c>
      <c r="J108">
        <f>IF(Stoperler!A10="","",Stoperler!K10)</f>
        <v>0</v>
      </c>
      <c r="K108" t="str">
        <f>IF(Stoperler!L10="","",Stoperler!L10)</f>
        <v/>
      </c>
      <c r="L108" t="str">
        <f>IF(Stoperler!M10="","",Stoperler!M10)</f>
        <v/>
      </c>
      <c r="M108" t="str">
        <f>IF(Stoperler!N10="","",Stoperler!N10)</f>
        <v/>
      </c>
      <c r="N108" t="str">
        <f>IF(Stoperler!O10="","",Stoperler!O10)</f>
        <v/>
      </c>
      <c r="O108" t="str">
        <f>IF(Stoperler!P10="","",Stoperler!P10)</f>
        <v/>
      </c>
      <c r="P108" t="str">
        <f>IF(Stoperler!Q10="","",Stoperler!Q10)</f>
        <v/>
      </c>
      <c r="Q108" t="str">
        <f>IF(Stoperler!R10="","",Stoperler!R10)</f>
        <v/>
      </c>
      <c r="R108" t="str">
        <f>IF(Stoperler!S10="","",Stoperler!S10)</f>
        <v/>
      </c>
      <c r="S108" t="str">
        <f>IF(Stoperler!T10="","",Stoperler!T10)</f>
        <v>Ele</v>
      </c>
      <c r="T108" s="2" t="str">
        <f>IF(Stoperler!U10="","",Stoperler!U10)</f>
        <v/>
      </c>
      <c r="U108" t="s">
        <v>927</v>
      </c>
      <c r="V108">
        <v>10</v>
      </c>
      <c r="W108" t="str">
        <f ca="1">IF(AND($A108&lt;&gt;"",ISNUMBER($G108),$G108&gt;=TODAY(),$G108&lt;=EDATE(TODAY(),12)),COUNTIFS($G$2:$G$1001,"&gt;="&amp;TODAY(),$G$2:$G$1001,"&lt;"&amp;$G108,$A$2:$A$1001,"&lt;&gt;")+COUNTIFS($G$2:$G108,$G108,$A$2:$A108,"&lt;&gt;"),"")</f>
        <v/>
      </c>
      <c r="X108" t="str">
        <f>IF(AND($A108&lt;&gt;"",ISNUMBER($C108),$C108&gt;=DATE(2003,1,1)),COUNTIFS($C$2:$C108,"&gt;="&amp;DATE(2003,1,1),$A$2:$A108,"&lt;&gt;"),"")</f>
        <v/>
      </c>
    </row>
    <row r="109" spans="1:24">
      <c r="A109" t="str">
        <f>IF(Stoperler!A11="","",Stoperler!A11)</f>
        <v>SOHAIB NAIR</v>
      </c>
      <c r="B109" t="str">
        <f>IF(Stoperler!B11="","",Stoperler!B11)</f>
        <v>CEZAYİR</v>
      </c>
      <c r="C109" s="2">
        <f>IF(Stoperler!C11="","",Stoperler!C11)</f>
        <v>37369</v>
      </c>
      <c r="D109">
        <f ca="1">IF(Stoperler!D11="","",Stoperler!D11)</f>
        <v>24</v>
      </c>
      <c r="E109" t="str">
        <f>IF(Stoperler!E11="","",Stoperler!E11)</f>
        <v>Stoper</v>
      </c>
      <c r="F109" t="str">
        <f>IF(Stoperler!G11="","",Stoperler!G11)</f>
        <v>ST.ETTIEN</v>
      </c>
      <c r="G109" s="2">
        <f>IF(Stoperler!H11="","",Stoperler!H11)</f>
        <v>47664</v>
      </c>
      <c r="H109" t="str">
        <f>IF(Stoperler!I11="","",Stoperler!I11)</f>
        <v>Yeşil</v>
      </c>
      <c r="I109">
        <f>IF(Stoperler!A11="","",Stoperler!J11)</f>
        <v>0</v>
      </c>
      <c r="J109">
        <f>IF(Stoperler!A11="","",Stoperler!K11)</f>
        <v>0</v>
      </c>
      <c r="K109" t="str">
        <f>IF(Stoperler!L11="","",Stoperler!L11)</f>
        <v/>
      </c>
      <c r="L109" t="str">
        <f>IF(Stoperler!M11="","",Stoperler!M11)</f>
        <v/>
      </c>
      <c r="M109" t="str">
        <f>IF(Stoperler!N11="","",Stoperler!N11)</f>
        <v/>
      </c>
      <c r="N109" t="str">
        <f>IF(Stoperler!O11="","",Stoperler!O11)</f>
        <v/>
      </c>
      <c r="O109" t="str">
        <f>IF(Stoperler!P11="","",Stoperler!P11)</f>
        <v/>
      </c>
      <c r="P109" t="str">
        <f>IF(Stoperler!Q11="","",Stoperler!Q11)</f>
        <v/>
      </c>
      <c r="Q109" t="str">
        <f>IF(Stoperler!R11="","",Stoperler!R11)</f>
        <v/>
      </c>
      <c r="R109" t="str">
        <f>IF(Stoperler!S11="","",Stoperler!S11)</f>
        <v/>
      </c>
      <c r="S109" t="str">
        <f>IF(Stoperler!T11="","",Stoperler!T11)</f>
        <v>B Liste</v>
      </c>
      <c r="T109" s="2" t="str">
        <f>IF(Stoperler!U11="","",Stoperler!U11)</f>
        <v/>
      </c>
      <c r="U109" t="s">
        <v>927</v>
      </c>
      <c r="V109">
        <v>11</v>
      </c>
      <c r="W109" t="str">
        <f ca="1">IF(AND($A109&lt;&gt;"",ISNUMBER($G109),$G109&gt;=TODAY(),$G109&lt;=EDATE(TODAY(),12)),COUNTIFS($G$2:$G$1001,"&gt;="&amp;TODAY(),$G$2:$G$1001,"&lt;"&amp;$G109,$A$2:$A$1001,"&lt;&gt;")+COUNTIFS($G$2:$G109,$G109,$A$2:$A109,"&lt;&gt;"),"")</f>
        <v/>
      </c>
      <c r="X109" t="str">
        <f>IF(AND($A109&lt;&gt;"",ISNUMBER($C109),$C109&gt;=DATE(2003,1,1)),COUNTIFS($C$2:$C109,"&gt;="&amp;DATE(2003,1,1),$A$2:$A109,"&lt;&gt;"),"")</f>
        <v/>
      </c>
    </row>
    <row r="110" spans="1:24">
      <c r="A110" t="str">
        <f>IF(Stoperler!A12="","",Stoperler!A12)</f>
        <v>AXEL TUANZEBE</v>
      </c>
      <c r="B110" t="str">
        <f>IF(Stoperler!B12="","",Stoperler!B12)</f>
        <v>KONGO</v>
      </c>
      <c r="C110" s="2">
        <f>IF(Stoperler!C12="","",Stoperler!C12)</f>
        <v>35748</v>
      </c>
      <c r="D110">
        <f ca="1">IF(Stoperler!D12="","",Stoperler!D12)</f>
        <v>28</v>
      </c>
      <c r="E110" t="str">
        <f>IF(Stoperler!E12="","",Stoperler!E12)</f>
        <v>Stoper</v>
      </c>
      <c r="F110" t="str">
        <f>IF(Stoperler!G12="","",Stoperler!G12)</f>
        <v>AUXERRE</v>
      </c>
      <c r="G110" s="2">
        <f>IF(Stoperler!H12="","",Stoperler!H12)</f>
        <v>46568</v>
      </c>
      <c r="H110" t="str">
        <f>IF(Stoperler!I12="","",Stoperler!I12)</f>
        <v>Sarı</v>
      </c>
      <c r="I110">
        <f>IF(Stoperler!A12="","",Stoperler!J12)</f>
        <v>0</v>
      </c>
      <c r="J110">
        <f>IF(Stoperler!A12="","",Stoperler!K12)</f>
        <v>0</v>
      </c>
      <c r="K110" t="str">
        <f>IF(Stoperler!L12="","",Stoperler!L12)</f>
        <v/>
      </c>
      <c r="L110" t="str">
        <f>IF(Stoperler!M12="","",Stoperler!M12)</f>
        <v/>
      </c>
      <c r="M110" t="str">
        <f>IF(Stoperler!N12="","",Stoperler!N12)</f>
        <v/>
      </c>
      <c r="N110" t="str">
        <f>IF(Stoperler!O12="","",Stoperler!O12)</f>
        <v/>
      </c>
      <c r="O110" t="str">
        <f>IF(Stoperler!P12="","",Stoperler!P12)</f>
        <v/>
      </c>
      <c r="P110" t="str">
        <f>IF(Stoperler!Q12="","",Stoperler!Q12)</f>
        <v/>
      </c>
      <c r="Q110" t="str">
        <f>IF(Stoperler!R12="","",Stoperler!R12)</f>
        <v/>
      </c>
      <c r="R110" t="str">
        <f>IF(Stoperler!S12="","",Stoperler!S12)</f>
        <v/>
      </c>
      <c r="S110" t="str">
        <f>IF(Stoperler!T12="","",Stoperler!T12)</f>
        <v>B Liste</v>
      </c>
      <c r="T110" s="2" t="str">
        <f>IF(Stoperler!U12="","",Stoperler!U12)</f>
        <v/>
      </c>
      <c r="U110" t="s">
        <v>927</v>
      </c>
      <c r="V110">
        <v>12</v>
      </c>
      <c r="W110">
        <f ca="1">IF(AND($A110&lt;&gt;"",ISNUMBER($G110),$G110&gt;=TODAY(),$G110&lt;=EDATE(TODAY(),12)),COUNTIFS($G$2:$G$1001,"&gt;="&amp;TODAY(),$G$2:$G$1001,"&lt;"&amp;$G110,$A$2:$A$1001,"&lt;&gt;")+COUNTIFS($G$2:$G110,$G110,$A$2:$A110,"&lt;&gt;"),"")</f>
        <v>18</v>
      </c>
      <c r="X110" t="str">
        <f>IF(AND($A110&lt;&gt;"",ISNUMBER($C110),$C110&gt;=DATE(2003,1,1)),COUNTIFS($C$2:$C110,"&gt;="&amp;DATE(2003,1,1),$A$2:$A110,"&lt;&gt;"),"")</f>
        <v/>
      </c>
    </row>
    <row r="111" spans="1:24">
      <c r="A111" t="str">
        <f>IF(Stoperler!A13="","",Stoperler!A13)</f>
        <v>ADAMO NAGALO</v>
      </c>
      <c r="B111" t="str">
        <f>IF(Stoperler!B13="","",Stoperler!B13)</f>
        <v>BURKINA FASO</v>
      </c>
      <c r="C111" s="2">
        <f>IF(Stoperler!C13="","",Stoperler!C13)</f>
        <v>37521</v>
      </c>
      <c r="D111">
        <f ca="1">IF(Stoperler!D13="","",Stoperler!D13)</f>
        <v>24</v>
      </c>
      <c r="E111" t="str">
        <f>IF(Stoperler!E13="","",Stoperler!E13)</f>
        <v>Stoper</v>
      </c>
      <c r="F111" t="str">
        <f>IF(Stoperler!G13="","",Stoperler!G13)</f>
        <v>PSV</v>
      </c>
      <c r="G111" s="2">
        <f>IF(Stoperler!H13="","",Stoperler!H13)</f>
        <v>47299</v>
      </c>
      <c r="H111" t="str">
        <f>IF(Stoperler!I13="","",Stoperler!I13)</f>
        <v>Kırmızı</v>
      </c>
      <c r="I111">
        <f>IF(Stoperler!A13="","",Stoperler!J13)</f>
        <v>0</v>
      </c>
      <c r="J111">
        <f>IF(Stoperler!A13="","",Stoperler!K13)</f>
        <v>0</v>
      </c>
      <c r="K111" t="str">
        <f>IF(Stoperler!L13="","",Stoperler!L13)</f>
        <v/>
      </c>
      <c r="L111" t="str">
        <f>IF(Stoperler!M13="","",Stoperler!M13)</f>
        <v/>
      </c>
      <c r="M111" t="str">
        <f>IF(Stoperler!N13="","",Stoperler!N13)</f>
        <v/>
      </c>
      <c r="N111" t="str">
        <f>IF(Stoperler!O13="","",Stoperler!O13)</f>
        <v/>
      </c>
      <c r="O111" t="str">
        <f>IF(Stoperler!P13="","",Stoperler!P13)</f>
        <v/>
      </c>
      <c r="P111" t="str">
        <f>IF(Stoperler!Q13="","",Stoperler!Q13)</f>
        <v/>
      </c>
      <c r="Q111" t="str">
        <f>IF(Stoperler!R13="","",Stoperler!R13)</f>
        <v/>
      </c>
      <c r="R111" t="str">
        <f>IF(Stoperler!S13="","",Stoperler!S13)</f>
        <v/>
      </c>
      <c r="S111" t="str">
        <f>IF(Stoperler!T13="","",Stoperler!T13)</f>
        <v>Ele</v>
      </c>
      <c r="T111" s="2" t="str">
        <f>IF(Stoperler!U13="","",Stoperler!U13)</f>
        <v/>
      </c>
      <c r="U111" t="s">
        <v>927</v>
      </c>
      <c r="V111">
        <v>13</v>
      </c>
      <c r="W111" t="str">
        <f ca="1">IF(AND($A111&lt;&gt;"",ISNUMBER($G111),$G111&gt;=TODAY(),$G111&lt;=EDATE(TODAY(),12)),COUNTIFS($G$2:$G$1001,"&gt;="&amp;TODAY(),$G$2:$G$1001,"&lt;"&amp;$G111,$A$2:$A$1001,"&lt;&gt;")+COUNTIFS($G$2:$G111,$G111,$A$2:$A111,"&lt;&gt;"),"")</f>
        <v/>
      </c>
      <c r="X111" t="str">
        <f>IF(AND($A111&lt;&gt;"",ISNUMBER($C111),$C111&gt;=DATE(2003,1,1)),COUNTIFS($C$2:$C111,"&gt;="&amp;DATE(2003,1,1),$A$2:$A111,"&lt;&gt;"),"")</f>
        <v/>
      </c>
    </row>
    <row r="112" spans="1:24">
      <c r="A112" t="str">
        <f>IF(Stoperler!A14="","",Stoperler!A14)</f>
        <v>JAKOV MEDIC</v>
      </c>
      <c r="B112" t="str">
        <f>IF(Stoperler!B14="","",Stoperler!B14)</f>
        <v>HIRVATİSTAN</v>
      </c>
      <c r="C112" s="2">
        <f>IF(Stoperler!C14="","",Stoperler!C14)</f>
        <v>36045</v>
      </c>
      <c r="D112">
        <f ca="1">IF(Stoperler!D14="","",Stoperler!D14)</f>
        <v>28</v>
      </c>
      <c r="E112" t="str">
        <f>IF(Stoperler!E14="","",Stoperler!E14)</f>
        <v>Stoper</v>
      </c>
      <c r="F112" t="str">
        <f>IF(Stoperler!G14="","",Stoperler!G14)</f>
        <v>UTRECHT</v>
      </c>
      <c r="G112" s="2">
        <f>IF(Stoperler!H14="","",Stoperler!H14)</f>
        <v>46568</v>
      </c>
      <c r="H112" t="str">
        <f>IF(Stoperler!I14="","",Stoperler!I14)</f>
        <v>Sarı</v>
      </c>
      <c r="I112">
        <f>IF(Stoperler!A14="","",Stoperler!J14)</f>
        <v>0</v>
      </c>
      <c r="J112">
        <f>IF(Stoperler!A14="","",Stoperler!K14)</f>
        <v>0</v>
      </c>
      <c r="K112" t="str">
        <f>IF(Stoperler!L14="","",Stoperler!L14)</f>
        <v/>
      </c>
      <c r="L112" t="str">
        <f>IF(Stoperler!M14="","",Stoperler!M14)</f>
        <v/>
      </c>
      <c r="M112" t="str">
        <f>IF(Stoperler!N14="","",Stoperler!N14)</f>
        <v/>
      </c>
      <c r="N112" t="str">
        <f>IF(Stoperler!O14="","",Stoperler!O14)</f>
        <v/>
      </c>
      <c r="O112" t="str">
        <f>IF(Stoperler!P14="","",Stoperler!P14)</f>
        <v/>
      </c>
      <c r="P112" t="str">
        <f>IF(Stoperler!Q14="","",Stoperler!Q14)</f>
        <v/>
      </c>
      <c r="Q112" t="str">
        <f>IF(Stoperler!R14="","",Stoperler!R14)</f>
        <v/>
      </c>
      <c r="R112" t="str">
        <f>IF(Stoperler!S14="","",Stoperler!S14)</f>
        <v/>
      </c>
      <c r="S112" t="str">
        <f>IF(Stoperler!T14="","",Stoperler!T14)</f>
        <v>Takip</v>
      </c>
      <c r="T112" s="2" t="str">
        <f>IF(Stoperler!U14="","",Stoperler!U14)</f>
        <v/>
      </c>
      <c r="U112" t="s">
        <v>927</v>
      </c>
      <c r="V112">
        <v>14</v>
      </c>
      <c r="W112">
        <f ca="1">IF(AND($A112&lt;&gt;"",ISNUMBER($G112),$G112&gt;=TODAY(),$G112&lt;=EDATE(TODAY(),12)),COUNTIFS($G$2:$G$1001,"&gt;="&amp;TODAY(),$G$2:$G$1001,"&lt;"&amp;$G112,$A$2:$A$1001,"&lt;&gt;")+COUNTIFS($G$2:$G112,$G112,$A$2:$A112,"&lt;&gt;"),"")</f>
        <v>19</v>
      </c>
      <c r="X112" t="str">
        <f>IF(AND($A112&lt;&gt;"",ISNUMBER($C112),$C112&gt;=DATE(2003,1,1)),COUNTIFS($C$2:$C112,"&gt;="&amp;DATE(2003,1,1),$A$2:$A112,"&lt;&gt;"),"")</f>
        <v/>
      </c>
    </row>
    <row r="113" spans="1:24">
      <c r="A113" t="str">
        <f>IF(Stoperler!A15="","",Stoperler!A15)</f>
        <v>DUJE CALETE-CAR</v>
      </c>
      <c r="B113" t="str">
        <f>IF(Stoperler!B15="","",Stoperler!B15)</f>
        <v>HIRVATİSTAN</v>
      </c>
      <c r="C113" s="2">
        <f>IF(Stoperler!C15="","",Stoperler!C15)</f>
        <v>35325</v>
      </c>
      <c r="D113">
        <f ca="1">IF(Stoperler!D15="","",Stoperler!D15)</f>
        <v>30</v>
      </c>
      <c r="E113" t="str">
        <f>IF(Stoperler!E15="","",Stoperler!E15)</f>
        <v>Stoper</v>
      </c>
      <c r="F113" t="str">
        <f>IF(Stoperler!G15="","",Stoperler!G15)</f>
        <v>SASSUOLO</v>
      </c>
      <c r="G113" s="2">
        <f>IF(Stoperler!H15="","",Stoperler!H15)</f>
        <v>46934</v>
      </c>
      <c r="H113" t="str">
        <f>IF(Stoperler!I15="","",Stoperler!I15)</f>
        <v>Yeşil</v>
      </c>
      <c r="I113">
        <f>IF(Stoperler!A15="","",Stoperler!J15)</f>
        <v>0</v>
      </c>
      <c r="J113">
        <f>IF(Stoperler!A15="","",Stoperler!K15)</f>
        <v>0</v>
      </c>
      <c r="K113" t="str">
        <f>IF(Stoperler!L15="","",Stoperler!L15)</f>
        <v/>
      </c>
      <c r="L113" t="str">
        <f>IF(Stoperler!M15="","",Stoperler!M15)</f>
        <v/>
      </c>
      <c r="M113" t="str">
        <f>IF(Stoperler!N15="","",Stoperler!N15)</f>
        <v/>
      </c>
      <c r="N113" t="str">
        <f>IF(Stoperler!O15="","",Stoperler!O15)</f>
        <v/>
      </c>
      <c r="O113" t="str">
        <f>IF(Stoperler!P15="","",Stoperler!P15)</f>
        <v/>
      </c>
      <c r="P113" t="str">
        <f>IF(Stoperler!Q15="","",Stoperler!Q15)</f>
        <v/>
      </c>
      <c r="Q113" t="str">
        <f>IF(Stoperler!R15="","",Stoperler!R15)</f>
        <v/>
      </c>
      <c r="R113" t="str">
        <f>IF(Stoperler!S15="","",Stoperler!S15)</f>
        <v/>
      </c>
      <c r="S113" t="str">
        <f>IF(Stoperler!T15="","",Stoperler!T15)</f>
        <v>B Liste</v>
      </c>
      <c r="T113" s="2" t="str">
        <f>IF(Stoperler!U15="","",Stoperler!U15)</f>
        <v/>
      </c>
      <c r="U113" t="s">
        <v>927</v>
      </c>
      <c r="V113">
        <v>15</v>
      </c>
      <c r="W113" t="str">
        <f ca="1">IF(AND($A113&lt;&gt;"",ISNUMBER($G113),$G113&gt;=TODAY(),$G113&lt;=EDATE(TODAY(),12)),COUNTIFS($G$2:$G$1001,"&gt;="&amp;TODAY(),$G$2:$G$1001,"&lt;"&amp;$G113,$A$2:$A$1001,"&lt;&gt;")+COUNTIFS($G$2:$G113,$G113,$A$2:$A113,"&lt;&gt;"),"")</f>
        <v/>
      </c>
      <c r="X113" t="str">
        <f>IF(AND($A113&lt;&gt;"",ISNUMBER($C113),$C113&gt;=DATE(2003,1,1)),COUNTIFS($C$2:$C113,"&gt;="&amp;DATE(2003,1,1),$A$2:$A113,"&lt;&gt;"),"")</f>
        <v/>
      </c>
    </row>
    <row r="114" spans="1:24">
      <c r="A114" t="str">
        <f>IF(Stoperler!A16="","",Stoperler!A16)</f>
        <v>JOAO MARCELO MESSİAS FERREIRA</v>
      </c>
      <c r="B114" t="str">
        <f>IF(Stoperler!B16="","",Stoperler!B16)</f>
        <v>BREZİLYA</v>
      </c>
      <c r="C114" s="2">
        <f>IF(Stoperler!C16="","",Stoperler!C16)</f>
        <v>36690</v>
      </c>
      <c r="D114">
        <f ca="1">IF(Stoperler!D16="","",Stoperler!D16)</f>
        <v>26</v>
      </c>
      <c r="E114" t="str">
        <f>IF(Stoperler!E16="","",Stoperler!E16)</f>
        <v>Stoper</v>
      </c>
      <c r="F114" t="str">
        <f>IF(Stoperler!G16="","",Stoperler!G16)</f>
        <v>CRUZEİRO</v>
      </c>
      <c r="G114" s="2">
        <f>IF(Stoperler!H16="","",Stoperler!H16)</f>
        <v>47118</v>
      </c>
      <c r="H114" t="str">
        <f>IF(Stoperler!I16="","",Stoperler!I16)</f>
        <v>Yeşil</v>
      </c>
      <c r="I114">
        <f>IF(Stoperler!A16="","",Stoperler!J16)</f>
        <v>0</v>
      </c>
      <c r="J114">
        <f>IF(Stoperler!A16="","",Stoperler!K16)</f>
        <v>0</v>
      </c>
      <c r="K114" t="str">
        <f>IF(Stoperler!L16="","",Stoperler!L16)</f>
        <v/>
      </c>
      <c r="L114" t="str">
        <f>IF(Stoperler!M16="","",Stoperler!M16)</f>
        <v/>
      </c>
      <c r="M114" t="str">
        <f>IF(Stoperler!N16="","",Stoperler!N16)</f>
        <v/>
      </c>
      <c r="N114" t="str">
        <f>IF(Stoperler!O16="","",Stoperler!O16)</f>
        <v/>
      </c>
      <c r="O114" t="str">
        <f>IF(Stoperler!P16="","",Stoperler!P16)</f>
        <v/>
      </c>
      <c r="P114" t="str">
        <f>IF(Stoperler!Q16="","",Stoperler!Q16)</f>
        <v/>
      </c>
      <c r="Q114" t="str">
        <f>IF(Stoperler!R16="","",Stoperler!R16)</f>
        <v/>
      </c>
      <c r="R114" t="str">
        <f>IF(Stoperler!S16="","",Stoperler!S16)</f>
        <v/>
      </c>
      <c r="S114" t="str">
        <f>IF(Stoperler!T16="","",Stoperler!T16)</f>
        <v>B Liste</v>
      </c>
      <c r="T114" s="2" t="str">
        <f>IF(Stoperler!U16="","",Stoperler!U16)</f>
        <v/>
      </c>
      <c r="U114" t="s">
        <v>927</v>
      </c>
      <c r="V114">
        <v>16</v>
      </c>
      <c r="W114" t="str">
        <f ca="1">IF(AND($A114&lt;&gt;"",ISNUMBER($G114),$G114&gt;=TODAY(),$G114&lt;=EDATE(TODAY(),12)),COUNTIFS($G$2:$G$1001,"&gt;="&amp;TODAY(),$G$2:$G$1001,"&lt;"&amp;$G114,$A$2:$A$1001,"&lt;&gt;")+COUNTIFS($G$2:$G114,$G114,$A$2:$A114,"&lt;&gt;"),"")</f>
        <v/>
      </c>
      <c r="X114" t="str">
        <f>IF(AND($A114&lt;&gt;"",ISNUMBER($C114),$C114&gt;=DATE(2003,1,1)),COUNTIFS($C$2:$C114,"&gt;="&amp;DATE(2003,1,1),$A$2:$A114,"&lt;&gt;"),"")</f>
        <v/>
      </c>
    </row>
    <row r="115" spans="1:24">
      <c r="A115" t="str">
        <f>IF(Stoperler!A17="","",Stoperler!A17)</f>
        <v>NENAD CVETKOVIC</v>
      </c>
      <c r="B115" t="str">
        <f>IF(Stoperler!B17="","",Stoperler!B17)</f>
        <v>SIRBİSTAN</v>
      </c>
      <c r="C115" s="2">
        <f>IF(Stoperler!C17="","",Stoperler!C17)</f>
        <v>35070</v>
      </c>
      <c r="D115">
        <f ca="1">IF(Stoperler!D17="","",Stoperler!D17)</f>
        <v>30</v>
      </c>
      <c r="E115" t="str">
        <f>IF(Stoperler!E17="","",Stoperler!E17)</f>
        <v>Stoper</v>
      </c>
      <c r="F115" t="str">
        <f>IF(Stoperler!G17="","",Stoperler!G17)</f>
        <v>RAPİD WİEN</v>
      </c>
      <c r="G115" s="2">
        <f>IF(Stoperler!H17="","",Stoperler!H17)</f>
        <v>46934</v>
      </c>
      <c r="H115" t="str">
        <f>IF(Stoperler!I17="","",Stoperler!I17)</f>
        <v>Kırmızı</v>
      </c>
      <c r="I115">
        <f>IF(Stoperler!A17="","",Stoperler!J17)</f>
        <v>0</v>
      </c>
      <c r="J115">
        <f>IF(Stoperler!A17="","",Stoperler!K17)</f>
        <v>0</v>
      </c>
      <c r="K115" t="str">
        <f>IF(Stoperler!L17="","",Stoperler!L17)</f>
        <v/>
      </c>
      <c r="L115" t="str">
        <f>IF(Stoperler!M17="","",Stoperler!M17)</f>
        <v/>
      </c>
      <c r="M115" t="str">
        <f>IF(Stoperler!N17="","",Stoperler!N17)</f>
        <v/>
      </c>
      <c r="N115" t="str">
        <f>IF(Stoperler!O17="","",Stoperler!O17)</f>
        <v/>
      </c>
      <c r="O115" t="str">
        <f>IF(Stoperler!P17="","",Stoperler!P17)</f>
        <v/>
      </c>
      <c r="P115" t="str">
        <f>IF(Stoperler!Q17="","",Stoperler!Q17)</f>
        <v/>
      </c>
      <c r="Q115" t="str">
        <f>IF(Stoperler!R17="","",Stoperler!R17)</f>
        <v/>
      </c>
      <c r="R115" t="str">
        <f>IF(Stoperler!S17="","",Stoperler!S17)</f>
        <v/>
      </c>
      <c r="S115" t="str">
        <f>IF(Stoperler!T17="","",Stoperler!T17)</f>
        <v>Ele</v>
      </c>
      <c r="T115" s="2" t="str">
        <f>IF(Stoperler!U17="","",Stoperler!U17)</f>
        <v/>
      </c>
      <c r="U115" t="s">
        <v>927</v>
      </c>
      <c r="V115">
        <v>17</v>
      </c>
      <c r="W115" t="str">
        <f ca="1">IF(AND($A115&lt;&gt;"",ISNUMBER($G115),$G115&gt;=TODAY(),$G115&lt;=EDATE(TODAY(),12)),COUNTIFS($G$2:$G$1001,"&gt;="&amp;TODAY(),$G$2:$G$1001,"&lt;"&amp;$G115,$A$2:$A$1001,"&lt;&gt;")+COUNTIFS($G$2:$G115,$G115,$A$2:$A115,"&lt;&gt;"),"")</f>
        <v/>
      </c>
      <c r="X115" t="str">
        <f>IF(AND($A115&lt;&gt;"",ISNUMBER($C115),$C115&gt;=DATE(2003,1,1)),COUNTIFS($C$2:$C115,"&gt;="&amp;DATE(2003,1,1),$A$2:$A115,"&lt;&gt;"),"")</f>
        <v/>
      </c>
    </row>
    <row r="116" spans="1:24">
      <c r="A116" t="str">
        <f>IF(Stoperler!A18="","",Stoperler!A18)</f>
        <v>MUJAID SADICK</v>
      </c>
      <c r="B116" t="str">
        <f>IF(Stoperler!B18="","",Stoperler!B18)</f>
        <v>İSPANYA</v>
      </c>
      <c r="C116" s="2">
        <f>IF(Stoperler!C18="","",Stoperler!C18)</f>
        <v>36599</v>
      </c>
      <c r="D116">
        <f ca="1">IF(Stoperler!D18="","",Stoperler!D18)</f>
        <v>26</v>
      </c>
      <c r="E116" t="str">
        <f>IF(Stoperler!E18="","",Stoperler!E18)</f>
        <v>Stoper</v>
      </c>
      <c r="F116" t="str">
        <f>IF(Stoperler!G18="","",Stoperler!G18)</f>
        <v>RAYO VALLECANO</v>
      </c>
      <c r="G116" s="2">
        <f>IF(Stoperler!H18="","",Stoperler!H18)</f>
        <v>46558</v>
      </c>
      <c r="H116" t="str">
        <f>IF(Stoperler!I18="","",Stoperler!I18)</f>
        <v>Yeşil</v>
      </c>
      <c r="I116">
        <f>IF(Stoperler!A18="","",Stoperler!J18)</f>
        <v>0</v>
      </c>
      <c r="J116">
        <f>IF(Stoperler!A18="","",Stoperler!K18)</f>
        <v>0</v>
      </c>
      <c r="K116" t="str">
        <f>IF(Stoperler!L18="","",Stoperler!L18)</f>
        <v/>
      </c>
      <c r="L116" t="str">
        <f>IF(Stoperler!M18="","",Stoperler!M18)</f>
        <v/>
      </c>
      <c r="M116" t="str">
        <f>IF(Stoperler!N18="","",Stoperler!N18)</f>
        <v/>
      </c>
      <c r="N116" t="str">
        <f>IF(Stoperler!O18="","",Stoperler!O18)</f>
        <v/>
      </c>
      <c r="O116" t="str">
        <f>IF(Stoperler!P18="","",Stoperler!P18)</f>
        <v/>
      </c>
      <c r="P116" t="str">
        <f>IF(Stoperler!Q18="","",Stoperler!Q18)</f>
        <v/>
      </c>
      <c r="Q116" t="str">
        <f>IF(Stoperler!R18="","",Stoperler!R18)</f>
        <v/>
      </c>
      <c r="R116" t="str">
        <f>IF(Stoperler!S18="","",Stoperler!S18)</f>
        <v/>
      </c>
      <c r="S116" t="str">
        <f>IF(Stoperler!T18="","",Stoperler!T18)</f>
        <v>B Liste</v>
      </c>
      <c r="T116" s="2" t="str">
        <f>IF(Stoperler!U18="","",Stoperler!U18)</f>
        <v/>
      </c>
      <c r="U116" t="s">
        <v>927</v>
      </c>
      <c r="V116">
        <v>18</v>
      </c>
      <c r="W116">
        <f ca="1">IF(AND($A116&lt;&gt;"",ISNUMBER($G116),$G116&gt;=TODAY(),$G116&lt;=EDATE(TODAY(),12)),COUNTIFS($G$2:$G$1001,"&gt;="&amp;TODAY(),$G$2:$G$1001,"&lt;"&amp;$G116,$A$2:$A$1001,"&lt;&gt;")+COUNTIFS($G$2:$G116,$G116,$A$2:$A116,"&lt;&gt;"),"")</f>
        <v>15</v>
      </c>
      <c r="X116" t="str">
        <f>IF(AND($A116&lt;&gt;"",ISNUMBER($C116),$C116&gt;=DATE(2003,1,1)),COUNTIFS($C$2:$C116,"&gt;="&amp;DATE(2003,1,1),$A$2:$A116,"&lt;&gt;"),"")</f>
        <v/>
      </c>
    </row>
    <row r="117" spans="1:24">
      <c r="A117" t="str">
        <f>IF(Stoperler!A19="","",Stoperler!A19)</f>
        <v>AHMED HADZIMUJOVIC</v>
      </c>
      <c r="B117" t="str">
        <f>IF(Stoperler!B19="","",Stoperler!B19)</f>
        <v>SIRBİSTAN</v>
      </c>
      <c r="C117" s="2">
        <f>IF(Stoperler!C19="","",Stoperler!C19)</f>
        <v>39311</v>
      </c>
      <c r="D117">
        <f ca="1">IF(Stoperler!D19="","",Stoperler!D19)</f>
        <v>19</v>
      </c>
      <c r="E117" t="str">
        <f>IF(Stoperler!E19="","",Stoperler!E19)</f>
        <v>Stoper</v>
      </c>
      <c r="F117" t="str">
        <f>IF(Stoperler!G19="","",Stoperler!G19)</f>
        <v>NOVI PAZAR</v>
      </c>
      <c r="G117" s="2">
        <f>IF(Stoperler!H19="","",Stoperler!H19)</f>
        <v>46568</v>
      </c>
      <c r="H117" t="str">
        <f>IF(Stoperler!I19="","",Stoperler!I19)</f>
        <v>Sarı</v>
      </c>
      <c r="I117">
        <f>IF(Stoperler!A19="","",Stoperler!J19)</f>
        <v>0</v>
      </c>
      <c r="J117" t="str">
        <f>IF(Stoperler!A19="","",Stoperler!K19)</f>
        <v>https://www.transfermarkt.com.tr/ahmed-hadzimujovic/profil/spieler/1245543</v>
      </c>
      <c r="K117" t="str">
        <f>IF(Stoperler!L19="","",Stoperler!L19)</f>
        <v/>
      </c>
      <c r="L117" t="str">
        <f>IF(Stoperler!M19="","",Stoperler!M19)</f>
        <v/>
      </c>
      <c r="M117" t="str">
        <f>IF(Stoperler!N19="","",Stoperler!N19)</f>
        <v/>
      </c>
      <c r="N117" t="str">
        <f>IF(Stoperler!O19="","",Stoperler!O19)</f>
        <v/>
      </c>
      <c r="O117" t="str">
        <f>IF(Stoperler!P19="","",Stoperler!P19)</f>
        <v/>
      </c>
      <c r="P117" t="str">
        <f>IF(Stoperler!Q19="","",Stoperler!Q19)</f>
        <v/>
      </c>
      <c r="Q117" t="str">
        <f>IF(Stoperler!R19="","",Stoperler!R19)</f>
        <v/>
      </c>
      <c r="R117" t="str">
        <f>IF(Stoperler!S19="","",Stoperler!S19)</f>
        <v/>
      </c>
      <c r="S117" t="str">
        <f>IF(Stoperler!T19="","",Stoperler!T19)</f>
        <v>Takip</v>
      </c>
      <c r="T117" s="2" t="str">
        <f>IF(Stoperler!U19="","",Stoperler!U19)</f>
        <v/>
      </c>
      <c r="U117" t="s">
        <v>927</v>
      </c>
      <c r="V117">
        <v>19</v>
      </c>
      <c r="W117">
        <f ca="1">IF(AND($A117&lt;&gt;"",ISNUMBER($G117),$G117&gt;=TODAY(),$G117&lt;=EDATE(TODAY(),12)),COUNTIFS($G$2:$G$1001,"&gt;="&amp;TODAY(),$G$2:$G$1001,"&lt;"&amp;$G117,$A$2:$A$1001,"&lt;&gt;")+COUNTIFS($G$2:$G117,$G117,$A$2:$A117,"&lt;&gt;"),"")</f>
        <v>20</v>
      </c>
      <c r="X117">
        <f>IF(AND($A117&lt;&gt;"",ISNUMBER($C117),$C117&gt;=DATE(2003,1,1)),COUNTIFS($C$2:$C117,"&gt;="&amp;DATE(2003,1,1),$A$2:$A117,"&lt;&gt;"),"")</f>
        <v>1</v>
      </c>
    </row>
    <row r="118" spans="1:24">
      <c r="A118" t="str">
        <f>IF(Stoperler!A20="","",Stoperler!A20)</f>
        <v>MEES HILGERS</v>
      </c>
      <c r="B118" t="str">
        <f>IF(Stoperler!B20="","",Stoperler!B20)</f>
        <v>ENDONEZYA</v>
      </c>
      <c r="C118" s="2">
        <f>IF(Stoperler!C20="","",Stoperler!C20)</f>
        <v>37024</v>
      </c>
      <c r="D118">
        <f ca="1">IF(Stoperler!D20="","",Stoperler!D20)</f>
        <v>25</v>
      </c>
      <c r="E118" t="str">
        <f>IF(Stoperler!E20="","",Stoperler!E20)</f>
        <v>Stoper</v>
      </c>
      <c r="F118" t="str">
        <f>IF(Stoperler!G20="","",Stoperler!G20)</f>
        <v>HEERENVEEN</v>
      </c>
      <c r="G118" s="2">
        <f>IF(Stoperler!H20="","",Stoperler!H20)</f>
        <v>46934</v>
      </c>
      <c r="H118" t="str">
        <f>IF(Stoperler!I20="","",Stoperler!I20)</f>
        <v>Kırmızı</v>
      </c>
      <c r="I118">
        <f>IF(Stoperler!A20="","",Stoperler!J20)</f>
        <v>0</v>
      </c>
      <c r="J118" t="str">
        <f>IF(Stoperler!A20="","",Stoperler!K20)</f>
        <v>https://www.transfermarkt.com.tr/mees-hilgers/profil/spieler/562702</v>
      </c>
      <c r="K118" t="str">
        <f>IF(Stoperler!L20="","",Stoperler!L20)</f>
        <v/>
      </c>
      <c r="L118" t="str">
        <f>IF(Stoperler!M20="","",Stoperler!M20)</f>
        <v/>
      </c>
      <c r="M118" t="str">
        <f>IF(Stoperler!N20="","",Stoperler!N20)</f>
        <v/>
      </c>
      <c r="N118" t="str">
        <f>IF(Stoperler!O20="","",Stoperler!O20)</f>
        <v/>
      </c>
      <c r="O118" t="str">
        <f>IF(Stoperler!P20="","",Stoperler!P20)</f>
        <v/>
      </c>
      <c r="P118" t="str">
        <f>IF(Stoperler!Q20="","",Stoperler!Q20)</f>
        <v/>
      </c>
      <c r="Q118" t="str">
        <f>IF(Stoperler!R20="","",Stoperler!R20)</f>
        <v/>
      </c>
      <c r="R118" t="str">
        <f>IF(Stoperler!S20="","",Stoperler!S20)</f>
        <v/>
      </c>
      <c r="S118" t="str">
        <f>IF(Stoperler!T20="","",Stoperler!T20)</f>
        <v>Ele</v>
      </c>
      <c r="T118" s="2" t="str">
        <f>IF(Stoperler!U20="","",Stoperler!U20)</f>
        <v/>
      </c>
      <c r="U118" t="s">
        <v>927</v>
      </c>
      <c r="V118">
        <v>20</v>
      </c>
      <c r="W118" t="str">
        <f ca="1">IF(AND($A118&lt;&gt;"",ISNUMBER($G118),$G118&gt;=TODAY(),$G118&lt;=EDATE(TODAY(),12)),COUNTIFS($G$2:$G$1001,"&gt;="&amp;TODAY(),$G$2:$G$1001,"&lt;"&amp;$G118,$A$2:$A$1001,"&lt;&gt;")+COUNTIFS($G$2:$G118,$G118,$A$2:$A118,"&lt;&gt;"),"")</f>
        <v/>
      </c>
      <c r="X118" t="str">
        <f>IF(AND($A118&lt;&gt;"",ISNUMBER($C118),$C118&gt;=DATE(2003,1,1)),COUNTIFS($C$2:$C118,"&gt;="&amp;DATE(2003,1,1),$A$2:$A118,"&lt;&gt;"),"")</f>
        <v/>
      </c>
    </row>
    <row r="119" spans="1:24">
      <c r="A119" t="str">
        <f>IF(Stoperler!A21="","",Stoperler!A21)</f>
        <v>NERMIN MUJKIC</v>
      </c>
      <c r="B119" t="str">
        <f>IF(Stoperler!B21="","",Stoperler!B21)</f>
        <v>BOSNA</v>
      </c>
      <c r="C119" s="2">
        <f>IF(Stoperler!C21="","",Stoperler!C21)</f>
        <v>38025</v>
      </c>
      <c r="D119">
        <f ca="1">IF(Stoperler!D21="","",Stoperler!D21)</f>
        <v>22</v>
      </c>
      <c r="E119" t="str">
        <f>IF(Stoperler!E21="","",Stoperler!E21)</f>
        <v>Stoper</v>
      </c>
      <c r="F119" t="str">
        <f>IF(Stoperler!G21="","",Stoperler!G21)</f>
        <v>AL-JAZIRA</v>
      </c>
      <c r="G119" s="2">
        <f>IF(Stoperler!H21="","",Stoperler!H21)</f>
        <v>46934</v>
      </c>
      <c r="H119" t="str">
        <f>IF(Stoperler!I21="","",Stoperler!I21)</f>
        <v>Kırmızı</v>
      </c>
      <c r="I119">
        <f>IF(Stoperler!A21="","",Stoperler!J21)</f>
        <v>0</v>
      </c>
      <c r="J119" t="str">
        <f>IF(Stoperler!A21="","",Stoperler!K21)</f>
        <v>https://www.transfermarkt.com.tr/nermin-mujkic/profil/spieler/651762</v>
      </c>
      <c r="K119" t="str">
        <f>IF(Stoperler!L21="","",Stoperler!L21)</f>
        <v/>
      </c>
      <c r="L119" t="str">
        <f>IF(Stoperler!M21="","",Stoperler!M21)</f>
        <v/>
      </c>
      <c r="M119" t="str">
        <f>IF(Stoperler!N21="","",Stoperler!N21)</f>
        <v/>
      </c>
      <c r="N119" t="str">
        <f>IF(Stoperler!O21="","",Stoperler!O21)</f>
        <v/>
      </c>
      <c r="O119" t="str">
        <f>IF(Stoperler!P21="","",Stoperler!P21)</f>
        <v/>
      </c>
      <c r="P119" t="str">
        <f>IF(Stoperler!Q21="","",Stoperler!Q21)</f>
        <v/>
      </c>
      <c r="Q119" t="str">
        <f>IF(Stoperler!R21="","",Stoperler!R21)</f>
        <v/>
      </c>
      <c r="R119" t="str">
        <f>IF(Stoperler!S21="","",Stoperler!S21)</f>
        <v/>
      </c>
      <c r="S119" t="str">
        <f>IF(Stoperler!T21="","",Stoperler!T21)</f>
        <v>Ele</v>
      </c>
      <c r="T119" s="2" t="str">
        <f>IF(Stoperler!U21="","",Stoperler!U21)</f>
        <v/>
      </c>
      <c r="U119" t="s">
        <v>927</v>
      </c>
      <c r="V119">
        <v>21</v>
      </c>
      <c r="W119" t="str">
        <f ca="1">IF(AND($A119&lt;&gt;"",ISNUMBER($G119),$G119&gt;=TODAY(),$G119&lt;=EDATE(TODAY(),12)),COUNTIFS($G$2:$G$1001,"&gt;="&amp;TODAY(),$G$2:$G$1001,"&lt;"&amp;$G119,$A$2:$A$1001,"&lt;&gt;")+COUNTIFS($G$2:$G119,$G119,$A$2:$A119,"&lt;&gt;"),"")</f>
        <v/>
      </c>
      <c r="X119">
        <f>IF(AND($A119&lt;&gt;"",ISNUMBER($C119),$C119&gt;=DATE(2003,1,1)),COUNTIFS($C$2:$C119,"&gt;="&amp;DATE(2003,1,1),$A$2:$A119,"&lt;&gt;"),"")</f>
        <v>2</v>
      </c>
    </row>
    <row r="120" spans="1:24">
      <c r="A120" t="str">
        <f>IF(Stoperler!A22="","",Stoperler!A22)</f>
        <v>MARIO TUDOSE</v>
      </c>
      <c r="B120" t="str">
        <f>IF(Stoperler!B22="","",Stoperler!B22)</f>
        <v>ROMANYA</v>
      </c>
      <c r="C120" s="2">
        <f>IF(Stoperler!C22="","",Stoperler!C22)</f>
        <v>38373</v>
      </c>
      <c r="D120">
        <f ca="1">IF(Stoperler!D22="","",Stoperler!D22)</f>
        <v>21</v>
      </c>
      <c r="E120" t="str">
        <f>IF(Stoperler!E22="","",Stoperler!E22)</f>
        <v>Stoper</v>
      </c>
      <c r="F120" t="str">
        <f>IF(Stoperler!G22="","",Stoperler!G22)</f>
        <v>FC ARGES</v>
      </c>
      <c r="G120" s="2">
        <f>IF(Stoperler!H22="","",Stoperler!H22)</f>
        <v>47289</v>
      </c>
      <c r="H120" t="str">
        <f>IF(Stoperler!I22="","",Stoperler!I22)</f>
        <v>Sarı</v>
      </c>
      <c r="I120">
        <f>IF(Stoperler!A22="","",Stoperler!J22)</f>
        <v>0</v>
      </c>
      <c r="J120" t="str">
        <f>IF(Stoperler!A22="","",Stoperler!K22)</f>
        <v>https://www.transfermarkt.com.tr/mario-tudose/profil/spieler/837239</v>
      </c>
      <c r="K120" t="str">
        <f>IF(Stoperler!L22="","",Stoperler!L22)</f>
        <v/>
      </c>
      <c r="L120" t="str">
        <f>IF(Stoperler!M22="","",Stoperler!M22)</f>
        <v/>
      </c>
      <c r="M120" t="str">
        <f>IF(Stoperler!N22="","",Stoperler!N22)</f>
        <v/>
      </c>
      <c r="N120" t="str">
        <f>IF(Stoperler!O22="","",Stoperler!O22)</f>
        <v/>
      </c>
      <c r="O120" t="str">
        <f>IF(Stoperler!P22="","",Stoperler!P22)</f>
        <v/>
      </c>
      <c r="P120" t="str">
        <f>IF(Stoperler!Q22="","",Stoperler!Q22)</f>
        <v/>
      </c>
      <c r="Q120" t="str">
        <f>IF(Stoperler!R22="","",Stoperler!R22)</f>
        <v/>
      </c>
      <c r="R120" t="str">
        <f>IF(Stoperler!S22="","",Stoperler!S22)</f>
        <v/>
      </c>
      <c r="S120" t="str">
        <f>IF(Stoperler!T22="","",Stoperler!T22)</f>
        <v>Takip</v>
      </c>
      <c r="T120" s="2" t="str">
        <f>IF(Stoperler!U22="","",Stoperler!U22)</f>
        <v/>
      </c>
      <c r="U120" t="s">
        <v>927</v>
      </c>
      <c r="V120">
        <v>22</v>
      </c>
      <c r="W120" t="str">
        <f ca="1">IF(AND($A120&lt;&gt;"",ISNUMBER($G120),$G120&gt;=TODAY(),$G120&lt;=EDATE(TODAY(),12)),COUNTIFS($G$2:$G$1001,"&gt;="&amp;TODAY(),$G$2:$G$1001,"&lt;"&amp;$G120,$A$2:$A$1001,"&lt;&gt;")+COUNTIFS($G$2:$G120,$G120,$A$2:$A120,"&lt;&gt;"),"")</f>
        <v/>
      </c>
      <c r="X120">
        <f>IF(AND($A120&lt;&gt;"",ISNUMBER($C120),$C120&gt;=DATE(2003,1,1)),COUNTIFS($C$2:$C120,"&gt;="&amp;DATE(2003,1,1),$A$2:$A120,"&lt;&gt;"),"")</f>
        <v>3</v>
      </c>
    </row>
    <row r="121" spans="1:24">
      <c r="A121" t="str">
        <f>IF(Stoperler!A23="","",Stoperler!A23)</f>
        <v>DOMINGOS DUARTE</v>
      </c>
      <c r="B121" t="str">
        <f>IF(Stoperler!B23="","",Stoperler!B23)</f>
        <v>PORTEKİZ</v>
      </c>
      <c r="C121" s="2">
        <f>IF(Stoperler!C23="","",Stoperler!C23)</f>
        <v>34768</v>
      </c>
      <c r="D121">
        <f ca="1">IF(Stoperler!D23="","",Stoperler!D23)</f>
        <v>31</v>
      </c>
      <c r="E121" t="str">
        <f>IF(Stoperler!E23="","",Stoperler!E23)</f>
        <v>Stoper</v>
      </c>
      <c r="F121" t="str">
        <f>IF(Stoperler!G23="","",Stoperler!G23)</f>
        <v>SAO PAULO</v>
      </c>
      <c r="G121" s="2">
        <f>IF(Stoperler!H23="","",Stoperler!H23)</f>
        <v>46965</v>
      </c>
      <c r="H121" t="str">
        <f>IF(Stoperler!I23="","",Stoperler!I23)</f>
        <v>Yeşil</v>
      </c>
      <c r="I121">
        <f>IF(Stoperler!A23="","",Stoperler!J23)</f>
        <v>0</v>
      </c>
      <c r="J121" t="str">
        <f>IF(Stoperler!A23="","",Stoperler!K23)</f>
        <v>https://www.transfermarkt.com.tr/domingos-duarte/profil/spieler/257376</v>
      </c>
      <c r="K121" t="str">
        <f>IF(Stoperler!L23="","",Stoperler!L23)</f>
        <v/>
      </c>
      <c r="L121" t="str">
        <f>IF(Stoperler!M23="","",Stoperler!M23)</f>
        <v/>
      </c>
      <c r="M121" t="str">
        <f>IF(Stoperler!N23="","",Stoperler!N23)</f>
        <v/>
      </c>
      <c r="N121" t="str">
        <f>IF(Stoperler!O23="","",Stoperler!O23)</f>
        <v/>
      </c>
      <c r="O121" t="str">
        <f>IF(Stoperler!P23="","",Stoperler!P23)</f>
        <v/>
      </c>
      <c r="P121" t="str">
        <f>IF(Stoperler!Q23="","",Stoperler!Q23)</f>
        <v/>
      </c>
      <c r="Q121" t="str">
        <f>IF(Stoperler!R23="","",Stoperler!R23)</f>
        <v/>
      </c>
      <c r="R121" t="str">
        <f>IF(Stoperler!S23="","",Stoperler!S23)</f>
        <v/>
      </c>
      <c r="S121" t="str">
        <f>IF(Stoperler!T23="","",Stoperler!T23)</f>
        <v>B Liste</v>
      </c>
      <c r="T121" s="2" t="str">
        <f>IF(Stoperler!U23="","",Stoperler!U23)</f>
        <v/>
      </c>
      <c r="U121" t="s">
        <v>927</v>
      </c>
      <c r="V121">
        <v>23</v>
      </c>
      <c r="W121" t="str">
        <f ca="1">IF(AND($A121&lt;&gt;"",ISNUMBER($G121),$G121&gt;=TODAY(),$G121&lt;=EDATE(TODAY(),12)),COUNTIFS($G$2:$G$1001,"&gt;="&amp;TODAY(),$G$2:$G$1001,"&lt;"&amp;$G121,$A$2:$A$1001,"&lt;&gt;")+COUNTIFS($G$2:$G121,$G121,$A$2:$A121,"&lt;&gt;"),"")</f>
        <v/>
      </c>
      <c r="X121" t="str">
        <f>IF(AND($A121&lt;&gt;"",ISNUMBER($C121),$C121&gt;=DATE(2003,1,1)),COUNTIFS($C$2:$C121,"&gt;="&amp;DATE(2003,1,1),$A$2:$A121,"&lt;&gt;"),"")</f>
        <v/>
      </c>
    </row>
    <row r="122" spans="1:24">
      <c r="A122" t="str">
        <f>IF(Stoperler!A24="","",Stoperler!A24)</f>
        <v>GIVANNI VAN ZWAM</v>
      </c>
      <c r="B122" t="str">
        <f>IF(Stoperler!B24="","",Stoperler!B24)</f>
        <v>HOLLANDA</v>
      </c>
      <c r="C122" s="2">
        <f>IF(Stoperler!C24="","",Stoperler!C24)</f>
        <v>37988</v>
      </c>
      <c r="D122">
        <f ca="1">IF(Stoperler!D24="","",Stoperler!D24)</f>
        <v>22</v>
      </c>
      <c r="E122" t="str">
        <f>IF(Stoperler!E24="","",Stoperler!E24)</f>
        <v>Stoper</v>
      </c>
      <c r="F122" t="str">
        <f>IF(Stoperler!G24="","",Stoperler!G24)</f>
        <v>GO AHEAD</v>
      </c>
      <c r="G122" s="2">
        <f>IF(Stoperler!H24="","",Stoperler!H24)</f>
        <v>46568</v>
      </c>
      <c r="H122" t="str">
        <f>IF(Stoperler!I24="","",Stoperler!I24)</f>
        <v>Sarı</v>
      </c>
      <c r="I122">
        <f>IF(Stoperler!A24="","",Stoperler!J24)</f>
        <v>0</v>
      </c>
      <c r="J122" t="str">
        <f>IF(Stoperler!A24="","",Stoperler!K24)</f>
        <v>https://www.transfermarkt.com.tr/giovanni-van-zwam/profil/spieler/805149#google_vignette</v>
      </c>
      <c r="K122" t="str">
        <f>IF(Stoperler!L24="","",Stoperler!L24)</f>
        <v/>
      </c>
      <c r="L122" t="str">
        <f>IF(Stoperler!M24="","",Stoperler!M24)</f>
        <v/>
      </c>
      <c r="M122" t="str">
        <f>IF(Stoperler!N24="","",Stoperler!N24)</f>
        <v/>
      </c>
      <c r="N122" t="str">
        <f>IF(Stoperler!O24="","",Stoperler!O24)</f>
        <v/>
      </c>
      <c r="O122" t="str">
        <f>IF(Stoperler!P24="","",Stoperler!P24)</f>
        <v/>
      </c>
      <c r="P122" t="str">
        <f>IF(Stoperler!Q24="","",Stoperler!Q24)</f>
        <v/>
      </c>
      <c r="Q122" t="str">
        <f>IF(Stoperler!R24="","",Stoperler!R24)</f>
        <v/>
      </c>
      <c r="R122" t="str">
        <f>IF(Stoperler!S24="","",Stoperler!S24)</f>
        <v/>
      </c>
      <c r="S122" t="str">
        <f>IF(Stoperler!T24="","",Stoperler!T24)</f>
        <v>B Liste</v>
      </c>
      <c r="T122" s="2" t="str">
        <f>IF(Stoperler!U24="","",Stoperler!U24)</f>
        <v/>
      </c>
      <c r="U122" t="s">
        <v>927</v>
      </c>
      <c r="V122">
        <v>24</v>
      </c>
      <c r="W122">
        <f ca="1">IF(AND($A122&lt;&gt;"",ISNUMBER($G122),$G122&gt;=TODAY(),$G122&lt;=EDATE(TODAY(),12)),COUNTIFS($G$2:$G$1001,"&gt;="&amp;TODAY(),$G$2:$G$1001,"&lt;"&amp;$G122,$A$2:$A$1001,"&lt;&gt;")+COUNTIFS($G$2:$G122,$G122,$A$2:$A122,"&lt;&gt;"),"")</f>
        <v>21</v>
      </c>
      <c r="X122">
        <f>IF(AND($A122&lt;&gt;"",ISNUMBER($C122),$C122&gt;=DATE(2003,1,1)),COUNTIFS($C$2:$C122,"&gt;="&amp;DATE(2003,1,1),$A$2:$A122,"&lt;&gt;"),"")</f>
        <v>4</v>
      </c>
    </row>
    <row r="123" spans="1:24">
      <c r="A123" t="str">
        <f>IF(Stoperler!A25="","",Stoperler!A25)</f>
        <v>MARASH KUMBULLA</v>
      </c>
      <c r="B123" t="str">
        <f>IF(Stoperler!B25="","",Stoperler!B25)</f>
        <v>ARNAVUTLUK</v>
      </c>
      <c r="C123" s="2">
        <f>IF(Stoperler!C25="","",Stoperler!C25)</f>
        <v>36564</v>
      </c>
      <c r="D123">
        <f ca="1">IF(Stoperler!D25="","",Stoperler!D25)</f>
        <v>26</v>
      </c>
      <c r="E123" t="str">
        <f>IF(Stoperler!E25="","",Stoperler!E25)</f>
        <v>Stoper</v>
      </c>
      <c r="F123" t="str">
        <f>IF(Stoperler!G25="","",Stoperler!G25)</f>
        <v>RAYO VALLECANO</v>
      </c>
      <c r="G123" s="2">
        <f>IF(Stoperler!H25="","",Stoperler!H25)</f>
        <v>46568</v>
      </c>
      <c r="H123" t="str">
        <f>IF(Stoperler!I25="","",Stoperler!I25)</f>
        <v>Kırmızı</v>
      </c>
      <c r="I123" t="str">
        <f>IF(Stoperler!A25="","",Stoperler!J25)</f>
        <v xml:space="preserve">Sakatlık geçmişi ve son dönem maç sayıları istikrarsız. </v>
      </c>
      <c r="J123" t="str">
        <f>IF(Stoperler!A25="","",Stoperler!K25)</f>
        <v>https://www.transfermarkt.com.tr/marash-kumbulla/profil/spieler/371371</v>
      </c>
      <c r="K123" t="str">
        <f>IF(Stoperler!L25="","",Stoperler!L25)</f>
        <v/>
      </c>
      <c r="L123" t="str">
        <f>IF(Stoperler!M25="","",Stoperler!M25)</f>
        <v/>
      </c>
      <c r="M123" t="str">
        <f>IF(Stoperler!N25="","",Stoperler!N25)</f>
        <v/>
      </c>
      <c r="N123" t="str">
        <f>IF(Stoperler!O25="","",Stoperler!O25)</f>
        <v/>
      </c>
      <c r="O123" t="str">
        <f>IF(Stoperler!P25="","",Stoperler!P25)</f>
        <v/>
      </c>
      <c r="P123" t="str">
        <f>IF(Stoperler!Q25="","",Stoperler!Q25)</f>
        <v/>
      </c>
      <c r="Q123" t="str">
        <f>IF(Stoperler!R25="","",Stoperler!R25)</f>
        <v/>
      </c>
      <c r="R123" t="str">
        <f>IF(Stoperler!S25="","",Stoperler!S25)</f>
        <v/>
      </c>
      <c r="S123" t="str">
        <f>IF(Stoperler!T25="","",Stoperler!T25)</f>
        <v>Ele</v>
      </c>
      <c r="T123" s="2" t="str">
        <f>IF(Stoperler!U25="","",Stoperler!U25)</f>
        <v/>
      </c>
      <c r="U123" t="s">
        <v>927</v>
      </c>
      <c r="V123">
        <v>25</v>
      </c>
      <c r="W123">
        <f ca="1">IF(AND($A123&lt;&gt;"",ISNUMBER($G123),$G123&gt;=TODAY(),$G123&lt;=EDATE(TODAY(),12)),COUNTIFS($G$2:$G$1001,"&gt;="&amp;TODAY(),$G$2:$G$1001,"&lt;"&amp;$G123,$A$2:$A$1001,"&lt;&gt;")+COUNTIFS($G$2:$G123,$G123,$A$2:$A123,"&lt;&gt;"),"")</f>
        <v>22</v>
      </c>
      <c r="X123" t="str">
        <f>IF(AND($A123&lt;&gt;"",ISNUMBER($C123),$C123&gt;=DATE(2003,1,1)),COUNTIFS($C$2:$C123,"&gt;="&amp;DATE(2003,1,1),$A$2:$A123,"&lt;&gt;"),"")</f>
        <v/>
      </c>
    </row>
    <row r="124" spans="1:24">
      <c r="A124" t="str">
        <f>IF(Stoperler!A26="","",Stoperler!A26)</f>
        <v>CHECK KEITA</v>
      </c>
      <c r="B124" t="str">
        <f>IF(Stoperler!B26="","",Stoperler!B26)</f>
        <v>MALİ / FRANSA</v>
      </c>
      <c r="C124" s="2">
        <f>IF(Stoperler!C26="","",Stoperler!C26)</f>
        <v>37713</v>
      </c>
      <c r="D124">
        <f ca="1">IF(Stoperler!D26="","",Stoperler!D26)</f>
        <v>23</v>
      </c>
      <c r="E124" t="str">
        <f>IF(Stoperler!E26="","",Stoperler!E26)</f>
        <v>Stoper</v>
      </c>
      <c r="F124" t="str">
        <f>IF(Stoperler!G26="","",Stoperler!G26)</f>
        <v>ROYAL CHARLEROI SC</v>
      </c>
      <c r="G124" s="2">
        <f>IF(Stoperler!H26="","",Stoperler!H26)</f>
        <v>46568</v>
      </c>
      <c r="H124" t="str">
        <f>IF(Stoperler!I26="","",Stoperler!I26)</f>
        <v>Sarı</v>
      </c>
      <c r="I124">
        <f>IF(Stoperler!A26="","",Stoperler!J26)</f>
        <v>0</v>
      </c>
      <c r="J124" t="str">
        <f>IF(Stoperler!A26="","",Stoperler!K26)</f>
        <v>https://www.transfermarkt.com.tr/check-keita/profil/spieler/820146</v>
      </c>
      <c r="K124" t="str">
        <f>IF(Stoperler!L26="","",Stoperler!L26)</f>
        <v/>
      </c>
      <c r="L124" t="str">
        <f>IF(Stoperler!M26="","",Stoperler!M26)</f>
        <v/>
      </c>
      <c r="M124" t="str">
        <f>IF(Stoperler!N26="","",Stoperler!N26)</f>
        <v/>
      </c>
      <c r="N124" t="str">
        <f>IF(Stoperler!O26="","",Stoperler!O26)</f>
        <v/>
      </c>
      <c r="O124" t="str">
        <f>IF(Stoperler!P26="","",Stoperler!P26)</f>
        <v/>
      </c>
      <c r="P124" t="str">
        <f>IF(Stoperler!Q26="","",Stoperler!Q26)</f>
        <v/>
      </c>
      <c r="Q124" t="str">
        <f>IF(Stoperler!R26="","",Stoperler!R26)</f>
        <v/>
      </c>
      <c r="R124" t="str">
        <f>IF(Stoperler!S26="","",Stoperler!S26)</f>
        <v/>
      </c>
      <c r="S124" t="str">
        <f>IF(Stoperler!T26="","",Stoperler!T26)</f>
        <v>Takip</v>
      </c>
      <c r="T124" s="2" t="str">
        <f>IF(Stoperler!U26="","",Stoperler!U26)</f>
        <v/>
      </c>
      <c r="U124" t="s">
        <v>927</v>
      </c>
      <c r="V124">
        <v>26</v>
      </c>
      <c r="W124">
        <f ca="1">IF(AND($A124&lt;&gt;"",ISNUMBER($G124),$G124&gt;=TODAY(),$G124&lt;=EDATE(TODAY(),12)),COUNTIFS($G$2:$G$1001,"&gt;="&amp;TODAY(),$G$2:$G$1001,"&lt;"&amp;$G124,$A$2:$A$1001,"&lt;&gt;")+COUNTIFS($G$2:$G124,$G124,$A$2:$A124,"&lt;&gt;"),"")</f>
        <v>23</v>
      </c>
      <c r="X124">
        <f>IF(AND($A124&lt;&gt;"",ISNUMBER($C124),$C124&gt;=DATE(2003,1,1)),COUNTIFS($C$2:$C124,"&gt;="&amp;DATE(2003,1,1),$A$2:$A124,"&lt;&gt;"),"")</f>
        <v>5</v>
      </c>
    </row>
    <row r="125" spans="1:24">
      <c r="A125" t="str">
        <f>IF(Stoperler!A27="","",Stoperler!A27)</f>
        <v>GIOVANNI VAN ZWAM</v>
      </c>
      <c r="B125" t="str">
        <f>IF(Stoperler!B27="","",Stoperler!B27)</f>
        <v>HOLLANDA</v>
      </c>
      <c r="C125" s="2">
        <f>IF(Stoperler!C27="","",Stoperler!C27)</f>
        <v>37988</v>
      </c>
      <c r="D125">
        <f ca="1">IF(Stoperler!D27="","",Stoperler!D27)</f>
        <v>22</v>
      </c>
      <c r="E125" t="str">
        <f>IF(Stoperler!E27="","",Stoperler!E27)</f>
        <v>Stoper</v>
      </c>
      <c r="F125" t="str">
        <f>IF(Stoperler!G27="","",Stoperler!G27)</f>
        <v>GO AHEAD EAGLES</v>
      </c>
      <c r="G125" s="2">
        <f>IF(Stoperler!H27="","",Stoperler!H27)</f>
        <v>46568</v>
      </c>
      <c r="H125" t="str">
        <f>IF(Stoperler!I27="","",Stoperler!I27)</f>
        <v>Sarı</v>
      </c>
      <c r="I125">
        <f>IF(Stoperler!A27="","",Stoperler!J27)</f>
        <v>0</v>
      </c>
      <c r="J125" t="str">
        <f>IF(Stoperler!A27="","",Stoperler!K27)</f>
        <v>Transfermarkt Profili</v>
      </c>
      <c r="K125" t="str">
        <f>IF(Stoperler!L27="","",Stoperler!L27)</f>
        <v/>
      </c>
      <c r="L125" t="str">
        <f>IF(Stoperler!M27="","",Stoperler!M27)</f>
        <v/>
      </c>
      <c r="M125" t="str">
        <f>IF(Stoperler!N27="","",Stoperler!N27)</f>
        <v/>
      </c>
      <c r="N125" t="str">
        <f>IF(Stoperler!O27="","",Stoperler!O27)</f>
        <v/>
      </c>
      <c r="O125" t="str">
        <f>IF(Stoperler!P27="","",Stoperler!P27)</f>
        <v/>
      </c>
      <c r="P125" t="str">
        <f>IF(Stoperler!Q27="","",Stoperler!Q27)</f>
        <v/>
      </c>
      <c r="Q125" t="str">
        <f>IF(Stoperler!R27="","",Stoperler!R27)</f>
        <v/>
      </c>
      <c r="R125" t="str">
        <f>IF(Stoperler!S27="","",Stoperler!S27)</f>
        <v/>
      </c>
      <c r="S125" t="str">
        <f>IF(Stoperler!T27="","",Stoperler!T27)</f>
        <v>Takip</v>
      </c>
      <c r="T125" s="2" t="str">
        <f>IF(Stoperler!U27="","",Stoperler!U27)</f>
        <v/>
      </c>
      <c r="U125" t="s">
        <v>927</v>
      </c>
      <c r="V125">
        <v>27</v>
      </c>
      <c r="W125">
        <f ca="1">IF(AND($A125&lt;&gt;"",ISNUMBER($G125),$G125&gt;=TODAY(),$G125&lt;=EDATE(TODAY(),12)),COUNTIFS($G$2:$G$1001,"&gt;="&amp;TODAY(),$G$2:$G$1001,"&lt;"&amp;$G125,$A$2:$A$1001,"&lt;&gt;")+COUNTIFS($G$2:$G125,$G125,$A$2:$A125,"&lt;&gt;"),"")</f>
        <v>24</v>
      </c>
      <c r="X125">
        <f>IF(AND($A125&lt;&gt;"",ISNUMBER($C125),$C125&gt;=DATE(2003,1,1)),COUNTIFS($C$2:$C125,"&gt;="&amp;DATE(2003,1,1),$A$2:$A125,"&lt;&gt;"),"")</f>
        <v>6</v>
      </c>
    </row>
    <row r="126" spans="1:24">
      <c r="A126" t="str">
        <f>IF(Stoperler!A28="","",Stoperler!A28)</f>
        <v>DUJE CALETA-CAR</v>
      </c>
      <c r="B126" t="str">
        <f>IF(Stoperler!B28="","",Stoperler!B28)</f>
        <v>HIRVATİSTAN</v>
      </c>
      <c r="C126" s="2">
        <f>IF(Stoperler!C28="","",Stoperler!C28)</f>
        <v>35325</v>
      </c>
      <c r="D126">
        <f ca="1">IF(Stoperler!D28="","",Stoperler!D28)</f>
        <v>30</v>
      </c>
      <c r="E126" t="str">
        <f>IF(Stoperler!E28="","",Stoperler!E28)</f>
        <v>Stoper</v>
      </c>
      <c r="F126" t="str">
        <f>IF(Stoperler!G28="","",Stoperler!G28)</f>
        <v>US SASSUOLO</v>
      </c>
      <c r="G126" s="2">
        <f>IF(Stoperler!H28="","",Stoperler!H28)</f>
        <v>46934</v>
      </c>
      <c r="H126" t="str">
        <f>IF(Stoperler!I28="","",Stoperler!I28)</f>
        <v>Yeşil</v>
      </c>
      <c r="I126">
        <f>IF(Stoperler!A28="","",Stoperler!J28)</f>
        <v>0</v>
      </c>
      <c r="J126" t="str">
        <f>IF(Stoperler!A28="","",Stoperler!K28)</f>
        <v>Transfermarkt Profili</v>
      </c>
      <c r="K126" t="str">
        <f>IF(Stoperler!L28="","",Stoperler!L28)</f>
        <v/>
      </c>
      <c r="L126" t="str">
        <f>IF(Stoperler!M28="","",Stoperler!M28)</f>
        <v/>
      </c>
      <c r="M126" t="str">
        <f>IF(Stoperler!N28="","",Stoperler!N28)</f>
        <v/>
      </c>
      <c r="N126" t="str">
        <f>IF(Stoperler!O28="","",Stoperler!O28)</f>
        <v/>
      </c>
      <c r="O126" t="str">
        <f>IF(Stoperler!P28="","",Stoperler!P28)</f>
        <v/>
      </c>
      <c r="P126" t="str">
        <f>IF(Stoperler!Q28="","",Stoperler!Q28)</f>
        <v/>
      </c>
      <c r="Q126" t="str">
        <f>IF(Stoperler!R28="","",Stoperler!R28)</f>
        <v/>
      </c>
      <c r="R126" t="str">
        <f>IF(Stoperler!S28="","",Stoperler!S28)</f>
        <v/>
      </c>
      <c r="S126" t="str">
        <f>IF(Stoperler!T28="","",Stoperler!T28)</f>
        <v>B Liste</v>
      </c>
      <c r="T126" s="2" t="str">
        <f>IF(Stoperler!U28="","",Stoperler!U28)</f>
        <v/>
      </c>
      <c r="U126" t="s">
        <v>927</v>
      </c>
      <c r="V126">
        <v>28</v>
      </c>
      <c r="W126" t="str">
        <f ca="1">IF(AND($A126&lt;&gt;"",ISNUMBER($G126),$G126&gt;=TODAY(),$G126&lt;=EDATE(TODAY(),12)),COUNTIFS($G$2:$G$1001,"&gt;="&amp;TODAY(),$G$2:$G$1001,"&lt;"&amp;$G126,$A$2:$A$1001,"&lt;&gt;")+COUNTIFS($G$2:$G126,$G126,$A$2:$A126,"&lt;&gt;"),"")</f>
        <v/>
      </c>
      <c r="X126" t="str">
        <f>IF(AND($A126&lt;&gt;"",ISNUMBER($C126),$C126&gt;=DATE(2003,1,1)),COUNTIFS($C$2:$C126,"&gt;="&amp;DATE(2003,1,1),$A$2:$A126,"&lt;&gt;"),"")</f>
        <v/>
      </c>
    </row>
    <row r="127" spans="1:24">
      <c r="A127" t="str">
        <f>IF(Stoperler!A29="","",Stoperler!A29)</f>
        <v>JACY</v>
      </c>
      <c r="B127" t="str">
        <f>IF(Stoperler!B29="","",Stoperler!B29)</f>
        <v>BREZİLYA</v>
      </c>
      <c r="C127" s="2">
        <f>IF(Stoperler!C29="","",Stoperler!C29)</f>
        <v>35622</v>
      </c>
      <c r="D127">
        <f ca="1">IF(Stoperler!D29="","",Stoperler!D29)</f>
        <v>29</v>
      </c>
      <c r="E127" t="str">
        <f>IF(Stoperler!E29="","",Stoperler!E29)</f>
        <v>Stoper</v>
      </c>
      <c r="F127" t="str">
        <f>IF(Stoperler!G29="","",Stoperler!G29)</f>
        <v>CORITIBA FC</v>
      </c>
      <c r="G127" s="2">
        <f>IF(Stoperler!H29="","",Stoperler!H29)</f>
        <v>47118</v>
      </c>
      <c r="H127" t="str">
        <f>IF(Stoperler!I29="","",Stoperler!I29)</f>
        <v>Kırmızı</v>
      </c>
      <c r="I127">
        <f>IF(Stoperler!A29="","",Stoperler!J29)</f>
        <v>0</v>
      </c>
      <c r="J127" t="str">
        <f>IF(Stoperler!A29="","",Stoperler!K29)</f>
        <v>https://www.transfermarkt.com.br/jacy/profil/spieler/593382</v>
      </c>
      <c r="K127" t="str">
        <f>IF(Stoperler!L29="","",Stoperler!L29)</f>
        <v/>
      </c>
      <c r="L127" t="str">
        <f>IF(Stoperler!M29="","",Stoperler!M29)</f>
        <v/>
      </c>
      <c r="M127" t="str">
        <f>IF(Stoperler!N29="","",Stoperler!N29)</f>
        <v/>
      </c>
      <c r="N127" t="str">
        <f>IF(Stoperler!O29="","",Stoperler!O29)</f>
        <v/>
      </c>
      <c r="O127" t="str">
        <f>IF(Stoperler!P29="","",Stoperler!P29)</f>
        <v/>
      </c>
      <c r="P127" t="str">
        <f>IF(Stoperler!Q29="","",Stoperler!Q29)</f>
        <v/>
      </c>
      <c r="Q127" t="str">
        <f>IF(Stoperler!R29="","",Stoperler!R29)</f>
        <v/>
      </c>
      <c r="R127" t="str">
        <f>IF(Stoperler!S29="","",Stoperler!S29)</f>
        <v/>
      </c>
      <c r="S127" t="str">
        <f>IF(Stoperler!T29="","",Stoperler!T29)</f>
        <v>Ele</v>
      </c>
      <c r="T127" s="2" t="str">
        <f>IF(Stoperler!U29="","",Stoperler!U29)</f>
        <v/>
      </c>
      <c r="U127" t="s">
        <v>927</v>
      </c>
      <c r="V127">
        <v>29</v>
      </c>
      <c r="W127" t="str">
        <f ca="1">IF(AND($A127&lt;&gt;"",ISNUMBER($G127),$G127&gt;=TODAY(),$G127&lt;=EDATE(TODAY(),12)),COUNTIFS($G$2:$G$1001,"&gt;="&amp;TODAY(),$G$2:$G$1001,"&lt;"&amp;$G127,$A$2:$A$1001,"&lt;&gt;")+COUNTIFS($G$2:$G127,$G127,$A$2:$A127,"&lt;&gt;"),"")</f>
        <v/>
      </c>
      <c r="X127" t="str">
        <f>IF(AND($A127&lt;&gt;"",ISNUMBER($C127),$C127&gt;=DATE(2003,1,1)),COUNTIFS($C$2:$C127,"&gt;="&amp;DATE(2003,1,1),$A$2:$A127,"&lt;&gt;"),"")</f>
        <v/>
      </c>
    </row>
    <row r="128" spans="1:24">
      <c r="A128" t="str">
        <f>IF(Stoperler!A30="","",Stoperler!A30)</f>
        <v>LÉO</v>
      </c>
      <c r="B128" t="str">
        <f>IF(Stoperler!B30="","",Stoperler!B30)</f>
        <v>BREZİLYA</v>
      </c>
      <c r="C128" s="2">
        <f>IF(Stoperler!C30="","",Stoperler!C30)</f>
        <v>35130</v>
      </c>
      <c r="D128">
        <f ca="1">IF(Stoperler!D30="","",Stoperler!D30)</f>
        <v>30</v>
      </c>
      <c r="E128" t="str">
        <f>IF(Stoperler!E30="","",Stoperler!E30)</f>
        <v>Stoper</v>
      </c>
      <c r="F128" t="str">
        <f>IF(Stoperler!G30="","",Stoperler!G30)</f>
        <v>ATHLETICO PARANAENSE</v>
      </c>
      <c r="G128" s="2">
        <f>IF(Stoperler!H30="","",Stoperler!H30)</f>
        <v>47118</v>
      </c>
      <c r="H128" t="str">
        <f>IF(Stoperler!I30="","",Stoperler!I30)</f>
        <v/>
      </c>
      <c r="I128">
        <f>IF(Stoperler!A30="","",Stoperler!J30)</f>
        <v>0</v>
      </c>
      <c r="J128" t="str">
        <f>IF(Stoperler!A30="","",Stoperler!K30)</f>
        <v>https://www.transfermarkt.com.br/leotm/profil/spieler/403296</v>
      </c>
      <c r="K128" t="str">
        <f>IF(Stoperler!L30="","",Stoperler!L30)</f>
        <v/>
      </c>
      <c r="L128" t="str">
        <f>IF(Stoperler!M30="","",Stoperler!M30)</f>
        <v/>
      </c>
      <c r="M128" t="str">
        <f>IF(Stoperler!N30="","",Stoperler!N30)</f>
        <v/>
      </c>
      <c r="N128" t="str">
        <f>IF(Stoperler!O30="","",Stoperler!O30)</f>
        <v/>
      </c>
      <c r="O128" t="str">
        <f>IF(Stoperler!P30="","",Stoperler!P30)</f>
        <v/>
      </c>
      <c r="P128" t="str">
        <f>IF(Stoperler!Q30="","",Stoperler!Q30)</f>
        <v/>
      </c>
      <c r="Q128" t="str">
        <f>IF(Stoperler!R30="","",Stoperler!R30)</f>
        <v/>
      </c>
      <c r="R128" t="str">
        <f>IF(Stoperler!S30="","",Stoperler!S30)</f>
        <v/>
      </c>
      <c r="S128" t="str">
        <f>IF(Stoperler!T30="","",Stoperler!T30)</f>
        <v/>
      </c>
      <c r="T128" s="2" t="str">
        <f>IF(Stoperler!U30="","",Stoperler!U30)</f>
        <v/>
      </c>
      <c r="U128" t="s">
        <v>927</v>
      </c>
      <c r="V128">
        <v>30</v>
      </c>
      <c r="W128" t="str">
        <f ca="1">IF(AND($A128&lt;&gt;"",ISNUMBER($G128),$G128&gt;=TODAY(),$G128&lt;=EDATE(TODAY(),12)),COUNTIFS($G$2:$G$1001,"&gt;="&amp;TODAY(),$G$2:$G$1001,"&lt;"&amp;$G128,$A$2:$A$1001,"&lt;&gt;")+COUNTIFS($G$2:$G128,$G128,$A$2:$A128,"&lt;&gt;"),"")</f>
        <v/>
      </c>
      <c r="X128" t="str">
        <f>IF(AND($A128&lt;&gt;"",ISNUMBER($C128),$C128&gt;=DATE(2003,1,1)),COUNTIFS($C$2:$C128,"&gt;="&amp;DATE(2003,1,1),$A$2:$A128,"&lt;&gt;"),"")</f>
        <v/>
      </c>
    </row>
    <row r="129" spans="1:24">
      <c r="A129" t="str">
        <f>IF(Stoperler!A31="","",Stoperler!A31)</f>
        <v>TONI BOREVKOVIC</v>
      </c>
      <c r="B129" t="str">
        <f>IF(Stoperler!B31="","",Stoperler!B31)</f>
        <v>HIRVATİSTAN</v>
      </c>
      <c r="C129" s="2">
        <f>IF(Stoperler!C31="","",Stoperler!C31)</f>
        <v>35599</v>
      </c>
      <c r="D129">
        <f ca="1">IF(Stoperler!D31="","",Stoperler!D31)</f>
        <v>29</v>
      </c>
      <c r="E129" t="str">
        <f>IF(Stoperler!E31="","",Stoperler!E31)</f>
        <v>Stoper</v>
      </c>
      <c r="F129" t="str">
        <f>IF(Stoperler!G31="","",Stoperler!G31)</f>
        <v>SAMSUNSPOR</v>
      </c>
      <c r="G129" s="2">
        <f>IF(Stoperler!H31="","",Stoperler!H31)</f>
        <v>46934</v>
      </c>
      <c r="H129" t="str">
        <f>IF(Stoperler!I31="","",Stoperler!I31)</f>
        <v/>
      </c>
      <c r="I129">
        <f>IF(Stoperler!A31="","",Stoperler!J31)</f>
        <v>0</v>
      </c>
      <c r="J129" t="str">
        <f>IF(Stoperler!A31="","",Stoperler!K31)</f>
        <v>https://www.transfermarkt.com.tr/toni-borevkovic/profil/spieler/396342</v>
      </c>
      <c r="K129" t="str">
        <f>IF(Stoperler!L31="","",Stoperler!L31)</f>
        <v/>
      </c>
      <c r="L129" t="str">
        <f>IF(Stoperler!M31="","",Stoperler!M31)</f>
        <v/>
      </c>
      <c r="M129" t="str">
        <f>IF(Stoperler!N31="","",Stoperler!N31)</f>
        <v/>
      </c>
      <c r="N129" t="str">
        <f>IF(Stoperler!O31="","",Stoperler!O31)</f>
        <v/>
      </c>
      <c r="O129" t="str">
        <f>IF(Stoperler!P31="","",Stoperler!P31)</f>
        <v/>
      </c>
      <c r="P129" t="str">
        <f>IF(Stoperler!Q31="","",Stoperler!Q31)</f>
        <v/>
      </c>
      <c r="Q129" t="str">
        <f>IF(Stoperler!R31="","",Stoperler!R31)</f>
        <v/>
      </c>
      <c r="R129" t="str">
        <f>IF(Stoperler!S31="","",Stoperler!S31)</f>
        <v/>
      </c>
      <c r="S129" t="str">
        <f>IF(Stoperler!T31="","",Stoperler!T31)</f>
        <v/>
      </c>
      <c r="T129" s="2" t="str">
        <f>IF(Stoperler!U31="","",Stoperler!U31)</f>
        <v/>
      </c>
      <c r="U129" t="s">
        <v>927</v>
      </c>
      <c r="V129">
        <v>31</v>
      </c>
      <c r="W129" t="str">
        <f ca="1">IF(AND($A129&lt;&gt;"",ISNUMBER($G129),$G129&gt;=TODAY(),$G129&lt;=EDATE(TODAY(),12)),COUNTIFS($G$2:$G$1001,"&gt;="&amp;TODAY(),$G$2:$G$1001,"&lt;"&amp;$G129,$A$2:$A$1001,"&lt;&gt;")+COUNTIFS($G$2:$G129,$G129,$A$2:$A129,"&lt;&gt;"),"")</f>
        <v/>
      </c>
      <c r="X129" t="str">
        <f>IF(AND($A129&lt;&gt;"",ISNUMBER($C129),$C129&gt;=DATE(2003,1,1)),COUNTIFS($C$2:$C129,"&gt;="&amp;DATE(2003,1,1),$A$2:$A129,"&lt;&gt;"),"")</f>
        <v/>
      </c>
    </row>
    <row r="130" spans="1:24">
      <c r="A130" t="str">
        <f>IF(Stoperler!A32="","",Stoperler!A32)</f>
        <v>MESSIAS</v>
      </c>
      <c r="B130" t="str">
        <f>IF(Stoperler!B32="","",Stoperler!B32)</f>
        <v>BREZİLYA</v>
      </c>
      <c r="C130" s="2">
        <f>IF(Stoperler!C32="","",Stoperler!C32)</f>
        <v>34641</v>
      </c>
      <c r="D130">
        <f ca="1">IF(Stoperler!D32="","",Stoperler!D32)</f>
        <v>31</v>
      </c>
      <c r="E130" t="str">
        <f>IF(Stoperler!E32="","",Stoperler!E32)</f>
        <v>Stoper</v>
      </c>
      <c r="F130" t="str">
        <f>IF(Stoperler!G32="","",Stoperler!G32)</f>
        <v>JUVENTUDE</v>
      </c>
      <c r="G130" s="2">
        <f>IF(Stoperler!H32="","",Stoperler!H32)</f>
        <v>46752</v>
      </c>
      <c r="H130" t="str">
        <f>IF(Stoperler!I32="","",Stoperler!I32)</f>
        <v/>
      </c>
      <c r="I130">
        <f>IF(Stoperler!A32="","",Stoperler!J32)</f>
        <v>0</v>
      </c>
      <c r="J130" t="str">
        <f>IF(Stoperler!A32="","",Stoperler!K32)</f>
        <v>https://www.transfermarkt.com.br/messias/profil/spieler/401539</v>
      </c>
      <c r="K130" t="str">
        <f>IF(Stoperler!L32="","",Stoperler!L32)</f>
        <v/>
      </c>
      <c r="L130" t="str">
        <f>IF(Stoperler!M32="","",Stoperler!M32)</f>
        <v/>
      </c>
      <c r="M130" t="str">
        <f>IF(Stoperler!N32="","",Stoperler!N32)</f>
        <v/>
      </c>
      <c r="N130" t="str">
        <f>IF(Stoperler!O32="","",Stoperler!O32)</f>
        <v/>
      </c>
      <c r="O130" t="str">
        <f>IF(Stoperler!P32="","",Stoperler!P32)</f>
        <v/>
      </c>
      <c r="P130" t="str">
        <f>IF(Stoperler!Q32="","",Stoperler!Q32)</f>
        <v/>
      </c>
      <c r="Q130" t="str">
        <f>IF(Stoperler!R32="","",Stoperler!R32)</f>
        <v/>
      </c>
      <c r="R130" t="str">
        <f>IF(Stoperler!S32="","",Stoperler!S32)</f>
        <v/>
      </c>
      <c r="S130" t="str">
        <f>IF(Stoperler!T32="","",Stoperler!T32)</f>
        <v/>
      </c>
      <c r="T130" s="2" t="str">
        <f>IF(Stoperler!U32="","",Stoperler!U32)</f>
        <v/>
      </c>
      <c r="U130" t="s">
        <v>927</v>
      </c>
      <c r="V130">
        <v>32</v>
      </c>
      <c r="W130" t="str">
        <f ca="1">IF(AND($A130&lt;&gt;"",ISNUMBER($G130),$G130&gt;=TODAY(),$G130&lt;=EDATE(TODAY(),12)),COUNTIFS($G$2:$G$1001,"&gt;="&amp;TODAY(),$G$2:$G$1001,"&lt;"&amp;$G130,$A$2:$A$1001,"&lt;&gt;")+COUNTIFS($G$2:$G130,$G130,$A$2:$A130,"&lt;&gt;"),"")</f>
        <v/>
      </c>
      <c r="X130" t="str">
        <f>IF(AND($A130&lt;&gt;"",ISNUMBER($C130),$C130&gt;=DATE(2003,1,1)),COUNTIFS($C$2:$C130,"&gt;="&amp;DATE(2003,1,1),$A$2:$A130,"&lt;&gt;"),"")</f>
        <v/>
      </c>
    </row>
    <row r="131" spans="1:24">
      <c r="A131" t="str">
        <f>IF(Stoperler!A33="","",Stoperler!A33)</f>
        <v>PEDRO HENRIQUE</v>
      </c>
      <c r="B131" t="str">
        <f>IF(Stoperler!B33="","",Stoperler!B33)</f>
        <v>BREZİLYA</v>
      </c>
      <c r="C131" s="2">
        <f>IF(Stoperler!C33="","",Stoperler!C33)</f>
        <v>34974</v>
      </c>
      <c r="D131">
        <f ca="1">IF(Stoperler!D33="","",Stoperler!D33)</f>
        <v>31</v>
      </c>
      <c r="E131" t="str">
        <f>IF(Stoperler!E33="","",Stoperler!E33)</f>
        <v>Stoper</v>
      </c>
      <c r="F131" t="str">
        <f>IF(Stoperler!G33="","",Stoperler!G33)</f>
        <v>RB BRAGANTINO</v>
      </c>
      <c r="G131" s="2">
        <f>IF(Stoperler!H33="","",Stoperler!H33)</f>
        <v>46387</v>
      </c>
      <c r="H131" t="str">
        <f>IF(Stoperler!I33="","",Stoperler!I33)</f>
        <v/>
      </c>
      <c r="I131">
        <f>IF(Stoperler!A33="","",Stoperler!J33)</f>
        <v>0</v>
      </c>
      <c r="J131" t="str">
        <f>IF(Stoperler!A33="","",Stoperler!K33)</f>
        <v>https://www.transfermarkt.com.br/pedro-henrique/profil/spieler/329720</v>
      </c>
      <c r="K131" t="str">
        <f>IF(Stoperler!L33="","",Stoperler!L33)</f>
        <v/>
      </c>
      <c r="L131" t="str">
        <f>IF(Stoperler!M33="","",Stoperler!M33)</f>
        <v/>
      </c>
      <c r="M131" t="str">
        <f>IF(Stoperler!N33="","",Stoperler!N33)</f>
        <v/>
      </c>
      <c r="N131" t="str">
        <f>IF(Stoperler!O33="","",Stoperler!O33)</f>
        <v/>
      </c>
      <c r="O131" t="str">
        <f>IF(Stoperler!P33="","",Stoperler!P33)</f>
        <v/>
      </c>
      <c r="P131" t="str">
        <f>IF(Stoperler!Q33="","",Stoperler!Q33)</f>
        <v/>
      </c>
      <c r="Q131" t="str">
        <f>IF(Stoperler!R33="","",Stoperler!R33)</f>
        <v/>
      </c>
      <c r="R131" t="str">
        <f>IF(Stoperler!S33="","",Stoperler!S33)</f>
        <v/>
      </c>
      <c r="S131" t="str">
        <f>IF(Stoperler!T33="","",Stoperler!T33)</f>
        <v/>
      </c>
      <c r="T131" s="2" t="str">
        <f>IF(Stoperler!U33="","",Stoperler!U33)</f>
        <v/>
      </c>
      <c r="U131" t="s">
        <v>927</v>
      </c>
      <c r="V131">
        <v>33</v>
      </c>
      <c r="W131">
        <f ca="1">IF(AND($A131&lt;&gt;"",ISNUMBER($G131),$G131&gt;=TODAY(),$G131&lt;=EDATE(TODAY(),12)),COUNTIFS($G$2:$G$1001,"&gt;="&amp;TODAY(),$G$2:$G$1001,"&lt;"&amp;$G131,$A$2:$A$1001,"&lt;&gt;")+COUNTIFS($G$2:$G131,$G131,$A$2:$A131,"&lt;&gt;"),"")</f>
        <v>4</v>
      </c>
      <c r="X131" t="str">
        <f>IF(AND($A131&lt;&gt;"",ISNUMBER($C131),$C131&gt;=DATE(2003,1,1)),COUNTIFS($C$2:$C131,"&gt;="&amp;DATE(2003,1,1),$A$2:$A131,"&lt;&gt;"),"")</f>
        <v/>
      </c>
    </row>
    <row r="132" spans="1:24">
      <c r="A132" t="str">
        <f>IF(Stoperler!A34="","",Stoperler!A34)</f>
        <v/>
      </c>
      <c r="B132" t="str">
        <f>IF(Stoperler!B34="","",Stoperler!B34)</f>
        <v/>
      </c>
      <c r="C132" s="2" t="str">
        <f>IF(Stoperler!C34="","",Stoperler!C34)</f>
        <v/>
      </c>
      <c r="D132" t="str">
        <f ca="1">IF(Stoperler!D34="","",Stoperler!D34)</f>
        <v/>
      </c>
      <c r="E132" t="str">
        <f>IF(Stoperler!E34="","",Stoperler!E34)</f>
        <v>Stoper</v>
      </c>
      <c r="F132" t="str">
        <f>IF(Stoperler!G34="","",Stoperler!G34)</f>
        <v/>
      </c>
      <c r="G132" s="2" t="str">
        <f>IF(Stoperler!H34="","",Stoperler!H34)</f>
        <v/>
      </c>
      <c r="H132" t="str">
        <f>IF(Stoperler!I34="","",Stoperler!I34)</f>
        <v/>
      </c>
      <c r="I132" t="str">
        <f>IF(Stoperler!A34="","",Stoperler!J34)</f>
        <v/>
      </c>
      <c r="J132" t="str">
        <f>IF(Stoperler!A34="","",Stoperler!K34)</f>
        <v/>
      </c>
      <c r="K132" t="str">
        <f>IF(Stoperler!L34="","",Stoperler!L34)</f>
        <v/>
      </c>
      <c r="L132" t="str">
        <f>IF(Stoperler!M34="","",Stoperler!M34)</f>
        <v/>
      </c>
      <c r="M132" t="str">
        <f>IF(Stoperler!N34="","",Stoperler!N34)</f>
        <v/>
      </c>
      <c r="N132" t="str">
        <f>IF(Stoperler!O34="","",Stoperler!O34)</f>
        <v/>
      </c>
      <c r="O132" t="str">
        <f>IF(Stoperler!P34="","",Stoperler!P34)</f>
        <v/>
      </c>
      <c r="P132" t="str">
        <f>IF(Stoperler!Q34="","",Stoperler!Q34)</f>
        <v/>
      </c>
      <c r="Q132" t="str">
        <f>IF(Stoperler!R34="","",Stoperler!R34)</f>
        <v/>
      </c>
      <c r="R132" t="str">
        <f>IF(Stoperler!S34="","",Stoperler!S34)</f>
        <v/>
      </c>
      <c r="S132" t="str">
        <f>IF(Stoperler!T34="","",Stoperler!T34)</f>
        <v/>
      </c>
      <c r="T132" s="2" t="str">
        <f>IF(Stoperler!U34="","",Stoperler!U34)</f>
        <v/>
      </c>
      <c r="U132" t="s">
        <v>927</v>
      </c>
      <c r="V132">
        <v>34</v>
      </c>
      <c r="W132" t="str">
        <f ca="1">IF(AND($A132&lt;&gt;"",ISNUMBER($G132),$G132&gt;=TODAY(),$G132&lt;=EDATE(TODAY(),12)),COUNTIFS($G$2:$G$1001,"&gt;="&amp;TODAY(),$G$2:$G$1001,"&lt;"&amp;$G132,$A$2:$A$1001,"&lt;&gt;")+COUNTIFS($G$2:$G132,$G132,$A$2:$A132,"&lt;&gt;"),"")</f>
        <v/>
      </c>
      <c r="X132" t="str">
        <f>IF(AND($A132&lt;&gt;"",ISNUMBER($C132),$C132&gt;=DATE(2003,1,1)),COUNTIFS($C$2:$C132,"&gt;="&amp;DATE(2003,1,1),$A$2:$A132,"&lt;&gt;"),"")</f>
        <v/>
      </c>
    </row>
    <row r="133" spans="1:24">
      <c r="A133" t="str">
        <f>IF(Stoperler!A35="","",Stoperler!A35)</f>
        <v/>
      </c>
      <c r="B133" t="str">
        <f>IF(Stoperler!B35="","",Stoperler!B35)</f>
        <v/>
      </c>
      <c r="C133" s="2" t="str">
        <f>IF(Stoperler!C35="","",Stoperler!C35)</f>
        <v/>
      </c>
      <c r="D133" t="str">
        <f ca="1">IF(Stoperler!D35="","",Stoperler!D35)</f>
        <v/>
      </c>
      <c r="E133" t="str">
        <f>IF(Stoperler!E35="","",Stoperler!E35)</f>
        <v>Stoper</v>
      </c>
      <c r="F133" t="str">
        <f>IF(Stoperler!G35="","",Stoperler!G35)</f>
        <v/>
      </c>
      <c r="G133" s="2" t="str">
        <f>IF(Stoperler!H35="","",Stoperler!H35)</f>
        <v/>
      </c>
      <c r="H133" t="str">
        <f>IF(Stoperler!I35="","",Stoperler!I35)</f>
        <v/>
      </c>
      <c r="I133" t="str">
        <f>IF(Stoperler!A35="","",Stoperler!J35)</f>
        <v/>
      </c>
      <c r="J133" t="str">
        <f>IF(Stoperler!A35="","",Stoperler!K35)</f>
        <v/>
      </c>
      <c r="K133" t="str">
        <f>IF(Stoperler!L35="","",Stoperler!L35)</f>
        <v/>
      </c>
      <c r="L133" t="str">
        <f>IF(Stoperler!M35="","",Stoperler!M35)</f>
        <v/>
      </c>
      <c r="M133" t="str">
        <f>IF(Stoperler!N35="","",Stoperler!N35)</f>
        <v/>
      </c>
      <c r="N133" t="str">
        <f>IF(Stoperler!O35="","",Stoperler!O35)</f>
        <v/>
      </c>
      <c r="O133" t="str">
        <f>IF(Stoperler!P35="","",Stoperler!P35)</f>
        <v/>
      </c>
      <c r="P133" t="str">
        <f>IF(Stoperler!Q35="","",Stoperler!Q35)</f>
        <v/>
      </c>
      <c r="Q133" t="str">
        <f>IF(Stoperler!R35="","",Stoperler!R35)</f>
        <v/>
      </c>
      <c r="R133" t="str">
        <f>IF(Stoperler!S35="","",Stoperler!S35)</f>
        <v/>
      </c>
      <c r="S133" t="str">
        <f>IF(Stoperler!T35="","",Stoperler!T35)</f>
        <v/>
      </c>
      <c r="T133" s="2" t="str">
        <f>IF(Stoperler!U35="","",Stoperler!U35)</f>
        <v/>
      </c>
      <c r="U133" t="s">
        <v>927</v>
      </c>
      <c r="V133">
        <v>35</v>
      </c>
      <c r="W133" t="str">
        <f ca="1">IF(AND($A133&lt;&gt;"",ISNUMBER($G133),$G133&gt;=TODAY(),$G133&lt;=EDATE(TODAY(),12)),COUNTIFS($G$2:$G$1001,"&gt;="&amp;TODAY(),$G$2:$G$1001,"&lt;"&amp;$G133,$A$2:$A$1001,"&lt;&gt;")+COUNTIFS($G$2:$G133,$G133,$A$2:$A133,"&lt;&gt;"),"")</f>
        <v/>
      </c>
      <c r="X133" t="str">
        <f>IF(AND($A133&lt;&gt;"",ISNUMBER($C133),$C133&gt;=DATE(2003,1,1)),COUNTIFS($C$2:$C133,"&gt;="&amp;DATE(2003,1,1),$A$2:$A133,"&lt;&gt;"),"")</f>
        <v/>
      </c>
    </row>
    <row r="134" spans="1:24">
      <c r="A134" t="str">
        <f>IF(Stoperler!A36="","",Stoperler!A36)</f>
        <v/>
      </c>
      <c r="B134" t="str">
        <f>IF(Stoperler!B36="","",Stoperler!B36)</f>
        <v/>
      </c>
      <c r="C134" s="2" t="str">
        <f>IF(Stoperler!C36="","",Stoperler!C36)</f>
        <v/>
      </c>
      <c r="D134" t="str">
        <f ca="1">IF(Stoperler!D36="","",Stoperler!D36)</f>
        <v/>
      </c>
      <c r="E134" t="str">
        <f>IF(Stoperler!E36="","",Stoperler!E36)</f>
        <v>Stoper</v>
      </c>
      <c r="F134" t="str">
        <f>IF(Stoperler!G36="","",Stoperler!G36)</f>
        <v/>
      </c>
      <c r="G134" s="2" t="str">
        <f>IF(Stoperler!H36="","",Stoperler!H36)</f>
        <v/>
      </c>
      <c r="H134" t="str">
        <f>IF(Stoperler!I36="","",Stoperler!I36)</f>
        <v/>
      </c>
      <c r="I134" t="str">
        <f>IF(Stoperler!A36="","",Stoperler!J36)</f>
        <v/>
      </c>
      <c r="J134" t="str">
        <f>IF(Stoperler!A36="","",Stoperler!K36)</f>
        <v/>
      </c>
      <c r="K134" t="str">
        <f>IF(Stoperler!L36="","",Stoperler!L36)</f>
        <v/>
      </c>
      <c r="L134" t="str">
        <f>IF(Stoperler!M36="","",Stoperler!M36)</f>
        <v/>
      </c>
      <c r="M134" t="str">
        <f>IF(Stoperler!N36="","",Stoperler!N36)</f>
        <v/>
      </c>
      <c r="N134" t="str">
        <f>IF(Stoperler!O36="","",Stoperler!O36)</f>
        <v/>
      </c>
      <c r="O134" t="str">
        <f>IF(Stoperler!P36="","",Stoperler!P36)</f>
        <v/>
      </c>
      <c r="P134" t="str">
        <f>IF(Stoperler!Q36="","",Stoperler!Q36)</f>
        <v/>
      </c>
      <c r="Q134" t="str">
        <f>IF(Stoperler!R36="","",Stoperler!R36)</f>
        <v/>
      </c>
      <c r="R134" t="str">
        <f>IF(Stoperler!S36="","",Stoperler!S36)</f>
        <v/>
      </c>
      <c r="S134" t="str">
        <f>IF(Stoperler!T36="","",Stoperler!T36)</f>
        <v/>
      </c>
      <c r="T134" s="2" t="str">
        <f>IF(Stoperler!U36="","",Stoperler!U36)</f>
        <v/>
      </c>
      <c r="U134" t="s">
        <v>927</v>
      </c>
      <c r="V134">
        <v>36</v>
      </c>
      <c r="W134" t="str">
        <f ca="1">IF(AND($A134&lt;&gt;"",ISNUMBER($G134),$G134&gt;=TODAY(),$G134&lt;=EDATE(TODAY(),12)),COUNTIFS($G$2:$G$1001,"&gt;="&amp;TODAY(),$G$2:$G$1001,"&lt;"&amp;$G134,$A$2:$A$1001,"&lt;&gt;")+COUNTIFS($G$2:$G134,$G134,$A$2:$A134,"&lt;&gt;"),"")</f>
        <v/>
      </c>
      <c r="X134" t="str">
        <f>IF(AND($A134&lt;&gt;"",ISNUMBER($C134),$C134&gt;=DATE(2003,1,1)),COUNTIFS($C$2:$C134,"&gt;="&amp;DATE(2003,1,1),$A$2:$A134,"&lt;&gt;"),"")</f>
        <v/>
      </c>
    </row>
    <row r="135" spans="1:24">
      <c r="A135" t="str">
        <f>IF(Stoperler!A37="","",Stoperler!A37)</f>
        <v/>
      </c>
      <c r="B135" t="str">
        <f>IF(Stoperler!B37="","",Stoperler!B37)</f>
        <v/>
      </c>
      <c r="C135" s="2" t="str">
        <f>IF(Stoperler!C37="","",Stoperler!C37)</f>
        <v/>
      </c>
      <c r="D135" t="str">
        <f ca="1">IF(Stoperler!D37="","",Stoperler!D37)</f>
        <v/>
      </c>
      <c r="E135" t="str">
        <f>IF(Stoperler!E37="","",Stoperler!E37)</f>
        <v>Stoper</v>
      </c>
      <c r="F135" t="str">
        <f>IF(Stoperler!G37="","",Stoperler!G37)</f>
        <v/>
      </c>
      <c r="G135" s="2" t="str">
        <f>IF(Stoperler!H37="","",Stoperler!H37)</f>
        <v/>
      </c>
      <c r="H135" t="str">
        <f>IF(Stoperler!I37="","",Stoperler!I37)</f>
        <v/>
      </c>
      <c r="I135" t="str">
        <f>IF(Stoperler!A37="","",Stoperler!J37)</f>
        <v/>
      </c>
      <c r="J135" t="str">
        <f>IF(Stoperler!A37="","",Stoperler!K37)</f>
        <v/>
      </c>
      <c r="K135" t="str">
        <f>IF(Stoperler!L37="","",Stoperler!L37)</f>
        <v/>
      </c>
      <c r="L135" t="str">
        <f>IF(Stoperler!M37="","",Stoperler!M37)</f>
        <v/>
      </c>
      <c r="M135" t="str">
        <f>IF(Stoperler!N37="","",Stoperler!N37)</f>
        <v/>
      </c>
      <c r="N135" t="str">
        <f>IF(Stoperler!O37="","",Stoperler!O37)</f>
        <v/>
      </c>
      <c r="O135" t="str">
        <f>IF(Stoperler!P37="","",Stoperler!P37)</f>
        <v/>
      </c>
      <c r="P135" t="str">
        <f>IF(Stoperler!Q37="","",Stoperler!Q37)</f>
        <v/>
      </c>
      <c r="Q135" t="str">
        <f>IF(Stoperler!R37="","",Stoperler!R37)</f>
        <v/>
      </c>
      <c r="R135" t="str">
        <f>IF(Stoperler!S37="","",Stoperler!S37)</f>
        <v/>
      </c>
      <c r="S135" t="str">
        <f>IF(Stoperler!T37="","",Stoperler!T37)</f>
        <v/>
      </c>
      <c r="T135" s="2" t="str">
        <f>IF(Stoperler!U37="","",Stoperler!U37)</f>
        <v/>
      </c>
      <c r="U135" t="s">
        <v>927</v>
      </c>
      <c r="V135">
        <v>37</v>
      </c>
      <c r="W135" t="str">
        <f ca="1">IF(AND($A135&lt;&gt;"",ISNUMBER($G135),$G135&gt;=TODAY(),$G135&lt;=EDATE(TODAY(),12)),COUNTIFS($G$2:$G$1001,"&gt;="&amp;TODAY(),$G$2:$G$1001,"&lt;"&amp;$G135,$A$2:$A$1001,"&lt;&gt;")+COUNTIFS($G$2:$G135,$G135,$A$2:$A135,"&lt;&gt;"),"")</f>
        <v/>
      </c>
      <c r="X135" t="str">
        <f>IF(AND($A135&lt;&gt;"",ISNUMBER($C135),$C135&gt;=DATE(2003,1,1)),COUNTIFS($C$2:$C135,"&gt;="&amp;DATE(2003,1,1),$A$2:$A135,"&lt;&gt;"),"")</f>
        <v/>
      </c>
    </row>
    <row r="136" spans="1:24">
      <c r="A136" t="str">
        <f>IF(Stoperler!A38="","",Stoperler!A38)</f>
        <v/>
      </c>
      <c r="B136" t="str">
        <f>IF(Stoperler!B38="","",Stoperler!B38)</f>
        <v/>
      </c>
      <c r="C136" s="2" t="str">
        <f>IF(Stoperler!C38="","",Stoperler!C38)</f>
        <v/>
      </c>
      <c r="D136" t="str">
        <f ca="1">IF(Stoperler!D38="","",Stoperler!D38)</f>
        <v/>
      </c>
      <c r="E136" t="str">
        <f>IF(Stoperler!E38="","",Stoperler!E38)</f>
        <v>Stoper</v>
      </c>
      <c r="F136" t="str">
        <f>IF(Stoperler!G38="","",Stoperler!G38)</f>
        <v/>
      </c>
      <c r="G136" s="2" t="str">
        <f>IF(Stoperler!H38="","",Stoperler!H38)</f>
        <v/>
      </c>
      <c r="H136" t="str">
        <f>IF(Stoperler!I38="","",Stoperler!I38)</f>
        <v/>
      </c>
      <c r="I136" t="str">
        <f>IF(Stoperler!A38="","",Stoperler!J38)</f>
        <v/>
      </c>
      <c r="J136" t="str">
        <f>IF(Stoperler!A38="","",Stoperler!K38)</f>
        <v/>
      </c>
      <c r="K136" t="str">
        <f>IF(Stoperler!L38="","",Stoperler!L38)</f>
        <v/>
      </c>
      <c r="L136" t="str">
        <f>IF(Stoperler!M38="","",Stoperler!M38)</f>
        <v/>
      </c>
      <c r="M136" t="str">
        <f>IF(Stoperler!N38="","",Stoperler!N38)</f>
        <v/>
      </c>
      <c r="N136" t="str">
        <f>IF(Stoperler!O38="","",Stoperler!O38)</f>
        <v/>
      </c>
      <c r="O136" t="str">
        <f>IF(Stoperler!P38="","",Stoperler!P38)</f>
        <v/>
      </c>
      <c r="P136" t="str">
        <f>IF(Stoperler!Q38="","",Stoperler!Q38)</f>
        <v/>
      </c>
      <c r="Q136" t="str">
        <f>IF(Stoperler!R38="","",Stoperler!R38)</f>
        <v/>
      </c>
      <c r="R136" t="str">
        <f>IF(Stoperler!S38="","",Stoperler!S38)</f>
        <v/>
      </c>
      <c r="S136" t="str">
        <f>IF(Stoperler!T38="","",Stoperler!T38)</f>
        <v/>
      </c>
      <c r="T136" s="2" t="str">
        <f>IF(Stoperler!U38="","",Stoperler!U38)</f>
        <v/>
      </c>
      <c r="U136" t="s">
        <v>927</v>
      </c>
      <c r="V136">
        <v>38</v>
      </c>
      <c r="W136" t="str">
        <f ca="1">IF(AND($A136&lt;&gt;"",ISNUMBER($G136),$G136&gt;=TODAY(),$G136&lt;=EDATE(TODAY(),12)),COUNTIFS($G$2:$G$1001,"&gt;="&amp;TODAY(),$G$2:$G$1001,"&lt;"&amp;$G136,$A$2:$A$1001,"&lt;&gt;")+COUNTIFS($G$2:$G136,$G136,$A$2:$A136,"&lt;&gt;"),"")</f>
        <v/>
      </c>
      <c r="X136" t="str">
        <f>IF(AND($A136&lt;&gt;"",ISNUMBER($C136),$C136&gt;=DATE(2003,1,1)),COUNTIFS($C$2:$C136,"&gt;="&amp;DATE(2003,1,1),$A$2:$A136,"&lt;&gt;"),"")</f>
        <v/>
      </c>
    </row>
    <row r="137" spans="1:24">
      <c r="A137" t="str">
        <f>IF(Stoperler!A39="","",Stoperler!A39)</f>
        <v/>
      </c>
      <c r="B137" t="str">
        <f>IF(Stoperler!B39="","",Stoperler!B39)</f>
        <v/>
      </c>
      <c r="C137" s="2" t="str">
        <f>IF(Stoperler!C39="","",Stoperler!C39)</f>
        <v/>
      </c>
      <c r="D137" t="str">
        <f ca="1">IF(Stoperler!D39="","",Stoperler!D39)</f>
        <v/>
      </c>
      <c r="E137" t="str">
        <f>IF(Stoperler!E39="","",Stoperler!E39)</f>
        <v>Stoper</v>
      </c>
      <c r="F137" t="str">
        <f>IF(Stoperler!G39="","",Stoperler!G39)</f>
        <v/>
      </c>
      <c r="G137" s="2" t="str">
        <f>IF(Stoperler!H39="","",Stoperler!H39)</f>
        <v/>
      </c>
      <c r="H137" t="str">
        <f>IF(Stoperler!I39="","",Stoperler!I39)</f>
        <v/>
      </c>
      <c r="I137" t="str">
        <f>IF(Stoperler!A39="","",Stoperler!J39)</f>
        <v/>
      </c>
      <c r="J137" t="str">
        <f>IF(Stoperler!A39="","",Stoperler!K39)</f>
        <v/>
      </c>
      <c r="K137" t="str">
        <f>IF(Stoperler!L39="","",Stoperler!L39)</f>
        <v/>
      </c>
      <c r="L137" t="str">
        <f>IF(Stoperler!M39="","",Stoperler!M39)</f>
        <v/>
      </c>
      <c r="M137" t="str">
        <f>IF(Stoperler!N39="","",Stoperler!N39)</f>
        <v/>
      </c>
      <c r="N137" t="str">
        <f>IF(Stoperler!O39="","",Stoperler!O39)</f>
        <v/>
      </c>
      <c r="O137" t="str">
        <f>IF(Stoperler!P39="","",Stoperler!P39)</f>
        <v/>
      </c>
      <c r="P137" t="str">
        <f>IF(Stoperler!Q39="","",Stoperler!Q39)</f>
        <v/>
      </c>
      <c r="Q137" t="str">
        <f>IF(Stoperler!R39="","",Stoperler!R39)</f>
        <v/>
      </c>
      <c r="R137" t="str">
        <f>IF(Stoperler!S39="","",Stoperler!S39)</f>
        <v/>
      </c>
      <c r="S137" t="str">
        <f>IF(Stoperler!T39="","",Stoperler!T39)</f>
        <v/>
      </c>
      <c r="T137" s="2" t="str">
        <f>IF(Stoperler!U39="","",Stoperler!U39)</f>
        <v/>
      </c>
      <c r="U137" t="s">
        <v>927</v>
      </c>
      <c r="V137">
        <v>39</v>
      </c>
      <c r="W137" t="str">
        <f ca="1">IF(AND($A137&lt;&gt;"",ISNUMBER($G137),$G137&gt;=TODAY(),$G137&lt;=EDATE(TODAY(),12)),COUNTIFS($G$2:$G$1001,"&gt;="&amp;TODAY(),$G$2:$G$1001,"&lt;"&amp;$G137,$A$2:$A$1001,"&lt;&gt;")+COUNTIFS($G$2:$G137,$G137,$A$2:$A137,"&lt;&gt;"),"")</f>
        <v/>
      </c>
      <c r="X137" t="str">
        <f>IF(AND($A137&lt;&gt;"",ISNUMBER($C137),$C137&gt;=DATE(2003,1,1)),COUNTIFS($C$2:$C137,"&gt;="&amp;DATE(2003,1,1),$A$2:$A137,"&lt;&gt;"),"")</f>
        <v/>
      </c>
    </row>
    <row r="138" spans="1:24">
      <c r="A138" t="str">
        <f>IF(Stoperler!A40="","",Stoperler!A40)</f>
        <v/>
      </c>
      <c r="B138" t="str">
        <f>IF(Stoperler!B40="","",Stoperler!B40)</f>
        <v/>
      </c>
      <c r="C138" s="2" t="str">
        <f>IF(Stoperler!C40="","",Stoperler!C40)</f>
        <v/>
      </c>
      <c r="D138" t="str">
        <f ca="1">IF(Stoperler!D40="","",Stoperler!D40)</f>
        <v/>
      </c>
      <c r="E138" t="str">
        <f>IF(Stoperler!E40="","",Stoperler!E40)</f>
        <v>Stoper</v>
      </c>
      <c r="F138" t="str">
        <f>IF(Stoperler!G40="","",Stoperler!G40)</f>
        <v/>
      </c>
      <c r="G138" s="2" t="str">
        <f>IF(Stoperler!H40="","",Stoperler!H40)</f>
        <v/>
      </c>
      <c r="H138" t="str">
        <f>IF(Stoperler!I40="","",Stoperler!I40)</f>
        <v/>
      </c>
      <c r="I138" t="str">
        <f>IF(Stoperler!A40="","",Stoperler!J40)</f>
        <v/>
      </c>
      <c r="J138" t="str">
        <f>IF(Stoperler!A40="","",Stoperler!K40)</f>
        <v/>
      </c>
      <c r="K138" t="str">
        <f>IF(Stoperler!L40="","",Stoperler!L40)</f>
        <v/>
      </c>
      <c r="L138" t="str">
        <f>IF(Stoperler!M40="","",Stoperler!M40)</f>
        <v/>
      </c>
      <c r="M138" t="str">
        <f>IF(Stoperler!N40="","",Stoperler!N40)</f>
        <v/>
      </c>
      <c r="N138" t="str">
        <f>IF(Stoperler!O40="","",Stoperler!O40)</f>
        <v/>
      </c>
      <c r="O138" t="str">
        <f>IF(Stoperler!P40="","",Stoperler!P40)</f>
        <v/>
      </c>
      <c r="P138" t="str">
        <f>IF(Stoperler!Q40="","",Stoperler!Q40)</f>
        <v/>
      </c>
      <c r="Q138" t="str">
        <f>IF(Stoperler!R40="","",Stoperler!R40)</f>
        <v/>
      </c>
      <c r="R138" t="str">
        <f>IF(Stoperler!S40="","",Stoperler!S40)</f>
        <v/>
      </c>
      <c r="S138" t="str">
        <f>IF(Stoperler!T40="","",Stoperler!T40)</f>
        <v/>
      </c>
      <c r="T138" s="2" t="str">
        <f>IF(Stoperler!U40="","",Stoperler!U40)</f>
        <v/>
      </c>
      <c r="U138" t="s">
        <v>927</v>
      </c>
      <c r="V138">
        <v>40</v>
      </c>
      <c r="W138" t="str">
        <f ca="1">IF(AND($A138&lt;&gt;"",ISNUMBER($G138),$G138&gt;=TODAY(),$G138&lt;=EDATE(TODAY(),12)),COUNTIFS($G$2:$G$1001,"&gt;="&amp;TODAY(),$G$2:$G$1001,"&lt;"&amp;$G138,$A$2:$A$1001,"&lt;&gt;")+COUNTIFS($G$2:$G138,$G138,$A$2:$A138,"&lt;&gt;"),"")</f>
        <v/>
      </c>
      <c r="X138" t="str">
        <f>IF(AND($A138&lt;&gt;"",ISNUMBER($C138),$C138&gt;=DATE(2003,1,1)),COUNTIFS($C$2:$C138,"&gt;="&amp;DATE(2003,1,1),$A$2:$A138,"&lt;&gt;"),"")</f>
        <v/>
      </c>
    </row>
    <row r="139" spans="1:24">
      <c r="A139" t="str">
        <f>IF(Stoperler!A41="","",Stoperler!A41)</f>
        <v/>
      </c>
      <c r="B139" t="str">
        <f>IF(Stoperler!B41="","",Stoperler!B41)</f>
        <v/>
      </c>
      <c r="C139" s="2" t="str">
        <f>IF(Stoperler!C41="","",Stoperler!C41)</f>
        <v/>
      </c>
      <c r="D139" t="str">
        <f ca="1">IF(Stoperler!D41="","",Stoperler!D41)</f>
        <v/>
      </c>
      <c r="E139" t="str">
        <f>IF(Stoperler!E41="","",Stoperler!E41)</f>
        <v>Stoper</v>
      </c>
      <c r="F139" t="str">
        <f>IF(Stoperler!G41="","",Stoperler!G41)</f>
        <v/>
      </c>
      <c r="G139" s="2" t="str">
        <f>IF(Stoperler!H41="","",Stoperler!H41)</f>
        <v/>
      </c>
      <c r="H139" t="str">
        <f>IF(Stoperler!I41="","",Stoperler!I41)</f>
        <v/>
      </c>
      <c r="I139" t="str">
        <f>IF(Stoperler!A41="","",Stoperler!J41)</f>
        <v/>
      </c>
      <c r="J139" t="str">
        <f>IF(Stoperler!A41="","",Stoperler!K41)</f>
        <v/>
      </c>
      <c r="K139" t="str">
        <f>IF(Stoperler!L41="","",Stoperler!L41)</f>
        <v/>
      </c>
      <c r="L139" t="str">
        <f>IF(Stoperler!M41="","",Stoperler!M41)</f>
        <v/>
      </c>
      <c r="M139" t="str">
        <f>IF(Stoperler!N41="","",Stoperler!N41)</f>
        <v/>
      </c>
      <c r="N139" t="str">
        <f>IF(Stoperler!O41="","",Stoperler!O41)</f>
        <v/>
      </c>
      <c r="O139" t="str">
        <f>IF(Stoperler!P41="","",Stoperler!P41)</f>
        <v/>
      </c>
      <c r="P139" t="str">
        <f>IF(Stoperler!Q41="","",Stoperler!Q41)</f>
        <v/>
      </c>
      <c r="Q139" t="str">
        <f>IF(Stoperler!R41="","",Stoperler!R41)</f>
        <v/>
      </c>
      <c r="R139" t="str">
        <f>IF(Stoperler!S41="","",Stoperler!S41)</f>
        <v/>
      </c>
      <c r="S139" t="str">
        <f>IF(Stoperler!T41="","",Stoperler!T41)</f>
        <v/>
      </c>
      <c r="T139" s="2" t="str">
        <f>IF(Stoperler!U41="","",Stoperler!U41)</f>
        <v/>
      </c>
      <c r="U139" t="s">
        <v>927</v>
      </c>
      <c r="V139">
        <v>41</v>
      </c>
      <c r="W139" t="str">
        <f ca="1">IF(AND($A139&lt;&gt;"",ISNUMBER($G139),$G139&gt;=TODAY(),$G139&lt;=EDATE(TODAY(),12)),COUNTIFS($G$2:$G$1001,"&gt;="&amp;TODAY(),$G$2:$G$1001,"&lt;"&amp;$G139,$A$2:$A$1001,"&lt;&gt;")+COUNTIFS($G$2:$G139,$G139,$A$2:$A139,"&lt;&gt;"),"")</f>
        <v/>
      </c>
      <c r="X139" t="str">
        <f>IF(AND($A139&lt;&gt;"",ISNUMBER($C139),$C139&gt;=DATE(2003,1,1)),COUNTIFS($C$2:$C139,"&gt;="&amp;DATE(2003,1,1),$A$2:$A139,"&lt;&gt;"),"")</f>
        <v/>
      </c>
    </row>
    <row r="140" spans="1:24">
      <c r="A140" t="str">
        <f>IF(Stoperler!A42="","",Stoperler!A42)</f>
        <v/>
      </c>
      <c r="B140" t="str">
        <f>IF(Stoperler!B42="","",Stoperler!B42)</f>
        <v/>
      </c>
      <c r="C140" s="2" t="str">
        <f>IF(Stoperler!C42="","",Stoperler!C42)</f>
        <v/>
      </c>
      <c r="D140" t="str">
        <f ca="1">IF(Stoperler!D42="","",Stoperler!D42)</f>
        <v/>
      </c>
      <c r="E140" t="str">
        <f>IF(Stoperler!E42="","",Stoperler!E42)</f>
        <v>Stoper</v>
      </c>
      <c r="F140" t="str">
        <f>IF(Stoperler!G42="","",Stoperler!G42)</f>
        <v/>
      </c>
      <c r="G140" s="2" t="str">
        <f>IF(Stoperler!H42="","",Stoperler!H42)</f>
        <v/>
      </c>
      <c r="H140" t="str">
        <f>IF(Stoperler!I42="","",Stoperler!I42)</f>
        <v/>
      </c>
      <c r="I140" t="str">
        <f>IF(Stoperler!A42="","",Stoperler!J42)</f>
        <v/>
      </c>
      <c r="J140" t="str">
        <f>IF(Stoperler!A42="","",Stoperler!K42)</f>
        <v/>
      </c>
      <c r="K140" t="str">
        <f>IF(Stoperler!L42="","",Stoperler!L42)</f>
        <v/>
      </c>
      <c r="L140" t="str">
        <f>IF(Stoperler!M42="","",Stoperler!M42)</f>
        <v/>
      </c>
      <c r="M140" t="str">
        <f>IF(Stoperler!N42="","",Stoperler!N42)</f>
        <v/>
      </c>
      <c r="N140" t="str">
        <f>IF(Stoperler!O42="","",Stoperler!O42)</f>
        <v/>
      </c>
      <c r="O140" t="str">
        <f>IF(Stoperler!P42="","",Stoperler!P42)</f>
        <v/>
      </c>
      <c r="P140" t="str">
        <f>IF(Stoperler!Q42="","",Stoperler!Q42)</f>
        <v/>
      </c>
      <c r="Q140" t="str">
        <f>IF(Stoperler!R42="","",Stoperler!R42)</f>
        <v/>
      </c>
      <c r="R140" t="str">
        <f>IF(Stoperler!S42="","",Stoperler!S42)</f>
        <v/>
      </c>
      <c r="S140" t="str">
        <f>IF(Stoperler!T42="","",Stoperler!T42)</f>
        <v/>
      </c>
      <c r="T140" s="2" t="str">
        <f>IF(Stoperler!U42="","",Stoperler!U42)</f>
        <v/>
      </c>
      <c r="U140" t="s">
        <v>927</v>
      </c>
      <c r="V140">
        <v>42</v>
      </c>
      <c r="W140" t="str">
        <f ca="1">IF(AND($A140&lt;&gt;"",ISNUMBER($G140),$G140&gt;=TODAY(),$G140&lt;=EDATE(TODAY(),12)),COUNTIFS($G$2:$G$1001,"&gt;="&amp;TODAY(),$G$2:$G$1001,"&lt;"&amp;$G140,$A$2:$A$1001,"&lt;&gt;")+COUNTIFS($G$2:$G140,$G140,$A$2:$A140,"&lt;&gt;"),"")</f>
        <v/>
      </c>
      <c r="X140" t="str">
        <f>IF(AND($A140&lt;&gt;"",ISNUMBER($C140),$C140&gt;=DATE(2003,1,1)),COUNTIFS($C$2:$C140,"&gt;="&amp;DATE(2003,1,1),$A$2:$A140,"&lt;&gt;"),"")</f>
        <v/>
      </c>
    </row>
    <row r="141" spans="1:24">
      <c r="A141" t="str">
        <f>IF(Stoperler!A43="","",Stoperler!A43)</f>
        <v/>
      </c>
      <c r="B141" t="str">
        <f>IF(Stoperler!B43="","",Stoperler!B43)</f>
        <v/>
      </c>
      <c r="C141" s="2" t="str">
        <f>IF(Stoperler!C43="","",Stoperler!C43)</f>
        <v/>
      </c>
      <c r="D141" t="str">
        <f ca="1">IF(Stoperler!D43="","",Stoperler!D43)</f>
        <v/>
      </c>
      <c r="E141" t="str">
        <f>IF(Stoperler!E43="","",Stoperler!E43)</f>
        <v>Stoper</v>
      </c>
      <c r="F141" t="str">
        <f>IF(Stoperler!G43="","",Stoperler!G43)</f>
        <v/>
      </c>
      <c r="G141" s="2" t="str">
        <f>IF(Stoperler!H43="","",Stoperler!H43)</f>
        <v/>
      </c>
      <c r="H141" t="str">
        <f>IF(Stoperler!I43="","",Stoperler!I43)</f>
        <v/>
      </c>
      <c r="I141" t="str">
        <f>IF(Stoperler!A43="","",Stoperler!J43)</f>
        <v/>
      </c>
      <c r="J141" t="str">
        <f>IF(Stoperler!A43="","",Stoperler!K43)</f>
        <v/>
      </c>
      <c r="K141" t="str">
        <f>IF(Stoperler!L43="","",Stoperler!L43)</f>
        <v/>
      </c>
      <c r="L141" t="str">
        <f>IF(Stoperler!M43="","",Stoperler!M43)</f>
        <v/>
      </c>
      <c r="M141" t="str">
        <f>IF(Stoperler!N43="","",Stoperler!N43)</f>
        <v/>
      </c>
      <c r="N141" t="str">
        <f>IF(Stoperler!O43="","",Stoperler!O43)</f>
        <v/>
      </c>
      <c r="O141" t="str">
        <f>IF(Stoperler!P43="","",Stoperler!P43)</f>
        <v/>
      </c>
      <c r="P141" t="str">
        <f>IF(Stoperler!Q43="","",Stoperler!Q43)</f>
        <v/>
      </c>
      <c r="Q141" t="str">
        <f>IF(Stoperler!R43="","",Stoperler!R43)</f>
        <v/>
      </c>
      <c r="R141" t="str">
        <f>IF(Stoperler!S43="","",Stoperler!S43)</f>
        <v/>
      </c>
      <c r="S141" t="str">
        <f>IF(Stoperler!T43="","",Stoperler!T43)</f>
        <v/>
      </c>
      <c r="T141" s="2" t="str">
        <f>IF(Stoperler!U43="","",Stoperler!U43)</f>
        <v/>
      </c>
      <c r="U141" t="s">
        <v>927</v>
      </c>
      <c r="V141">
        <v>43</v>
      </c>
      <c r="W141" t="str">
        <f ca="1">IF(AND($A141&lt;&gt;"",ISNUMBER($G141),$G141&gt;=TODAY(),$G141&lt;=EDATE(TODAY(),12)),COUNTIFS($G$2:$G$1001,"&gt;="&amp;TODAY(),$G$2:$G$1001,"&lt;"&amp;$G141,$A$2:$A$1001,"&lt;&gt;")+COUNTIFS($G$2:$G141,$G141,$A$2:$A141,"&lt;&gt;"),"")</f>
        <v/>
      </c>
      <c r="X141" t="str">
        <f>IF(AND($A141&lt;&gt;"",ISNUMBER($C141),$C141&gt;=DATE(2003,1,1)),COUNTIFS($C$2:$C141,"&gt;="&amp;DATE(2003,1,1),$A$2:$A141,"&lt;&gt;"),"")</f>
        <v/>
      </c>
    </row>
    <row r="142" spans="1:24">
      <c r="A142" t="str">
        <f>IF(Stoperler!A44="","",Stoperler!A44)</f>
        <v/>
      </c>
      <c r="B142" t="str">
        <f>IF(Stoperler!B44="","",Stoperler!B44)</f>
        <v/>
      </c>
      <c r="C142" s="2" t="str">
        <f>IF(Stoperler!C44="","",Stoperler!C44)</f>
        <v/>
      </c>
      <c r="D142" t="str">
        <f ca="1">IF(Stoperler!D44="","",Stoperler!D44)</f>
        <v/>
      </c>
      <c r="E142" t="str">
        <f>IF(Stoperler!E44="","",Stoperler!E44)</f>
        <v>Stoper</v>
      </c>
      <c r="F142" t="str">
        <f>IF(Stoperler!G44="","",Stoperler!G44)</f>
        <v/>
      </c>
      <c r="G142" s="2" t="str">
        <f>IF(Stoperler!H44="","",Stoperler!H44)</f>
        <v/>
      </c>
      <c r="H142" t="str">
        <f>IF(Stoperler!I44="","",Stoperler!I44)</f>
        <v/>
      </c>
      <c r="I142" t="str">
        <f>IF(Stoperler!A44="","",Stoperler!J44)</f>
        <v/>
      </c>
      <c r="J142" t="str">
        <f>IF(Stoperler!A44="","",Stoperler!K44)</f>
        <v/>
      </c>
      <c r="K142" t="str">
        <f>IF(Stoperler!L44="","",Stoperler!L44)</f>
        <v/>
      </c>
      <c r="L142" t="str">
        <f>IF(Stoperler!M44="","",Stoperler!M44)</f>
        <v/>
      </c>
      <c r="M142" t="str">
        <f>IF(Stoperler!N44="","",Stoperler!N44)</f>
        <v/>
      </c>
      <c r="N142" t="str">
        <f>IF(Stoperler!O44="","",Stoperler!O44)</f>
        <v/>
      </c>
      <c r="O142" t="str">
        <f>IF(Stoperler!P44="","",Stoperler!P44)</f>
        <v/>
      </c>
      <c r="P142" t="str">
        <f>IF(Stoperler!Q44="","",Stoperler!Q44)</f>
        <v/>
      </c>
      <c r="Q142" t="str">
        <f>IF(Stoperler!R44="","",Stoperler!R44)</f>
        <v/>
      </c>
      <c r="R142" t="str">
        <f>IF(Stoperler!S44="","",Stoperler!S44)</f>
        <v/>
      </c>
      <c r="S142" t="str">
        <f>IF(Stoperler!T44="","",Stoperler!T44)</f>
        <v/>
      </c>
      <c r="T142" s="2" t="str">
        <f>IF(Stoperler!U44="","",Stoperler!U44)</f>
        <v/>
      </c>
      <c r="U142" t="s">
        <v>927</v>
      </c>
      <c r="V142">
        <v>44</v>
      </c>
      <c r="W142" t="str">
        <f ca="1">IF(AND($A142&lt;&gt;"",ISNUMBER($G142),$G142&gt;=TODAY(),$G142&lt;=EDATE(TODAY(),12)),COUNTIFS($G$2:$G$1001,"&gt;="&amp;TODAY(),$G$2:$G$1001,"&lt;"&amp;$G142,$A$2:$A$1001,"&lt;&gt;")+COUNTIFS($G$2:$G142,$G142,$A$2:$A142,"&lt;&gt;"),"")</f>
        <v/>
      </c>
      <c r="X142" t="str">
        <f>IF(AND($A142&lt;&gt;"",ISNUMBER($C142),$C142&gt;=DATE(2003,1,1)),COUNTIFS($C$2:$C142,"&gt;="&amp;DATE(2003,1,1),$A$2:$A142,"&lt;&gt;"),"")</f>
        <v/>
      </c>
    </row>
    <row r="143" spans="1:24">
      <c r="A143" t="str">
        <f>IF(Stoperler!A45="","",Stoperler!A45)</f>
        <v/>
      </c>
      <c r="B143" t="str">
        <f>IF(Stoperler!B45="","",Stoperler!B45)</f>
        <v/>
      </c>
      <c r="C143" s="2" t="str">
        <f>IF(Stoperler!C45="","",Stoperler!C45)</f>
        <v/>
      </c>
      <c r="D143" t="str">
        <f ca="1">IF(Stoperler!D45="","",Stoperler!D45)</f>
        <v/>
      </c>
      <c r="E143" t="str">
        <f>IF(Stoperler!E45="","",Stoperler!E45)</f>
        <v>Stoper</v>
      </c>
      <c r="F143" t="str">
        <f>IF(Stoperler!G45="","",Stoperler!G45)</f>
        <v/>
      </c>
      <c r="G143" s="2" t="str">
        <f>IF(Stoperler!H45="","",Stoperler!H45)</f>
        <v/>
      </c>
      <c r="H143" t="str">
        <f>IF(Stoperler!I45="","",Stoperler!I45)</f>
        <v/>
      </c>
      <c r="I143" t="str">
        <f>IF(Stoperler!A45="","",Stoperler!J45)</f>
        <v/>
      </c>
      <c r="J143" t="str">
        <f>IF(Stoperler!A45="","",Stoperler!K45)</f>
        <v/>
      </c>
      <c r="K143" t="str">
        <f>IF(Stoperler!L45="","",Stoperler!L45)</f>
        <v/>
      </c>
      <c r="L143" t="str">
        <f>IF(Stoperler!M45="","",Stoperler!M45)</f>
        <v/>
      </c>
      <c r="M143" t="str">
        <f>IF(Stoperler!N45="","",Stoperler!N45)</f>
        <v/>
      </c>
      <c r="N143" t="str">
        <f>IF(Stoperler!O45="","",Stoperler!O45)</f>
        <v/>
      </c>
      <c r="O143" t="str">
        <f>IF(Stoperler!P45="","",Stoperler!P45)</f>
        <v/>
      </c>
      <c r="P143" t="str">
        <f>IF(Stoperler!Q45="","",Stoperler!Q45)</f>
        <v/>
      </c>
      <c r="Q143" t="str">
        <f>IF(Stoperler!R45="","",Stoperler!R45)</f>
        <v/>
      </c>
      <c r="R143" t="str">
        <f>IF(Stoperler!S45="","",Stoperler!S45)</f>
        <v/>
      </c>
      <c r="S143" t="str">
        <f>IF(Stoperler!T45="","",Stoperler!T45)</f>
        <v/>
      </c>
      <c r="T143" s="2" t="str">
        <f>IF(Stoperler!U45="","",Stoperler!U45)</f>
        <v/>
      </c>
      <c r="U143" t="s">
        <v>927</v>
      </c>
      <c r="V143">
        <v>45</v>
      </c>
      <c r="W143" t="str">
        <f ca="1">IF(AND($A143&lt;&gt;"",ISNUMBER($G143),$G143&gt;=TODAY(),$G143&lt;=EDATE(TODAY(),12)),COUNTIFS($G$2:$G$1001,"&gt;="&amp;TODAY(),$G$2:$G$1001,"&lt;"&amp;$G143,$A$2:$A$1001,"&lt;&gt;")+COUNTIFS($G$2:$G143,$G143,$A$2:$A143,"&lt;&gt;"),"")</f>
        <v/>
      </c>
      <c r="X143" t="str">
        <f>IF(AND($A143&lt;&gt;"",ISNUMBER($C143),$C143&gt;=DATE(2003,1,1)),COUNTIFS($C$2:$C143,"&gt;="&amp;DATE(2003,1,1),$A$2:$A143,"&lt;&gt;"),"")</f>
        <v/>
      </c>
    </row>
    <row r="144" spans="1:24">
      <c r="A144" t="str">
        <f>IF(Stoperler!A46="","",Stoperler!A46)</f>
        <v/>
      </c>
      <c r="B144" t="str">
        <f>IF(Stoperler!B46="","",Stoperler!B46)</f>
        <v/>
      </c>
      <c r="C144" s="2" t="str">
        <f>IF(Stoperler!C46="","",Stoperler!C46)</f>
        <v/>
      </c>
      <c r="D144" t="str">
        <f ca="1">IF(Stoperler!D46="","",Stoperler!D46)</f>
        <v/>
      </c>
      <c r="E144" t="str">
        <f>IF(Stoperler!E46="","",Stoperler!E46)</f>
        <v>Stoper</v>
      </c>
      <c r="F144" t="str">
        <f>IF(Stoperler!G46="","",Stoperler!G46)</f>
        <v/>
      </c>
      <c r="G144" s="2" t="str">
        <f>IF(Stoperler!H46="","",Stoperler!H46)</f>
        <v/>
      </c>
      <c r="H144" t="str">
        <f>IF(Stoperler!I46="","",Stoperler!I46)</f>
        <v/>
      </c>
      <c r="I144" t="str">
        <f>IF(Stoperler!A46="","",Stoperler!J46)</f>
        <v/>
      </c>
      <c r="J144" t="str">
        <f>IF(Stoperler!A46="","",Stoperler!K46)</f>
        <v/>
      </c>
      <c r="K144" t="str">
        <f>IF(Stoperler!L46="","",Stoperler!L46)</f>
        <v/>
      </c>
      <c r="L144" t="str">
        <f>IF(Stoperler!M46="","",Stoperler!M46)</f>
        <v/>
      </c>
      <c r="M144" t="str">
        <f>IF(Stoperler!N46="","",Stoperler!N46)</f>
        <v/>
      </c>
      <c r="N144" t="str">
        <f>IF(Stoperler!O46="","",Stoperler!O46)</f>
        <v/>
      </c>
      <c r="O144" t="str">
        <f>IF(Stoperler!P46="","",Stoperler!P46)</f>
        <v/>
      </c>
      <c r="P144" t="str">
        <f>IF(Stoperler!Q46="","",Stoperler!Q46)</f>
        <v/>
      </c>
      <c r="Q144" t="str">
        <f>IF(Stoperler!R46="","",Stoperler!R46)</f>
        <v/>
      </c>
      <c r="R144" t="str">
        <f>IF(Stoperler!S46="","",Stoperler!S46)</f>
        <v/>
      </c>
      <c r="S144" t="str">
        <f>IF(Stoperler!T46="","",Stoperler!T46)</f>
        <v/>
      </c>
      <c r="T144" s="2" t="str">
        <f>IF(Stoperler!U46="","",Stoperler!U46)</f>
        <v/>
      </c>
      <c r="U144" t="s">
        <v>927</v>
      </c>
      <c r="V144">
        <v>46</v>
      </c>
      <c r="W144" t="str">
        <f ca="1">IF(AND($A144&lt;&gt;"",ISNUMBER($G144),$G144&gt;=TODAY(),$G144&lt;=EDATE(TODAY(),12)),COUNTIFS($G$2:$G$1001,"&gt;="&amp;TODAY(),$G$2:$G$1001,"&lt;"&amp;$G144,$A$2:$A$1001,"&lt;&gt;")+COUNTIFS($G$2:$G144,$G144,$A$2:$A144,"&lt;&gt;"),"")</f>
        <v/>
      </c>
      <c r="X144" t="str">
        <f>IF(AND($A144&lt;&gt;"",ISNUMBER($C144),$C144&gt;=DATE(2003,1,1)),COUNTIFS($C$2:$C144,"&gt;="&amp;DATE(2003,1,1),$A$2:$A144,"&lt;&gt;"),"")</f>
        <v/>
      </c>
    </row>
    <row r="145" spans="1:24">
      <c r="A145" t="str">
        <f>IF(Stoperler!A47="","",Stoperler!A47)</f>
        <v/>
      </c>
      <c r="B145" t="str">
        <f>IF(Stoperler!B47="","",Stoperler!B47)</f>
        <v/>
      </c>
      <c r="C145" s="2" t="str">
        <f>IF(Stoperler!C47="","",Stoperler!C47)</f>
        <v/>
      </c>
      <c r="D145" t="str">
        <f ca="1">IF(Stoperler!D47="","",Stoperler!D47)</f>
        <v/>
      </c>
      <c r="E145" t="str">
        <f>IF(Stoperler!E47="","",Stoperler!E47)</f>
        <v>Stoper</v>
      </c>
      <c r="F145" t="str">
        <f>IF(Stoperler!G47="","",Stoperler!G47)</f>
        <v/>
      </c>
      <c r="G145" s="2" t="str">
        <f>IF(Stoperler!H47="","",Stoperler!H47)</f>
        <v/>
      </c>
      <c r="H145" t="str">
        <f>IF(Stoperler!I47="","",Stoperler!I47)</f>
        <v/>
      </c>
      <c r="I145" t="str">
        <f>IF(Stoperler!A47="","",Stoperler!J47)</f>
        <v/>
      </c>
      <c r="J145" t="str">
        <f>IF(Stoperler!A47="","",Stoperler!K47)</f>
        <v/>
      </c>
      <c r="K145" t="str">
        <f>IF(Stoperler!L47="","",Stoperler!L47)</f>
        <v/>
      </c>
      <c r="L145" t="str">
        <f>IF(Stoperler!M47="","",Stoperler!M47)</f>
        <v/>
      </c>
      <c r="M145" t="str">
        <f>IF(Stoperler!N47="","",Stoperler!N47)</f>
        <v/>
      </c>
      <c r="N145" t="str">
        <f>IF(Stoperler!O47="","",Stoperler!O47)</f>
        <v/>
      </c>
      <c r="O145" t="str">
        <f>IF(Stoperler!P47="","",Stoperler!P47)</f>
        <v/>
      </c>
      <c r="P145" t="str">
        <f>IF(Stoperler!Q47="","",Stoperler!Q47)</f>
        <v/>
      </c>
      <c r="Q145" t="str">
        <f>IF(Stoperler!R47="","",Stoperler!R47)</f>
        <v/>
      </c>
      <c r="R145" t="str">
        <f>IF(Stoperler!S47="","",Stoperler!S47)</f>
        <v/>
      </c>
      <c r="S145" t="str">
        <f>IF(Stoperler!T47="","",Stoperler!T47)</f>
        <v/>
      </c>
      <c r="T145" s="2" t="str">
        <f>IF(Stoperler!U47="","",Stoperler!U47)</f>
        <v/>
      </c>
      <c r="U145" t="s">
        <v>927</v>
      </c>
      <c r="V145">
        <v>47</v>
      </c>
      <c r="W145" t="str">
        <f ca="1">IF(AND($A145&lt;&gt;"",ISNUMBER($G145),$G145&gt;=TODAY(),$G145&lt;=EDATE(TODAY(),12)),COUNTIFS($G$2:$G$1001,"&gt;="&amp;TODAY(),$G$2:$G$1001,"&lt;"&amp;$G145,$A$2:$A$1001,"&lt;&gt;")+COUNTIFS($G$2:$G145,$G145,$A$2:$A145,"&lt;&gt;"),"")</f>
        <v/>
      </c>
      <c r="X145" t="str">
        <f>IF(AND($A145&lt;&gt;"",ISNUMBER($C145),$C145&gt;=DATE(2003,1,1)),COUNTIFS($C$2:$C145,"&gt;="&amp;DATE(2003,1,1),$A$2:$A145,"&lt;&gt;"),"")</f>
        <v/>
      </c>
    </row>
    <row r="146" spans="1:24">
      <c r="A146" t="str">
        <f>IF(Stoperler!A48="","",Stoperler!A48)</f>
        <v/>
      </c>
      <c r="B146" t="str">
        <f>IF(Stoperler!B48="","",Stoperler!B48)</f>
        <v/>
      </c>
      <c r="C146" s="2" t="str">
        <f>IF(Stoperler!C48="","",Stoperler!C48)</f>
        <v/>
      </c>
      <c r="D146" t="str">
        <f ca="1">IF(Stoperler!D48="","",Stoperler!D48)</f>
        <v/>
      </c>
      <c r="E146" t="str">
        <f>IF(Stoperler!E48="","",Stoperler!E48)</f>
        <v>Stoper</v>
      </c>
      <c r="F146" t="str">
        <f>IF(Stoperler!G48="","",Stoperler!G48)</f>
        <v/>
      </c>
      <c r="G146" s="2" t="str">
        <f>IF(Stoperler!H48="","",Stoperler!H48)</f>
        <v/>
      </c>
      <c r="H146" t="str">
        <f>IF(Stoperler!I48="","",Stoperler!I48)</f>
        <v/>
      </c>
      <c r="I146" t="str">
        <f>IF(Stoperler!A48="","",Stoperler!J48)</f>
        <v/>
      </c>
      <c r="J146" t="str">
        <f>IF(Stoperler!A48="","",Stoperler!K48)</f>
        <v/>
      </c>
      <c r="K146" t="str">
        <f>IF(Stoperler!L48="","",Stoperler!L48)</f>
        <v/>
      </c>
      <c r="L146" t="str">
        <f>IF(Stoperler!M48="","",Stoperler!M48)</f>
        <v/>
      </c>
      <c r="M146" t="str">
        <f>IF(Stoperler!N48="","",Stoperler!N48)</f>
        <v/>
      </c>
      <c r="N146" t="str">
        <f>IF(Stoperler!O48="","",Stoperler!O48)</f>
        <v/>
      </c>
      <c r="O146" t="str">
        <f>IF(Stoperler!P48="","",Stoperler!P48)</f>
        <v/>
      </c>
      <c r="P146" t="str">
        <f>IF(Stoperler!Q48="","",Stoperler!Q48)</f>
        <v/>
      </c>
      <c r="Q146" t="str">
        <f>IF(Stoperler!R48="","",Stoperler!R48)</f>
        <v/>
      </c>
      <c r="R146" t="str">
        <f>IF(Stoperler!S48="","",Stoperler!S48)</f>
        <v/>
      </c>
      <c r="S146" t="str">
        <f>IF(Stoperler!T48="","",Stoperler!T48)</f>
        <v/>
      </c>
      <c r="T146" s="2" t="str">
        <f>IF(Stoperler!U48="","",Stoperler!U48)</f>
        <v/>
      </c>
      <c r="U146" t="s">
        <v>927</v>
      </c>
      <c r="V146">
        <v>48</v>
      </c>
      <c r="W146" t="str">
        <f ca="1">IF(AND($A146&lt;&gt;"",ISNUMBER($G146),$G146&gt;=TODAY(),$G146&lt;=EDATE(TODAY(),12)),COUNTIFS($G$2:$G$1001,"&gt;="&amp;TODAY(),$G$2:$G$1001,"&lt;"&amp;$G146,$A$2:$A$1001,"&lt;&gt;")+COUNTIFS($G$2:$G146,$G146,$A$2:$A146,"&lt;&gt;"),"")</f>
        <v/>
      </c>
      <c r="X146" t="str">
        <f>IF(AND($A146&lt;&gt;"",ISNUMBER($C146),$C146&gt;=DATE(2003,1,1)),COUNTIFS($C$2:$C146,"&gt;="&amp;DATE(2003,1,1),$A$2:$A146,"&lt;&gt;"),"")</f>
        <v/>
      </c>
    </row>
    <row r="147" spans="1:24">
      <c r="A147" t="str">
        <f>IF(Stoperler!A49="","",Stoperler!A49)</f>
        <v/>
      </c>
      <c r="B147" t="str">
        <f>IF(Stoperler!B49="","",Stoperler!B49)</f>
        <v/>
      </c>
      <c r="C147" s="2" t="str">
        <f>IF(Stoperler!C49="","",Stoperler!C49)</f>
        <v/>
      </c>
      <c r="D147" t="str">
        <f ca="1">IF(Stoperler!D49="","",Stoperler!D49)</f>
        <v/>
      </c>
      <c r="E147" t="str">
        <f>IF(Stoperler!E49="","",Stoperler!E49)</f>
        <v>Stoper</v>
      </c>
      <c r="F147" t="str">
        <f>IF(Stoperler!G49="","",Stoperler!G49)</f>
        <v/>
      </c>
      <c r="G147" s="2" t="str">
        <f>IF(Stoperler!H49="","",Stoperler!H49)</f>
        <v/>
      </c>
      <c r="H147" t="str">
        <f>IF(Stoperler!I49="","",Stoperler!I49)</f>
        <v/>
      </c>
      <c r="I147" t="str">
        <f>IF(Stoperler!A49="","",Stoperler!J49)</f>
        <v/>
      </c>
      <c r="J147" t="str">
        <f>IF(Stoperler!A49="","",Stoperler!K49)</f>
        <v/>
      </c>
      <c r="K147" t="str">
        <f>IF(Stoperler!L49="","",Stoperler!L49)</f>
        <v/>
      </c>
      <c r="L147" t="str">
        <f>IF(Stoperler!M49="","",Stoperler!M49)</f>
        <v/>
      </c>
      <c r="M147" t="str">
        <f>IF(Stoperler!N49="","",Stoperler!N49)</f>
        <v/>
      </c>
      <c r="N147" t="str">
        <f>IF(Stoperler!O49="","",Stoperler!O49)</f>
        <v/>
      </c>
      <c r="O147" t="str">
        <f>IF(Stoperler!P49="","",Stoperler!P49)</f>
        <v/>
      </c>
      <c r="P147" t="str">
        <f>IF(Stoperler!Q49="","",Stoperler!Q49)</f>
        <v/>
      </c>
      <c r="Q147" t="str">
        <f>IF(Stoperler!R49="","",Stoperler!R49)</f>
        <v/>
      </c>
      <c r="R147" t="str">
        <f>IF(Stoperler!S49="","",Stoperler!S49)</f>
        <v/>
      </c>
      <c r="S147" t="str">
        <f>IF(Stoperler!T49="","",Stoperler!T49)</f>
        <v/>
      </c>
      <c r="T147" s="2" t="str">
        <f>IF(Stoperler!U49="","",Stoperler!U49)</f>
        <v/>
      </c>
      <c r="U147" t="s">
        <v>927</v>
      </c>
      <c r="V147">
        <v>49</v>
      </c>
      <c r="W147" t="str">
        <f ca="1">IF(AND($A147&lt;&gt;"",ISNUMBER($G147),$G147&gt;=TODAY(),$G147&lt;=EDATE(TODAY(),12)),COUNTIFS($G$2:$G$1001,"&gt;="&amp;TODAY(),$G$2:$G$1001,"&lt;"&amp;$G147,$A$2:$A$1001,"&lt;&gt;")+COUNTIFS($G$2:$G147,$G147,$A$2:$A147,"&lt;&gt;"),"")</f>
        <v/>
      </c>
      <c r="X147" t="str">
        <f>IF(AND($A147&lt;&gt;"",ISNUMBER($C147),$C147&gt;=DATE(2003,1,1)),COUNTIFS($C$2:$C147,"&gt;="&amp;DATE(2003,1,1),$A$2:$A147,"&lt;&gt;"),"")</f>
        <v/>
      </c>
    </row>
    <row r="148" spans="1:24">
      <c r="A148" t="str">
        <f>IF(Stoperler!A50="","",Stoperler!A50)</f>
        <v/>
      </c>
      <c r="B148" t="str">
        <f>IF(Stoperler!B50="","",Stoperler!B50)</f>
        <v/>
      </c>
      <c r="C148" s="2" t="str">
        <f>IF(Stoperler!C50="","",Stoperler!C50)</f>
        <v/>
      </c>
      <c r="D148" t="str">
        <f ca="1">IF(Stoperler!D50="","",Stoperler!D50)</f>
        <v/>
      </c>
      <c r="E148" t="str">
        <f>IF(Stoperler!E50="","",Stoperler!E50)</f>
        <v>Stoper</v>
      </c>
      <c r="F148" t="str">
        <f>IF(Stoperler!G50="","",Stoperler!G50)</f>
        <v/>
      </c>
      <c r="G148" s="2" t="str">
        <f>IF(Stoperler!H50="","",Stoperler!H50)</f>
        <v/>
      </c>
      <c r="H148" t="str">
        <f>IF(Stoperler!I50="","",Stoperler!I50)</f>
        <v/>
      </c>
      <c r="I148" t="str">
        <f>IF(Stoperler!A50="","",Stoperler!J50)</f>
        <v/>
      </c>
      <c r="J148" t="str">
        <f>IF(Stoperler!A50="","",Stoperler!K50)</f>
        <v/>
      </c>
      <c r="K148" t="str">
        <f>IF(Stoperler!L50="","",Stoperler!L50)</f>
        <v/>
      </c>
      <c r="L148" t="str">
        <f>IF(Stoperler!M50="","",Stoperler!M50)</f>
        <v/>
      </c>
      <c r="M148" t="str">
        <f>IF(Stoperler!N50="","",Stoperler!N50)</f>
        <v/>
      </c>
      <c r="N148" t="str">
        <f>IF(Stoperler!O50="","",Stoperler!O50)</f>
        <v/>
      </c>
      <c r="O148" t="str">
        <f>IF(Stoperler!P50="","",Stoperler!P50)</f>
        <v/>
      </c>
      <c r="P148" t="str">
        <f>IF(Stoperler!Q50="","",Stoperler!Q50)</f>
        <v/>
      </c>
      <c r="Q148" t="str">
        <f>IF(Stoperler!R50="","",Stoperler!R50)</f>
        <v/>
      </c>
      <c r="R148" t="str">
        <f>IF(Stoperler!S50="","",Stoperler!S50)</f>
        <v/>
      </c>
      <c r="S148" t="str">
        <f>IF(Stoperler!T50="","",Stoperler!T50)</f>
        <v/>
      </c>
      <c r="T148" s="2" t="str">
        <f>IF(Stoperler!U50="","",Stoperler!U50)</f>
        <v/>
      </c>
      <c r="U148" t="s">
        <v>927</v>
      </c>
      <c r="V148">
        <v>50</v>
      </c>
      <c r="W148" t="str">
        <f ca="1">IF(AND($A148&lt;&gt;"",ISNUMBER($G148),$G148&gt;=TODAY(),$G148&lt;=EDATE(TODAY(),12)),COUNTIFS($G$2:$G$1001,"&gt;="&amp;TODAY(),$G$2:$G$1001,"&lt;"&amp;$G148,$A$2:$A$1001,"&lt;&gt;")+COUNTIFS($G$2:$G148,$G148,$A$2:$A148,"&lt;&gt;"),"")</f>
        <v/>
      </c>
      <c r="X148" t="str">
        <f>IF(AND($A148&lt;&gt;"",ISNUMBER($C148),$C148&gt;=DATE(2003,1,1)),COUNTIFS($C$2:$C148,"&gt;="&amp;DATE(2003,1,1),$A$2:$A148,"&lt;&gt;"),"")</f>
        <v/>
      </c>
    </row>
    <row r="149" spans="1:24">
      <c r="A149" t="str">
        <f>IF(Stoperler!A51="","",Stoperler!A51)</f>
        <v/>
      </c>
      <c r="B149" t="str">
        <f>IF(Stoperler!B51="","",Stoperler!B51)</f>
        <v/>
      </c>
      <c r="C149" s="2" t="str">
        <f>IF(Stoperler!C51="","",Stoperler!C51)</f>
        <v/>
      </c>
      <c r="D149" t="str">
        <f ca="1">IF(Stoperler!D51="","",Stoperler!D51)</f>
        <v/>
      </c>
      <c r="E149" t="str">
        <f>IF(Stoperler!E51="","",Stoperler!E51)</f>
        <v>Stoper</v>
      </c>
      <c r="F149" t="str">
        <f>IF(Stoperler!G51="","",Stoperler!G51)</f>
        <v/>
      </c>
      <c r="G149" s="2" t="str">
        <f>IF(Stoperler!H51="","",Stoperler!H51)</f>
        <v/>
      </c>
      <c r="H149" t="str">
        <f>IF(Stoperler!I51="","",Stoperler!I51)</f>
        <v/>
      </c>
      <c r="I149" t="str">
        <f>IF(Stoperler!A51="","",Stoperler!J51)</f>
        <v/>
      </c>
      <c r="J149" t="str">
        <f>IF(Stoperler!A51="","",Stoperler!K51)</f>
        <v/>
      </c>
      <c r="K149" t="str">
        <f>IF(Stoperler!L51="","",Stoperler!L51)</f>
        <v/>
      </c>
      <c r="L149" t="str">
        <f>IF(Stoperler!M51="","",Stoperler!M51)</f>
        <v/>
      </c>
      <c r="M149" t="str">
        <f>IF(Stoperler!N51="","",Stoperler!N51)</f>
        <v/>
      </c>
      <c r="N149" t="str">
        <f>IF(Stoperler!O51="","",Stoperler!O51)</f>
        <v/>
      </c>
      <c r="O149" t="str">
        <f>IF(Stoperler!P51="","",Stoperler!P51)</f>
        <v/>
      </c>
      <c r="P149" t="str">
        <f>IF(Stoperler!Q51="","",Stoperler!Q51)</f>
        <v/>
      </c>
      <c r="Q149" t="str">
        <f>IF(Stoperler!R51="","",Stoperler!R51)</f>
        <v/>
      </c>
      <c r="R149" t="str">
        <f>IF(Stoperler!S51="","",Stoperler!S51)</f>
        <v/>
      </c>
      <c r="S149" t="str">
        <f>IF(Stoperler!T51="","",Stoperler!T51)</f>
        <v/>
      </c>
      <c r="T149" s="2" t="str">
        <f>IF(Stoperler!U51="","",Stoperler!U51)</f>
        <v/>
      </c>
      <c r="U149" t="s">
        <v>927</v>
      </c>
      <c r="V149">
        <v>51</v>
      </c>
      <c r="W149" t="str">
        <f ca="1">IF(AND($A149&lt;&gt;"",ISNUMBER($G149),$G149&gt;=TODAY(),$G149&lt;=EDATE(TODAY(),12)),COUNTIFS($G$2:$G$1001,"&gt;="&amp;TODAY(),$G$2:$G$1001,"&lt;"&amp;$G149,$A$2:$A$1001,"&lt;&gt;")+COUNTIFS($G$2:$G149,$G149,$A$2:$A149,"&lt;&gt;"),"")</f>
        <v/>
      </c>
      <c r="X149" t="str">
        <f>IF(AND($A149&lt;&gt;"",ISNUMBER($C149),$C149&gt;=DATE(2003,1,1)),COUNTIFS($C$2:$C149,"&gt;="&amp;DATE(2003,1,1),$A$2:$A149,"&lt;&gt;"),"")</f>
        <v/>
      </c>
    </row>
    <row r="150" spans="1:24">
      <c r="A150" t="str">
        <f>IF(Stoperler!A52="","",Stoperler!A52)</f>
        <v/>
      </c>
      <c r="B150" t="str">
        <f>IF(Stoperler!B52="","",Stoperler!B52)</f>
        <v/>
      </c>
      <c r="C150" s="2" t="str">
        <f>IF(Stoperler!C52="","",Stoperler!C52)</f>
        <v/>
      </c>
      <c r="D150" t="str">
        <f ca="1">IF(Stoperler!D52="","",Stoperler!D52)</f>
        <v/>
      </c>
      <c r="E150" t="str">
        <f>IF(Stoperler!E52="","",Stoperler!E52)</f>
        <v>Stoper</v>
      </c>
      <c r="F150" t="str">
        <f>IF(Stoperler!G52="","",Stoperler!G52)</f>
        <v/>
      </c>
      <c r="G150" s="2" t="str">
        <f>IF(Stoperler!H52="","",Stoperler!H52)</f>
        <v/>
      </c>
      <c r="H150" t="str">
        <f>IF(Stoperler!I52="","",Stoperler!I52)</f>
        <v/>
      </c>
      <c r="I150" t="str">
        <f>IF(Stoperler!A52="","",Stoperler!J52)</f>
        <v/>
      </c>
      <c r="J150" t="str">
        <f>IF(Stoperler!A52="","",Stoperler!K52)</f>
        <v/>
      </c>
      <c r="K150" t="str">
        <f>IF(Stoperler!L52="","",Stoperler!L52)</f>
        <v/>
      </c>
      <c r="L150" t="str">
        <f>IF(Stoperler!M52="","",Stoperler!M52)</f>
        <v/>
      </c>
      <c r="M150" t="str">
        <f>IF(Stoperler!N52="","",Stoperler!N52)</f>
        <v/>
      </c>
      <c r="N150" t="str">
        <f>IF(Stoperler!O52="","",Stoperler!O52)</f>
        <v/>
      </c>
      <c r="O150" t="str">
        <f>IF(Stoperler!P52="","",Stoperler!P52)</f>
        <v/>
      </c>
      <c r="P150" t="str">
        <f>IF(Stoperler!Q52="","",Stoperler!Q52)</f>
        <v/>
      </c>
      <c r="Q150" t="str">
        <f>IF(Stoperler!R52="","",Stoperler!R52)</f>
        <v/>
      </c>
      <c r="R150" t="str">
        <f>IF(Stoperler!S52="","",Stoperler!S52)</f>
        <v/>
      </c>
      <c r="S150" t="str">
        <f>IF(Stoperler!T52="","",Stoperler!T52)</f>
        <v/>
      </c>
      <c r="T150" s="2" t="str">
        <f>IF(Stoperler!U52="","",Stoperler!U52)</f>
        <v/>
      </c>
      <c r="U150" t="s">
        <v>927</v>
      </c>
      <c r="V150">
        <v>52</v>
      </c>
      <c r="W150" t="str">
        <f ca="1">IF(AND($A150&lt;&gt;"",ISNUMBER($G150),$G150&gt;=TODAY(),$G150&lt;=EDATE(TODAY(),12)),COUNTIFS($G$2:$G$1001,"&gt;="&amp;TODAY(),$G$2:$G$1001,"&lt;"&amp;$G150,$A$2:$A$1001,"&lt;&gt;")+COUNTIFS($G$2:$G150,$G150,$A$2:$A150,"&lt;&gt;"),"")</f>
        <v/>
      </c>
      <c r="X150" t="str">
        <f>IF(AND($A150&lt;&gt;"",ISNUMBER($C150),$C150&gt;=DATE(2003,1,1)),COUNTIFS($C$2:$C150,"&gt;="&amp;DATE(2003,1,1),$A$2:$A150,"&lt;&gt;"),"")</f>
        <v/>
      </c>
    </row>
    <row r="151" spans="1:24">
      <c r="A151" t="str">
        <f>IF(Stoperler!A53="","",Stoperler!A53)</f>
        <v/>
      </c>
      <c r="B151" t="str">
        <f>IF(Stoperler!B53="","",Stoperler!B53)</f>
        <v/>
      </c>
      <c r="C151" s="2" t="str">
        <f>IF(Stoperler!C53="","",Stoperler!C53)</f>
        <v/>
      </c>
      <c r="D151" t="str">
        <f ca="1">IF(Stoperler!D53="","",Stoperler!D53)</f>
        <v/>
      </c>
      <c r="E151" t="str">
        <f>IF(Stoperler!E53="","",Stoperler!E53)</f>
        <v>Stoper</v>
      </c>
      <c r="F151" t="str">
        <f>IF(Stoperler!G53="","",Stoperler!G53)</f>
        <v/>
      </c>
      <c r="G151" s="2" t="str">
        <f>IF(Stoperler!H53="","",Stoperler!H53)</f>
        <v/>
      </c>
      <c r="H151" t="str">
        <f>IF(Stoperler!I53="","",Stoperler!I53)</f>
        <v/>
      </c>
      <c r="I151" t="str">
        <f>IF(Stoperler!A53="","",Stoperler!J53)</f>
        <v/>
      </c>
      <c r="J151" t="str">
        <f>IF(Stoperler!A53="","",Stoperler!K53)</f>
        <v/>
      </c>
      <c r="K151" t="str">
        <f>IF(Stoperler!L53="","",Stoperler!L53)</f>
        <v/>
      </c>
      <c r="L151" t="str">
        <f>IF(Stoperler!M53="","",Stoperler!M53)</f>
        <v/>
      </c>
      <c r="M151" t="str">
        <f>IF(Stoperler!N53="","",Stoperler!N53)</f>
        <v/>
      </c>
      <c r="N151" t="str">
        <f>IF(Stoperler!O53="","",Stoperler!O53)</f>
        <v/>
      </c>
      <c r="O151" t="str">
        <f>IF(Stoperler!P53="","",Stoperler!P53)</f>
        <v/>
      </c>
      <c r="P151" t="str">
        <f>IF(Stoperler!Q53="","",Stoperler!Q53)</f>
        <v/>
      </c>
      <c r="Q151" t="str">
        <f>IF(Stoperler!R53="","",Stoperler!R53)</f>
        <v/>
      </c>
      <c r="R151" t="str">
        <f>IF(Stoperler!S53="","",Stoperler!S53)</f>
        <v/>
      </c>
      <c r="S151" t="str">
        <f>IF(Stoperler!T53="","",Stoperler!T53)</f>
        <v/>
      </c>
      <c r="T151" s="2" t="str">
        <f>IF(Stoperler!U53="","",Stoperler!U53)</f>
        <v/>
      </c>
      <c r="U151" t="s">
        <v>927</v>
      </c>
      <c r="V151">
        <v>53</v>
      </c>
      <c r="W151" t="str">
        <f ca="1">IF(AND($A151&lt;&gt;"",ISNUMBER($G151),$G151&gt;=TODAY(),$G151&lt;=EDATE(TODAY(),12)),COUNTIFS($G$2:$G$1001,"&gt;="&amp;TODAY(),$G$2:$G$1001,"&lt;"&amp;$G151,$A$2:$A$1001,"&lt;&gt;")+COUNTIFS($G$2:$G151,$G151,$A$2:$A151,"&lt;&gt;"),"")</f>
        <v/>
      </c>
      <c r="X151" t="str">
        <f>IF(AND($A151&lt;&gt;"",ISNUMBER($C151),$C151&gt;=DATE(2003,1,1)),COUNTIFS($C$2:$C151,"&gt;="&amp;DATE(2003,1,1),$A$2:$A151,"&lt;&gt;"),"")</f>
        <v/>
      </c>
    </row>
    <row r="152" spans="1:24">
      <c r="A152" t="str">
        <f>IF(Stoperler!A54="","",Stoperler!A54)</f>
        <v/>
      </c>
      <c r="B152" t="str">
        <f>IF(Stoperler!B54="","",Stoperler!B54)</f>
        <v/>
      </c>
      <c r="C152" s="2" t="str">
        <f>IF(Stoperler!C54="","",Stoperler!C54)</f>
        <v/>
      </c>
      <c r="D152" t="str">
        <f ca="1">IF(Stoperler!D54="","",Stoperler!D54)</f>
        <v/>
      </c>
      <c r="E152" t="str">
        <f>IF(Stoperler!E54="","",Stoperler!E54)</f>
        <v>Stoper</v>
      </c>
      <c r="F152" t="str">
        <f>IF(Stoperler!G54="","",Stoperler!G54)</f>
        <v/>
      </c>
      <c r="G152" s="2" t="str">
        <f>IF(Stoperler!H54="","",Stoperler!H54)</f>
        <v/>
      </c>
      <c r="H152" t="str">
        <f>IF(Stoperler!I54="","",Stoperler!I54)</f>
        <v/>
      </c>
      <c r="I152" t="str">
        <f>IF(Stoperler!A54="","",Stoperler!J54)</f>
        <v/>
      </c>
      <c r="J152" t="str">
        <f>IF(Stoperler!A54="","",Stoperler!K54)</f>
        <v/>
      </c>
      <c r="K152" t="str">
        <f>IF(Stoperler!L54="","",Stoperler!L54)</f>
        <v/>
      </c>
      <c r="L152" t="str">
        <f>IF(Stoperler!M54="","",Stoperler!M54)</f>
        <v/>
      </c>
      <c r="M152" t="str">
        <f>IF(Stoperler!N54="","",Stoperler!N54)</f>
        <v/>
      </c>
      <c r="N152" t="str">
        <f>IF(Stoperler!O54="","",Stoperler!O54)</f>
        <v/>
      </c>
      <c r="O152" t="str">
        <f>IF(Stoperler!P54="","",Stoperler!P54)</f>
        <v/>
      </c>
      <c r="P152" t="str">
        <f>IF(Stoperler!Q54="","",Stoperler!Q54)</f>
        <v/>
      </c>
      <c r="Q152" t="str">
        <f>IF(Stoperler!R54="","",Stoperler!R54)</f>
        <v/>
      </c>
      <c r="R152" t="str">
        <f>IF(Stoperler!S54="","",Stoperler!S54)</f>
        <v/>
      </c>
      <c r="S152" t="str">
        <f>IF(Stoperler!T54="","",Stoperler!T54)</f>
        <v/>
      </c>
      <c r="T152" s="2" t="str">
        <f>IF(Stoperler!U54="","",Stoperler!U54)</f>
        <v/>
      </c>
      <c r="U152" t="s">
        <v>927</v>
      </c>
      <c r="V152">
        <v>54</v>
      </c>
      <c r="W152" t="str">
        <f ca="1">IF(AND($A152&lt;&gt;"",ISNUMBER($G152),$G152&gt;=TODAY(),$G152&lt;=EDATE(TODAY(),12)),COUNTIFS($G$2:$G$1001,"&gt;="&amp;TODAY(),$G$2:$G$1001,"&lt;"&amp;$G152,$A$2:$A$1001,"&lt;&gt;")+COUNTIFS($G$2:$G152,$G152,$A$2:$A152,"&lt;&gt;"),"")</f>
        <v/>
      </c>
      <c r="X152" t="str">
        <f>IF(AND($A152&lt;&gt;"",ISNUMBER($C152),$C152&gt;=DATE(2003,1,1)),COUNTIFS($C$2:$C152,"&gt;="&amp;DATE(2003,1,1),$A$2:$A152,"&lt;&gt;"),"")</f>
        <v/>
      </c>
    </row>
    <row r="153" spans="1:24">
      <c r="A153" t="str">
        <f>IF(Stoperler!A55="","",Stoperler!A55)</f>
        <v/>
      </c>
      <c r="B153" t="str">
        <f>IF(Stoperler!B55="","",Stoperler!B55)</f>
        <v/>
      </c>
      <c r="C153" s="2" t="str">
        <f>IF(Stoperler!C55="","",Stoperler!C55)</f>
        <v/>
      </c>
      <c r="D153" t="str">
        <f ca="1">IF(Stoperler!D55="","",Stoperler!D55)</f>
        <v/>
      </c>
      <c r="E153" t="str">
        <f>IF(Stoperler!E55="","",Stoperler!E55)</f>
        <v>Stoper</v>
      </c>
      <c r="F153" t="str">
        <f>IF(Stoperler!G55="","",Stoperler!G55)</f>
        <v/>
      </c>
      <c r="G153" s="2" t="str">
        <f>IF(Stoperler!H55="","",Stoperler!H55)</f>
        <v/>
      </c>
      <c r="H153" t="str">
        <f>IF(Stoperler!I55="","",Stoperler!I55)</f>
        <v/>
      </c>
      <c r="I153" t="str">
        <f>IF(Stoperler!A55="","",Stoperler!J55)</f>
        <v/>
      </c>
      <c r="J153" t="str">
        <f>IF(Stoperler!A55="","",Stoperler!K55)</f>
        <v/>
      </c>
      <c r="K153" t="str">
        <f>IF(Stoperler!L55="","",Stoperler!L55)</f>
        <v/>
      </c>
      <c r="L153" t="str">
        <f>IF(Stoperler!M55="","",Stoperler!M55)</f>
        <v/>
      </c>
      <c r="M153" t="str">
        <f>IF(Stoperler!N55="","",Stoperler!N55)</f>
        <v/>
      </c>
      <c r="N153" t="str">
        <f>IF(Stoperler!O55="","",Stoperler!O55)</f>
        <v/>
      </c>
      <c r="O153" t="str">
        <f>IF(Stoperler!P55="","",Stoperler!P55)</f>
        <v/>
      </c>
      <c r="P153" t="str">
        <f>IF(Stoperler!Q55="","",Stoperler!Q55)</f>
        <v/>
      </c>
      <c r="Q153" t="str">
        <f>IF(Stoperler!R55="","",Stoperler!R55)</f>
        <v/>
      </c>
      <c r="R153" t="str">
        <f>IF(Stoperler!S55="","",Stoperler!S55)</f>
        <v/>
      </c>
      <c r="S153" t="str">
        <f>IF(Stoperler!T55="","",Stoperler!T55)</f>
        <v/>
      </c>
      <c r="T153" s="2" t="str">
        <f>IF(Stoperler!U55="","",Stoperler!U55)</f>
        <v/>
      </c>
      <c r="U153" t="s">
        <v>927</v>
      </c>
      <c r="V153">
        <v>55</v>
      </c>
      <c r="W153" t="str">
        <f ca="1">IF(AND($A153&lt;&gt;"",ISNUMBER($G153),$G153&gt;=TODAY(),$G153&lt;=EDATE(TODAY(),12)),COUNTIFS($G$2:$G$1001,"&gt;="&amp;TODAY(),$G$2:$G$1001,"&lt;"&amp;$G153,$A$2:$A$1001,"&lt;&gt;")+COUNTIFS($G$2:$G153,$G153,$A$2:$A153,"&lt;&gt;"),"")</f>
        <v/>
      </c>
      <c r="X153" t="str">
        <f>IF(AND($A153&lt;&gt;"",ISNUMBER($C153),$C153&gt;=DATE(2003,1,1)),COUNTIFS($C$2:$C153,"&gt;="&amp;DATE(2003,1,1),$A$2:$A153,"&lt;&gt;"),"")</f>
        <v/>
      </c>
    </row>
    <row r="154" spans="1:24">
      <c r="A154" t="str">
        <f>IF(Stoperler!A56="","",Stoperler!A56)</f>
        <v/>
      </c>
      <c r="B154" t="str">
        <f>IF(Stoperler!B56="","",Stoperler!B56)</f>
        <v/>
      </c>
      <c r="C154" s="2" t="str">
        <f>IF(Stoperler!C56="","",Stoperler!C56)</f>
        <v/>
      </c>
      <c r="D154" t="str">
        <f ca="1">IF(Stoperler!D56="","",Stoperler!D56)</f>
        <v/>
      </c>
      <c r="E154" t="str">
        <f>IF(Stoperler!E56="","",Stoperler!E56)</f>
        <v>Stoper</v>
      </c>
      <c r="F154" t="str">
        <f>IF(Stoperler!G56="","",Stoperler!G56)</f>
        <v/>
      </c>
      <c r="G154" s="2" t="str">
        <f>IF(Stoperler!H56="","",Stoperler!H56)</f>
        <v/>
      </c>
      <c r="H154" t="str">
        <f>IF(Stoperler!I56="","",Stoperler!I56)</f>
        <v/>
      </c>
      <c r="I154" t="str">
        <f>IF(Stoperler!A56="","",Stoperler!J56)</f>
        <v/>
      </c>
      <c r="J154" t="str">
        <f>IF(Stoperler!A56="","",Stoperler!K56)</f>
        <v/>
      </c>
      <c r="K154" t="str">
        <f>IF(Stoperler!L56="","",Stoperler!L56)</f>
        <v/>
      </c>
      <c r="L154" t="str">
        <f>IF(Stoperler!M56="","",Stoperler!M56)</f>
        <v/>
      </c>
      <c r="M154" t="str">
        <f>IF(Stoperler!N56="","",Stoperler!N56)</f>
        <v/>
      </c>
      <c r="N154" t="str">
        <f>IF(Stoperler!O56="","",Stoperler!O56)</f>
        <v/>
      </c>
      <c r="O154" t="str">
        <f>IF(Stoperler!P56="","",Stoperler!P56)</f>
        <v/>
      </c>
      <c r="P154" t="str">
        <f>IF(Stoperler!Q56="","",Stoperler!Q56)</f>
        <v/>
      </c>
      <c r="Q154" t="str">
        <f>IF(Stoperler!R56="","",Stoperler!R56)</f>
        <v/>
      </c>
      <c r="R154" t="str">
        <f>IF(Stoperler!S56="","",Stoperler!S56)</f>
        <v/>
      </c>
      <c r="S154" t="str">
        <f>IF(Stoperler!T56="","",Stoperler!T56)</f>
        <v/>
      </c>
      <c r="T154" s="2" t="str">
        <f>IF(Stoperler!U56="","",Stoperler!U56)</f>
        <v/>
      </c>
      <c r="U154" t="s">
        <v>927</v>
      </c>
      <c r="V154">
        <v>56</v>
      </c>
      <c r="W154" t="str">
        <f ca="1">IF(AND($A154&lt;&gt;"",ISNUMBER($G154),$G154&gt;=TODAY(),$G154&lt;=EDATE(TODAY(),12)),COUNTIFS($G$2:$G$1001,"&gt;="&amp;TODAY(),$G$2:$G$1001,"&lt;"&amp;$G154,$A$2:$A$1001,"&lt;&gt;")+COUNTIFS($G$2:$G154,$G154,$A$2:$A154,"&lt;&gt;"),"")</f>
        <v/>
      </c>
      <c r="X154" t="str">
        <f>IF(AND($A154&lt;&gt;"",ISNUMBER($C154),$C154&gt;=DATE(2003,1,1)),COUNTIFS($C$2:$C154,"&gt;="&amp;DATE(2003,1,1),$A$2:$A154,"&lt;&gt;"),"")</f>
        <v/>
      </c>
    </row>
    <row r="155" spans="1:24">
      <c r="A155" t="str">
        <f>IF(Stoperler!A57="","",Stoperler!A57)</f>
        <v/>
      </c>
      <c r="B155" t="str">
        <f>IF(Stoperler!B57="","",Stoperler!B57)</f>
        <v/>
      </c>
      <c r="C155" s="2" t="str">
        <f>IF(Stoperler!C57="","",Stoperler!C57)</f>
        <v/>
      </c>
      <c r="D155" t="str">
        <f ca="1">IF(Stoperler!D57="","",Stoperler!D57)</f>
        <v/>
      </c>
      <c r="E155" t="str">
        <f>IF(Stoperler!E57="","",Stoperler!E57)</f>
        <v>Stoper</v>
      </c>
      <c r="F155" t="str">
        <f>IF(Stoperler!G57="","",Stoperler!G57)</f>
        <v/>
      </c>
      <c r="G155" s="2" t="str">
        <f>IF(Stoperler!H57="","",Stoperler!H57)</f>
        <v/>
      </c>
      <c r="H155" t="str">
        <f>IF(Stoperler!I57="","",Stoperler!I57)</f>
        <v/>
      </c>
      <c r="I155" t="str">
        <f>IF(Stoperler!A57="","",Stoperler!J57)</f>
        <v/>
      </c>
      <c r="J155" t="str">
        <f>IF(Stoperler!A57="","",Stoperler!K57)</f>
        <v/>
      </c>
      <c r="K155" t="str">
        <f>IF(Stoperler!L57="","",Stoperler!L57)</f>
        <v/>
      </c>
      <c r="L155" t="str">
        <f>IF(Stoperler!M57="","",Stoperler!M57)</f>
        <v/>
      </c>
      <c r="M155" t="str">
        <f>IF(Stoperler!N57="","",Stoperler!N57)</f>
        <v/>
      </c>
      <c r="N155" t="str">
        <f>IF(Stoperler!O57="","",Stoperler!O57)</f>
        <v/>
      </c>
      <c r="O155" t="str">
        <f>IF(Stoperler!P57="","",Stoperler!P57)</f>
        <v/>
      </c>
      <c r="P155" t="str">
        <f>IF(Stoperler!Q57="","",Stoperler!Q57)</f>
        <v/>
      </c>
      <c r="Q155" t="str">
        <f>IF(Stoperler!R57="","",Stoperler!R57)</f>
        <v/>
      </c>
      <c r="R155" t="str">
        <f>IF(Stoperler!S57="","",Stoperler!S57)</f>
        <v/>
      </c>
      <c r="S155" t="str">
        <f>IF(Stoperler!T57="","",Stoperler!T57)</f>
        <v/>
      </c>
      <c r="T155" s="2" t="str">
        <f>IF(Stoperler!U57="","",Stoperler!U57)</f>
        <v/>
      </c>
      <c r="U155" t="s">
        <v>927</v>
      </c>
      <c r="V155">
        <v>57</v>
      </c>
      <c r="W155" t="str">
        <f ca="1">IF(AND($A155&lt;&gt;"",ISNUMBER($G155),$G155&gt;=TODAY(),$G155&lt;=EDATE(TODAY(),12)),COUNTIFS($G$2:$G$1001,"&gt;="&amp;TODAY(),$G$2:$G$1001,"&lt;"&amp;$G155,$A$2:$A$1001,"&lt;&gt;")+COUNTIFS($G$2:$G155,$G155,$A$2:$A155,"&lt;&gt;"),"")</f>
        <v/>
      </c>
      <c r="X155" t="str">
        <f>IF(AND($A155&lt;&gt;"",ISNUMBER($C155),$C155&gt;=DATE(2003,1,1)),COUNTIFS($C$2:$C155,"&gt;="&amp;DATE(2003,1,1),$A$2:$A155,"&lt;&gt;"),"")</f>
        <v/>
      </c>
    </row>
    <row r="156" spans="1:24">
      <c r="A156" t="str">
        <f>IF(Stoperler!A58="","",Stoperler!A58)</f>
        <v/>
      </c>
      <c r="B156" t="str">
        <f>IF(Stoperler!B58="","",Stoperler!B58)</f>
        <v/>
      </c>
      <c r="C156" s="2" t="str">
        <f>IF(Stoperler!C58="","",Stoperler!C58)</f>
        <v/>
      </c>
      <c r="D156" t="str">
        <f ca="1">IF(Stoperler!D58="","",Stoperler!D58)</f>
        <v/>
      </c>
      <c r="E156" t="str">
        <f>IF(Stoperler!E58="","",Stoperler!E58)</f>
        <v>Stoper</v>
      </c>
      <c r="F156" t="str">
        <f>IF(Stoperler!G58="","",Stoperler!G58)</f>
        <v/>
      </c>
      <c r="G156" s="2" t="str">
        <f>IF(Stoperler!H58="","",Stoperler!H58)</f>
        <v/>
      </c>
      <c r="H156" t="str">
        <f>IF(Stoperler!I58="","",Stoperler!I58)</f>
        <v/>
      </c>
      <c r="I156" t="str">
        <f>IF(Stoperler!A58="","",Stoperler!J58)</f>
        <v/>
      </c>
      <c r="J156" t="str">
        <f>IF(Stoperler!A58="","",Stoperler!K58)</f>
        <v/>
      </c>
      <c r="K156" t="str">
        <f>IF(Stoperler!L58="","",Stoperler!L58)</f>
        <v/>
      </c>
      <c r="L156" t="str">
        <f>IF(Stoperler!M58="","",Stoperler!M58)</f>
        <v/>
      </c>
      <c r="M156" t="str">
        <f>IF(Stoperler!N58="","",Stoperler!N58)</f>
        <v/>
      </c>
      <c r="N156" t="str">
        <f>IF(Stoperler!O58="","",Stoperler!O58)</f>
        <v/>
      </c>
      <c r="O156" t="str">
        <f>IF(Stoperler!P58="","",Stoperler!P58)</f>
        <v/>
      </c>
      <c r="P156" t="str">
        <f>IF(Stoperler!Q58="","",Stoperler!Q58)</f>
        <v/>
      </c>
      <c r="Q156" t="str">
        <f>IF(Stoperler!R58="","",Stoperler!R58)</f>
        <v/>
      </c>
      <c r="R156" t="str">
        <f>IF(Stoperler!S58="","",Stoperler!S58)</f>
        <v/>
      </c>
      <c r="S156" t="str">
        <f>IF(Stoperler!T58="","",Stoperler!T58)</f>
        <v/>
      </c>
      <c r="T156" s="2" t="str">
        <f>IF(Stoperler!U58="","",Stoperler!U58)</f>
        <v/>
      </c>
      <c r="U156" t="s">
        <v>927</v>
      </c>
      <c r="V156">
        <v>58</v>
      </c>
      <c r="W156" t="str">
        <f ca="1">IF(AND($A156&lt;&gt;"",ISNUMBER($G156),$G156&gt;=TODAY(),$G156&lt;=EDATE(TODAY(),12)),COUNTIFS($G$2:$G$1001,"&gt;="&amp;TODAY(),$G$2:$G$1001,"&lt;"&amp;$G156,$A$2:$A$1001,"&lt;&gt;")+COUNTIFS($G$2:$G156,$G156,$A$2:$A156,"&lt;&gt;"),"")</f>
        <v/>
      </c>
      <c r="X156" t="str">
        <f>IF(AND($A156&lt;&gt;"",ISNUMBER($C156),$C156&gt;=DATE(2003,1,1)),COUNTIFS($C$2:$C156,"&gt;="&amp;DATE(2003,1,1),$A$2:$A156,"&lt;&gt;"),"")</f>
        <v/>
      </c>
    </row>
    <row r="157" spans="1:24">
      <c r="A157" t="str">
        <f>IF(Stoperler!A59="","",Stoperler!A59)</f>
        <v/>
      </c>
      <c r="B157" t="str">
        <f>IF(Stoperler!B59="","",Stoperler!B59)</f>
        <v/>
      </c>
      <c r="C157" s="2" t="str">
        <f>IF(Stoperler!C59="","",Stoperler!C59)</f>
        <v/>
      </c>
      <c r="D157" t="str">
        <f ca="1">IF(Stoperler!D59="","",Stoperler!D59)</f>
        <v/>
      </c>
      <c r="E157" t="str">
        <f>IF(Stoperler!E59="","",Stoperler!E59)</f>
        <v>Stoper</v>
      </c>
      <c r="F157" t="str">
        <f>IF(Stoperler!G59="","",Stoperler!G59)</f>
        <v/>
      </c>
      <c r="G157" s="2" t="str">
        <f>IF(Stoperler!H59="","",Stoperler!H59)</f>
        <v/>
      </c>
      <c r="H157" t="str">
        <f>IF(Stoperler!I59="","",Stoperler!I59)</f>
        <v/>
      </c>
      <c r="I157" t="str">
        <f>IF(Stoperler!A59="","",Stoperler!J59)</f>
        <v/>
      </c>
      <c r="J157" t="str">
        <f>IF(Stoperler!A59="","",Stoperler!K59)</f>
        <v/>
      </c>
      <c r="K157" t="str">
        <f>IF(Stoperler!L59="","",Stoperler!L59)</f>
        <v/>
      </c>
      <c r="L157" t="str">
        <f>IF(Stoperler!M59="","",Stoperler!M59)</f>
        <v/>
      </c>
      <c r="M157" t="str">
        <f>IF(Stoperler!N59="","",Stoperler!N59)</f>
        <v/>
      </c>
      <c r="N157" t="str">
        <f>IF(Stoperler!O59="","",Stoperler!O59)</f>
        <v/>
      </c>
      <c r="O157" t="str">
        <f>IF(Stoperler!P59="","",Stoperler!P59)</f>
        <v/>
      </c>
      <c r="P157" t="str">
        <f>IF(Stoperler!Q59="","",Stoperler!Q59)</f>
        <v/>
      </c>
      <c r="Q157" t="str">
        <f>IF(Stoperler!R59="","",Stoperler!R59)</f>
        <v/>
      </c>
      <c r="R157" t="str">
        <f>IF(Stoperler!S59="","",Stoperler!S59)</f>
        <v/>
      </c>
      <c r="S157" t="str">
        <f>IF(Stoperler!T59="","",Stoperler!T59)</f>
        <v/>
      </c>
      <c r="T157" s="2" t="str">
        <f>IF(Stoperler!U59="","",Stoperler!U59)</f>
        <v/>
      </c>
      <c r="U157" t="s">
        <v>927</v>
      </c>
      <c r="V157">
        <v>59</v>
      </c>
      <c r="W157" t="str">
        <f ca="1">IF(AND($A157&lt;&gt;"",ISNUMBER($G157),$G157&gt;=TODAY(),$G157&lt;=EDATE(TODAY(),12)),COUNTIFS($G$2:$G$1001,"&gt;="&amp;TODAY(),$G$2:$G$1001,"&lt;"&amp;$G157,$A$2:$A$1001,"&lt;&gt;")+COUNTIFS($G$2:$G157,$G157,$A$2:$A157,"&lt;&gt;"),"")</f>
        <v/>
      </c>
      <c r="X157" t="str">
        <f>IF(AND($A157&lt;&gt;"",ISNUMBER($C157),$C157&gt;=DATE(2003,1,1)),COUNTIFS($C$2:$C157,"&gt;="&amp;DATE(2003,1,1),$A$2:$A157,"&lt;&gt;"),"")</f>
        <v/>
      </c>
    </row>
    <row r="158" spans="1:24">
      <c r="A158" t="str">
        <f>IF(Stoperler!A60="","",Stoperler!A60)</f>
        <v/>
      </c>
      <c r="B158" t="str">
        <f>IF(Stoperler!B60="","",Stoperler!B60)</f>
        <v/>
      </c>
      <c r="C158" s="2" t="str">
        <f>IF(Stoperler!C60="","",Stoperler!C60)</f>
        <v/>
      </c>
      <c r="D158" t="str">
        <f ca="1">IF(Stoperler!D60="","",Stoperler!D60)</f>
        <v/>
      </c>
      <c r="E158" t="str">
        <f>IF(Stoperler!E60="","",Stoperler!E60)</f>
        <v>Stoper</v>
      </c>
      <c r="F158" t="str">
        <f>IF(Stoperler!G60="","",Stoperler!G60)</f>
        <v/>
      </c>
      <c r="G158" s="2" t="str">
        <f>IF(Stoperler!H60="","",Stoperler!H60)</f>
        <v/>
      </c>
      <c r="H158" t="str">
        <f>IF(Stoperler!I60="","",Stoperler!I60)</f>
        <v/>
      </c>
      <c r="I158" t="str">
        <f>IF(Stoperler!A60="","",Stoperler!J60)</f>
        <v/>
      </c>
      <c r="J158" t="str">
        <f>IF(Stoperler!A60="","",Stoperler!K60)</f>
        <v/>
      </c>
      <c r="K158" t="str">
        <f>IF(Stoperler!L60="","",Stoperler!L60)</f>
        <v/>
      </c>
      <c r="L158" t="str">
        <f>IF(Stoperler!M60="","",Stoperler!M60)</f>
        <v/>
      </c>
      <c r="M158" t="str">
        <f>IF(Stoperler!N60="","",Stoperler!N60)</f>
        <v/>
      </c>
      <c r="N158" t="str">
        <f>IF(Stoperler!O60="","",Stoperler!O60)</f>
        <v/>
      </c>
      <c r="O158" t="str">
        <f>IF(Stoperler!P60="","",Stoperler!P60)</f>
        <v/>
      </c>
      <c r="P158" t="str">
        <f>IF(Stoperler!Q60="","",Stoperler!Q60)</f>
        <v/>
      </c>
      <c r="Q158" t="str">
        <f>IF(Stoperler!R60="","",Stoperler!R60)</f>
        <v/>
      </c>
      <c r="R158" t="str">
        <f>IF(Stoperler!S60="","",Stoperler!S60)</f>
        <v/>
      </c>
      <c r="S158" t="str">
        <f>IF(Stoperler!T60="","",Stoperler!T60)</f>
        <v/>
      </c>
      <c r="T158" s="2" t="str">
        <f>IF(Stoperler!U60="","",Stoperler!U60)</f>
        <v/>
      </c>
      <c r="U158" t="s">
        <v>927</v>
      </c>
      <c r="V158">
        <v>60</v>
      </c>
      <c r="W158" t="str">
        <f ca="1">IF(AND($A158&lt;&gt;"",ISNUMBER($G158),$G158&gt;=TODAY(),$G158&lt;=EDATE(TODAY(),12)),COUNTIFS($G$2:$G$1001,"&gt;="&amp;TODAY(),$G$2:$G$1001,"&lt;"&amp;$G158,$A$2:$A$1001,"&lt;&gt;")+COUNTIFS($G$2:$G158,$G158,$A$2:$A158,"&lt;&gt;"),"")</f>
        <v/>
      </c>
      <c r="X158" t="str">
        <f>IF(AND($A158&lt;&gt;"",ISNUMBER($C158),$C158&gt;=DATE(2003,1,1)),COUNTIFS($C$2:$C158,"&gt;="&amp;DATE(2003,1,1),$A$2:$A158,"&lt;&gt;"),"")</f>
        <v/>
      </c>
    </row>
    <row r="159" spans="1:24">
      <c r="A159" t="str">
        <f>IF(Stoperler!A61="","",Stoperler!A61)</f>
        <v/>
      </c>
      <c r="B159" t="str">
        <f>IF(Stoperler!B61="","",Stoperler!B61)</f>
        <v/>
      </c>
      <c r="C159" s="2" t="str">
        <f>IF(Stoperler!C61="","",Stoperler!C61)</f>
        <v/>
      </c>
      <c r="D159" t="str">
        <f ca="1">IF(Stoperler!D61="","",Stoperler!D61)</f>
        <v/>
      </c>
      <c r="E159" t="str">
        <f>IF(Stoperler!E61="","",Stoperler!E61)</f>
        <v>Stoper</v>
      </c>
      <c r="F159" t="str">
        <f>IF(Stoperler!G61="","",Stoperler!G61)</f>
        <v/>
      </c>
      <c r="G159" s="2" t="str">
        <f>IF(Stoperler!H61="","",Stoperler!H61)</f>
        <v/>
      </c>
      <c r="H159" t="str">
        <f>IF(Stoperler!I61="","",Stoperler!I61)</f>
        <v/>
      </c>
      <c r="I159" t="str">
        <f>IF(Stoperler!A61="","",Stoperler!J61)</f>
        <v/>
      </c>
      <c r="J159" t="str">
        <f>IF(Stoperler!A61="","",Stoperler!K61)</f>
        <v/>
      </c>
      <c r="K159" t="str">
        <f>IF(Stoperler!L61="","",Stoperler!L61)</f>
        <v/>
      </c>
      <c r="L159" t="str">
        <f>IF(Stoperler!M61="","",Stoperler!M61)</f>
        <v/>
      </c>
      <c r="M159" t="str">
        <f>IF(Stoperler!N61="","",Stoperler!N61)</f>
        <v/>
      </c>
      <c r="N159" t="str">
        <f>IF(Stoperler!O61="","",Stoperler!O61)</f>
        <v/>
      </c>
      <c r="O159" t="str">
        <f>IF(Stoperler!P61="","",Stoperler!P61)</f>
        <v/>
      </c>
      <c r="P159" t="str">
        <f>IF(Stoperler!Q61="","",Stoperler!Q61)</f>
        <v/>
      </c>
      <c r="Q159" t="str">
        <f>IF(Stoperler!R61="","",Stoperler!R61)</f>
        <v/>
      </c>
      <c r="R159" t="str">
        <f>IF(Stoperler!S61="","",Stoperler!S61)</f>
        <v/>
      </c>
      <c r="S159" t="str">
        <f>IF(Stoperler!T61="","",Stoperler!T61)</f>
        <v/>
      </c>
      <c r="T159" s="2" t="str">
        <f>IF(Stoperler!U61="","",Stoperler!U61)</f>
        <v/>
      </c>
      <c r="U159" t="s">
        <v>927</v>
      </c>
      <c r="V159">
        <v>61</v>
      </c>
      <c r="W159" t="str">
        <f ca="1">IF(AND($A159&lt;&gt;"",ISNUMBER($G159),$G159&gt;=TODAY(),$G159&lt;=EDATE(TODAY(),12)),COUNTIFS($G$2:$G$1001,"&gt;="&amp;TODAY(),$G$2:$G$1001,"&lt;"&amp;$G159,$A$2:$A$1001,"&lt;&gt;")+COUNTIFS($G$2:$G159,$G159,$A$2:$A159,"&lt;&gt;"),"")</f>
        <v/>
      </c>
      <c r="X159" t="str">
        <f>IF(AND($A159&lt;&gt;"",ISNUMBER($C159),$C159&gt;=DATE(2003,1,1)),COUNTIFS($C$2:$C159,"&gt;="&amp;DATE(2003,1,1),$A$2:$A159,"&lt;&gt;"),"")</f>
        <v/>
      </c>
    </row>
    <row r="160" spans="1:24">
      <c r="A160" t="str">
        <f>IF(Stoperler!A62="","",Stoperler!A62)</f>
        <v/>
      </c>
      <c r="B160" t="str">
        <f>IF(Stoperler!B62="","",Stoperler!B62)</f>
        <v/>
      </c>
      <c r="C160" s="2" t="str">
        <f>IF(Stoperler!C62="","",Stoperler!C62)</f>
        <v/>
      </c>
      <c r="D160" t="str">
        <f ca="1">IF(Stoperler!D62="","",Stoperler!D62)</f>
        <v/>
      </c>
      <c r="E160" t="str">
        <f>IF(Stoperler!E62="","",Stoperler!E62)</f>
        <v>Stoper</v>
      </c>
      <c r="F160" t="str">
        <f>IF(Stoperler!G62="","",Stoperler!G62)</f>
        <v/>
      </c>
      <c r="G160" s="2" t="str">
        <f>IF(Stoperler!H62="","",Stoperler!H62)</f>
        <v/>
      </c>
      <c r="H160" t="str">
        <f>IF(Stoperler!I62="","",Stoperler!I62)</f>
        <v/>
      </c>
      <c r="I160" t="str">
        <f>IF(Stoperler!A62="","",Stoperler!J62)</f>
        <v/>
      </c>
      <c r="J160" t="str">
        <f>IF(Stoperler!A62="","",Stoperler!K62)</f>
        <v/>
      </c>
      <c r="K160" t="str">
        <f>IF(Stoperler!L62="","",Stoperler!L62)</f>
        <v/>
      </c>
      <c r="L160" t="str">
        <f>IF(Stoperler!M62="","",Stoperler!M62)</f>
        <v/>
      </c>
      <c r="M160" t="str">
        <f>IF(Stoperler!N62="","",Stoperler!N62)</f>
        <v/>
      </c>
      <c r="N160" t="str">
        <f>IF(Stoperler!O62="","",Stoperler!O62)</f>
        <v/>
      </c>
      <c r="O160" t="str">
        <f>IF(Stoperler!P62="","",Stoperler!P62)</f>
        <v/>
      </c>
      <c r="P160" t="str">
        <f>IF(Stoperler!Q62="","",Stoperler!Q62)</f>
        <v/>
      </c>
      <c r="Q160" t="str">
        <f>IF(Stoperler!R62="","",Stoperler!R62)</f>
        <v/>
      </c>
      <c r="R160" t="str">
        <f>IF(Stoperler!S62="","",Stoperler!S62)</f>
        <v/>
      </c>
      <c r="S160" t="str">
        <f>IF(Stoperler!T62="","",Stoperler!T62)</f>
        <v/>
      </c>
      <c r="T160" s="2" t="str">
        <f>IF(Stoperler!U62="","",Stoperler!U62)</f>
        <v/>
      </c>
      <c r="U160" t="s">
        <v>927</v>
      </c>
      <c r="V160">
        <v>62</v>
      </c>
      <c r="W160" t="str">
        <f ca="1">IF(AND($A160&lt;&gt;"",ISNUMBER($G160),$G160&gt;=TODAY(),$G160&lt;=EDATE(TODAY(),12)),COUNTIFS($G$2:$G$1001,"&gt;="&amp;TODAY(),$G$2:$G$1001,"&lt;"&amp;$G160,$A$2:$A$1001,"&lt;&gt;")+COUNTIFS($G$2:$G160,$G160,$A$2:$A160,"&lt;&gt;"),"")</f>
        <v/>
      </c>
      <c r="X160" t="str">
        <f>IF(AND($A160&lt;&gt;"",ISNUMBER($C160),$C160&gt;=DATE(2003,1,1)),COUNTIFS($C$2:$C160,"&gt;="&amp;DATE(2003,1,1),$A$2:$A160,"&lt;&gt;"),"")</f>
        <v/>
      </c>
    </row>
    <row r="161" spans="1:24">
      <c r="A161" t="str">
        <f>IF(Stoperler!A63="","",Stoperler!A63)</f>
        <v/>
      </c>
      <c r="B161" t="str">
        <f>IF(Stoperler!B63="","",Stoperler!B63)</f>
        <v/>
      </c>
      <c r="C161" s="2" t="str">
        <f>IF(Stoperler!C63="","",Stoperler!C63)</f>
        <v/>
      </c>
      <c r="D161" t="str">
        <f ca="1">IF(Stoperler!D63="","",Stoperler!D63)</f>
        <v/>
      </c>
      <c r="E161" t="str">
        <f>IF(Stoperler!E63="","",Stoperler!E63)</f>
        <v>Stoper</v>
      </c>
      <c r="F161" t="str">
        <f>IF(Stoperler!G63="","",Stoperler!G63)</f>
        <v/>
      </c>
      <c r="G161" s="2" t="str">
        <f>IF(Stoperler!H63="","",Stoperler!H63)</f>
        <v/>
      </c>
      <c r="H161" t="str">
        <f>IF(Stoperler!I63="","",Stoperler!I63)</f>
        <v/>
      </c>
      <c r="I161" t="str">
        <f>IF(Stoperler!A63="","",Stoperler!J63)</f>
        <v/>
      </c>
      <c r="J161" t="str">
        <f>IF(Stoperler!A63="","",Stoperler!K63)</f>
        <v/>
      </c>
      <c r="K161" t="str">
        <f>IF(Stoperler!L63="","",Stoperler!L63)</f>
        <v/>
      </c>
      <c r="L161" t="str">
        <f>IF(Stoperler!M63="","",Stoperler!M63)</f>
        <v/>
      </c>
      <c r="M161" t="str">
        <f>IF(Stoperler!N63="","",Stoperler!N63)</f>
        <v/>
      </c>
      <c r="N161" t="str">
        <f>IF(Stoperler!O63="","",Stoperler!O63)</f>
        <v/>
      </c>
      <c r="O161" t="str">
        <f>IF(Stoperler!P63="","",Stoperler!P63)</f>
        <v/>
      </c>
      <c r="P161" t="str">
        <f>IF(Stoperler!Q63="","",Stoperler!Q63)</f>
        <v/>
      </c>
      <c r="Q161" t="str">
        <f>IF(Stoperler!R63="","",Stoperler!R63)</f>
        <v/>
      </c>
      <c r="R161" t="str">
        <f>IF(Stoperler!S63="","",Stoperler!S63)</f>
        <v/>
      </c>
      <c r="S161" t="str">
        <f>IF(Stoperler!T63="","",Stoperler!T63)</f>
        <v/>
      </c>
      <c r="T161" s="2" t="str">
        <f>IF(Stoperler!U63="","",Stoperler!U63)</f>
        <v/>
      </c>
      <c r="U161" t="s">
        <v>927</v>
      </c>
      <c r="V161">
        <v>63</v>
      </c>
      <c r="W161" t="str">
        <f ca="1">IF(AND($A161&lt;&gt;"",ISNUMBER($G161),$G161&gt;=TODAY(),$G161&lt;=EDATE(TODAY(),12)),COUNTIFS($G$2:$G$1001,"&gt;="&amp;TODAY(),$G$2:$G$1001,"&lt;"&amp;$G161,$A$2:$A$1001,"&lt;&gt;")+COUNTIFS($G$2:$G161,$G161,$A$2:$A161,"&lt;&gt;"),"")</f>
        <v/>
      </c>
      <c r="X161" t="str">
        <f>IF(AND($A161&lt;&gt;"",ISNUMBER($C161),$C161&gt;=DATE(2003,1,1)),COUNTIFS($C$2:$C161,"&gt;="&amp;DATE(2003,1,1),$A$2:$A161,"&lt;&gt;"),"")</f>
        <v/>
      </c>
    </row>
    <row r="162" spans="1:24">
      <c r="A162" t="str">
        <f>IF(Stoperler!A64="","",Stoperler!A64)</f>
        <v/>
      </c>
      <c r="B162" t="str">
        <f>IF(Stoperler!B64="","",Stoperler!B64)</f>
        <v/>
      </c>
      <c r="C162" s="2" t="str">
        <f>IF(Stoperler!C64="","",Stoperler!C64)</f>
        <v/>
      </c>
      <c r="D162" t="str">
        <f ca="1">IF(Stoperler!D64="","",Stoperler!D64)</f>
        <v/>
      </c>
      <c r="E162" t="str">
        <f>IF(Stoperler!E64="","",Stoperler!E64)</f>
        <v>Stoper</v>
      </c>
      <c r="F162" t="str">
        <f>IF(Stoperler!G64="","",Stoperler!G64)</f>
        <v/>
      </c>
      <c r="G162" s="2" t="str">
        <f>IF(Stoperler!H64="","",Stoperler!H64)</f>
        <v/>
      </c>
      <c r="H162" t="str">
        <f>IF(Stoperler!I64="","",Stoperler!I64)</f>
        <v/>
      </c>
      <c r="I162" t="str">
        <f>IF(Stoperler!A64="","",Stoperler!J64)</f>
        <v/>
      </c>
      <c r="J162" t="str">
        <f>IF(Stoperler!A64="","",Stoperler!K64)</f>
        <v/>
      </c>
      <c r="K162" t="str">
        <f>IF(Stoperler!L64="","",Stoperler!L64)</f>
        <v/>
      </c>
      <c r="L162" t="str">
        <f>IF(Stoperler!M64="","",Stoperler!M64)</f>
        <v/>
      </c>
      <c r="M162" t="str">
        <f>IF(Stoperler!N64="","",Stoperler!N64)</f>
        <v/>
      </c>
      <c r="N162" t="str">
        <f>IF(Stoperler!O64="","",Stoperler!O64)</f>
        <v/>
      </c>
      <c r="O162" t="str">
        <f>IF(Stoperler!P64="","",Stoperler!P64)</f>
        <v/>
      </c>
      <c r="P162" t="str">
        <f>IF(Stoperler!Q64="","",Stoperler!Q64)</f>
        <v/>
      </c>
      <c r="Q162" t="str">
        <f>IF(Stoperler!R64="","",Stoperler!R64)</f>
        <v/>
      </c>
      <c r="R162" t="str">
        <f>IF(Stoperler!S64="","",Stoperler!S64)</f>
        <v/>
      </c>
      <c r="S162" t="str">
        <f>IF(Stoperler!T64="","",Stoperler!T64)</f>
        <v/>
      </c>
      <c r="T162" s="2" t="str">
        <f>IF(Stoperler!U64="","",Stoperler!U64)</f>
        <v/>
      </c>
      <c r="U162" t="s">
        <v>927</v>
      </c>
      <c r="V162">
        <v>64</v>
      </c>
      <c r="W162" t="str">
        <f ca="1">IF(AND($A162&lt;&gt;"",ISNUMBER($G162),$G162&gt;=TODAY(),$G162&lt;=EDATE(TODAY(),12)),COUNTIFS($G$2:$G$1001,"&gt;="&amp;TODAY(),$G$2:$G$1001,"&lt;"&amp;$G162,$A$2:$A$1001,"&lt;&gt;")+COUNTIFS($G$2:$G162,$G162,$A$2:$A162,"&lt;&gt;"),"")</f>
        <v/>
      </c>
      <c r="X162" t="str">
        <f>IF(AND($A162&lt;&gt;"",ISNUMBER($C162),$C162&gt;=DATE(2003,1,1)),COUNTIFS($C$2:$C162,"&gt;="&amp;DATE(2003,1,1),$A$2:$A162,"&lt;&gt;"),"")</f>
        <v/>
      </c>
    </row>
    <row r="163" spans="1:24">
      <c r="A163" t="str">
        <f>IF(Stoperler!A65="","",Stoperler!A65)</f>
        <v/>
      </c>
      <c r="B163" t="str">
        <f>IF(Stoperler!B65="","",Stoperler!B65)</f>
        <v/>
      </c>
      <c r="C163" s="2" t="str">
        <f>IF(Stoperler!C65="","",Stoperler!C65)</f>
        <v/>
      </c>
      <c r="D163" t="str">
        <f ca="1">IF(Stoperler!D65="","",Stoperler!D65)</f>
        <v/>
      </c>
      <c r="E163" t="str">
        <f>IF(Stoperler!E65="","",Stoperler!E65)</f>
        <v>Stoper</v>
      </c>
      <c r="F163" t="str">
        <f>IF(Stoperler!G65="","",Stoperler!G65)</f>
        <v/>
      </c>
      <c r="G163" s="2" t="str">
        <f>IF(Stoperler!H65="","",Stoperler!H65)</f>
        <v/>
      </c>
      <c r="H163" t="str">
        <f>IF(Stoperler!I65="","",Stoperler!I65)</f>
        <v/>
      </c>
      <c r="I163" t="str">
        <f>IF(Stoperler!A65="","",Stoperler!J65)</f>
        <v/>
      </c>
      <c r="J163" t="str">
        <f>IF(Stoperler!A65="","",Stoperler!K65)</f>
        <v/>
      </c>
      <c r="K163" t="str">
        <f>IF(Stoperler!L65="","",Stoperler!L65)</f>
        <v/>
      </c>
      <c r="L163" t="str">
        <f>IF(Stoperler!M65="","",Stoperler!M65)</f>
        <v/>
      </c>
      <c r="M163" t="str">
        <f>IF(Stoperler!N65="","",Stoperler!N65)</f>
        <v/>
      </c>
      <c r="N163" t="str">
        <f>IF(Stoperler!O65="","",Stoperler!O65)</f>
        <v/>
      </c>
      <c r="O163" t="str">
        <f>IF(Stoperler!P65="","",Stoperler!P65)</f>
        <v/>
      </c>
      <c r="P163" t="str">
        <f>IF(Stoperler!Q65="","",Stoperler!Q65)</f>
        <v/>
      </c>
      <c r="Q163" t="str">
        <f>IF(Stoperler!R65="","",Stoperler!R65)</f>
        <v/>
      </c>
      <c r="R163" t="str">
        <f>IF(Stoperler!S65="","",Stoperler!S65)</f>
        <v/>
      </c>
      <c r="S163" t="str">
        <f>IF(Stoperler!T65="","",Stoperler!T65)</f>
        <v/>
      </c>
      <c r="T163" s="2" t="str">
        <f>IF(Stoperler!U65="","",Stoperler!U65)</f>
        <v/>
      </c>
      <c r="U163" t="s">
        <v>927</v>
      </c>
      <c r="V163">
        <v>65</v>
      </c>
      <c r="W163" t="str">
        <f ca="1">IF(AND($A163&lt;&gt;"",ISNUMBER($G163),$G163&gt;=TODAY(),$G163&lt;=EDATE(TODAY(),12)),COUNTIFS($G$2:$G$1001,"&gt;="&amp;TODAY(),$G$2:$G$1001,"&lt;"&amp;$G163,$A$2:$A$1001,"&lt;&gt;")+COUNTIFS($G$2:$G163,$G163,$A$2:$A163,"&lt;&gt;"),"")</f>
        <v/>
      </c>
      <c r="X163" t="str">
        <f>IF(AND($A163&lt;&gt;"",ISNUMBER($C163),$C163&gt;=DATE(2003,1,1)),COUNTIFS($C$2:$C163,"&gt;="&amp;DATE(2003,1,1),$A$2:$A163,"&lt;&gt;"),"")</f>
        <v/>
      </c>
    </row>
    <row r="164" spans="1:24">
      <c r="A164" t="str">
        <f>IF(Stoperler!A66="","",Stoperler!A66)</f>
        <v/>
      </c>
      <c r="B164" t="str">
        <f>IF(Stoperler!B66="","",Stoperler!B66)</f>
        <v/>
      </c>
      <c r="C164" s="2" t="str">
        <f>IF(Stoperler!C66="","",Stoperler!C66)</f>
        <v/>
      </c>
      <c r="D164" t="str">
        <f ca="1">IF(Stoperler!D66="","",Stoperler!D66)</f>
        <v/>
      </c>
      <c r="E164" t="str">
        <f>IF(Stoperler!E66="","",Stoperler!E66)</f>
        <v>Stoper</v>
      </c>
      <c r="F164" t="str">
        <f>IF(Stoperler!G66="","",Stoperler!G66)</f>
        <v/>
      </c>
      <c r="G164" s="2" t="str">
        <f>IF(Stoperler!H66="","",Stoperler!H66)</f>
        <v/>
      </c>
      <c r="H164" t="str">
        <f>IF(Stoperler!I66="","",Stoperler!I66)</f>
        <v/>
      </c>
      <c r="I164" t="str">
        <f>IF(Stoperler!A66="","",Stoperler!J66)</f>
        <v/>
      </c>
      <c r="J164" t="str">
        <f>IF(Stoperler!A66="","",Stoperler!K66)</f>
        <v/>
      </c>
      <c r="K164" t="str">
        <f>IF(Stoperler!L66="","",Stoperler!L66)</f>
        <v/>
      </c>
      <c r="L164" t="str">
        <f>IF(Stoperler!M66="","",Stoperler!M66)</f>
        <v/>
      </c>
      <c r="M164" t="str">
        <f>IF(Stoperler!N66="","",Stoperler!N66)</f>
        <v/>
      </c>
      <c r="N164" t="str">
        <f>IF(Stoperler!O66="","",Stoperler!O66)</f>
        <v/>
      </c>
      <c r="O164" t="str">
        <f>IF(Stoperler!P66="","",Stoperler!P66)</f>
        <v/>
      </c>
      <c r="P164" t="str">
        <f>IF(Stoperler!Q66="","",Stoperler!Q66)</f>
        <v/>
      </c>
      <c r="Q164" t="str">
        <f>IF(Stoperler!R66="","",Stoperler!R66)</f>
        <v/>
      </c>
      <c r="R164" t="str">
        <f>IF(Stoperler!S66="","",Stoperler!S66)</f>
        <v/>
      </c>
      <c r="S164" t="str">
        <f>IF(Stoperler!T66="","",Stoperler!T66)</f>
        <v/>
      </c>
      <c r="T164" s="2" t="str">
        <f>IF(Stoperler!U66="","",Stoperler!U66)</f>
        <v/>
      </c>
      <c r="U164" t="s">
        <v>927</v>
      </c>
      <c r="V164">
        <v>66</v>
      </c>
      <c r="W164" t="str">
        <f ca="1">IF(AND($A164&lt;&gt;"",ISNUMBER($G164),$G164&gt;=TODAY(),$G164&lt;=EDATE(TODAY(),12)),COUNTIFS($G$2:$G$1001,"&gt;="&amp;TODAY(),$G$2:$G$1001,"&lt;"&amp;$G164,$A$2:$A$1001,"&lt;&gt;")+COUNTIFS($G$2:$G164,$G164,$A$2:$A164,"&lt;&gt;"),"")</f>
        <v/>
      </c>
      <c r="X164" t="str">
        <f>IF(AND($A164&lt;&gt;"",ISNUMBER($C164),$C164&gt;=DATE(2003,1,1)),COUNTIFS($C$2:$C164,"&gt;="&amp;DATE(2003,1,1),$A$2:$A164,"&lt;&gt;"),"")</f>
        <v/>
      </c>
    </row>
    <row r="165" spans="1:24">
      <c r="A165" t="str">
        <f>IF(Stoperler!A67="","",Stoperler!A67)</f>
        <v/>
      </c>
      <c r="B165" t="str">
        <f>IF(Stoperler!B67="","",Stoperler!B67)</f>
        <v/>
      </c>
      <c r="C165" s="2" t="str">
        <f>IF(Stoperler!C67="","",Stoperler!C67)</f>
        <v/>
      </c>
      <c r="D165" t="str">
        <f ca="1">IF(Stoperler!D67="","",Stoperler!D67)</f>
        <v/>
      </c>
      <c r="E165" t="str">
        <f>IF(Stoperler!E67="","",Stoperler!E67)</f>
        <v>Stoper</v>
      </c>
      <c r="F165" t="str">
        <f>IF(Stoperler!G67="","",Stoperler!G67)</f>
        <v/>
      </c>
      <c r="G165" s="2" t="str">
        <f>IF(Stoperler!H67="","",Stoperler!H67)</f>
        <v/>
      </c>
      <c r="H165" t="str">
        <f>IF(Stoperler!I67="","",Stoperler!I67)</f>
        <v/>
      </c>
      <c r="I165" t="str">
        <f>IF(Stoperler!A67="","",Stoperler!J67)</f>
        <v/>
      </c>
      <c r="J165" t="str">
        <f>IF(Stoperler!A67="","",Stoperler!K67)</f>
        <v/>
      </c>
      <c r="K165" t="str">
        <f>IF(Stoperler!L67="","",Stoperler!L67)</f>
        <v/>
      </c>
      <c r="L165" t="str">
        <f>IF(Stoperler!M67="","",Stoperler!M67)</f>
        <v/>
      </c>
      <c r="M165" t="str">
        <f>IF(Stoperler!N67="","",Stoperler!N67)</f>
        <v/>
      </c>
      <c r="N165" t="str">
        <f>IF(Stoperler!O67="","",Stoperler!O67)</f>
        <v/>
      </c>
      <c r="O165" t="str">
        <f>IF(Stoperler!P67="","",Stoperler!P67)</f>
        <v/>
      </c>
      <c r="P165" t="str">
        <f>IF(Stoperler!Q67="","",Stoperler!Q67)</f>
        <v/>
      </c>
      <c r="Q165" t="str">
        <f>IF(Stoperler!R67="","",Stoperler!R67)</f>
        <v/>
      </c>
      <c r="R165" t="str">
        <f>IF(Stoperler!S67="","",Stoperler!S67)</f>
        <v/>
      </c>
      <c r="S165" t="str">
        <f>IF(Stoperler!T67="","",Stoperler!T67)</f>
        <v/>
      </c>
      <c r="T165" s="2" t="str">
        <f>IF(Stoperler!U67="","",Stoperler!U67)</f>
        <v/>
      </c>
      <c r="U165" t="s">
        <v>927</v>
      </c>
      <c r="V165">
        <v>67</v>
      </c>
      <c r="W165" t="str">
        <f ca="1">IF(AND($A165&lt;&gt;"",ISNUMBER($G165),$G165&gt;=TODAY(),$G165&lt;=EDATE(TODAY(),12)),COUNTIFS($G$2:$G$1001,"&gt;="&amp;TODAY(),$G$2:$G$1001,"&lt;"&amp;$G165,$A$2:$A$1001,"&lt;&gt;")+COUNTIFS($G$2:$G165,$G165,$A$2:$A165,"&lt;&gt;"),"")</f>
        <v/>
      </c>
      <c r="X165" t="str">
        <f>IF(AND($A165&lt;&gt;"",ISNUMBER($C165),$C165&gt;=DATE(2003,1,1)),COUNTIFS($C$2:$C165,"&gt;="&amp;DATE(2003,1,1),$A$2:$A165,"&lt;&gt;"),"")</f>
        <v/>
      </c>
    </row>
    <row r="166" spans="1:24">
      <c r="A166" t="str">
        <f>IF(Stoperler!A68="","",Stoperler!A68)</f>
        <v/>
      </c>
      <c r="B166" t="str">
        <f>IF(Stoperler!B68="","",Stoperler!B68)</f>
        <v/>
      </c>
      <c r="C166" s="2" t="str">
        <f>IF(Stoperler!C68="","",Stoperler!C68)</f>
        <v/>
      </c>
      <c r="D166" t="str">
        <f ca="1">IF(Stoperler!D68="","",Stoperler!D68)</f>
        <v/>
      </c>
      <c r="E166" t="str">
        <f>IF(Stoperler!E68="","",Stoperler!E68)</f>
        <v>Stoper</v>
      </c>
      <c r="F166" t="str">
        <f>IF(Stoperler!G68="","",Stoperler!G68)</f>
        <v/>
      </c>
      <c r="G166" s="2" t="str">
        <f>IF(Stoperler!H68="","",Stoperler!H68)</f>
        <v/>
      </c>
      <c r="H166" t="str">
        <f>IF(Stoperler!I68="","",Stoperler!I68)</f>
        <v/>
      </c>
      <c r="I166" t="str">
        <f>IF(Stoperler!A68="","",Stoperler!J68)</f>
        <v/>
      </c>
      <c r="J166" t="str">
        <f>IF(Stoperler!A68="","",Stoperler!K68)</f>
        <v/>
      </c>
      <c r="K166" t="str">
        <f>IF(Stoperler!L68="","",Stoperler!L68)</f>
        <v/>
      </c>
      <c r="L166" t="str">
        <f>IF(Stoperler!M68="","",Stoperler!M68)</f>
        <v/>
      </c>
      <c r="M166" t="str">
        <f>IF(Stoperler!N68="","",Stoperler!N68)</f>
        <v/>
      </c>
      <c r="N166" t="str">
        <f>IF(Stoperler!O68="","",Stoperler!O68)</f>
        <v/>
      </c>
      <c r="O166" t="str">
        <f>IF(Stoperler!P68="","",Stoperler!P68)</f>
        <v/>
      </c>
      <c r="P166" t="str">
        <f>IF(Stoperler!Q68="","",Stoperler!Q68)</f>
        <v/>
      </c>
      <c r="Q166" t="str">
        <f>IF(Stoperler!R68="","",Stoperler!R68)</f>
        <v/>
      </c>
      <c r="R166" t="str">
        <f>IF(Stoperler!S68="","",Stoperler!S68)</f>
        <v/>
      </c>
      <c r="S166" t="str">
        <f>IF(Stoperler!T68="","",Stoperler!T68)</f>
        <v/>
      </c>
      <c r="T166" s="2" t="str">
        <f>IF(Stoperler!U68="","",Stoperler!U68)</f>
        <v/>
      </c>
      <c r="U166" t="s">
        <v>927</v>
      </c>
      <c r="V166">
        <v>68</v>
      </c>
      <c r="W166" t="str">
        <f ca="1">IF(AND($A166&lt;&gt;"",ISNUMBER($G166),$G166&gt;=TODAY(),$G166&lt;=EDATE(TODAY(),12)),COUNTIFS($G$2:$G$1001,"&gt;="&amp;TODAY(),$G$2:$G$1001,"&lt;"&amp;$G166,$A$2:$A$1001,"&lt;&gt;")+COUNTIFS($G$2:$G166,$G166,$A$2:$A166,"&lt;&gt;"),"")</f>
        <v/>
      </c>
      <c r="X166" t="str">
        <f>IF(AND($A166&lt;&gt;"",ISNUMBER($C166),$C166&gt;=DATE(2003,1,1)),COUNTIFS($C$2:$C166,"&gt;="&amp;DATE(2003,1,1),$A$2:$A166,"&lt;&gt;"),"")</f>
        <v/>
      </c>
    </row>
    <row r="167" spans="1:24">
      <c r="A167" t="str">
        <f>IF(Stoperler!A69="","",Stoperler!A69)</f>
        <v/>
      </c>
      <c r="B167" t="str">
        <f>IF(Stoperler!B69="","",Stoperler!B69)</f>
        <v/>
      </c>
      <c r="C167" s="2" t="str">
        <f>IF(Stoperler!C69="","",Stoperler!C69)</f>
        <v/>
      </c>
      <c r="D167" t="str">
        <f ca="1">IF(Stoperler!D69="","",Stoperler!D69)</f>
        <v/>
      </c>
      <c r="E167" t="str">
        <f>IF(Stoperler!E69="","",Stoperler!E69)</f>
        <v>Stoper</v>
      </c>
      <c r="F167" t="str">
        <f>IF(Stoperler!G69="","",Stoperler!G69)</f>
        <v/>
      </c>
      <c r="G167" s="2" t="str">
        <f>IF(Stoperler!H69="","",Stoperler!H69)</f>
        <v/>
      </c>
      <c r="H167" t="str">
        <f>IF(Stoperler!I69="","",Stoperler!I69)</f>
        <v/>
      </c>
      <c r="I167" t="str">
        <f>IF(Stoperler!A69="","",Stoperler!J69)</f>
        <v/>
      </c>
      <c r="J167" t="str">
        <f>IF(Stoperler!A69="","",Stoperler!K69)</f>
        <v/>
      </c>
      <c r="K167" t="str">
        <f>IF(Stoperler!L69="","",Stoperler!L69)</f>
        <v/>
      </c>
      <c r="L167" t="str">
        <f>IF(Stoperler!M69="","",Stoperler!M69)</f>
        <v/>
      </c>
      <c r="M167" t="str">
        <f>IF(Stoperler!N69="","",Stoperler!N69)</f>
        <v/>
      </c>
      <c r="N167" t="str">
        <f>IF(Stoperler!O69="","",Stoperler!O69)</f>
        <v/>
      </c>
      <c r="O167" t="str">
        <f>IF(Stoperler!P69="","",Stoperler!P69)</f>
        <v/>
      </c>
      <c r="P167" t="str">
        <f>IF(Stoperler!Q69="","",Stoperler!Q69)</f>
        <v/>
      </c>
      <c r="Q167" t="str">
        <f>IF(Stoperler!R69="","",Stoperler!R69)</f>
        <v/>
      </c>
      <c r="R167" t="str">
        <f>IF(Stoperler!S69="","",Stoperler!S69)</f>
        <v/>
      </c>
      <c r="S167" t="str">
        <f>IF(Stoperler!T69="","",Stoperler!T69)</f>
        <v/>
      </c>
      <c r="T167" s="2" t="str">
        <f>IF(Stoperler!U69="","",Stoperler!U69)</f>
        <v/>
      </c>
      <c r="U167" t="s">
        <v>927</v>
      </c>
      <c r="V167">
        <v>69</v>
      </c>
      <c r="W167" t="str">
        <f ca="1">IF(AND($A167&lt;&gt;"",ISNUMBER($G167),$G167&gt;=TODAY(),$G167&lt;=EDATE(TODAY(),12)),COUNTIFS($G$2:$G$1001,"&gt;="&amp;TODAY(),$G$2:$G$1001,"&lt;"&amp;$G167,$A$2:$A$1001,"&lt;&gt;")+COUNTIFS($G$2:$G167,$G167,$A$2:$A167,"&lt;&gt;"),"")</f>
        <v/>
      </c>
      <c r="X167" t="str">
        <f>IF(AND($A167&lt;&gt;"",ISNUMBER($C167),$C167&gt;=DATE(2003,1,1)),COUNTIFS($C$2:$C167,"&gt;="&amp;DATE(2003,1,1),$A$2:$A167,"&lt;&gt;"),"")</f>
        <v/>
      </c>
    </row>
    <row r="168" spans="1:24">
      <c r="A168" t="str">
        <f>IF(Stoperler!A70="","",Stoperler!A70)</f>
        <v/>
      </c>
      <c r="B168" t="str">
        <f>IF(Stoperler!B70="","",Stoperler!B70)</f>
        <v/>
      </c>
      <c r="C168" s="2" t="str">
        <f>IF(Stoperler!C70="","",Stoperler!C70)</f>
        <v/>
      </c>
      <c r="D168" t="str">
        <f ca="1">IF(Stoperler!D70="","",Stoperler!D70)</f>
        <v/>
      </c>
      <c r="E168" t="str">
        <f>IF(Stoperler!E70="","",Stoperler!E70)</f>
        <v>Stoper</v>
      </c>
      <c r="F168" t="str">
        <f>IF(Stoperler!G70="","",Stoperler!G70)</f>
        <v/>
      </c>
      <c r="G168" s="2" t="str">
        <f>IF(Stoperler!H70="","",Stoperler!H70)</f>
        <v/>
      </c>
      <c r="H168" t="str">
        <f>IF(Stoperler!I70="","",Stoperler!I70)</f>
        <v/>
      </c>
      <c r="I168" t="str">
        <f>IF(Stoperler!A70="","",Stoperler!J70)</f>
        <v/>
      </c>
      <c r="J168" t="str">
        <f>IF(Stoperler!A70="","",Stoperler!K70)</f>
        <v/>
      </c>
      <c r="K168" t="str">
        <f>IF(Stoperler!L70="","",Stoperler!L70)</f>
        <v/>
      </c>
      <c r="L168" t="str">
        <f>IF(Stoperler!M70="","",Stoperler!M70)</f>
        <v/>
      </c>
      <c r="M168" t="str">
        <f>IF(Stoperler!N70="","",Stoperler!N70)</f>
        <v/>
      </c>
      <c r="N168" t="str">
        <f>IF(Stoperler!O70="","",Stoperler!O70)</f>
        <v/>
      </c>
      <c r="O168" t="str">
        <f>IF(Stoperler!P70="","",Stoperler!P70)</f>
        <v/>
      </c>
      <c r="P168" t="str">
        <f>IF(Stoperler!Q70="","",Stoperler!Q70)</f>
        <v/>
      </c>
      <c r="Q168" t="str">
        <f>IF(Stoperler!R70="","",Stoperler!R70)</f>
        <v/>
      </c>
      <c r="R168" t="str">
        <f>IF(Stoperler!S70="","",Stoperler!S70)</f>
        <v/>
      </c>
      <c r="S168" t="str">
        <f>IF(Stoperler!T70="","",Stoperler!T70)</f>
        <v/>
      </c>
      <c r="T168" s="2" t="str">
        <f>IF(Stoperler!U70="","",Stoperler!U70)</f>
        <v/>
      </c>
      <c r="U168" t="s">
        <v>927</v>
      </c>
      <c r="V168">
        <v>70</v>
      </c>
      <c r="W168" t="str">
        <f ca="1">IF(AND($A168&lt;&gt;"",ISNUMBER($G168),$G168&gt;=TODAY(),$G168&lt;=EDATE(TODAY(),12)),COUNTIFS($G$2:$G$1001,"&gt;="&amp;TODAY(),$G$2:$G$1001,"&lt;"&amp;$G168,$A$2:$A$1001,"&lt;&gt;")+COUNTIFS($G$2:$G168,$G168,$A$2:$A168,"&lt;&gt;"),"")</f>
        <v/>
      </c>
      <c r="X168" t="str">
        <f>IF(AND($A168&lt;&gt;"",ISNUMBER($C168),$C168&gt;=DATE(2003,1,1)),COUNTIFS($C$2:$C168,"&gt;="&amp;DATE(2003,1,1),$A$2:$A168,"&lt;&gt;"),"")</f>
        <v/>
      </c>
    </row>
    <row r="169" spans="1:24">
      <c r="A169" t="str">
        <f>IF(Stoperler!A71="","",Stoperler!A71)</f>
        <v/>
      </c>
      <c r="B169" t="str">
        <f>IF(Stoperler!B71="","",Stoperler!B71)</f>
        <v/>
      </c>
      <c r="C169" s="2" t="str">
        <f>IF(Stoperler!C71="","",Stoperler!C71)</f>
        <v/>
      </c>
      <c r="D169" t="str">
        <f ca="1">IF(Stoperler!D71="","",Stoperler!D71)</f>
        <v/>
      </c>
      <c r="E169" t="str">
        <f>IF(Stoperler!E71="","",Stoperler!E71)</f>
        <v>Stoper</v>
      </c>
      <c r="F169" t="str">
        <f>IF(Stoperler!G71="","",Stoperler!G71)</f>
        <v/>
      </c>
      <c r="G169" s="2" t="str">
        <f>IF(Stoperler!H71="","",Stoperler!H71)</f>
        <v/>
      </c>
      <c r="H169" t="str">
        <f>IF(Stoperler!I71="","",Stoperler!I71)</f>
        <v/>
      </c>
      <c r="I169" t="str">
        <f>IF(Stoperler!A71="","",Stoperler!J71)</f>
        <v/>
      </c>
      <c r="J169" t="str">
        <f>IF(Stoperler!A71="","",Stoperler!K71)</f>
        <v/>
      </c>
      <c r="K169" t="str">
        <f>IF(Stoperler!L71="","",Stoperler!L71)</f>
        <v/>
      </c>
      <c r="L169" t="str">
        <f>IF(Stoperler!M71="","",Stoperler!M71)</f>
        <v/>
      </c>
      <c r="M169" t="str">
        <f>IF(Stoperler!N71="","",Stoperler!N71)</f>
        <v/>
      </c>
      <c r="N169" t="str">
        <f>IF(Stoperler!O71="","",Stoperler!O71)</f>
        <v/>
      </c>
      <c r="O169" t="str">
        <f>IF(Stoperler!P71="","",Stoperler!P71)</f>
        <v/>
      </c>
      <c r="P169" t="str">
        <f>IF(Stoperler!Q71="","",Stoperler!Q71)</f>
        <v/>
      </c>
      <c r="Q169" t="str">
        <f>IF(Stoperler!R71="","",Stoperler!R71)</f>
        <v/>
      </c>
      <c r="R169" t="str">
        <f>IF(Stoperler!S71="","",Stoperler!S71)</f>
        <v/>
      </c>
      <c r="S169" t="str">
        <f>IF(Stoperler!T71="","",Stoperler!T71)</f>
        <v/>
      </c>
      <c r="T169" s="2" t="str">
        <f>IF(Stoperler!U71="","",Stoperler!U71)</f>
        <v/>
      </c>
      <c r="U169" t="s">
        <v>927</v>
      </c>
      <c r="V169">
        <v>71</v>
      </c>
      <c r="W169" t="str">
        <f ca="1">IF(AND($A169&lt;&gt;"",ISNUMBER($G169),$G169&gt;=TODAY(),$G169&lt;=EDATE(TODAY(),12)),COUNTIFS($G$2:$G$1001,"&gt;="&amp;TODAY(),$G$2:$G$1001,"&lt;"&amp;$G169,$A$2:$A$1001,"&lt;&gt;")+COUNTIFS($G$2:$G169,$G169,$A$2:$A169,"&lt;&gt;"),"")</f>
        <v/>
      </c>
      <c r="X169" t="str">
        <f>IF(AND($A169&lt;&gt;"",ISNUMBER($C169),$C169&gt;=DATE(2003,1,1)),COUNTIFS($C$2:$C169,"&gt;="&amp;DATE(2003,1,1),$A$2:$A169,"&lt;&gt;"),"")</f>
        <v/>
      </c>
    </row>
    <row r="170" spans="1:24">
      <c r="A170" t="str">
        <f>IF(Stoperler!A72="","",Stoperler!A72)</f>
        <v/>
      </c>
      <c r="B170" t="str">
        <f>IF(Stoperler!B72="","",Stoperler!B72)</f>
        <v/>
      </c>
      <c r="C170" s="2" t="str">
        <f>IF(Stoperler!C72="","",Stoperler!C72)</f>
        <v/>
      </c>
      <c r="D170" t="str">
        <f ca="1">IF(Stoperler!D72="","",Stoperler!D72)</f>
        <v/>
      </c>
      <c r="E170" t="str">
        <f>IF(Stoperler!E72="","",Stoperler!E72)</f>
        <v>Stoper</v>
      </c>
      <c r="F170" t="str">
        <f>IF(Stoperler!G72="","",Stoperler!G72)</f>
        <v/>
      </c>
      <c r="G170" s="2" t="str">
        <f>IF(Stoperler!H72="","",Stoperler!H72)</f>
        <v/>
      </c>
      <c r="H170" t="str">
        <f>IF(Stoperler!I72="","",Stoperler!I72)</f>
        <v/>
      </c>
      <c r="I170" t="str">
        <f>IF(Stoperler!A72="","",Stoperler!J72)</f>
        <v/>
      </c>
      <c r="J170" t="str">
        <f>IF(Stoperler!A72="","",Stoperler!K72)</f>
        <v/>
      </c>
      <c r="K170" t="str">
        <f>IF(Stoperler!L72="","",Stoperler!L72)</f>
        <v/>
      </c>
      <c r="L170" t="str">
        <f>IF(Stoperler!M72="","",Stoperler!M72)</f>
        <v/>
      </c>
      <c r="M170" t="str">
        <f>IF(Stoperler!N72="","",Stoperler!N72)</f>
        <v/>
      </c>
      <c r="N170" t="str">
        <f>IF(Stoperler!O72="","",Stoperler!O72)</f>
        <v/>
      </c>
      <c r="O170" t="str">
        <f>IF(Stoperler!P72="","",Stoperler!P72)</f>
        <v/>
      </c>
      <c r="P170" t="str">
        <f>IF(Stoperler!Q72="","",Stoperler!Q72)</f>
        <v/>
      </c>
      <c r="Q170" t="str">
        <f>IF(Stoperler!R72="","",Stoperler!R72)</f>
        <v/>
      </c>
      <c r="R170" t="str">
        <f>IF(Stoperler!S72="","",Stoperler!S72)</f>
        <v/>
      </c>
      <c r="S170" t="str">
        <f>IF(Stoperler!T72="","",Stoperler!T72)</f>
        <v/>
      </c>
      <c r="T170" s="2" t="str">
        <f>IF(Stoperler!U72="","",Stoperler!U72)</f>
        <v/>
      </c>
      <c r="U170" t="s">
        <v>927</v>
      </c>
      <c r="V170">
        <v>72</v>
      </c>
      <c r="W170" t="str">
        <f ca="1">IF(AND($A170&lt;&gt;"",ISNUMBER($G170),$G170&gt;=TODAY(),$G170&lt;=EDATE(TODAY(),12)),COUNTIFS($G$2:$G$1001,"&gt;="&amp;TODAY(),$G$2:$G$1001,"&lt;"&amp;$G170,$A$2:$A$1001,"&lt;&gt;")+COUNTIFS($G$2:$G170,$G170,$A$2:$A170,"&lt;&gt;"),"")</f>
        <v/>
      </c>
      <c r="X170" t="str">
        <f>IF(AND($A170&lt;&gt;"",ISNUMBER($C170),$C170&gt;=DATE(2003,1,1)),COUNTIFS($C$2:$C170,"&gt;="&amp;DATE(2003,1,1),$A$2:$A170,"&lt;&gt;"),"")</f>
        <v/>
      </c>
    </row>
    <row r="171" spans="1:24">
      <c r="A171" t="str">
        <f>IF(Stoperler!A73="","",Stoperler!A73)</f>
        <v/>
      </c>
      <c r="B171" t="str">
        <f>IF(Stoperler!B73="","",Stoperler!B73)</f>
        <v/>
      </c>
      <c r="C171" s="2" t="str">
        <f>IF(Stoperler!C73="","",Stoperler!C73)</f>
        <v/>
      </c>
      <c r="D171" t="str">
        <f ca="1">IF(Stoperler!D73="","",Stoperler!D73)</f>
        <v/>
      </c>
      <c r="E171" t="str">
        <f>IF(Stoperler!E73="","",Stoperler!E73)</f>
        <v>Stoper</v>
      </c>
      <c r="F171" t="str">
        <f>IF(Stoperler!G73="","",Stoperler!G73)</f>
        <v/>
      </c>
      <c r="G171" s="2" t="str">
        <f>IF(Stoperler!H73="","",Stoperler!H73)</f>
        <v/>
      </c>
      <c r="H171" t="str">
        <f>IF(Stoperler!I73="","",Stoperler!I73)</f>
        <v/>
      </c>
      <c r="I171" t="str">
        <f>IF(Stoperler!A73="","",Stoperler!J73)</f>
        <v/>
      </c>
      <c r="J171" t="str">
        <f>IF(Stoperler!A73="","",Stoperler!K73)</f>
        <v/>
      </c>
      <c r="K171" t="str">
        <f>IF(Stoperler!L73="","",Stoperler!L73)</f>
        <v/>
      </c>
      <c r="L171" t="str">
        <f>IF(Stoperler!M73="","",Stoperler!M73)</f>
        <v/>
      </c>
      <c r="M171" t="str">
        <f>IF(Stoperler!N73="","",Stoperler!N73)</f>
        <v/>
      </c>
      <c r="N171" t="str">
        <f>IF(Stoperler!O73="","",Stoperler!O73)</f>
        <v/>
      </c>
      <c r="O171" t="str">
        <f>IF(Stoperler!P73="","",Stoperler!P73)</f>
        <v/>
      </c>
      <c r="P171" t="str">
        <f>IF(Stoperler!Q73="","",Stoperler!Q73)</f>
        <v/>
      </c>
      <c r="Q171" t="str">
        <f>IF(Stoperler!R73="","",Stoperler!R73)</f>
        <v/>
      </c>
      <c r="R171" t="str">
        <f>IF(Stoperler!S73="","",Stoperler!S73)</f>
        <v/>
      </c>
      <c r="S171" t="str">
        <f>IF(Stoperler!T73="","",Stoperler!T73)</f>
        <v/>
      </c>
      <c r="T171" s="2" t="str">
        <f>IF(Stoperler!U73="","",Stoperler!U73)</f>
        <v/>
      </c>
      <c r="U171" t="s">
        <v>927</v>
      </c>
      <c r="V171">
        <v>73</v>
      </c>
      <c r="W171" t="str">
        <f ca="1">IF(AND($A171&lt;&gt;"",ISNUMBER($G171),$G171&gt;=TODAY(),$G171&lt;=EDATE(TODAY(),12)),COUNTIFS($G$2:$G$1001,"&gt;="&amp;TODAY(),$G$2:$G$1001,"&lt;"&amp;$G171,$A$2:$A$1001,"&lt;&gt;")+COUNTIFS($G$2:$G171,$G171,$A$2:$A171,"&lt;&gt;"),"")</f>
        <v/>
      </c>
      <c r="X171" t="str">
        <f>IF(AND($A171&lt;&gt;"",ISNUMBER($C171),$C171&gt;=DATE(2003,1,1)),COUNTIFS($C$2:$C171,"&gt;="&amp;DATE(2003,1,1),$A$2:$A171,"&lt;&gt;"),"")</f>
        <v/>
      </c>
    </row>
    <row r="172" spans="1:24">
      <c r="A172" t="str">
        <f>IF(Stoperler!A74="","",Stoperler!A74)</f>
        <v/>
      </c>
      <c r="B172" t="str">
        <f>IF(Stoperler!B74="","",Stoperler!B74)</f>
        <v/>
      </c>
      <c r="C172" s="2" t="str">
        <f>IF(Stoperler!C74="","",Stoperler!C74)</f>
        <v/>
      </c>
      <c r="D172" t="str">
        <f ca="1">IF(Stoperler!D74="","",Stoperler!D74)</f>
        <v/>
      </c>
      <c r="E172" t="str">
        <f>IF(Stoperler!E74="","",Stoperler!E74)</f>
        <v>Stoper</v>
      </c>
      <c r="F172" t="str">
        <f>IF(Stoperler!G74="","",Stoperler!G74)</f>
        <v/>
      </c>
      <c r="G172" s="2" t="str">
        <f>IF(Stoperler!H74="","",Stoperler!H74)</f>
        <v/>
      </c>
      <c r="H172" t="str">
        <f>IF(Stoperler!I74="","",Stoperler!I74)</f>
        <v/>
      </c>
      <c r="I172" t="str">
        <f>IF(Stoperler!A74="","",Stoperler!J74)</f>
        <v/>
      </c>
      <c r="J172" t="str">
        <f>IF(Stoperler!A74="","",Stoperler!K74)</f>
        <v/>
      </c>
      <c r="K172" t="str">
        <f>IF(Stoperler!L74="","",Stoperler!L74)</f>
        <v/>
      </c>
      <c r="L172" t="str">
        <f>IF(Stoperler!M74="","",Stoperler!M74)</f>
        <v/>
      </c>
      <c r="M172" t="str">
        <f>IF(Stoperler!N74="","",Stoperler!N74)</f>
        <v/>
      </c>
      <c r="N172" t="str">
        <f>IF(Stoperler!O74="","",Stoperler!O74)</f>
        <v/>
      </c>
      <c r="O172" t="str">
        <f>IF(Stoperler!P74="","",Stoperler!P74)</f>
        <v/>
      </c>
      <c r="P172" t="str">
        <f>IF(Stoperler!Q74="","",Stoperler!Q74)</f>
        <v/>
      </c>
      <c r="Q172" t="str">
        <f>IF(Stoperler!R74="","",Stoperler!R74)</f>
        <v/>
      </c>
      <c r="R172" t="str">
        <f>IF(Stoperler!S74="","",Stoperler!S74)</f>
        <v/>
      </c>
      <c r="S172" t="str">
        <f>IF(Stoperler!T74="","",Stoperler!T74)</f>
        <v/>
      </c>
      <c r="T172" s="2" t="str">
        <f>IF(Stoperler!U74="","",Stoperler!U74)</f>
        <v/>
      </c>
      <c r="U172" t="s">
        <v>927</v>
      </c>
      <c r="V172">
        <v>74</v>
      </c>
      <c r="W172" t="str">
        <f ca="1">IF(AND($A172&lt;&gt;"",ISNUMBER($G172),$G172&gt;=TODAY(),$G172&lt;=EDATE(TODAY(),12)),COUNTIFS($G$2:$G$1001,"&gt;="&amp;TODAY(),$G$2:$G$1001,"&lt;"&amp;$G172,$A$2:$A$1001,"&lt;&gt;")+COUNTIFS($G$2:$G172,$G172,$A$2:$A172,"&lt;&gt;"),"")</f>
        <v/>
      </c>
      <c r="X172" t="str">
        <f>IF(AND($A172&lt;&gt;"",ISNUMBER($C172),$C172&gt;=DATE(2003,1,1)),COUNTIFS($C$2:$C172,"&gt;="&amp;DATE(2003,1,1),$A$2:$A172,"&lt;&gt;"),"")</f>
        <v/>
      </c>
    </row>
    <row r="173" spans="1:24">
      <c r="A173" t="str">
        <f>IF(Stoperler!A75="","",Stoperler!A75)</f>
        <v/>
      </c>
      <c r="B173" t="str">
        <f>IF(Stoperler!B75="","",Stoperler!B75)</f>
        <v/>
      </c>
      <c r="C173" s="2" t="str">
        <f>IF(Stoperler!C75="","",Stoperler!C75)</f>
        <v/>
      </c>
      <c r="D173" t="str">
        <f ca="1">IF(Stoperler!D75="","",Stoperler!D75)</f>
        <v/>
      </c>
      <c r="E173" t="str">
        <f>IF(Stoperler!E75="","",Stoperler!E75)</f>
        <v>Stoper</v>
      </c>
      <c r="F173" t="str">
        <f>IF(Stoperler!G75="","",Stoperler!G75)</f>
        <v/>
      </c>
      <c r="G173" s="2" t="str">
        <f>IF(Stoperler!H75="","",Stoperler!H75)</f>
        <v/>
      </c>
      <c r="H173" t="str">
        <f>IF(Stoperler!I75="","",Stoperler!I75)</f>
        <v/>
      </c>
      <c r="I173" t="str">
        <f>IF(Stoperler!A75="","",Stoperler!J75)</f>
        <v/>
      </c>
      <c r="J173" t="str">
        <f>IF(Stoperler!A75="","",Stoperler!K75)</f>
        <v/>
      </c>
      <c r="K173" t="str">
        <f>IF(Stoperler!L75="","",Stoperler!L75)</f>
        <v/>
      </c>
      <c r="L173" t="str">
        <f>IF(Stoperler!M75="","",Stoperler!M75)</f>
        <v/>
      </c>
      <c r="M173" t="str">
        <f>IF(Stoperler!N75="","",Stoperler!N75)</f>
        <v/>
      </c>
      <c r="N173" t="str">
        <f>IF(Stoperler!O75="","",Stoperler!O75)</f>
        <v/>
      </c>
      <c r="O173" t="str">
        <f>IF(Stoperler!P75="","",Stoperler!P75)</f>
        <v/>
      </c>
      <c r="P173" t="str">
        <f>IF(Stoperler!Q75="","",Stoperler!Q75)</f>
        <v/>
      </c>
      <c r="Q173" t="str">
        <f>IF(Stoperler!R75="","",Stoperler!R75)</f>
        <v/>
      </c>
      <c r="R173" t="str">
        <f>IF(Stoperler!S75="","",Stoperler!S75)</f>
        <v/>
      </c>
      <c r="S173" t="str">
        <f>IF(Stoperler!T75="","",Stoperler!T75)</f>
        <v/>
      </c>
      <c r="T173" s="2" t="str">
        <f>IF(Stoperler!U75="","",Stoperler!U75)</f>
        <v/>
      </c>
      <c r="U173" t="s">
        <v>927</v>
      </c>
      <c r="V173">
        <v>75</v>
      </c>
      <c r="W173" t="str">
        <f ca="1">IF(AND($A173&lt;&gt;"",ISNUMBER($G173),$G173&gt;=TODAY(),$G173&lt;=EDATE(TODAY(),12)),COUNTIFS($G$2:$G$1001,"&gt;="&amp;TODAY(),$G$2:$G$1001,"&lt;"&amp;$G173,$A$2:$A$1001,"&lt;&gt;")+COUNTIFS($G$2:$G173,$G173,$A$2:$A173,"&lt;&gt;"),"")</f>
        <v/>
      </c>
      <c r="X173" t="str">
        <f>IF(AND($A173&lt;&gt;"",ISNUMBER($C173),$C173&gt;=DATE(2003,1,1)),COUNTIFS($C$2:$C173,"&gt;="&amp;DATE(2003,1,1),$A$2:$A173,"&lt;&gt;"),"")</f>
        <v/>
      </c>
    </row>
    <row r="174" spans="1:24">
      <c r="A174" t="str">
        <f>IF(Stoperler!A76="","",Stoperler!A76)</f>
        <v/>
      </c>
      <c r="B174" t="str">
        <f>IF(Stoperler!B76="","",Stoperler!B76)</f>
        <v/>
      </c>
      <c r="C174" s="2" t="str">
        <f>IF(Stoperler!C76="","",Stoperler!C76)</f>
        <v/>
      </c>
      <c r="D174" t="str">
        <f ca="1">IF(Stoperler!D76="","",Stoperler!D76)</f>
        <v/>
      </c>
      <c r="E174" t="str">
        <f>IF(Stoperler!E76="","",Stoperler!E76)</f>
        <v>Stoper</v>
      </c>
      <c r="F174" t="str">
        <f>IF(Stoperler!G76="","",Stoperler!G76)</f>
        <v/>
      </c>
      <c r="G174" s="2" t="str">
        <f>IF(Stoperler!H76="","",Stoperler!H76)</f>
        <v/>
      </c>
      <c r="H174" t="str">
        <f>IF(Stoperler!I76="","",Stoperler!I76)</f>
        <v/>
      </c>
      <c r="I174" t="str">
        <f>IF(Stoperler!A76="","",Stoperler!J76)</f>
        <v/>
      </c>
      <c r="J174" t="str">
        <f>IF(Stoperler!A76="","",Stoperler!K76)</f>
        <v/>
      </c>
      <c r="K174" t="str">
        <f>IF(Stoperler!L76="","",Stoperler!L76)</f>
        <v/>
      </c>
      <c r="L174" t="str">
        <f>IF(Stoperler!M76="","",Stoperler!M76)</f>
        <v/>
      </c>
      <c r="M174" t="str">
        <f>IF(Stoperler!N76="","",Stoperler!N76)</f>
        <v/>
      </c>
      <c r="N174" t="str">
        <f>IF(Stoperler!O76="","",Stoperler!O76)</f>
        <v/>
      </c>
      <c r="O174" t="str">
        <f>IF(Stoperler!P76="","",Stoperler!P76)</f>
        <v/>
      </c>
      <c r="P174" t="str">
        <f>IF(Stoperler!Q76="","",Stoperler!Q76)</f>
        <v/>
      </c>
      <c r="Q174" t="str">
        <f>IF(Stoperler!R76="","",Stoperler!R76)</f>
        <v/>
      </c>
      <c r="R174" t="str">
        <f>IF(Stoperler!S76="","",Stoperler!S76)</f>
        <v/>
      </c>
      <c r="S174" t="str">
        <f>IF(Stoperler!T76="","",Stoperler!T76)</f>
        <v/>
      </c>
      <c r="T174" s="2" t="str">
        <f>IF(Stoperler!U76="","",Stoperler!U76)</f>
        <v/>
      </c>
      <c r="U174" t="s">
        <v>927</v>
      </c>
      <c r="V174">
        <v>76</v>
      </c>
      <c r="W174" t="str">
        <f ca="1">IF(AND($A174&lt;&gt;"",ISNUMBER($G174),$G174&gt;=TODAY(),$G174&lt;=EDATE(TODAY(),12)),COUNTIFS($G$2:$G$1001,"&gt;="&amp;TODAY(),$G$2:$G$1001,"&lt;"&amp;$G174,$A$2:$A$1001,"&lt;&gt;")+COUNTIFS($G$2:$G174,$G174,$A$2:$A174,"&lt;&gt;"),"")</f>
        <v/>
      </c>
      <c r="X174" t="str">
        <f>IF(AND($A174&lt;&gt;"",ISNUMBER($C174),$C174&gt;=DATE(2003,1,1)),COUNTIFS($C$2:$C174,"&gt;="&amp;DATE(2003,1,1),$A$2:$A174,"&lt;&gt;"),"")</f>
        <v/>
      </c>
    </row>
    <row r="175" spans="1:24">
      <c r="A175" t="str">
        <f>IF(Stoperler!A77="","",Stoperler!A77)</f>
        <v/>
      </c>
      <c r="B175" t="str">
        <f>IF(Stoperler!B77="","",Stoperler!B77)</f>
        <v/>
      </c>
      <c r="C175" s="2" t="str">
        <f>IF(Stoperler!C77="","",Stoperler!C77)</f>
        <v/>
      </c>
      <c r="D175" t="str">
        <f ca="1">IF(Stoperler!D77="","",Stoperler!D77)</f>
        <v/>
      </c>
      <c r="E175" t="str">
        <f>IF(Stoperler!E77="","",Stoperler!E77)</f>
        <v>Stoper</v>
      </c>
      <c r="F175" t="str">
        <f>IF(Stoperler!G77="","",Stoperler!G77)</f>
        <v/>
      </c>
      <c r="G175" s="2" t="str">
        <f>IF(Stoperler!H77="","",Stoperler!H77)</f>
        <v/>
      </c>
      <c r="H175" t="str">
        <f>IF(Stoperler!I77="","",Stoperler!I77)</f>
        <v/>
      </c>
      <c r="I175" t="str">
        <f>IF(Stoperler!A77="","",Stoperler!J77)</f>
        <v/>
      </c>
      <c r="J175" t="str">
        <f>IF(Stoperler!A77="","",Stoperler!K77)</f>
        <v/>
      </c>
      <c r="K175" t="str">
        <f>IF(Stoperler!L77="","",Stoperler!L77)</f>
        <v/>
      </c>
      <c r="L175" t="str">
        <f>IF(Stoperler!M77="","",Stoperler!M77)</f>
        <v/>
      </c>
      <c r="M175" t="str">
        <f>IF(Stoperler!N77="","",Stoperler!N77)</f>
        <v/>
      </c>
      <c r="N175" t="str">
        <f>IF(Stoperler!O77="","",Stoperler!O77)</f>
        <v/>
      </c>
      <c r="O175" t="str">
        <f>IF(Stoperler!P77="","",Stoperler!P77)</f>
        <v/>
      </c>
      <c r="P175" t="str">
        <f>IF(Stoperler!Q77="","",Stoperler!Q77)</f>
        <v/>
      </c>
      <c r="Q175" t="str">
        <f>IF(Stoperler!R77="","",Stoperler!R77)</f>
        <v/>
      </c>
      <c r="R175" t="str">
        <f>IF(Stoperler!S77="","",Stoperler!S77)</f>
        <v/>
      </c>
      <c r="S175" t="str">
        <f>IF(Stoperler!T77="","",Stoperler!T77)</f>
        <v/>
      </c>
      <c r="T175" s="2" t="str">
        <f>IF(Stoperler!U77="","",Stoperler!U77)</f>
        <v/>
      </c>
      <c r="U175" t="s">
        <v>927</v>
      </c>
      <c r="V175">
        <v>77</v>
      </c>
      <c r="W175" t="str">
        <f ca="1">IF(AND($A175&lt;&gt;"",ISNUMBER($G175),$G175&gt;=TODAY(),$G175&lt;=EDATE(TODAY(),12)),COUNTIFS($G$2:$G$1001,"&gt;="&amp;TODAY(),$G$2:$G$1001,"&lt;"&amp;$G175,$A$2:$A$1001,"&lt;&gt;")+COUNTIFS($G$2:$G175,$G175,$A$2:$A175,"&lt;&gt;"),"")</f>
        <v/>
      </c>
      <c r="X175" t="str">
        <f>IF(AND($A175&lt;&gt;"",ISNUMBER($C175),$C175&gt;=DATE(2003,1,1)),COUNTIFS($C$2:$C175,"&gt;="&amp;DATE(2003,1,1),$A$2:$A175,"&lt;&gt;"),"")</f>
        <v/>
      </c>
    </row>
    <row r="176" spans="1:24">
      <c r="A176" t="str">
        <f>IF(Stoperler!A78="","",Stoperler!A78)</f>
        <v/>
      </c>
      <c r="B176" t="str">
        <f>IF(Stoperler!B78="","",Stoperler!B78)</f>
        <v/>
      </c>
      <c r="C176" s="2" t="str">
        <f>IF(Stoperler!C78="","",Stoperler!C78)</f>
        <v/>
      </c>
      <c r="D176" t="str">
        <f ca="1">IF(Stoperler!D78="","",Stoperler!D78)</f>
        <v/>
      </c>
      <c r="E176" t="str">
        <f>IF(Stoperler!E78="","",Stoperler!E78)</f>
        <v>Stoper</v>
      </c>
      <c r="F176" t="str">
        <f>IF(Stoperler!G78="","",Stoperler!G78)</f>
        <v/>
      </c>
      <c r="G176" s="2" t="str">
        <f>IF(Stoperler!H78="","",Stoperler!H78)</f>
        <v/>
      </c>
      <c r="H176" t="str">
        <f>IF(Stoperler!I78="","",Stoperler!I78)</f>
        <v/>
      </c>
      <c r="I176" t="str">
        <f>IF(Stoperler!A78="","",Stoperler!J78)</f>
        <v/>
      </c>
      <c r="J176" t="str">
        <f>IF(Stoperler!A78="","",Stoperler!K78)</f>
        <v/>
      </c>
      <c r="K176" t="str">
        <f>IF(Stoperler!L78="","",Stoperler!L78)</f>
        <v/>
      </c>
      <c r="L176" t="str">
        <f>IF(Stoperler!M78="","",Stoperler!M78)</f>
        <v/>
      </c>
      <c r="M176" t="str">
        <f>IF(Stoperler!N78="","",Stoperler!N78)</f>
        <v/>
      </c>
      <c r="N176" t="str">
        <f>IF(Stoperler!O78="","",Stoperler!O78)</f>
        <v/>
      </c>
      <c r="O176" t="str">
        <f>IF(Stoperler!P78="","",Stoperler!P78)</f>
        <v/>
      </c>
      <c r="P176" t="str">
        <f>IF(Stoperler!Q78="","",Stoperler!Q78)</f>
        <v/>
      </c>
      <c r="Q176" t="str">
        <f>IF(Stoperler!R78="","",Stoperler!R78)</f>
        <v/>
      </c>
      <c r="R176" t="str">
        <f>IF(Stoperler!S78="","",Stoperler!S78)</f>
        <v/>
      </c>
      <c r="S176" t="str">
        <f>IF(Stoperler!T78="","",Stoperler!T78)</f>
        <v/>
      </c>
      <c r="T176" s="2" t="str">
        <f>IF(Stoperler!U78="","",Stoperler!U78)</f>
        <v/>
      </c>
      <c r="U176" t="s">
        <v>927</v>
      </c>
      <c r="V176">
        <v>78</v>
      </c>
      <c r="W176" t="str">
        <f ca="1">IF(AND($A176&lt;&gt;"",ISNUMBER($G176),$G176&gt;=TODAY(),$G176&lt;=EDATE(TODAY(),12)),COUNTIFS($G$2:$G$1001,"&gt;="&amp;TODAY(),$G$2:$G$1001,"&lt;"&amp;$G176,$A$2:$A$1001,"&lt;&gt;")+COUNTIFS($G$2:$G176,$G176,$A$2:$A176,"&lt;&gt;"),"")</f>
        <v/>
      </c>
      <c r="X176" t="str">
        <f>IF(AND($A176&lt;&gt;"",ISNUMBER($C176),$C176&gt;=DATE(2003,1,1)),COUNTIFS($C$2:$C176,"&gt;="&amp;DATE(2003,1,1),$A$2:$A176,"&lt;&gt;"),"")</f>
        <v/>
      </c>
    </row>
    <row r="177" spans="1:24">
      <c r="A177" t="str">
        <f>IF(Stoperler!A79="","",Stoperler!A79)</f>
        <v/>
      </c>
      <c r="B177" t="str">
        <f>IF(Stoperler!B79="","",Stoperler!B79)</f>
        <v/>
      </c>
      <c r="C177" s="2" t="str">
        <f>IF(Stoperler!C79="","",Stoperler!C79)</f>
        <v/>
      </c>
      <c r="D177" t="str">
        <f ca="1">IF(Stoperler!D79="","",Stoperler!D79)</f>
        <v/>
      </c>
      <c r="E177" t="str">
        <f>IF(Stoperler!E79="","",Stoperler!E79)</f>
        <v>Stoper</v>
      </c>
      <c r="F177" t="str">
        <f>IF(Stoperler!G79="","",Stoperler!G79)</f>
        <v/>
      </c>
      <c r="G177" s="2" t="str">
        <f>IF(Stoperler!H79="","",Stoperler!H79)</f>
        <v/>
      </c>
      <c r="H177" t="str">
        <f>IF(Stoperler!I79="","",Stoperler!I79)</f>
        <v/>
      </c>
      <c r="I177" t="str">
        <f>IF(Stoperler!A79="","",Stoperler!J79)</f>
        <v/>
      </c>
      <c r="J177" t="str">
        <f>IF(Stoperler!A79="","",Stoperler!K79)</f>
        <v/>
      </c>
      <c r="K177" t="str">
        <f>IF(Stoperler!L79="","",Stoperler!L79)</f>
        <v/>
      </c>
      <c r="L177" t="str">
        <f>IF(Stoperler!M79="","",Stoperler!M79)</f>
        <v/>
      </c>
      <c r="M177" t="str">
        <f>IF(Stoperler!N79="","",Stoperler!N79)</f>
        <v/>
      </c>
      <c r="N177" t="str">
        <f>IF(Stoperler!O79="","",Stoperler!O79)</f>
        <v/>
      </c>
      <c r="O177" t="str">
        <f>IF(Stoperler!P79="","",Stoperler!P79)</f>
        <v/>
      </c>
      <c r="P177" t="str">
        <f>IF(Stoperler!Q79="","",Stoperler!Q79)</f>
        <v/>
      </c>
      <c r="Q177" t="str">
        <f>IF(Stoperler!R79="","",Stoperler!R79)</f>
        <v/>
      </c>
      <c r="R177" t="str">
        <f>IF(Stoperler!S79="","",Stoperler!S79)</f>
        <v/>
      </c>
      <c r="S177" t="str">
        <f>IF(Stoperler!T79="","",Stoperler!T79)</f>
        <v/>
      </c>
      <c r="T177" s="2" t="str">
        <f>IF(Stoperler!U79="","",Stoperler!U79)</f>
        <v/>
      </c>
      <c r="U177" t="s">
        <v>927</v>
      </c>
      <c r="V177">
        <v>79</v>
      </c>
      <c r="W177" t="str">
        <f ca="1">IF(AND($A177&lt;&gt;"",ISNUMBER($G177),$G177&gt;=TODAY(),$G177&lt;=EDATE(TODAY(),12)),COUNTIFS($G$2:$G$1001,"&gt;="&amp;TODAY(),$G$2:$G$1001,"&lt;"&amp;$G177,$A$2:$A$1001,"&lt;&gt;")+COUNTIFS($G$2:$G177,$G177,$A$2:$A177,"&lt;&gt;"),"")</f>
        <v/>
      </c>
      <c r="X177" t="str">
        <f>IF(AND($A177&lt;&gt;"",ISNUMBER($C177),$C177&gt;=DATE(2003,1,1)),COUNTIFS($C$2:$C177,"&gt;="&amp;DATE(2003,1,1),$A$2:$A177,"&lt;&gt;"),"")</f>
        <v/>
      </c>
    </row>
    <row r="178" spans="1:24">
      <c r="A178" t="str">
        <f>IF(Stoperler!A80="","",Stoperler!A80)</f>
        <v/>
      </c>
      <c r="B178" t="str">
        <f>IF(Stoperler!B80="","",Stoperler!B80)</f>
        <v/>
      </c>
      <c r="C178" s="2" t="str">
        <f>IF(Stoperler!C80="","",Stoperler!C80)</f>
        <v/>
      </c>
      <c r="D178" t="str">
        <f ca="1">IF(Stoperler!D80="","",Stoperler!D80)</f>
        <v/>
      </c>
      <c r="E178" t="str">
        <f>IF(Stoperler!E80="","",Stoperler!E80)</f>
        <v>Stoper</v>
      </c>
      <c r="F178" t="str">
        <f>IF(Stoperler!G80="","",Stoperler!G80)</f>
        <v/>
      </c>
      <c r="G178" s="2" t="str">
        <f>IF(Stoperler!H80="","",Stoperler!H80)</f>
        <v/>
      </c>
      <c r="H178" t="str">
        <f>IF(Stoperler!I80="","",Stoperler!I80)</f>
        <v/>
      </c>
      <c r="I178" t="str">
        <f>IF(Stoperler!A80="","",Stoperler!J80)</f>
        <v/>
      </c>
      <c r="J178" t="str">
        <f>IF(Stoperler!A80="","",Stoperler!K80)</f>
        <v/>
      </c>
      <c r="K178" t="str">
        <f>IF(Stoperler!L80="","",Stoperler!L80)</f>
        <v/>
      </c>
      <c r="L178" t="str">
        <f>IF(Stoperler!M80="","",Stoperler!M80)</f>
        <v/>
      </c>
      <c r="M178" t="str">
        <f>IF(Stoperler!N80="","",Stoperler!N80)</f>
        <v/>
      </c>
      <c r="N178" t="str">
        <f>IF(Stoperler!O80="","",Stoperler!O80)</f>
        <v/>
      </c>
      <c r="O178" t="str">
        <f>IF(Stoperler!P80="","",Stoperler!P80)</f>
        <v/>
      </c>
      <c r="P178" t="str">
        <f>IF(Stoperler!Q80="","",Stoperler!Q80)</f>
        <v/>
      </c>
      <c r="Q178" t="str">
        <f>IF(Stoperler!R80="","",Stoperler!R80)</f>
        <v/>
      </c>
      <c r="R178" t="str">
        <f>IF(Stoperler!S80="","",Stoperler!S80)</f>
        <v/>
      </c>
      <c r="S178" t="str">
        <f>IF(Stoperler!T80="","",Stoperler!T80)</f>
        <v/>
      </c>
      <c r="T178" s="2" t="str">
        <f>IF(Stoperler!U80="","",Stoperler!U80)</f>
        <v/>
      </c>
      <c r="U178" t="s">
        <v>927</v>
      </c>
      <c r="V178">
        <v>80</v>
      </c>
      <c r="W178" t="str">
        <f ca="1">IF(AND($A178&lt;&gt;"",ISNUMBER($G178),$G178&gt;=TODAY(),$G178&lt;=EDATE(TODAY(),12)),COUNTIFS($G$2:$G$1001,"&gt;="&amp;TODAY(),$G$2:$G$1001,"&lt;"&amp;$G178,$A$2:$A$1001,"&lt;&gt;")+COUNTIFS($G$2:$G178,$G178,$A$2:$A178,"&lt;&gt;"),"")</f>
        <v/>
      </c>
      <c r="X178" t="str">
        <f>IF(AND($A178&lt;&gt;"",ISNUMBER($C178),$C178&gt;=DATE(2003,1,1)),COUNTIFS($C$2:$C178,"&gt;="&amp;DATE(2003,1,1),$A$2:$A178,"&lt;&gt;"),"")</f>
        <v/>
      </c>
    </row>
    <row r="179" spans="1:24">
      <c r="A179" t="str">
        <f>IF(Stoperler!A81="","",Stoperler!A81)</f>
        <v/>
      </c>
      <c r="B179" t="str">
        <f>IF(Stoperler!B81="","",Stoperler!B81)</f>
        <v/>
      </c>
      <c r="C179" s="2" t="str">
        <f>IF(Stoperler!C81="","",Stoperler!C81)</f>
        <v/>
      </c>
      <c r="D179" t="str">
        <f ca="1">IF(Stoperler!D81="","",Stoperler!D81)</f>
        <v/>
      </c>
      <c r="E179" t="str">
        <f>IF(Stoperler!E81="","",Stoperler!E81)</f>
        <v>Stoper</v>
      </c>
      <c r="F179" t="str">
        <f>IF(Stoperler!G81="","",Stoperler!G81)</f>
        <v/>
      </c>
      <c r="G179" s="2" t="str">
        <f>IF(Stoperler!H81="","",Stoperler!H81)</f>
        <v/>
      </c>
      <c r="H179" t="str">
        <f>IF(Stoperler!I81="","",Stoperler!I81)</f>
        <v/>
      </c>
      <c r="I179" t="str">
        <f>IF(Stoperler!A81="","",Stoperler!J81)</f>
        <v/>
      </c>
      <c r="J179" t="str">
        <f>IF(Stoperler!A81="","",Stoperler!K81)</f>
        <v/>
      </c>
      <c r="K179" t="str">
        <f>IF(Stoperler!L81="","",Stoperler!L81)</f>
        <v/>
      </c>
      <c r="L179" t="str">
        <f>IF(Stoperler!M81="","",Stoperler!M81)</f>
        <v/>
      </c>
      <c r="M179" t="str">
        <f>IF(Stoperler!N81="","",Stoperler!N81)</f>
        <v/>
      </c>
      <c r="N179" t="str">
        <f>IF(Stoperler!O81="","",Stoperler!O81)</f>
        <v/>
      </c>
      <c r="O179" t="str">
        <f>IF(Stoperler!P81="","",Stoperler!P81)</f>
        <v/>
      </c>
      <c r="P179" t="str">
        <f>IF(Stoperler!Q81="","",Stoperler!Q81)</f>
        <v/>
      </c>
      <c r="Q179" t="str">
        <f>IF(Stoperler!R81="","",Stoperler!R81)</f>
        <v/>
      </c>
      <c r="R179" t="str">
        <f>IF(Stoperler!S81="","",Stoperler!S81)</f>
        <v/>
      </c>
      <c r="S179" t="str">
        <f>IF(Stoperler!T81="","",Stoperler!T81)</f>
        <v/>
      </c>
      <c r="T179" s="2" t="str">
        <f>IF(Stoperler!U81="","",Stoperler!U81)</f>
        <v/>
      </c>
      <c r="U179" t="s">
        <v>927</v>
      </c>
      <c r="V179">
        <v>81</v>
      </c>
      <c r="W179" t="str">
        <f ca="1">IF(AND($A179&lt;&gt;"",ISNUMBER($G179),$G179&gt;=TODAY(),$G179&lt;=EDATE(TODAY(),12)),COUNTIFS($G$2:$G$1001,"&gt;="&amp;TODAY(),$G$2:$G$1001,"&lt;"&amp;$G179,$A$2:$A$1001,"&lt;&gt;")+COUNTIFS($G$2:$G179,$G179,$A$2:$A179,"&lt;&gt;"),"")</f>
        <v/>
      </c>
      <c r="X179" t="str">
        <f>IF(AND($A179&lt;&gt;"",ISNUMBER($C179),$C179&gt;=DATE(2003,1,1)),COUNTIFS($C$2:$C179,"&gt;="&amp;DATE(2003,1,1),$A$2:$A179,"&lt;&gt;"),"")</f>
        <v/>
      </c>
    </row>
    <row r="180" spans="1:24">
      <c r="A180" t="str">
        <f>IF(Stoperler!A82="","",Stoperler!A82)</f>
        <v/>
      </c>
      <c r="B180" t="str">
        <f>IF(Stoperler!B82="","",Stoperler!B82)</f>
        <v/>
      </c>
      <c r="C180" s="2" t="str">
        <f>IF(Stoperler!C82="","",Stoperler!C82)</f>
        <v/>
      </c>
      <c r="D180" t="str">
        <f ca="1">IF(Stoperler!D82="","",Stoperler!D82)</f>
        <v/>
      </c>
      <c r="E180" t="str">
        <f>IF(Stoperler!E82="","",Stoperler!E82)</f>
        <v>Stoper</v>
      </c>
      <c r="F180" t="str">
        <f>IF(Stoperler!G82="","",Stoperler!G82)</f>
        <v/>
      </c>
      <c r="G180" s="2" t="str">
        <f>IF(Stoperler!H82="","",Stoperler!H82)</f>
        <v/>
      </c>
      <c r="H180" t="str">
        <f>IF(Stoperler!I82="","",Stoperler!I82)</f>
        <v/>
      </c>
      <c r="I180" t="str">
        <f>IF(Stoperler!A82="","",Stoperler!J82)</f>
        <v/>
      </c>
      <c r="J180" t="str">
        <f>IF(Stoperler!A82="","",Stoperler!K82)</f>
        <v/>
      </c>
      <c r="K180" t="str">
        <f>IF(Stoperler!L82="","",Stoperler!L82)</f>
        <v/>
      </c>
      <c r="L180" t="str">
        <f>IF(Stoperler!M82="","",Stoperler!M82)</f>
        <v/>
      </c>
      <c r="M180" t="str">
        <f>IF(Stoperler!N82="","",Stoperler!N82)</f>
        <v/>
      </c>
      <c r="N180" t="str">
        <f>IF(Stoperler!O82="","",Stoperler!O82)</f>
        <v/>
      </c>
      <c r="O180" t="str">
        <f>IF(Stoperler!P82="","",Stoperler!P82)</f>
        <v/>
      </c>
      <c r="P180" t="str">
        <f>IF(Stoperler!Q82="","",Stoperler!Q82)</f>
        <v/>
      </c>
      <c r="Q180" t="str">
        <f>IF(Stoperler!R82="","",Stoperler!R82)</f>
        <v/>
      </c>
      <c r="R180" t="str">
        <f>IF(Stoperler!S82="","",Stoperler!S82)</f>
        <v/>
      </c>
      <c r="S180" t="str">
        <f>IF(Stoperler!T82="","",Stoperler!T82)</f>
        <v/>
      </c>
      <c r="T180" s="2" t="str">
        <f>IF(Stoperler!U82="","",Stoperler!U82)</f>
        <v/>
      </c>
      <c r="U180" t="s">
        <v>927</v>
      </c>
      <c r="V180">
        <v>82</v>
      </c>
      <c r="W180" t="str">
        <f ca="1">IF(AND($A180&lt;&gt;"",ISNUMBER($G180),$G180&gt;=TODAY(),$G180&lt;=EDATE(TODAY(),12)),COUNTIFS($G$2:$G$1001,"&gt;="&amp;TODAY(),$G$2:$G$1001,"&lt;"&amp;$G180,$A$2:$A$1001,"&lt;&gt;")+COUNTIFS($G$2:$G180,$G180,$A$2:$A180,"&lt;&gt;"),"")</f>
        <v/>
      </c>
      <c r="X180" t="str">
        <f>IF(AND($A180&lt;&gt;"",ISNUMBER($C180),$C180&gt;=DATE(2003,1,1)),COUNTIFS($C$2:$C180,"&gt;="&amp;DATE(2003,1,1),$A$2:$A180,"&lt;&gt;"),"")</f>
        <v/>
      </c>
    </row>
    <row r="181" spans="1:24">
      <c r="A181" t="str">
        <f>IF(Stoperler!A83="","",Stoperler!A83)</f>
        <v/>
      </c>
      <c r="B181" t="str">
        <f>IF(Stoperler!B83="","",Stoperler!B83)</f>
        <v/>
      </c>
      <c r="C181" s="2" t="str">
        <f>IF(Stoperler!C83="","",Stoperler!C83)</f>
        <v/>
      </c>
      <c r="D181" t="str">
        <f ca="1">IF(Stoperler!D83="","",Stoperler!D83)</f>
        <v/>
      </c>
      <c r="E181" t="str">
        <f>IF(Stoperler!E83="","",Stoperler!E83)</f>
        <v>Stoper</v>
      </c>
      <c r="F181" t="str">
        <f>IF(Stoperler!G83="","",Stoperler!G83)</f>
        <v/>
      </c>
      <c r="G181" s="2" t="str">
        <f>IF(Stoperler!H83="","",Stoperler!H83)</f>
        <v/>
      </c>
      <c r="H181" t="str">
        <f>IF(Stoperler!I83="","",Stoperler!I83)</f>
        <v/>
      </c>
      <c r="I181" t="str">
        <f>IF(Stoperler!A83="","",Stoperler!J83)</f>
        <v/>
      </c>
      <c r="J181" t="str">
        <f>IF(Stoperler!A83="","",Stoperler!K83)</f>
        <v/>
      </c>
      <c r="K181" t="str">
        <f>IF(Stoperler!L83="","",Stoperler!L83)</f>
        <v/>
      </c>
      <c r="L181" t="str">
        <f>IF(Stoperler!M83="","",Stoperler!M83)</f>
        <v/>
      </c>
      <c r="M181" t="str">
        <f>IF(Stoperler!N83="","",Stoperler!N83)</f>
        <v/>
      </c>
      <c r="N181" t="str">
        <f>IF(Stoperler!O83="","",Stoperler!O83)</f>
        <v/>
      </c>
      <c r="O181" t="str">
        <f>IF(Stoperler!P83="","",Stoperler!P83)</f>
        <v/>
      </c>
      <c r="P181" t="str">
        <f>IF(Stoperler!Q83="","",Stoperler!Q83)</f>
        <v/>
      </c>
      <c r="Q181" t="str">
        <f>IF(Stoperler!R83="","",Stoperler!R83)</f>
        <v/>
      </c>
      <c r="R181" t="str">
        <f>IF(Stoperler!S83="","",Stoperler!S83)</f>
        <v/>
      </c>
      <c r="S181" t="str">
        <f>IF(Stoperler!T83="","",Stoperler!T83)</f>
        <v/>
      </c>
      <c r="T181" s="2" t="str">
        <f>IF(Stoperler!U83="","",Stoperler!U83)</f>
        <v/>
      </c>
      <c r="U181" t="s">
        <v>927</v>
      </c>
      <c r="V181">
        <v>83</v>
      </c>
      <c r="W181" t="str">
        <f ca="1">IF(AND($A181&lt;&gt;"",ISNUMBER($G181),$G181&gt;=TODAY(),$G181&lt;=EDATE(TODAY(),12)),COUNTIFS($G$2:$G$1001,"&gt;="&amp;TODAY(),$G$2:$G$1001,"&lt;"&amp;$G181,$A$2:$A$1001,"&lt;&gt;")+COUNTIFS($G$2:$G181,$G181,$A$2:$A181,"&lt;&gt;"),"")</f>
        <v/>
      </c>
      <c r="X181" t="str">
        <f>IF(AND($A181&lt;&gt;"",ISNUMBER($C181),$C181&gt;=DATE(2003,1,1)),COUNTIFS($C$2:$C181,"&gt;="&amp;DATE(2003,1,1),$A$2:$A181,"&lt;&gt;"),"")</f>
        <v/>
      </c>
    </row>
    <row r="182" spans="1:24">
      <c r="A182" t="str">
        <f>IF(Stoperler!A84="","",Stoperler!A84)</f>
        <v/>
      </c>
      <c r="B182" t="str">
        <f>IF(Stoperler!B84="","",Stoperler!B84)</f>
        <v/>
      </c>
      <c r="C182" s="2" t="str">
        <f>IF(Stoperler!C84="","",Stoperler!C84)</f>
        <v/>
      </c>
      <c r="D182" t="str">
        <f ca="1">IF(Stoperler!D84="","",Stoperler!D84)</f>
        <v/>
      </c>
      <c r="E182" t="str">
        <f>IF(Stoperler!E84="","",Stoperler!E84)</f>
        <v>Stoper</v>
      </c>
      <c r="F182" t="str">
        <f>IF(Stoperler!G84="","",Stoperler!G84)</f>
        <v/>
      </c>
      <c r="G182" s="2" t="str">
        <f>IF(Stoperler!H84="","",Stoperler!H84)</f>
        <v/>
      </c>
      <c r="H182" t="str">
        <f>IF(Stoperler!I84="","",Stoperler!I84)</f>
        <v/>
      </c>
      <c r="I182" t="str">
        <f>IF(Stoperler!A84="","",Stoperler!J84)</f>
        <v/>
      </c>
      <c r="J182" t="str">
        <f>IF(Stoperler!A84="","",Stoperler!K84)</f>
        <v/>
      </c>
      <c r="K182" t="str">
        <f>IF(Stoperler!L84="","",Stoperler!L84)</f>
        <v/>
      </c>
      <c r="L182" t="str">
        <f>IF(Stoperler!M84="","",Stoperler!M84)</f>
        <v/>
      </c>
      <c r="M182" t="str">
        <f>IF(Stoperler!N84="","",Stoperler!N84)</f>
        <v/>
      </c>
      <c r="N182" t="str">
        <f>IF(Stoperler!O84="","",Stoperler!O84)</f>
        <v/>
      </c>
      <c r="O182" t="str">
        <f>IF(Stoperler!P84="","",Stoperler!P84)</f>
        <v/>
      </c>
      <c r="P182" t="str">
        <f>IF(Stoperler!Q84="","",Stoperler!Q84)</f>
        <v/>
      </c>
      <c r="Q182" t="str">
        <f>IF(Stoperler!R84="","",Stoperler!R84)</f>
        <v/>
      </c>
      <c r="R182" t="str">
        <f>IF(Stoperler!S84="","",Stoperler!S84)</f>
        <v/>
      </c>
      <c r="S182" t="str">
        <f>IF(Stoperler!T84="","",Stoperler!T84)</f>
        <v/>
      </c>
      <c r="T182" s="2" t="str">
        <f>IF(Stoperler!U84="","",Stoperler!U84)</f>
        <v/>
      </c>
      <c r="U182" t="s">
        <v>927</v>
      </c>
      <c r="V182">
        <v>84</v>
      </c>
      <c r="W182" t="str">
        <f ca="1">IF(AND($A182&lt;&gt;"",ISNUMBER($G182),$G182&gt;=TODAY(),$G182&lt;=EDATE(TODAY(),12)),COUNTIFS($G$2:$G$1001,"&gt;="&amp;TODAY(),$G$2:$G$1001,"&lt;"&amp;$G182,$A$2:$A$1001,"&lt;&gt;")+COUNTIFS($G$2:$G182,$G182,$A$2:$A182,"&lt;&gt;"),"")</f>
        <v/>
      </c>
      <c r="X182" t="str">
        <f>IF(AND($A182&lt;&gt;"",ISNUMBER($C182),$C182&gt;=DATE(2003,1,1)),COUNTIFS($C$2:$C182,"&gt;="&amp;DATE(2003,1,1),$A$2:$A182,"&lt;&gt;"),"")</f>
        <v/>
      </c>
    </row>
    <row r="183" spans="1:24">
      <c r="A183" t="str">
        <f>IF(Stoperler!A85="","",Stoperler!A85)</f>
        <v/>
      </c>
      <c r="B183" t="str">
        <f>IF(Stoperler!B85="","",Stoperler!B85)</f>
        <v/>
      </c>
      <c r="C183" s="2" t="str">
        <f>IF(Stoperler!C85="","",Stoperler!C85)</f>
        <v/>
      </c>
      <c r="D183" t="str">
        <f ca="1">IF(Stoperler!D85="","",Stoperler!D85)</f>
        <v/>
      </c>
      <c r="E183" t="str">
        <f>IF(Stoperler!E85="","",Stoperler!E85)</f>
        <v>Stoper</v>
      </c>
      <c r="F183" t="str">
        <f>IF(Stoperler!G85="","",Stoperler!G85)</f>
        <v/>
      </c>
      <c r="G183" s="2" t="str">
        <f>IF(Stoperler!H85="","",Stoperler!H85)</f>
        <v/>
      </c>
      <c r="H183" t="str">
        <f>IF(Stoperler!I85="","",Stoperler!I85)</f>
        <v/>
      </c>
      <c r="I183" t="str">
        <f>IF(Stoperler!A85="","",Stoperler!J85)</f>
        <v/>
      </c>
      <c r="J183" t="str">
        <f>IF(Stoperler!A85="","",Stoperler!K85)</f>
        <v/>
      </c>
      <c r="K183" t="str">
        <f>IF(Stoperler!L85="","",Stoperler!L85)</f>
        <v/>
      </c>
      <c r="L183" t="str">
        <f>IF(Stoperler!M85="","",Stoperler!M85)</f>
        <v/>
      </c>
      <c r="M183" t="str">
        <f>IF(Stoperler!N85="","",Stoperler!N85)</f>
        <v/>
      </c>
      <c r="N183" t="str">
        <f>IF(Stoperler!O85="","",Stoperler!O85)</f>
        <v/>
      </c>
      <c r="O183" t="str">
        <f>IF(Stoperler!P85="","",Stoperler!P85)</f>
        <v/>
      </c>
      <c r="P183" t="str">
        <f>IF(Stoperler!Q85="","",Stoperler!Q85)</f>
        <v/>
      </c>
      <c r="Q183" t="str">
        <f>IF(Stoperler!R85="","",Stoperler!R85)</f>
        <v/>
      </c>
      <c r="R183" t="str">
        <f>IF(Stoperler!S85="","",Stoperler!S85)</f>
        <v/>
      </c>
      <c r="S183" t="str">
        <f>IF(Stoperler!T85="","",Stoperler!T85)</f>
        <v/>
      </c>
      <c r="T183" s="2" t="str">
        <f>IF(Stoperler!U85="","",Stoperler!U85)</f>
        <v/>
      </c>
      <c r="U183" t="s">
        <v>927</v>
      </c>
      <c r="V183">
        <v>85</v>
      </c>
      <c r="W183" t="str">
        <f ca="1">IF(AND($A183&lt;&gt;"",ISNUMBER($G183),$G183&gt;=TODAY(),$G183&lt;=EDATE(TODAY(),12)),COUNTIFS($G$2:$G$1001,"&gt;="&amp;TODAY(),$G$2:$G$1001,"&lt;"&amp;$G183,$A$2:$A$1001,"&lt;&gt;")+COUNTIFS($G$2:$G183,$G183,$A$2:$A183,"&lt;&gt;"),"")</f>
        <v/>
      </c>
      <c r="X183" t="str">
        <f>IF(AND($A183&lt;&gt;"",ISNUMBER($C183),$C183&gt;=DATE(2003,1,1)),COUNTIFS($C$2:$C183,"&gt;="&amp;DATE(2003,1,1),$A$2:$A183,"&lt;&gt;"),"")</f>
        <v/>
      </c>
    </row>
    <row r="184" spans="1:24">
      <c r="A184" t="str">
        <f>IF(Stoperler!A86="","",Stoperler!A86)</f>
        <v/>
      </c>
      <c r="B184" t="str">
        <f>IF(Stoperler!B86="","",Stoperler!B86)</f>
        <v/>
      </c>
      <c r="C184" s="2" t="str">
        <f>IF(Stoperler!C86="","",Stoperler!C86)</f>
        <v/>
      </c>
      <c r="D184" t="str">
        <f ca="1">IF(Stoperler!D86="","",Stoperler!D86)</f>
        <v/>
      </c>
      <c r="E184" t="str">
        <f>IF(Stoperler!E86="","",Stoperler!E86)</f>
        <v>Stoper</v>
      </c>
      <c r="F184" t="str">
        <f>IF(Stoperler!G86="","",Stoperler!G86)</f>
        <v/>
      </c>
      <c r="G184" s="2" t="str">
        <f>IF(Stoperler!H86="","",Stoperler!H86)</f>
        <v/>
      </c>
      <c r="H184" t="str">
        <f>IF(Stoperler!I86="","",Stoperler!I86)</f>
        <v/>
      </c>
      <c r="I184" t="str">
        <f>IF(Stoperler!A86="","",Stoperler!J86)</f>
        <v/>
      </c>
      <c r="J184" t="str">
        <f>IF(Stoperler!A86="","",Stoperler!K86)</f>
        <v/>
      </c>
      <c r="K184" t="str">
        <f>IF(Stoperler!L86="","",Stoperler!L86)</f>
        <v/>
      </c>
      <c r="L184" t="str">
        <f>IF(Stoperler!M86="","",Stoperler!M86)</f>
        <v/>
      </c>
      <c r="M184" t="str">
        <f>IF(Stoperler!N86="","",Stoperler!N86)</f>
        <v/>
      </c>
      <c r="N184" t="str">
        <f>IF(Stoperler!O86="","",Stoperler!O86)</f>
        <v/>
      </c>
      <c r="O184" t="str">
        <f>IF(Stoperler!P86="","",Stoperler!P86)</f>
        <v/>
      </c>
      <c r="P184" t="str">
        <f>IF(Stoperler!Q86="","",Stoperler!Q86)</f>
        <v/>
      </c>
      <c r="Q184" t="str">
        <f>IF(Stoperler!R86="","",Stoperler!R86)</f>
        <v/>
      </c>
      <c r="R184" t="str">
        <f>IF(Stoperler!S86="","",Stoperler!S86)</f>
        <v/>
      </c>
      <c r="S184" t="str">
        <f>IF(Stoperler!T86="","",Stoperler!T86)</f>
        <v/>
      </c>
      <c r="T184" s="2" t="str">
        <f>IF(Stoperler!U86="","",Stoperler!U86)</f>
        <v/>
      </c>
      <c r="U184" t="s">
        <v>927</v>
      </c>
      <c r="V184">
        <v>86</v>
      </c>
      <c r="W184" t="str">
        <f ca="1">IF(AND($A184&lt;&gt;"",ISNUMBER($G184),$G184&gt;=TODAY(),$G184&lt;=EDATE(TODAY(),12)),COUNTIFS($G$2:$G$1001,"&gt;="&amp;TODAY(),$G$2:$G$1001,"&lt;"&amp;$G184,$A$2:$A$1001,"&lt;&gt;")+COUNTIFS($G$2:$G184,$G184,$A$2:$A184,"&lt;&gt;"),"")</f>
        <v/>
      </c>
      <c r="X184" t="str">
        <f>IF(AND($A184&lt;&gt;"",ISNUMBER($C184),$C184&gt;=DATE(2003,1,1)),COUNTIFS($C$2:$C184,"&gt;="&amp;DATE(2003,1,1),$A$2:$A184,"&lt;&gt;"),"")</f>
        <v/>
      </c>
    </row>
    <row r="185" spans="1:24">
      <c r="A185" t="str">
        <f>IF(Stoperler!A87="","",Stoperler!A87)</f>
        <v/>
      </c>
      <c r="B185" t="str">
        <f>IF(Stoperler!B87="","",Stoperler!B87)</f>
        <v/>
      </c>
      <c r="C185" s="2" t="str">
        <f>IF(Stoperler!C87="","",Stoperler!C87)</f>
        <v/>
      </c>
      <c r="D185" t="str">
        <f ca="1">IF(Stoperler!D87="","",Stoperler!D87)</f>
        <v/>
      </c>
      <c r="E185" t="str">
        <f>IF(Stoperler!E87="","",Stoperler!E87)</f>
        <v>Stoper</v>
      </c>
      <c r="F185" t="str">
        <f>IF(Stoperler!G87="","",Stoperler!G87)</f>
        <v/>
      </c>
      <c r="G185" s="2" t="str">
        <f>IF(Stoperler!H87="","",Stoperler!H87)</f>
        <v/>
      </c>
      <c r="H185" t="str">
        <f>IF(Stoperler!I87="","",Stoperler!I87)</f>
        <v/>
      </c>
      <c r="I185" t="str">
        <f>IF(Stoperler!A87="","",Stoperler!J87)</f>
        <v/>
      </c>
      <c r="J185" t="str">
        <f>IF(Stoperler!A87="","",Stoperler!K87)</f>
        <v/>
      </c>
      <c r="K185" t="str">
        <f>IF(Stoperler!L87="","",Stoperler!L87)</f>
        <v/>
      </c>
      <c r="L185" t="str">
        <f>IF(Stoperler!M87="","",Stoperler!M87)</f>
        <v/>
      </c>
      <c r="M185" t="str">
        <f>IF(Stoperler!N87="","",Stoperler!N87)</f>
        <v/>
      </c>
      <c r="N185" t="str">
        <f>IF(Stoperler!O87="","",Stoperler!O87)</f>
        <v/>
      </c>
      <c r="O185" t="str">
        <f>IF(Stoperler!P87="","",Stoperler!P87)</f>
        <v/>
      </c>
      <c r="P185" t="str">
        <f>IF(Stoperler!Q87="","",Stoperler!Q87)</f>
        <v/>
      </c>
      <c r="Q185" t="str">
        <f>IF(Stoperler!R87="","",Stoperler!R87)</f>
        <v/>
      </c>
      <c r="R185" t="str">
        <f>IF(Stoperler!S87="","",Stoperler!S87)</f>
        <v/>
      </c>
      <c r="S185" t="str">
        <f>IF(Stoperler!T87="","",Stoperler!T87)</f>
        <v/>
      </c>
      <c r="T185" s="2" t="str">
        <f>IF(Stoperler!U87="","",Stoperler!U87)</f>
        <v/>
      </c>
      <c r="U185" t="s">
        <v>927</v>
      </c>
      <c r="V185">
        <v>87</v>
      </c>
      <c r="W185" t="str">
        <f ca="1">IF(AND($A185&lt;&gt;"",ISNUMBER($G185),$G185&gt;=TODAY(),$G185&lt;=EDATE(TODAY(),12)),COUNTIFS($G$2:$G$1001,"&gt;="&amp;TODAY(),$G$2:$G$1001,"&lt;"&amp;$G185,$A$2:$A$1001,"&lt;&gt;")+COUNTIFS($G$2:$G185,$G185,$A$2:$A185,"&lt;&gt;"),"")</f>
        <v/>
      </c>
      <c r="X185" t="str">
        <f>IF(AND($A185&lt;&gt;"",ISNUMBER($C185),$C185&gt;=DATE(2003,1,1)),COUNTIFS($C$2:$C185,"&gt;="&amp;DATE(2003,1,1),$A$2:$A185,"&lt;&gt;"),"")</f>
        <v/>
      </c>
    </row>
    <row r="186" spans="1:24">
      <c r="A186" t="str">
        <f>IF(Stoperler!A88="","",Stoperler!A88)</f>
        <v/>
      </c>
      <c r="B186" t="str">
        <f>IF(Stoperler!B88="","",Stoperler!B88)</f>
        <v/>
      </c>
      <c r="C186" s="2" t="str">
        <f>IF(Stoperler!C88="","",Stoperler!C88)</f>
        <v/>
      </c>
      <c r="D186" t="str">
        <f ca="1">IF(Stoperler!D88="","",Stoperler!D88)</f>
        <v/>
      </c>
      <c r="E186" t="str">
        <f>IF(Stoperler!E88="","",Stoperler!E88)</f>
        <v>Stoper</v>
      </c>
      <c r="F186" t="str">
        <f>IF(Stoperler!G88="","",Stoperler!G88)</f>
        <v/>
      </c>
      <c r="G186" s="2" t="str">
        <f>IF(Stoperler!H88="","",Stoperler!H88)</f>
        <v/>
      </c>
      <c r="H186" t="str">
        <f>IF(Stoperler!I88="","",Stoperler!I88)</f>
        <v/>
      </c>
      <c r="I186" t="str">
        <f>IF(Stoperler!A88="","",Stoperler!J88)</f>
        <v/>
      </c>
      <c r="J186" t="str">
        <f>IF(Stoperler!A88="","",Stoperler!K88)</f>
        <v/>
      </c>
      <c r="K186" t="str">
        <f>IF(Stoperler!L88="","",Stoperler!L88)</f>
        <v/>
      </c>
      <c r="L186" t="str">
        <f>IF(Stoperler!M88="","",Stoperler!M88)</f>
        <v/>
      </c>
      <c r="M186" t="str">
        <f>IF(Stoperler!N88="","",Stoperler!N88)</f>
        <v/>
      </c>
      <c r="N186" t="str">
        <f>IF(Stoperler!O88="","",Stoperler!O88)</f>
        <v/>
      </c>
      <c r="O186" t="str">
        <f>IF(Stoperler!P88="","",Stoperler!P88)</f>
        <v/>
      </c>
      <c r="P186" t="str">
        <f>IF(Stoperler!Q88="","",Stoperler!Q88)</f>
        <v/>
      </c>
      <c r="Q186" t="str">
        <f>IF(Stoperler!R88="","",Stoperler!R88)</f>
        <v/>
      </c>
      <c r="R186" t="str">
        <f>IF(Stoperler!S88="","",Stoperler!S88)</f>
        <v/>
      </c>
      <c r="S186" t="str">
        <f>IF(Stoperler!T88="","",Stoperler!T88)</f>
        <v/>
      </c>
      <c r="T186" s="2" t="str">
        <f>IF(Stoperler!U88="","",Stoperler!U88)</f>
        <v/>
      </c>
      <c r="U186" t="s">
        <v>927</v>
      </c>
      <c r="V186">
        <v>88</v>
      </c>
      <c r="W186" t="str">
        <f ca="1">IF(AND($A186&lt;&gt;"",ISNUMBER($G186),$G186&gt;=TODAY(),$G186&lt;=EDATE(TODAY(),12)),COUNTIFS($G$2:$G$1001,"&gt;="&amp;TODAY(),$G$2:$G$1001,"&lt;"&amp;$G186,$A$2:$A$1001,"&lt;&gt;")+COUNTIFS($G$2:$G186,$G186,$A$2:$A186,"&lt;&gt;"),"")</f>
        <v/>
      </c>
      <c r="X186" t="str">
        <f>IF(AND($A186&lt;&gt;"",ISNUMBER($C186),$C186&gt;=DATE(2003,1,1)),COUNTIFS($C$2:$C186,"&gt;="&amp;DATE(2003,1,1),$A$2:$A186,"&lt;&gt;"),"")</f>
        <v/>
      </c>
    </row>
    <row r="187" spans="1:24">
      <c r="A187" t="str">
        <f>IF(Stoperler!A89="","",Stoperler!A89)</f>
        <v/>
      </c>
      <c r="B187" t="str">
        <f>IF(Stoperler!B89="","",Stoperler!B89)</f>
        <v/>
      </c>
      <c r="C187" s="2" t="str">
        <f>IF(Stoperler!C89="","",Stoperler!C89)</f>
        <v/>
      </c>
      <c r="D187" t="str">
        <f ca="1">IF(Stoperler!D89="","",Stoperler!D89)</f>
        <v/>
      </c>
      <c r="E187" t="str">
        <f>IF(Stoperler!E89="","",Stoperler!E89)</f>
        <v>Stoper</v>
      </c>
      <c r="F187" t="str">
        <f>IF(Stoperler!G89="","",Stoperler!G89)</f>
        <v/>
      </c>
      <c r="G187" s="2" t="str">
        <f>IF(Stoperler!H89="","",Stoperler!H89)</f>
        <v/>
      </c>
      <c r="H187" t="str">
        <f>IF(Stoperler!I89="","",Stoperler!I89)</f>
        <v/>
      </c>
      <c r="I187" t="str">
        <f>IF(Stoperler!A89="","",Stoperler!J89)</f>
        <v/>
      </c>
      <c r="J187" t="str">
        <f>IF(Stoperler!A89="","",Stoperler!K89)</f>
        <v/>
      </c>
      <c r="K187" t="str">
        <f>IF(Stoperler!L89="","",Stoperler!L89)</f>
        <v/>
      </c>
      <c r="L187" t="str">
        <f>IF(Stoperler!M89="","",Stoperler!M89)</f>
        <v/>
      </c>
      <c r="M187" t="str">
        <f>IF(Stoperler!N89="","",Stoperler!N89)</f>
        <v/>
      </c>
      <c r="N187" t="str">
        <f>IF(Stoperler!O89="","",Stoperler!O89)</f>
        <v/>
      </c>
      <c r="O187" t="str">
        <f>IF(Stoperler!P89="","",Stoperler!P89)</f>
        <v/>
      </c>
      <c r="P187" t="str">
        <f>IF(Stoperler!Q89="","",Stoperler!Q89)</f>
        <v/>
      </c>
      <c r="Q187" t="str">
        <f>IF(Stoperler!R89="","",Stoperler!R89)</f>
        <v/>
      </c>
      <c r="R187" t="str">
        <f>IF(Stoperler!S89="","",Stoperler!S89)</f>
        <v/>
      </c>
      <c r="S187" t="str">
        <f>IF(Stoperler!T89="","",Stoperler!T89)</f>
        <v/>
      </c>
      <c r="T187" s="2" t="str">
        <f>IF(Stoperler!U89="","",Stoperler!U89)</f>
        <v/>
      </c>
      <c r="U187" t="s">
        <v>927</v>
      </c>
      <c r="V187">
        <v>89</v>
      </c>
      <c r="W187" t="str">
        <f ca="1">IF(AND($A187&lt;&gt;"",ISNUMBER($G187),$G187&gt;=TODAY(),$G187&lt;=EDATE(TODAY(),12)),COUNTIFS($G$2:$G$1001,"&gt;="&amp;TODAY(),$G$2:$G$1001,"&lt;"&amp;$G187,$A$2:$A$1001,"&lt;&gt;")+COUNTIFS($G$2:$G187,$G187,$A$2:$A187,"&lt;&gt;"),"")</f>
        <v/>
      </c>
      <c r="X187" t="str">
        <f>IF(AND($A187&lt;&gt;"",ISNUMBER($C187),$C187&gt;=DATE(2003,1,1)),COUNTIFS($C$2:$C187,"&gt;="&amp;DATE(2003,1,1),$A$2:$A187,"&lt;&gt;"),"")</f>
        <v/>
      </c>
    </row>
    <row r="188" spans="1:24">
      <c r="A188" t="str">
        <f>IF(Stoperler!A90="","",Stoperler!A90)</f>
        <v/>
      </c>
      <c r="B188" t="str">
        <f>IF(Stoperler!B90="","",Stoperler!B90)</f>
        <v/>
      </c>
      <c r="C188" s="2" t="str">
        <f>IF(Stoperler!C90="","",Stoperler!C90)</f>
        <v/>
      </c>
      <c r="D188" t="str">
        <f ca="1">IF(Stoperler!D90="","",Stoperler!D90)</f>
        <v/>
      </c>
      <c r="E188" t="str">
        <f>IF(Stoperler!E90="","",Stoperler!E90)</f>
        <v>Stoper</v>
      </c>
      <c r="F188" t="str">
        <f>IF(Stoperler!G90="","",Stoperler!G90)</f>
        <v/>
      </c>
      <c r="G188" s="2" t="str">
        <f>IF(Stoperler!H90="","",Stoperler!H90)</f>
        <v/>
      </c>
      <c r="H188" t="str">
        <f>IF(Stoperler!I90="","",Stoperler!I90)</f>
        <v/>
      </c>
      <c r="I188" t="str">
        <f>IF(Stoperler!A90="","",Stoperler!J90)</f>
        <v/>
      </c>
      <c r="J188" t="str">
        <f>IF(Stoperler!A90="","",Stoperler!K90)</f>
        <v/>
      </c>
      <c r="K188" t="str">
        <f>IF(Stoperler!L90="","",Stoperler!L90)</f>
        <v/>
      </c>
      <c r="L188" t="str">
        <f>IF(Stoperler!M90="","",Stoperler!M90)</f>
        <v/>
      </c>
      <c r="M188" t="str">
        <f>IF(Stoperler!N90="","",Stoperler!N90)</f>
        <v/>
      </c>
      <c r="N188" t="str">
        <f>IF(Stoperler!O90="","",Stoperler!O90)</f>
        <v/>
      </c>
      <c r="O188" t="str">
        <f>IF(Stoperler!P90="","",Stoperler!P90)</f>
        <v/>
      </c>
      <c r="P188" t="str">
        <f>IF(Stoperler!Q90="","",Stoperler!Q90)</f>
        <v/>
      </c>
      <c r="Q188" t="str">
        <f>IF(Stoperler!R90="","",Stoperler!R90)</f>
        <v/>
      </c>
      <c r="R188" t="str">
        <f>IF(Stoperler!S90="","",Stoperler!S90)</f>
        <v/>
      </c>
      <c r="S188" t="str">
        <f>IF(Stoperler!T90="","",Stoperler!T90)</f>
        <v/>
      </c>
      <c r="T188" s="2" t="str">
        <f>IF(Stoperler!U90="","",Stoperler!U90)</f>
        <v/>
      </c>
      <c r="U188" t="s">
        <v>927</v>
      </c>
      <c r="V188">
        <v>90</v>
      </c>
      <c r="W188" t="str">
        <f ca="1">IF(AND($A188&lt;&gt;"",ISNUMBER($G188),$G188&gt;=TODAY(),$G188&lt;=EDATE(TODAY(),12)),COUNTIFS($G$2:$G$1001,"&gt;="&amp;TODAY(),$G$2:$G$1001,"&lt;"&amp;$G188,$A$2:$A$1001,"&lt;&gt;")+COUNTIFS($G$2:$G188,$G188,$A$2:$A188,"&lt;&gt;"),"")</f>
        <v/>
      </c>
      <c r="X188" t="str">
        <f>IF(AND($A188&lt;&gt;"",ISNUMBER($C188),$C188&gt;=DATE(2003,1,1)),COUNTIFS($C$2:$C188,"&gt;="&amp;DATE(2003,1,1),$A$2:$A188,"&lt;&gt;"),"")</f>
        <v/>
      </c>
    </row>
    <row r="189" spans="1:24">
      <c r="A189" t="str">
        <f>IF(Stoperler!A91="","",Stoperler!A91)</f>
        <v/>
      </c>
      <c r="B189" t="str">
        <f>IF(Stoperler!B91="","",Stoperler!B91)</f>
        <v/>
      </c>
      <c r="C189" s="2" t="str">
        <f>IF(Stoperler!C91="","",Stoperler!C91)</f>
        <v/>
      </c>
      <c r="D189" t="str">
        <f ca="1">IF(Stoperler!D91="","",Stoperler!D91)</f>
        <v/>
      </c>
      <c r="E189" t="str">
        <f>IF(Stoperler!E91="","",Stoperler!E91)</f>
        <v>Stoper</v>
      </c>
      <c r="F189" t="str">
        <f>IF(Stoperler!G91="","",Stoperler!G91)</f>
        <v/>
      </c>
      <c r="G189" s="2" t="str">
        <f>IF(Stoperler!H91="","",Stoperler!H91)</f>
        <v/>
      </c>
      <c r="H189" t="str">
        <f>IF(Stoperler!I91="","",Stoperler!I91)</f>
        <v/>
      </c>
      <c r="I189" t="str">
        <f>IF(Stoperler!A91="","",Stoperler!J91)</f>
        <v/>
      </c>
      <c r="J189" t="str">
        <f>IF(Stoperler!A91="","",Stoperler!K91)</f>
        <v/>
      </c>
      <c r="K189" t="str">
        <f>IF(Stoperler!L91="","",Stoperler!L91)</f>
        <v/>
      </c>
      <c r="L189" t="str">
        <f>IF(Stoperler!M91="","",Stoperler!M91)</f>
        <v/>
      </c>
      <c r="M189" t="str">
        <f>IF(Stoperler!N91="","",Stoperler!N91)</f>
        <v/>
      </c>
      <c r="N189" t="str">
        <f>IF(Stoperler!O91="","",Stoperler!O91)</f>
        <v/>
      </c>
      <c r="O189" t="str">
        <f>IF(Stoperler!P91="","",Stoperler!P91)</f>
        <v/>
      </c>
      <c r="P189" t="str">
        <f>IF(Stoperler!Q91="","",Stoperler!Q91)</f>
        <v/>
      </c>
      <c r="Q189" t="str">
        <f>IF(Stoperler!R91="","",Stoperler!R91)</f>
        <v/>
      </c>
      <c r="R189" t="str">
        <f>IF(Stoperler!S91="","",Stoperler!S91)</f>
        <v/>
      </c>
      <c r="S189" t="str">
        <f>IF(Stoperler!T91="","",Stoperler!T91)</f>
        <v/>
      </c>
      <c r="T189" s="2" t="str">
        <f>IF(Stoperler!U91="","",Stoperler!U91)</f>
        <v/>
      </c>
      <c r="U189" t="s">
        <v>927</v>
      </c>
      <c r="V189">
        <v>91</v>
      </c>
      <c r="W189" t="str">
        <f ca="1">IF(AND($A189&lt;&gt;"",ISNUMBER($G189),$G189&gt;=TODAY(),$G189&lt;=EDATE(TODAY(),12)),COUNTIFS($G$2:$G$1001,"&gt;="&amp;TODAY(),$G$2:$G$1001,"&lt;"&amp;$G189,$A$2:$A$1001,"&lt;&gt;")+COUNTIFS($G$2:$G189,$G189,$A$2:$A189,"&lt;&gt;"),"")</f>
        <v/>
      </c>
      <c r="X189" t="str">
        <f>IF(AND($A189&lt;&gt;"",ISNUMBER($C189),$C189&gt;=DATE(2003,1,1)),COUNTIFS($C$2:$C189,"&gt;="&amp;DATE(2003,1,1),$A$2:$A189,"&lt;&gt;"),"")</f>
        <v/>
      </c>
    </row>
    <row r="190" spans="1:24">
      <c r="A190" t="str">
        <f>IF(Stoperler!A92="","",Stoperler!A92)</f>
        <v/>
      </c>
      <c r="B190" t="str">
        <f>IF(Stoperler!B92="","",Stoperler!B92)</f>
        <v/>
      </c>
      <c r="C190" s="2" t="str">
        <f>IF(Stoperler!C92="","",Stoperler!C92)</f>
        <v/>
      </c>
      <c r="D190" t="str">
        <f ca="1">IF(Stoperler!D92="","",Stoperler!D92)</f>
        <v/>
      </c>
      <c r="E190" t="str">
        <f>IF(Stoperler!E92="","",Stoperler!E92)</f>
        <v>Stoper</v>
      </c>
      <c r="F190" t="str">
        <f>IF(Stoperler!G92="","",Stoperler!G92)</f>
        <v/>
      </c>
      <c r="G190" s="2" t="str">
        <f>IF(Stoperler!H92="","",Stoperler!H92)</f>
        <v/>
      </c>
      <c r="H190" t="str">
        <f>IF(Stoperler!I92="","",Stoperler!I92)</f>
        <v/>
      </c>
      <c r="I190" t="str">
        <f>IF(Stoperler!A92="","",Stoperler!J92)</f>
        <v/>
      </c>
      <c r="J190" t="str">
        <f>IF(Stoperler!A92="","",Stoperler!K92)</f>
        <v/>
      </c>
      <c r="K190" t="str">
        <f>IF(Stoperler!L92="","",Stoperler!L92)</f>
        <v/>
      </c>
      <c r="L190" t="str">
        <f>IF(Stoperler!M92="","",Stoperler!M92)</f>
        <v/>
      </c>
      <c r="M190" t="str">
        <f>IF(Stoperler!N92="","",Stoperler!N92)</f>
        <v/>
      </c>
      <c r="N190" t="str">
        <f>IF(Stoperler!O92="","",Stoperler!O92)</f>
        <v/>
      </c>
      <c r="O190" t="str">
        <f>IF(Stoperler!P92="","",Stoperler!P92)</f>
        <v/>
      </c>
      <c r="P190" t="str">
        <f>IF(Stoperler!Q92="","",Stoperler!Q92)</f>
        <v/>
      </c>
      <c r="Q190" t="str">
        <f>IF(Stoperler!R92="","",Stoperler!R92)</f>
        <v/>
      </c>
      <c r="R190" t="str">
        <f>IF(Stoperler!S92="","",Stoperler!S92)</f>
        <v/>
      </c>
      <c r="S190" t="str">
        <f>IF(Stoperler!T92="","",Stoperler!T92)</f>
        <v/>
      </c>
      <c r="T190" s="2" t="str">
        <f>IF(Stoperler!U92="","",Stoperler!U92)</f>
        <v/>
      </c>
      <c r="U190" t="s">
        <v>927</v>
      </c>
      <c r="V190">
        <v>92</v>
      </c>
      <c r="W190" t="str">
        <f ca="1">IF(AND($A190&lt;&gt;"",ISNUMBER($G190),$G190&gt;=TODAY(),$G190&lt;=EDATE(TODAY(),12)),COUNTIFS($G$2:$G$1001,"&gt;="&amp;TODAY(),$G$2:$G$1001,"&lt;"&amp;$G190,$A$2:$A$1001,"&lt;&gt;")+COUNTIFS($G$2:$G190,$G190,$A$2:$A190,"&lt;&gt;"),"")</f>
        <v/>
      </c>
      <c r="X190" t="str">
        <f>IF(AND($A190&lt;&gt;"",ISNUMBER($C190),$C190&gt;=DATE(2003,1,1)),COUNTIFS($C$2:$C190,"&gt;="&amp;DATE(2003,1,1),$A$2:$A190,"&lt;&gt;"),"")</f>
        <v/>
      </c>
    </row>
    <row r="191" spans="1:24">
      <c r="A191" t="str">
        <f>IF(Stoperler!A93="","",Stoperler!A93)</f>
        <v/>
      </c>
      <c r="B191" t="str">
        <f>IF(Stoperler!B93="","",Stoperler!B93)</f>
        <v/>
      </c>
      <c r="C191" s="2" t="str">
        <f>IF(Stoperler!C93="","",Stoperler!C93)</f>
        <v/>
      </c>
      <c r="D191" t="str">
        <f ca="1">IF(Stoperler!D93="","",Stoperler!D93)</f>
        <v/>
      </c>
      <c r="E191" t="str">
        <f>IF(Stoperler!E93="","",Stoperler!E93)</f>
        <v>Stoper</v>
      </c>
      <c r="F191" t="str">
        <f>IF(Stoperler!G93="","",Stoperler!G93)</f>
        <v/>
      </c>
      <c r="G191" s="2" t="str">
        <f>IF(Stoperler!H93="","",Stoperler!H93)</f>
        <v/>
      </c>
      <c r="H191" t="str">
        <f>IF(Stoperler!I93="","",Stoperler!I93)</f>
        <v/>
      </c>
      <c r="I191" t="str">
        <f>IF(Stoperler!A93="","",Stoperler!J93)</f>
        <v/>
      </c>
      <c r="J191" t="str">
        <f>IF(Stoperler!A93="","",Stoperler!K93)</f>
        <v/>
      </c>
      <c r="K191" t="str">
        <f>IF(Stoperler!L93="","",Stoperler!L93)</f>
        <v/>
      </c>
      <c r="L191" t="str">
        <f>IF(Stoperler!M93="","",Stoperler!M93)</f>
        <v/>
      </c>
      <c r="M191" t="str">
        <f>IF(Stoperler!N93="","",Stoperler!N93)</f>
        <v/>
      </c>
      <c r="N191" t="str">
        <f>IF(Stoperler!O93="","",Stoperler!O93)</f>
        <v/>
      </c>
      <c r="O191" t="str">
        <f>IF(Stoperler!P93="","",Stoperler!P93)</f>
        <v/>
      </c>
      <c r="P191" t="str">
        <f>IF(Stoperler!Q93="","",Stoperler!Q93)</f>
        <v/>
      </c>
      <c r="Q191" t="str">
        <f>IF(Stoperler!R93="","",Stoperler!R93)</f>
        <v/>
      </c>
      <c r="R191" t="str">
        <f>IF(Stoperler!S93="","",Stoperler!S93)</f>
        <v/>
      </c>
      <c r="S191" t="str">
        <f>IF(Stoperler!T93="","",Stoperler!T93)</f>
        <v/>
      </c>
      <c r="T191" s="2" t="str">
        <f>IF(Stoperler!U93="","",Stoperler!U93)</f>
        <v/>
      </c>
      <c r="U191" t="s">
        <v>927</v>
      </c>
      <c r="V191">
        <v>93</v>
      </c>
      <c r="W191" t="str">
        <f ca="1">IF(AND($A191&lt;&gt;"",ISNUMBER($G191),$G191&gt;=TODAY(),$G191&lt;=EDATE(TODAY(),12)),COUNTIFS($G$2:$G$1001,"&gt;="&amp;TODAY(),$G$2:$G$1001,"&lt;"&amp;$G191,$A$2:$A$1001,"&lt;&gt;")+COUNTIFS($G$2:$G191,$G191,$A$2:$A191,"&lt;&gt;"),"")</f>
        <v/>
      </c>
      <c r="X191" t="str">
        <f>IF(AND($A191&lt;&gt;"",ISNUMBER($C191),$C191&gt;=DATE(2003,1,1)),COUNTIFS($C$2:$C191,"&gt;="&amp;DATE(2003,1,1),$A$2:$A191,"&lt;&gt;"),"")</f>
        <v/>
      </c>
    </row>
    <row r="192" spans="1:24">
      <c r="A192" t="str">
        <f>IF(Stoperler!A94="","",Stoperler!A94)</f>
        <v/>
      </c>
      <c r="B192" t="str">
        <f>IF(Stoperler!B94="","",Stoperler!B94)</f>
        <v/>
      </c>
      <c r="C192" s="2" t="str">
        <f>IF(Stoperler!C94="","",Stoperler!C94)</f>
        <v/>
      </c>
      <c r="D192" t="str">
        <f ca="1">IF(Stoperler!D94="","",Stoperler!D94)</f>
        <v/>
      </c>
      <c r="E192" t="str">
        <f>IF(Stoperler!E94="","",Stoperler!E94)</f>
        <v>Stoper</v>
      </c>
      <c r="F192" t="str">
        <f>IF(Stoperler!G94="","",Stoperler!G94)</f>
        <v/>
      </c>
      <c r="G192" s="2" t="str">
        <f>IF(Stoperler!H94="","",Stoperler!H94)</f>
        <v/>
      </c>
      <c r="H192" t="str">
        <f>IF(Stoperler!I94="","",Stoperler!I94)</f>
        <v/>
      </c>
      <c r="I192" t="str">
        <f>IF(Stoperler!A94="","",Stoperler!J94)</f>
        <v/>
      </c>
      <c r="J192" t="str">
        <f>IF(Stoperler!A94="","",Stoperler!K94)</f>
        <v/>
      </c>
      <c r="K192" t="str">
        <f>IF(Stoperler!L94="","",Stoperler!L94)</f>
        <v/>
      </c>
      <c r="L192" t="str">
        <f>IF(Stoperler!M94="","",Stoperler!M94)</f>
        <v/>
      </c>
      <c r="M192" t="str">
        <f>IF(Stoperler!N94="","",Stoperler!N94)</f>
        <v/>
      </c>
      <c r="N192" t="str">
        <f>IF(Stoperler!O94="","",Stoperler!O94)</f>
        <v/>
      </c>
      <c r="O192" t="str">
        <f>IF(Stoperler!P94="","",Stoperler!P94)</f>
        <v/>
      </c>
      <c r="P192" t="str">
        <f>IF(Stoperler!Q94="","",Stoperler!Q94)</f>
        <v/>
      </c>
      <c r="Q192" t="str">
        <f>IF(Stoperler!R94="","",Stoperler!R94)</f>
        <v/>
      </c>
      <c r="R192" t="str">
        <f>IF(Stoperler!S94="","",Stoperler!S94)</f>
        <v/>
      </c>
      <c r="S192" t="str">
        <f>IF(Stoperler!T94="","",Stoperler!T94)</f>
        <v/>
      </c>
      <c r="T192" s="2" t="str">
        <f>IF(Stoperler!U94="","",Stoperler!U94)</f>
        <v/>
      </c>
      <c r="U192" t="s">
        <v>927</v>
      </c>
      <c r="V192">
        <v>94</v>
      </c>
      <c r="W192" t="str">
        <f ca="1">IF(AND($A192&lt;&gt;"",ISNUMBER($G192),$G192&gt;=TODAY(),$G192&lt;=EDATE(TODAY(),12)),COUNTIFS($G$2:$G$1001,"&gt;="&amp;TODAY(),$G$2:$G$1001,"&lt;"&amp;$G192,$A$2:$A$1001,"&lt;&gt;")+COUNTIFS($G$2:$G192,$G192,$A$2:$A192,"&lt;&gt;"),"")</f>
        <v/>
      </c>
      <c r="X192" t="str">
        <f>IF(AND($A192&lt;&gt;"",ISNUMBER($C192),$C192&gt;=DATE(2003,1,1)),COUNTIFS($C$2:$C192,"&gt;="&amp;DATE(2003,1,1),$A$2:$A192,"&lt;&gt;"),"")</f>
        <v/>
      </c>
    </row>
    <row r="193" spans="1:24">
      <c r="A193" t="str">
        <f>IF(Stoperler!A95="","",Stoperler!A95)</f>
        <v/>
      </c>
      <c r="B193" t="str">
        <f>IF(Stoperler!B95="","",Stoperler!B95)</f>
        <v/>
      </c>
      <c r="C193" s="2" t="str">
        <f>IF(Stoperler!C95="","",Stoperler!C95)</f>
        <v/>
      </c>
      <c r="D193" t="str">
        <f ca="1">IF(Stoperler!D95="","",Stoperler!D95)</f>
        <v/>
      </c>
      <c r="E193" t="str">
        <f>IF(Stoperler!E95="","",Stoperler!E95)</f>
        <v>Stoper</v>
      </c>
      <c r="F193" t="str">
        <f>IF(Stoperler!G95="","",Stoperler!G95)</f>
        <v/>
      </c>
      <c r="G193" s="2" t="str">
        <f>IF(Stoperler!H95="","",Stoperler!H95)</f>
        <v/>
      </c>
      <c r="H193" t="str">
        <f>IF(Stoperler!I95="","",Stoperler!I95)</f>
        <v/>
      </c>
      <c r="I193" t="str">
        <f>IF(Stoperler!A95="","",Stoperler!J95)</f>
        <v/>
      </c>
      <c r="J193" t="str">
        <f>IF(Stoperler!A95="","",Stoperler!K95)</f>
        <v/>
      </c>
      <c r="K193" t="str">
        <f>IF(Stoperler!L95="","",Stoperler!L95)</f>
        <v/>
      </c>
      <c r="L193" t="str">
        <f>IF(Stoperler!M95="","",Stoperler!M95)</f>
        <v/>
      </c>
      <c r="M193" t="str">
        <f>IF(Stoperler!N95="","",Stoperler!N95)</f>
        <v/>
      </c>
      <c r="N193" t="str">
        <f>IF(Stoperler!O95="","",Stoperler!O95)</f>
        <v/>
      </c>
      <c r="O193" t="str">
        <f>IF(Stoperler!P95="","",Stoperler!P95)</f>
        <v/>
      </c>
      <c r="P193" t="str">
        <f>IF(Stoperler!Q95="","",Stoperler!Q95)</f>
        <v/>
      </c>
      <c r="Q193" t="str">
        <f>IF(Stoperler!R95="","",Stoperler!R95)</f>
        <v/>
      </c>
      <c r="R193" t="str">
        <f>IF(Stoperler!S95="","",Stoperler!S95)</f>
        <v/>
      </c>
      <c r="S193" t="str">
        <f>IF(Stoperler!T95="","",Stoperler!T95)</f>
        <v/>
      </c>
      <c r="T193" s="2" t="str">
        <f>IF(Stoperler!U95="","",Stoperler!U95)</f>
        <v/>
      </c>
      <c r="U193" t="s">
        <v>927</v>
      </c>
      <c r="V193">
        <v>95</v>
      </c>
      <c r="W193" t="str">
        <f ca="1">IF(AND($A193&lt;&gt;"",ISNUMBER($G193),$G193&gt;=TODAY(),$G193&lt;=EDATE(TODAY(),12)),COUNTIFS($G$2:$G$1001,"&gt;="&amp;TODAY(),$G$2:$G$1001,"&lt;"&amp;$G193,$A$2:$A$1001,"&lt;&gt;")+COUNTIFS($G$2:$G193,$G193,$A$2:$A193,"&lt;&gt;"),"")</f>
        <v/>
      </c>
      <c r="X193" t="str">
        <f>IF(AND($A193&lt;&gt;"",ISNUMBER($C193),$C193&gt;=DATE(2003,1,1)),COUNTIFS($C$2:$C193,"&gt;="&amp;DATE(2003,1,1),$A$2:$A193,"&lt;&gt;"),"")</f>
        <v/>
      </c>
    </row>
    <row r="194" spans="1:24">
      <c r="A194" t="str">
        <f>IF(Stoperler!A96="","",Stoperler!A96)</f>
        <v/>
      </c>
      <c r="B194" t="str">
        <f>IF(Stoperler!B96="","",Stoperler!B96)</f>
        <v/>
      </c>
      <c r="C194" s="2" t="str">
        <f>IF(Stoperler!C96="","",Stoperler!C96)</f>
        <v/>
      </c>
      <c r="D194" t="str">
        <f ca="1">IF(Stoperler!D96="","",Stoperler!D96)</f>
        <v/>
      </c>
      <c r="E194" t="str">
        <f>IF(Stoperler!E96="","",Stoperler!E96)</f>
        <v>Stoper</v>
      </c>
      <c r="F194" t="str">
        <f>IF(Stoperler!G96="","",Stoperler!G96)</f>
        <v/>
      </c>
      <c r="G194" s="2" t="str">
        <f>IF(Stoperler!H96="","",Stoperler!H96)</f>
        <v/>
      </c>
      <c r="H194" t="str">
        <f>IF(Stoperler!I96="","",Stoperler!I96)</f>
        <v/>
      </c>
      <c r="I194" t="str">
        <f>IF(Stoperler!A96="","",Stoperler!J96)</f>
        <v/>
      </c>
      <c r="J194" t="str">
        <f>IF(Stoperler!A96="","",Stoperler!K96)</f>
        <v/>
      </c>
      <c r="K194" t="str">
        <f>IF(Stoperler!L96="","",Stoperler!L96)</f>
        <v/>
      </c>
      <c r="L194" t="str">
        <f>IF(Stoperler!M96="","",Stoperler!M96)</f>
        <v/>
      </c>
      <c r="M194" t="str">
        <f>IF(Stoperler!N96="","",Stoperler!N96)</f>
        <v/>
      </c>
      <c r="N194" t="str">
        <f>IF(Stoperler!O96="","",Stoperler!O96)</f>
        <v/>
      </c>
      <c r="O194" t="str">
        <f>IF(Stoperler!P96="","",Stoperler!P96)</f>
        <v/>
      </c>
      <c r="P194" t="str">
        <f>IF(Stoperler!Q96="","",Stoperler!Q96)</f>
        <v/>
      </c>
      <c r="Q194" t="str">
        <f>IF(Stoperler!R96="","",Stoperler!R96)</f>
        <v/>
      </c>
      <c r="R194" t="str">
        <f>IF(Stoperler!S96="","",Stoperler!S96)</f>
        <v/>
      </c>
      <c r="S194" t="str">
        <f>IF(Stoperler!T96="","",Stoperler!T96)</f>
        <v/>
      </c>
      <c r="T194" s="2" t="str">
        <f>IF(Stoperler!U96="","",Stoperler!U96)</f>
        <v/>
      </c>
      <c r="U194" t="s">
        <v>927</v>
      </c>
      <c r="V194">
        <v>96</v>
      </c>
      <c r="W194" t="str">
        <f ca="1">IF(AND($A194&lt;&gt;"",ISNUMBER($G194),$G194&gt;=TODAY(),$G194&lt;=EDATE(TODAY(),12)),COUNTIFS($G$2:$G$1001,"&gt;="&amp;TODAY(),$G$2:$G$1001,"&lt;"&amp;$G194,$A$2:$A$1001,"&lt;&gt;")+COUNTIFS($G$2:$G194,$G194,$A$2:$A194,"&lt;&gt;"),"")</f>
        <v/>
      </c>
      <c r="X194" t="str">
        <f>IF(AND($A194&lt;&gt;"",ISNUMBER($C194),$C194&gt;=DATE(2003,1,1)),COUNTIFS($C$2:$C194,"&gt;="&amp;DATE(2003,1,1),$A$2:$A194,"&lt;&gt;"),"")</f>
        <v/>
      </c>
    </row>
    <row r="195" spans="1:24">
      <c r="A195" t="str">
        <f>IF(Stoperler!A97="","",Stoperler!A97)</f>
        <v/>
      </c>
      <c r="B195" t="str">
        <f>IF(Stoperler!B97="","",Stoperler!B97)</f>
        <v/>
      </c>
      <c r="C195" s="2" t="str">
        <f>IF(Stoperler!C97="","",Stoperler!C97)</f>
        <v/>
      </c>
      <c r="D195" t="str">
        <f ca="1">IF(Stoperler!D97="","",Stoperler!D97)</f>
        <v/>
      </c>
      <c r="E195" t="str">
        <f>IF(Stoperler!E97="","",Stoperler!E97)</f>
        <v>Stoper</v>
      </c>
      <c r="F195" t="str">
        <f>IF(Stoperler!G97="","",Stoperler!G97)</f>
        <v/>
      </c>
      <c r="G195" s="2" t="str">
        <f>IF(Stoperler!H97="","",Stoperler!H97)</f>
        <v/>
      </c>
      <c r="H195" t="str">
        <f>IF(Stoperler!I97="","",Stoperler!I97)</f>
        <v/>
      </c>
      <c r="I195" t="str">
        <f>IF(Stoperler!A97="","",Stoperler!J97)</f>
        <v/>
      </c>
      <c r="J195" t="str">
        <f>IF(Stoperler!A97="","",Stoperler!K97)</f>
        <v/>
      </c>
      <c r="K195" t="str">
        <f>IF(Stoperler!L97="","",Stoperler!L97)</f>
        <v/>
      </c>
      <c r="L195" t="str">
        <f>IF(Stoperler!M97="","",Stoperler!M97)</f>
        <v/>
      </c>
      <c r="M195" t="str">
        <f>IF(Stoperler!N97="","",Stoperler!N97)</f>
        <v/>
      </c>
      <c r="N195" t="str">
        <f>IF(Stoperler!O97="","",Stoperler!O97)</f>
        <v/>
      </c>
      <c r="O195" t="str">
        <f>IF(Stoperler!P97="","",Stoperler!P97)</f>
        <v/>
      </c>
      <c r="P195" t="str">
        <f>IF(Stoperler!Q97="","",Stoperler!Q97)</f>
        <v/>
      </c>
      <c r="Q195" t="str">
        <f>IF(Stoperler!R97="","",Stoperler!R97)</f>
        <v/>
      </c>
      <c r="R195" t="str">
        <f>IF(Stoperler!S97="","",Stoperler!S97)</f>
        <v/>
      </c>
      <c r="S195" t="str">
        <f>IF(Stoperler!T97="","",Stoperler!T97)</f>
        <v/>
      </c>
      <c r="T195" s="2" t="str">
        <f>IF(Stoperler!U97="","",Stoperler!U97)</f>
        <v/>
      </c>
      <c r="U195" t="s">
        <v>927</v>
      </c>
      <c r="V195">
        <v>97</v>
      </c>
      <c r="W195" t="str">
        <f ca="1">IF(AND($A195&lt;&gt;"",ISNUMBER($G195),$G195&gt;=TODAY(),$G195&lt;=EDATE(TODAY(),12)),COUNTIFS($G$2:$G$1001,"&gt;="&amp;TODAY(),$G$2:$G$1001,"&lt;"&amp;$G195,$A$2:$A$1001,"&lt;&gt;")+COUNTIFS($G$2:$G195,$G195,$A$2:$A195,"&lt;&gt;"),"")</f>
        <v/>
      </c>
      <c r="X195" t="str">
        <f>IF(AND($A195&lt;&gt;"",ISNUMBER($C195),$C195&gt;=DATE(2003,1,1)),COUNTIFS($C$2:$C195,"&gt;="&amp;DATE(2003,1,1),$A$2:$A195,"&lt;&gt;"),"")</f>
        <v/>
      </c>
    </row>
    <row r="196" spans="1:24">
      <c r="A196" t="str">
        <f>IF(Stoperler!A98="","",Stoperler!A98)</f>
        <v/>
      </c>
      <c r="B196" t="str">
        <f>IF(Stoperler!B98="","",Stoperler!B98)</f>
        <v/>
      </c>
      <c r="C196" s="2" t="str">
        <f>IF(Stoperler!C98="","",Stoperler!C98)</f>
        <v/>
      </c>
      <c r="D196" t="str">
        <f ca="1">IF(Stoperler!D98="","",Stoperler!D98)</f>
        <v/>
      </c>
      <c r="E196" t="str">
        <f>IF(Stoperler!E98="","",Stoperler!E98)</f>
        <v>Stoper</v>
      </c>
      <c r="F196" t="str">
        <f>IF(Stoperler!G98="","",Stoperler!G98)</f>
        <v/>
      </c>
      <c r="G196" s="2" t="str">
        <f>IF(Stoperler!H98="","",Stoperler!H98)</f>
        <v/>
      </c>
      <c r="H196" t="str">
        <f>IF(Stoperler!I98="","",Stoperler!I98)</f>
        <v/>
      </c>
      <c r="I196" t="str">
        <f>IF(Stoperler!A98="","",Stoperler!J98)</f>
        <v/>
      </c>
      <c r="J196" t="str">
        <f>IF(Stoperler!A98="","",Stoperler!K98)</f>
        <v/>
      </c>
      <c r="K196" t="str">
        <f>IF(Stoperler!L98="","",Stoperler!L98)</f>
        <v/>
      </c>
      <c r="L196" t="str">
        <f>IF(Stoperler!M98="","",Stoperler!M98)</f>
        <v/>
      </c>
      <c r="M196" t="str">
        <f>IF(Stoperler!N98="","",Stoperler!N98)</f>
        <v/>
      </c>
      <c r="N196" t="str">
        <f>IF(Stoperler!O98="","",Stoperler!O98)</f>
        <v/>
      </c>
      <c r="O196" t="str">
        <f>IF(Stoperler!P98="","",Stoperler!P98)</f>
        <v/>
      </c>
      <c r="P196" t="str">
        <f>IF(Stoperler!Q98="","",Stoperler!Q98)</f>
        <v/>
      </c>
      <c r="Q196" t="str">
        <f>IF(Stoperler!R98="","",Stoperler!R98)</f>
        <v/>
      </c>
      <c r="R196" t="str">
        <f>IF(Stoperler!S98="","",Stoperler!S98)</f>
        <v/>
      </c>
      <c r="S196" t="str">
        <f>IF(Stoperler!T98="","",Stoperler!T98)</f>
        <v/>
      </c>
      <c r="T196" s="2" t="str">
        <f>IF(Stoperler!U98="","",Stoperler!U98)</f>
        <v/>
      </c>
      <c r="U196" t="s">
        <v>927</v>
      </c>
      <c r="V196">
        <v>98</v>
      </c>
      <c r="W196" t="str">
        <f ca="1">IF(AND($A196&lt;&gt;"",ISNUMBER($G196),$G196&gt;=TODAY(),$G196&lt;=EDATE(TODAY(),12)),COUNTIFS($G$2:$G$1001,"&gt;="&amp;TODAY(),$G$2:$G$1001,"&lt;"&amp;$G196,$A$2:$A$1001,"&lt;&gt;")+COUNTIFS($G$2:$G196,$G196,$A$2:$A196,"&lt;&gt;"),"")</f>
        <v/>
      </c>
      <c r="X196" t="str">
        <f>IF(AND($A196&lt;&gt;"",ISNUMBER($C196),$C196&gt;=DATE(2003,1,1)),COUNTIFS($C$2:$C196,"&gt;="&amp;DATE(2003,1,1),$A$2:$A196,"&lt;&gt;"),"")</f>
        <v/>
      </c>
    </row>
    <row r="197" spans="1:24">
      <c r="A197" t="str">
        <f>IF(Stoperler!A99="","",Stoperler!A99)</f>
        <v/>
      </c>
      <c r="B197" t="str">
        <f>IF(Stoperler!B99="","",Stoperler!B99)</f>
        <v/>
      </c>
      <c r="C197" s="2" t="str">
        <f>IF(Stoperler!C99="","",Stoperler!C99)</f>
        <v/>
      </c>
      <c r="D197" t="str">
        <f ca="1">IF(Stoperler!D99="","",Stoperler!D99)</f>
        <v/>
      </c>
      <c r="E197" t="str">
        <f>IF(Stoperler!E99="","",Stoperler!E99)</f>
        <v>Stoper</v>
      </c>
      <c r="F197" t="str">
        <f>IF(Stoperler!G99="","",Stoperler!G99)</f>
        <v/>
      </c>
      <c r="G197" s="2" t="str">
        <f>IF(Stoperler!H99="","",Stoperler!H99)</f>
        <v/>
      </c>
      <c r="H197" t="str">
        <f>IF(Stoperler!I99="","",Stoperler!I99)</f>
        <v/>
      </c>
      <c r="I197" t="str">
        <f>IF(Stoperler!A99="","",Stoperler!J99)</f>
        <v/>
      </c>
      <c r="J197" t="str">
        <f>IF(Stoperler!A99="","",Stoperler!K99)</f>
        <v/>
      </c>
      <c r="K197" t="str">
        <f>IF(Stoperler!L99="","",Stoperler!L99)</f>
        <v/>
      </c>
      <c r="L197" t="str">
        <f>IF(Stoperler!M99="","",Stoperler!M99)</f>
        <v/>
      </c>
      <c r="M197" t="str">
        <f>IF(Stoperler!N99="","",Stoperler!N99)</f>
        <v/>
      </c>
      <c r="N197" t="str">
        <f>IF(Stoperler!O99="","",Stoperler!O99)</f>
        <v/>
      </c>
      <c r="O197" t="str">
        <f>IF(Stoperler!P99="","",Stoperler!P99)</f>
        <v/>
      </c>
      <c r="P197" t="str">
        <f>IF(Stoperler!Q99="","",Stoperler!Q99)</f>
        <v/>
      </c>
      <c r="Q197" t="str">
        <f>IF(Stoperler!R99="","",Stoperler!R99)</f>
        <v/>
      </c>
      <c r="R197" t="str">
        <f>IF(Stoperler!S99="","",Stoperler!S99)</f>
        <v/>
      </c>
      <c r="S197" t="str">
        <f>IF(Stoperler!T99="","",Stoperler!T99)</f>
        <v/>
      </c>
      <c r="T197" s="2" t="str">
        <f>IF(Stoperler!U99="","",Stoperler!U99)</f>
        <v/>
      </c>
      <c r="U197" t="s">
        <v>927</v>
      </c>
      <c r="V197">
        <v>99</v>
      </c>
      <c r="W197" t="str">
        <f ca="1">IF(AND($A197&lt;&gt;"",ISNUMBER($G197),$G197&gt;=TODAY(),$G197&lt;=EDATE(TODAY(),12)),COUNTIFS($G$2:$G$1001,"&gt;="&amp;TODAY(),$G$2:$G$1001,"&lt;"&amp;$G197,$A$2:$A$1001,"&lt;&gt;")+COUNTIFS($G$2:$G197,$G197,$A$2:$A197,"&lt;&gt;"),"")</f>
        <v/>
      </c>
      <c r="X197" t="str">
        <f>IF(AND($A197&lt;&gt;"",ISNUMBER($C197),$C197&gt;=DATE(2003,1,1)),COUNTIFS($C$2:$C197,"&gt;="&amp;DATE(2003,1,1),$A$2:$A197,"&lt;&gt;"),"")</f>
        <v/>
      </c>
    </row>
    <row r="198" spans="1:24">
      <c r="A198" t="str">
        <f>IF(Stoperler!A100="","",Stoperler!A100)</f>
        <v/>
      </c>
      <c r="B198" t="str">
        <f>IF(Stoperler!B100="","",Stoperler!B100)</f>
        <v/>
      </c>
      <c r="C198" s="2" t="str">
        <f>IF(Stoperler!C100="","",Stoperler!C100)</f>
        <v/>
      </c>
      <c r="D198" t="str">
        <f ca="1">IF(Stoperler!D100="","",Stoperler!D100)</f>
        <v/>
      </c>
      <c r="E198" t="str">
        <f>IF(Stoperler!E100="","",Stoperler!E100)</f>
        <v>Stoper</v>
      </c>
      <c r="F198" t="str">
        <f>IF(Stoperler!G100="","",Stoperler!G100)</f>
        <v/>
      </c>
      <c r="G198" s="2" t="str">
        <f>IF(Stoperler!H100="","",Stoperler!H100)</f>
        <v/>
      </c>
      <c r="H198" t="str">
        <f>IF(Stoperler!I100="","",Stoperler!I100)</f>
        <v/>
      </c>
      <c r="I198" t="str">
        <f>IF(Stoperler!A100="","",Stoperler!J100)</f>
        <v/>
      </c>
      <c r="J198" t="str">
        <f>IF(Stoperler!A100="","",Stoperler!K100)</f>
        <v/>
      </c>
      <c r="K198" t="str">
        <f>IF(Stoperler!L100="","",Stoperler!L100)</f>
        <v/>
      </c>
      <c r="L198" t="str">
        <f>IF(Stoperler!M100="","",Stoperler!M100)</f>
        <v/>
      </c>
      <c r="M198" t="str">
        <f>IF(Stoperler!N100="","",Stoperler!N100)</f>
        <v/>
      </c>
      <c r="N198" t="str">
        <f>IF(Stoperler!O100="","",Stoperler!O100)</f>
        <v/>
      </c>
      <c r="O198" t="str">
        <f>IF(Stoperler!P100="","",Stoperler!P100)</f>
        <v/>
      </c>
      <c r="P198" t="str">
        <f>IF(Stoperler!Q100="","",Stoperler!Q100)</f>
        <v/>
      </c>
      <c r="Q198" t="str">
        <f>IF(Stoperler!R100="","",Stoperler!R100)</f>
        <v/>
      </c>
      <c r="R198" t="str">
        <f>IF(Stoperler!S100="","",Stoperler!S100)</f>
        <v/>
      </c>
      <c r="S198" t="str">
        <f>IF(Stoperler!T100="","",Stoperler!T100)</f>
        <v/>
      </c>
      <c r="T198" s="2" t="str">
        <f>IF(Stoperler!U100="","",Stoperler!U100)</f>
        <v/>
      </c>
      <c r="U198" t="s">
        <v>927</v>
      </c>
      <c r="V198">
        <v>100</v>
      </c>
      <c r="W198" t="str">
        <f ca="1">IF(AND($A198&lt;&gt;"",ISNUMBER($G198),$G198&gt;=TODAY(),$G198&lt;=EDATE(TODAY(),12)),COUNTIFS($G$2:$G$1001,"&gt;="&amp;TODAY(),$G$2:$G$1001,"&lt;"&amp;$G198,$A$2:$A$1001,"&lt;&gt;")+COUNTIFS($G$2:$G198,$G198,$A$2:$A198,"&lt;&gt;"),"")</f>
        <v/>
      </c>
      <c r="X198" t="str">
        <f>IF(AND($A198&lt;&gt;"",ISNUMBER($C198),$C198&gt;=DATE(2003,1,1)),COUNTIFS($C$2:$C198,"&gt;="&amp;DATE(2003,1,1),$A$2:$A198,"&lt;&gt;"),"")</f>
        <v/>
      </c>
    </row>
    <row r="199" spans="1:24">
      <c r="A199" t="str">
        <f>IF(Stoperler!A101="","",Stoperler!A101)</f>
        <v/>
      </c>
      <c r="B199" t="str">
        <f>IF(Stoperler!B101="","",Stoperler!B101)</f>
        <v/>
      </c>
      <c r="C199" s="2" t="str">
        <f>IF(Stoperler!C101="","",Stoperler!C101)</f>
        <v/>
      </c>
      <c r="D199" t="str">
        <f ca="1">IF(Stoperler!D101="","",Stoperler!D101)</f>
        <v/>
      </c>
      <c r="E199" t="str">
        <f>IF(Stoperler!E101="","",Stoperler!E101)</f>
        <v>Stoper</v>
      </c>
      <c r="F199" t="str">
        <f>IF(Stoperler!G101="","",Stoperler!G101)</f>
        <v/>
      </c>
      <c r="G199" s="2" t="str">
        <f>IF(Stoperler!H101="","",Stoperler!H101)</f>
        <v/>
      </c>
      <c r="H199" t="str">
        <f>IF(Stoperler!I101="","",Stoperler!I101)</f>
        <v/>
      </c>
      <c r="I199" t="str">
        <f>IF(Stoperler!A101="","",Stoperler!J101)</f>
        <v/>
      </c>
      <c r="J199" t="str">
        <f>IF(Stoperler!A101="","",Stoperler!K101)</f>
        <v/>
      </c>
      <c r="K199" t="str">
        <f>IF(Stoperler!L101="","",Stoperler!L101)</f>
        <v/>
      </c>
      <c r="L199" t="str">
        <f>IF(Stoperler!M101="","",Stoperler!M101)</f>
        <v/>
      </c>
      <c r="M199" t="str">
        <f>IF(Stoperler!N101="","",Stoperler!N101)</f>
        <v/>
      </c>
      <c r="N199" t="str">
        <f>IF(Stoperler!O101="","",Stoperler!O101)</f>
        <v/>
      </c>
      <c r="O199" t="str">
        <f>IF(Stoperler!P101="","",Stoperler!P101)</f>
        <v/>
      </c>
      <c r="P199" t="str">
        <f>IF(Stoperler!Q101="","",Stoperler!Q101)</f>
        <v/>
      </c>
      <c r="Q199" t="str">
        <f>IF(Stoperler!R101="","",Stoperler!R101)</f>
        <v/>
      </c>
      <c r="R199" t="str">
        <f>IF(Stoperler!S101="","",Stoperler!S101)</f>
        <v/>
      </c>
      <c r="S199" t="str">
        <f>IF(Stoperler!T101="","",Stoperler!T101)</f>
        <v/>
      </c>
      <c r="T199" s="2" t="str">
        <f>IF(Stoperler!U101="","",Stoperler!U101)</f>
        <v/>
      </c>
      <c r="U199" t="s">
        <v>927</v>
      </c>
      <c r="V199">
        <v>101</v>
      </c>
      <c r="W199" t="str">
        <f ca="1">IF(AND($A199&lt;&gt;"",ISNUMBER($G199),$G199&gt;=TODAY(),$G199&lt;=EDATE(TODAY(),12)),COUNTIFS($G$2:$G$1001,"&gt;="&amp;TODAY(),$G$2:$G$1001,"&lt;"&amp;$G199,$A$2:$A$1001,"&lt;&gt;")+COUNTIFS($G$2:$G199,$G199,$A$2:$A199,"&lt;&gt;"),"")</f>
        <v/>
      </c>
      <c r="X199" t="str">
        <f>IF(AND($A199&lt;&gt;"",ISNUMBER($C199),$C199&gt;=DATE(2003,1,1)),COUNTIFS($C$2:$C199,"&gt;="&amp;DATE(2003,1,1),$A$2:$A199,"&lt;&gt;"),"")</f>
        <v/>
      </c>
    </row>
    <row r="200" spans="1:24">
      <c r="A200" t="str">
        <f>IF(Stoperler!A102="","",Stoperler!A102)</f>
        <v/>
      </c>
      <c r="B200" t="str">
        <f>IF(Stoperler!B102="","",Stoperler!B102)</f>
        <v/>
      </c>
      <c r="C200" s="2" t="str">
        <f>IF(Stoperler!C102="","",Stoperler!C102)</f>
        <v/>
      </c>
      <c r="D200" t="str">
        <f ca="1">IF(Stoperler!D102="","",Stoperler!D102)</f>
        <v/>
      </c>
      <c r="E200" t="str">
        <f>IF(Stoperler!E102="","",Stoperler!E102)</f>
        <v>Stoper</v>
      </c>
      <c r="F200" t="str">
        <f>IF(Stoperler!G102="","",Stoperler!G102)</f>
        <v/>
      </c>
      <c r="G200" s="2" t="str">
        <f>IF(Stoperler!H102="","",Stoperler!H102)</f>
        <v/>
      </c>
      <c r="H200" t="str">
        <f>IF(Stoperler!I102="","",Stoperler!I102)</f>
        <v/>
      </c>
      <c r="I200" t="str">
        <f>IF(Stoperler!A102="","",Stoperler!J102)</f>
        <v/>
      </c>
      <c r="J200" t="str">
        <f>IF(Stoperler!A102="","",Stoperler!K102)</f>
        <v/>
      </c>
      <c r="K200" t="str">
        <f>IF(Stoperler!L102="","",Stoperler!L102)</f>
        <v/>
      </c>
      <c r="L200" t="str">
        <f>IF(Stoperler!M102="","",Stoperler!M102)</f>
        <v/>
      </c>
      <c r="M200" t="str">
        <f>IF(Stoperler!N102="","",Stoperler!N102)</f>
        <v/>
      </c>
      <c r="N200" t="str">
        <f>IF(Stoperler!O102="","",Stoperler!O102)</f>
        <v/>
      </c>
      <c r="O200" t="str">
        <f>IF(Stoperler!P102="","",Stoperler!P102)</f>
        <v/>
      </c>
      <c r="P200" t="str">
        <f>IF(Stoperler!Q102="","",Stoperler!Q102)</f>
        <v/>
      </c>
      <c r="Q200" t="str">
        <f>IF(Stoperler!R102="","",Stoperler!R102)</f>
        <v/>
      </c>
      <c r="R200" t="str">
        <f>IF(Stoperler!S102="","",Stoperler!S102)</f>
        <v/>
      </c>
      <c r="S200" t="str">
        <f>IF(Stoperler!T102="","",Stoperler!T102)</f>
        <v/>
      </c>
      <c r="T200" s="2" t="str">
        <f>IF(Stoperler!U102="","",Stoperler!U102)</f>
        <v/>
      </c>
      <c r="U200" t="s">
        <v>927</v>
      </c>
      <c r="V200">
        <v>102</v>
      </c>
      <c r="W200" t="str">
        <f ca="1">IF(AND($A200&lt;&gt;"",ISNUMBER($G200),$G200&gt;=TODAY(),$G200&lt;=EDATE(TODAY(),12)),COUNTIFS($G$2:$G$1001,"&gt;="&amp;TODAY(),$G$2:$G$1001,"&lt;"&amp;$G200,$A$2:$A$1001,"&lt;&gt;")+COUNTIFS($G$2:$G200,$G200,$A$2:$A200,"&lt;&gt;"),"")</f>
        <v/>
      </c>
      <c r="X200" t="str">
        <f>IF(AND($A200&lt;&gt;"",ISNUMBER($C200),$C200&gt;=DATE(2003,1,1)),COUNTIFS($C$2:$C200,"&gt;="&amp;DATE(2003,1,1),$A$2:$A200,"&lt;&gt;"),"")</f>
        <v/>
      </c>
    </row>
    <row r="201" spans="1:24">
      <c r="A201" t="str">
        <f>IF(Stoperler!A103="","",Stoperler!A103)</f>
        <v/>
      </c>
      <c r="B201" t="str">
        <f>IF(Stoperler!B103="","",Stoperler!B103)</f>
        <v/>
      </c>
      <c r="C201" s="2" t="str">
        <f>IF(Stoperler!C103="","",Stoperler!C103)</f>
        <v/>
      </c>
      <c r="D201" t="str">
        <f ca="1">IF(Stoperler!D103="","",Stoperler!D103)</f>
        <v/>
      </c>
      <c r="E201" t="str">
        <f>IF(Stoperler!E103="","",Stoperler!E103)</f>
        <v>Stoper</v>
      </c>
      <c r="F201" t="str">
        <f>IF(Stoperler!G103="","",Stoperler!G103)</f>
        <v/>
      </c>
      <c r="G201" s="2" t="str">
        <f>IF(Stoperler!H103="","",Stoperler!H103)</f>
        <v/>
      </c>
      <c r="H201" t="str">
        <f>IF(Stoperler!I103="","",Stoperler!I103)</f>
        <v/>
      </c>
      <c r="I201" t="str">
        <f>IF(Stoperler!A103="","",Stoperler!J103)</f>
        <v/>
      </c>
      <c r="J201" t="str">
        <f>IF(Stoperler!A103="","",Stoperler!K103)</f>
        <v/>
      </c>
      <c r="K201" t="str">
        <f>IF(Stoperler!L103="","",Stoperler!L103)</f>
        <v/>
      </c>
      <c r="L201" t="str">
        <f>IF(Stoperler!M103="","",Stoperler!M103)</f>
        <v/>
      </c>
      <c r="M201" t="str">
        <f>IF(Stoperler!N103="","",Stoperler!N103)</f>
        <v/>
      </c>
      <c r="N201" t="str">
        <f>IF(Stoperler!O103="","",Stoperler!O103)</f>
        <v/>
      </c>
      <c r="O201" t="str">
        <f>IF(Stoperler!P103="","",Stoperler!P103)</f>
        <v/>
      </c>
      <c r="P201" t="str">
        <f>IF(Stoperler!Q103="","",Stoperler!Q103)</f>
        <v/>
      </c>
      <c r="Q201" t="str">
        <f>IF(Stoperler!R103="","",Stoperler!R103)</f>
        <v/>
      </c>
      <c r="R201" t="str">
        <f>IF(Stoperler!S103="","",Stoperler!S103)</f>
        <v/>
      </c>
      <c r="S201" t="str">
        <f>IF(Stoperler!T103="","",Stoperler!T103)</f>
        <v/>
      </c>
      <c r="T201" s="2" t="str">
        <f>IF(Stoperler!U103="","",Stoperler!U103)</f>
        <v/>
      </c>
      <c r="U201" t="s">
        <v>927</v>
      </c>
      <c r="V201">
        <v>103</v>
      </c>
      <c r="W201" t="str">
        <f ca="1">IF(AND($A201&lt;&gt;"",ISNUMBER($G201),$G201&gt;=TODAY(),$G201&lt;=EDATE(TODAY(),12)),COUNTIFS($G$2:$G$1001,"&gt;="&amp;TODAY(),$G$2:$G$1001,"&lt;"&amp;$G201,$A$2:$A$1001,"&lt;&gt;")+COUNTIFS($G$2:$G201,$G201,$A$2:$A201,"&lt;&gt;"),"")</f>
        <v/>
      </c>
      <c r="X201" t="str">
        <f>IF(AND($A201&lt;&gt;"",ISNUMBER($C201),$C201&gt;=DATE(2003,1,1)),COUNTIFS($C$2:$C201,"&gt;="&amp;DATE(2003,1,1),$A$2:$A201,"&lt;&gt;"),"")</f>
        <v/>
      </c>
    </row>
    <row r="202" spans="1:24">
      <c r="A202" t="str">
        <f>IF('Sağ Bekler'!A4="","",'Sağ Bekler'!A4)</f>
        <v>ELSEİD HYSAJ</v>
      </c>
      <c r="B202" t="str">
        <f>IF('Sağ Bekler'!B4="","",'Sağ Bekler'!B4)</f>
        <v>ARNAVUTLUK</v>
      </c>
      <c r="C202" s="2">
        <f>IF('Sağ Bekler'!C4="","",'Sağ Bekler'!C4)</f>
        <v>34367</v>
      </c>
      <c r="D202">
        <f ca="1">IF('Sağ Bekler'!D4="","",'Sağ Bekler'!D4)</f>
        <v>32</v>
      </c>
      <c r="E202" t="str">
        <f>IF('Sağ Bekler'!E4="","",'Sağ Bekler'!E4)</f>
        <v>Sağ Bek</v>
      </c>
      <c r="F202" t="str">
        <f>IF('Sağ Bekler'!G4="","",'Sağ Bekler'!G4)</f>
        <v>FREE</v>
      </c>
      <c r="G202" s="2" t="str">
        <f>IF('Sağ Bekler'!H4="","",'Sağ Bekler'!H4)</f>
        <v>-</v>
      </c>
      <c r="H202" t="str">
        <f>IF('Sağ Bekler'!I4="","",'Sağ Bekler'!I4)</f>
        <v>Kırmızı</v>
      </c>
      <c r="I202">
        <f>IF('Sağ Bekler'!A4="","",'Sağ Bekler'!J4)</f>
        <v>0</v>
      </c>
      <c r="J202" t="str">
        <f>IF('Sağ Bekler'!A4="","",'Sağ Bekler'!K4)</f>
        <v>https://www.transfermarkt.com.tr/elseid-hysaj/profil/spieler/200056</v>
      </c>
      <c r="K202" t="str">
        <f>IF('Sağ Bekler'!L4="","",'Sağ Bekler'!L4)</f>
        <v/>
      </c>
      <c r="L202" t="str">
        <f>IF('Sağ Bekler'!M4="","",'Sağ Bekler'!M4)</f>
        <v/>
      </c>
      <c r="M202" t="str">
        <f>IF('Sağ Bekler'!N4="","",'Sağ Bekler'!N4)</f>
        <v/>
      </c>
      <c r="N202" t="str">
        <f>IF('Sağ Bekler'!O4="","",'Sağ Bekler'!O4)</f>
        <v/>
      </c>
      <c r="O202" t="str">
        <f>IF('Sağ Bekler'!P4="","",'Sağ Bekler'!P4)</f>
        <v/>
      </c>
      <c r="P202" t="str">
        <f>IF('Sağ Bekler'!Q4="","",'Sağ Bekler'!Q4)</f>
        <v/>
      </c>
      <c r="Q202" t="str">
        <f>IF('Sağ Bekler'!R4="","",'Sağ Bekler'!R4)</f>
        <v/>
      </c>
      <c r="R202" t="str">
        <f>IF('Sağ Bekler'!S4="","",'Sağ Bekler'!S4)</f>
        <v/>
      </c>
      <c r="S202" t="str">
        <f>IF('Sağ Bekler'!T4="","",'Sağ Bekler'!T4)</f>
        <v>Ele</v>
      </c>
      <c r="T202" s="2" t="str">
        <f>IF('Sağ Bekler'!U4="","",'Sağ Bekler'!U4)</f>
        <v/>
      </c>
      <c r="U202" t="s">
        <v>928</v>
      </c>
      <c r="V202">
        <v>4</v>
      </c>
      <c r="W202" t="str">
        <f ca="1">IF(AND($A202&lt;&gt;"",ISNUMBER($G202),$G202&gt;=TODAY(),$G202&lt;=EDATE(TODAY(),12)),COUNTIFS($G$2:$G$1001,"&gt;="&amp;TODAY(),$G$2:$G$1001,"&lt;"&amp;$G202,$A$2:$A$1001,"&lt;&gt;")+COUNTIFS($G$2:$G202,$G202,$A$2:$A202,"&lt;&gt;"),"")</f>
        <v/>
      </c>
      <c r="X202" t="str">
        <f>IF(AND($A202&lt;&gt;"",ISNUMBER($C202),$C202&gt;=DATE(2003,1,1)),COUNTIFS($C$2:$C202,"&gt;="&amp;DATE(2003,1,1),$A$2:$A202,"&lt;&gt;"),"")</f>
        <v/>
      </c>
    </row>
    <row r="203" spans="1:24">
      <c r="A203" t="str">
        <f>IF('Sağ Bekler'!A5="","",'Sağ Bekler'!A5)</f>
        <v>ISAI VALLADARES</v>
      </c>
      <c r="B203" t="str">
        <f>IF('Sağ Bekler'!B5="","",'Sağ Bekler'!B5)</f>
        <v>VENEZULLA</v>
      </c>
      <c r="C203" s="2">
        <f>IF('Sağ Bekler'!C5="","",'Sağ Bekler'!C5)</f>
        <v>38395</v>
      </c>
      <c r="D203">
        <f ca="1">IF('Sağ Bekler'!D5="","",'Sağ Bekler'!D5)</f>
        <v>21</v>
      </c>
      <c r="E203" t="str">
        <f>IF('Sağ Bekler'!E5="","",'Sağ Bekler'!E5)</f>
        <v>Sağ Bek</v>
      </c>
      <c r="F203" t="str">
        <f>IF('Sağ Bekler'!G5="","",'Sağ Bekler'!G5)</f>
        <v>ZAMORA</v>
      </c>
      <c r="G203" s="2">
        <f>IF('Sağ Bekler'!H5="","",'Sağ Bekler'!H5)</f>
        <v>46752</v>
      </c>
      <c r="H203" t="str">
        <f>IF('Sağ Bekler'!I5="","",'Sağ Bekler'!I5)</f>
        <v>Kırmızı</v>
      </c>
      <c r="I203">
        <f>IF('Sağ Bekler'!A5="","",'Sağ Bekler'!J5)</f>
        <v>0</v>
      </c>
      <c r="J203" t="str">
        <f>IF('Sağ Bekler'!A5="","",'Sağ Bekler'!K5)</f>
        <v>https://www.transfermarkt.com.tr/isai-valladares/profil/spieler/1232141</v>
      </c>
      <c r="K203" t="str">
        <f>IF('Sağ Bekler'!L5="","",'Sağ Bekler'!L5)</f>
        <v/>
      </c>
      <c r="L203" t="str">
        <f>IF('Sağ Bekler'!M5="","",'Sağ Bekler'!M5)</f>
        <v/>
      </c>
      <c r="M203" t="str">
        <f>IF('Sağ Bekler'!N5="","",'Sağ Bekler'!N5)</f>
        <v/>
      </c>
      <c r="N203" t="str">
        <f>IF('Sağ Bekler'!O5="","",'Sağ Bekler'!O5)</f>
        <v/>
      </c>
      <c r="O203" t="str">
        <f>IF('Sağ Bekler'!P5="","",'Sağ Bekler'!P5)</f>
        <v/>
      </c>
      <c r="P203" t="str">
        <f>IF('Sağ Bekler'!Q5="","",'Sağ Bekler'!Q5)</f>
        <v/>
      </c>
      <c r="Q203" t="str">
        <f>IF('Sağ Bekler'!R5="","",'Sağ Bekler'!R5)</f>
        <v/>
      </c>
      <c r="R203" t="str">
        <f>IF('Sağ Bekler'!S5="","",'Sağ Bekler'!S5)</f>
        <v/>
      </c>
      <c r="S203" t="str">
        <f>IF('Sağ Bekler'!T5="","",'Sağ Bekler'!T5)</f>
        <v>Ele</v>
      </c>
      <c r="T203" s="2" t="str">
        <f>IF('Sağ Bekler'!U5="","",'Sağ Bekler'!U5)</f>
        <v/>
      </c>
      <c r="U203" t="s">
        <v>928</v>
      </c>
      <c r="V203">
        <v>5</v>
      </c>
      <c r="W203" t="str">
        <f ca="1">IF(AND($A203&lt;&gt;"",ISNUMBER($G203),$G203&gt;=TODAY(),$G203&lt;=EDATE(TODAY(),12)),COUNTIFS($G$2:$G$1001,"&gt;="&amp;TODAY(),$G$2:$G$1001,"&lt;"&amp;$G203,$A$2:$A$1001,"&lt;&gt;")+COUNTIFS($G$2:$G203,$G203,$A$2:$A203,"&lt;&gt;"),"")</f>
        <v/>
      </c>
      <c r="X203">
        <f>IF(AND($A203&lt;&gt;"",ISNUMBER($C203),$C203&gt;=DATE(2003,1,1)),COUNTIFS($C$2:$C203,"&gt;="&amp;DATE(2003,1,1),$A$2:$A203,"&lt;&gt;"),"")</f>
        <v>7</v>
      </c>
    </row>
    <row r="204" spans="1:24">
      <c r="A204" t="str">
        <f>IF('Sağ Bekler'!A6="","",'Sağ Bekler'!A6)</f>
        <v>JOAO PEDRO MOTURANO</v>
      </c>
      <c r="B204" t="str">
        <f>IF('Sağ Bekler'!B6="","",'Sağ Bekler'!B6)</f>
        <v>BREZİLYA</v>
      </c>
      <c r="C204" s="2">
        <f>IF('Sağ Bekler'!C6="","",'Sağ Bekler'!C6)</f>
        <v>35384</v>
      </c>
      <c r="D204">
        <f ca="1">IF('Sağ Bekler'!D6="","",'Sağ Bekler'!D6)</f>
        <v>29</v>
      </c>
      <c r="E204" t="str">
        <f>IF('Sağ Bekler'!E6="","",'Sağ Bekler'!E6)</f>
        <v>Sağ Bek</v>
      </c>
      <c r="F204" t="str">
        <f>IF('Sağ Bekler'!G6="","",'Sağ Bekler'!G6)</f>
        <v>GREMIO</v>
      </c>
      <c r="G204" s="2">
        <f>IF('Sağ Bekler'!H6="","",'Sağ Bekler'!H6)</f>
        <v>46752</v>
      </c>
      <c r="H204" t="str">
        <f>IF('Sağ Bekler'!I6="","",'Sağ Bekler'!I6)</f>
        <v>Sarı</v>
      </c>
      <c r="I204">
        <f>IF('Sağ Bekler'!A6="","",'Sağ Bekler'!J6)</f>
        <v>0</v>
      </c>
      <c r="J204" t="str">
        <f>IF('Sağ Bekler'!A6="","",'Sağ Bekler'!K6)</f>
        <v>https://www.transfermarkt.com.tr/joao-pedro/profil/spieler/342024</v>
      </c>
      <c r="K204" t="str">
        <f>IF('Sağ Bekler'!L6="","",'Sağ Bekler'!L6)</f>
        <v/>
      </c>
      <c r="L204" t="str">
        <f>IF('Sağ Bekler'!M6="","",'Sağ Bekler'!M6)</f>
        <v/>
      </c>
      <c r="M204" t="str">
        <f>IF('Sağ Bekler'!N6="","",'Sağ Bekler'!N6)</f>
        <v/>
      </c>
      <c r="N204" t="str">
        <f>IF('Sağ Bekler'!O6="","",'Sağ Bekler'!O6)</f>
        <v/>
      </c>
      <c r="O204" t="str">
        <f>IF('Sağ Bekler'!P6="","",'Sağ Bekler'!P6)</f>
        <v/>
      </c>
      <c r="P204" t="str">
        <f>IF('Sağ Bekler'!Q6="","",'Sağ Bekler'!Q6)</f>
        <v/>
      </c>
      <c r="Q204" t="str">
        <f>IF('Sağ Bekler'!R6="","",'Sağ Bekler'!R6)</f>
        <v/>
      </c>
      <c r="R204" t="str">
        <f>IF('Sağ Bekler'!S6="","",'Sağ Bekler'!S6)</f>
        <v/>
      </c>
      <c r="S204" t="str">
        <f>IF('Sağ Bekler'!T6="","",'Sağ Bekler'!T6)</f>
        <v>Takip</v>
      </c>
      <c r="T204" s="2" t="str">
        <f>IF('Sağ Bekler'!U6="","",'Sağ Bekler'!U6)</f>
        <v/>
      </c>
      <c r="U204" t="s">
        <v>928</v>
      </c>
      <c r="V204">
        <v>6</v>
      </c>
      <c r="W204" t="str">
        <f ca="1">IF(AND($A204&lt;&gt;"",ISNUMBER($G204),$G204&gt;=TODAY(),$G204&lt;=EDATE(TODAY(),12)),COUNTIFS($G$2:$G$1001,"&gt;="&amp;TODAY(),$G$2:$G$1001,"&lt;"&amp;$G204,$A$2:$A$1001,"&lt;&gt;")+COUNTIFS($G$2:$G204,$G204,$A$2:$A204,"&lt;&gt;"),"")</f>
        <v/>
      </c>
      <c r="X204" t="str">
        <f>IF(AND($A204&lt;&gt;"",ISNUMBER($C204),$C204&gt;=DATE(2003,1,1)),COUNTIFS($C$2:$C204,"&gt;="&amp;DATE(2003,1,1),$A$2:$A204,"&lt;&gt;"),"")</f>
        <v/>
      </c>
    </row>
    <row r="205" spans="1:24">
      <c r="A205" t="str">
        <f>IF('Sağ Bekler'!A7="","",'Sağ Bekler'!A7)</f>
        <v>NICOLAS BARROS SCHELOTTO</v>
      </c>
      <c r="B205" t="str">
        <f>IF('Sağ Bekler'!B7="","",'Sağ Bekler'!B7)</f>
        <v/>
      </c>
      <c r="C205" s="2" t="str">
        <f>IF('Sağ Bekler'!C7="","",'Sağ Bekler'!C7)</f>
        <v/>
      </c>
      <c r="D205" t="str">
        <f ca="1">IF('Sağ Bekler'!D7="","",'Sağ Bekler'!D7)</f>
        <v/>
      </c>
      <c r="E205" t="str">
        <f>IF('Sağ Bekler'!E7="","",'Sağ Bekler'!E7)</f>
        <v>Sağ Bek</v>
      </c>
      <c r="F205" t="str">
        <f>IF('Sağ Bekler'!G7="","",'Sağ Bekler'!G7)</f>
        <v/>
      </c>
      <c r="G205" s="2" t="str">
        <f>IF('Sağ Bekler'!H7="","",'Sağ Bekler'!H7)</f>
        <v>-</v>
      </c>
      <c r="H205" t="str">
        <f>IF('Sağ Bekler'!I7="","",'Sağ Bekler'!I7)</f>
        <v/>
      </c>
      <c r="I205">
        <f>IF('Sağ Bekler'!A7="","",'Sağ Bekler'!J7)</f>
        <v>0</v>
      </c>
      <c r="J205" t="str">
        <f>IF('Sağ Bekler'!A7="","",'Sağ Bekler'!K7)</f>
        <v>https://www.transfermarkt.com.tr/nicolas-barros-schelotto/profil/spieler/1123309</v>
      </c>
      <c r="K205" t="str">
        <f>IF('Sağ Bekler'!L7="","",'Sağ Bekler'!L7)</f>
        <v/>
      </c>
      <c r="L205" t="str">
        <f>IF('Sağ Bekler'!M7="","",'Sağ Bekler'!M7)</f>
        <v/>
      </c>
      <c r="M205" t="str">
        <f>IF('Sağ Bekler'!N7="","",'Sağ Bekler'!N7)</f>
        <v/>
      </c>
      <c r="N205" t="str">
        <f>IF('Sağ Bekler'!O7="","",'Sağ Bekler'!O7)</f>
        <v/>
      </c>
      <c r="O205" t="str">
        <f>IF('Sağ Bekler'!P7="","",'Sağ Bekler'!P7)</f>
        <v/>
      </c>
      <c r="P205" t="str">
        <f>IF('Sağ Bekler'!Q7="","",'Sağ Bekler'!Q7)</f>
        <v/>
      </c>
      <c r="Q205" t="str">
        <f>IF('Sağ Bekler'!R7="","",'Sağ Bekler'!R7)</f>
        <v/>
      </c>
      <c r="R205" t="str">
        <f>IF('Sağ Bekler'!S7="","",'Sağ Bekler'!S7)</f>
        <v/>
      </c>
      <c r="S205" t="str">
        <f>IF('Sağ Bekler'!T7="","",'Sağ Bekler'!T7)</f>
        <v/>
      </c>
      <c r="T205" s="2" t="str">
        <f>IF('Sağ Bekler'!U7="","",'Sağ Bekler'!U7)</f>
        <v/>
      </c>
      <c r="U205" t="s">
        <v>928</v>
      </c>
      <c r="V205">
        <v>7</v>
      </c>
      <c r="W205" t="str">
        <f ca="1">IF(AND($A205&lt;&gt;"",ISNUMBER($G205),$G205&gt;=TODAY(),$G205&lt;=EDATE(TODAY(),12)),COUNTIFS($G$2:$G$1001,"&gt;="&amp;TODAY(),$G$2:$G$1001,"&lt;"&amp;$G205,$A$2:$A$1001,"&lt;&gt;")+COUNTIFS($G$2:$G205,$G205,$A$2:$A205,"&lt;&gt;"),"")</f>
        <v/>
      </c>
      <c r="X205" t="str">
        <f>IF(AND($A205&lt;&gt;"",ISNUMBER($C205),$C205&gt;=DATE(2003,1,1)),COUNTIFS($C$2:$C205,"&gt;="&amp;DATE(2003,1,1),$A$2:$A205,"&lt;&gt;"),"")</f>
        <v/>
      </c>
    </row>
    <row r="206" spans="1:24">
      <c r="A206" t="str">
        <f>IF('Sağ Bekler'!A8="","",'Sağ Bekler'!A8)</f>
        <v>LIVANO COMENENCIA</v>
      </c>
      <c r="B206" t="str">
        <f>IF('Sağ Bekler'!B8="","",'Sağ Bekler'!B8)</f>
        <v>CURAÇAO / HOLLANDA</v>
      </c>
      <c r="C206" s="2">
        <f>IF('Sağ Bekler'!C8="","",'Sağ Bekler'!C8)</f>
        <v>38020</v>
      </c>
      <c r="D206">
        <f ca="1">IF('Sağ Bekler'!D8="","",'Sağ Bekler'!D8)</f>
        <v>22</v>
      </c>
      <c r="E206" t="str">
        <f>IF('Sağ Bekler'!E8="","",'Sağ Bekler'!E8)</f>
        <v>Sağ Bek</v>
      </c>
      <c r="F206" t="str">
        <f>IF('Sağ Bekler'!G8="","",'Sağ Bekler'!G8)</f>
        <v>FC ZÜRICH</v>
      </c>
      <c r="G206" s="2">
        <f>IF('Sağ Bekler'!H8="","",'Sağ Bekler'!H8)</f>
        <v>47299</v>
      </c>
      <c r="H206" t="str">
        <f>IF('Sağ Bekler'!I8="","",'Sağ Bekler'!I8)</f>
        <v/>
      </c>
      <c r="I206">
        <f>IF('Sağ Bekler'!A8="","",'Sağ Bekler'!J8)</f>
        <v>0</v>
      </c>
      <c r="J206" t="str">
        <f>IF('Sağ Bekler'!A8="","",'Sağ Bekler'!K8)</f>
        <v>https://www.transfermarkt.com/livano-comenencia/profil/spieler/626764</v>
      </c>
      <c r="K206" t="str">
        <f>IF('Sağ Bekler'!L8="","",'Sağ Bekler'!L8)</f>
        <v/>
      </c>
      <c r="L206" t="str">
        <f>IF('Sağ Bekler'!M8="","",'Sağ Bekler'!M8)</f>
        <v/>
      </c>
      <c r="M206" t="str">
        <f>IF('Sağ Bekler'!N8="","",'Sağ Bekler'!N8)</f>
        <v/>
      </c>
      <c r="N206" t="str">
        <f>IF('Sağ Bekler'!O8="","",'Sağ Bekler'!O8)</f>
        <v/>
      </c>
      <c r="O206" t="str">
        <f>IF('Sağ Bekler'!P8="","",'Sağ Bekler'!P8)</f>
        <v/>
      </c>
      <c r="P206" t="str">
        <f>IF('Sağ Bekler'!Q8="","",'Sağ Bekler'!Q8)</f>
        <v/>
      </c>
      <c r="Q206" t="str">
        <f>IF('Sağ Bekler'!R8="","",'Sağ Bekler'!R8)</f>
        <v/>
      </c>
      <c r="R206" t="str">
        <f>IF('Sağ Bekler'!S8="","",'Sağ Bekler'!S8)</f>
        <v/>
      </c>
      <c r="S206" t="str">
        <f>IF('Sağ Bekler'!T8="","",'Sağ Bekler'!T8)</f>
        <v/>
      </c>
      <c r="T206" s="2" t="str">
        <f>IF('Sağ Bekler'!U8="","",'Sağ Bekler'!U8)</f>
        <v/>
      </c>
      <c r="U206" t="s">
        <v>928</v>
      </c>
      <c r="V206">
        <v>8</v>
      </c>
      <c r="W206" t="str">
        <f ca="1">IF(AND($A206&lt;&gt;"",ISNUMBER($G206),$G206&gt;=TODAY(),$G206&lt;=EDATE(TODAY(),12)),COUNTIFS($G$2:$G$1001,"&gt;="&amp;TODAY(),$G$2:$G$1001,"&lt;"&amp;$G206,$A$2:$A$1001,"&lt;&gt;")+COUNTIFS($G$2:$G206,$G206,$A$2:$A206,"&lt;&gt;"),"")</f>
        <v/>
      </c>
      <c r="X206">
        <f>IF(AND($A206&lt;&gt;"",ISNUMBER($C206),$C206&gt;=DATE(2003,1,1)),COUNTIFS($C$2:$C206,"&gt;="&amp;DATE(2003,1,1),$A$2:$A206,"&lt;&gt;"),"")</f>
        <v>8</v>
      </c>
    </row>
    <row r="207" spans="1:24">
      <c r="A207" t="str">
        <f>IF('Sağ Bekler'!A9="","",'Sağ Bekler'!A9)</f>
        <v/>
      </c>
      <c r="B207" t="str">
        <f>IF('Sağ Bekler'!B9="","",'Sağ Bekler'!B9)</f>
        <v/>
      </c>
      <c r="C207" s="2" t="str">
        <f>IF('Sağ Bekler'!C9="","",'Sağ Bekler'!C9)</f>
        <v/>
      </c>
      <c r="D207" t="str">
        <f ca="1">IF('Sağ Bekler'!D9="","",'Sağ Bekler'!D9)</f>
        <v/>
      </c>
      <c r="E207" t="str">
        <f>IF('Sağ Bekler'!E9="","",'Sağ Bekler'!E9)</f>
        <v>Sağ Bek</v>
      </c>
      <c r="F207" t="str">
        <f>IF('Sağ Bekler'!G9="","",'Sağ Bekler'!G9)</f>
        <v/>
      </c>
      <c r="G207" s="2" t="str">
        <f>IF('Sağ Bekler'!H9="","",'Sağ Bekler'!H9)</f>
        <v/>
      </c>
      <c r="H207" t="str">
        <f>IF('Sağ Bekler'!I9="","",'Sağ Bekler'!I9)</f>
        <v/>
      </c>
      <c r="I207" t="str">
        <f>IF('Sağ Bekler'!A9="","",'Sağ Bekler'!J9)</f>
        <v/>
      </c>
      <c r="J207" t="str">
        <f>IF('Sağ Bekler'!A9="","",'Sağ Bekler'!K9)</f>
        <v/>
      </c>
      <c r="K207" t="str">
        <f>IF('Sağ Bekler'!L9="","",'Sağ Bekler'!L9)</f>
        <v/>
      </c>
      <c r="L207" t="str">
        <f>IF('Sağ Bekler'!M9="","",'Sağ Bekler'!M9)</f>
        <v/>
      </c>
      <c r="M207" t="str">
        <f>IF('Sağ Bekler'!N9="","",'Sağ Bekler'!N9)</f>
        <v/>
      </c>
      <c r="N207" t="str">
        <f>IF('Sağ Bekler'!O9="","",'Sağ Bekler'!O9)</f>
        <v/>
      </c>
      <c r="O207" t="str">
        <f>IF('Sağ Bekler'!P9="","",'Sağ Bekler'!P9)</f>
        <v/>
      </c>
      <c r="P207" t="str">
        <f>IF('Sağ Bekler'!Q9="","",'Sağ Bekler'!Q9)</f>
        <v/>
      </c>
      <c r="Q207" t="str">
        <f>IF('Sağ Bekler'!R9="","",'Sağ Bekler'!R9)</f>
        <v/>
      </c>
      <c r="R207" t="str">
        <f>IF('Sağ Bekler'!S9="","",'Sağ Bekler'!S9)</f>
        <v/>
      </c>
      <c r="S207" t="str">
        <f>IF('Sağ Bekler'!T9="","",'Sağ Bekler'!T9)</f>
        <v/>
      </c>
      <c r="T207" s="2" t="str">
        <f>IF('Sağ Bekler'!U9="","",'Sağ Bekler'!U9)</f>
        <v/>
      </c>
      <c r="U207" t="s">
        <v>928</v>
      </c>
      <c r="V207">
        <v>9</v>
      </c>
      <c r="W207" t="str">
        <f ca="1">IF(AND($A207&lt;&gt;"",ISNUMBER($G207),$G207&gt;=TODAY(),$G207&lt;=EDATE(TODAY(),12)),COUNTIFS($G$2:$G$1001,"&gt;="&amp;TODAY(),$G$2:$G$1001,"&lt;"&amp;$G207,$A$2:$A$1001,"&lt;&gt;")+COUNTIFS($G$2:$G207,$G207,$A$2:$A207,"&lt;&gt;"),"")</f>
        <v/>
      </c>
      <c r="X207" t="str">
        <f>IF(AND($A207&lt;&gt;"",ISNUMBER($C207),$C207&gt;=DATE(2003,1,1)),COUNTIFS($C$2:$C207,"&gt;="&amp;DATE(2003,1,1),$A$2:$A207,"&lt;&gt;"),"")</f>
        <v/>
      </c>
    </row>
    <row r="208" spans="1:24">
      <c r="A208" t="str">
        <f>IF('Sağ Bekler'!A10="","",'Sağ Bekler'!A10)</f>
        <v/>
      </c>
      <c r="B208" t="str">
        <f>IF('Sağ Bekler'!B10="","",'Sağ Bekler'!B10)</f>
        <v/>
      </c>
      <c r="C208" s="2" t="str">
        <f>IF('Sağ Bekler'!C10="","",'Sağ Bekler'!C10)</f>
        <v/>
      </c>
      <c r="D208" t="str">
        <f ca="1">IF('Sağ Bekler'!D10="","",'Sağ Bekler'!D10)</f>
        <v/>
      </c>
      <c r="E208" t="str">
        <f>IF('Sağ Bekler'!E10="","",'Sağ Bekler'!E10)</f>
        <v>Sağ Bek</v>
      </c>
      <c r="F208" t="str">
        <f>IF('Sağ Bekler'!G10="","",'Sağ Bekler'!G10)</f>
        <v/>
      </c>
      <c r="G208" s="2" t="str">
        <f>IF('Sağ Bekler'!H10="","",'Sağ Bekler'!H10)</f>
        <v/>
      </c>
      <c r="H208" t="str">
        <f>IF('Sağ Bekler'!I10="","",'Sağ Bekler'!I10)</f>
        <v/>
      </c>
      <c r="I208" t="str">
        <f>IF('Sağ Bekler'!A10="","",'Sağ Bekler'!J10)</f>
        <v/>
      </c>
      <c r="J208" t="str">
        <f>IF('Sağ Bekler'!A10="","",'Sağ Bekler'!K10)</f>
        <v/>
      </c>
      <c r="K208" t="str">
        <f>IF('Sağ Bekler'!L10="","",'Sağ Bekler'!L10)</f>
        <v/>
      </c>
      <c r="L208" t="str">
        <f>IF('Sağ Bekler'!M10="","",'Sağ Bekler'!M10)</f>
        <v/>
      </c>
      <c r="M208" t="str">
        <f>IF('Sağ Bekler'!N10="","",'Sağ Bekler'!N10)</f>
        <v/>
      </c>
      <c r="N208" t="str">
        <f>IF('Sağ Bekler'!O10="","",'Sağ Bekler'!O10)</f>
        <v/>
      </c>
      <c r="O208" t="str">
        <f>IF('Sağ Bekler'!P10="","",'Sağ Bekler'!P10)</f>
        <v/>
      </c>
      <c r="P208" t="str">
        <f>IF('Sağ Bekler'!Q10="","",'Sağ Bekler'!Q10)</f>
        <v/>
      </c>
      <c r="Q208" t="str">
        <f>IF('Sağ Bekler'!R10="","",'Sağ Bekler'!R10)</f>
        <v/>
      </c>
      <c r="R208" t="str">
        <f>IF('Sağ Bekler'!S10="","",'Sağ Bekler'!S10)</f>
        <v/>
      </c>
      <c r="S208" t="str">
        <f>IF('Sağ Bekler'!T10="","",'Sağ Bekler'!T10)</f>
        <v/>
      </c>
      <c r="T208" s="2" t="str">
        <f>IF('Sağ Bekler'!U10="","",'Sağ Bekler'!U10)</f>
        <v/>
      </c>
      <c r="U208" t="s">
        <v>928</v>
      </c>
      <c r="V208">
        <v>10</v>
      </c>
      <c r="W208" t="str">
        <f ca="1">IF(AND($A208&lt;&gt;"",ISNUMBER($G208),$G208&gt;=TODAY(),$G208&lt;=EDATE(TODAY(),12)),COUNTIFS($G$2:$G$1001,"&gt;="&amp;TODAY(),$G$2:$G$1001,"&lt;"&amp;$G208,$A$2:$A$1001,"&lt;&gt;")+COUNTIFS($G$2:$G208,$G208,$A$2:$A208,"&lt;&gt;"),"")</f>
        <v/>
      </c>
      <c r="X208" t="str">
        <f>IF(AND($A208&lt;&gt;"",ISNUMBER($C208),$C208&gt;=DATE(2003,1,1)),COUNTIFS($C$2:$C208,"&gt;="&amp;DATE(2003,1,1),$A$2:$A208,"&lt;&gt;"),"")</f>
        <v/>
      </c>
    </row>
    <row r="209" spans="1:24">
      <c r="A209" t="str">
        <f>IF('Sağ Bekler'!A11="","",'Sağ Bekler'!A11)</f>
        <v/>
      </c>
      <c r="B209" t="str">
        <f>IF('Sağ Bekler'!B11="","",'Sağ Bekler'!B11)</f>
        <v/>
      </c>
      <c r="C209" s="2" t="str">
        <f>IF('Sağ Bekler'!C11="","",'Sağ Bekler'!C11)</f>
        <v/>
      </c>
      <c r="D209" t="str">
        <f ca="1">IF('Sağ Bekler'!D11="","",'Sağ Bekler'!D11)</f>
        <v/>
      </c>
      <c r="E209" t="str">
        <f>IF('Sağ Bekler'!E11="","",'Sağ Bekler'!E11)</f>
        <v>Sağ Bek</v>
      </c>
      <c r="F209" t="str">
        <f>IF('Sağ Bekler'!G11="","",'Sağ Bekler'!G11)</f>
        <v/>
      </c>
      <c r="G209" s="2" t="str">
        <f>IF('Sağ Bekler'!H11="","",'Sağ Bekler'!H11)</f>
        <v/>
      </c>
      <c r="H209" t="str">
        <f>IF('Sağ Bekler'!I11="","",'Sağ Bekler'!I11)</f>
        <v/>
      </c>
      <c r="I209" t="str">
        <f>IF('Sağ Bekler'!A11="","",'Sağ Bekler'!J11)</f>
        <v/>
      </c>
      <c r="J209" t="str">
        <f>IF('Sağ Bekler'!A11="","",'Sağ Bekler'!K11)</f>
        <v/>
      </c>
      <c r="K209" t="str">
        <f>IF('Sağ Bekler'!L11="","",'Sağ Bekler'!L11)</f>
        <v/>
      </c>
      <c r="L209" t="str">
        <f>IF('Sağ Bekler'!M11="","",'Sağ Bekler'!M11)</f>
        <v/>
      </c>
      <c r="M209" t="str">
        <f>IF('Sağ Bekler'!N11="","",'Sağ Bekler'!N11)</f>
        <v/>
      </c>
      <c r="N209" t="str">
        <f>IF('Sağ Bekler'!O11="","",'Sağ Bekler'!O11)</f>
        <v/>
      </c>
      <c r="O209" t="str">
        <f>IF('Sağ Bekler'!P11="","",'Sağ Bekler'!P11)</f>
        <v/>
      </c>
      <c r="P209" t="str">
        <f>IF('Sağ Bekler'!Q11="","",'Sağ Bekler'!Q11)</f>
        <v/>
      </c>
      <c r="Q209" t="str">
        <f>IF('Sağ Bekler'!R11="","",'Sağ Bekler'!R11)</f>
        <v/>
      </c>
      <c r="R209" t="str">
        <f>IF('Sağ Bekler'!S11="","",'Sağ Bekler'!S11)</f>
        <v/>
      </c>
      <c r="S209" t="str">
        <f>IF('Sağ Bekler'!T11="","",'Sağ Bekler'!T11)</f>
        <v/>
      </c>
      <c r="T209" s="2" t="str">
        <f>IF('Sağ Bekler'!U11="","",'Sağ Bekler'!U11)</f>
        <v/>
      </c>
      <c r="U209" t="s">
        <v>928</v>
      </c>
      <c r="V209">
        <v>11</v>
      </c>
      <c r="W209" t="str">
        <f ca="1">IF(AND($A209&lt;&gt;"",ISNUMBER($G209),$G209&gt;=TODAY(),$G209&lt;=EDATE(TODAY(),12)),COUNTIFS($G$2:$G$1001,"&gt;="&amp;TODAY(),$G$2:$G$1001,"&lt;"&amp;$G209,$A$2:$A$1001,"&lt;&gt;")+COUNTIFS($G$2:$G209,$G209,$A$2:$A209,"&lt;&gt;"),"")</f>
        <v/>
      </c>
      <c r="X209" t="str">
        <f>IF(AND($A209&lt;&gt;"",ISNUMBER($C209),$C209&gt;=DATE(2003,1,1)),COUNTIFS($C$2:$C209,"&gt;="&amp;DATE(2003,1,1),$A$2:$A209,"&lt;&gt;"),"")</f>
        <v/>
      </c>
    </row>
    <row r="210" spans="1:24">
      <c r="A210" t="str">
        <f>IF('Sağ Bekler'!A12="","",'Sağ Bekler'!A12)</f>
        <v/>
      </c>
      <c r="B210" t="str">
        <f>IF('Sağ Bekler'!B12="","",'Sağ Bekler'!B12)</f>
        <v/>
      </c>
      <c r="C210" s="2" t="str">
        <f>IF('Sağ Bekler'!C12="","",'Sağ Bekler'!C12)</f>
        <v/>
      </c>
      <c r="D210" t="str">
        <f ca="1">IF('Sağ Bekler'!D12="","",'Sağ Bekler'!D12)</f>
        <v/>
      </c>
      <c r="E210" t="str">
        <f>IF('Sağ Bekler'!E12="","",'Sağ Bekler'!E12)</f>
        <v>Sağ Bek</v>
      </c>
      <c r="F210" t="str">
        <f>IF('Sağ Bekler'!G12="","",'Sağ Bekler'!G12)</f>
        <v/>
      </c>
      <c r="G210" s="2" t="str">
        <f>IF('Sağ Bekler'!H12="","",'Sağ Bekler'!H12)</f>
        <v/>
      </c>
      <c r="H210" t="str">
        <f>IF('Sağ Bekler'!I12="","",'Sağ Bekler'!I12)</f>
        <v/>
      </c>
      <c r="I210" t="str">
        <f>IF('Sağ Bekler'!A12="","",'Sağ Bekler'!J12)</f>
        <v/>
      </c>
      <c r="J210" t="str">
        <f>IF('Sağ Bekler'!A12="","",'Sağ Bekler'!K12)</f>
        <v/>
      </c>
      <c r="K210" t="str">
        <f>IF('Sağ Bekler'!L12="","",'Sağ Bekler'!L12)</f>
        <v/>
      </c>
      <c r="L210" t="str">
        <f>IF('Sağ Bekler'!M12="","",'Sağ Bekler'!M12)</f>
        <v/>
      </c>
      <c r="M210" t="str">
        <f>IF('Sağ Bekler'!N12="","",'Sağ Bekler'!N12)</f>
        <v/>
      </c>
      <c r="N210" t="str">
        <f>IF('Sağ Bekler'!O12="","",'Sağ Bekler'!O12)</f>
        <v/>
      </c>
      <c r="O210" t="str">
        <f>IF('Sağ Bekler'!P12="","",'Sağ Bekler'!P12)</f>
        <v/>
      </c>
      <c r="P210" t="str">
        <f>IF('Sağ Bekler'!Q12="","",'Sağ Bekler'!Q12)</f>
        <v/>
      </c>
      <c r="Q210" t="str">
        <f>IF('Sağ Bekler'!R12="","",'Sağ Bekler'!R12)</f>
        <v/>
      </c>
      <c r="R210" t="str">
        <f>IF('Sağ Bekler'!S12="","",'Sağ Bekler'!S12)</f>
        <v/>
      </c>
      <c r="S210" t="str">
        <f>IF('Sağ Bekler'!T12="","",'Sağ Bekler'!T12)</f>
        <v/>
      </c>
      <c r="T210" s="2" t="str">
        <f>IF('Sağ Bekler'!U12="","",'Sağ Bekler'!U12)</f>
        <v/>
      </c>
      <c r="U210" t="s">
        <v>928</v>
      </c>
      <c r="V210">
        <v>12</v>
      </c>
      <c r="W210" t="str">
        <f ca="1">IF(AND($A210&lt;&gt;"",ISNUMBER($G210),$G210&gt;=TODAY(),$G210&lt;=EDATE(TODAY(),12)),COUNTIFS($G$2:$G$1001,"&gt;="&amp;TODAY(),$G$2:$G$1001,"&lt;"&amp;$G210,$A$2:$A$1001,"&lt;&gt;")+COUNTIFS($G$2:$G210,$G210,$A$2:$A210,"&lt;&gt;"),"")</f>
        <v/>
      </c>
      <c r="X210" t="str">
        <f>IF(AND($A210&lt;&gt;"",ISNUMBER($C210),$C210&gt;=DATE(2003,1,1)),COUNTIFS($C$2:$C210,"&gt;="&amp;DATE(2003,1,1),$A$2:$A210,"&lt;&gt;"),"")</f>
        <v/>
      </c>
    </row>
    <row r="211" spans="1:24">
      <c r="A211" t="str">
        <f>IF('Sağ Bekler'!A13="","",'Sağ Bekler'!A13)</f>
        <v/>
      </c>
      <c r="B211" t="str">
        <f>IF('Sağ Bekler'!B13="","",'Sağ Bekler'!B13)</f>
        <v/>
      </c>
      <c r="C211" s="2" t="str">
        <f>IF('Sağ Bekler'!C13="","",'Sağ Bekler'!C13)</f>
        <v/>
      </c>
      <c r="D211" t="str">
        <f ca="1">IF('Sağ Bekler'!D13="","",'Sağ Bekler'!D13)</f>
        <v/>
      </c>
      <c r="E211" t="str">
        <f>IF('Sağ Bekler'!E13="","",'Sağ Bekler'!E13)</f>
        <v>Sağ Bek</v>
      </c>
      <c r="F211" t="str">
        <f>IF('Sağ Bekler'!G13="","",'Sağ Bekler'!G13)</f>
        <v/>
      </c>
      <c r="G211" s="2" t="str">
        <f>IF('Sağ Bekler'!H13="","",'Sağ Bekler'!H13)</f>
        <v/>
      </c>
      <c r="H211" t="str">
        <f>IF('Sağ Bekler'!I13="","",'Sağ Bekler'!I13)</f>
        <v/>
      </c>
      <c r="I211" t="str">
        <f>IF('Sağ Bekler'!A13="","",'Sağ Bekler'!J13)</f>
        <v/>
      </c>
      <c r="J211" t="str">
        <f>IF('Sağ Bekler'!A13="","",'Sağ Bekler'!K13)</f>
        <v/>
      </c>
      <c r="K211" t="str">
        <f>IF('Sağ Bekler'!L13="","",'Sağ Bekler'!L13)</f>
        <v/>
      </c>
      <c r="L211" t="str">
        <f>IF('Sağ Bekler'!M13="","",'Sağ Bekler'!M13)</f>
        <v/>
      </c>
      <c r="M211" t="str">
        <f>IF('Sağ Bekler'!N13="","",'Sağ Bekler'!N13)</f>
        <v/>
      </c>
      <c r="N211" t="str">
        <f>IF('Sağ Bekler'!O13="","",'Sağ Bekler'!O13)</f>
        <v/>
      </c>
      <c r="O211" t="str">
        <f>IF('Sağ Bekler'!P13="","",'Sağ Bekler'!P13)</f>
        <v/>
      </c>
      <c r="P211" t="str">
        <f>IF('Sağ Bekler'!Q13="","",'Sağ Bekler'!Q13)</f>
        <v/>
      </c>
      <c r="Q211" t="str">
        <f>IF('Sağ Bekler'!R13="","",'Sağ Bekler'!R13)</f>
        <v/>
      </c>
      <c r="R211" t="str">
        <f>IF('Sağ Bekler'!S13="","",'Sağ Bekler'!S13)</f>
        <v/>
      </c>
      <c r="S211" t="str">
        <f>IF('Sağ Bekler'!T13="","",'Sağ Bekler'!T13)</f>
        <v/>
      </c>
      <c r="T211" s="2" t="str">
        <f>IF('Sağ Bekler'!U13="","",'Sağ Bekler'!U13)</f>
        <v/>
      </c>
      <c r="U211" t="s">
        <v>928</v>
      </c>
      <c r="V211">
        <v>13</v>
      </c>
      <c r="W211" t="str">
        <f ca="1">IF(AND($A211&lt;&gt;"",ISNUMBER($G211),$G211&gt;=TODAY(),$G211&lt;=EDATE(TODAY(),12)),COUNTIFS($G$2:$G$1001,"&gt;="&amp;TODAY(),$G$2:$G$1001,"&lt;"&amp;$G211,$A$2:$A$1001,"&lt;&gt;")+COUNTIFS($G$2:$G211,$G211,$A$2:$A211,"&lt;&gt;"),"")</f>
        <v/>
      </c>
      <c r="X211" t="str">
        <f>IF(AND($A211&lt;&gt;"",ISNUMBER($C211),$C211&gt;=DATE(2003,1,1)),COUNTIFS($C$2:$C211,"&gt;="&amp;DATE(2003,1,1),$A$2:$A211,"&lt;&gt;"),"")</f>
        <v/>
      </c>
    </row>
    <row r="212" spans="1:24">
      <c r="A212" t="str">
        <f>IF('Sağ Bekler'!A14="","",'Sağ Bekler'!A14)</f>
        <v/>
      </c>
      <c r="B212" t="str">
        <f>IF('Sağ Bekler'!B14="","",'Sağ Bekler'!B14)</f>
        <v/>
      </c>
      <c r="C212" s="2" t="str">
        <f>IF('Sağ Bekler'!C14="","",'Sağ Bekler'!C14)</f>
        <v/>
      </c>
      <c r="D212" t="str">
        <f ca="1">IF('Sağ Bekler'!D14="","",'Sağ Bekler'!D14)</f>
        <v/>
      </c>
      <c r="E212" t="str">
        <f>IF('Sağ Bekler'!E14="","",'Sağ Bekler'!E14)</f>
        <v>Sağ Bek</v>
      </c>
      <c r="F212" t="str">
        <f>IF('Sağ Bekler'!G14="","",'Sağ Bekler'!G14)</f>
        <v/>
      </c>
      <c r="G212" s="2" t="str">
        <f>IF('Sağ Bekler'!H14="","",'Sağ Bekler'!H14)</f>
        <v/>
      </c>
      <c r="H212" t="str">
        <f>IF('Sağ Bekler'!I14="","",'Sağ Bekler'!I14)</f>
        <v/>
      </c>
      <c r="I212" t="str">
        <f>IF('Sağ Bekler'!A14="","",'Sağ Bekler'!J14)</f>
        <v/>
      </c>
      <c r="J212" t="str">
        <f>IF('Sağ Bekler'!A14="","",'Sağ Bekler'!K14)</f>
        <v/>
      </c>
      <c r="K212" t="str">
        <f>IF('Sağ Bekler'!L14="","",'Sağ Bekler'!L14)</f>
        <v/>
      </c>
      <c r="L212" t="str">
        <f>IF('Sağ Bekler'!M14="","",'Sağ Bekler'!M14)</f>
        <v/>
      </c>
      <c r="M212" t="str">
        <f>IF('Sağ Bekler'!N14="","",'Sağ Bekler'!N14)</f>
        <v/>
      </c>
      <c r="N212" t="str">
        <f>IF('Sağ Bekler'!O14="","",'Sağ Bekler'!O14)</f>
        <v/>
      </c>
      <c r="O212" t="str">
        <f>IF('Sağ Bekler'!P14="","",'Sağ Bekler'!P14)</f>
        <v/>
      </c>
      <c r="P212" t="str">
        <f>IF('Sağ Bekler'!Q14="","",'Sağ Bekler'!Q14)</f>
        <v/>
      </c>
      <c r="Q212" t="str">
        <f>IF('Sağ Bekler'!R14="","",'Sağ Bekler'!R14)</f>
        <v/>
      </c>
      <c r="R212" t="str">
        <f>IF('Sağ Bekler'!S14="","",'Sağ Bekler'!S14)</f>
        <v/>
      </c>
      <c r="S212" t="str">
        <f>IF('Sağ Bekler'!T14="","",'Sağ Bekler'!T14)</f>
        <v/>
      </c>
      <c r="T212" s="2" t="str">
        <f>IF('Sağ Bekler'!U14="","",'Sağ Bekler'!U14)</f>
        <v/>
      </c>
      <c r="U212" t="s">
        <v>928</v>
      </c>
      <c r="V212">
        <v>14</v>
      </c>
      <c r="W212" t="str">
        <f ca="1">IF(AND($A212&lt;&gt;"",ISNUMBER($G212),$G212&gt;=TODAY(),$G212&lt;=EDATE(TODAY(),12)),COUNTIFS($G$2:$G$1001,"&gt;="&amp;TODAY(),$G$2:$G$1001,"&lt;"&amp;$G212,$A$2:$A$1001,"&lt;&gt;")+COUNTIFS($G$2:$G212,$G212,$A$2:$A212,"&lt;&gt;"),"")</f>
        <v/>
      </c>
      <c r="X212" t="str">
        <f>IF(AND($A212&lt;&gt;"",ISNUMBER($C212),$C212&gt;=DATE(2003,1,1)),COUNTIFS($C$2:$C212,"&gt;="&amp;DATE(2003,1,1),$A$2:$A212,"&lt;&gt;"),"")</f>
        <v/>
      </c>
    </row>
    <row r="213" spans="1:24">
      <c r="A213" t="str">
        <f>IF('Sağ Bekler'!A15="","",'Sağ Bekler'!A15)</f>
        <v/>
      </c>
      <c r="B213" t="str">
        <f>IF('Sağ Bekler'!B15="","",'Sağ Bekler'!B15)</f>
        <v/>
      </c>
      <c r="C213" s="2" t="str">
        <f>IF('Sağ Bekler'!C15="","",'Sağ Bekler'!C15)</f>
        <v/>
      </c>
      <c r="D213" t="str">
        <f ca="1">IF('Sağ Bekler'!D15="","",'Sağ Bekler'!D15)</f>
        <v/>
      </c>
      <c r="E213" t="str">
        <f>IF('Sağ Bekler'!E15="","",'Sağ Bekler'!E15)</f>
        <v>Sağ Bek</v>
      </c>
      <c r="F213" t="str">
        <f>IF('Sağ Bekler'!G15="","",'Sağ Bekler'!G15)</f>
        <v/>
      </c>
      <c r="G213" s="2" t="str">
        <f>IF('Sağ Bekler'!H15="","",'Sağ Bekler'!H15)</f>
        <v/>
      </c>
      <c r="H213" t="str">
        <f>IF('Sağ Bekler'!I15="","",'Sağ Bekler'!I15)</f>
        <v/>
      </c>
      <c r="I213" t="str">
        <f>IF('Sağ Bekler'!A15="","",'Sağ Bekler'!J15)</f>
        <v/>
      </c>
      <c r="J213" t="str">
        <f>IF('Sağ Bekler'!A15="","",'Sağ Bekler'!K15)</f>
        <v/>
      </c>
      <c r="K213" t="str">
        <f>IF('Sağ Bekler'!L15="","",'Sağ Bekler'!L15)</f>
        <v/>
      </c>
      <c r="L213" t="str">
        <f>IF('Sağ Bekler'!M15="","",'Sağ Bekler'!M15)</f>
        <v/>
      </c>
      <c r="M213" t="str">
        <f>IF('Sağ Bekler'!N15="","",'Sağ Bekler'!N15)</f>
        <v/>
      </c>
      <c r="N213" t="str">
        <f>IF('Sağ Bekler'!O15="","",'Sağ Bekler'!O15)</f>
        <v/>
      </c>
      <c r="O213" t="str">
        <f>IF('Sağ Bekler'!P15="","",'Sağ Bekler'!P15)</f>
        <v/>
      </c>
      <c r="P213" t="str">
        <f>IF('Sağ Bekler'!Q15="","",'Sağ Bekler'!Q15)</f>
        <v/>
      </c>
      <c r="Q213" t="str">
        <f>IF('Sağ Bekler'!R15="","",'Sağ Bekler'!R15)</f>
        <v/>
      </c>
      <c r="R213" t="str">
        <f>IF('Sağ Bekler'!S15="","",'Sağ Bekler'!S15)</f>
        <v/>
      </c>
      <c r="S213" t="str">
        <f>IF('Sağ Bekler'!T15="","",'Sağ Bekler'!T15)</f>
        <v/>
      </c>
      <c r="T213" s="2" t="str">
        <f>IF('Sağ Bekler'!U15="","",'Sağ Bekler'!U15)</f>
        <v/>
      </c>
      <c r="U213" t="s">
        <v>928</v>
      </c>
      <c r="V213">
        <v>15</v>
      </c>
      <c r="W213" t="str">
        <f ca="1">IF(AND($A213&lt;&gt;"",ISNUMBER($G213),$G213&gt;=TODAY(),$G213&lt;=EDATE(TODAY(),12)),COUNTIFS($G$2:$G$1001,"&gt;="&amp;TODAY(),$G$2:$G$1001,"&lt;"&amp;$G213,$A$2:$A$1001,"&lt;&gt;")+COUNTIFS($G$2:$G213,$G213,$A$2:$A213,"&lt;&gt;"),"")</f>
        <v/>
      </c>
      <c r="X213" t="str">
        <f>IF(AND($A213&lt;&gt;"",ISNUMBER($C213),$C213&gt;=DATE(2003,1,1)),COUNTIFS($C$2:$C213,"&gt;="&amp;DATE(2003,1,1),$A$2:$A213,"&lt;&gt;"),"")</f>
        <v/>
      </c>
    </row>
    <row r="214" spans="1:24">
      <c r="A214" t="str">
        <f>IF('Sağ Bekler'!A16="","",'Sağ Bekler'!A16)</f>
        <v/>
      </c>
      <c r="B214" t="str">
        <f>IF('Sağ Bekler'!B16="","",'Sağ Bekler'!B16)</f>
        <v/>
      </c>
      <c r="C214" s="2" t="str">
        <f>IF('Sağ Bekler'!C16="","",'Sağ Bekler'!C16)</f>
        <v/>
      </c>
      <c r="D214" t="str">
        <f ca="1">IF('Sağ Bekler'!D16="","",'Sağ Bekler'!D16)</f>
        <v/>
      </c>
      <c r="E214" t="str">
        <f>IF('Sağ Bekler'!E16="","",'Sağ Bekler'!E16)</f>
        <v>Sağ Bek</v>
      </c>
      <c r="F214" t="str">
        <f>IF('Sağ Bekler'!G16="","",'Sağ Bekler'!G16)</f>
        <v/>
      </c>
      <c r="G214" s="2" t="str">
        <f>IF('Sağ Bekler'!H16="","",'Sağ Bekler'!H16)</f>
        <v/>
      </c>
      <c r="H214" t="str">
        <f>IF('Sağ Bekler'!I16="","",'Sağ Bekler'!I16)</f>
        <v/>
      </c>
      <c r="I214" t="str">
        <f>IF('Sağ Bekler'!A16="","",'Sağ Bekler'!J16)</f>
        <v/>
      </c>
      <c r="J214" t="str">
        <f>IF('Sağ Bekler'!A16="","",'Sağ Bekler'!K16)</f>
        <v/>
      </c>
      <c r="K214" t="str">
        <f>IF('Sağ Bekler'!L16="","",'Sağ Bekler'!L16)</f>
        <v/>
      </c>
      <c r="L214" t="str">
        <f>IF('Sağ Bekler'!M16="","",'Sağ Bekler'!M16)</f>
        <v/>
      </c>
      <c r="M214" t="str">
        <f>IF('Sağ Bekler'!N16="","",'Sağ Bekler'!N16)</f>
        <v/>
      </c>
      <c r="N214" t="str">
        <f>IF('Sağ Bekler'!O16="","",'Sağ Bekler'!O16)</f>
        <v/>
      </c>
      <c r="O214" t="str">
        <f>IF('Sağ Bekler'!P16="","",'Sağ Bekler'!P16)</f>
        <v/>
      </c>
      <c r="P214" t="str">
        <f>IF('Sağ Bekler'!Q16="","",'Sağ Bekler'!Q16)</f>
        <v/>
      </c>
      <c r="Q214" t="str">
        <f>IF('Sağ Bekler'!R16="","",'Sağ Bekler'!R16)</f>
        <v/>
      </c>
      <c r="R214" t="str">
        <f>IF('Sağ Bekler'!S16="","",'Sağ Bekler'!S16)</f>
        <v/>
      </c>
      <c r="S214" t="str">
        <f>IF('Sağ Bekler'!T16="","",'Sağ Bekler'!T16)</f>
        <v/>
      </c>
      <c r="T214" s="2" t="str">
        <f>IF('Sağ Bekler'!U16="","",'Sağ Bekler'!U16)</f>
        <v/>
      </c>
      <c r="U214" t="s">
        <v>928</v>
      </c>
      <c r="V214">
        <v>16</v>
      </c>
      <c r="W214" t="str">
        <f ca="1">IF(AND($A214&lt;&gt;"",ISNUMBER($G214),$G214&gt;=TODAY(),$G214&lt;=EDATE(TODAY(),12)),COUNTIFS($G$2:$G$1001,"&gt;="&amp;TODAY(),$G$2:$G$1001,"&lt;"&amp;$G214,$A$2:$A$1001,"&lt;&gt;")+COUNTIFS($G$2:$G214,$G214,$A$2:$A214,"&lt;&gt;"),"")</f>
        <v/>
      </c>
      <c r="X214" t="str">
        <f>IF(AND($A214&lt;&gt;"",ISNUMBER($C214),$C214&gt;=DATE(2003,1,1)),COUNTIFS($C$2:$C214,"&gt;="&amp;DATE(2003,1,1),$A$2:$A214,"&lt;&gt;"),"")</f>
        <v/>
      </c>
    </row>
    <row r="215" spans="1:24">
      <c r="A215" t="str">
        <f>IF('Sağ Bekler'!A17="","",'Sağ Bekler'!A17)</f>
        <v/>
      </c>
      <c r="B215" t="str">
        <f>IF('Sağ Bekler'!B17="","",'Sağ Bekler'!B17)</f>
        <v/>
      </c>
      <c r="C215" s="2" t="str">
        <f>IF('Sağ Bekler'!C17="","",'Sağ Bekler'!C17)</f>
        <v/>
      </c>
      <c r="D215" t="str">
        <f ca="1">IF('Sağ Bekler'!D17="","",'Sağ Bekler'!D17)</f>
        <v/>
      </c>
      <c r="E215" t="str">
        <f>IF('Sağ Bekler'!E17="","",'Sağ Bekler'!E17)</f>
        <v>Sağ Bek</v>
      </c>
      <c r="F215" t="str">
        <f>IF('Sağ Bekler'!G17="","",'Sağ Bekler'!G17)</f>
        <v/>
      </c>
      <c r="G215" s="2" t="str">
        <f>IF('Sağ Bekler'!H17="","",'Sağ Bekler'!H17)</f>
        <v/>
      </c>
      <c r="H215" t="str">
        <f>IF('Sağ Bekler'!I17="","",'Sağ Bekler'!I17)</f>
        <v/>
      </c>
      <c r="I215" t="str">
        <f>IF('Sağ Bekler'!A17="","",'Sağ Bekler'!J17)</f>
        <v/>
      </c>
      <c r="J215" t="str">
        <f>IF('Sağ Bekler'!A17="","",'Sağ Bekler'!K17)</f>
        <v/>
      </c>
      <c r="K215" t="str">
        <f>IF('Sağ Bekler'!L17="","",'Sağ Bekler'!L17)</f>
        <v/>
      </c>
      <c r="L215" t="str">
        <f>IF('Sağ Bekler'!M17="","",'Sağ Bekler'!M17)</f>
        <v/>
      </c>
      <c r="M215" t="str">
        <f>IF('Sağ Bekler'!N17="","",'Sağ Bekler'!N17)</f>
        <v/>
      </c>
      <c r="N215" t="str">
        <f>IF('Sağ Bekler'!O17="","",'Sağ Bekler'!O17)</f>
        <v/>
      </c>
      <c r="O215" t="str">
        <f>IF('Sağ Bekler'!P17="","",'Sağ Bekler'!P17)</f>
        <v/>
      </c>
      <c r="P215" t="str">
        <f>IF('Sağ Bekler'!Q17="","",'Sağ Bekler'!Q17)</f>
        <v/>
      </c>
      <c r="Q215" t="str">
        <f>IF('Sağ Bekler'!R17="","",'Sağ Bekler'!R17)</f>
        <v/>
      </c>
      <c r="R215" t="str">
        <f>IF('Sağ Bekler'!S17="","",'Sağ Bekler'!S17)</f>
        <v/>
      </c>
      <c r="S215" t="str">
        <f>IF('Sağ Bekler'!T17="","",'Sağ Bekler'!T17)</f>
        <v/>
      </c>
      <c r="T215" s="2" t="str">
        <f>IF('Sağ Bekler'!U17="","",'Sağ Bekler'!U17)</f>
        <v/>
      </c>
      <c r="U215" t="s">
        <v>928</v>
      </c>
      <c r="V215">
        <v>17</v>
      </c>
      <c r="W215" t="str">
        <f ca="1">IF(AND($A215&lt;&gt;"",ISNUMBER($G215),$G215&gt;=TODAY(),$G215&lt;=EDATE(TODAY(),12)),COUNTIFS($G$2:$G$1001,"&gt;="&amp;TODAY(),$G$2:$G$1001,"&lt;"&amp;$G215,$A$2:$A$1001,"&lt;&gt;")+COUNTIFS($G$2:$G215,$G215,$A$2:$A215,"&lt;&gt;"),"")</f>
        <v/>
      </c>
      <c r="X215" t="str">
        <f>IF(AND($A215&lt;&gt;"",ISNUMBER($C215),$C215&gt;=DATE(2003,1,1)),COUNTIFS($C$2:$C215,"&gt;="&amp;DATE(2003,1,1),$A$2:$A215,"&lt;&gt;"),"")</f>
        <v/>
      </c>
    </row>
    <row r="216" spans="1:24">
      <c r="A216" t="str">
        <f>IF('Sağ Bekler'!A18="","",'Sağ Bekler'!A18)</f>
        <v/>
      </c>
      <c r="B216" t="str">
        <f>IF('Sağ Bekler'!B18="","",'Sağ Bekler'!B18)</f>
        <v/>
      </c>
      <c r="C216" s="2" t="str">
        <f>IF('Sağ Bekler'!C18="","",'Sağ Bekler'!C18)</f>
        <v/>
      </c>
      <c r="D216" t="str">
        <f ca="1">IF('Sağ Bekler'!D18="","",'Sağ Bekler'!D18)</f>
        <v/>
      </c>
      <c r="E216" t="str">
        <f>IF('Sağ Bekler'!E18="","",'Sağ Bekler'!E18)</f>
        <v>Sağ Bek</v>
      </c>
      <c r="F216" t="str">
        <f>IF('Sağ Bekler'!G18="","",'Sağ Bekler'!G18)</f>
        <v/>
      </c>
      <c r="G216" s="2" t="str">
        <f>IF('Sağ Bekler'!H18="","",'Sağ Bekler'!H18)</f>
        <v/>
      </c>
      <c r="H216" t="str">
        <f>IF('Sağ Bekler'!I18="","",'Sağ Bekler'!I18)</f>
        <v/>
      </c>
      <c r="I216" t="str">
        <f>IF('Sağ Bekler'!A18="","",'Sağ Bekler'!J18)</f>
        <v/>
      </c>
      <c r="J216" t="str">
        <f>IF('Sağ Bekler'!A18="","",'Sağ Bekler'!K18)</f>
        <v/>
      </c>
      <c r="K216" t="str">
        <f>IF('Sağ Bekler'!L18="","",'Sağ Bekler'!L18)</f>
        <v/>
      </c>
      <c r="L216" t="str">
        <f>IF('Sağ Bekler'!M18="","",'Sağ Bekler'!M18)</f>
        <v/>
      </c>
      <c r="M216" t="str">
        <f>IF('Sağ Bekler'!N18="","",'Sağ Bekler'!N18)</f>
        <v/>
      </c>
      <c r="N216" t="str">
        <f>IF('Sağ Bekler'!O18="","",'Sağ Bekler'!O18)</f>
        <v/>
      </c>
      <c r="O216" t="str">
        <f>IF('Sağ Bekler'!P18="","",'Sağ Bekler'!P18)</f>
        <v/>
      </c>
      <c r="P216" t="str">
        <f>IF('Sağ Bekler'!Q18="","",'Sağ Bekler'!Q18)</f>
        <v/>
      </c>
      <c r="Q216" t="str">
        <f>IF('Sağ Bekler'!R18="","",'Sağ Bekler'!R18)</f>
        <v/>
      </c>
      <c r="R216" t="str">
        <f>IF('Sağ Bekler'!S18="","",'Sağ Bekler'!S18)</f>
        <v/>
      </c>
      <c r="S216" t="str">
        <f>IF('Sağ Bekler'!T18="","",'Sağ Bekler'!T18)</f>
        <v/>
      </c>
      <c r="T216" s="2" t="str">
        <f>IF('Sağ Bekler'!U18="","",'Sağ Bekler'!U18)</f>
        <v/>
      </c>
      <c r="U216" t="s">
        <v>928</v>
      </c>
      <c r="V216">
        <v>18</v>
      </c>
      <c r="W216" t="str">
        <f ca="1">IF(AND($A216&lt;&gt;"",ISNUMBER($G216),$G216&gt;=TODAY(),$G216&lt;=EDATE(TODAY(),12)),COUNTIFS($G$2:$G$1001,"&gt;="&amp;TODAY(),$G$2:$G$1001,"&lt;"&amp;$G216,$A$2:$A$1001,"&lt;&gt;")+COUNTIFS($G$2:$G216,$G216,$A$2:$A216,"&lt;&gt;"),"")</f>
        <v/>
      </c>
      <c r="X216" t="str">
        <f>IF(AND($A216&lt;&gt;"",ISNUMBER($C216),$C216&gt;=DATE(2003,1,1)),COUNTIFS($C$2:$C216,"&gt;="&amp;DATE(2003,1,1),$A$2:$A216,"&lt;&gt;"),"")</f>
        <v/>
      </c>
    </row>
    <row r="217" spans="1:24">
      <c r="A217" t="str">
        <f>IF('Sağ Bekler'!A19="","",'Sağ Bekler'!A19)</f>
        <v/>
      </c>
      <c r="B217" t="str">
        <f>IF('Sağ Bekler'!B19="","",'Sağ Bekler'!B19)</f>
        <v/>
      </c>
      <c r="C217" s="2" t="str">
        <f>IF('Sağ Bekler'!C19="","",'Sağ Bekler'!C19)</f>
        <v/>
      </c>
      <c r="D217" t="str">
        <f ca="1">IF('Sağ Bekler'!D19="","",'Sağ Bekler'!D19)</f>
        <v/>
      </c>
      <c r="E217" t="str">
        <f>IF('Sağ Bekler'!E19="","",'Sağ Bekler'!E19)</f>
        <v>Sağ Bek</v>
      </c>
      <c r="F217" t="str">
        <f>IF('Sağ Bekler'!G19="","",'Sağ Bekler'!G19)</f>
        <v/>
      </c>
      <c r="G217" s="2" t="str">
        <f>IF('Sağ Bekler'!H19="","",'Sağ Bekler'!H19)</f>
        <v/>
      </c>
      <c r="H217" t="str">
        <f>IF('Sağ Bekler'!I19="","",'Sağ Bekler'!I19)</f>
        <v/>
      </c>
      <c r="I217" t="str">
        <f>IF('Sağ Bekler'!A19="","",'Sağ Bekler'!J19)</f>
        <v/>
      </c>
      <c r="J217" t="str">
        <f>IF('Sağ Bekler'!A19="","",'Sağ Bekler'!K19)</f>
        <v/>
      </c>
      <c r="K217" t="str">
        <f>IF('Sağ Bekler'!L19="","",'Sağ Bekler'!L19)</f>
        <v/>
      </c>
      <c r="L217" t="str">
        <f>IF('Sağ Bekler'!M19="","",'Sağ Bekler'!M19)</f>
        <v/>
      </c>
      <c r="M217" t="str">
        <f>IF('Sağ Bekler'!N19="","",'Sağ Bekler'!N19)</f>
        <v/>
      </c>
      <c r="N217" t="str">
        <f>IF('Sağ Bekler'!O19="","",'Sağ Bekler'!O19)</f>
        <v/>
      </c>
      <c r="O217" t="str">
        <f>IF('Sağ Bekler'!P19="","",'Sağ Bekler'!P19)</f>
        <v/>
      </c>
      <c r="P217" t="str">
        <f>IF('Sağ Bekler'!Q19="","",'Sağ Bekler'!Q19)</f>
        <v/>
      </c>
      <c r="Q217" t="str">
        <f>IF('Sağ Bekler'!R19="","",'Sağ Bekler'!R19)</f>
        <v/>
      </c>
      <c r="R217" t="str">
        <f>IF('Sağ Bekler'!S19="","",'Sağ Bekler'!S19)</f>
        <v/>
      </c>
      <c r="S217" t="str">
        <f>IF('Sağ Bekler'!T19="","",'Sağ Bekler'!T19)</f>
        <v/>
      </c>
      <c r="T217" s="2" t="str">
        <f>IF('Sağ Bekler'!U19="","",'Sağ Bekler'!U19)</f>
        <v/>
      </c>
      <c r="U217" t="s">
        <v>928</v>
      </c>
      <c r="V217">
        <v>19</v>
      </c>
      <c r="W217" t="str">
        <f ca="1">IF(AND($A217&lt;&gt;"",ISNUMBER($G217),$G217&gt;=TODAY(),$G217&lt;=EDATE(TODAY(),12)),COUNTIFS($G$2:$G$1001,"&gt;="&amp;TODAY(),$G$2:$G$1001,"&lt;"&amp;$G217,$A$2:$A$1001,"&lt;&gt;")+COUNTIFS($G$2:$G217,$G217,$A$2:$A217,"&lt;&gt;"),"")</f>
        <v/>
      </c>
      <c r="X217" t="str">
        <f>IF(AND($A217&lt;&gt;"",ISNUMBER($C217),$C217&gt;=DATE(2003,1,1)),COUNTIFS($C$2:$C217,"&gt;="&amp;DATE(2003,1,1),$A$2:$A217,"&lt;&gt;"),"")</f>
        <v/>
      </c>
    </row>
    <row r="218" spans="1:24">
      <c r="A218" t="str">
        <f>IF('Sağ Bekler'!A20="","",'Sağ Bekler'!A20)</f>
        <v/>
      </c>
      <c r="B218" t="str">
        <f>IF('Sağ Bekler'!B20="","",'Sağ Bekler'!B20)</f>
        <v/>
      </c>
      <c r="C218" s="2" t="str">
        <f>IF('Sağ Bekler'!C20="","",'Sağ Bekler'!C20)</f>
        <v/>
      </c>
      <c r="D218" t="str">
        <f ca="1">IF('Sağ Bekler'!D20="","",'Sağ Bekler'!D20)</f>
        <v/>
      </c>
      <c r="E218" t="str">
        <f>IF('Sağ Bekler'!E20="","",'Sağ Bekler'!E20)</f>
        <v>Sağ Bek</v>
      </c>
      <c r="F218" t="str">
        <f>IF('Sağ Bekler'!G20="","",'Sağ Bekler'!G20)</f>
        <v/>
      </c>
      <c r="G218" s="2" t="str">
        <f>IF('Sağ Bekler'!H20="","",'Sağ Bekler'!H20)</f>
        <v/>
      </c>
      <c r="H218" t="str">
        <f>IF('Sağ Bekler'!I20="","",'Sağ Bekler'!I20)</f>
        <v/>
      </c>
      <c r="I218" t="str">
        <f>IF('Sağ Bekler'!A20="","",'Sağ Bekler'!J20)</f>
        <v/>
      </c>
      <c r="J218" t="str">
        <f>IF('Sağ Bekler'!A20="","",'Sağ Bekler'!K20)</f>
        <v/>
      </c>
      <c r="K218" t="str">
        <f>IF('Sağ Bekler'!L20="","",'Sağ Bekler'!L20)</f>
        <v/>
      </c>
      <c r="L218" t="str">
        <f>IF('Sağ Bekler'!M20="","",'Sağ Bekler'!M20)</f>
        <v/>
      </c>
      <c r="M218" t="str">
        <f>IF('Sağ Bekler'!N20="","",'Sağ Bekler'!N20)</f>
        <v/>
      </c>
      <c r="N218" t="str">
        <f>IF('Sağ Bekler'!O20="","",'Sağ Bekler'!O20)</f>
        <v/>
      </c>
      <c r="O218" t="str">
        <f>IF('Sağ Bekler'!P20="","",'Sağ Bekler'!P20)</f>
        <v/>
      </c>
      <c r="P218" t="str">
        <f>IF('Sağ Bekler'!Q20="","",'Sağ Bekler'!Q20)</f>
        <v/>
      </c>
      <c r="Q218" t="str">
        <f>IF('Sağ Bekler'!R20="","",'Sağ Bekler'!R20)</f>
        <v/>
      </c>
      <c r="R218" t="str">
        <f>IF('Sağ Bekler'!S20="","",'Sağ Bekler'!S20)</f>
        <v/>
      </c>
      <c r="S218" t="str">
        <f>IF('Sağ Bekler'!T20="","",'Sağ Bekler'!T20)</f>
        <v/>
      </c>
      <c r="T218" s="2" t="str">
        <f>IF('Sağ Bekler'!U20="","",'Sağ Bekler'!U20)</f>
        <v/>
      </c>
      <c r="U218" t="s">
        <v>928</v>
      </c>
      <c r="V218">
        <v>20</v>
      </c>
      <c r="W218" t="str">
        <f ca="1">IF(AND($A218&lt;&gt;"",ISNUMBER($G218),$G218&gt;=TODAY(),$G218&lt;=EDATE(TODAY(),12)),COUNTIFS($G$2:$G$1001,"&gt;="&amp;TODAY(),$G$2:$G$1001,"&lt;"&amp;$G218,$A$2:$A$1001,"&lt;&gt;")+COUNTIFS($G$2:$G218,$G218,$A$2:$A218,"&lt;&gt;"),"")</f>
        <v/>
      </c>
      <c r="X218" t="str">
        <f>IF(AND($A218&lt;&gt;"",ISNUMBER($C218),$C218&gt;=DATE(2003,1,1)),COUNTIFS($C$2:$C218,"&gt;="&amp;DATE(2003,1,1),$A$2:$A218,"&lt;&gt;"),"")</f>
        <v/>
      </c>
    </row>
    <row r="219" spans="1:24">
      <c r="A219" t="str">
        <f>IF('Sağ Bekler'!A21="","",'Sağ Bekler'!A21)</f>
        <v/>
      </c>
      <c r="B219" t="str">
        <f>IF('Sağ Bekler'!B21="","",'Sağ Bekler'!B21)</f>
        <v/>
      </c>
      <c r="C219" s="2" t="str">
        <f>IF('Sağ Bekler'!C21="","",'Sağ Bekler'!C21)</f>
        <v/>
      </c>
      <c r="D219" t="str">
        <f ca="1">IF('Sağ Bekler'!D21="","",'Sağ Bekler'!D21)</f>
        <v/>
      </c>
      <c r="E219" t="str">
        <f>IF('Sağ Bekler'!E21="","",'Sağ Bekler'!E21)</f>
        <v>Sağ Bek</v>
      </c>
      <c r="F219" t="str">
        <f>IF('Sağ Bekler'!G21="","",'Sağ Bekler'!G21)</f>
        <v/>
      </c>
      <c r="G219" s="2" t="str">
        <f>IF('Sağ Bekler'!H21="","",'Sağ Bekler'!H21)</f>
        <v/>
      </c>
      <c r="H219" t="str">
        <f>IF('Sağ Bekler'!I21="","",'Sağ Bekler'!I21)</f>
        <v/>
      </c>
      <c r="I219" t="str">
        <f>IF('Sağ Bekler'!A21="","",'Sağ Bekler'!J21)</f>
        <v/>
      </c>
      <c r="J219" t="str">
        <f>IF('Sağ Bekler'!A21="","",'Sağ Bekler'!K21)</f>
        <v/>
      </c>
      <c r="K219" t="str">
        <f>IF('Sağ Bekler'!L21="","",'Sağ Bekler'!L21)</f>
        <v/>
      </c>
      <c r="L219" t="str">
        <f>IF('Sağ Bekler'!M21="","",'Sağ Bekler'!M21)</f>
        <v/>
      </c>
      <c r="M219" t="str">
        <f>IF('Sağ Bekler'!N21="","",'Sağ Bekler'!N21)</f>
        <v/>
      </c>
      <c r="N219" t="str">
        <f>IF('Sağ Bekler'!O21="","",'Sağ Bekler'!O21)</f>
        <v/>
      </c>
      <c r="O219" t="str">
        <f>IF('Sağ Bekler'!P21="","",'Sağ Bekler'!P21)</f>
        <v/>
      </c>
      <c r="P219" t="str">
        <f>IF('Sağ Bekler'!Q21="","",'Sağ Bekler'!Q21)</f>
        <v/>
      </c>
      <c r="Q219" t="str">
        <f>IF('Sağ Bekler'!R21="","",'Sağ Bekler'!R21)</f>
        <v/>
      </c>
      <c r="R219" t="str">
        <f>IF('Sağ Bekler'!S21="","",'Sağ Bekler'!S21)</f>
        <v/>
      </c>
      <c r="S219" t="str">
        <f>IF('Sağ Bekler'!T21="","",'Sağ Bekler'!T21)</f>
        <v/>
      </c>
      <c r="T219" s="2" t="str">
        <f>IF('Sağ Bekler'!U21="","",'Sağ Bekler'!U21)</f>
        <v/>
      </c>
      <c r="U219" t="s">
        <v>928</v>
      </c>
      <c r="V219">
        <v>21</v>
      </c>
      <c r="W219" t="str">
        <f ca="1">IF(AND($A219&lt;&gt;"",ISNUMBER($G219),$G219&gt;=TODAY(),$G219&lt;=EDATE(TODAY(),12)),COUNTIFS($G$2:$G$1001,"&gt;="&amp;TODAY(),$G$2:$G$1001,"&lt;"&amp;$G219,$A$2:$A$1001,"&lt;&gt;")+COUNTIFS($G$2:$G219,$G219,$A$2:$A219,"&lt;&gt;"),"")</f>
        <v/>
      </c>
      <c r="X219" t="str">
        <f>IF(AND($A219&lt;&gt;"",ISNUMBER($C219),$C219&gt;=DATE(2003,1,1)),COUNTIFS($C$2:$C219,"&gt;="&amp;DATE(2003,1,1),$A$2:$A219,"&lt;&gt;"),"")</f>
        <v/>
      </c>
    </row>
    <row r="220" spans="1:24">
      <c r="A220" t="str">
        <f>IF('Sağ Bekler'!A22="","",'Sağ Bekler'!A22)</f>
        <v/>
      </c>
      <c r="B220" t="str">
        <f>IF('Sağ Bekler'!B22="","",'Sağ Bekler'!B22)</f>
        <v/>
      </c>
      <c r="C220" s="2" t="str">
        <f>IF('Sağ Bekler'!C22="","",'Sağ Bekler'!C22)</f>
        <v/>
      </c>
      <c r="D220" t="str">
        <f ca="1">IF('Sağ Bekler'!D22="","",'Sağ Bekler'!D22)</f>
        <v/>
      </c>
      <c r="E220" t="str">
        <f>IF('Sağ Bekler'!E22="","",'Sağ Bekler'!E22)</f>
        <v>Sağ Bek</v>
      </c>
      <c r="F220" t="str">
        <f>IF('Sağ Bekler'!G22="","",'Sağ Bekler'!G22)</f>
        <v/>
      </c>
      <c r="G220" s="2" t="str">
        <f>IF('Sağ Bekler'!H22="","",'Sağ Bekler'!H22)</f>
        <v/>
      </c>
      <c r="H220" t="str">
        <f>IF('Sağ Bekler'!I22="","",'Sağ Bekler'!I22)</f>
        <v/>
      </c>
      <c r="I220" t="str">
        <f>IF('Sağ Bekler'!A22="","",'Sağ Bekler'!J22)</f>
        <v/>
      </c>
      <c r="J220" t="str">
        <f>IF('Sağ Bekler'!A22="","",'Sağ Bekler'!K22)</f>
        <v/>
      </c>
      <c r="K220" t="str">
        <f>IF('Sağ Bekler'!L22="","",'Sağ Bekler'!L22)</f>
        <v/>
      </c>
      <c r="L220" t="str">
        <f>IF('Sağ Bekler'!M22="","",'Sağ Bekler'!M22)</f>
        <v/>
      </c>
      <c r="M220" t="str">
        <f>IF('Sağ Bekler'!N22="","",'Sağ Bekler'!N22)</f>
        <v/>
      </c>
      <c r="N220" t="str">
        <f>IF('Sağ Bekler'!O22="","",'Sağ Bekler'!O22)</f>
        <v/>
      </c>
      <c r="O220" t="str">
        <f>IF('Sağ Bekler'!P22="","",'Sağ Bekler'!P22)</f>
        <v/>
      </c>
      <c r="P220" t="str">
        <f>IF('Sağ Bekler'!Q22="","",'Sağ Bekler'!Q22)</f>
        <v/>
      </c>
      <c r="Q220" t="str">
        <f>IF('Sağ Bekler'!R22="","",'Sağ Bekler'!R22)</f>
        <v/>
      </c>
      <c r="R220" t="str">
        <f>IF('Sağ Bekler'!S22="","",'Sağ Bekler'!S22)</f>
        <v/>
      </c>
      <c r="S220" t="str">
        <f>IF('Sağ Bekler'!T22="","",'Sağ Bekler'!T22)</f>
        <v/>
      </c>
      <c r="T220" s="2" t="str">
        <f>IF('Sağ Bekler'!U22="","",'Sağ Bekler'!U22)</f>
        <v/>
      </c>
      <c r="U220" t="s">
        <v>928</v>
      </c>
      <c r="V220">
        <v>22</v>
      </c>
      <c r="W220" t="str">
        <f ca="1">IF(AND($A220&lt;&gt;"",ISNUMBER($G220),$G220&gt;=TODAY(),$G220&lt;=EDATE(TODAY(),12)),COUNTIFS($G$2:$G$1001,"&gt;="&amp;TODAY(),$G$2:$G$1001,"&lt;"&amp;$G220,$A$2:$A$1001,"&lt;&gt;")+COUNTIFS($G$2:$G220,$G220,$A$2:$A220,"&lt;&gt;"),"")</f>
        <v/>
      </c>
      <c r="X220" t="str">
        <f>IF(AND($A220&lt;&gt;"",ISNUMBER($C220),$C220&gt;=DATE(2003,1,1)),COUNTIFS($C$2:$C220,"&gt;="&amp;DATE(2003,1,1),$A$2:$A220,"&lt;&gt;"),"")</f>
        <v/>
      </c>
    </row>
    <row r="221" spans="1:24">
      <c r="A221" t="str">
        <f>IF('Sağ Bekler'!A23="","",'Sağ Bekler'!A23)</f>
        <v/>
      </c>
      <c r="B221" t="str">
        <f>IF('Sağ Bekler'!B23="","",'Sağ Bekler'!B23)</f>
        <v/>
      </c>
      <c r="C221" s="2" t="str">
        <f>IF('Sağ Bekler'!C23="","",'Sağ Bekler'!C23)</f>
        <v/>
      </c>
      <c r="D221" t="str">
        <f ca="1">IF('Sağ Bekler'!D23="","",'Sağ Bekler'!D23)</f>
        <v/>
      </c>
      <c r="E221" t="str">
        <f>IF('Sağ Bekler'!E23="","",'Sağ Bekler'!E23)</f>
        <v>Sağ Bek</v>
      </c>
      <c r="F221" t="str">
        <f>IF('Sağ Bekler'!G23="","",'Sağ Bekler'!G23)</f>
        <v/>
      </c>
      <c r="G221" s="2" t="str">
        <f>IF('Sağ Bekler'!H23="","",'Sağ Bekler'!H23)</f>
        <v/>
      </c>
      <c r="H221" t="str">
        <f>IF('Sağ Bekler'!I23="","",'Sağ Bekler'!I23)</f>
        <v/>
      </c>
      <c r="I221" t="str">
        <f>IF('Sağ Bekler'!A23="","",'Sağ Bekler'!J23)</f>
        <v/>
      </c>
      <c r="J221" t="str">
        <f>IF('Sağ Bekler'!A23="","",'Sağ Bekler'!K23)</f>
        <v/>
      </c>
      <c r="K221" t="str">
        <f>IF('Sağ Bekler'!L23="","",'Sağ Bekler'!L23)</f>
        <v/>
      </c>
      <c r="L221" t="str">
        <f>IF('Sağ Bekler'!M23="","",'Sağ Bekler'!M23)</f>
        <v/>
      </c>
      <c r="M221" t="str">
        <f>IF('Sağ Bekler'!N23="","",'Sağ Bekler'!N23)</f>
        <v/>
      </c>
      <c r="N221" t="str">
        <f>IF('Sağ Bekler'!O23="","",'Sağ Bekler'!O23)</f>
        <v/>
      </c>
      <c r="O221" t="str">
        <f>IF('Sağ Bekler'!P23="","",'Sağ Bekler'!P23)</f>
        <v/>
      </c>
      <c r="P221" t="str">
        <f>IF('Sağ Bekler'!Q23="","",'Sağ Bekler'!Q23)</f>
        <v/>
      </c>
      <c r="Q221" t="str">
        <f>IF('Sağ Bekler'!R23="","",'Sağ Bekler'!R23)</f>
        <v/>
      </c>
      <c r="R221" t="str">
        <f>IF('Sağ Bekler'!S23="","",'Sağ Bekler'!S23)</f>
        <v/>
      </c>
      <c r="S221" t="str">
        <f>IF('Sağ Bekler'!T23="","",'Sağ Bekler'!T23)</f>
        <v/>
      </c>
      <c r="T221" s="2" t="str">
        <f>IF('Sağ Bekler'!U23="","",'Sağ Bekler'!U23)</f>
        <v/>
      </c>
      <c r="U221" t="s">
        <v>928</v>
      </c>
      <c r="V221">
        <v>23</v>
      </c>
      <c r="W221" t="str">
        <f ca="1">IF(AND($A221&lt;&gt;"",ISNUMBER($G221),$G221&gt;=TODAY(),$G221&lt;=EDATE(TODAY(),12)),COUNTIFS($G$2:$G$1001,"&gt;="&amp;TODAY(),$G$2:$G$1001,"&lt;"&amp;$G221,$A$2:$A$1001,"&lt;&gt;")+COUNTIFS($G$2:$G221,$G221,$A$2:$A221,"&lt;&gt;"),"")</f>
        <v/>
      </c>
      <c r="X221" t="str">
        <f>IF(AND($A221&lt;&gt;"",ISNUMBER($C221),$C221&gt;=DATE(2003,1,1)),COUNTIFS($C$2:$C221,"&gt;="&amp;DATE(2003,1,1),$A$2:$A221,"&lt;&gt;"),"")</f>
        <v/>
      </c>
    </row>
    <row r="222" spans="1:24">
      <c r="A222" t="str">
        <f>IF('Sağ Bekler'!A24="","",'Sağ Bekler'!A24)</f>
        <v/>
      </c>
      <c r="B222" t="str">
        <f>IF('Sağ Bekler'!B24="","",'Sağ Bekler'!B24)</f>
        <v/>
      </c>
      <c r="C222" s="2" t="str">
        <f>IF('Sağ Bekler'!C24="","",'Sağ Bekler'!C24)</f>
        <v/>
      </c>
      <c r="D222" t="str">
        <f ca="1">IF('Sağ Bekler'!D24="","",'Sağ Bekler'!D24)</f>
        <v/>
      </c>
      <c r="E222" t="str">
        <f>IF('Sağ Bekler'!E24="","",'Sağ Bekler'!E24)</f>
        <v>Sağ Bek</v>
      </c>
      <c r="F222" t="str">
        <f>IF('Sağ Bekler'!G24="","",'Sağ Bekler'!G24)</f>
        <v/>
      </c>
      <c r="G222" s="2" t="str">
        <f>IF('Sağ Bekler'!H24="","",'Sağ Bekler'!H24)</f>
        <v/>
      </c>
      <c r="H222" t="str">
        <f>IF('Sağ Bekler'!I24="","",'Sağ Bekler'!I24)</f>
        <v/>
      </c>
      <c r="I222" t="str">
        <f>IF('Sağ Bekler'!A24="","",'Sağ Bekler'!J24)</f>
        <v/>
      </c>
      <c r="J222" t="str">
        <f>IF('Sağ Bekler'!A24="","",'Sağ Bekler'!K24)</f>
        <v/>
      </c>
      <c r="K222" t="str">
        <f>IF('Sağ Bekler'!L24="","",'Sağ Bekler'!L24)</f>
        <v/>
      </c>
      <c r="L222" t="str">
        <f>IF('Sağ Bekler'!M24="","",'Sağ Bekler'!M24)</f>
        <v/>
      </c>
      <c r="M222" t="str">
        <f>IF('Sağ Bekler'!N24="","",'Sağ Bekler'!N24)</f>
        <v/>
      </c>
      <c r="N222" t="str">
        <f>IF('Sağ Bekler'!O24="","",'Sağ Bekler'!O24)</f>
        <v/>
      </c>
      <c r="O222" t="str">
        <f>IF('Sağ Bekler'!P24="","",'Sağ Bekler'!P24)</f>
        <v/>
      </c>
      <c r="P222" t="str">
        <f>IF('Sağ Bekler'!Q24="","",'Sağ Bekler'!Q24)</f>
        <v/>
      </c>
      <c r="Q222" t="str">
        <f>IF('Sağ Bekler'!R24="","",'Sağ Bekler'!R24)</f>
        <v/>
      </c>
      <c r="R222" t="str">
        <f>IF('Sağ Bekler'!S24="","",'Sağ Bekler'!S24)</f>
        <v/>
      </c>
      <c r="S222" t="str">
        <f>IF('Sağ Bekler'!T24="","",'Sağ Bekler'!T24)</f>
        <v/>
      </c>
      <c r="T222" s="2" t="str">
        <f>IF('Sağ Bekler'!U24="","",'Sağ Bekler'!U24)</f>
        <v/>
      </c>
      <c r="U222" t="s">
        <v>928</v>
      </c>
      <c r="V222">
        <v>24</v>
      </c>
      <c r="W222" t="str">
        <f ca="1">IF(AND($A222&lt;&gt;"",ISNUMBER($G222),$G222&gt;=TODAY(),$G222&lt;=EDATE(TODAY(),12)),COUNTIFS($G$2:$G$1001,"&gt;="&amp;TODAY(),$G$2:$G$1001,"&lt;"&amp;$G222,$A$2:$A$1001,"&lt;&gt;")+COUNTIFS($G$2:$G222,$G222,$A$2:$A222,"&lt;&gt;"),"")</f>
        <v/>
      </c>
      <c r="X222" t="str">
        <f>IF(AND($A222&lt;&gt;"",ISNUMBER($C222),$C222&gt;=DATE(2003,1,1)),COUNTIFS($C$2:$C222,"&gt;="&amp;DATE(2003,1,1),$A$2:$A222,"&lt;&gt;"),"")</f>
        <v/>
      </c>
    </row>
    <row r="223" spans="1:24">
      <c r="A223" t="str">
        <f>IF('Sağ Bekler'!A25="","",'Sağ Bekler'!A25)</f>
        <v/>
      </c>
      <c r="B223" t="str">
        <f>IF('Sağ Bekler'!B25="","",'Sağ Bekler'!B25)</f>
        <v/>
      </c>
      <c r="C223" s="2" t="str">
        <f>IF('Sağ Bekler'!C25="","",'Sağ Bekler'!C25)</f>
        <v/>
      </c>
      <c r="D223" t="str">
        <f ca="1">IF('Sağ Bekler'!D25="","",'Sağ Bekler'!D25)</f>
        <v/>
      </c>
      <c r="E223" t="str">
        <f>IF('Sağ Bekler'!E25="","",'Sağ Bekler'!E25)</f>
        <v>Sağ Bek</v>
      </c>
      <c r="F223" t="str">
        <f>IF('Sağ Bekler'!G25="","",'Sağ Bekler'!G25)</f>
        <v/>
      </c>
      <c r="G223" s="2" t="str">
        <f>IF('Sağ Bekler'!H25="","",'Sağ Bekler'!H25)</f>
        <v/>
      </c>
      <c r="H223" t="str">
        <f>IF('Sağ Bekler'!I25="","",'Sağ Bekler'!I25)</f>
        <v/>
      </c>
      <c r="I223" t="str">
        <f>IF('Sağ Bekler'!A25="","",'Sağ Bekler'!J25)</f>
        <v/>
      </c>
      <c r="J223" t="str">
        <f>IF('Sağ Bekler'!A25="","",'Sağ Bekler'!K25)</f>
        <v/>
      </c>
      <c r="K223" t="str">
        <f>IF('Sağ Bekler'!L25="","",'Sağ Bekler'!L25)</f>
        <v/>
      </c>
      <c r="L223" t="str">
        <f>IF('Sağ Bekler'!M25="","",'Sağ Bekler'!M25)</f>
        <v/>
      </c>
      <c r="M223" t="str">
        <f>IF('Sağ Bekler'!N25="","",'Sağ Bekler'!N25)</f>
        <v/>
      </c>
      <c r="N223" t="str">
        <f>IF('Sağ Bekler'!O25="","",'Sağ Bekler'!O25)</f>
        <v/>
      </c>
      <c r="O223" t="str">
        <f>IF('Sağ Bekler'!P25="","",'Sağ Bekler'!P25)</f>
        <v/>
      </c>
      <c r="P223" t="str">
        <f>IF('Sağ Bekler'!Q25="","",'Sağ Bekler'!Q25)</f>
        <v/>
      </c>
      <c r="Q223" t="str">
        <f>IF('Sağ Bekler'!R25="","",'Sağ Bekler'!R25)</f>
        <v/>
      </c>
      <c r="R223" t="str">
        <f>IF('Sağ Bekler'!S25="","",'Sağ Bekler'!S25)</f>
        <v/>
      </c>
      <c r="S223" t="str">
        <f>IF('Sağ Bekler'!T25="","",'Sağ Bekler'!T25)</f>
        <v/>
      </c>
      <c r="T223" s="2" t="str">
        <f>IF('Sağ Bekler'!U25="","",'Sağ Bekler'!U25)</f>
        <v/>
      </c>
      <c r="U223" t="s">
        <v>928</v>
      </c>
      <c r="V223">
        <v>25</v>
      </c>
      <c r="W223" t="str">
        <f ca="1">IF(AND($A223&lt;&gt;"",ISNUMBER($G223),$G223&gt;=TODAY(),$G223&lt;=EDATE(TODAY(),12)),COUNTIFS($G$2:$G$1001,"&gt;="&amp;TODAY(),$G$2:$G$1001,"&lt;"&amp;$G223,$A$2:$A$1001,"&lt;&gt;")+COUNTIFS($G$2:$G223,$G223,$A$2:$A223,"&lt;&gt;"),"")</f>
        <v/>
      </c>
      <c r="X223" t="str">
        <f>IF(AND($A223&lt;&gt;"",ISNUMBER($C223),$C223&gt;=DATE(2003,1,1)),COUNTIFS($C$2:$C223,"&gt;="&amp;DATE(2003,1,1),$A$2:$A223,"&lt;&gt;"),"")</f>
        <v/>
      </c>
    </row>
    <row r="224" spans="1:24">
      <c r="A224" t="str">
        <f>IF('Sağ Bekler'!A26="","",'Sağ Bekler'!A26)</f>
        <v/>
      </c>
      <c r="B224" t="str">
        <f>IF('Sağ Bekler'!B26="","",'Sağ Bekler'!B26)</f>
        <v/>
      </c>
      <c r="C224" s="2" t="str">
        <f>IF('Sağ Bekler'!C26="","",'Sağ Bekler'!C26)</f>
        <v/>
      </c>
      <c r="D224" t="str">
        <f ca="1">IF('Sağ Bekler'!D26="","",'Sağ Bekler'!D26)</f>
        <v/>
      </c>
      <c r="E224" t="str">
        <f>IF('Sağ Bekler'!E26="","",'Sağ Bekler'!E26)</f>
        <v>Sağ Bek</v>
      </c>
      <c r="F224" t="str">
        <f>IF('Sağ Bekler'!G26="","",'Sağ Bekler'!G26)</f>
        <v/>
      </c>
      <c r="G224" s="2" t="str">
        <f>IF('Sağ Bekler'!H26="","",'Sağ Bekler'!H26)</f>
        <v/>
      </c>
      <c r="H224" t="str">
        <f>IF('Sağ Bekler'!I26="","",'Sağ Bekler'!I26)</f>
        <v/>
      </c>
      <c r="I224" t="str">
        <f>IF('Sağ Bekler'!A26="","",'Sağ Bekler'!J26)</f>
        <v/>
      </c>
      <c r="J224" t="str">
        <f>IF('Sağ Bekler'!A26="","",'Sağ Bekler'!K26)</f>
        <v/>
      </c>
      <c r="K224" t="str">
        <f>IF('Sağ Bekler'!L26="","",'Sağ Bekler'!L26)</f>
        <v/>
      </c>
      <c r="L224" t="str">
        <f>IF('Sağ Bekler'!M26="","",'Sağ Bekler'!M26)</f>
        <v/>
      </c>
      <c r="M224" t="str">
        <f>IF('Sağ Bekler'!N26="","",'Sağ Bekler'!N26)</f>
        <v/>
      </c>
      <c r="N224" t="str">
        <f>IF('Sağ Bekler'!O26="","",'Sağ Bekler'!O26)</f>
        <v/>
      </c>
      <c r="O224" t="str">
        <f>IF('Sağ Bekler'!P26="","",'Sağ Bekler'!P26)</f>
        <v/>
      </c>
      <c r="P224" t="str">
        <f>IF('Sağ Bekler'!Q26="","",'Sağ Bekler'!Q26)</f>
        <v/>
      </c>
      <c r="Q224" t="str">
        <f>IF('Sağ Bekler'!R26="","",'Sağ Bekler'!R26)</f>
        <v/>
      </c>
      <c r="R224" t="str">
        <f>IF('Sağ Bekler'!S26="","",'Sağ Bekler'!S26)</f>
        <v/>
      </c>
      <c r="S224" t="str">
        <f>IF('Sağ Bekler'!T26="","",'Sağ Bekler'!T26)</f>
        <v/>
      </c>
      <c r="T224" s="2" t="str">
        <f>IF('Sağ Bekler'!U26="","",'Sağ Bekler'!U26)</f>
        <v/>
      </c>
      <c r="U224" t="s">
        <v>928</v>
      </c>
      <c r="V224">
        <v>26</v>
      </c>
      <c r="W224" t="str">
        <f ca="1">IF(AND($A224&lt;&gt;"",ISNUMBER($G224),$G224&gt;=TODAY(),$G224&lt;=EDATE(TODAY(),12)),COUNTIFS($G$2:$G$1001,"&gt;="&amp;TODAY(),$G$2:$G$1001,"&lt;"&amp;$G224,$A$2:$A$1001,"&lt;&gt;")+COUNTIFS($G$2:$G224,$G224,$A$2:$A224,"&lt;&gt;"),"")</f>
        <v/>
      </c>
      <c r="X224" t="str">
        <f>IF(AND($A224&lt;&gt;"",ISNUMBER($C224),$C224&gt;=DATE(2003,1,1)),COUNTIFS($C$2:$C224,"&gt;="&amp;DATE(2003,1,1),$A$2:$A224,"&lt;&gt;"),"")</f>
        <v/>
      </c>
    </row>
    <row r="225" spans="1:24">
      <c r="A225" t="str">
        <f>IF('Sağ Bekler'!A27="","",'Sağ Bekler'!A27)</f>
        <v/>
      </c>
      <c r="B225" t="str">
        <f>IF('Sağ Bekler'!B27="","",'Sağ Bekler'!B27)</f>
        <v/>
      </c>
      <c r="C225" s="2" t="str">
        <f>IF('Sağ Bekler'!C27="","",'Sağ Bekler'!C27)</f>
        <v/>
      </c>
      <c r="D225" t="str">
        <f ca="1">IF('Sağ Bekler'!D27="","",'Sağ Bekler'!D27)</f>
        <v/>
      </c>
      <c r="E225" t="str">
        <f>IF('Sağ Bekler'!E27="","",'Sağ Bekler'!E27)</f>
        <v>Sağ Bek</v>
      </c>
      <c r="F225" t="str">
        <f>IF('Sağ Bekler'!G27="","",'Sağ Bekler'!G27)</f>
        <v/>
      </c>
      <c r="G225" s="2" t="str">
        <f>IF('Sağ Bekler'!H27="","",'Sağ Bekler'!H27)</f>
        <v/>
      </c>
      <c r="H225" t="str">
        <f>IF('Sağ Bekler'!I27="","",'Sağ Bekler'!I27)</f>
        <v/>
      </c>
      <c r="I225" t="str">
        <f>IF('Sağ Bekler'!A27="","",'Sağ Bekler'!J27)</f>
        <v/>
      </c>
      <c r="J225" t="str">
        <f>IF('Sağ Bekler'!A27="","",'Sağ Bekler'!K27)</f>
        <v/>
      </c>
      <c r="K225" t="str">
        <f>IF('Sağ Bekler'!L27="","",'Sağ Bekler'!L27)</f>
        <v/>
      </c>
      <c r="L225" t="str">
        <f>IF('Sağ Bekler'!M27="","",'Sağ Bekler'!M27)</f>
        <v/>
      </c>
      <c r="M225" t="str">
        <f>IF('Sağ Bekler'!N27="","",'Sağ Bekler'!N27)</f>
        <v/>
      </c>
      <c r="N225" t="str">
        <f>IF('Sağ Bekler'!O27="","",'Sağ Bekler'!O27)</f>
        <v/>
      </c>
      <c r="O225" t="str">
        <f>IF('Sağ Bekler'!P27="","",'Sağ Bekler'!P27)</f>
        <v/>
      </c>
      <c r="P225" t="str">
        <f>IF('Sağ Bekler'!Q27="","",'Sağ Bekler'!Q27)</f>
        <v/>
      </c>
      <c r="Q225" t="str">
        <f>IF('Sağ Bekler'!R27="","",'Sağ Bekler'!R27)</f>
        <v/>
      </c>
      <c r="R225" t="str">
        <f>IF('Sağ Bekler'!S27="","",'Sağ Bekler'!S27)</f>
        <v/>
      </c>
      <c r="S225" t="str">
        <f>IF('Sağ Bekler'!T27="","",'Sağ Bekler'!T27)</f>
        <v/>
      </c>
      <c r="T225" s="2" t="str">
        <f>IF('Sağ Bekler'!U27="","",'Sağ Bekler'!U27)</f>
        <v/>
      </c>
      <c r="U225" t="s">
        <v>928</v>
      </c>
      <c r="V225">
        <v>27</v>
      </c>
      <c r="W225" t="str">
        <f ca="1">IF(AND($A225&lt;&gt;"",ISNUMBER($G225),$G225&gt;=TODAY(),$G225&lt;=EDATE(TODAY(),12)),COUNTIFS($G$2:$G$1001,"&gt;="&amp;TODAY(),$G$2:$G$1001,"&lt;"&amp;$G225,$A$2:$A$1001,"&lt;&gt;")+COUNTIFS($G$2:$G225,$G225,$A$2:$A225,"&lt;&gt;"),"")</f>
        <v/>
      </c>
      <c r="X225" t="str">
        <f>IF(AND($A225&lt;&gt;"",ISNUMBER($C225),$C225&gt;=DATE(2003,1,1)),COUNTIFS($C$2:$C225,"&gt;="&amp;DATE(2003,1,1),$A$2:$A225,"&lt;&gt;"),"")</f>
        <v/>
      </c>
    </row>
    <row r="226" spans="1:24">
      <c r="A226" t="str">
        <f>IF('Sağ Bekler'!A28="","",'Sağ Bekler'!A28)</f>
        <v/>
      </c>
      <c r="B226" t="str">
        <f>IF('Sağ Bekler'!B28="","",'Sağ Bekler'!B28)</f>
        <v/>
      </c>
      <c r="C226" s="2" t="str">
        <f>IF('Sağ Bekler'!C28="","",'Sağ Bekler'!C28)</f>
        <v/>
      </c>
      <c r="D226" t="str">
        <f ca="1">IF('Sağ Bekler'!D28="","",'Sağ Bekler'!D28)</f>
        <v/>
      </c>
      <c r="E226" t="str">
        <f>IF('Sağ Bekler'!E28="","",'Sağ Bekler'!E28)</f>
        <v>Sağ Bek</v>
      </c>
      <c r="F226" t="str">
        <f>IF('Sağ Bekler'!G28="","",'Sağ Bekler'!G28)</f>
        <v/>
      </c>
      <c r="G226" s="2" t="str">
        <f>IF('Sağ Bekler'!H28="","",'Sağ Bekler'!H28)</f>
        <v/>
      </c>
      <c r="H226" t="str">
        <f>IF('Sağ Bekler'!I28="","",'Sağ Bekler'!I28)</f>
        <v/>
      </c>
      <c r="I226" t="str">
        <f>IF('Sağ Bekler'!A28="","",'Sağ Bekler'!J28)</f>
        <v/>
      </c>
      <c r="J226" t="str">
        <f>IF('Sağ Bekler'!A28="","",'Sağ Bekler'!K28)</f>
        <v/>
      </c>
      <c r="K226" t="str">
        <f>IF('Sağ Bekler'!L28="","",'Sağ Bekler'!L28)</f>
        <v/>
      </c>
      <c r="L226" t="str">
        <f>IF('Sağ Bekler'!M28="","",'Sağ Bekler'!M28)</f>
        <v/>
      </c>
      <c r="M226" t="str">
        <f>IF('Sağ Bekler'!N28="","",'Sağ Bekler'!N28)</f>
        <v/>
      </c>
      <c r="N226" t="str">
        <f>IF('Sağ Bekler'!O28="","",'Sağ Bekler'!O28)</f>
        <v/>
      </c>
      <c r="O226" t="str">
        <f>IF('Sağ Bekler'!P28="","",'Sağ Bekler'!P28)</f>
        <v/>
      </c>
      <c r="P226" t="str">
        <f>IF('Sağ Bekler'!Q28="","",'Sağ Bekler'!Q28)</f>
        <v/>
      </c>
      <c r="Q226" t="str">
        <f>IF('Sağ Bekler'!R28="","",'Sağ Bekler'!R28)</f>
        <v/>
      </c>
      <c r="R226" t="str">
        <f>IF('Sağ Bekler'!S28="","",'Sağ Bekler'!S28)</f>
        <v/>
      </c>
      <c r="S226" t="str">
        <f>IF('Sağ Bekler'!T28="","",'Sağ Bekler'!T28)</f>
        <v/>
      </c>
      <c r="T226" s="2" t="str">
        <f>IF('Sağ Bekler'!U28="","",'Sağ Bekler'!U28)</f>
        <v/>
      </c>
      <c r="U226" t="s">
        <v>928</v>
      </c>
      <c r="V226">
        <v>28</v>
      </c>
      <c r="W226" t="str">
        <f ca="1">IF(AND($A226&lt;&gt;"",ISNUMBER($G226),$G226&gt;=TODAY(),$G226&lt;=EDATE(TODAY(),12)),COUNTIFS($G$2:$G$1001,"&gt;="&amp;TODAY(),$G$2:$G$1001,"&lt;"&amp;$G226,$A$2:$A$1001,"&lt;&gt;")+COUNTIFS($G$2:$G226,$G226,$A$2:$A226,"&lt;&gt;"),"")</f>
        <v/>
      </c>
      <c r="X226" t="str">
        <f>IF(AND($A226&lt;&gt;"",ISNUMBER($C226),$C226&gt;=DATE(2003,1,1)),COUNTIFS($C$2:$C226,"&gt;="&amp;DATE(2003,1,1),$A$2:$A226,"&lt;&gt;"),"")</f>
        <v/>
      </c>
    </row>
    <row r="227" spans="1:24">
      <c r="A227" t="str">
        <f>IF('Sağ Bekler'!A29="","",'Sağ Bekler'!A29)</f>
        <v/>
      </c>
      <c r="B227" t="str">
        <f>IF('Sağ Bekler'!B29="","",'Sağ Bekler'!B29)</f>
        <v/>
      </c>
      <c r="C227" s="2" t="str">
        <f>IF('Sağ Bekler'!C29="","",'Sağ Bekler'!C29)</f>
        <v/>
      </c>
      <c r="D227" t="str">
        <f ca="1">IF('Sağ Bekler'!D29="","",'Sağ Bekler'!D29)</f>
        <v/>
      </c>
      <c r="E227" t="str">
        <f>IF('Sağ Bekler'!E29="","",'Sağ Bekler'!E29)</f>
        <v>Sağ Bek</v>
      </c>
      <c r="F227" t="str">
        <f>IF('Sağ Bekler'!G29="","",'Sağ Bekler'!G29)</f>
        <v/>
      </c>
      <c r="G227" s="2" t="str">
        <f>IF('Sağ Bekler'!H29="","",'Sağ Bekler'!H29)</f>
        <v/>
      </c>
      <c r="H227" t="str">
        <f>IF('Sağ Bekler'!I29="","",'Sağ Bekler'!I29)</f>
        <v/>
      </c>
      <c r="I227" t="str">
        <f>IF('Sağ Bekler'!A29="","",'Sağ Bekler'!J29)</f>
        <v/>
      </c>
      <c r="J227" t="str">
        <f>IF('Sağ Bekler'!A29="","",'Sağ Bekler'!K29)</f>
        <v/>
      </c>
      <c r="K227" t="str">
        <f>IF('Sağ Bekler'!L29="","",'Sağ Bekler'!L29)</f>
        <v/>
      </c>
      <c r="L227" t="str">
        <f>IF('Sağ Bekler'!M29="","",'Sağ Bekler'!M29)</f>
        <v/>
      </c>
      <c r="M227" t="str">
        <f>IF('Sağ Bekler'!N29="","",'Sağ Bekler'!N29)</f>
        <v/>
      </c>
      <c r="N227" t="str">
        <f>IF('Sağ Bekler'!O29="","",'Sağ Bekler'!O29)</f>
        <v/>
      </c>
      <c r="O227" t="str">
        <f>IF('Sağ Bekler'!P29="","",'Sağ Bekler'!P29)</f>
        <v/>
      </c>
      <c r="P227" t="str">
        <f>IF('Sağ Bekler'!Q29="","",'Sağ Bekler'!Q29)</f>
        <v/>
      </c>
      <c r="Q227" t="str">
        <f>IF('Sağ Bekler'!R29="","",'Sağ Bekler'!R29)</f>
        <v/>
      </c>
      <c r="R227" t="str">
        <f>IF('Sağ Bekler'!S29="","",'Sağ Bekler'!S29)</f>
        <v/>
      </c>
      <c r="S227" t="str">
        <f>IF('Sağ Bekler'!T29="","",'Sağ Bekler'!T29)</f>
        <v/>
      </c>
      <c r="T227" s="2" t="str">
        <f>IF('Sağ Bekler'!U29="","",'Sağ Bekler'!U29)</f>
        <v/>
      </c>
      <c r="U227" t="s">
        <v>928</v>
      </c>
      <c r="V227">
        <v>29</v>
      </c>
      <c r="W227" t="str">
        <f ca="1">IF(AND($A227&lt;&gt;"",ISNUMBER($G227),$G227&gt;=TODAY(),$G227&lt;=EDATE(TODAY(),12)),COUNTIFS($G$2:$G$1001,"&gt;="&amp;TODAY(),$G$2:$G$1001,"&lt;"&amp;$G227,$A$2:$A$1001,"&lt;&gt;")+COUNTIFS($G$2:$G227,$G227,$A$2:$A227,"&lt;&gt;"),"")</f>
        <v/>
      </c>
      <c r="X227" t="str">
        <f>IF(AND($A227&lt;&gt;"",ISNUMBER($C227),$C227&gt;=DATE(2003,1,1)),COUNTIFS($C$2:$C227,"&gt;="&amp;DATE(2003,1,1),$A$2:$A227,"&lt;&gt;"),"")</f>
        <v/>
      </c>
    </row>
    <row r="228" spans="1:24">
      <c r="A228" t="str">
        <f>IF('Sağ Bekler'!A30="","",'Sağ Bekler'!A30)</f>
        <v/>
      </c>
      <c r="B228" t="str">
        <f>IF('Sağ Bekler'!B30="","",'Sağ Bekler'!B30)</f>
        <v/>
      </c>
      <c r="C228" s="2" t="str">
        <f>IF('Sağ Bekler'!C30="","",'Sağ Bekler'!C30)</f>
        <v/>
      </c>
      <c r="D228" t="str">
        <f ca="1">IF('Sağ Bekler'!D30="","",'Sağ Bekler'!D30)</f>
        <v/>
      </c>
      <c r="E228" t="str">
        <f>IF('Sağ Bekler'!E30="","",'Sağ Bekler'!E30)</f>
        <v>Sağ Bek</v>
      </c>
      <c r="F228" t="str">
        <f>IF('Sağ Bekler'!G30="","",'Sağ Bekler'!G30)</f>
        <v/>
      </c>
      <c r="G228" s="2" t="str">
        <f>IF('Sağ Bekler'!H30="","",'Sağ Bekler'!H30)</f>
        <v/>
      </c>
      <c r="H228" t="str">
        <f>IF('Sağ Bekler'!I30="","",'Sağ Bekler'!I30)</f>
        <v/>
      </c>
      <c r="I228" t="str">
        <f>IF('Sağ Bekler'!A30="","",'Sağ Bekler'!J30)</f>
        <v/>
      </c>
      <c r="J228" t="str">
        <f>IF('Sağ Bekler'!A30="","",'Sağ Bekler'!K30)</f>
        <v/>
      </c>
      <c r="K228" t="str">
        <f>IF('Sağ Bekler'!L30="","",'Sağ Bekler'!L30)</f>
        <v/>
      </c>
      <c r="L228" t="str">
        <f>IF('Sağ Bekler'!M30="","",'Sağ Bekler'!M30)</f>
        <v/>
      </c>
      <c r="M228" t="str">
        <f>IF('Sağ Bekler'!N30="","",'Sağ Bekler'!N30)</f>
        <v/>
      </c>
      <c r="N228" t="str">
        <f>IF('Sağ Bekler'!O30="","",'Sağ Bekler'!O30)</f>
        <v/>
      </c>
      <c r="O228" t="str">
        <f>IF('Sağ Bekler'!P30="","",'Sağ Bekler'!P30)</f>
        <v/>
      </c>
      <c r="P228" t="str">
        <f>IF('Sağ Bekler'!Q30="","",'Sağ Bekler'!Q30)</f>
        <v/>
      </c>
      <c r="Q228" t="str">
        <f>IF('Sağ Bekler'!R30="","",'Sağ Bekler'!R30)</f>
        <v/>
      </c>
      <c r="R228" t="str">
        <f>IF('Sağ Bekler'!S30="","",'Sağ Bekler'!S30)</f>
        <v/>
      </c>
      <c r="S228" t="str">
        <f>IF('Sağ Bekler'!T30="","",'Sağ Bekler'!T30)</f>
        <v/>
      </c>
      <c r="T228" s="2" t="str">
        <f>IF('Sağ Bekler'!U30="","",'Sağ Bekler'!U30)</f>
        <v/>
      </c>
      <c r="U228" t="s">
        <v>928</v>
      </c>
      <c r="V228">
        <v>30</v>
      </c>
      <c r="W228" t="str">
        <f ca="1">IF(AND($A228&lt;&gt;"",ISNUMBER($G228),$G228&gt;=TODAY(),$G228&lt;=EDATE(TODAY(),12)),COUNTIFS($G$2:$G$1001,"&gt;="&amp;TODAY(),$G$2:$G$1001,"&lt;"&amp;$G228,$A$2:$A$1001,"&lt;&gt;")+COUNTIFS($G$2:$G228,$G228,$A$2:$A228,"&lt;&gt;"),"")</f>
        <v/>
      </c>
      <c r="X228" t="str">
        <f>IF(AND($A228&lt;&gt;"",ISNUMBER($C228),$C228&gt;=DATE(2003,1,1)),COUNTIFS($C$2:$C228,"&gt;="&amp;DATE(2003,1,1),$A$2:$A228,"&lt;&gt;"),"")</f>
        <v/>
      </c>
    </row>
    <row r="229" spans="1:24">
      <c r="A229" t="str">
        <f>IF('Sağ Bekler'!A31="","",'Sağ Bekler'!A31)</f>
        <v/>
      </c>
      <c r="B229" t="str">
        <f>IF('Sağ Bekler'!B31="","",'Sağ Bekler'!B31)</f>
        <v/>
      </c>
      <c r="C229" s="2" t="str">
        <f>IF('Sağ Bekler'!C31="","",'Sağ Bekler'!C31)</f>
        <v/>
      </c>
      <c r="D229" t="str">
        <f ca="1">IF('Sağ Bekler'!D31="","",'Sağ Bekler'!D31)</f>
        <v/>
      </c>
      <c r="E229" t="str">
        <f>IF('Sağ Bekler'!E31="","",'Sağ Bekler'!E31)</f>
        <v>Sağ Bek</v>
      </c>
      <c r="F229" t="str">
        <f>IF('Sağ Bekler'!G31="","",'Sağ Bekler'!G31)</f>
        <v/>
      </c>
      <c r="G229" s="2" t="str">
        <f>IF('Sağ Bekler'!H31="","",'Sağ Bekler'!H31)</f>
        <v/>
      </c>
      <c r="H229" t="str">
        <f>IF('Sağ Bekler'!I31="","",'Sağ Bekler'!I31)</f>
        <v/>
      </c>
      <c r="I229" t="str">
        <f>IF('Sağ Bekler'!A31="","",'Sağ Bekler'!J31)</f>
        <v/>
      </c>
      <c r="J229" t="str">
        <f>IF('Sağ Bekler'!A31="","",'Sağ Bekler'!K31)</f>
        <v/>
      </c>
      <c r="K229" t="str">
        <f>IF('Sağ Bekler'!L31="","",'Sağ Bekler'!L31)</f>
        <v/>
      </c>
      <c r="L229" t="str">
        <f>IF('Sağ Bekler'!M31="","",'Sağ Bekler'!M31)</f>
        <v/>
      </c>
      <c r="M229" t="str">
        <f>IF('Sağ Bekler'!N31="","",'Sağ Bekler'!N31)</f>
        <v/>
      </c>
      <c r="N229" t="str">
        <f>IF('Sağ Bekler'!O31="","",'Sağ Bekler'!O31)</f>
        <v/>
      </c>
      <c r="O229" t="str">
        <f>IF('Sağ Bekler'!P31="","",'Sağ Bekler'!P31)</f>
        <v/>
      </c>
      <c r="P229" t="str">
        <f>IF('Sağ Bekler'!Q31="","",'Sağ Bekler'!Q31)</f>
        <v/>
      </c>
      <c r="Q229" t="str">
        <f>IF('Sağ Bekler'!R31="","",'Sağ Bekler'!R31)</f>
        <v/>
      </c>
      <c r="R229" t="str">
        <f>IF('Sağ Bekler'!S31="","",'Sağ Bekler'!S31)</f>
        <v/>
      </c>
      <c r="S229" t="str">
        <f>IF('Sağ Bekler'!T31="","",'Sağ Bekler'!T31)</f>
        <v/>
      </c>
      <c r="T229" s="2" t="str">
        <f>IF('Sağ Bekler'!U31="","",'Sağ Bekler'!U31)</f>
        <v/>
      </c>
      <c r="U229" t="s">
        <v>928</v>
      </c>
      <c r="V229">
        <v>31</v>
      </c>
      <c r="W229" t="str">
        <f ca="1">IF(AND($A229&lt;&gt;"",ISNUMBER($G229),$G229&gt;=TODAY(),$G229&lt;=EDATE(TODAY(),12)),COUNTIFS($G$2:$G$1001,"&gt;="&amp;TODAY(),$G$2:$G$1001,"&lt;"&amp;$G229,$A$2:$A$1001,"&lt;&gt;")+COUNTIFS($G$2:$G229,$G229,$A$2:$A229,"&lt;&gt;"),"")</f>
        <v/>
      </c>
      <c r="X229" t="str">
        <f>IF(AND($A229&lt;&gt;"",ISNUMBER($C229),$C229&gt;=DATE(2003,1,1)),COUNTIFS($C$2:$C229,"&gt;="&amp;DATE(2003,1,1),$A$2:$A229,"&lt;&gt;"),"")</f>
        <v/>
      </c>
    </row>
    <row r="230" spans="1:24">
      <c r="A230" t="str">
        <f>IF('Sağ Bekler'!A32="","",'Sağ Bekler'!A32)</f>
        <v/>
      </c>
      <c r="B230" t="str">
        <f>IF('Sağ Bekler'!B32="","",'Sağ Bekler'!B32)</f>
        <v/>
      </c>
      <c r="C230" s="2" t="str">
        <f>IF('Sağ Bekler'!C32="","",'Sağ Bekler'!C32)</f>
        <v/>
      </c>
      <c r="D230" t="str">
        <f ca="1">IF('Sağ Bekler'!D32="","",'Sağ Bekler'!D32)</f>
        <v/>
      </c>
      <c r="E230" t="str">
        <f>IF('Sağ Bekler'!E32="","",'Sağ Bekler'!E32)</f>
        <v>Sağ Bek</v>
      </c>
      <c r="F230" t="str">
        <f>IF('Sağ Bekler'!G32="","",'Sağ Bekler'!G32)</f>
        <v/>
      </c>
      <c r="G230" s="2" t="str">
        <f>IF('Sağ Bekler'!H32="","",'Sağ Bekler'!H32)</f>
        <v/>
      </c>
      <c r="H230" t="str">
        <f>IF('Sağ Bekler'!I32="","",'Sağ Bekler'!I32)</f>
        <v/>
      </c>
      <c r="I230" t="str">
        <f>IF('Sağ Bekler'!A32="","",'Sağ Bekler'!J32)</f>
        <v/>
      </c>
      <c r="J230" t="str">
        <f>IF('Sağ Bekler'!A32="","",'Sağ Bekler'!K32)</f>
        <v/>
      </c>
      <c r="K230" t="str">
        <f>IF('Sağ Bekler'!L32="","",'Sağ Bekler'!L32)</f>
        <v/>
      </c>
      <c r="L230" t="str">
        <f>IF('Sağ Bekler'!M32="","",'Sağ Bekler'!M32)</f>
        <v/>
      </c>
      <c r="M230" t="str">
        <f>IF('Sağ Bekler'!N32="","",'Sağ Bekler'!N32)</f>
        <v/>
      </c>
      <c r="N230" t="str">
        <f>IF('Sağ Bekler'!O32="","",'Sağ Bekler'!O32)</f>
        <v/>
      </c>
      <c r="O230" t="str">
        <f>IF('Sağ Bekler'!P32="","",'Sağ Bekler'!P32)</f>
        <v/>
      </c>
      <c r="P230" t="str">
        <f>IF('Sağ Bekler'!Q32="","",'Sağ Bekler'!Q32)</f>
        <v/>
      </c>
      <c r="Q230" t="str">
        <f>IF('Sağ Bekler'!R32="","",'Sağ Bekler'!R32)</f>
        <v/>
      </c>
      <c r="R230" t="str">
        <f>IF('Sağ Bekler'!S32="","",'Sağ Bekler'!S32)</f>
        <v/>
      </c>
      <c r="S230" t="str">
        <f>IF('Sağ Bekler'!T32="","",'Sağ Bekler'!T32)</f>
        <v/>
      </c>
      <c r="T230" s="2" t="str">
        <f>IF('Sağ Bekler'!U32="","",'Sağ Bekler'!U32)</f>
        <v/>
      </c>
      <c r="U230" t="s">
        <v>928</v>
      </c>
      <c r="V230">
        <v>32</v>
      </c>
      <c r="W230" t="str">
        <f ca="1">IF(AND($A230&lt;&gt;"",ISNUMBER($G230),$G230&gt;=TODAY(),$G230&lt;=EDATE(TODAY(),12)),COUNTIFS($G$2:$G$1001,"&gt;="&amp;TODAY(),$G$2:$G$1001,"&lt;"&amp;$G230,$A$2:$A$1001,"&lt;&gt;")+COUNTIFS($G$2:$G230,$G230,$A$2:$A230,"&lt;&gt;"),"")</f>
        <v/>
      </c>
      <c r="X230" t="str">
        <f>IF(AND($A230&lt;&gt;"",ISNUMBER($C230),$C230&gt;=DATE(2003,1,1)),COUNTIFS($C$2:$C230,"&gt;="&amp;DATE(2003,1,1),$A$2:$A230,"&lt;&gt;"),"")</f>
        <v/>
      </c>
    </row>
    <row r="231" spans="1:24">
      <c r="A231" t="str">
        <f>IF('Sağ Bekler'!A33="","",'Sağ Bekler'!A33)</f>
        <v/>
      </c>
      <c r="B231" t="str">
        <f>IF('Sağ Bekler'!B33="","",'Sağ Bekler'!B33)</f>
        <v/>
      </c>
      <c r="C231" s="2" t="str">
        <f>IF('Sağ Bekler'!C33="","",'Sağ Bekler'!C33)</f>
        <v/>
      </c>
      <c r="D231" t="str">
        <f ca="1">IF('Sağ Bekler'!D33="","",'Sağ Bekler'!D33)</f>
        <v/>
      </c>
      <c r="E231" t="str">
        <f>IF('Sağ Bekler'!E33="","",'Sağ Bekler'!E33)</f>
        <v>Sağ Bek</v>
      </c>
      <c r="F231" t="str">
        <f>IF('Sağ Bekler'!G33="","",'Sağ Bekler'!G33)</f>
        <v/>
      </c>
      <c r="G231" s="2" t="str">
        <f>IF('Sağ Bekler'!H33="","",'Sağ Bekler'!H33)</f>
        <v/>
      </c>
      <c r="H231" t="str">
        <f>IF('Sağ Bekler'!I33="","",'Sağ Bekler'!I33)</f>
        <v/>
      </c>
      <c r="I231" t="str">
        <f>IF('Sağ Bekler'!A33="","",'Sağ Bekler'!J33)</f>
        <v/>
      </c>
      <c r="J231" t="str">
        <f>IF('Sağ Bekler'!A33="","",'Sağ Bekler'!K33)</f>
        <v/>
      </c>
      <c r="K231" t="str">
        <f>IF('Sağ Bekler'!L33="","",'Sağ Bekler'!L33)</f>
        <v/>
      </c>
      <c r="L231" t="str">
        <f>IF('Sağ Bekler'!M33="","",'Sağ Bekler'!M33)</f>
        <v/>
      </c>
      <c r="M231" t="str">
        <f>IF('Sağ Bekler'!N33="","",'Sağ Bekler'!N33)</f>
        <v/>
      </c>
      <c r="N231" t="str">
        <f>IF('Sağ Bekler'!O33="","",'Sağ Bekler'!O33)</f>
        <v/>
      </c>
      <c r="O231" t="str">
        <f>IF('Sağ Bekler'!P33="","",'Sağ Bekler'!P33)</f>
        <v/>
      </c>
      <c r="P231" t="str">
        <f>IF('Sağ Bekler'!Q33="","",'Sağ Bekler'!Q33)</f>
        <v/>
      </c>
      <c r="Q231" t="str">
        <f>IF('Sağ Bekler'!R33="","",'Sağ Bekler'!R33)</f>
        <v/>
      </c>
      <c r="R231" t="str">
        <f>IF('Sağ Bekler'!S33="","",'Sağ Bekler'!S33)</f>
        <v/>
      </c>
      <c r="S231" t="str">
        <f>IF('Sağ Bekler'!T33="","",'Sağ Bekler'!T33)</f>
        <v/>
      </c>
      <c r="T231" s="2" t="str">
        <f>IF('Sağ Bekler'!U33="","",'Sağ Bekler'!U33)</f>
        <v/>
      </c>
      <c r="U231" t="s">
        <v>928</v>
      </c>
      <c r="V231">
        <v>33</v>
      </c>
      <c r="W231" t="str">
        <f ca="1">IF(AND($A231&lt;&gt;"",ISNUMBER($G231),$G231&gt;=TODAY(),$G231&lt;=EDATE(TODAY(),12)),COUNTIFS($G$2:$G$1001,"&gt;="&amp;TODAY(),$G$2:$G$1001,"&lt;"&amp;$G231,$A$2:$A$1001,"&lt;&gt;")+COUNTIFS($G$2:$G231,$G231,$A$2:$A231,"&lt;&gt;"),"")</f>
        <v/>
      </c>
      <c r="X231" t="str">
        <f>IF(AND($A231&lt;&gt;"",ISNUMBER($C231),$C231&gt;=DATE(2003,1,1)),COUNTIFS($C$2:$C231,"&gt;="&amp;DATE(2003,1,1),$A$2:$A231,"&lt;&gt;"),"")</f>
        <v/>
      </c>
    </row>
    <row r="232" spans="1:24">
      <c r="A232" t="str">
        <f>IF('Sağ Bekler'!A34="","",'Sağ Bekler'!A34)</f>
        <v/>
      </c>
      <c r="B232" t="str">
        <f>IF('Sağ Bekler'!B34="","",'Sağ Bekler'!B34)</f>
        <v/>
      </c>
      <c r="C232" s="2" t="str">
        <f>IF('Sağ Bekler'!C34="","",'Sağ Bekler'!C34)</f>
        <v/>
      </c>
      <c r="D232" t="str">
        <f ca="1">IF('Sağ Bekler'!D34="","",'Sağ Bekler'!D34)</f>
        <v/>
      </c>
      <c r="E232" t="str">
        <f>IF('Sağ Bekler'!E34="","",'Sağ Bekler'!E34)</f>
        <v>Sağ Bek</v>
      </c>
      <c r="F232" t="str">
        <f>IF('Sağ Bekler'!G34="","",'Sağ Bekler'!G34)</f>
        <v/>
      </c>
      <c r="G232" s="2" t="str">
        <f>IF('Sağ Bekler'!H34="","",'Sağ Bekler'!H34)</f>
        <v/>
      </c>
      <c r="H232" t="str">
        <f>IF('Sağ Bekler'!I34="","",'Sağ Bekler'!I34)</f>
        <v/>
      </c>
      <c r="I232" t="str">
        <f>IF('Sağ Bekler'!A34="","",'Sağ Bekler'!J34)</f>
        <v/>
      </c>
      <c r="J232" t="str">
        <f>IF('Sağ Bekler'!A34="","",'Sağ Bekler'!K34)</f>
        <v/>
      </c>
      <c r="K232" t="str">
        <f>IF('Sağ Bekler'!L34="","",'Sağ Bekler'!L34)</f>
        <v/>
      </c>
      <c r="L232" t="str">
        <f>IF('Sağ Bekler'!M34="","",'Sağ Bekler'!M34)</f>
        <v/>
      </c>
      <c r="M232" t="str">
        <f>IF('Sağ Bekler'!N34="","",'Sağ Bekler'!N34)</f>
        <v/>
      </c>
      <c r="N232" t="str">
        <f>IF('Sağ Bekler'!O34="","",'Sağ Bekler'!O34)</f>
        <v/>
      </c>
      <c r="O232" t="str">
        <f>IF('Sağ Bekler'!P34="","",'Sağ Bekler'!P34)</f>
        <v/>
      </c>
      <c r="P232" t="str">
        <f>IF('Sağ Bekler'!Q34="","",'Sağ Bekler'!Q34)</f>
        <v/>
      </c>
      <c r="Q232" t="str">
        <f>IF('Sağ Bekler'!R34="","",'Sağ Bekler'!R34)</f>
        <v/>
      </c>
      <c r="R232" t="str">
        <f>IF('Sağ Bekler'!S34="","",'Sağ Bekler'!S34)</f>
        <v/>
      </c>
      <c r="S232" t="str">
        <f>IF('Sağ Bekler'!T34="","",'Sağ Bekler'!T34)</f>
        <v/>
      </c>
      <c r="T232" s="2" t="str">
        <f>IF('Sağ Bekler'!U34="","",'Sağ Bekler'!U34)</f>
        <v/>
      </c>
      <c r="U232" t="s">
        <v>928</v>
      </c>
      <c r="V232">
        <v>34</v>
      </c>
      <c r="W232" t="str">
        <f ca="1">IF(AND($A232&lt;&gt;"",ISNUMBER($G232),$G232&gt;=TODAY(),$G232&lt;=EDATE(TODAY(),12)),COUNTIFS($G$2:$G$1001,"&gt;="&amp;TODAY(),$G$2:$G$1001,"&lt;"&amp;$G232,$A$2:$A$1001,"&lt;&gt;")+COUNTIFS($G$2:$G232,$G232,$A$2:$A232,"&lt;&gt;"),"")</f>
        <v/>
      </c>
      <c r="X232" t="str">
        <f>IF(AND($A232&lt;&gt;"",ISNUMBER($C232),$C232&gt;=DATE(2003,1,1)),COUNTIFS($C$2:$C232,"&gt;="&amp;DATE(2003,1,1),$A$2:$A232,"&lt;&gt;"),"")</f>
        <v/>
      </c>
    </row>
    <row r="233" spans="1:24">
      <c r="A233" t="str">
        <f>IF('Sağ Bekler'!A35="","",'Sağ Bekler'!A35)</f>
        <v/>
      </c>
      <c r="B233" t="str">
        <f>IF('Sağ Bekler'!B35="","",'Sağ Bekler'!B35)</f>
        <v/>
      </c>
      <c r="C233" s="2" t="str">
        <f>IF('Sağ Bekler'!C35="","",'Sağ Bekler'!C35)</f>
        <v/>
      </c>
      <c r="D233" t="str">
        <f ca="1">IF('Sağ Bekler'!D35="","",'Sağ Bekler'!D35)</f>
        <v/>
      </c>
      <c r="E233" t="str">
        <f>IF('Sağ Bekler'!E35="","",'Sağ Bekler'!E35)</f>
        <v>Sağ Bek</v>
      </c>
      <c r="F233" t="str">
        <f>IF('Sağ Bekler'!G35="","",'Sağ Bekler'!G35)</f>
        <v/>
      </c>
      <c r="G233" s="2" t="str">
        <f>IF('Sağ Bekler'!H35="","",'Sağ Bekler'!H35)</f>
        <v/>
      </c>
      <c r="H233" t="str">
        <f>IF('Sağ Bekler'!I35="","",'Sağ Bekler'!I35)</f>
        <v/>
      </c>
      <c r="I233" t="str">
        <f>IF('Sağ Bekler'!A35="","",'Sağ Bekler'!J35)</f>
        <v/>
      </c>
      <c r="J233" t="str">
        <f>IF('Sağ Bekler'!A35="","",'Sağ Bekler'!K35)</f>
        <v/>
      </c>
      <c r="K233" t="str">
        <f>IF('Sağ Bekler'!L35="","",'Sağ Bekler'!L35)</f>
        <v/>
      </c>
      <c r="L233" t="str">
        <f>IF('Sağ Bekler'!M35="","",'Sağ Bekler'!M35)</f>
        <v/>
      </c>
      <c r="M233" t="str">
        <f>IF('Sağ Bekler'!N35="","",'Sağ Bekler'!N35)</f>
        <v/>
      </c>
      <c r="N233" t="str">
        <f>IF('Sağ Bekler'!O35="","",'Sağ Bekler'!O35)</f>
        <v/>
      </c>
      <c r="O233" t="str">
        <f>IF('Sağ Bekler'!P35="","",'Sağ Bekler'!P35)</f>
        <v/>
      </c>
      <c r="P233" t="str">
        <f>IF('Sağ Bekler'!Q35="","",'Sağ Bekler'!Q35)</f>
        <v/>
      </c>
      <c r="Q233" t="str">
        <f>IF('Sağ Bekler'!R35="","",'Sağ Bekler'!R35)</f>
        <v/>
      </c>
      <c r="R233" t="str">
        <f>IF('Sağ Bekler'!S35="","",'Sağ Bekler'!S35)</f>
        <v/>
      </c>
      <c r="S233" t="str">
        <f>IF('Sağ Bekler'!T35="","",'Sağ Bekler'!T35)</f>
        <v/>
      </c>
      <c r="T233" s="2" t="str">
        <f>IF('Sağ Bekler'!U35="","",'Sağ Bekler'!U35)</f>
        <v/>
      </c>
      <c r="U233" t="s">
        <v>928</v>
      </c>
      <c r="V233">
        <v>35</v>
      </c>
      <c r="W233" t="str">
        <f ca="1">IF(AND($A233&lt;&gt;"",ISNUMBER($G233),$G233&gt;=TODAY(),$G233&lt;=EDATE(TODAY(),12)),COUNTIFS($G$2:$G$1001,"&gt;="&amp;TODAY(),$G$2:$G$1001,"&lt;"&amp;$G233,$A$2:$A$1001,"&lt;&gt;")+COUNTIFS($G$2:$G233,$G233,$A$2:$A233,"&lt;&gt;"),"")</f>
        <v/>
      </c>
      <c r="X233" t="str">
        <f>IF(AND($A233&lt;&gt;"",ISNUMBER($C233),$C233&gt;=DATE(2003,1,1)),COUNTIFS($C$2:$C233,"&gt;="&amp;DATE(2003,1,1),$A$2:$A233,"&lt;&gt;"),"")</f>
        <v/>
      </c>
    </row>
    <row r="234" spans="1:24">
      <c r="A234" t="str">
        <f>IF('Sağ Bekler'!A36="","",'Sağ Bekler'!A36)</f>
        <v/>
      </c>
      <c r="B234" t="str">
        <f>IF('Sağ Bekler'!B36="","",'Sağ Bekler'!B36)</f>
        <v/>
      </c>
      <c r="C234" s="2" t="str">
        <f>IF('Sağ Bekler'!C36="","",'Sağ Bekler'!C36)</f>
        <v/>
      </c>
      <c r="D234" t="str">
        <f ca="1">IF('Sağ Bekler'!D36="","",'Sağ Bekler'!D36)</f>
        <v/>
      </c>
      <c r="E234" t="str">
        <f>IF('Sağ Bekler'!E36="","",'Sağ Bekler'!E36)</f>
        <v>Sağ Bek</v>
      </c>
      <c r="F234" t="str">
        <f>IF('Sağ Bekler'!G36="","",'Sağ Bekler'!G36)</f>
        <v/>
      </c>
      <c r="G234" s="2" t="str">
        <f>IF('Sağ Bekler'!H36="","",'Sağ Bekler'!H36)</f>
        <v/>
      </c>
      <c r="H234" t="str">
        <f>IF('Sağ Bekler'!I36="","",'Sağ Bekler'!I36)</f>
        <v/>
      </c>
      <c r="I234" t="str">
        <f>IF('Sağ Bekler'!A36="","",'Sağ Bekler'!J36)</f>
        <v/>
      </c>
      <c r="J234" t="str">
        <f>IF('Sağ Bekler'!A36="","",'Sağ Bekler'!K36)</f>
        <v/>
      </c>
      <c r="K234" t="str">
        <f>IF('Sağ Bekler'!L36="","",'Sağ Bekler'!L36)</f>
        <v/>
      </c>
      <c r="L234" t="str">
        <f>IF('Sağ Bekler'!M36="","",'Sağ Bekler'!M36)</f>
        <v/>
      </c>
      <c r="M234" t="str">
        <f>IF('Sağ Bekler'!N36="","",'Sağ Bekler'!N36)</f>
        <v/>
      </c>
      <c r="N234" t="str">
        <f>IF('Sağ Bekler'!O36="","",'Sağ Bekler'!O36)</f>
        <v/>
      </c>
      <c r="O234" t="str">
        <f>IF('Sağ Bekler'!P36="","",'Sağ Bekler'!P36)</f>
        <v/>
      </c>
      <c r="P234" t="str">
        <f>IF('Sağ Bekler'!Q36="","",'Sağ Bekler'!Q36)</f>
        <v/>
      </c>
      <c r="Q234" t="str">
        <f>IF('Sağ Bekler'!R36="","",'Sağ Bekler'!R36)</f>
        <v/>
      </c>
      <c r="R234" t="str">
        <f>IF('Sağ Bekler'!S36="","",'Sağ Bekler'!S36)</f>
        <v/>
      </c>
      <c r="S234" t="str">
        <f>IF('Sağ Bekler'!T36="","",'Sağ Bekler'!T36)</f>
        <v/>
      </c>
      <c r="T234" s="2" t="str">
        <f>IF('Sağ Bekler'!U36="","",'Sağ Bekler'!U36)</f>
        <v/>
      </c>
      <c r="U234" t="s">
        <v>928</v>
      </c>
      <c r="V234">
        <v>36</v>
      </c>
      <c r="W234" t="str">
        <f ca="1">IF(AND($A234&lt;&gt;"",ISNUMBER($G234),$G234&gt;=TODAY(),$G234&lt;=EDATE(TODAY(),12)),COUNTIFS($G$2:$G$1001,"&gt;="&amp;TODAY(),$G$2:$G$1001,"&lt;"&amp;$G234,$A$2:$A$1001,"&lt;&gt;")+COUNTIFS($G$2:$G234,$G234,$A$2:$A234,"&lt;&gt;"),"")</f>
        <v/>
      </c>
      <c r="X234" t="str">
        <f>IF(AND($A234&lt;&gt;"",ISNUMBER($C234),$C234&gt;=DATE(2003,1,1)),COUNTIFS($C$2:$C234,"&gt;="&amp;DATE(2003,1,1),$A$2:$A234,"&lt;&gt;"),"")</f>
        <v/>
      </c>
    </row>
    <row r="235" spans="1:24">
      <c r="A235" t="str">
        <f>IF('Sağ Bekler'!A37="","",'Sağ Bekler'!A37)</f>
        <v/>
      </c>
      <c r="B235" t="str">
        <f>IF('Sağ Bekler'!B37="","",'Sağ Bekler'!B37)</f>
        <v/>
      </c>
      <c r="C235" s="2" t="str">
        <f>IF('Sağ Bekler'!C37="","",'Sağ Bekler'!C37)</f>
        <v/>
      </c>
      <c r="D235" t="str">
        <f ca="1">IF('Sağ Bekler'!D37="","",'Sağ Bekler'!D37)</f>
        <v/>
      </c>
      <c r="E235" t="str">
        <f>IF('Sağ Bekler'!E37="","",'Sağ Bekler'!E37)</f>
        <v>Sağ Bek</v>
      </c>
      <c r="F235" t="str">
        <f>IF('Sağ Bekler'!G37="","",'Sağ Bekler'!G37)</f>
        <v/>
      </c>
      <c r="G235" s="2" t="str">
        <f>IF('Sağ Bekler'!H37="","",'Sağ Bekler'!H37)</f>
        <v/>
      </c>
      <c r="H235" t="str">
        <f>IF('Sağ Bekler'!I37="","",'Sağ Bekler'!I37)</f>
        <v/>
      </c>
      <c r="I235" t="str">
        <f>IF('Sağ Bekler'!A37="","",'Sağ Bekler'!J37)</f>
        <v/>
      </c>
      <c r="J235" t="str">
        <f>IF('Sağ Bekler'!A37="","",'Sağ Bekler'!K37)</f>
        <v/>
      </c>
      <c r="K235" t="str">
        <f>IF('Sağ Bekler'!L37="","",'Sağ Bekler'!L37)</f>
        <v/>
      </c>
      <c r="L235" t="str">
        <f>IF('Sağ Bekler'!M37="","",'Sağ Bekler'!M37)</f>
        <v/>
      </c>
      <c r="M235" t="str">
        <f>IF('Sağ Bekler'!N37="","",'Sağ Bekler'!N37)</f>
        <v/>
      </c>
      <c r="N235" t="str">
        <f>IF('Sağ Bekler'!O37="","",'Sağ Bekler'!O37)</f>
        <v/>
      </c>
      <c r="O235" t="str">
        <f>IF('Sağ Bekler'!P37="","",'Sağ Bekler'!P37)</f>
        <v/>
      </c>
      <c r="P235" t="str">
        <f>IF('Sağ Bekler'!Q37="","",'Sağ Bekler'!Q37)</f>
        <v/>
      </c>
      <c r="Q235" t="str">
        <f>IF('Sağ Bekler'!R37="","",'Sağ Bekler'!R37)</f>
        <v/>
      </c>
      <c r="R235" t="str">
        <f>IF('Sağ Bekler'!S37="","",'Sağ Bekler'!S37)</f>
        <v/>
      </c>
      <c r="S235" t="str">
        <f>IF('Sağ Bekler'!T37="","",'Sağ Bekler'!T37)</f>
        <v/>
      </c>
      <c r="T235" s="2" t="str">
        <f>IF('Sağ Bekler'!U37="","",'Sağ Bekler'!U37)</f>
        <v/>
      </c>
      <c r="U235" t="s">
        <v>928</v>
      </c>
      <c r="V235">
        <v>37</v>
      </c>
      <c r="W235" t="str">
        <f ca="1">IF(AND($A235&lt;&gt;"",ISNUMBER($G235),$G235&gt;=TODAY(),$G235&lt;=EDATE(TODAY(),12)),COUNTIFS($G$2:$G$1001,"&gt;="&amp;TODAY(),$G$2:$G$1001,"&lt;"&amp;$G235,$A$2:$A$1001,"&lt;&gt;")+COUNTIFS($G$2:$G235,$G235,$A$2:$A235,"&lt;&gt;"),"")</f>
        <v/>
      </c>
      <c r="X235" t="str">
        <f>IF(AND($A235&lt;&gt;"",ISNUMBER($C235),$C235&gt;=DATE(2003,1,1)),COUNTIFS($C$2:$C235,"&gt;="&amp;DATE(2003,1,1),$A$2:$A235,"&lt;&gt;"),"")</f>
        <v/>
      </c>
    </row>
    <row r="236" spans="1:24">
      <c r="A236" t="str">
        <f>IF('Sağ Bekler'!A38="","",'Sağ Bekler'!A38)</f>
        <v/>
      </c>
      <c r="B236" t="str">
        <f>IF('Sağ Bekler'!B38="","",'Sağ Bekler'!B38)</f>
        <v/>
      </c>
      <c r="C236" s="2" t="str">
        <f>IF('Sağ Bekler'!C38="","",'Sağ Bekler'!C38)</f>
        <v/>
      </c>
      <c r="D236" t="str">
        <f ca="1">IF('Sağ Bekler'!D38="","",'Sağ Bekler'!D38)</f>
        <v/>
      </c>
      <c r="E236" t="str">
        <f>IF('Sağ Bekler'!E38="","",'Sağ Bekler'!E38)</f>
        <v>Sağ Bek</v>
      </c>
      <c r="F236" t="str">
        <f>IF('Sağ Bekler'!G38="","",'Sağ Bekler'!G38)</f>
        <v/>
      </c>
      <c r="G236" s="2" t="str">
        <f>IF('Sağ Bekler'!H38="","",'Sağ Bekler'!H38)</f>
        <v/>
      </c>
      <c r="H236" t="str">
        <f>IF('Sağ Bekler'!I38="","",'Sağ Bekler'!I38)</f>
        <v/>
      </c>
      <c r="I236" t="str">
        <f>IF('Sağ Bekler'!A38="","",'Sağ Bekler'!J38)</f>
        <v/>
      </c>
      <c r="J236" t="str">
        <f>IF('Sağ Bekler'!A38="","",'Sağ Bekler'!K38)</f>
        <v/>
      </c>
      <c r="K236" t="str">
        <f>IF('Sağ Bekler'!L38="","",'Sağ Bekler'!L38)</f>
        <v/>
      </c>
      <c r="L236" t="str">
        <f>IF('Sağ Bekler'!M38="","",'Sağ Bekler'!M38)</f>
        <v/>
      </c>
      <c r="M236" t="str">
        <f>IF('Sağ Bekler'!N38="","",'Sağ Bekler'!N38)</f>
        <v/>
      </c>
      <c r="N236" t="str">
        <f>IF('Sağ Bekler'!O38="","",'Sağ Bekler'!O38)</f>
        <v/>
      </c>
      <c r="O236" t="str">
        <f>IF('Sağ Bekler'!P38="","",'Sağ Bekler'!P38)</f>
        <v/>
      </c>
      <c r="P236" t="str">
        <f>IF('Sağ Bekler'!Q38="","",'Sağ Bekler'!Q38)</f>
        <v/>
      </c>
      <c r="Q236" t="str">
        <f>IF('Sağ Bekler'!R38="","",'Sağ Bekler'!R38)</f>
        <v/>
      </c>
      <c r="R236" t="str">
        <f>IF('Sağ Bekler'!S38="","",'Sağ Bekler'!S38)</f>
        <v/>
      </c>
      <c r="S236" t="str">
        <f>IF('Sağ Bekler'!T38="","",'Sağ Bekler'!T38)</f>
        <v/>
      </c>
      <c r="T236" s="2" t="str">
        <f>IF('Sağ Bekler'!U38="","",'Sağ Bekler'!U38)</f>
        <v/>
      </c>
      <c r="U236" t="s">
        <v>928</v>
      </c>
      <c r="V236">
        <v>38</v>
      </c>
      <c r="W236" t="str">
        <f ca="1">IF(AND($A236&lt;&gt;"",ISNUMBER($G236),$G236&gt;=TODAY(),$G236&lt;=EDATE(TODAY(),12)),COUNTIFS($G$2:$G$1001,"&gt;="&amp;TODAY(),$G$2:$G$1001,"&lt;"&amp;$G236,$A$2:$A$1001,"&lt;&gt;")+COUNTIFS($G$2:$G236,$G236,$A$2:$A236,"&lt;&gt;"),"")</f>
        <v/>
      </c>
      <c r="X236" t="str">
        <f>IF(AND($A236&lt;&gt;"",ISNUMBER($C236),$C236&gt;=DATE(2003,1,1)),COUNTIFS($C$2:$C236,"&gt;="&amp;DATE(2003,1,1),$A$2:$A236,"&lt;&gt;"),"")</f>
        <v/>
      </c>
    </row>
    <row r="237" spans="1:24">
      <c r="A237" t="str">
        <f>IF('Sağ Bekler'!A39="","",'Sağ Bekler'!A39)</f>
        <v/>
      </c>
      <c r="B237" t="str">
        <f>IF('Sağ Bekler'!B39="","",'Sağ Bekler'!B39)</f>
        <v/>
      </c>
      <c r="C237" s="2" t="str">
        <f>IF('Sağ Bekler'!C39="","",'Sağ Bekler'!C39)</f>
        <v/>
      </c>
      <c r="D237" t="str">
        <f ca="1">IF('Sağ Bekler'!D39="","",'Sağ Bekler'!D39)</f>
        <v/>
      </c>
      <c r="E237" t="str">
        <f>IF('Sağ Bekler'!E39="","",'Sağ Bekler'!E39)</f>
        <v>Sağ Bek</v>
      </c>
      <c r="F237" t="str">
        <f>IF('Sağ Bekler'!G39="","",'Sağ Bekler'!G39)</f>
        <v/>
      </c>
      <c r="G237" s="2" t="str">
        <f>IF('Sağ Bekler'!H39="","",'Sağ Bekler'!H39)</f>
        <v/>
      </c>
      <c r="H237" t="str">
        <f>IF('Sağ Bekler'!I39="","",'Sağ Bekler'!I39)</f>
        <v/>
      </c>
      <c r="I237" t="str">
        <f>IF('Sağ Bekler'!A39="","",'Sağ Bekler'!J39)</f>
        <v/>
      </c>
      <c r="J237" t="str">
        <f>IF('Sağ Bekler'!A39="","",'Sağ Bekler'!K39)</f>
        <v/>
      </c>
      <c r="K237" t="str">
        <f>IF('Sağ Bekler'!L39="","",'Sağ Bekler'!L39)</f>
        <v/>
      </c>
      <c r="L237" t="str">
        <f>IF('Sağ Bekler'!M39="","",'Sağ Bekler'!M39)</f>
        <v/>
      </c>
      <c r="M237" t="str">
        <f>IF('Sağ Bekler'!N39="","",'Sağ Bekler'!N39)</f>
        <v/>
      </c>
      <c r="N237" t="str">
        <f>IF('Sağ Bekler'!O39="","",'Sağ Bekler'!O39)</f>
        <v/>
      </c>
      <c r="O237" t="str">
        <f>IF('Sağ Bekler'!P39="","",'Sağ Bekler'!P39)</f>
        <v/>
      </c>
      <c r="P237" t="str">
        <f>IF('Sağ Bekler'!Q39="","",'Sağ Bekler'!Q39)</f>
        <v/>
      </c>
      <c r="Q237" t="str">
        <f>IF('Sağ Bekler'!R39="","",'Sağ Bekler'!R39)</f>
        <v/>
      </c>
      <c r="R237" t="str">
        <f>IF('Sağ Bekler'!S39="","",'Sağ Bekler'!S39)</f>
        <v/>
      </c>
      <c r="S237" t="str">
        <f>IF('Sağ Bekler'!T39="","",'Sağ Bekler'!T39)</f>
        <v/>
      </c>
      <c r="T237" s="2" t="str">
        <f>IF('Sağ Bekler'!U39="","",'Sağ Bekler'!U39)</f>
        <v/>
      </c>
      <c r="U237" t="s">
        <v>928</v>
      </c>
      <c r="V237">
        <v>39</v>
      </c>
      <c r="W237" t="str">
        <f ca="1">IF(AND($A237&lt;&gt;"",ISNUMBER($G237),$G237&gt;=TODAY(),$G237&lt;=EDATE(TODAY(),12)),COUNTIFS($G$2:$G$1001,"&gt;="&amp;TODAY(),$G$2:$G$1001,"&lt;"&amp;$G237,$A$2:$A$1001,"&lt;&gt;")+COUNTIFS($G$2:$G237,$G237,$A$2:$A237,"&lt;&gt;"),"")</f>
        <v/>
      </c>
      <c r="X237" t="str">
        <f>IF(AND($A237&lt;&gt;"",ISNUMBER($C237),$C237&gt;=DATE(2003,1,1)),COUNTIFS($C$2:$C237,"&gt;="&amp;DATE(2003,1,1),$A$2:$A237,"&lt;&gt;"),"")</f>
        <v/>
      </c>
    </row>
    <row r="238" spans="1:24">
      <c r="A238" t="str">
        <f>IF('Sağ Bekler'!A40="","",'Sağ Bekler'!A40)</f>
        <v/>
      </c>
      <c r="B238" t="str">
        <f>IF('Sağ Bekler'!B40="","",'Sağ Bekler'!B40)</f>
        <v/>
      </c>
      <c r="C238" s="2" t="str">
        <f>IF('Sağ Bekler'!C40="","",'Sağ Bekler'!C40)</f>
        <v/>
      </c>
      <c r="D238" t="str">
        <f ca="1">IF('Sağ Bekler'!D40="","",'Sağ Bekler'!D40)</f>
        <v/>
      </c>
      <c r="E238" t="str">
        <f>IF('Sağ Bekler'!E40="","",'Sağ Bekler'!E40)</f>
        <v>Sağ Bek</v>
      </c>
      <c r="F238" t="str">
        <f>IF('Sağ Bekler'!G40="","",'Sağ Bekler'!G40)</f>
        <v/>
      </c>
      <c r="G238" s="2" t="str">
        <f>IF('Sağ Bekler'!H40="","",'Sağ Bekler'!H40)</f>
        <v/>
      </c>
      <c r="H238" t="str">
        <f>IF('Sağ Bekler'!I40="","",'Sağ Bekler'!I40)</f>
        <v/>
      </c>
      <c r="I238" t="str">
        <f>IF('Sağ Bekler'!A40="","",'Sağ Bekler'!J40)</f>
        <v/>
      </c>
      <c r="J238" t="str">
        <f>IF('Sağ Bekler'!A40="","",'Sağ Bekler'!K40)</f>
        <v/>
      </c>
      <c r="K238" t="str">
        <f>IF('Sağ Bekler'!L40="","",'Sağ Bekler'!L40)</f>
        <v/>
      </c>
      <c r="L238" t="str">
        <f>IF('Sağ Bekler'!M40="","",'Sağ Bekler'!M40)</f>
        <v/>
      </c>
      <c r="M238" t="str">
        <f>IF('Sağ Bekler'!N40="","",'Sağ Bekler'!N40)</f>
        <v/>
      </c>
      <c r="N238" t="str">
        <f>IF('Sağ Bekler'!O40="","",'Sağ Bekler'!O40)</f>
        <v/>
      </c>
      <c r="O238" t="str">
        <f>IF('Sağ Bekler'!P40="","",'Sağ Bekler'!P40)</f>
        <v/>
      </c>
      <c r="P238" t="str">
        <f>IF('Sağ Bekler'!Q40="","",'Sağ Bekler'!Q40)</f>
        <v/>
      </c>
      <c r="Q238" t="str">
        <f>IF('Sağ Bekler'!R40="","",'Sağ Bekler'!R40)</f>
        <v/>
      </c>
      <c r="R238" t="str">
        <f>IF('Sağ Bekler'!S40="","",'Sağ Bekler'!S40)</f>
        <v/>
      </c>
      <c r="S238" t="str">
        <f>IF('Sağ Bekler'!T40="","",'Sağ Bekler'!T40)</f>
        <v/>
      </c>
      <c r="T238" s="2" t="str">
        <f>IF('Sağ Bekler'!U40="","",'Sağ Bekler'!U40)</f>
        <v/>
      </c>
      <c r="U238" t="s">
        <v>928</v>
      </c>
      <c r="V238">
        <v>40</v>
      </c>
      <c r="W238" t="str">
        <f ca="1">IF(AND($A238&lt;&gt;"",ISNUMBER($G238),$G238&gt;=TODAY(),$G238&lt;=EDATE(TODAY(),12)),COUNTIFS($G$2:$G$1001,"&gt;="&amp;TODAY(),$G$2:$G$1001,"&lt;"&amp;$G238,$A$2:$A$1001,"&lt;&gt;")+COUNTIFS($G$2:$G238,$G238,$A$2:$A238,"&lt;&gt;"),"")</f>
        <v/>
      </c>
      <c r="X238" t="str">
        <f>IF(AND($A238&lt;&gt;"",ISNUMBER($C238),$C238&gt;=DATE(2003,1,1)),COUNTIFS($C$2:$C238,"&gt;="&amp;DATE(2003,1,1),$A$2:$A238,"&lt;&gt;"),"")</f>
        <v/>
      </c>
    </row>
    <row r="239" spans="1:24">
      <c r="A239" t="str">
        <f>IF('Sağ Bekler'!A41="","",'Sağ Bekler'!A41)</f>
        <v/>
      </c>
      <c r="B239" t="str">
        <f>IF('Sağ Bekler'!B41="","",'Sağ Bekler'!B41)</f>
        <v/>
      </c>
      <c r="C239" s="2" t="str">
        <f>IF('Sağ Bekler'!C41="","",'Sağ Bekler'!C41)</f>
        <v/>
      </c>
      <c r="D239" t="str">
        <f ca="1">IF('Sağ Bekler'!D41="","",'Sağ Bekler'!D41)</f>
        <v/>
      </c>
      <c r="E239" t="str">
        <f>IF('Sağ Bekler'!E41="","",'Sağ Bekler'!E41)</f>
        <v>Sağ Bek</v>
      </c>
      <c r="F239" t="str">
        <f>IF('Sağ Bekler'!G41="","",'Sağ Bekler'!G41)</f>
        <v/>
      </c>
      <c r="G239" s="2" t="str">
        <f>IF('Sağ Bekler'!H41="","",'Sağ Bekler'!H41)</f>
        <v/>
      </c>
      <c r="H239" t="str">
        <f>IF('Sağ Bekler'!I41="","",'Sağ Bekler'!I41)</f>
        <v/>
      </c>
      <c r="I239" t="str">
        <f>IF('Sağ Bekler'!A41="","",'Sağ Bekler'!J41)</f>
        <v/>
      </c>
      <c r="J239" t="str">
        <f>IF('Sağ Bekler'!A41="","",'Sağ Bekler'!K41)</f>
        <v/>
      </c>
      <c r="K239" t="str">
        <f>IF('Sağ Bekler'!L41="","",'Sağ Bekler'!L41)</f>
        <v/>
      </c>
      <c r="L239" t="str">
        <f>IF('Sağ Bekler'!M41="","",'Sağ Bekler'!M41)</f>
        <v/>
      </c>
      <c r="M239" t="str">
        <f>IF('Sağ Bekler'!N41="","",'Sağ Bekler'!N41)</f>
        <v/>
      </c>
      <c r="N239" t="str">
        <f>IF('Sağ Bekler'!O41="","",'Sağ Bekler'!O41)</f>
        <v/>
      </c>
      <c r="O239" t="str">
        <f>IF('Sağ Bekler'!P41="","",'Sağ Bekler'!P41)</f>
        <v/>
      </c>
      <c r="P239" t="str">
        <f>IF('Sağ Bekler'!Q41="","",'Sağ Bekler'!Q41)</f>
        <v/>
      </c>
      <c r="Q239" t="str">
        <f>IF('Sağ Bekler'!R41="","",'Sağ Bekler'!R41)</f>
        <v/>
      </c>
      <c r="R239" t="str">
        <f>IF('Sağ Bekler'!S41="","",'Sağ Bekler'!S41)</f>
        <v/>
      </c>
      <c r="S239" t="str">
        <f>IF('Sağ Bekler'!T41="","",'Sağ Bekler'!T41)</f>
        <v/>
      </c>
      <c r="T239" s="2" t="str">
        <f>IF('Sağ Bekler'!U41="","",'Sağ Bekler'!U41)</f>
        <v/>
      </c>
      <c r="U239" t="s">
        <v>928</v>
      </c>
      <c r="V239">
        <v>41</v>
      </c>
      <c r="W239" t="str">
        <f ca="1">IF(AND($A239&lt;&gt;"",ISNUMBER($G239),$G239&gt;=TODAY(),$G239&lt;=EDATE(TODAY(),12)),COUNTIFS($G$2:$G$1001,"&gt;="&amp;TODAY(),$G$2:$G$1001,"&lt;"&amp;$G239,$A$2:$A$1001,"&lt;&gt;")+COUNTIFS($G$2:$G239,$G239,$A$2:$A239,"&lt;&gt;"),"")</f>
        <v/>
      </c>
      <c r="X239" t="str">
        <f>IF(AND($A239&lt;&gt;"",ISNUMBER($C239),$C239&gt;=DATE(2003,1,1)),COUNTIFS($C$2:$C239,"&gt;="&amp;DATE(2003,1,1),$A$2:$A239,"&lt;&gt;"),"")</f>
        <v/>
      </c>
    </row>
    <row r="240" spans="1:24">
      <c r="A240" t="str">
        <f>IF('Sağ Bekler'!A42="","",'Sağ Bekler'!A42)</f>
        <v/>
      </c>
      <c r="B240" t="str">
        <f>IF('Sağ Bekler'!B42="","",'Sağ Bekler'!B42)</f>
        <v/>
      </c>
      <c r="C240" s="2" t="str">
        <f>IF('Sağ Bekler'!C42="","",'Sağ Bekler'!C42)</f>
        <v/>
      </c>
      <c r="D240" t="str">
        <f ca="1">IF('Sağ Bekler'!D42="","",'Sağ Bekler'!D42)</f>
        <v/>
      </c>
      <c r="E240" t="str">
        <f>IF('Sağ Bekler'!E42="","",'Sağ Bekler'!E42)</f>
        <v>Sağ Bek</v>
      </c>
      <c r="F240" t="str">
        <f>IF('Sağ Bekler'!G42="","",'Sağ Bekler'!G42)</f>
        <v/>
      </c>
      <c r="G240" s="2" t="str">
        <f>IF('Sağ Bekler'!H42="","",'Sağ Bekler'!H42)</f>
        <v/>
      </c>
      <c r="H240" t="str">
        <f>IF('Sağ Bekler'!I42="","",'Sağ Bekler'!I42)</f>
        <v/>
      </c>
      <c r="I240" t="str">
        <f>IF('Sağ Bekler'!A42="","",'Sağ Bekler'!J42)</f>
        <v/>
      </c>
      <c r="J240" t="str">
        <f>IF('Sağ Bekler'!A42="","",'Sağ Bekler'!K42)</f>
        <v/>
      </c>
      <c r="K240" t="str">
        <f>IF('Sağ Bekler'!L42="","",'Sağ Bekler'!L42)</f>
        <v/>
      </c>
      <c r="L240" t="str">
        <f>IF('Sağ Bekler'!M42="","",'Sağ Bekler'!M42)</f>
        <v/>
      </c>
      <c r="M240" t="str">
        <f>IF('Sağ Bekler'!N42="","",'Sağ Bekler'!N42)</f>
        <v/>
      </c>
      <c r="N240" t="str">
        <f>IF('Sağ Bekler'!O42="","",'Sağ Bekler'!O42)</f>
        <v/>
      </c>
      <c r="O240" t="str">
        <f>IF('Sağ Bekler'!P42="","",'Sağ Bekler'!P42)</f>
        <v/>
      </c>
      <c r="P240" t="str">
        <f>IF('Sağ Bekler'!Q42="","",'Sağ Bekler'!Q42)</f>
        <v/>
      </c>
      <c r="Q240" t="str">
        <f>IF('Sağ Bekler'!R42="","",'Sağ Bekler'!R42)</f>
        <v/>
      </c>
      <c r="R240" t="str">
        <f>IF('Sağ Bekler'!S42="","",'Sağ Bekler'!S42)</f>
        <v/>
      </c>
      <c r="S240" t="str">
        <f>IF('Sağ Bekler'!T42="","",'Sağ Bekler'!T42)</f>
        <v/>
      </c>
      <c r="T240" s="2" t="str">
        <f>IF('Sağ Bekler'!U42="","",'Sağ Bekler'!U42)</f>
        <v/>
      </c>
      <c r="U240" t="s">
        <v>928</v>
      </c>
      <c r="V240">
        <v>42</v>
      </c>
      <c r="W240" t="str">
        <f ca="1">IF(AND($A240&lt;&gt;"",ISNUMBER($G240),$G240&gt;=TODAY(),$G240&lt;=EDATE(TODAY(),12)),COUNTIFS($G$2:$G$1001,"&gt;="&amp;TODAY(),$G$2:$G$1001,"&lt;"&amp;$G240,$A$2:$A$1001,"&lt;&gt;")+COUNTIFS($G$2:$G240,$G240,$A$2:$A240,"&lt;&gt;"),"")</f>
        <v/>
      </c>
      <c r="X240" t="str">
        <f>IF(AND($A240&lt;&gt;"",ISNUMBER($C240),$C240&gt;=DATE(2003,1,1)),COUNTIFS($C$2:$C240,"&gt;="&amp;DATE(2003,1,1),$A$2:$A240,"&lt;&gt;"),"")</f>
        <v/>
      </c>
    </row>
    <row r="241" spans="1:24">
      <c r="A241" t="str">
        <f>IF('Sağ Bekler'!A43="","",'Sağ Bekler'!A43)</f>
        <v/>
      </c>
      <c r="B241" t="str">
        <f>IF('Sağ Bekler'!B43="","",'Sağ Bekler'!B43)</f>
        <v/>
      </c>
      <c r="C241" s="2" t="str">
        <f>IF('Sağ Bekler'!C43="","",'Sağ Bekler'!C43)</f>
        <v/>
      </c>
      <c r="D241" t="str">
        <f ca="1">IF('Sağ Bekler'!D43="","",'Sağ Bekler'!D43)</f>
        <v/>
      </c>
      <c r="E241" t="str">
        <f>IF('Sağ Bekler'!E43="","",'Sağ Bekler'!E43)</f>
        <v>Sağ Bek</v>
      </c>
      <c r="F241" t="str">
        <f>IF('Sağ Bekler'!G43="","",'Sağ Bekler'!G43)</f>
        <v/>
      </c>
      <c r="G241" s="2" t="str">
        <f>IF('Sağ Bekler'!H43="","",'Sağ Bekler'!H43)</f>
        <v/>
      </c>
      <c r="H241" t="str">
        <f>IF('Sağ Bekler'!I43="","",'Sağ Bekler'!I43)</f>
        <v/>
      </c>
      <c r="I241" t="str">
        <f>IF('Sağ Bekler'!A43="","",'Sağ Bekler'!J43)</f>
        <v/>
      </c>
      <c r="J241" t="str">
        <f>IF('Sağ Bekler'!A43="","",'Sağ Bekler'!K43)</f>
        <v/>
      </c>
      <c r="K241" t="str">
        <f>IF('Sağ Bekler'!L43="","",'Sağ Bekler'!L43)</f>
        <v/>
      </c>
      <c r="L241" t="str">
        <f>IF('Sağ Bekler'!M43="","",'Sağ Bekler'!M43)</f>
        <v/>
      </c>
      <c r="M241" t="str">
        <f>IF('Sağ Bekler'!N43="","",'Sağ Bekler'!N43)</f>
        <v/>
      </c>
      <c r="N241" t="str">
        <f>IF('Sağ Bekler'!O43="","",'Sağ Bekler'!O43)</f>
        <v/>
      </c>
      <c r="O241" t="str">
        <f>IF('Sağ Bekler'!P43="","",'Sağ Bekler'!P43)</f>
        <v/>
      </c>
      <c r="P241" t="str">
        <f>IF('Sağ Bekler'!Q43="","",'Sağ Bekler'!Q43)</f>
        <v/>
      </c>
      <c r="Q241" t="str">
        <f>IF('Sağ Bekler'!R43="","",'Sağ Bekler'!R43)</f>
        <v/>
      </c>
      <c r="R241" t="str">
        <f>IF('Sağ Bekler'!S43="","",'Sağ Bekler'!S43)</f>
        <v/>
      </c>
      <c r="S241" t="str">
        <f>IF('Sağ Bekler'!T43="","",'Sağ Bekler'!T43)</f>
        <v/>
      </c>
      <c r="T241" s="2" t="str">
        <f>IF('Sağ Bekler'!U43="","",'Sağ Bekler'!U43)</f>
        <v/>
      </c>
      <c r="U241" t="s">
        <v>928</v>
      </c>
      <c r="V241">
        <v>43</v>
      </c>
      <c r="W241" t="str">
        <f ca="1">IF(AND($A241&lt;&gt;"",ISNUMBER($G241),$G241&gt;=TODAY(),$G241&lt;=EDATE(TODAY(),12)),COUNTIFS($G$2:$G$1001,"&gt;="&amp;TODAY(),$G$2:$G$1001,"&lt;"&amp;$G241,$A$2:$A$1001,"&lt;&gt;")+COUNTIFS($G$2:$G241,$G241,$A$2:$A241,"&lt;&gt;"),"")</f>
        <v/>
      </c>
      <c r="X241" t="str">
        <f>IF(AND($A241&lt;&gt;"",ISNUMBER($C241),$C241&gt;=DATE(2003,1,1)),COUNTIFS($C$2:$C241,"&gt;="&amp;DATE(2003,1,1),$A$2:$A241,"&lt;&gt;"),"")</f>
        <v/>
      </c>
    </row>
    <row r="242" spans="1:24">
      <c r="A242" t="str">
        <f>IF('Sağ Bekler'!A44="","",'Sağ Bekler'!A44)</f>
        <v/>
      </c>
      <c r="B242" t="str">
        <f>IF('Sağ Bekler'!B44="","",'Sağ Bekler'!B44)</f>
        <v/>
      </c>
      <c r="C242" s="2" t="str">
        <f>IF('Sağ Bekler'!C44="","",'Sağ Bekler'!C44)</f>
        <v/>
      </c>
      <c r="D242" t="str">
        <f ca="1">IF('Sağ Bekler'!D44="","",'Sağ Bekler'!D44)</f>
        <v/>
      </c>
      <c r="E242" t="str">
        <f>IF('Sağ Bekler'!E44="","",'Sağ Bekler'!E44)</f>
        <v>Sağ Bek</v>
      </c>
      <c r="F242" t="str">
        <f>IF('Sağ Bekler'!G44="","",'Sağ Bekler'!G44)</f>
        <v/>
      </c>
      <c r="G242" s="2" t="str">
        <f>IF('Sağ Bekler'!H44="","",'Sağ Bekler'!H44)</f>
        <v/>
      </c>
      <c r="H242" t="str">
        <f>IF('Sağ Bekler'!I44="","",'Sağ Bekler'!I44)</f>
        <v/>
      </c>
      <c r="I242" t="str">
        <f>IF('Sağ Bekler'!A44="","",'Sağ Bekler'!J44)</f>
        <v/>
      </c>
      <c r="J242" t="str">
        <f>IF('Sağ Bekler'!A44="","",'Sağ Bekler'!K44)</f>
        <v/>
      </c>
      <c r="K242" t="str">
        <f>IF('Sağ Bekler'!L44="","",'Sağ Bekler'!L44)</f>
        <v/>
      </c>
      <c r="L242" t="str">
        <f>IF('Sağ Bekler'!M44="","",'Sağ Bekler'!M44)</f>
        <v/>
      </c>
      <c r="M242" t="str">
        <f>IF('Sağ Bekler'!N44="","",'Sağ Bekler'!N44)</f>
        <v/>
      </c>
      <c r="N242" t="str">
        <f>IF('Sağ Bekler'!O44="","",'Sağ Bekler'!O44)</f>
        <v/>
      </c>
      <c r="O242" t="str">
        <f>IF('Sağ Bekler'!P44="","",'Sağ Bekler'!P44)</f>
        <v/>
      </c>
      <c r="P242" t="str">
        <f>IF('Sağ Bekler'!Q44="","",'Sağ Bekler'!Q44)</f>
        <v/>
      </c>
      <c r="Q242" t="str">
        <f>IF('Sağ Bekler'!R44="","",'Sağ Bekler'!R44)</f>
        <v/>
      </c>
      <c r="R242" t="str">
        <f>IF('Sağ Bekler'!S44="","",'Sağ Bekler'!S44)</f>
        <v/>
      </c>
      <c r="S242" t="str">
        <f>IF('Sağ Bekler'!T44="","",'Sağ Bekler'!T44)</f>
        <v/>
      </c>
      <c r="T242" s="2" t="str">
        <f>IF('Sağ Bekler'!U44="","",'Sağ Bekler'!U44)</f>
        <v/>
      </c>
      <c r="U242" t="s">
        <v>928</v>
      </c>
      <c r="V242">
        <v>44</v>
      </c>
      <c r="W242" t="str">
        <f ca="1">IF(AND($A242&lt;&gt;"",ISNUMBER($G242),$G242&gt;=TODAY(),$G242&lt;=EDATE(TODAY(),12)),COUNTIFS($G$2:$G$1001,"&gt;="&amp;TODAY(),$G$2:$G$1001,"&lt;"&amp;$G242,$A$2:$A$1001,"&lt;&gt;")+COUNTIFS($G$2:$G242,$G242,$A$2:$A242,"&lt;&gt;"),"")</f>
        <v/>
      </c>
      <c r="X242" t="str">
        <f>IF(AND($A242&lt;&gt;"",ISNUMBER($C242),$C242&gt;=DATE(2003,1,1)),COUNTIFS($C$2:$C242,"&gt;="&amp;DATE(2003,1,1),$A$2:$A242,"&lt;&gt;"),"")</f>
        <v/>
      </c>
    </row>
    <row r="243" spans="1:24">
      <c r="A243" t="str">
        <f>IF('Sağ Bekler'!A45="","",'Sağ Bekler'!A45)</f>
        <v/>
      </c>
      <c r="B243" t="str">
        <f>IF('Sağ Bekler'!B45="","",'Sağ Bekler'!B45)</f>
        <v/>
      </c>
      <c r="C243" s="2" t="str">
        <f>IF('Sağ Bekler'!C45="","",'Sağ Bekler'!C45)</f>
        <v/>
      </c>
      <c r="D243" t="str">
        <f ca="1">IF('Sağ Bekler'!D45="","",'Sağ Bekler'!D45)</f>
        <v/>
      </c>
      <c r="E243" t="str">
        <f>IF('Sağ Bekler'!E45="","",'Sağ Bekler'!E45)</f>
        <v>Sağ Bek</v>
      </c>
      <c r="F243" t="str">
        <f>IF('Sağ Bekler'!G45="","",'Sağ Bekler'!G45)</f>
        <v/>
      </c>
      <c r="G243" s="2" t="str">
        <f>IF('Sağ Bekler'!H45="","",'Sağ Bekler'!H45)</f>
        <v/>
      </c>
      <c r="H243" t="str">
        <f>IF('Sağ Bekler'!I45="","",'Sağ Bekler'!I45)</f>
        <v/>
      </c>
      <c r="I243" t="str">
        <f>IF('Sağ Bekler'!A45="","",'Sağ Bekler'!J45)</f>
        <v/>
      </c>
      <c r="J243" t="str">
        <f>IF('Sağ Bekler'!A45="","",'Sağ Bekler'!K45)</f>
        <v/>
      </c>
      <c r="K243" t="str">
        <f>IF('Sağ Bekler'!L45="","",'Sağ Bekler'!L45)</f>
        <v/>
      </c>
      <c r="L243" t="str">
        <f>IF('Sağ Bekler'!M45="","",'Sağ Bekler'!M45)</f>
        <v/>
      </c>
      <c r="M243" t="str">
        <f>IF('Sağ Bekler'!N45="","",'Sağ Bekler'!N45)</f>
        <v/>
      </c>
      <c r="N243" t="str">
        <f>IF('Sağ Bekler'!O45="","",'Sağ Bekler'!O45)</f>
        <v/>
      </c>
      <c r="O243" t="str">
        <f>IF('Sağ Bekler'!P45="","",'Sağ Bekler'!P45)</f>
        <v/>
      </c>
      <c r="P243" t="str">
        <f>IF('Sağ Bekler'!Q45="","",'Sağ Bekler'!Q45)</f>
        <v/>
      </c>
      <c r="Q243" t="str">
        <f>IF('Sağ Bekler'!R45="","",'Sağ Bekler'!R45)</f>
        <v/>
      </c>
      <c r="R243" t="str">
        <f>IF('Sağ Bekler'!S45="","",'Sağ Bekler'!S45)</f>
        <v/>
      </c>
      <c r="S243" t="str">
        <f>IF('Sağ Bekler'!T45="","",'Sağ Bekler'!T45)</f>
        <v/>
      </c>
      <c r="T243" s="2" t="str">
        <f>IF('Sağ Bekler'!U45="","",'Sağ Bekler'!U45)</f>
        <v/>
      </c>
      <c r="U243" t="s">
        <v>928</v>
      </c>
      <c r="V243">
        <v>45</v>
      </c>
      <c r="W243" t="str">
        <f ca="1">IF(AND($A243&lt;&gt;"",ISNUMBER($G243),$G243&gt;=TODAY(),$G243&lt;=EDATE(TODAY(),12)),COUNTIFS($G$2:$G$1001,"&gt;="&amp;TODAY(),$G$2:$G$1001,"&lt;"&amp;$G243,$A$2:$A$1001,"&lt;&gt;")+COUNTIFS($G$2:$G243,$G243,$A$2:$A243,"&lt;&gt;"),"")</f>
        <v/>
      </c>
      <c r="X243" t="str">
        <f>IF(AND($A243&lt;&gt;"",ISNUMBER($C243),$C243&gt;=DATE(2003,1,1)),COUNTIFS($C$2:$C243,"&gt;="&amp;DATE(2003,1,1),$A$2:$A243,"&lt;&gt;"),"")</f>
        <v/>
      </c>
    </row>
    <row r="244" spans="1:24">
      <c r="A244" t="str">
        <f>IF('Sağ Bekler'!A46="","",'Sağ Bekler'!A46)</f>
        <v/>
      </c>
      <c r="B244" t="str">
        <f>IF('Sağ Bekler'!B46="","",'Sağ Bekler'!B46)</f>
        <v/>
      </c>
      <c r="C244" s="2" t="str">
        <f>IF('Sağ Bekler'!C46="","",'Sağ Bekler'!C46)</f>
        <v/>
      </c>
      <c r="D244" t="str">
        <f ca="1">IF('Sağ Bekler'!D46="","",'Sağ Bekler'!D46)</f>
        <v/>
      </c>
      <c r="E244" t="str">
        <f>IF('Sağ Bekler'!E46="","",'Sağ Bekler'!E46)</f>
        <v>Sağ Bek</v>
      </c>
      <c r="F244" t="str">
        <f>IF('Sağ Bekler'!G46="","",'Sağ Bekler'!G46)</f>
        <v/>
      </c>
      <c r="G244" s="2" t="str">
        <f>IF('Sağ Bekler'!H46="","",'Sağ Bekler'!H46)</f>
        <v/>
      </c>
      <c r="H244" t="str">
        <f>IF('Sağ Bekler'!I46="","",'Sağ Bekler'!I46)</f>
        <v/>
      </c>
      <c r="I244" t="str">
        <f>IF('Sağ Bekler'!A46="","",'Sağ Bekler'!J46)</f>
        <v/>
      </c>
      <c r="J244" t="str">
        <f>IF('Sağ Bekler'!A46="","",'Sağ Bekler'!K46)</f>
        <v/>
      </c>
      <c r="K244" t="str">
        <f>IF('Sağ Bekler'!L46="","",'Sağ Bekler'!L46)</f>
        <v/>
      </c>
      <c r="L244" t="str">
        <f>IF('Sağ Bekler'!M46="","",'Sağ Bekler'!M46)</f>
        <v/>
      </c>
      <c r="M244" t="str">
        <f>IF('Sağ Bekler'!N46="","",'Sağ Bekler'!N46)</f>
        <v/>
      </c>
      <c r="N244" t="str">
        <f>IF('Sağ Bekler'!O46="","",'Sağ Bekler'!O46)</f>
        <v/>
      </c>
      <c r="O244" t="str">
        <f>IF('Sağ Bekler'!P46="","",'Sağ Bekler'!P46)</f>
        <v/>
      </c>
      <c r="P244" t="str">
        <f>IF('Sağ Bekler'!Q46="","",'Sağ Bekler'!Q46)</f>
        <v/>
      </c>
      <c r="Q244" t="str">
        <f>IF('Sağ Bekler'!R46="","",'Sağ Bekler'!R46)</f>
        <v/>
      </c>
      <c r="R244" t="str">
        <f>IF('Sağ Bekler'!S46="","",'Sağ Bekler'!S46)</f>
        <v/>
      </c>
      <c r="S244" t="str">
        <f>IF('Sağ Bekler'!T46="","",'Sağ Bekler'!T46)</f>
        <v/>
      </c>
      <c r="T244" s="2" t="str">
        <f>IF('Sağ Bekler'!U46="","",'Sağ Bekler'!U46)</f>
        <v/>
      </c>
      <c r="U244" t="s">
        <v>928</v>
      </c>
      <c r="V244">
        <v>46</v>
      </c>
      <c r="W244" t="str">
        <f ca="1">IF(AND($A244&lt;&gt;"",ISNUMBER($G244),$G244&gt;=TODAY(),$G244&lt;=EDATE(TODAY(),12)),COUNTIFS($G$2:$G$1001,"&gt;="&amp;TODAY(),$G$2:$G$1001,"&lt;"&amp;$G244,$A$2:$A$1001,"&lt;&gt;")+COUNTIFS($G$2:$G244,$G244,$A$2:$A244,"&lt;&gt;"),"")</f>
        <v/>
      </c>
      <c r="X244" t="str">
        <f>IF(AND($A244&lt;&gt;"",ISNUMBER($C244),$C244&gt;=DATE(2003,1,1)),COUNTIFS($C$2:$C244,"&gt;="&amp;DATE(2003,1,1),$A$2:$A244,"&lt;&gt;"),"")</f>
        <v/>
      </c>
    </row>
    <row r="245" spans="1:24">
      <c r="A245" t="str">
        <f>IF('Sağ Bekler'!A47="","",'Sağ Bekler'!A47)</f>
        <v/>
      </c>
      <c r="B245" t="str">
        <f>IF('Sağ Bekler'!B47="","",'Sağ Bekler'!B47)</f>
        <v/>
      </c>
      <c r="C245" s="2" t="str">
        <f>IF('Sağ Bekler'!C47="","",'Sağ Bekler'!C47)</f>
        <v/>
      </c>
      <c r="D245" t="str">
        <f ca="1">IF('Sağ Bekler'!D47="","",'Sağ Bekler'!D47)</f>
        <v/>
      </c>
      <c r="E245" t="str">
        <f>IF('Sağ Bekler'!E47="","",'Sağ Bekler'!E47)</f>
        <v>Sağ Bek</v>
      </c>
      <c r="F245" t="str">
        <f>IF('Sağ Bekler'!G47="","",'Sağ Bekler'!G47)</f>
        <v/>
      </c>
      <c r="G245" s="2" t="str">
        <f>IF('Sağ Bekler'!H47="","",'Sağ Bekler'!H47)</f>
        <v/>
      </c>
      <c r="H245" t="str">
        <f>IF('Sağ Bekler'!I47="","",'Sağ Bekler'!I47)</f>
        <v/>
      </c>
      <c r="I245" t="str">
        <f>IF('Sağ Bekler'!A47="","",'Sağ Bekler'!J47)</f>
        <v/>
      </c>
      <c r="J245" t="str">
        <f>IF('Sağ Bekler'!A47="","",'Sağ Bekler'!K47)</f>
        <v/>
      </c>
      <c r="K245" t="str">
        <f>IF('Sağ Bekler'!L47="","",'Sağ Bekler'!L47)</f>
        <v/>
      </c>
      <c r="L245" t="str">
        <f>IF('Sağ Bekler'!M47="","",'Sağ Bekler'!M47)</f>
        <v/>
      </c>
      <c r="M245" t="str">
        <f>IF('Sağ Bekler'!N47="","",'Sağ Bekler'!N47)</f>
        <v/>
      </c>
      <c r="N245" t="str">
        <f>IF('Sağ Bekler'!O47="","",'Sağ Bekler'!O47)</f>
        <v/>
      </c>
      <c r="O245" t="str">
        <f>IF('Sağ Bekler'!P47="","",'Sağ Bekler'!P47)</f>
        <v/>
      </c>
      <c r="P245" t="str">
        <f>IF('Sağ Bekler'!Q47="","",'Sağ Bekler'!Q47)</f>
        <v/>
      </c>
      <c r="Q245" t="str">
        <f>IF('Sağ Bekler'!R47="","",'Sağ Bekler'!R47)</f>
        <v/>
      </c>
      <c r="R245" t="str">
        <f>IF('Sağ Bekler'!S47="","",'Sağ Bekler'!S47)</f>
        <v/>
      </c>
      <c r="S245" t="str">
        <f>IF('Sağ Bekler'!T47="","",'Sağ Bekler'!T47)</f>
        <v/>
      </c>
      <c r="T245" s="2" t="str">
        <f>IF('Sağ Bekler'!U47="","",'Sağ Bekler'!U47)</f>
        <v/>
      </c>
      <c r="U245" t="s">
        <v>928</v>
      </c>
      <c r="V245">
        <v>47</v>
      </c>
      <c r="W245" t="str">
        <f ca="1">IF(AND($A245&lt;&gt;"",ISNUMBER($G245),$G245&gt;=TODAY(),$G245&lt;=EDATE(TODAY(),12)),COUNTIFS($G$2:$G$1001,"&gt;="&amp;TODAY(),$G$2:$G$1001,"&lt;"&amp;$G245,$A$2:$A$1001,"&lt;&gt;")+COUNTIFS($G$2:$G245,$G245,$A$2:$A245,"&lt;&gt;"),"")</f>
        <v/>
      </c>
      <c r="X245" t="str">
        <f>IF(AND($A245&lt;&gt;"",ISNUMBER($C245),$C245&gt;=DATE(2003,1,1)),COUNTIFS($C$2:$C245,"&gt;="&amp;DATE(2003,1,1),$A$2:$A245,"&lt;&gt;"),"")</f>
        <v/>
      </c>
    </row>
    <row r="246" spans="1:24">
      <c r="A246" t="str">
        <f>IF('Sağ Bekler'!A48="","",'Sağ Bekler'!A48)</f>
        <v/>
      </c>
      <c r="B246" t="str">
        <f>IF('Sağ Bekler'!B48="","",'Sağ Bekler'!B48)</f>
        <v/>
      </c>
      <c r="C246" s="2" t="str">
        <f>IF('Sağ Bekler'!C48="","",'Sağ Bekler'!C48)</f>
        <v/>
      </c>
      <c r="D246" t="str">
        <f ca="1">IF('Sağ Bekler'!D48="","",'Sağ Bekler'!D48)</f>
        <v/>
      </c>
      <c r="E246" t="str">
        <f>IF('Sağ Bekler'!E48="","",'Sağ Bekler'!E48)</f>
        <v>Sağ Bek</v>
      </c>
      <c r="F246" t="str">
        <f>IF('Sağ Bekler'!G48="","",'Sağ Bekler'!G48)</f>
        <v/>
      </c>
      <c r="G246" s="2" t="str">
        <f>IF('Sağ Bekler'!H48="","",'Sağ Bekler'!H48)</f>
        <v/>
      </c>
      <c r="H246" t="str">
        <f>IF('Sağ Bekler'!I48="","",'Sağ Bekler'!I48)</f>
        <v/>
      </c>
      <c r="I246" t="str">
        <f>IF('Sağ Bekler'!A48="","",'Sağ Bekler'!J48)</f>
        <v/>
      </c>
      <c r="J246" t="str">
        <f>IF('Sağ Bekler'!A48="","",'Sağ Bekler'!K48)</f>
        <v/>
      </c>
      <c r="K246" t="str">
        <f>IF('Sağ Bekler'!L48="","",'Sağ Bekler'!L48)</f>
        <v/>
      </c>
      <c r="L246" t="str">
        <f>IF('Sağ Bekler'!M48="","",'Sağ Bekler'!M48)</f>
        <v/>
      </c>
      <c r="M246" t="str">
        <f>IF('Sağ Bekler'!N48="","",'Sağ Bekler'!N48)</f>
        <v/>
      </c>
      <c r="N246" t="str">
        <f>IF('Sağ Bekler'!O48="","",'Sağ Bekler'!O48)</f>
        <v/>
      </c>
      <c r="O246" t="str">
        <f>IF('Sağ Bekler'!P48="","",'Sağ Bekler'!P48)</f>
        <v/>
      </c>
      <c r="P246" t="str">
        <f>IF('Sağ Bekler'!Q48="","",'Sağ Bekler'!Q48)</f>
        <v/>
      </c>
      <c r="Q246" t="str">
        <f>IF('Sağ Bekler'!R48="","",'Sağ Bekler'!R48)</f>
        <v/>
      </c>
      <c r="R246" t="str">
        <f>IF('Sağ Bekler'!S48="","",'Sağ Bekler'!S48)</f>
        <v/>
      </c>
      <c r="S246" t="str">
        <f>IF('Sağ Bekler'!T48="","",'Sağ Bekler'!T48)</f>
        <v/>
      </c>
      <c r="T246" s="2" t="str">
        <f>IF('Sağ Bekler'!U48="","",'Sağ Bekler'!U48)</f>
        <v/>
      </c>
      <c r="U246" t="s">
        <v>928</v>
      </c>
      <c r="V246">
        <v>48</v>
      </c>
      <c r="W246" t="str">
        <f ca="1">IF(AND($A246&lt;&gt;"",ISNUMBER($G246),$G246&gt;=TODAY(),$G246&lt;=EDATE(TODAY(),12)),COUNTIFS($G$2:$G$1001,"&gt;="&amp;TODAY(),$G$2:$G$1001,"&lt;"&amp;$G246,$A$2:$A$1001,"&lt;&gt;")+COUNTIFS($G$2:$G246,$G246,$A$2:$A246,"&lt;&gt;"),"")</f>
        <v/>
      </c>
      <c r="X246" t="str">
        <f>IF(AND($A246&lt;&gt;"",ISNUMBER($C246),$C246&gt;=DATE(2003,1,1)),COUNTIFS($C$2:$C246,"&gt;="&amp;DATE(2003,1,1),$A$2:$A246,"&lt;&gt;"),"")</f>
        <v/>
      </c>
    </row>
    <row r="247" spans="1:24">
      <c r="A247" t="str">
        <f>IF('Sağ Bekler'!A49="","",'Sağ Bekler'!A49)</f>
        <v/>
      </c>
      <c r="B247" t="str">
        <f>IF('Sağ Bekler'!B49="","",'Sağ Bekler'!B49)</f>
        <v/>
      </c>
      <c r="C247" s="2" t="str">
        <f>IF('Sağ Bekler'!C49="","",'Sağ Bekler'!C49)</f>
        <v/>
      </c>
      <c r="D247" t="str">
        <f ca="1">IF('Sağ Bekler'!D49="","",'Sağ Bekler'!D49)</f>
        <v/>
      </c>
      <c r="E247" t="str">
        <f>IF('Sağ Bekler'!E49="","",'Sağ Bekler'!E49)</f>
        <v>Sağ Bek</v>
      </c>
      <c r="F247" t="str">
        <f>IF('Sağ Bekler'!G49="","",'Sağ Bekler'!G49)</f>
        <v/>
      </c>
      <c r="G247" s="2" t="str">
        <f>IF('Sağ Bekler'!H49="","",'Sağ Bekler'!H49)</f>
        <v/>
      </c>
      <c r="H247" t="str">
        <f>IF('Sağ Bekler'!I49="","",'Sağ Bekler'!I49)</f>
        <v/>
      </c>
      <c r="I247" t="str">
        <f>IF('Sağ Bekler'!A49="","",'Sağ Bekler'!J49)</f>
        <v/>
      </c>
      <c r="J247" t="str">
        <f>IF('Sağ Bekler'!A49="","",'Sağ Bekler'!K49)</f>
        <v/>
      </c>
      <c r="K247" t="str">
        <f>IF('Sağ Bekler'!L49="","",'Sağ Bekler'!L49)</f>
        <v/>
      </c>
      <c r="L247" t="str">
        <f>IF('Sağ Bekler'!M49="","",'Sağ Bekler'!M49)</f>
        <v/>
      </c>
      <c r="M247" t="str">
        <f>IF('Sağ Bekler'!N49="","",'Sağ Bekler'!N49)</f>
        <v/>
      </c>
      <c r="N247" t="str">
        <f>IF('Sağ Bekler'!O49="","",'Sağ Bekler'!O49)</f>
        <v/>
      </c>
      <c r="O247" t="str">
        <f>IF('Sağ Bekler'!P49="","",'Sağ Bekler'!P49)</f>
        <v/>
      </c>
      <c r="P247" t="str">
        <f>IF('Sağ Bekler'!Q49="","",'Sağ Bekler'!Q49)</f>
        <v/>
      </c>
      <c r="Q247" t="str">
        <f>IF('Sağ Bekler'!R49="","",'Sağ Bekler'!R49)</f>
        <v/>
      </c>
      <c r="R247" t="str">
        <f>IF('Sağ Bekler'!S49="","",'Sağ Bekler'!S49)</f>
        <v/>
      </c>
      <c r="S247" t="str">
        <f>IF('Sağ Bekler'!T49="","",'Sağ Bekler'!T49)</f>
        <v/>
      </c>
      <c r="T247" s="2" t="str">
        <f>IF('Sağ Bekler'!U49="","",'Sağ Bekler'!U49)</f>
        <v/>
      </c>
      <c r="U247" t="s">
        <v>928</v>
      </c>
      <c r="V247">
        <v>49</v>
      </c>
      <c r="W247" t="str">
        <f ca="1">IF(AND($A247&lt;&gt;"",ISNUMBER($G247),$G247&gt;=TODAY(),$G247&lt;=EDATE(TODAY(),12)),COUNTIFS($G$2:$G$1001,"&gt;="&amp;TODAY(),$G$2:$G$1001,"&lt;"&amp;$G247,$A$2:$A$1001,"&lt;&gt;")+COUNTIFS($G$2:$G247,$G247,$A$2:$A247,"&lt;&gt;"),"")</f>
        <v/>
      </c>
      <c r="X247" t="str">
        <f>IF(AND($A247&lt;&gt;"",ISNUMBER($C247),$C247&gt;=DATE(2003,1,1)),COUNTIFS($C$2:$C247,"&gt;="&amp;DATE(2003,1,1),$A$2:$A247,"&lt;&gt;"),"")</f>
        <v/>
      </c>
    </row>
    <row r="248" spans="1:24">
      <c r="A248" t="str">
        <f>IF('Sağ Bekler'!A50="","",'Sağ Bekler'!A50)</f>
        <v/>
      </c>
      <c r="B248" t="str">
        <f>IF('Sağ Bekler'!B50="","",'Sağ Bekler'!B50)</f>
        <v/>
      </c>
      <c r="C248" s="2" t="str">
        <f>IF('Sağ Bekler'!C50="","",'Sağ Bekler'!C50)</f>
        <v/>
      </c>
      <c r="D248" t="str">
        <f ca="1">IF('Sağ Bekler'!D50="","",'Sağ Bekler'!D50)</f>
        <v/>
      </c>
      <c r="E248" t="str">
        <f>IF('Sağ Bekler'!E50="","",'Sağ Bekler'!E50)</f>
        <v>Sağ Bek</v>
      </c>
      <c r="F248" t="str">
        <f>IF('Sağ Bekler'!G50="","",'Sağ Bekler'!G50)</f>
        <v/>
      </c>
      <c r="G248" s="2" t="str">
        <f>IF('Sağ Bekler'!H50="","",'Sağ Bekler'!H50)</f>
        <v/>
      </c>
      <c r="H248" t="str">
        <f>IF('Sağ Bekler'!I50="","",'Sağ Bekler'!I50)</f>
        <v/>
      </c>
      <c r="I248" t="str">
        <f>IF('Sağ Bekler'!A50="","",'Sağ Bekler'!J50)</f>
        <v/>
      </c>
      <c r="J248" t="str">
        <f>IF('Sağ Bekler'!A50="","",'Sağ Bekler'!K50)</f>
        <v/>
      </c>
      <c r="K248" t="str">
        <f>IF('Sağ Bekler'!L50="","",'Sağ Bekler'!L50)</f>
        <v/>
      </c>
      <c r="L248" t="str">
        <f>IF('Sağ Bekler'!M50="","",'Sağ Bekler'!M50)</f>
        <v/>
      </c>
      <c r="M248" t="str">
        <f>IF('Sağ Bekler'!N50="","",'Sağ Bekler'!N50)</f>
        <v/>
      </c>
      <c r="N248" t="str">
        <f>IF('Sağ Bekler'!O50="","",'Sağ Bekler'!O50)</f>
        <v/>
      </c>
      <c r="O248" t="str">
        <f>IF('Sağ Bekler'!P50="","",'Sağ Bekler'!P50)</f>
        <v/>
      </c>
      <c r="P248" t="str">
        <f>IF('Sağ Bekler'!Q50="","",'Sağ Bekler'!Q50)</f>
        <v/>
      </c>
      <c r="Q248" t="str">
        <f>IF('Sağ Bekler'!R50="","",'Sağ Bekler'!R50)</f>
        <v/>
      </c>
      <c r="R248" t="str">
        <f>IF('Sağ Bekler'!S50="","",'Sağ Bekler'!S50)</f>
        <v/>
      </c>
      <c r="S248" t="str">
        <f>IF('Sağ Bekler'!T50="","",'Sağ Bekler'!T50)</f>
        <v/>
      </c>
      <c r="T248" s="2" t="str">
        <f>IF('Sağ Bekler'!U50="","",'Sağ Bekler'!U50)</f>
        <v/>
      </c>
      <c r="U248" t="s">
        <v>928</v>
      </c>
      <c r="V248">
        <v>50</v>
      </c>
      <c r="W248" t="str">
        <f ca="1">IF(AND($A248&lt;&gt;"",ISNUMBER($G248),$G248&gt;=TODAY(),$G248&lt;=EDATE(TODAY(),12)),COUNTIFS($G$2:$G$1001,"&gt;="&amp;TODAY(),$G$2:$G$1001,"&lt;"&amp;$G248,$A$2:$A$1001,"&lt;&gt;")+COUNTIFS($G$2:$G248,$G248,$A$2:$A248,"&lt;&gt;"),"")</f>
        <v/>
      </c>
      <c r="X248" t="str">
        <f>IF(AND($A248&lt;&gt;"",ISNUMBER($C248),$C248&gt;=DATE(2003,1,1)),COUNTIFS($C$2:$C248,"&gt;="&amp;DATE(2003,1,1),$A$2:$A248,"&lt;&gt;"),"")</f>
        <v/>
      </c>
    </row>
    <row r="249" spans="1:24">
      <c r="A249" t="str">
        <f>IF('Sağ Bekler'!A51="","",'Sağ Bekler'!A51)</f>
        <v/>
      </c>
      <c r="B249" t="str">
        <f>IF('Sağ Bekler'!B51="","",'Sağ Bekler'!B51)</f>
        <v/>
      </c>
      <c r="C249" s="2" t="str">
        <f>IF('Sağ Bekler'!C51="","",'Sağ Bekler'!C51)</f>
        <v/>
      </c>
      <c r="D249" t="str">
        <f ca="1">IF('Sağ Bekler'!D51="","",'Sağ Bekler'!D51)</f>
        <v/>
      </c>
      <c r="E249" t="str">
        <f>IF('Sağ Bekler'!E51="","",'Sağ Bekler'!E51)</f>
        <v>Sağ Bek</v>
      </c>
      <c r="F249" t="str">
        <f>IF('Sağ Bekler'!G51="","",'Sağ Bekler'!G51)</f>
        <v/>
      </c>
      <c r="G249" s="2" t="str">
        <f>IF('Sağ Bekler'!H51="","",'Sağ Bekler'!H51)</f>
        <v/>
      </c>
      <c r="H249" t="str">
        <f>IF('Sağ Bekler'!I51="","",'Sağ Bekler'!I51)</f>
        <v/>
      </c>
      <c r="I249" t="str">
        <f>IF('Sağ Bekler'!A51="","",'Sağ Bekler'!J51)</f>
        <v/>
      </c>
      <c r="J249" t="str">
        <f>IF('Sağ Bekler'!A51="","",'Sağ Bekler'!K51)</f>
        <v/>
      </c>
      <c r="K249" t="str">
        <f>IF('Sağ Bekler'!L51="","",'Sağ Bekler'!L51)</f>
        <v/>
      </c>
      <c r="L249" t="str">
        <f>IF('Sağ Bekler'!M51="","",'Sağ Bekler'!M51)</f>
        <v/>
      </c>
      <c r="M249" t="str">
        <f>IF('Sağ Bekler'!N51="","",'Sağ Bekler'!N51)</f>
        <v/>
      </c>
      <c r="N249" t="str">
        <f>IF('Sağ Bekler'!O51="","",'Sağ Bekler'!O51)</f>
        <v/>
      </c>
      <c r="O249" t="str">
        <f>IF('Sağ Bekler'!P51="","",'Sağ Bekler'!P51)</f>
        <v/>
      </c>
      <c r="P249" t="str">
        <f>IF('Sağ Bekler'!Q51="","",'Sağ Bekler'!Q51)</f>
        <v/>
      </c>
      <c r="Q249" t="str">
        <f>IF('Sağ Bekler'!R51="","",'Sağ Bekler'!R51)</f>
        <v/>
      </c>
      <c r="R249" t="str">
        <f>IF('Sağ Bekler'!S51="","",'Sağ Bekler'!S51)</f>
        <v/>
      </c>
      <c r="S249" t="str">
        <f>IF('Sağ Bekler'!T51="","",'Sağ Bekler'!T51)</f>
        <v/>
      </c>
      <c r="T249" s="2" t="str">
        <f>IF('Sağ Bekler'!U51="","",'Sağ Bekler'!U51)</f>
        <v/>
      </c>
      <c r="U249" t="s">
        <v>928</v>
      </c>
      <c r="V249">
        <v>51</v>
      </c>
      <c r="W249" t="str">
        <f ca="1">IF(AND($A249&lt;&gt;"",ISNUMBER($G249),$G249&gt;=TODAY(),$G249&lt;=EDATE(TODAY(),12)),COUNTIFS($G$2:$G$1001,"&gt;="&amp;TODAY(),$G$2:$G$1001,"&lt;"&amp;$G249,$A$2:$A$1001,"&lt;&gt;")+COUNTIFS($G$2:$G249,$G249,$A$2:$A249,"&lt;&gt;"),"")</f>
        <v/>
      </c>
      <c r="X249" t="str">
        <f>IF(AND($A249&lt;&gt;"",ISNUMBER($C249),$C249&gt;=DATE(2003,1,1)),COUNTIFS($C$2:$C249,"&gt;="&amp;DATE(2003,1,1),$A$2:$A249,"&lt;&gt;"),"")</f>
        <v/>
      </c>
    </row>
    <row r="250" spans="1:24">
      <c r="A250" t="str">
        <f>IF('Sağ Bekler'!A52="","",'Sağ Bekler'!A52)</f>
        <v/>
      </c>
      <c r="B250" t="str">
        <f>IF('Sağ Bekler'!B52="","",'Sağ Bekler'!B52)</f>
        <v/>
      </c>
      <c r="C250" s="2" t="str">
        <f>IF('Sağ Bekler'!C52="","",'Sağ Bekler'!C52)</f>
        <v/>
      </c>
      <c r="D250" t="str">
        <f ca="1">IF('Sağ Bekler'!D52="","",'Sağ Bekler'!D52)</f>
        <v/>
      </c>
      <c r="E250" t="str">
        <f>IF('Sağ Bekler'!E52="","",'Sağ Bekler'!E52)</f>
        <v>Sağ Bek</v>
      </c>
      <c r="F250" t="str">
        <f>IF('Sağ Bekler'!G52="","",'Sağ Bekler'!G52)</f>
        <v/>
      </c>
      <c r="G250" s="2" t="str">
        <f>IF('Sağ Bekler'!H52="","",'Sağ Bekler'!H52)</f>
        <v/>
      </c>
      <c r="H250" t="str">
        <f>IF('Sağ Bekler'!I52="","",'Sağ Bekler'!I52)</f>
        <v/>
      </c>
      <c r="I250" t="str">
        <f>IF('Sağ Bekler'!A52="","",'Sağ Bekler'!J52)</f>
        <v/>
      </c>
      <c r="J250" t="str">
        <f>IF('Sağ Bekler'!A52="","",'Sağ Bekler'!K52)</f>
        <v/>
      </c>
      <c r="K250" t="str">
        <f>IF('Sağ Bekler'!L52="","",'Sağ Bekler'!L52)</f>
        <v/>
      </c>
      <c r="L250" t="str">
        <f>IF('Sağ Bekler'!M52="","",'Sağ Bekler'!M52)</f>
        <v/>
      </c>
      <c r="M250" t="str">
        <f>IF('Sağ Bekler'!N52="","",'Sağ Bekler'!N52)</f>
        <v/>
      </c>
      <c r="N250" t="str">
        <f>IF('Sağ Bekler'!O52="","",'Sağ Bekler'!O52)</f>
        <v/>
      </c>
      <c r="O250" t="str">
        <f>IF('Sağ Bekler'!P52="","",'Sağ Bekler'!P52)</f>
        <v/>
      </c>
      <c r="P250" t="str">
        <f>IF('Sağ Bekler'!Q52="","",'Sağ Bekler'!Q52)</f>
        <v/>
      </c>
      <c r="Q250" t="str">
        <f>IF('Sağ Bekler'!R52="","",'Sağ Bekler'!R52)</f>
        <v/>
      </c>
      <c r="R250" t="str">
        <f>IF('Sağ Bekler'!S52="","",'Sağ Bekler'!S52)</f>
        <v/>
      </c>
      <c r="S250" t="str">
        <f>IF('Sağ Bekler'!T52="","",'Sağ Bekler'!T52)</f>
        <v/>
      </c>
      <c r="T250" s="2" t="str">
        <f>IF('Sağ Bekler'!U52="","",'Sağ Bekler'!U52)</f>
        <v/>
      </c>
      <c r="U250" t="s">
        <v>928</v>
      </c>
      <c r="V250">
        <v>52</v>
      </c>
      <c r="W250" t="str">
        <f ca="1">IF(AND($A250&lt;&gt;"",ISNUMBER($G250),$G250&gt;=TODAY(),$G250&lt;=EDATE(TODAY(),12)),COUNTIFS($G$2:$G$1001,"&gt;="&amp;TODAY(),$G$2:$G$1001,"&lt;"&amp;$G250,$A$2:$A$1001,"&lt;&gt;")+COUNTIFS($G$2:$G250,$G250,$A$2:$A250,"&lt;&gt;"),"")</f>
        <v/>
      </c>
      <c r="X250" t="str">
        <f>IF(AND($A250&lt;&gt;"",ISNUMBER($C250),$C250&gt;=DATE(2003,1,1)),COUNTIFS($C$2:$C250,"&gt;="&amp;DATE(2003,1,1),$A$2:$A250,"&lt;&gt;"),"")</f>
        <v/>
      </c>
    </row>
    <row r="251" spans="1:24">
      <c r="A251" t="str">
        <f>IF('Sağ Bekler'!A53="","",'Sağ Bekler'!A53)</f>
        <v/>
      </c>
      <c r="B251" t="str">
        <f>IF('Sağ Bekler'!B53="","",'Sağ Bekler'!B53)</f>
        <v/>
      </c>
      <c r="C251" s="2" t="str">
        <f>IF('Sağ Bekler'!C53="","",'Sağ Bekler'!C53)</f>
        <v/>
      </c>
      <c r="D251" t="str">
        <f ca="1">IF('Sağ Bekler'!D53="","",'Sağ Bekler'!D53)</f>
        <v/>
      </c>
      <c r="E251" t="str">
        <f>IF('Sağ Bekler'!E53="","",'Sağ Bekler'!E53)</f>
        <v>Sağ Bek</v>
      </c>
      <c r="F251" t="str">
        <f>IF('Sağ Bekler'!G53="","",'Sağ Bekler'!G53)</f>
        <v/>
      </c>
      <c r="G251" s="2" t="str">
        <f>IF('Sağ Bekler'!H53="","",'Sağ Bekler'!H53)</f>
        <v/>
      </c>
      <c r="H251" t="str">
        <f>IF('Sağ Bekler'!I53="","",'Sağ Bekler'!I53)</f>
        <v/>
      </c>
      <c r="I251" t="str">
        <f>IF('Sağ Bekler'!A53="","",'Sağ Bekler'!J53)</f>
        <v/>
      </c>
      <c r="J251" t="str">
        <f>IF('Sağ Bekler'!A53="","",'Sağ Bekler'!K53)</f>
        <v/>
      </c>
      <c r="K251" t="str">
        <f>IF('Sağ Bekler'!L53="","",'Sağ Bekler'!L53)</f>
        <v/>
      </c>
      <c r="L251" t="str">
        <f>IF('Sağ Bekler'!M53="","",'Sağ Bekler'!M53)</f>
        <v/>
      </c>
      <c r="M251" t="str">
        <f>IF('Sağ Bekler'!N53="","",'Sağ Bekler'!N53)</f>
        <v/>
      </c>
      <c r="N251" t="str">
        <f>IF('Sağ Bekler'!O53="","",'Sağ Bekler'!O53)</f>
        <v/>
      </c>
      <c r="O251" t="str">
        <f>IF('Sağ Bekler'!P53="","",'Sağ Bekler'!P53)</f>
        <v/>
      </c>
      <c r="P251" t="str">
        <f>IF('Sağ Bekler'!Q53="","",'Sağ Bekler'!Q53)</f>
        <v/>
      </c>
      <c r="Q251" t="str">
        <f>IF('Sağ Bekler'!R53="","",'Sağ Bekler'!R53)</f>
        <v/>
      </c>
      <c r="R251" t="str">
        <f>IF('Sağ Bekler'!S53="","",'Sağ Bekler'!S53)</f>
        <v/>
      </c>
      <c r="S251" t="str">
        <f>IF('Sağ Bekler'!T53="","",'Sağ Bekler'!T53)</f>
        <v/>
      </c>
      <c r="T251" s="2" t="str">
        <f>IF('Sağ Bekler'!U53="","",'Sağ Bekler'!U53)</f>
        <v/>
      </c>
      <c r="U251" t="s">
        <v>928</v>
      </c>
      <c r="V251">
        <v>53</v>
      </c>
      <c r="W251" t="str">
        <f ca="1">IF(AND($A251&lt;&gt;"",ISNUMBER($G251),$G251&gt;=TODAY(),$G251&lt;=EDATE(TODAY(),12)),COUNTIFS($G$2:$G$1001,"&gt;="&amp;TODAY(),$G$2:$G$1001,"&lt;"&amp;$G251,$A$2:$A$1001,"&lt;&gt;")+COUNTIFS($G$2:$G251,$G251,$A$2:$A251,"&lt;&gt;"),"")</f>
        <v/>
      </c>
      <c r="X251" t="str">
        <f>IF(AND($A251&lt;&gt;"",ISNUMBER($C251),$C251&gt;=DATE(2003,1,1)),COUNTIFS($C$2:$C251,"&gt;="&amp;DATE(2003,1,1),$A$2:$A251,"&lt;&gt;"),"")</f>
        <v/>
      </c>
    </row>
    <row r="252" spans="1:24">
      <c r="A252" t="str">
        <f>IF('Sağ Bekler'!A54="","",'Sağ Bekler'!A54)</f>
        <v/>
      </c>
      <c r="B252" t="str">
        <f>IF('Sağ Bekler'!B54="","",'Sağ Bekler'!B54)</f>
        <v/>
      </c>
      <c r="C252" s="2" t="str">
        <f>IF('Sağ Bekler'!C54="","",'Sağ Bekler'!C54)</f>
        <v/>
      </c>
      <c r="D252" t="str">
        <f ca="1">IF('Sağ Bekler'!D54="","",'Sağ Bekler'!D54)</f>
        <v/>
      </c>
      <c r="E252" t="str">
        <f>IF('Sağ Bekler'!E54="","",'Sağ Bekler'!E54)</f>
        <v>Sağ Bek</v>
      </c>
      <c r="F252" t="str">
        <f>IF('Sağ Bekler'!G54="","",'Sağ Bekler'!G54)</f>
        <v/>
      </c>
      <c r="G252" s="2" t="str">
        <f>IF('Sağ Bekler'!H54="","",'Sağ Bekler'!H54)</f>
        <v/>
      </c>
      <c r="H252" t="str">
        <f>IF('Sağ Bekler'!I54="","",'Sağ Bekler'!I54)</f>
        <v/>
      </c>
      <c r="I252" t="str">
        <f>IF('Sağ Bekler'!A54="","",'Sağ Bekler'!J54)</f>
        <v/>
      </c>
      <c r="J252" t="str">
        <f>IF('Sağ Bekler'!A54="","",'Sağ Bekler'!K54)</f>
        <v/>
      </c>
      <c r="K252" t="str">
        <f>IF('Sağ Bekler'!L54="","",'Sağ Bekler'!L54)</f>
        <v/>
      </c>
      <c r="L252" t="str">
        <f>IF('Sağ Bekler'!M54="","",'Sağ Bekler'!M54)</f>
        <v/>
      </c>
      <c r="M252" t="str">
        <f>IF('Sağ Bekler'!N54="","",'Sağ Bekler'!N54)</f>
        <v/>
      </c>
      <c r="N252" t="str">
        <f>IF('Sağ Bekler'!O54="","",'Sağ Bekler'!O54)</f>
        <v/>
      </c>
      <c r="O252" t="str">
        <f>IF('Sağ Bekler'!P54="","",'Sağ Bekler'!P54)</f>
        <v/>
      </c>
      <c r="P252" t="str">
        <f>IF('Sağ Bekler'!Q54="","",'Sağ Bekler'!Q54)</f>
        <v/>
      </c>
      <c r="Q252" t="str">
        <f>IF('Sağ Bekler'!R54="","",'Sağ Bekler'!R54)</f>
        <v/>
      </c>
      <c r="R252" t="str">
        <f>IF('Sağ Bekler'!S54="","",'Sağ Bekler'!S54)</f>
        <v/>
      </c>
      <c r="S252" t="str">
        <f>IF('Sağ Bekler'!T54="","",'Sağ Bekler'!T54)</f>
        <v/>
      </c>
      <c r="T252" s="2" t="str">
        <f>IF('Sağ Bekler'!U54="","",'Sağ Bekler'!U54)</f>
        <v/>
      </c>
      <c r="U252" t="s">
        <v>928</v>
      </c>
      <c r="V252">
        <v>54</v>
      </c>
      <c r="W252" t="str">
        <f ca="1">IF(AND($A252&lt;&gt;"",ISNUMBER($G252),$G252&gt;=TODAY(),$G252&lt;=EDATE(TODAY(),12)),COUNTIFS($G$2:$G$1001,"&gt;="&amp;TODAY(),$G$2:$G$1001,"&lt;"&amp;$G252,$A$2:$A$1001,"&lt;&gt;")+COUNTIFS($G$2:$G252,$G252,$A$2:$A252,"&lt;&gt;"),"")</f>
        <v/>
      </c>
      <c r="X252" t="str">
        <f>IF(AND($A252&lt;&gt;"",ISNUMBER($C252),$C252&gt;=DATE(2003,1,1)),COUNTIFS($C$2:$C252,"&gt;="&amp;DATE(2003,1,1),$A$2:$A252,"&lt;&gt;"),"")</f>
        <v/>
      </c>
    </row>
    <row r="253" spans="1:24">
      <c r="A253" t="str">
        <f>IF('Sağ Bekler'!A55="","",'Sağ Bekler'!A55)</f>
        <v/>
      </c>
      <c r="B253" t="str">
        <f>IF('Sağ Bekler'!B55="","",'Sağ Bekler'!B55)</f>
        <v/>
      </c>
      <c r="C253" s="2" t="str">
        <f>IF('Sağ Bekler'!C55="","",'Sağ Bekler'!C55)</f>
        <v/>
      </c>
      <c r="D253" t="str">
        <f ca="1">IF('Sağ Bekler'!D55="","",'Sağ Bekler'!D55)</f>
        <v/>
      </c>
      <c r="E253" t="str">
        <f>IF('Sağ Bekler'!E55="","",'Sağ Bekler'!E55)</f>
        <v>Sağ Bek</v>
      </c>
      <c r="F253" t="str">
        <f>IF('Sağ Bekler'!G55="","",'Sağ Bekler'!G55)</f>
        <v/>
      </c>
      <c r="G253" s="2" t="str">
        <f>IF('Sağ Bekler'!H55="","",'Sağ Bekler'!H55)</f>
        <v/>
      </c>
      <c r="H253" t="str">
        <f>IF('Sağ Bekler'!I55="","",'Sağ Bekler'!I55)</f>
        <v/>
      </c>
      <c r="I253" t="str">
        <f>IF('Sağ Bekler'!A55="","",'Sağ Bekler'!J55)</f>
        <v/>
      </c>
      <c r="J253" t="str">
        <f>IF('Sağ Bekler'!A55="","",'Sağ Bekler'!K55)</f>
        <v/>
      </c>
      <c r="K253" t="str">
        <f>IF('Sağ Bekler'!L55="","",'Sağ Bekler'!L55)</f>
        <v/>
      </c>
      <c r="L253" t="str">
        <f>IF('Sağ Bekler'!M55="","",'Sağ Bekler'!M55)</f>
        <v/>
      </c>
      <c r="M253" t="str">
        <f>IF('Sağ Bekler'!N55="","",'Sağ Bekler'!N55)</f>
        <v/>
      </c>
      <c r="N253" t="str">
        <f>IF('Sağ Bekler'!O55="","",'Sağ Bekler'!O55)</f>
        <v/>
      </c>
      <c r="O253" t="str">
        <f>IF('Sağ Bekler'!P55="","",'Sağ Bekler'!P55)</f>
        <v/>
      </c>
      <c r="P253" t="str">
        <f>IF('Sağ Bekler'!Q55="","",'Sağ Bekler'!Q55)</f>
        <v/>
      </c>
      <c r="Q253" t="str">
        <f>IF('Sağ Bekler'!R55="","",'Sağ Bekler'!R55)</f>
        <v/>
      </c>
      <c r="R253" t="str">
        <f>IF('Sağ Bekler'!S55="","",'Sağ Bekler'!S55)</f>
        <v/>
      </c>
      <c r="S253" t="str">
        <f>IF('Sağ Bekler'!T55="","",'Sağ Bekler'!T55)</f>
        <v/>
      </c>
      <c r="T253" s="2" t="str">
        <f>IF('Sağ Bekler'!U55="","",'Sağ Bekler'!U55)</f>
        <v/>
      </c>
      <c r="U253" t="s">
        <v>928</v>
      </c>
      <c r="V253">
        <v>55</v>
      </c>
      <c r="W253" t="str">
        <f ca="1">IF(AND($A253&lt;&gt;"",ISNUMBER($G253),$G253&gt;=TODAY(),$G253&lt;=EDATE(TODAY(),12)),COUNTIFS($G$2:$G$1001,"&gt;="&amp;TODAY(),$G$2:$G$1001,"&lt;"&amp;$G253,$A$2:$A$1001,"&lt;&gt;")+COUNTIFS($G$2:$G253,$G253,$A$2:$A253,"&lt;&gt;"),"")</f>
        <v/>
      </c>
      <c r="X253" t="str">
        <f>IF(AND($A253&lt;&gt;"",ISNUMBER($C253),$C253&gt;=DATE(2003,1,1)),COUNTIFS($C$2:$C253,"&gt;="&amp;DATE(2003,1,1),$A$2:$A253,"&lt;&gt;"),"")</f>
        <v/>
      </c>
    </row>
    <row r="254" spans="1:24">
      <c r="A254" t="str">
        <f>IF('Sağ Bekler'!A56="","",'Sağ Bekler'!A56)</f>
        <v/>
      </c>
      <c r="B254" t="str">
        <f>IF('Sağ Bekler'!B56="","",'Sağ Bekler'!B56)</f>
        <v/>
      </c>
      <c r="C254" s="2" t="str">
        <f>IF('Sağ Bekler'!C56="","",'Sağ Bekler'!C56)</f>
        <v/>
      </c>
      <c r="D254" t="str">
        <f ca="1">IF('Sağ Bekler'!D56="","",'Sağ Bekler'!D56)</f>
        <v/>
      </c>
      <c r="E254" t="str">
        <f>IF('Sağ Bekler'!E56="","",'Sağ Bekler'!E56)</f>
        <v>Sağ Bek</v>
      </c>
      <c r="F254" t="str">
        <f>IF('Sağ Bekler'!G56="","",'Sağ Bekler'!G56)</f>
        <v/>
      </c>
      <c r="G254" s="2" t="str">
        <f>IF('Sağ Bekler'!H56="","",'Sağ Bekler'!H56)</f>
        <v/>
      </c>
      <c r="H254" t="str">
        <f>IF('Sağ Bekler'!I56="","",'Sağ Bekler'!I56)</f>
        <v/>
      </c>
      <c r="I254" t="str">
        <f>IF('Sağ Bekler'!A56="","",'Sağ Bekler'!J56)</f>
        <v/>
      </c>
      <c r="J254" t="str">
        <f>IF('Sağ Bekler'!A56="","",'Sağ Bekler'!K56)</f>
        <v/>
      </c>
      <c r="K254" t="str">
        <f>IF('Sağ Bekler'!L56="","",'Sağ Bekler'!L56)</f>
        <v/>
      </c>
      <c r="L254" t="str">
        <f>IF('Sağ Bekler'!M56="","",'Sağ Bekler'!M56)</f>
        <v/>
      </c>
      <c r="M254" t="str">
        <f>IF('Sağ Bekler'!N56="","",'Sağ Bekler'!N56)</f>
        <v/>
      </c>
      <c r="N254" t="str">
        <f>IF('Sağ Bekler'!O56="","",'Sağ Bekler'!O56)</f>
        <v/>
      </c>
      <c r="O254" t="str">
        <f>IF('Sağ Bekler'!P56="","",'Sağ Bekler'!P56)</f>
        <v/>
      </c>
      <c r="P254" t="str">
        <f>IF('Sağ Bekler'!Q56="","",'Sağ Bekler'!Q56)</f>
        <v/>
      </c>
      <c r="Q254" t="str">
        <f>IF('Sağ Bekler'!R56="","",'Sağ Bekler'!R56)</f>
        <v/>
      </c>
      <c r="R254" t="str">
        <f>IF('Sağ Bekler'!S56="","",'Sağ Bekler'!S56)</f>
        <v/>
      </c>
      <c r="S254" t="str">
        <f>IF('Sağ Bekler'!T56="","",'Sağ Bekler'!T56)</f>
        <v/>
      </c>
      <c r="T254" s="2" t="str">
        <f>IF('Sağ Bekler'!U56="","",'Sağ Bekler'!U56)</f>
        <v/>
      </c>
      <c r="U254" t="s">
        <v>928</v>
      </c>
      <c r="V254">
        <v>56</v>
      </c>
      <c r="W254" t="str">
        <f ca="1">IF(AND($A254&lt;&gt;"",ISNUMBER($G254),$G254&gt;=TODAY(),$G254&lt;=EDATE(TODAY(),12)),COUNTIFS($G$2:$G$1001,"&gt;="&amp;TODAY(),$G$2:$G$1001,"&lt;"&amp;$G254,$A$2:$A$1001,"&lt;&gt;")+COUNTIFS($G$2:$G254,$G254,$A$2:$A254,"&lt;&gt;"),"")</f>
        <v/>
      </c>
      <c r="X254" t="str">
        <f>IF(AND($A254&lt;&gt;"",ISNUMBER($C254),$C254&gt;=DATE(2003,1,1)),COUNTIFS($C$2:$C254,"&gt;="&amp;DATE(2003,1,1),$A$2:$A254,"&lt;&gt;"),"")</f>
        <v/>
      </c>
    </row>
    <row r="255" spans="1:24">
      <c r="A255" t="str">
        <f>IF('Sağ Bekler'!A57="","",'Sağ Bekler'!A57)</f>
        <v/>
      </c>
      <c r="B255" t="str">
        <f>IF('Sağ Bekler'!B57="","",'Sağ Bekler'!B57)</f>
        <v/>
      </c>
      <c r="C255" s="2" t="str">
        <f>IF('Sağ Bekler'!C57="","",'Sağ Bekler'!C57)</f>
        <v/>
      </c>
      <c r="D255" t="str">
        <f ca="1">IF('Sağ Bekler'!D57="","",'Sağ Bekler'!D57)</f>
        <v/>
      </c>
      <c r="E255" t="str">
        <f>IF('Sağ Bekler'!E57="","",'Sağ Bekler'!E57)</f>
        <v>Sağ Bek</v>
      </c>
      <c r="F255" t="str">
        <f>IF('Sağ Bekler'!G57="","",'Sağ Bekler'!G57)</f>
        <v/>
      </c>
      <c r="G255" s="2" t="str">
        <f>IF('Sağ Bekler'!H57="","",'Sağ Bekler'!H57)</f>
        <v/>
      </c>
      <c r="H255" t="str">
        <f>IF('Sağ Bekler'!I57="","",'Sağ Bekler'!I57)</f>
        <v/>
      </c>
      <c r="I255" t="str">
        <f>IF('Sağ Bekler'!A57="","",'Sağ Bekler'!J57)</f>
        <v/>
      </c>
      <c r="J255" t="str">
        <f>IF('Sağ Bekler'!A57="","",'Sağ Bekler'!K57)</f>
        <v/>
      </c>
      <c r="K255" t="str">
        <f>IF('Sağ Bekler'!L57="","",'Sağ Bekler'!L57)</f>
        <v/>
      </c>
      <c r="L255" t="str">
        <f>IF('Sağ Bekler'!M57="","",'Sağ Bekler'!M57)</f>
        <v/>
      </c>
      <c r="M255" t="str">
        <f>IF('Sağ Bekler'!N57="","",'Sağ Bekler'!N57)</f>
        <v/>
      </c>
      <c r="N255" t="str">
        <f>IF('Sağ Bekler'!O57="","",'Sağ Bekler'!O57)</f>
        <v/>
      </c>
      <c r="O255" t="str">
        <f>IF('Sağ Bekler'!P57="","",'Sağ Bekler'!P57)</f>
        <v/>
      </c>
      <c r="P255" t="str">
        <f>IF('Sağ Bekler'!Q57="","",'Sağ Bekler'!Q57)</f>
        <v/>
      </c>
      <c r="Q255" t="str">
        <f>IF('Sağ Bekler'!R57="","",'Sağ Bekler'!R57)</f>
        <v/>
      </c>
      <c r="R255" t="str">
        <f>IF('Sağ Bekler'!S57="","",'Sağ Bekler'!S57)</f>
        <v/>
      </c>
      <c r="S255" t="str">
        <f>IF('Sağ Bekler'!T57="","",'Sağ Bekler'!T57)</f>
        <v/>
      </c>
      <c r="T255" s="2" t="str">
        <f>IF('Sağ Bekler'!U57="","",'Sağ Bekler'!U57)</f>
        <v/>
      </c>
      <c r="U255" t="s">
        <v>928</v>
      </c>
      <c r="V255">
        <v>57</v>
      </c>
      <c r="W255" t="str">
        <f ca="1">IF(AND($A255&lt;&gt;"",ISNUMBER($G255),$G255&gt;=TODAY(),$G255&lt;=EDATE(TODAY(),12)),COUNTIFS($G$2:$G$1001,"&gt;="&amp;TODAY(),$G$2:$G$1001,"&lt;"&amp;$G255,$A$2:$A$1001,"&lt;&gt;")+COUNTIFS($G$2:$G255,$G255,$A$2:$A255,"&lt;&gt;"),"")</f>
        <v/>
      </c>
      <c r="X255" t="str">
        <f>IF(AND($A255&lt;&gt;"",ISNUMBER($C255),$C255&gt;=DATE(2003,1,1)),COUNTIFS($C$2:$C255,"&gt;="&amp;DATE(2003,1,1),$A$2:$A255,"&lt;&gt;"),"")</f>
        <v/>
      </c>
    </row>
    <row r="256" spans="1:24">
      <c r="A256" t="str">
        <f>IF('Sağ Bekler'!A58="","",'Sağ Bekler'!A58)</f>
        <v/>
      </c>
      <c r="B256" t="str">
        <f>IF('Sağ Bekler'!B58="","",'Sağ Bekler'!B58)</f>
        <v/>
      </c>
      <c r="C256" s="2" t="str">
        <f>IF('Sağ Bekler'!C58="","",'Sağ Bekler'!C58)</f>
        <v/>
      </c>
      <c r="D256" t="str">
        <f ca="1">IF('Sağ Bekler'!D58="","",'Sağ Bekler'!D58)</f>
        <v/>
      </c>
      <c r="E256" t="str">
        <f>IF('Sağ Bekler'!E58="","",'Sağ Bekler'!E58)</f>
        <v>Sağ Bek</v>
      </c>
      <c r="F256" t="str">
        <f>IF('Sağ Bekler'!G58="","",'Sağ Bekler'!G58)</f>
        <v/>
      </c>
      <c r="G256" s="2" t="str">
        <f>IF('Sağ Bekler'!H58="","",'Sağ Bekler'!H58)</f>
        <v/>
      </c>
      <c r="H256" t="str">
        <f>IF('Sağ Bekler'!I58="","",'Sağ Bekler'!I58)</f>
        <v/>
      </c>
      <c r="I256" t="str">
        <f>IF('Sağ Bekler'!A58="","",'Sağ Bekler'!J58)</f>
        <v/>
      </c>
      <c r="J256" t="str">
        <f>IF('Sağ Bekler'!A58="","",'Sağ Bekler'!K58)</f>
        <v/>
      </c>
      <c r="K256" t="str">
        <f>IF('Sağ Bekler'!L58="","",'Sağ Bekler'!L58)</f>
        <v/>
      </c>
      <c r="L256" t="str">
        <f>IF('Sağ Bekler'!M58="","",'Sağ Bekler'!M58)</f>
        <v/>
      </c>
      <c r="M256" t="str">
        <f>IF('Sağ Bekler'!N58="","",'Sağ Bekler'!N58)</f>
        <v/>
      </c>
      <c r="N256" t="str">
        <f>IF('Sağ Bekler'!O58="","",'Sağ Bekler'!O58)</f>
        <v/>
      </c>
      <c r="O256" t="str">
        <f>IF('Sağ Bekler'!P58="","",'Sağ Bekler'!P58)</f>
        <v/>
      </c>
      <c r="P256" t="str">
        <f>IF('Sağ Bekler'!Q58="","",'Sağ Bekler'!Q58)</f>
        <v/>
      </c>
      <c r="Q256" t="str">
        <f>IF('Sağ Bekler'!R58="","",'Sağ Bekler'!R58)</f>
        <v/>
      </c>
      <c r="R256" t="str">
        <f>IF('Sağ Bekler'!S58="","",'Sağ Bekler'!S58)</f>
        <v/>
      </c>
      <c r="S256" t="str">
        <f>IF('Sağ Bekler'!T58="","",'Sağ Bekler'!T58)</f>
        <v/>
      </c>
      <c r="T256" s="2" t="str">
        <f>IF('Sağ Bekler'!U58="","",'Sağ Bekler'!U58)</f>
        <v/>
      </c>
      <c r="U256" t="s">
        <v>928</v>
      </c>
      <c r="V256">
        <v>58</v>
      </c>
      <c r="W256" t="str">
        <f ca="1">IF(AND($A256&lt;&gt;"",ISNUMBER($G256),$G256&gt;=TODAY(),$G256&lt;=EDATE(TODAY(),12)),COUNTIFS($G$2:$G$1001,"&gt;="&amp;TODAY(),$G$2:$G$1001,"&lt;"&amp;$G256,$A$2:$A$1001,"&lt;&gt;")+COUNTIFS($G$2:$G256,$G256,$A$2:$A256,"&lt;&gt;"),"")</f>
        <v/>
      </c>
      <c r="X256" t="str">
        <f>IF(AND($A256&lt;&gt;"",ISNUMBER($C256),$C256&gt;=DATE(2003,1,1)),COUNTIFS($C$2:$C256,"&gt;="&amp;DATE(2003,1,1),$A$2:$A256,"&lt;&gt;"),"")</f>
        <v/>
      </c>
    </row>
    <row r="257" spans="1:24">
      <c r="A257" t="str">
        <f>IF('Sağ Bekler'!A59="","",'Sağ Bekler'!A59)</f>
        <v/>
      </c>
      <c r="B257" t="str">
        <f>IF('Sağ Bekler'!B59="","",'Sağ Bekler'!B59)</f>
        <v/>
      </c>
      <c r="C257" s="2" t="str">
        <f>IF('Sağ Bekler'!C59="","",'Sağ Bekler'!C59)</f>
        <v/>
      </c>
      <c r="D257" t="str">
        <f ca="1">IF('Sağ Bekler'!D59="","",'Sağ Bekler'!D59)</f>
        <v/>
      </c>
      <c r="E257" t="str">
        <f>IF('Sağ Bekler'!E59="","",'Sağ Bekler'!E59)</f>
        <v>Sağ Bek</v>
      </c>
      <c r="F257" t="str">
        <f>IF('Sağ Bekler'!G59="","",'Sağ Bekler'!G59)</f>
        <v/>
      </c>
      <c r="G257" s="2" t="str">
        <f>IF('Sağ Bekler'!H59="","",'Sağ Bekler'!H59)</f>
        <v/>
      </c>
      <c r="H257" t="str">
        <f>IF('Sağ Bekler'!I59="","",'Sağ Bekler'!I59)</f>
        <v/>
      </c>
      <c r="I257" t="str">
        <f>IF('Sağ Bekler'!A59="","",'Sağ Bekler'!J59)</f>
        <v/>
      </c>
      <c r="J257" t="str">
        <f>IF('Sağ Bekler'!A59="","",'Sağ Bekler'!K59)</f>
        <v/>
      </c>
      <c r="K257" t="str">
        <f>IF('Sağ Bekler'!L59="","",'Sağ Bekler'!L59)</f>
        <v/>
      </c>
      <c r="L257" t="str">
        <f>IF('Sağ Bekler'!M59="","",'Sağ Bekler'!M59)</f>
        <v/>
      </c>
      <c r="M257" t="str">
        <f>IF('Sağ Bekler'!N59="","",'Sağ Bekler'!N59)</f>
        <v/>
      </c>
      <c r="N257" t="str">
        <f>IF('Sağ Bekler'!O59="","",'Sağ Bekler'!O59)</f>
        <v/>
      </c>
      <c r="O257" t="str">
        <f>IF('Sağ Bekler'!P59="","",'Sağ Bekler'!P59)</f>
        <v/>
      </c>
      <c r="P257" t="str">
        <f>IF('Sağ Bekler'!Q59="","",'Sağ Bekler'!Q59)</f>
        <v/>
      </c>
      <c r="Q257" t="str">
        <f>IF('Sağ Bekler'!R59="","",'Sağ Bekler'!R59)</f>
        <v/>
      </c>
      <c r="R257" t="str">
        <f>IF('Sağ Bekler'!S59="","",'Sağ Bekler'!S59)</f>
        <v/>
      </c>
      <c r="S257" t="str">
        <f>IF('Sağ Bekler'!T59="","",'Sağ Bekler'!T59)</f>
        <v/>
      </c>
      <c r="T257" s="2" t="str">
        <f>IF('Sağ Bekler'!U59="","",'Sağ Bekler'!U59)</f>
        <v/>
      </c>
      <c r="U257" t="s">
        <v>928</v>
      </c>
      <c r="V257">
        <v>59</v>
      </c>
      <c r="W257" t="str">
        <f ca="1">IF(AND($A257&lt;&gt;"",ISNUMBER($G257),$G257&gt;=TODAY(),$G257&lt;=EDATE(TODAY(),12)),COUNTIFS($G$2:$G$1001,"&gt;="&amp;TODAY(),$G$2:$G$1001,"&lt;"&amp;$G257,$A$2:$A$1001,"&lt;&gt;")+COUNTIFS($G$2:$G257,$G257,$A$2:$A257,"&lt;&gt;"),"")</f>
        <v/>
      </c>
      <c r="X257" t="str">
        <f>IF(AND($A257&lt;&gt;"",ISNUMBER($C257),$C257&gt;=DATE(2003,1,1)),COUNTIFS($C$2:$C257,"&gt;="&amp;DATE(2003,1,1),$A$2:$A257,"&lt;&gt;"),"")</f>
        <v/>
      </c>
    </row>
    <row r="258" spans="1:24">
      <c r="A258" t="str">
        <f>IF('Sağ Bekler'!A60="","",'Sağ Bekler'!A60)</f>
        <v/>
      </c>
      <c r="B258" t="str">
        <f>IF('Sağ Bekler'!B60="","",'Sağ Bekler'!B60)</f>
        <v/>
      </c>
      <c r="C258" s="2" t="str">
        <f>IF('Sağ Bekler'!C60="","",'Sağ Bekler'!C60)</f>
        <v/>
      </c>
      <c r="D258" t="str">
        <f ca="1">IF('Sağ Bekler'!D60="","",'Sağ Bekler'!D60)</f>
        <v/>
      </c>
      <c r="E258" t="str">
        <f>IF('Sağ Bekler'!E60="","",'Sağ Bekler'!E60)</f>
        <v>Sağ Bek</v>
      </c>
      <c r="F258" t="str">
        <f>IF('Sağ Bekler'!G60="","",'Sağ Bekler'!G60)</f>
        <v/>
      </c>
      <c r="G258" s="2" t="str">
        <f>IF('Sağ Bekler'!H60="","",'Sağ Bekler'!H60)</f>
        <v/>
      </c>
      <c r="H258" t="str">
        <f>IF('Sağ Bekler'!I60="","",'Sağ Bekler'!I60)</f>
        <v/>
      </c>
      <c r="I258" t="str">
        <f>IF('Sağ Bekler'!A60="","",'Sağ Bekler'!J60)</f>
        <v/>
      </c>
      <c r="J258" t="str">
        <f>IF('Sağ Bekler'!A60="","",'Sağ Bekler'!K60)</f>
        <v/>
      </c>
      <c r="K258" t="str">
        <f>IF('Sağ Bekler'!L60="","",'Sağ Bekler'!L60)</f>
        <v/>
      </c>
      <c r="L258" t="str">
        <f>IF('Sağ Bekler'!M60="","",'Sağ Bekler'!M60)</f>
        <v/>
      </c>
      <c r="M258" t="str">
        <f>IF('Sağ Bekler'!N60="","",'Sağ Bekler'!N60)</f>
        <v/>
      </c>
      <c r="N258" t="str">
        <f>IF('Sağ Bekler'!O60="","",'Sağ Bekler'!O60)</f>
        <v/>
      </c>
      <c r="O258" t="str">
        <f>IF('Sağ Bekler'!P60="","",'Sağ Bekler'!P60)</f>
        <v/>
      </c>
      <c r="P258" t="str">
        <f>IF('Sağ Bekler'!Q60="","",'Sağ Bekler'!Q60)</f>
        <v/>
      </c>
      <c r="Q258" t="str">
        <f>IF('Sağ Bekler'!R60="","",'Sağ Bekler'!R60)</f>
        <v/>
      </c>
      <c r="R258" t="str">
        <f>IF('Sağ Bekler'!S60="","",'Sağ Bekler'!S60)</f>
        <v/>
      </c>
      <c r="S258" t="str">
        <f>IF('Sağ Bekler'!T60="","",'Sağ Bekler'!T60)</f>
        <v/>
      </c>
      <c r="T258" s="2" t="str">
        <f>IF('Sağ Bekler'!U60="","",'Sağ Bekler'!U60)</f>
        <v/>
      </c>
      <c r="U258" t="s">
        <v>928</v>
      </c>
      <c r="V258">
        <v>60</v>
      </c>
      <c r="W258" t="str">
        <f ca="1">IF(AND($A258&lt;&gt;"",ISNUMBER($G258),$G258&gt;=TODAY(),$G258&lt;=EDATE(TODAY(),12)),COUNTIFS($G$2:$G$1001,"&gt;="&amp;TODAY(),$G$2:$G$1001,"&lt;"&amp;$G258,$A$2:$A$1001,"&lt;&gt;")+COUNTIFS($G$2:$G258,$G258,$A$2:$A258,"&lt;&gt;"),"")</f>
        <v/>
      </c>
      <c r="X258" t="str">
        <f>IF(AND($A258&lt;&gt;"",ISNUMBER($C258),$C258&gt;=DATE(2003,1,1)),COUNTIFS($C$2:$C258,"&gt;="&amp;DATE(2003,1,1),$A$2:$A258,"&lt;&gt;"),"")</f>
        <v/>
      </c>
    </row>
    <row r="259" spans="1:24">
      <c r="A259" t="str">
        <f>IF('Sağ Bekler'!A61="","",'Sağ Bekler'!A61)</f>
        <v/>
      </c>
      <c r="B259" t="str">
        <f>IF('Sağ Bekler'!B61="","",'Sağ Bekler'!B61)</f>
        <v/>
      </c>
      <c r="C259" s="2" t="str">
        <f>IF('Sağ Bekler'!C61="","",'Sağ Bekler'!C61)</f>
        <v/>
      </c>
      <c r="D259" t="str">
        <f ca="1">IF('Sağ Bekler'!D61="","",'Sağ Bekler'!D61)</f>
        <v/>
      </c>
      <c r="E259" t="str">
        <f>IF('Sağ Bekler'!E61="","",'Sağ Bekler'!E61)</f>
        <v>Sağ Bek</v>
      </c>
      <c r="F259" t="str">
        <f>IF('Sağ Bekler'!G61="","",'Sağ Bekler'!G61)</f>
        <v/>
      </c>
      <c r="G259" s="2" t="str">
        <f>IF('Sağ Bekler'!H61="","",'Sağ Bekler'!H61)</f>
        <v/>
      </c>
      <c r="H259" t="str">
        <f>IF('Sağ Bekler'!I61="","",'Sağ Bekler'!I61)</f>
        <v/>
      </c>
      <c r="I259" t="str">
        <f>IF('Sağ Bekler'!A61="","",'Sağ Bekler'!J61)</f>
        <v/>
      </c>
      <c r="J259" t="str">
        <f>IF('Sağ Bekler'!A61="","",'Sağ Bekler'!K61)</f>
        <v/>
      </c>
      <c r="K259" t="str">
        <f>IF('Sağ Bekler'!L61="","",'Sağ Bekler'!L61)</f>
        <v/>
      </c>
      <c r="L259" t="str">
        <f>IF('Sağ Bekler'!M61="","",'Sağ Bekler'!M61)</f>
        <v/>
      </c>
      <c r="M259" t="str">
        <f>IF('Sağ Bekler'!N61="","",'Sağ Bekler'!N61)</f>
        <v/>
      </c>
      <c r="N259" t="str">
        <f>IF('Sağ Bekler'!O61="","",'Sağ Bekler'!O61)</f>
        <v/>
      </c>
      <c r="O259" t="str">
        <f>IF('Sağ Bekler'!P61="","",'Sağ Bekler'!P61)</f>
        <v/>
      </c>
      <c r="P259" t="str">
        <f>IF('Sağ Bekler'!Q61="","",'Sağ Bekler'!Q61)</f>
        <v/>
      </c>
      <c r="Q259" t="str">
        <f>IF('Sağ Bekler'!R61="","",'Sağ Bekler'!R61)</f>
        <v/>
      </c>
      <c r="R259" t="str">
        <f>IF('Sağ Bekler'!S61="","",'Sağ Bekler'!S61)</f>
        <v/>
      </c>
      <c r="S259" t="str">
        <f>IF('Sağ Bekler'!T61="","",'Sağ Bekler'!T61)</f>
        <v/>
      </c>
      <c r="T259" s="2" t="str">
        <f>IF('Sağ Bekler'!U61="","",'Sağ Bekler'!U61)</f>
        <v/>
      </c>
      <c r="U259" t="s">
        <v>928</v>
      </c>
      <c r="V259">
        <v>61</v>
      </c>
      <c r="W259" t="str">
        <f ca="1">IF(AND($A259&lt;&gt;"",ISNUMBER($G259),$G259&gt;=TODAY(),$G259&lt;=EDATE(TODAY(),12)),COUNTIFS($G$2:$G$1001,"&gt;="&amp;TODAY(),$G$2:$G$1001,"&lt;"&amp;$G259,$A$2:$A$1001,"&lt;&gt;")+COUNTIFS($G$2:$G259,$G259,$A$2:$A259,"&lt;&gt;"),"")</f>
        <v/>
      </c>
      <c r="X259" t="str">
        <f>IF(AND($A259&lt;&gt;"",ISNUMBER($C259),$C259&gt;=DATE(2003,1,1)),COUNTIFS($C$2:$C259,"&gt;="&amp;DATE(2003,1,1),$A$2:$A259,"&lt;&gt;"),"")</f>
        <v/>
      </c>
    </row>
    <row r="260" spans="1:24">
      <c r="A260" t="str">
        <f>IF('Sağ Bekler'!A62="","",'Sağ Bekler'!A62)</f>
        <v/>
      </c>
      <c r="B260" t="str">
        <f>IF('Sağ Bekler'!B62="","",'Sağ Bekler'!B62)</f>
        <v/>
      </c>
      <c r="C260" s="2" t="str">
        <f>IF('Sağ Bekler'!C62="","",'Sağ Bekler'!C62)</f>
        <v/>
      </c>
      <c r="D260" t="str">
        <f ca="1">IF('Sağ Bekler'!D62="","",'Sağ Bekler'!D62)</f>
        <v/>
      </c>
      <c r="E260" t="str">
        <f>IF('Sağ Bekler'!E62="","",'Sağ Bekler'!E62)</f>
        <v>Sağ Bek</v>
      </c>
      <c r="F260" t="str">
        <f>IF('Sağ Bekler'!G62="","",'Sağ Bekler'!G62)</f>
        <v/>
      </c>
      <c r="G260" s="2" t="str">
        <f>IF('Sağ Bekler'!H62="","",'Sağ Bekler'!H62)</f>
        <v/>
      </c>
      <c r="H260" t="str">
        <f>IF('Sağ Bekler'!I62="","",'Sağ Bekler'!I62)</f>
        <v/>
      </c>
      <c r="I260" t="str">
        <f>IF('Sağ Bekler'!A62="","",'Sağ Bekler'!J62)</f>
        <v/>
      </c>
      <c r="J260" t="str">
        <f>IF('Sağ Bekler'!A62="","",'Sağ Bekler'!K62)</f>
        <v/>
      </c>
      <c r="K260" t="str">
        <f>IF('Sağ Bekler'!L62="","",'Sağ Bekler'!L62)</f>
        <v/>
      </c>
      <c r="L260" t="str">
        <f>IF('Sağ Bekler'!M62="","",'Sağ Bekler'!M62)</f>
        <v/>
      </c>
      <c r="M260" t="str">
        <f>IF('Sağ Bekler'!N62="","",'Sağ Bekler'!N62)</f>
        <v/>
      </c>
      <c r="N260" t="str">
        <f>IF('Sağ Bekler'!O62="","",'Sağ Bekler'!O62)</f>
        <v/>
      </c>
      <c r="O260" t="str">
        <f>IF('Sağ Bekler'!P62="","",'Sağ Bekler'!P62)</f>
        <v/>
      </c>
      <c r="P260" t="str">
        <f>IF('Sağ Bekler'!Q62="","",'Sağ Bekler'!Q62)</f>
        <v/>
      </c>
      <c r="Q260" t="str">
        <f>IF('Sağ Bekler'!R62="","",'Sağ Bekler'!R62)</f>
        <v/>
      </c>
      <c r="R260" t="str">
        <f>IF('Sağ Bekler'!S62="","",'Sağ Bekler'!S62)</f>
        <v/>
      </c>
      <c r="S260" t="str">
        <f>IF('Sağ Bekler'!T62="","",'Sağ Bekler'!T62)</f>
        <v/>
      </c>
      <c r="T260" s="2" t="str">
        <f>IF('Sağ Bekler'!U62="","",'Sağ Bekler'!U62)</f>
        <v/>
      </c>
      <c r="U260" t="s">
        <v>928</v>
      </c>
      <c r="V260">
        <v>62</v>
      </c>
      <c r="W260" t="str">
        <f ca="1">IF(AND($A260&lt;&gt;"",ISNUMBER($G260),$G260&gt;=TODAY(),$G260&lt;=EDATE(TODAY(),12)),COUNTIFS($G$2:$G$1001,"&gt;="&amp;TODAY(),$G$2:$G$1001,"&lt;"&amp;$G260,$A$2:$A$1001,"&lt;&gt;")+COUNTIFS($G$2:$G260,$G260,$A$2:$A260,"&lt;&gt;"),"")</f>
        <v/>
      </c>
      <c r="X260" t="str">
        <f>IF(AND($A260&lt;&gt;"",ISNUMBER($C260),$C260&gt;=DATE(2003,1,1)),COUNTIFS($C$2:$C260,"&gt;="&amp;DATE(2003,1,1),$A$2:$A260,"&lt;&gt;"),"")</f>
        <v/>
      </c>
    </row>
    <row r="261" spans="1:24">
      <c r="A261" t="str">
        <f>IF('Sağ Bekler'!A63="","",'Sağ Bekler'!A63)</f>
        <v/>
      </c>
      <c r="B261" t="str">
        <f>IF('Sağ Bekler'!B63="","",'Sağ Bekler'!B63)</f>
        <v/>
      </c>
      <c r="C261" s="2" t="str">
        <f>IF('Sağ Bekler'!C63="","",'Sağ Bekler'!C63)</f>
        <v/>
      </c>
      <c r="D261" t="str">
        <f ca="1">IF('Sağ Bekler'!D63="","",'Sağ Bekler'!D63)</f>
        <v/>
      </c>
      <c r="E261" t="str">
        <f>IF('Sağ Bekler'!E63="","",'Sağ Bekler'!E63)</f>
        <v>Sağ Bek</v>
      </c>
      <c r="F261" t="str">
        <f>IF('Sağ Bekler'!G63="","",'Sağ Bekler'!G63)</f>
        <v/>
      </c>
      <c r="G261" s="2" t="str">
        <f>IF('Sağ Bekler'!H63="","",'Sağ Bekler'!H63)</f>
        <v/>
      </c>
      <c r="H261" t="str">
        <f>IF('Sağ Bekler'!I63="","",'Sağ Bekler'!I63)</f>
        <v/>
      </c>
      <c r="I261" t="str">
        <f>IF('Sağ Bekler'!A63="","",'Sağ Bekler'!J63)</f>
        <v/>
      </c>
      <c r="J261" t="str">
        <f>IF('Sağ Bekler'!A63="","",'Sağ Bekler'!K63)</f>
        <v/>
      </c>
      <c r="K261" t="str">
        <f>IF('Sağ Bekler'!L63="","",'Sağ Bekler'!L63)</f>
        <v/>
      </c>
      <c r="L261" t="str">
        <f>IF('Sağ Bekler'!M63="","",'Sağ Bekler'!M63)</f>
        <v/>
      </c>
      <c r="M261" t="str">
        <f>IF('Sağ Bekler'!N63="","",'Sağ Bekler'!N63)</f>
        <v/>
      </c>
      <c r="N261" t="str">
        <f>IF('Sağ Bekler'!O63="","",'Sağ Bekler'!O63)</f>
        <v/>
      </c>
      <c r="O261" t="str">
        <f>IF('Sağ Bekler'!P63="","",'Sağ Bekler'!P63)</f>
        <v/>
      </c>
      <c r="P261" t="str">
        <f>IF('Sağ Bekler'!Q63="","",'Sağ Bekler'!Q63)</f>
        <v/>
      </c>
      <c r="Q261" t="str">
        <f>IF('Sağ Bekler'!R63="","",'Sağ Bekler'!R63)</f>
        <v/>
      </c>
      <c r="R261" t="str">
        <f>IF('Sağ Bekler'!S63="","",'Sağ Bekler'!S63)</f>
        <v/>
      </c>
      <c r="S261" t="str">
        <f>IF('Sağ Bekler'!T63="","",'Sağ Bekler'!T63)</f>
        <v/>
      </c>
      <c r="T261" s="2" t="str">
        <f>IF('Sağ Bekler'!U63="","",'Sağ Bekler'!U63)</f>
        <v/>
      </c>
      <c r="U261" t="s">
        <v>928</v>
      </c>
      <c r="V261">
        <v>63</v>
      </c>
      <c r="W261" t="str">
        <f ca="1">IF(AND($A261&lt;&gt;"",ISNUMBER($G261),$G261&gt;=TODAY(),$G261&lt;=EDATE(TODAY(),12)),COUNTIFS($G$2:$G$1001,"&gt;="&amp;TODAY(),$G$2:$G$1001,"&lt;"&amp;$G261,$A$2:$A$1001,"&lt;&gt;")+COUNTIFS($G$2:$G261,$G261,$A$2:$A261,"&lt;&gt;"),"")</f>
        <v/>
      </c>
      <c r="X261" t="str">
        <f>IF(AND($A261&lt;&gt;"",ISNUMBER($C261),$C261&gt;=DATE(2003,1,1)),COUNTIFS($C$2:$C261,"&gt;="&amp;DATE(2003,1,1),$A$2:$A261,"&lt;&gt;"),"")</f>
        <v/>
      </c>
    </row>
    <row r="262" spans="1:24">
      <c r="A262" t="str">
        <f>IF('Sağ Bekler'!A64="","",'Sağ Bekler'!A64)</f>
        <v/>
      </c>
      <c r="B262" t="str">
        <f>IF('Sağ Bekler'!B64="","",'Sağ Bekler'!B64)</f>
        <v/>
      </c>
      <c r="C262" s="2" t="str">
        <f>IF('Sağ Bekler'!C64="","",'Sağ Bekler'!C64)</f>
        <v/>
      </c>
      <c r="D262" t="str">
        <f ca="1">IF('Sağ Bekler'!D64="","",'Sağ Bekler'!D64)</f>
        <v/>
      </c>
      <c r="E262" t="str">
        <f>IF('Sağ Bekler'!E64="","",'Sağ Bekler'!E64)</f>
        <v>Sağ Bek</v>
      </c>
      <c r="F262" t="str">
        <f>IF('Sağ Bekler'!G64="","",'Sağ Bekler'!G64)</f>
        <v/>
      </c>
      <c r="G262" s="2" t="str">
        <f>IF('Sağ Bekler'!H64="","",'Sağ Bekler'!H64)</f>
        <v/>
      </c>
      <c r="H262" t="str">
        <f>IF('Sağ Bekler'!I64="","",'Sağ Bekler'!I64)</f>
        <v/>
      </c>
      <c r="I262" t="str">
        <f>IF('Sağ Bekler'!A64="","",'Sağ Bekler'!J64)</f>
        <v/>
      </c>
      <c r="J262" t="str">
        <f>IF('Sağ Bekler'!A64="","",'Sağ Bekler'!K64)</f>
        <v/>
      </c>
      <c r="K262" t="str">
        <f>IF('Sağ Bekler'!L64="","",'Sağ Bekler'!L64)</f>
        <v/>
      </c>
      <c r="L262" t="str">
        <f>IF('Sağ Bekler'!M64="","",'Sağ Bekler'!M64)</f>
        <v/>
      </c>
      <c r="M262" t="str">
        <f>IF('Sağ Bekler'!N64="","",'Sağ Bekler'!N64)</f>
        <v/>
      </c>
      <c r="N262" t="str">
        <f>IF('Sağ Bekler'!O64="","",'Sağ Bekler'!O64)</f>
        <v/>
      </c>
      <c r="O262" t="str">
        <f>IF('Sağ Bekler'!P64="","",'Sağ Bekler'!P64)</f>
        <v/>
      </c>
      <c r="P262" t="str">
        <f>IF('Sağ Bekler'!Q64="","",'Sağ Bekler'!Q64)</f>
        <v/>
      </c>
      <c r="Q262" t="str">
        <f>IF('Sağ Bekler'!R64="","",'Sağ Bekler'!R64)</f>
        <v/>
      </c>
      <c r="R262" t="str">
        <f>IF('Sağ Bekler'!S64="","",'Sağ Bekler'!S64)</f>
        <v/>
      </c>
      <c r="S262" t="str">
        <f>IF('Sağ Bekler'!T64="","",'Sağ Bekler'!T64)</f>
        <v/>
      </c>
      <c r="T262" s="2" t="str">
        <f>IF('Sağ Bekler'!U64="","",'Sağ Bekler'!U64)</f>
        <v/>
      </c>
      <c r="U262" t="s">
        <v>928</v>
      </c>
      <c r="V262">
        <v>64</v>
      </c>
      <c r="W262" t="str">
        <f ca="1">IF(AND($A262&lt;&gt;"",ISNUMBER($G262),$G262&gt;=TODAY(),$G262&lt;=EDATE(TODAY(),12)),COUNTIFS($G$2:$G$1001,"&gt;="&amp;TODAY(),$G$2:$G$1001,"&lt;"&amp;$G262,$A$2:$A$1001,"&lt;&gt;")+COUNTIFS($G$2:$G262,$G262,$A$2:$A262,"&lt;&gt;"),"")</f>
        <v/>
      </c>
      <c r="X262" t="str">
        <f>IF(AND($A262&lt;&gt;"",ISNUMBER($C262),$C262&gt;=DATE(2003,1,1)),COUNTIFS($C$2:$C262,"&gt;="&amp;DATE(2003,1,1),$A$2:$A262,"&lt;&gt;"),"")</f>
        <v/>
      </c>
    </row>
    <row r="263" spans="1:24">
      <c r="A263" t="str">
        <f>IF('Sağ Bekler'!A65="","",'Sağ Bekler'!A65)</f>
        <v/>
      </c>
      <c r="B263" t="str">
        <f>IF('Sağ Bekler'!B65="","",'Sağ Bekler'!B65)</f>
        <v/>
      </c>
      <c r="C263" s="2" t="str">
        <f>IF('Sağ Bekler'!C65="","",'Sağ Bekler'!C65)</f>
        <v/>
      </c>
      <c r="D263" t="str">
        <f ca="1">IF('Sağ Bekler'!D65="","",'Sağ Bekler'!D65)</f>
        <v/>
      </c>
      <c r="E263" t="str">
        <f>IF('Sağ Bekler'!E65="","",'Sağ Bekler'!E65)</f>
        <v>Sağ Bek</v>
      </c>
      <c r="F263" t="str">
        <f>IF('Sağ Bekler'!G65="","",'Sağ Bekler'!G65)</f>
        <v/>
      </c>
      <c r="G263" s="2" t="str">
        <f>IF('Sağ Bekler'!H65="","",'Sağ Bekler'!H65)</f>
        <v/>
      </c>
      <c r="H263" t="str">
        <f>IF('Sağ Bekler'!I65="","",'Sağ Bekler'!I65)</f>
        <v/>
      </c>
      <c r="I263" t="str">
        <f>IF('Sağ Bekler'!A65="","",'Sağ Bekler'!J65)</f>
        <v/>
      </c>
      <c r="J263" t="str">
        <f>IF('Sağ Bekler'!A65="","",'Sağ Bekler'!K65)</f>
        <v/>
      </c>
      <c r="K263" t="str">
        <f>IF('Sağ Bekler'!L65="","",'Sağ Bekler'!L65)</f>
        <v/>
      </c>
      <c r="L263" t="str">
        <f>IF('Sağ Bekler'!M65="","",'Sağ Bekler'!M65)</f>
        <v/>
      </c>
      <c r="M263" t="str">
        <f>IF('Sağ Bekler'!N65="","",'Sağ Bekler'!N65)</f>
        <v/>
      </c>
      <c r="N263" t="str">
        <f>IF('Sağ Bekler'!O65="","",'Sağ Bekler'!O65)</f>
        <v/>
      </c>
      <c r="O263" t="str">
        <f>IF('Sağ Bekler'!P65="","",'Sağ Bekler'!P65)</f>
        <v/>
      </c>
      <c r="P263" t="str">
        <f>IF('Sağ Bekler'!Q65="","",'Sağ Bekler'!Q65)</f>
        <v/>
      </c>
      <c r="Q263" t="str">
        <f>IF('Sağ Bekler'!R65="","",'Sağ Bekler'!R65)</f>
        <v/>
      </c>
      <c r="R263" t="str">
        <f>IF('Sağ Bekler'!S65="","",'Sağ Bekler'!S65)</f>
        <v/>
      </c>
      <c r="S263" t="str">
        <f>IF('Sağ Bekler'!T65="","",'Sağ Bekler'!T65)</f>
        <v/>
      </c>
      <c r="T263" s="2" t="str">
        <f>IF('Sağ Bekler'!U65="","",'Sağ Bekler'!U65)</f>
        <v/>
      </c>
      <c r="U263" t="s">
        <v>928</v>
      </c>
      <c r="V263">
        <v>65</v>
      </c>
      <c r="W263" t="str">
        <f ca="1">IF(AND($A263&lt;&gt;"",ISNUMBER($G263),$G263&gt;=TODAY(),$G263&lt;=EDATE(TODAY(),12)),COUNTIFS($G$2:$G$1001,"&gt;="&amp;TODAY(),$G$2:$G$1001,"&lt;"&amp;$G263,$A$2:$A$1001,"&lt;&gt;")+COUNTIFS($G$2:$G263,$G263,$A$2:$A263,"&lt;&gt;"),"")</f>
        <v/>
      </c>
      <c r="X263" t="str">
        <f>IF(AND($A263&lt;&gt;"",ISNUMBER($C263),$C263&gt;=DATE(2003,1,1)),COUNTIFS($C$2:$C263,"&gt;="&amp;DATE(2003,1,1),$A$2:$A263,"&lt;&gt;"),"")</f>
        <v/>
      </c>
    </row>
    <row r="264" spans="1:24">
      <c r="A264" t="str">
        <f>IF('Sağ Bekler'!A66="","",'Sağ Bekler'!A66)</f>
        <v/>
      </c>
      <c r="B264" t="str">
        <f>IF('Sağ Bekler'!B66="","",'Sağ Bekler'!B66)</f>
        <v/>
      </c>
      <c r="C264" s="2" t="str">
        <f>IF('Sağ Bekler'!C66="","",'Sağ Bekler'!C66)</f>
        <v/>
      </c>
      <c r="D264" t="str">
        <f ca="1">IF('Sağ Bekler'!D66="","",'Sağ Bekler'!D66)</f>
        <v/>
      </c>
      <c r="E264" t="str">
        <f>IF('Sağ Bekler'!E66="","",'Sağ Bekler'!E66)</f>
        <v>Sağ Bek</v>
      </c>
      <c r="F264" t="str">
        <f>IF('Sağ Bekler'!G66="","",'Sağ Bekler'!G66)</f>
        <v/>
      </c>
      <c r="G264" s="2" t="str">
        <f>IF('Sağ Bekler'!H66="","",'Sağ Bekler'!H66)</f>
        <v/>
      </c>
      <c r="H264" t="str">
        <f>IF('Sağ Bekler'!I66="","",'Sağ Bekler'!I66)</f>
        <v/>
      </c>
      <c r="I264" t="str">
        <f>IF('Sağ Bekler'!A66="","",'Sağ Bekler'!J66)</f>
        <v/>
      </c>
      <c r="J264" t="str">
        <f>IF('Sağ Bekler'!A66="","",'Sağ Bekler'!K66)</f>
        <v/>
      </c>
      <c r="K264" t="str">
        <f>IF('Sağ Bekler'!L66="","",'Sağ Bekler'!L66)</f>
        <v/>
      </c>
      <c r="L264" t="str">
        <f>IF('Sağ Bekler'!M66="","",'Sağ Bekler'!M66)</f>
        <v/>
      </c>
      <c r="M264" t="str">
        <f>IF('Sağ Bekler'!N66="","",'Sağ Bekler'!N66)</f>
        <v/>
      </c>
      <c r="N264" t="str">
        <f>IF('Sağ Bekler'!O66="","",'Sağ Bekler'!O66)</f>
        <v/>
      </c>
      <c r="O264" t="str">
        <f>IF('Sağ Bekler'!P66="","",'Sağ Bekler'!P66)</f>
        <v/>
      </c>
      <c r="P264" t="str">
        <f>IF('Sağ Bekler'!Q66="","",'Sağ Bekler'!Q66)</f>
        <v/>
      </c>
      <c r="Q264" t="str">
        <f>IF('Sağ Bekler'!R66="","",'Sağ Bekler'!R66)</f>
        <v/>
      </c>
      <c r="R264" t="str">
        <f>IF('Sağ Bekler'!S66="","",'Sağ Bekler'!S66)</f>
        <v/>
      </c>
      <c r="S264" t="str">
        <f>IF('Sağ Bekler'!T66="","",'Sağ Bekler'!T66)</f>
        <v/>
      </c>
      <c r="T264" s="2" t="str">
        <f>IF('Sağ Bekler'!U66="","",'Sağ Bekler'!U66)</f>
        <v/>
      </c>
      <c r="U264" t="s">
        <v>928</v>
      </c>
      <c r="V264">
        <v>66</v>
      </c>
      <c r="W264" t="str">
        <f ca="1">IF(AND($A264&lt;&gt;"",ISNUMBER($G264),$G264&gt;=TODAY(),$G264&lt;=EDATE(TODAY(),12)),COUNTIFS($G$2:$G$1001,"&gt;="&amp;TODAY(),$G$2:$G$1001,"&lt;"&amp;$G264,$A$2:$A$1001,"&lt;&gt;")+COUNTIFS($G$2:$G264,$G264,$A$2:$A264,"&lt;&gt;"),"")</f>
        <v/>
      </c>
      <c r="X264" t="str">
        <f>IF(AND($A264&lt;&gt;"",ISNUMBER($C264),$C264&gt;=DATE(2003,1,1)),COUNTIFS($C$2:$C264,"&gt;="&amp;DATE(2003,1,1),$A$2:$A264,"&lt;&gt;"),"")</f>
        <v/>
      </c>
    </row>
    <row r="265" spans="1:24">
      <c r="A265" t="str">
        <f>IF('Sağ Bekler'!A67="","",'Sağ Bekler'!A67)</f>
        <v/>
      </c>
      <c r="B265" t="str">
        <f>IF('Sağ Bekler'!B67="","",'Sağ Bekler'!B67)</f>
        <v/>
      </c>
      <c r="C265" s="2" t="str">
        <f>IF('Sağ Bekler'!C67="","",'Sağ Bekler'!C67)</f>
        <v/>
      </c>
      <c r="D265" t="str">
        <f ca="1">IF('Sağ Bekler'!D67="","",'Sağ Bekler'!D67)</f>
        <v/>
      </c>
      <c r="E265" t="str">
        <f>IF('Sağ Bekler'!E67="","",'Sağ Bekler'!E67)</f>
        <v>Sağ Bek</v>
      </c>
      <c r="F265" t="str">
        <f>IF('Sağ Bekler'!G67="","",'Sağ Bekler'!G67)</f>
        <v/>
      </c>
      <c r="G265" s="2" t="str">
        <f>IF('Sağ Bekler'!H67="","",'Sağ Bekler'!H67)</f>
        <v/>
      </c>
      <c r="H265" t="str">
        <f>IF('Sağ Bekler'!I67="","",'Sağ Bekler'!I67)</f>
        <v/>
      </c>
      <c r="I265" t="str">
        <f>IF('Sağ Bekler'!A67="","",'Sağ Bekler'!J67)</f>
        <v/>
      </c>
      <c r="J265" t="str">
        <f>IF('Sağ Bekler'!A67="","",'Sağ Bekler'!K67)</f>
        <v/>
      </c>
      <c r="K265" t="str">
        <f>IF('Sağ Bekler'!L67="","",'Sağ Bekler'!L67)</f>
        <v/>
      </c>
      <c r="L265" t="str">
        <f>IF('Sağ Bekler'!M67="","",'Sağ Bekler'!M67)</f>
        <v/>
      </c>
      <c r="M265" t="str">
        <f>IF('Sağ Bekler'!N67="","",'Sağ Bekler'!N67)</f>
        <v/>
      </c>
      <c r="N265" t="str">
        <f>IF('Sağ Bekler'!O67="","",'Sağ Bekler'!O67)</f>
        <v/>
      </c>
      <c r="O265" t="str">
        <f>IF('Sağ Bekler'!P67="","",'Sağ Bekler'!P67)</f>
        <v/>
      </c>
      <c r="P265" t="str">
        <f>IF('Sağ Bekler'!Q67="","",'Sağ Bekler'!Q67)</f>
        <v/>
      </c>
      <c r="Q265" t="str">
        <f>IF('Sağ Bekler'!R67="","",'Sağ Bekler'!R67)</f>
        <v/>
      </c>
      <c r="R265" t="str">
        <f>IF('Sağ Bekler'!S67="","",'Sağ Bekler'!S67)</f>
        <v/>
      </c>
      <c r="S265" t="str">
        <f>IF('Sağ Bekler'!T67="","",'Sağ Bekler'!T67)</f>
        <v/>
      </c>
      <c r="T265" s="2" t="str">
        <f>IF('Sağ Bekler'!U67="","",'Sağ Bekler'!U67)</f>
        <v/>
      </c>
      <c r="U265" t="s">
        <v>928</v>
      </c>
      <c r="V265">
        <v>67</v>
      </c>
      <c r="W265" t="str">
        <f ca="1">IF(AND($A265&lt;&gt;"",ISNUMBER($G265),$G265&gt;=TODAY(),$G265&lt;=EDATE(TODAY(),12)),COUNTIFS($G$2:$G$1001,"&gt;="&amp;TODAY(),$G$2:$G$1001,"&lt;"&amp;$G265,$A$2:$A$1001,"&lt;&gt;")+COUNTIFS($G$2:$G265,$G265,$A$2:$A265,"&lt;&gt;"),"")</f>
        <v/>
      </c>
      <c r="X265" t="str">
        <f>IF(AND($A265&lt;&gt;"",ISNUMBER($C265),$C265&gt;=DATE(2003,1,1)),COUNTIFS($C$2:$C265,"&gt;="&amp;DATE(2003,1,1),$A$2:$A265,"&lt;&gt;"),"")</f>
        <v/>
      </c>
    </row>
    <row r="266" spans="1:24">
      <c r="A266" t="str">
        <f>IF('Sağ Bekler'!A68="","",'Sağ Bekler'!A68)</f>
        <v/>
      </c>
      <c r="B266" t="str">
        <f>IF('Sağ Bekler'!B68="","",'Sağ Bekler'!B68)</f>
        <v/>
      </c>
      <c r="C266" s="2" t="str">
        <f>IF('Sağ Bekler'!C68="","",'Sağ Bekler'!C68)</f>
        <v/>
      </c>
      <c r="D266" t="str">
        <f ca="1">IF('Sağ Bekler'!D68="","",'Sağ Bekler'!D68)</f>
        <v/>
      </c>
      <c r="E266" t="str">
        <f>IF('Sağ Bekler'!E68="","",'Sağ Bekler'!E68)</f>
        <v>Sağ Bek</v>
      </c>
      <c r="F266" t="str">
        <f>IF('Sağ Bekler'!G68="","",'Sağ Bekler'!G68)</f>
        <v/>
      </c>
      <c r="G266" s="2" t="str">
        <f>IF('Sağ Bekler'!H68="","",'Sağ Bekler'!H68)</f>
        <v/>
      </c>
      <c r="H266" t="str">
        <f>IF('Sağ Bekler'!I68="","",'Sağ Bekler'!I68)</f>
        <v/>
      </c>
      <c r="I266" t="str">
        <f>IF('Sağ Bekler'!A68="","",'Sağ Bekler'!J68)</f>
        <v/>
      </c>
      <c r="J266" t="str">
        <f>IF('Sağ Bekler'!A68="","",'Sağ Bekler'!K68)</f>
        <v/>
      </c>
      <c r="K266" t="str">
        <f>IF('Sağ Bekler'!L68="","",'Sağ Bekler'!L68)</f>
        <v/>
      </c>
      <c r="L266" t="str">
        <f>IF('Sağ Bekler'!M68="","",'Sağ Bekler'!M68)</f>
        <v/>
      </c>
      <c r="M266" t="str">
        <f>IF('Sağ Bekler'!N68="","",'Sağ Bekler'!N68)</f>
        <v/>
      </c>
      <c r="N266" t="str">
        <f>IF('Sağ Bekler'!O68="","",'Sağ Bekler'!O68)</f>
        <v/>
      </c>
      <c r="O266" t="str">
        <f>IF('Sağ Bekler'!P68="","",'Sağ Bekler'!P68)</f>
        <v/>
      </c>
      <c r="P266" t="str">
        <f>IF('Sağ Bekler'!Q68="","",'Sağ Bekler'!Q68)</f>
        <v/>
      </c>
      <c r="Q266" t="str">
        <f>IF('Sağ Bekler'!R68="","",'Sağ Bekler'!R68)</f>
        <v/>
      </c>
      <c r="R266" t="str">
        <f>IF('Sağ Bekler'!S68="","",'Sağ Bekler'!S68)</f>
        <v/>
      </c>
      <c r="S266" t="str">
        <f>IF('Sağ Bekler'!T68="","",'Sağ Bekler'!T68)</f>
        <v/>
      </c>
      <c r="T266" s="2" t="str">
        <f>IF('Sağ Bekler'!U68="","",'Sağ Bekler'!U68)</f>
        <v/>
      </c>
      <c r="U266" t="s">
        <v>928</v>
      </c>
      <c r="V266">
        <v>68</v>
      </c>
      <c r="W266" t="str">
        <f ca="1">IF(AND($A266&lt;&gt;"",ISNUMBER($G266),$G266&gt;=TODAY(),$G266&lt;=EDATE(TODAY(),12)),COUNTIFS($G$2:$G$1001,"&gt;="&amp;TODAY(),$G$2:$G$1001,"&lt;"&amp;$G266,$A$2:$A$1001,"&lt;&gt;")+COUNTIFS($G$2:$G266,$G266,$A$2:$A266,"&lt;&gt;"),"")</f>
        <v/>
      </c>
      <c r="X266" t="str">
        <f>IF(AND($A266&lt;&gt;"",ISNUMBER($C266),$C266&gt;=DATE(2003,1,1)),COUNTIFS($C$2:$C266,"&gt;="&amp;DATE(2003,1,1),$A$2:$A266,"&lt;&gt;"),"")</f>
        <v/>
      </c>
    </row>
    <row r="267" spans="1:24">
      <c r="A267" t="str">
        <f>IF('Sağ Bekler'!A69="","",'Sağ Bekler'!A69)</f>
        <v/>
      </c>
      <c r="B267" t="str">
        <f>IF('Sağ Bekler'!B69="","",'Sağ Bekler'!B69)</f>
        <v/>
      </c>
      <c r="C267" s="2" t="str">
        <f>IF('Sağ Bekler'!C69="","",'Sağ Bekler'!C69)</f>
        <v/>
      </c>
      <c r="D267" t="str">
        <f ca="1">IF('Sağ Bekler'!D69="","",'Sağ Bekler'!D69)</f>
        <v/>
      </c>
      <c r="E267" t="str">
        <f>IF('Sağ Bekler'!E69="","",'Sağ Bekler'!E69)</f>
        <v>Sağ Bek</v>
      </c>
      <c r="F267" t="str">
        <f>IF('Sağ Bekler'!G69="","",'Sağ Bekler'!G69)</f>
        <v/>
      </c>
      <c r="G267" s="2" t="str">
        <f>IF('Sağ Bekler'!H69="","",'Sağ Bekler'!H69)</f>
        <v/>
      </c>
      <c r="H267" t="str">
        <f>IF('Sağ Bekler'!I69="","",'Sağ Bekler'!I69)</f>
        <v/>
      </c>
      <c r="I267" t="str">
        <f>IF('Sağ Bekler'!A69="","",'Sağ Bekler'!J69)</f>
        <v/>
      </c>
      <c r="J267" t="str">
        <f>IF('Sağ Bekler'!A69="","",'Sağ Bekler'!K69)</f>
        <v/>
      </c>
      <c r="K267" t="str">
        <f>IF('Sağ Bekler'!L69="","",'Sağ Bekler'!L69)</f>
        <v/>
      </c>
      <c r="L267" t="str">
        <f>IF('Sağ Bekler'!M69="","",'Sağ Bekler'!M69)</f>
        <v/>
      </c>
      <c r="M267" t="str">
        <f>IF('Sağ Bekler'!N69="","",'Sağ Bekler'!N69)</f>
        <v/>
      </c>
      <c r="N267" t="str">
        <f>IF('Sağ Bekler'!O69="","",'Sağ Bekler'!O69)</f>
        <v/>
      </c>
      <c r="O267" t="str">
        <f>IF('Sağ Bekler'!P69="","",'Sağ Bekler'!P69)</f>
        <v/>
      </c>
      <c r="P267" t="str">
        <f>IF('Sağ Bekler'!Q69="","",'Sağ Bekler'!Q69)</f>
        <v/>
      </c>
      <c r="Q267" t="str">
        <f>IF('Sağ Bekler'!R69="","",'Sağ Bekler'!R69)</f>
        <v/>
      </c>
      <c r="R267" t="str">
        <f>IF('Sağ Bekler'!S69="","",'Sağ Bekler'!S69)</f>
        <v/>
      </c>
      <c r="S267" t="str">
        <f>IF('Sağ Bekler'!T69="","",'Sağ Bekler'!T69)</f>
        <v/>
      </c>
      <c r="T267" s="2" t="str">
        <f>IF('Sağ Bekler'!U69="","",'Sağ Bekler'!U69)</f>
        <v/>
      </c>
      <c r="U267" t="s">
        <v>928</v>
      </c>
      <c r="V267">
        <v>69</v>
      </c>
      <c r="W267" t="str">
        <f ca="1">IF(AND($A267&lt;&gt;"",ISNUMBER($G267),$G267&gt;=TODAY(),$G267&lt;=EDATE(TODAY(),12)),COUNTIFS($G$2:$G$1001,"&gt;="&amp;TODAY(),$G$2:$G$1001,"&lt;"&amp;$G267,$A$2:$A$1001,"&lt;&gt;")+COUNTIFS($G$2:$G267,$G267,$A$2:$A267,"&lt;&gt;"),"")</f>
        <v/>
      </c>
      <c r="X267" t="str">
        <f>IF(AND($A267&lt;&gt;"",ISNUMBER($C267),$C267&gt;=DATE(2003,1,1)),COUNTIFS($C$2:$C267,"&gt;="&amp;DATE(2003,1,1),$A$2:$A267,"&lt;&gt;"),"")</f>
        <v/>
      </c>
    </row>
    <row r="268" spans="1:24">
      <c r="A268" t="str">
        <f>IF('Sağ Bekler'!A70="","",'Sağ Bekler'!A70)</f>
        <v/>
      </c>
      <c r="B268" t="str">
        <f>IF('Sağ Bekler'!B70="","",'Sağ Bekler'!B70)</f>
        <v/>
      </c>
      <c r="C268" s="2" t="str">
        <f>IF('Sağ Bekler'!C70="","",'Sağ Bekler'!C70)</f>
        <v/>
      </c>
      <c r="D268" t="str">
        <f ca="1">IF('Sağ Bekler'!D70="","",'Sağ Bekler'!D70)</f>
        <v/>
      </c>
      <c r="E268" t="str">
        <f>IF('Sağ Bekler'!E70="","",'Sağ Bekler'!E70)</f>
        <v>Sağ Bek</v>
      </c>
      <c r="F268" t="str">
        <f>IF('Sağ Bekler'!G70="","",'Sağ Bekler'!G70)</f>
        <v/>
      </c>
      <c r="G268" s="2" t="str">
        <f>IF('Sağ Bekler'!H70="","",'Sağ Bekler'!H70)</f>
        <v/>
      </c>
      <c r="H268" t="str">
        <f>IF('Sağ Bekler'!I70="","",'Sağ Bekler'!I70)</f>
        <v/>
      </c>
      <c r="I268" t="str">
        <f>IF('Sağ Bekler'!A70="","",'Sağ Bekler'!J70)</f>
        <v/>
      </c>
      <c r="J268" t="str">
        <f>IF('Sağ Bekler'!A70="","",'Sağ Bekler'!K70)</f>
        <v/>
      </c>
      <c r="K268" t="str">
        <f>IF('Sağ Bekler'!L70="","",'Sağ Bekler'!L70)</f>
        <v/>
      </c>
      <c r="L268" t="str">
        <f>IF('Sağ Bekler'!M70="","",'Sağ Bekler'!M70)</f>
        <v/>
      </c>
      <c r="M268" t="str">
        <f>IF('Sağ Bekler'!N70="","",'Sağ Bekler'!N70)</f>
        <v/>
      </c>
      <c r="N268" t="str">
        <f>IF('Sağ Bekler'!O70="","",'Sağ Bekler'!O70)</f>
        <v/>
      </c>
      <c r="O268" t="str">
        <f>IF('Sağ Bekler'!P70="","",'Sağ Bekler'!P70)</f>
        <v/>
      </c>
      <c r="P268" t="str">
        <f>IF('Sağ Bekler'!Q70="","",'Sağ Bekler'!Q70)</f>
        <v/>
      </c>
      <c r="Q268" t="str">
        <f>IF('Sağ Bekler'!R70="","",'Sağ Bekler'!R70)</f>
        <v/>
      </c>
      <c r="R268" t="str">
        <f>IF('Sağ Bekler'!S70="","",'Sağ Bekler'!S70)</f>
        <v/>
      </c>
      <c r="S268" t="str">
        <f>IF('Sağ Bekler'!T70="","",'Sağ Bekler'!T70)</f>
        <v/>
      </c>
      <c r="T268" s="2" t="str">
        <f>IF('Sağ Bekler'!U70="","",'Sağ Bekler'!U70)</f>
        <v/>
      </c>
      <c r="U268" t="s">
        <v>928</v>
      </c>
      <c r="V268">
        <v>70</v>
      </c>
      <c r="W268" t="str">
        <f ca="1">IF(AND($A268&lt;&gt;"",ISNUMBER($G268),$G268&gt;=TODAY(),$G268&lt;=EDATE(TODAY(),12)),COUNTIFS($G$2:$G$1001,"&gt;="&amp;TODAY(),$G$2:$G$1001,"&lt;"&amp;$G268,$A$2:$A$1001,"&lt;&gt;")+COUNTIFS($G$2:$G268,$G268,$A$2:$A268,"&lt;&gt;"),"")</f>
        <v/>
      </c>
      <c r="X268" t="str">
        <f>IF(AND($A268&lt;&gt;"",ISNUMBER($C268),$C268&gt;=DATE(2003,1,1)),COUNTIFS($C$2:$C268,"&gt;="&amp;DATE(2003,1,1),$A$2:$A268,"&lt;&gt;"),"")</f>
        <v/>
      </c>
    </row>
    <row r="269" spans="1:24">
      <c r="A269" t="str">
        <f>IF('Sağ Bekler'!A71="","",'Sağ Bekler'!A71)</f>
        <v/>
      </c>
      <c r="B269" t="str">
        <f>IF('Sağ Bekler'!B71="","",'Sağ Bekler'!B71)</f>
        <v/>
      </c>
      <c r="C269" s="2" t="str">
        <f>IF('Sağ Bekler'!C71="","",'Sağ Bekler'!C71)</f>
        <v/>
      </c>
      <c r="D269" t="str">
        <f ca="1">IF('Sağ Bekler'!D71="","",'Sağ Bekler'!D71)</f>
        <v/>
      </c>
      <c r="E269" t="str">
        <f>IF('Sağ Bekler'!E71="","",'Sağ Bekler'!E71)</f>
        <v>Sağ Bek</v>
      </c>
      <c r="F269" t="str">
        <f>IF('Sağ Bekler'!G71="","",'Sağ Bekler'!G71)</f>
        <v/>
      </c>
      <c r="G269" s="2" t="str">
        <f>IF('Sağ Bekler'!H71="","",'Sağ Bekler'!H71)</f>
        <v/>
      </c>
      <c r="H269" t="str">
        <f>IF('Sağ Bekler'!I71="","",'Sağ Bekler'!I71)</f>
        <v/>
      </c>
      <c r="I269" t="str">
        <f>IF('Sağ Bekler'!A71="","",'Sağ Bekler'!J71)</f>
        <v/>
      </c>
      <c r="J269" t="str">
        <f>IF('Sağ Bekler'!A71="","",'Sağ Bekler'!K71)</f>
        <v/>
      </c>
      <c r="K269" t="str">
        <f>IF('Sağ Bekler'!L71="","",'Sağ Bekler'!L71)</f>
        <v/>
      </c>
      <c r="L269" t="str">
        <f>IF('Sağ Bekler'!M71="","",'Sağ Bekler'!M71)</f>
        <v/>
      </c>
      <c r="M269" t="str">
        <f>IF('Sağ Bekler'!N71="","",'Sağ Bekler'!N71)</f>
        <v/>
      </c>
      <c r="N269" t="str">
        <f>IF('Sağ Bekler'!O71="","",'Sağ Bekler'!O71)</f>
        <v/>
      </c>
      <c r="O269" t="str">
        <f>IF('Sağ Bekler'!P71="","",'Sağ Bekler'!P71)</f>
        <v/>
      </c>
      <c r="P269" t="str">
        <f>IF('Sağ Bekler'!Q71="","",'Sağ Bekler'!Q71)</f>
        <v/>
      </c>
      <c r="Q269" t="str">
        <f>IF('Sağ Bekler'!R71="","",'Sağ Bekler'!R71)</f>
        <v/>
      </c>
      <c r="R269" t="str">
        <f>IF('Sağ Bekler'!S71="","",'Sağ Bekler'!S71)</f>
        <v/>
      </c>
      <c r="S269" t="str">
        <f>IF('Sağ Bekler'!T71="","",'Sağ Bekler'!T71)</f>
        <v/>
      </c>
      <c r="T269" s="2" t="str">
        <f>IF('Sağ Bekler'!U71="","",'Sağ Bekler'!U71)</f>
        <v/>
      </c>
      <c r="U269" t="s">
        <v>928</v>
      </c>
      <c r="V269">
        <v>71</v>
      </c>
      <c r="W269" t="str">
        <f ca="1">IF(AND($A269&lt;&gt;"",ISNUMBER($G269),$G269&gt;=TODAY(),$G269&lt;=EDATE(TODAY(),12)),COUNTIFS($G$2:$G$1001,"&gt;="&amp;TODAY(),$G$2:$G$1001,"&lt;"&amp;$G269,$A$2:$A$1001,"&lt;&gt;")+COUNTIFS($G$2:$G269,$G269,$A$2:$A269,"&lt;&gt;"),"")</f>
        <v/>
      </c>
      <c r="X269" t="str">
        <f>IF(AND($A269&lt;&gt;"",ISNUMBER($C269),$C269&gt;=DATE(2003,1,1)),COUNTIFS($C$2:$C269,"&gt;="&amp;DATE(2003,1,1),$A$2:$A269,"&lt;&gt;"),"")</f>
        <v/>
      </c>
    </row>
    <row r="270" spans="1:24">
      <c r="A270" t="str">
        <f>IF('Sağ Bekler'!A72="","",'Sağ Bekler'!A72)</f>
        <v/>
      </c>
      <c r="B270" t="str">
        <f>IF('Sağ Bekler'!B72="","",'Sağ Bekler'!B72)</f>
        <v/>
      </c>
      <c r="C270" s="2" t="str">
        <f>IF('Sağ Bekler'!C72="","",'Sağ Bekler'!C72)</f>
        <v/>
      </c>
      <c r="D270" t="str">
        <f ca="1">IF('Sağ Bekler'!D72="","",'Sağ Bekler'!D72)</f>
        <v/>
      </c>
      <c r="E270" t="str">
        <f>IF('Sağ Bekler'!E72="","",'Sağ Bekler'!E72)</f>
        <v>Sağ Bek</v>
      </c>
      <c r="F270" t="str">
        <f>IF('Sağ Bekler'!G72="","",'Sağ Bekler'!G72)</f>
        <v/>
      </c>
      <c r="G270" s="2" t="str">
        <f>IF('Sağ Bekler'!H72="","",'Sağ Bekler'!H72)</f>
        <v/>
      </c>
      <c r="H270" t="str">
        <f>IF('Sağ Bekler'!I72="","",'Sağ Bekler'!I72)</f>
        <v/>
      </c>
      <c r="I270" t="str">
        <f>IF('Sağ Bekler'!A72="","",'Sağ Bekler'!J72)</f>
        <v/>
      </c>
      <c r="J270" t="str">
        <f>IF('Sağ Bekler'!A72="","",'Sağ Bekler'!K72)</f>
        <v/>
      </c>
      <c r="K270" t="str">
        <f>IF('Sağ Bekler'!L72="","",'Sağ Bekler'!L72)</f>
        <v/>
      </c>
      <c r="L270" t="str">
        <f>IF('Sağ Bekler'!M72="","",'Sağ Bekler'!M72)</f>
        <v/>
      </c>
      <c r="M270" t="str">
        <f>IF('Sağ Bekler'!N72="","",'Sağ Bekler'!N72)</f>
        <v/>
      </c>
      <c r="N270" t="str">
        <f>IF('Sağ Bekler'!O72="","",'Sağ Bekler'!O72)</f>
        <v/>
      </c>
      <c r="O270" t="str">
        <f>IF('Sağ Bekler'!P72="","",'Sağ Bekler'!P72)</f>
        <v/>
      </c>
      <c r="P270" t="str">
        <f>IF('Sağ Bekler'!Q72="","",'Sağ Bekler'!Q72)</f>
        <v/>
      </c>
      <c r="Q270" t="str">
        <f>IF('Sağ Bekler'!R72="","",'Sağ Bekler'!R72)</f>
        <v/>
      </c>
      <c r="R270" t="str">
        <f>IF('Sağ Bekler'!S72="","",'Sağ Bekler'!S72)</f>
        <v/>
      </c>
      <c r="S270" t="str">
        <f>IF('Sağ Bekler'!T72="","",'Sağ Bekler'!T72)</f>
        <v/>
      </c>
      <c r="T270" s="2" t="str">
        <f>IF('Sağ Bekler'!U72="","",'Sağ Bekler'!U72)</f>
        <v/>
      </c>
      <c r="U270" t="s">
        <v>928</v>
      </c>
      <c r="V270">
        <v>72</v>
      </c>
      <c r="W270" t="str">
        <f ca="1">IF(AND($A270&lt;&gt;"",ISNUMBER($G270),$G270&gt;=TODAY(),$G270&lt;=EDATE(TODAY(),12)),COUNTIFS($G$2:$G$1001,"&gt;="&amp;TODAY(),$G$2:$G$1001,"&lt;"&amp;$G270,$A$2:$A$1001,"&lt;&gt;")+COUNTIFS($G$2:$G270,$G270,$A$2:$A270,"&lt;&gt;"),"")</f>
        <v/>
      </c>
      <c r="X270" t="str">
        <f>IF(AND($A270&lt;&gt;"",ISNUMBER($C270),$C270&gt;=DATE(2003,1,1)),COUNTIFS($C$2:$C270,"&gt;="&amp;DATE(2003,1,1),$A$2:$A270,"&lt;&gt;"),"")</f>
        <v/>
      </c>
    </row>
    <row r="271" spans="1:24">
      <c r="A271" t="str">
        <f>IF('Sağ Bekler'!A73="","",'Sağ Bekler'!A73)</f>
        <v/>
      </c>
      <c r="B271" t="str">
        <f>IF('Sağ Bekler'!B73="","",'Sağ Bekler'!B73)</f>
        <v/>
      </c>
      <c r="C271" s="2" t="str">
        <f>IF('Sağ Bekler'!C73="","",'Sağ Bekler'!C73)</f>
        <v/>
      </c>
      <c r="D271" t="str">
        <f ca="1">IF('Sağ Bekler'!D73="","",'Sağ Bekler'!D73)</f>
        <v/>
      </c>
      <c r="E271" t="str">
        <f>IF('Sağ Bekler'!E73="","",'Sağ Bekler'!E73)</f>
        <v>Sağ Bek</v>
      </c>
      <c r="F271" t="str">
        <f>IF('Sağ Bekler'!G73="","",'Sağ Bekler'!G73)</f>
        <v/>
      </c>
      <c r="G271" s="2" t="str">
        <f>IF('Sağ Bekler'!H73="","",'Sağ Bekler'!H73)</f>
        <v/>
      </c>
      <c r="H271" t="str">
        <f>IF('Sağ Bekler'!I73="","",'Sağ Bekler'!I73)</f>
        <v/>
      </c>
      <c r="I271" t="str">
        <f>IF('Sağ Bekler'!A73="","",'Sağ Bekler'!J73)</f>
        <v/>
      </c>
      <c r="J271" t="str">
        <f>IF('Sağ Bekler'!A73="","",'Sağ Bekler'!K73)</f>
        <v/>
      </c>
      <c r="K271" t="str">
        <f>IF('Sağ Bekler'!L73="","",'Sağ Bekler'!L73)</f>
        <v/>
      </c>
      <c r="L271" t="str">
        <f>IF('Sağ Bekler'!M73="","",'Sağ Bekler'!M73)</f>
        <v/>
      </c>
      <c r="M271" t="str">
        <f>IF('Sağ Bekler'!N73="","",'Sağ Bekler'!N73)</f>
        <v/>
      </c>
      <c r="N271" t="str">
        <f>IF('Sağ Bekler'!O73="","",'Sağ Bekler'!O73)</f>
        <v/>
      </c>
      <c r="O271" t="str">
        <f>IF('Sağ Bekler'!P73="","",'Sağ Bekler'!P73)</f>
        <v/>
      </c>
      <c r="P271" t="str">
        <f>IF('Sağ Bekler'!Q73="","",'Sağ Bekler'!Q73)</f>
        <v/>
      </c>
      <c r="Q271" t="str">
        <f>IF('Sağ Bekler'!R73="","",'Sağ Bekler'!R73)</f>
        <v/>
      </c>
      <c r="R271" t="str">
        <f>IF('Sağ Bekler'!S73="","",'Sağ Bekler'!S73)</f>
        <v/>
      </c>
      <c r="S271" t="str">
        <f>IF('Sağ Bekler'!T73="","",'Sağ Bekler'!T73)</f>
        <v/>
      </c>
      <c r="T271" s="2" t="str">
        <f>IF('Sağ Bekler'!U73="","",'Sağ Bekler'!U73)</f>
        <v/>
      </c>
      <c r="U271" t="s">
        <v>928</v>
      </c>
      <c r="V271">
        <v>73</v>
      </c>
      <c r="W271" t="str">
        <f ca="1">IF(AND($A271&lt;&gt;"",ISNUMBER($G271),$G271&gt;=TODAY(),$G271&lt;=EDATE(TODAY(),12)),COUNTIFS($G$2:$G$1001,"&gt;="&amp;TODAY(),$G$2:$G$1001,"&lt;"&amp;$G271,$A$2:$A$1001,"&lt;&gt;")+COUNTIFS($G$2:$G271,$G271,$A$2:$A271,"&lt;&gt;"),"")</f>
        <v/>
      </c>
      <c r="X271" t="str">
        <f>IF(AND($A271&lt;&gt;"",ISNUMBER($C271),$C271&gt;=DATE(2003,1,1)),COUNTIFS($C$2:$C271,"&gt;="&amp;DATE(2003,1,1),$A$2:$A271,"&lt;&gt;"),"")</f>
        <v/>
      </c>
    </row>
    <row r="272" spans="1:24">
      <c r="A272" t="str">
        <f>IF('Sağ Bekler'!A74="","",'Sağ Bekler'!A74)</f>
        <v/>
      </c>
      <c r="B272" t="str">
        <f>IF('Sağ Bekler'!B74="","",'Sağ Bekler'!B74)</f>
        <v/>
      </c>
      <c r="C272" s="2" t="str">
        <f>IF('Sağ Bekler'!C74="","",'Sağ Bekler'!C74)</f>
        <v/>
      </c>
      <c r="D272" t="str">
        <f ca="1">IF('Sağ Bekler'!D74="","",'Sağ Bekler'!D74)</f>
        <v/>
      </c>
      <c r="E272" t="str">
        <f>IF('Sağ Bekler'!E74="","",'Sağ Bekler'!E74)</f>
        <v>Sağ Bek</v>
      </c>
      <c r="F272" t="str">
        <f>IF('Sağ Bekler'!G74="","",'Sağ Bekler'!G74)</f>
        <v/>
      </c>
      <c r="G272" s="2" t="str">
        <f>IF('Sağ Bekler'!H74="","",'Sağ Bekler'!H74)</f>
        <v/>
      </c>
      <c r="H272" t="str">
        <f>IF('Sağ Bekler'!I74="","",'Sağ Bekler'!I74)</f>
        <v/>
      </c>
      <c r="I272" t="str">
        <f>IF('Sağ Bekler'!A74="","",'Sağ Bekler'!J74)</f>
        <v/>
      </c>
      <c r="J272" t="str">
        <f>IF('Sağ Bekler'!A74="","",'Sağ Bekler'!K74)</f>
        <v/>
      </c>
      <c r="K272" t="str">
        <f>IF('Sağ Bekler'!L74="","",'Sağ Bekler'!L74)</f>
        <v/>
      </c>
      <c r="L272" t="str">
        <f>IF('Sağ Bekler'!M74="","",'Sağ Bekler'!M74)</f>
        <v/>
      </c>
      <c r="M272" t="str">
        <f>IF('Sağ Bekler'!N74="","",'Sağ Bekler'!N74)</f>
        <v/>
      </c>
      <c r="N272" t="str">
        <f>IF('Sağ Bekler'!O74="","",'Sağ Bekler'!O74)</f>
        <v/>
      </c>
      <c r="O272" t="str">
        <f>IF('Sağ Bekler'!P74="","",'Sağ Bekler'!P74)</f>
        <v/>
      </c>
      <c r="P272" t="str">
        <f>IF('Sağ Bekler'!Q74="","",'Sağ Bekler'!Q74)</f>
        <v/>
      </c>
      <c r="Q272" t="str">
        <f>IF('Sağ Bekler'!R74="","",'Sağ Bekler'!R74)</f>
        <v/>
      </c>
      <c r="R272" t="str">
        <f>IF('Sağ Bekler'!S74="","",'Sağ Bekler'!S74)</f>
        <v/>
      </c>
      <c r="S272" t="str">
        <f>IF('Sağ Bekler'!T74="","",'Sağ Bekler'!T74)</f>
        <v/>
      </c>
      <c r="T272" s="2" t="str">
        <f>IF('Sağ Bekler'!U74="","",'Sağ Bekler'!U74)</f>
        <v/>
      </c>
      <c r="U272" t="s">
        <v>928</v>
      </c>
      <c r="V272">
        <v>74</v>
      </c>
      <c r="W272" t="str">
        <f ca="1">IF(AND($A272&lt;&gt;"",ISNUMBER($G272),$G272&gt;=TODAY(),$G272&lt;=EDATE(TODAY(),12)),COUNTIFS($G$2:$G$1001,"&gt;="&amp;TODAY(),$G$2:$G$1001,"&lt;"&amp;$G272,$A$2:$A$1001,"&lt;&gt;")+COUNTIFS($G$2:$G272,$G272,$A$2:$A272,"&lt;&gt;"),"")</f>
        <v/>
      </c>
      <c r="X272" t="str">
        <f>IF(AND($A272&lt;&gt;"",ISNUMBER($C272),$C272&gt;=DATE(2003,1,1)),COUNTIFS($C$2:$C272,"&gt;="&amp;DATE(2003,1,1),$A$2:$A272,"&lt;&gt;"),"")</f>
        <v/>
      </c>
    </row>
    <row r="273" spans="1:24">
      <c r="A273" t="str">
        <f>IF('Sağ Bekler'!A75="","",'Sağ Bekler'!A75)</f>
        <v/>
      </c>
      <c r="B273" t="str">
        <f>IF('Sağ Bekler'!B75="","",'Sağ Bekler'!B75)</f>
        <v/>
      </c>
      <c r="C273" s="2" t="str">
        <f>IF('Sağ Bekler'!C75="","",'Sağ Bekler'!C75)</f>
        <v/>
      </c>
      <c r="D273" t="str">
        <f ca="1">IF('Sağ Bekler'!D75="","",'Sağ Bekler'!D75)</f>
        <v/>
      </c>
      <c r="E273" t="str">
        <f>IF('Sağ Bekler'!E75="","",'Sağ Bekler'!E75)</f>
        <v>Sağ Bek</v>
      </c>
      <c r="F273" t="str">
        <f>IF('Sağ Bekler'!G75="","",'Sağ Bekler'!G75)</f>
        <v/>
      </c>
      <c r="G273" s="2" t="str">
        <f>IF('Sağ Bekler'!H75="","",'Sağ Bekler'!H75)</f>
        <v/>
      </c>
      <c r="H273" t="str">
        <f>IF('Sağ Bekler'!I75="","",'Sağ Bekler'!I75)</f>
        <v/>
      </c>
      <c r="I273" t="str">
        <f>IF('Sağ Bekler'!A75="","",'Sağ Bekler'!J75)</f>
        <v/>
      </c>
      <c r="J273" t="str">
        <f>IF('Sağ Bekler'!A75="","",'Sağ Bekler'!K75)</f>
        <v/>
      </c>
      <c r="K273" t="str">
        <f>IF('Sağ Bekler'!L75="","",'Sağ Bekler'!L75)</f>
        <v/>
      </c>
      <c r="L273" t="str">
        <f>IF('Sağ Bekler'!M75="","",'Sağ Bekler'!M75)</f>
        <v/>
      </c>
      <c r="M273" t="str">
        <f>IF('Sağ Bekler'!N75="","",'Sağ Bekler'!N75)</f>
        <v/>
      </c>
      <c r="N273" t="str">
        <f>IF('Sağ Bekler'!O75="","",'Sağ Bekler'!O75)</f>
        <v/>
      </c>
      <c r="O273" t="str">
        <f>IF('Sağ Bekler'!P75="","",'Sağ Bekler'!P75)</f>
        <v/>
      </c>
      <c r="P273" t="str">
        <f>IF('Sağ Bekler'!Q75="","",'Sağ Bekler'!Q75)</f>
        <v/>
      </c>
      <c r="Q273" t="str">
        <f>IF('Sağ Bekler'!R75="","",'Sağ Bekler'!R75)</f>
        <v/>
      </c>
      <c r="R273" t="str">
        <f>IF('Sağ Bekler'!S75="","",'Sağ Bekler'!S75)</f>
        <v/>
      </c>
      <c r="S273" t="str">
        <f>IF('Sağ Bekler'!T75="","",'Sağ Bekler'!T75)</f>
        <v/>
      </c>
      <c r="T273" s="2" t="str">
        <f>IF('Sağ Bekler'!U75="","",'Sağ Bekler'!U75)</f>
        <v/>
      </c>
      <c r="U273" t="s">
        <v>928</v>
      </c>
      <c r="V273">
        <v>75</v>
      </c>
      <c r="W273" t="str">
        <f ca="1">IF(AND($A273&lt;&gt;"",ISNUMBER($G273),$G273&gt;=TODAY(),$G273&lt;=EDATE(TODAY(),12)),COUNTIFS($G$2:$G$1001,"&gt;="&amp;TODAY(),$G$2:$G$1001,"&lt;"&amp;$G273,$A$2:$A$1001,"&lt;&gt;")+COUNTIFS($G$2:$G273,$G273,$A$2:$A273,"&lt;&gt;"),"")</f>
        <v/>
      </c>
      <c r="X273" t="str">
        <f>IF(AND($A273&lt;&gt;"",ISNUMBER($C273),$C273&gt;=DATE(2003,1,1)),COUNTIFS($C$2:$C273,"&gt;="&amp;DATE(2003,1,1),$A$2:$A273,"&lt;&gt;"),"")</f>
        <v/>
      </c>
    </row>
    <row r="274" spans="1:24">
      <c r="A274" t="str">
        <f>IF('Sağ Bekler'!A76="","",'Sağ Bekler'!A76)</f>
        <v/>
      </c>
      <c r="B274" t="str">
        <f>IF('Sağ Bekler'!B76="","",'Sağ Bekler'!B76)</f>
        <v/>
      </c>
      <c r="C274" s="2" t="str">
        <f>IF('Sağ Bekler'!C76="","",'Sağ Bekler'!C76)</f>
        <v/>
      </c>
      <c r="D274" t="str">
        <f ca="1">IF('Sağ Bekler'!D76="","",'Sağ Bekler'!D76)</f>
        <v/>
      </c>
      <c r="E274" t="str">
        <f>IF('Sağ Bekler'!E76="","",'Sağ Bekler'!E76)</f>
        <v>Sağ Bek</v>
      </c>
      <c r="F274" t="str">
        <f>IF('Sağ Bekler'!G76="","",'Sağ Bekler'!G76)</f>
        <v/>
      </c>
      <c r="G274" s="2" t="str">
        <f>IF('Sağ Bekler'!H76="","",'Sağ Bekler'!H76)</f>
        <v/>
      </c>
      <c r="H274" t="str">
        <f>IF('Sağ Bekler'!I76="","",'Sağ Bekler'!I76)</f>
        <v/>
      </c>
      <c r="I274" t="str">
        <f>IF('Sağ Bekler'!A76="","",'Sağ Bekler'!J76)</f>
        <v/>
      </c>
      <c r="J274" t="str">
        <f>IF('Sağ Bekler'!A76="","",'Sağ Bekler'!K76)</f>
        <v/>
      </c>
      <c r="K274" t="str">
        <f>IF('Sağ Bekler'!L76="","",'Sağ Bekler'!L76)</f>
        <v/>
      </c>
      <c r="L274" t="str">
        <f>IF('Sağ Bekler'!M76="","",'Sağ Bekler'!M76)</f>
        <v/>
      </c>
      <c r="M274" t="str">
        <f>IF('Sağ Bekler'!N76="","",'Sağ Bekler'!N76)</f>
        <v/>
      </c>
      <c r="N274" t="str">
        <f>IF('Sağ Bekler'!O76="","",'Sağ Bekler'!O76)</f>
        <v/>
      </c>
      <c r="O274" t="str">
        <f>IF('Sağ Bekler'!P76="","",'Sağ Bekler'!P76)</f>
        <v/>
      </c>
      <c r="P274" t="str">
        <f>IF('Sağ Bekler'!Q76="","",'Sağ Bekler'!Q76)</f>
        <v/>
      </c>
      <c r="Q274" t="str">
        <f>IF('Sağ Bekler'!R76="","",'Sağ Bekler'!R76)</f>
        <v/>
      </c>
      <c r="R274" t="str">
        <f>IF('Sağ Bekler'!S76="","",'Sağ Bekler'!S76)</f>
        <v/>
      </c>
      <c r="S274" t="str">
        <f>IF('Sağ Bekler'!T76="","",'Sağ Bekler'!T76)</f>
        <v/>
      </c>
      <c r="T274" s="2" t="str">
        <f>IF('Sağ Bekler'!U76="","",'Sağ Bekler'!U76)</f>
        <v/>
      </c>
      <c r="U274" t="s">
        <v>928</v>
      </c>
      <c r="V274">
        <v>76</v>
      </c>
      <c r="W274" t="str">
        <f ca="1">IF(AND($A274&lt;&gt;"",ISNUMBER($G274),$G274&gt;=TODAY(),$G274&lt;=EDATE(TODAY(),12)),COUNTIFS($G$2:$G$1001,"&gt;="&amp;TODAY(),$G$2:$G$1001,"&lt;"&amp;$G274,$A$2:$A$1001,"&lt;&gt;")+COUNTIFS($G$2:$G274,$G274,$A$2:$A274,"&lt;&gt;"),"")</f>
        <v/>
      </c>
      <c r="X274" t="str">
        <f>IF(AND($A274&lt;&gt;"",ISNUMBER($C274),$C274&gt;=DATE(2003,1,1)),COUNTIFS($C$2:$C274,"&gt;="&amp;DATE(2003,1,1),$A$2:$A274,"&lt;&gt;"),"")</f>
        <v/>
      </c>
    </row>
    <row r="275" spans="1:24">
      <c r="A275" t="str">
        <f>IF('Sağ Bekler'!A77="","",'Sağ Bekler'!A77)</f>
        <v/>
      </c>
      <c r="B275" t="str">
        <f>IF('Sağ Bekler'!B77="","",'Sağ Bekler'!B77)</f>
        <v/>
      </c>
      <c r="C275" s="2" t="str">
        <f>IF('Sağ Bekler'!C77="","",'Sağ Bekler'!C77)</f>
        <v/>
      </c>
      <c r="D275" t="str">
        <f ca="1">IF('Sağ Bekler'!D77="","",'Sağ Bekler'!D77)</f>
        <v/>
      </c>
      <c r="E275" t="str">
        <f>IF('Sağ Bekler'!E77="","",'Sağ Bekler'!E77)</f>
        <v>Sağ Bek</v>
      </c>
      <c r="F275" t="str">
        <f>IF('Sağ Bekler'!G77="","",'Sağ Bekler'!G77)</f>
        <v/>
      </c>
      <c r="G275" s="2" t="str">
        <f>IF('Sağ Bekler'!H77="","",'Sağ Bekler'!H77)</f>
        <v/>
      </c>
      <c r="H275" t="str">
        <f>IF('Sağ Bekler'!I77="","",'Sağ Bekler'!I77)</f>
        <v/>
      </c>
      <c r="I275" t="str">
        <f>IF('Sağ Bekler'!A77="","",'Sağ Bekler'!J77)</f>
        <v/>
      </c>
      <c r="J275" t="str">
        <f>IF('Sağ Bekler'!A77="","",'Sağ Bekler'!K77)</f>
        <v/>
      </c>
      <c r="K275" t="str">
        <f>IF('Sağ Bekler'!L77="","",'Sağ Bekler'!L77)</f>
        <v/>
      </c>
      <c r="L275" t="str">
        <f>IF('Sağ Bekler'!M77="","",'Sağ Bekler'!M77)</f>
        <v/>
      </c>
      <c r="M275" t="str">
        <f>IF('Sağ Bekler'!N77="","",'Sağ Bekler'!N77)</f>
        <v/>
      </c>
      <c r="N275" t="str">
        <f>IF('Sağ Bekler'!O77="","",'Sağ Bekler'!O77)</f>
        <v/>
      </c>
      <c r="O275" t="str">
        <f>IF('Sağ Bekler'!P77="","",'Sağ Bekler'!P77)</f>
        <v/>
      </c>
      <c r="P275" t="str">
        <f>IF('Sağ Bekler'!Q77="","",'Sağ Bekler'!Q77)</f>
        <v/>
      </c>
      <c r="Q275" t="str">
        <f>IF('Sağ Bekler'!R77="","",'Sağ Bekler'!R77)</f>
        <v/>
      </c>
      <c r="R275" t="str">
        <f>IF('Sağ Bekler'!S77="","",'Sağ Bekler'!S77)</f>
        <v/>
      </c>
      <c r="S275" t="str">
        <f>IF('Sağ Bekler'!T77="","",'Sağ Bekler'!T77)</f>
        <v/>
      </c>
      <c r="T275" s="2" t="str">
        <f>IF('Sağ Bekler'!U77="","",'Sağ Bekler'!U77)</f>
        <v/>
      </c>
      <c r="U275" t="s">
        <v>928</v>
      </c>
      <c r="V275">
        <v>77</v>
      </c>
      <c r="W275" t="str">
        <f ca="1">IF(AND($A275&lt;&gt;"",ISNUMBER($G275),$G275&gt;=TODAY(),$G275&lt;=EDATE(TODAY(),12)),COUNTIFS($G$2:$G$1001,"&gt;="&amp;TODAY(),$G$2:$G$1001,"&lt;"&amp;$G275,$A$2:$A$1001,"&lt;&gt;")+COUNTIFS($G$2:$G275,$G275,$A$2:$A275,"&lt;&gt;"),"")</f>
        <v/>
      </c>
      <c r="X275" t="str">
        <f>IF(AND($A275&lt;&gt;"",ISNUMBER($C275),$C275&gt;=DATE(2003,1,1)),COUNTIFS($C$2:$C275,"&gt;="&amp;DATE(2003,1,1),$A$2:$A275,"&lt;&gt;"),"")</f>
        <v/>
      </c>
    </row>
    <row r="276" spans="1:24">
      <c r="A276" t="str">
        <f>IF('Sağ Bekler'!A78="","",'Sağ Bekler'!A78)</f>
        <v/>
      </c>
      <c r="B276" t="str">
        <f>IF('Sağ Bekler'!B78="","",'Sağ Bekler'!B78)</f>
        <v/>
      </c>
      <c r="C276" s="2" t="str">
        <f>IF('Sağ Bekler'!C78="","",'Sağ Bekler'!C78)</f>
        <v/>
      </c>
      <c r="D276" t="str">
        <f ca="1">IF('Sağ Bekler'!D78="","",'Sağ Bekler'!D78)</f>
        <v/>
      </c>
      <c r="E276" t="str">
        <f>IF('Sağ Bekler'!E78="","",'Sağ Bekler'!E78)</f>
        <v>Sağ Bek</v>
      </c>
      <c r="F276" t="str">
        <f>IF('Sağ Bekler'!G78="","",'Sağ Bekler'!G78)</f>
        <v/>
      </c>
      <c r="G276" s="2" t="str">
        <f>IF('Sağ Bekler'!H78="","",'Sağ Bekler'!H78)</f>
        <v/>
      </c>
      <c r="H276" t="str">
        <f>IF('Sağ Bekler'!I78="","",'Sağ Bekler'!I78)</f>
        <v/>
      </c>
      <c r="I276" t="str">
        <f>IF('Sağ Bekler'!A78="","",'Sağ Bekler'!J78)</f>
        <v/>
      </c>
      <c r="J276" t="str">
        <f>IF('Sağ Bekler'!A78="","",'Sağ Bekler'!K78)</f>
        <v/>
      </c>
      <c r="K276" t="str">
        <f>IF('Sağ Bekler'!L78="","",'Sağ Bekler'!L78)</f>
        <v/>
      </c>
      <c r="L276" t="str">
        <f>IF('Sağ Bekler'!M78="","",'Sağ Bekler'!M78)</f>
        <v/>
      </c>
      <c r="M276" t="str">
        <f>IF('Sağ Bekler'!N78="","",'Sağ Bekler'!N78)</f>
        <v/>
      </c>
      <c r="N276" t="str">
        <f>IF('Sağ Bekler'!O78="","",'Sağ Bekler'!O78)</f>
        <v/>
      </c>
      <c r="O276" t="str">
        <f>IF('Sağ Bekler'!P78="","",'Sağ Bekler'!P78)</f>
        <v/>
      </c>
      <c r="P276" t="str">
        <f>IF('Sağ Bekler'!Q78="","",'Sağ Bekler'!Q78)</f>
        <v/>
      </c>
      <c r="Q276" t="str">
        <f>IF('Sağ Bekler'!R78="","",'Sağ Bekler'!R78)</f>
        <v/>
      </c>
      <c r="R276" t="str">
        <f>IF('Sağ Bekler'!S78="","",'Sağ Bekler'!S78)</f>
        <v/>
      </c>
      <c r="S276" t="str">
        <f>IF('Sağ Bekler'!T78="","",'Sağ Bekler'!T78)</f>
        <v/>
      </c>
      <c r="T276" s="2" t="str">
        <f>IF('Sağ Bekler'!U78="","",'Sağ Bekler'!U78)</f>
        <v/>
      </c>
      <c r="U276" t="s">
        <v>928</v>
      </c>
      <c r="V276">
        <v>78</v>
      </c>
      <c r="W276" t="str">
        <f ca="1">IF(AND($A276&lt;&gt;"",ISNUMBER($G276),$G276&gt;=TODAY(),$G276&lt;=EDATE(TODAY(),12)),COUNTIFS($G$2:$G$1001,"&gt;="&amp;TODAY(),$G$2:$G$1001,"&lt;"&amp;$G276,$A$2:$A$1001,"&lt;&gt;")+COUNTIFS($G$2:$G276,$G276,$A$2:$A276,"&lt;&gt;"),"")</f>
        <v/>
      </c>
      <c r="X276" t="str">
        <f>IF(AND($A276&lt;&gt;"",ISNUMBER($C276),$C276&gt;=DATE(2003,1,1)),COUNTIFS($C$2:$C276,"&gt;="&amp;DATE(2003,1,1),$A$2:$A276,"&lt;&gt;"),"")</f>
        <v/>
      </c>
    </row>
    <row r="277" spans="1:24">
      <c r="A277" t="str">
        <f>IF('Sağ Bekler'!A79="","",'Sağ Bekler'!A79)</f>
        <v/>
      </c>
      <c r="B277" t="str">
        <f>IF('Sağ Bekler'!B79="","",'Sağ Bekler'!B79)</f>
        <v/>
      </c>
      <c r="C277" s="2" t="str">
        <f>IF('Sağ Bekler'!C79="","",'Sağ Bekler'!C79)</f>
        <v/>
      </c>
      <c r="D277" t="str">
        <f ca="1">IF('Sağ Bekler'!D79="","",'Sağ Bekler'!D79)</f>
        <v/>
      </c>
      <c r="E277" t="str">
        <f>IF('Sağ Bekler'!E79="","",'Sağ Bekler'!E79)</f>
        <v>Sağ Bek</v>
      </c>
      <c r="F277" t="str">
        <f>IF('Sağ Bekler'!G79="","",'Sağ Bekler'!G79)</f>
        <v/>
      </c>
      <c r="G277" s="2" t="str">
        <f>IF('Sağ Bekler'!H79="","",'Sağ Bekler'!H79)</f>
        <v/>
      </c>
      <c r="H277" t="str">
        <f>IF('Sağ Bekler'!I79="","",'Sağ Bekler'!I79)</f>
        <v/>
      </c>
      <c r="I277" t="str">
        <f>IF('Sağ Bekler'!A79="","",'Sağ Bekler'!J79)</f>
        <v/>
      </c>
      <c r="J277" t="str">
        <f>IF('Sağ Bekler'!A79="","",'Sağ Bekler'!K79)</f>
        <v/>
      </c>
      <c r="K277" t="str">
        <f>IF('Sağ Bekler'!L79="","",'Sağ Bekler'!L79)</f>
        <v/>
      </c>
      <c r="L277" t="str">
        <f>IF('Sağ Bekler'!M79="","",'Sağ Bekler'!M79)</f>
        <v/>
      </c>
      <c r="M277" t="str">
        <f>IF('Sağ Bekler'!N79="","",'Sağ Bekler'!N79)</f>
        <v/>
      </c>
      <c r="N277" t="str">
        <f>IF('Sağ Bekler'!O79="","",'Sağ Bekler'!O79)</f>
        <v/>
      </c>
      <c r="O277" t="str">
        <f>IF('Sağ Bekler'!P79="","",'Sağ Bekler'!P79)</f>
        <v/>
      </c>
      <c r="P277" t="str">
        <f>IF('Sağ Bekler'!Q79="","",'Sağ Bekler'!Q79)</f>
        <v/>
      </c>
      <c r="Q277" t="str">
        <f>IF('Sağ Bekler'!R79="","",'Sağ Bekler'!R79)</f>
        <v/>
      </c>
      <c r="R277" t="str">
        <f>IF('Sağ Bekler'!S79="","",'Sağ Bekler'!S79)</f>
        <v/>
      </c>
      <c r="S277" t="str">
        <f>IF('Sağ Bekler'!T79="","",'Sağ Bekler'!T79)</f>
        <v/>
      </c>
      <c r="T277" s="2" t="str">
        <f>IF('Sağ Bekler'!U79="","",'Sağ Bekler'!U79)</f>
        <v/>
      </c>
      <c r="U277" t="s">
        <v>928</v>
      </c>
      <c r="V277">
        <v>79</v>
      </c>
      <c r="W277" t="str">
        <f ca="1">IF(AND($A277&lt;&gt;"",ISNUMBER($G277),$G277&gt;=TODAY(),$G277&lt;=EDATE(TODAY(),12)),COUNTIFS($G$2:$G$1001,"&gt;="&amp;TODAY(),$G$2:$G$1001,"&lt;"&amp;$G277,$A$2:$A$1001,"&lt;&gt;")+COUNTIFS($G$2:$G277,$G277,$A$2:$A277,"&lt;&gt;"),"")</f>
        <v/>
      </c>
      <c r="X277" t="str">
        <f>IF(AND($A277&lt;&gt;"",ISNUMBER($C277),$C277&gt;=DATE(2003,1,1)),COUNTIFS($C$2:$C277,"&gt;="&amp;DATE(2003,1,1),$A$2:$A277,"&lt;&gt;"),"")</f>
        <v/>
      </c>
    </row>
    <row r="278" spans="1:24">
      <c r="A278" t="str">
        <f>IF('Sağ Bekler'!A80="","",'Sağ Bekler'!A80)</f>
        <v/>
      </c>
      <c r="B278" t="str">
        <f>IF('Sağ Bekler'!B80="","",'Sağ Bekler'!B80)</f>
        <v/>
      </c>
      <c r="C278" s="2" t="str">
        <f>IF('Sağ Bekler'!C80="","",'Sağ Bekler'!C80)</f>
        <v/>
      </c>
      <c r="D278" t="str">
        <f ca="1">IF('Sağ Bekler'!D80="","",'Sağ Bekler'!D80)</f>
        <v/>
      </c>
      <c r="E278" t="str">
        <f>IF('Sağ Bekler'!E80="","",'Sağ Bekler'!E80)</f>
        <v>Sağ Bek</v>
      </c>
      <c r="F278" t="str">
        <f>IF('Sağ Bekler'!G80="","",'Sağ Bekler'!G80)</f>
        <v/>
      </c>
      <c r="G278" s="2" t="str">
        <f>IF('Sağ Bekler'!H80="","",'Sağ Bekler'!H80)</f>
        <v/>
      </c>
      <c r="H278" t="str">
        <f>IF('Sağ Bekler'!I80="","",'Sağ Bekler'!I80)</f>
        <v/>
      </c>
      <c r="I278" t="str">
        <f>IF('Sağ Bekler'!A80="","",'Sağ Bekler'!J80)</f>
        <v/>
      </c>
      <c r="J278" t="str">
        <f>IF('Sağ Bekler'!A80="","",'Sağ Bekler'!K80)</f>
        <v/>
      </c>
      <c r="K278" t="str">
        <f>IF('Sağ Bekler'!L80="","",'Sağ Bekler'!L80)</f>
        <v/>
      </c>
      <c r="L278" t="str">
        <f>IF('Sağ Bekler'!M80="","",'Sağ Bekler'!M80)</f>
        <v/>
      </c>
      <c r="M278" t="str">
        <f>IF('Sağ Bekler'!N80="","",'Sağ Bekler'!N80)</f>
        <v/>
      </c>
      <c r="N278" t="str">
        <f>IF('Sağ Bekler'!O80="","",'Sağ Bekler'!O80)</f>
        <v/>
      </c>
      <c r="O278" t="str">
        <f>IF('Sağ Bekler'!P80="","",'Sağ Bekler'!P80)</f>
        <v/>
      </c>
      <c r="P278" t="str">
        <f>IF('Sağ Bekler'!Q80="","",'Sağ Bekler'!Q80)</f>
        <v/>
      </c>
      <c r="Q278" t="str">
        <f>IF('Sağ Bekler'!R80="","",'Sağ Bekler'!R80)</f>
        <v/>
      </c>
      <c r="R278" t="str">
        <f>IF('Sağ Bekler'!S80="","",'Sağ Bekler'!S80)</f>
        <v/>
      </c>
      <c r="S278" t="str">
        <f>IF('Sağ Bekler'!T80="","",'Sağ Bekler'!T80)</f>
        <v/>
      </c>
      <c r="T278" s="2" t="str">
        <f>IF('Sağ Bekler'!U80="","",'Sağ Bekler'!U80)</f>
        <v/>
      </c>
      <c r="U278" t="s">
        <v>928</v>
      </c>
      <c r="V278">
        <v>80</v>
      </c>
      <c r="W278" t="str">
        <f ca="1">IF(AND($A278&lt;&gt;"",ISNUMBER($G278),$G278&gt;=TODAY(),$G278&lt;=EDATE(TODAY(),12)),COUNTIFS($G$2:$G$1001,"&gt;="&amp;TODAY(),$G$2:$G$1001,"&lt;"&amp;$G278,$A$2:$A$1001,"&lt;&gt;")+COUNTIFS($G$2:$G278,$G278,$A$2:$A278,"&lt;&gt;"),"")</f>
        <v/>
      </c>
      <c r="X278" t="str">
        <f>IF(AND($A278&lt;&gt;"",ISNUMBER($C278),$C278&gt;=DATE(2003,1,1)),COUNTIFS($C$2:$C278,"&gt;="&amp;DATE(2003,1,1),$A$2:$A278,"&lt;&gt;"),"")</f>
        <v/>
      </c>
    </row>
    <row r="279" spans="1:24">
      <c r="A279" t="str">
        <f>IF('Sağ Bekler'!A81="","",'Sağ Bekler'!A81)</f>
        <v/>
      </c>
      <c r="B279" t="str">
        <f>IF('Sağ Bekler'!B81="","",'Sağ Bekler'!B81)</f>
        <v/>
      </c>
      <c r="C279" s="2" t="str">
        <f>IF('Sağ Bekler'!C81="","",'Sağ Bekler'!C81)</f>
        <v/>
      </c>
      <c r="D279" t="str">
        <f ca="1">IF('Sağ Bekler'!D81="","",'Sağ Bekler'!D81)</f>
        <v/>
      </c>
      <c r="E279" t="str">
        <f>IF('Sağ Bekler'!E81="","",'Sağ Bekler'!E81)</f>
        <v>Sağ Bek</v>
      </c>
      <c r="F279" t="str">
        <f>IF('Sağ Bekler'!G81="","",'Sağ Bekler'!G81)</f>
        <v/>
      </c>
      <c r="G279" s="2" t="str">
        <f>IF('Sağ Bekler'!H81="","",'Sağ Bekler'!H81)</f>
        <v/>
      </c>
      <c r="H279" t="str">
        <f>IF('Sağ Bekler'!I81="","",'Sağ Bekler'!I81)</f>
        <v/>
      </c>
      <c r="I279" t="str">
        <f>IF('Sağ Bekler'!A81="","",'Sağ Bekler'!J81)</f>
        <v/>
      </c>
      <c r="J279" t="str">
        <f>IF('Sağ Bekler'!A81="","",'Sağ Bekler'!K81)</f>
        <v/>
      </c>
      <c r="K279" t="str">
        <f>IF('Sağ Bekler'!L81="","",'Sağ Bekler'!L81)</f>
        <v/>
      </c>
      <c r="L279" t="str">
        <f>IF('Sağ Bekler'!M81="","",'Sağ Bekler'!M81)</f>
        <v/>
      </c>
      <c r="M279" t="str">
        <f>IF('Sağ Bekler'!N81="","",'Sağ Bekler'!N81)</f>
        <v/>
      </c>
      <c r="N279" t="str">
        <f>IF('Sağ Bekler'!O81="","",'Sağ Bekler'!O81)</f>
        <v/>
      </c>
      <c r="O279" t="str">
        <f>IF('Sağ Bekler'!P81="","",'Sağ Bekler'!P81)</f>
        <v/>
      </c>
      <c r="P279" t="str">
        <f>IF('Sağ Bekler'!Q81="","",'Sağ Bekler'!Q81)</f>
        <v/>
      </c>
      <c r="Q279" t="str">
        <f>IF('Sağ Bekler'!R81="","",'Sağ Bekler'!R81)</f>
        <v/>
      </c>
      <c r="R279" t="str">
        <f>IF('Sağ Bekler'!S81="","",'Sağ Bekler'!S81)</f>
        <v/>
      </c>
      <c r="S279" t="str">
        <f>IF('Sağ Bekler'!T81="","",'Sağ Bekler'!T81)</f>
        <v/>
      </c>
      <c r="T279" s="2" t="str">
        <f>IF('Sağ Bekler'!U81="","",'Sağ Bekler'!U81)</f>
        <v/>
      </c>
      <c r="U279" t="s">
        <v>928</v>
      </c>
      <c r="V279">
        <v>81</v>
      </c>
      <c r="W279" t="str">
        <f ca="1">IF(AND($A279&lt;&gt;"",ISNUMBER($G279),$G279&gt;=TODAY(),$G279&lt;=EDATE(TODAY(),12)),COUNTIFS($G$2:$G$1001,"&gt;="&amp;TODAY(),$G$2:$G$1001,"&lt;"&amp;$G279,$A$2:$A$1001,"&lt;&gt;")+COUNTIFS($G$2:$G279,$G279,$A$2:$A279,"&lt;&gt;"),"")</f>
        <v/>
      </c>
      <c r="X279" t="str">
        <f>IF(AND($A279&lt;&gt;"",ISNUMBER($C279),$C279&gt;=DATE(2003,1,1)),COUNTIFS($C$2:$C279,"&gt;="&amp;DATE(2003,1,1),$A$2:$A279,"&lt;&gt;"),"")</f>
        <v/>
      </c>
    </row>
    <row r="280" spans="1:24">
      <c r="A280" t="str">
        <f>IF('Sağ Bekler'!A82="","",'Sağ Bekler'!A82)</f>
        <v/>
      </c>
      <c r="B280" t="str">
        <f>IF('Sağ Bekler'!B82="","",'Sağ Bekler'!B82)</f>
        <v/>
      </c>
      <c r="C280" s="2" t="str">
        <f>IF('Sağ Bekler'!C82="","",'Sağ Bekler'!C82)</f>
        <v/>
      </c>
      <c r="D280" t="str">
        <f ca="1">IF('Sağ Bekler'!D82="","",'Sağ Bekler'!D82)</f>
        <v/>
      </c>
      <c r="E280" t="str">
        <f>IF('Sağ Bekler'!E82="","",'Sağ Bekler'!E82)</f>
        <v>Sağ Bek</v>
      </c>
      <c r="F280" t="str">
        <f>IF('Sağ Bekler'!G82="","",'Sağ Bekler'!G82)</f>
        <v/>
      </c>
      <c r="G280" s="2" t="str">
        <f>IF('Sağ Bekler'!H82="","",'Sağ Bekler'!H82)</f>
        <v/>
      </c>
      <c r="H280" t="str">
        <f>IF('Sağ Bekler'!I82="","",'Sağ Bekler'!I82)</f>
        <v/>
      </c>
      <c r="I280" t="str">
        <f>IF('Sağ Bekler'!A82="","",'Sağ Bekler'!J82)</f>
        <v/>
      </c>
      <c r="J280" t="str">
        <f>IF('Sağ Bekler'!A82="","",'Sağ Bekler'!K82)</f>
        <v/>
      </c>
      <c r="K280" t="str">
        <f>IF('Sağ Bekler'!L82="","",'Sağ Bekler'!L82)</f>
        <v/>
      </c>
      <c r="L280" t="str">
        <f>IF('Sağ Bekler'!M82="","",'Sağ Bekler'!M82)</f>
        <v/>
      </c>
      <c r="M280" t="str">
        <f>IF('Sağ Bekler'!N82="","",'Sağ Bekler'!N82)</f>
        <v/>
      </c>
      <c r="N280" t="str">
        <f>IF('Sağ Bekler'!O82="","",'Sağ Bekler'!O82)</f>
        <v/>
      </c>
      <c r="O280" t="str">
        <f>IF('Sağ Bekler'!P82="","",'Sağ Bekler'!P82)</f>
        <v/>
      </c>
      <c r="P280" t="str">
        <f>IF('Sağ Bekler'!Q82="","",'Sağ Bekler'!Q82)</f>
        <v/>
      </c>
      <c r="Q280" t="str">
        <f>IF('Sağ Bekler'!R82="","",'Sağ Bekler'!R82)</f>
        <v/>
      </c>
      <c r="R280" t="str">
        <f>IF('Sağ Bekler'!S82="","",'Sağ Bekler'!S82)</f>
        <v/>
      </c>
      <c r="S280" t="str">
        <f>IF('Sağ Bekler'!T82="","",'Sağ Bekler'!T82)</f>
        <v/>
      </c>
      <c r="T280" s="2" t="str">
        <f>IF('Sağ Bekler'!U82="","",'Sağ Bekler'!U82)</f>
        <v/>
      </c>
      <c r="U280" t="s">
        <v>928</v>
      </c>
      <c r="V280">
        <v>82</v>
      </c>
      <c r="W280" t="str">
        <f ca="1">IF(AND($A280&lt;&gt;"",ISNUMBER($G280),$G280&gt;=TODAY(),$G280&lt;=EDATE(TODAY(),12)),COUNTIFS($G$2:$G$1001,"&gt;="&amp;TODAY(),$G$2:$G$1001,"&lt;"&amp;$G280,$A$2:$A$1001,"&lt;&gt;")+COUNTIFS($G$2:$G280,$G280,$A$2:$A280,"&lt;&gt;"),"")</f>
        <v/>
      </c>
      <c r="X280" t="str">
        <f>IF(AND($A280&lt;&gt;"",ISNUMBER($C280),$C280&gt;=DATE(2003,1,1)),COUNTIFS($C$2:$C280,"&gt;="&amp;DATE(2003,1,1),$A$2:$A280,"&lt;&gt;"),"")</f>
        <v/>
      </c>
    </row>
    <row r="281" spans="1:24">
      <c r="A281" t="str">
        <f>IF('Sağ Bekler'!A83="","",'Sağ Bekler'!A83)</f>
        <v/>
      </c>
      <c r="B281" t="str">
        <f>IF('Sağ Bekler'!B83="","",'Sağ Bekler'!B83)</f>
        <v/>
      </c>
      <c r="C281" s="2" t="str">
        <f>IF('Sağ Bekler'!C83="","",'Sağ Bekler'!C83)</f>
        <v/>
      </c>
      <c r="D281" t="str">
        <f ca="1">IF('Sağ Bekler'!D83="","",'Sağ Bekler'!D83)</f>
        <v/>
      </c>
      <c r="E281" t="str">
        <f>IF('Sağ Bekler'!E83="","",'Sağ Bekler'!E83)</f>
        <v>Sağ Bek</v>
      </c>
      <c r="F281" t="str">
        <f>IF('Sağ Bekler'!G83="","",'Sağ Bekler'!G83)</f>
        <v/>
      </c>
      <c r="G281" s="2" t="str">
        <f>IF('Sağ Bekler'!H83="","",'Sağ Bekler'!H83)</f>
        <v/>
      </c>
      <c r="H281" t="str">
        <f>IF('Sağ Bekler'!I83="","",'Sağ Bekler'!I83)</f>
        <v/>
      </c>
      <c r="I281" t="str">
        <f>IF('Sağ Bekler'!A83="","",'Sağ Bekler'!J83)</f>
        <v/>
      </c>
      <c r="J281" t="str">
        <f>IF('Sağ Bekler'!A83="","",'Sağ Bekler'!K83)</f>
        <v/>
      </c>
      <c r="K281" t="str">
        <f>IF('Sağ Bekler'!L83="","",'Sağ Bekler'!L83)</f>
        <v/>
      </c>
      <c r="L281" t="str">
        <f>IF('Sağ Bekler'!M83="","",'Sağ Bekler'!M83)</f>
        <v/>
      </c>
      <c r="M281" t="str">
        <f>IF('Sağ Bekler'!N83="","",'Sağ Bekler'!N83)</f>
        <v/>
      </c>
      <c r="N281" t="str">
        <f>IF('Sağ Bekler'!O83="","",'Sağ Bekler'!O83)</f>
        <v/>
      </c>
      <c r="O281" t="str">
        <f>IF('Sağ Bekler'!P83="","",'Sağ Bekler'!P83)</f>
        <v/>
      </c>
      <c r="P281" t="str">
        <f>IF('Sağ Bekler'!Q83="","",'Sağ Bekler'!Q83)</f>
        <v/>
      </c>
      <c r="Q281" t="str">
        <f>IF('Sağ Bekler'!R83="","",'Sağ Bekler'!R83)</f>
        <v/>
      </c>
      <c r="R281" t="str">
        <f>IF('Sağ Bekler'!S83="","",'Sağ Bekler'!S83)</f>
        <v/>
      </c>
      <c r="S281" t="str">
        <f>IF('Sağ Bekler'!T83="","",'Sağ Bekler'!T83)</f>
        <v/>
      </c>
      <c r="T281" s="2" t="str">
        <f>IF('Sağ Bekler'!U83="","",'Sağ Bekler'!U83)</f>
        <v/>
      </c>
      <c r="U281" t="s">
        <v>928</v>
      </c>
      <c r="V281">
        <v>83</v>
      </c>
      <c r="W281" t="str">
        <f ca="1">IF(AND($A281&lt;&gt;"",ISNUMBER($G281),$G281&gt;=TODAY(),$G281&lt;=EDATE(TODAY(),12)),COUNTIFS($G$2:$G$1001,"&gt;="&amp;TODAY(),$G$2:$G$1001,"&lt;"&amp;$G281,$A$2:$A$1001,"&lt;&gt;")+COUNTIFS($G$2:$G281,$G281,$A$2:$A281,"&lt;&gt;"),"")</f>
        <v/>
      </c>
      <c r="X281" t="str">
        <f>IF(AND($A281&lt;&gt;"",ISNUMBER($C281),$C281&gt;=DATE(2003,1,1)),COUNTIFS($C$2:$C281,"&gt;="&amp;DATE(2003,1,1),$A$2:$A281,"&lt;&gt;"),"")</f>
        <v/>
      </c>
    </row>
    <row r="282" spans="1:24">
      <c r="A282" t="str">
        <f>IF('Sağ Bekler'!A84="","",'Sağ Bekler'!A84)</f>
        <v/>
      </c>
      <c r="B282" t="str">
        <f>IF('Sağ Bekler'!B84="","",'Sağ Bekler'!B84)</f>
        <v/>
      </c>
      <c r="C282" s="2" t="str">
        <f>IF('Sağ Bekler'!C84="","",'Sağ Bekler'!C84)</f>
        <v/>
      </c>
      <c r="D282" t="str">
        <f ca="1">IF('Sağ Bekler'!D84="","",'Sağ Bekler'!D84)</f>
        <v/>
      </c>
      <c r="E282" t="str">
        <f>IF('Sağ Bekler'!E84="","",'Sağ Bekler'!E84)</f>
        <v>Sağ Bek</v>
      </c>
      <c r="F282" t="str">
        <f>IF('Sağ Bekler'!G84="","",'Sağ Bekler'!G84)</f>
        <v/>
      </c>
      <c r="G282" s="2" t="str">
        <f>IF('Sağ Bekler'!H84="","",'Sağ Bekler'!H84)</f>
        <v/>
      </c>
      <c r="H282" t="str">
        <f>IF('Sağ Bekler'!I84="","",'Sağ Bekler'!I84)</f>
        <v/>
      </c>
      <c r="I282" t="str">
        <f>IF('Sağ Bekler'!A84="","",'Sağ Bekler'!J84)</f>
        <v/>
      </c>
      <c r="J282" t="str">
        <f>IF('Sağ Bekler'!A84="","",'Sağ Bekler'!K84)</f>
        <v/>
      </c>
      <c r="K282" t="str">
        <f>IF('Sağ Bekler'!L84="","",'Sağ Bekler'!L84)</f>
        <v/>
      </c>
      <c r="L282" t="str">
        <f>IF('Sağ Bekler'!M84="","",'Sağ Bekler'!M84)</f>
        <v/>
      </c>
      <c r="M282" t="str">
        <f>IF('Sağ Bekler'!N84="","",'Sağ Bekler'!N84)</f>
        <v/>
      </c>
      <c r="N282" t="str">
        <f>IF('Sağ Bekler'!O84="","",'Sağ Bekler'!O84)</f>
        <v/>
      </c>
      <c r="O282" t="str">
        <f>IF('Sağ Bekler'!P84="","",'Sağ Bekler'!P84)</f>
        <v/>
      </c>
      <c r="P282" t="str">
        <f>IF('Sağ Bekler'!Q84="","",'Sağ Bekler'!Q84)</f>
        <v/>
      </c>
      <c r="Q282" t="str">
        <f>IF('Sağ Bekler'!R84="","",'Sağ Bekler'!R84)</f>
        <v/>
      </c>
      <c r="R282" t="str">
        <f>IF('Sağ Bekler'!S84="","",'Sağ Bekler'!S84)</f>
        <v/>
      </c>
      <c r="S282" t="str">
        <f>IF('Sağ Bekler'!T84="","",'Sağ Bekler'!T84)</f>
        <v/>
      </c>
      <c r="T282" s="2" t="str">
        <f>IF('Sağ Bekler'!U84="","",'Sağ Bekler'!U84)</f>
        <v/>
      </c>
      <c r="U282" t="s">
        <v>928</v>
      </c>
      <c r="V282">
        <v>84</v>
      </c>
      <c r="W282" t="str">
        <f ca="1">IF(AND($A282&lt;&gt;"",ISNUMBER($G282),$G282&gt;=TODAY(),$G282&lt;=EDATE(TODAY(),12)),COUNTIFS($G$2:$G$1001,"&gt;="&amp;TODAY(),$G$2:$G$1001,"&lt;"&amp;$G282,$A$2:$A$1001,"&lt;&gt;")+COUNTIFS($G$2:$G282,$G282,$A$2:$A282,"&lt;&gt;"),"")</f>
        <v/>
      </c>
      <c r="X282" t="str">
        <f>IF(AND($A282&lt;&gt;"",ISNUMBER($C282),$C282&gt;=DATE(2003,1,1)),COUNTIFS($C$2:$C282,"&gt;="&amp;DATE(2003,1,1),$A$2:$A282,"&lt;&gt;"),"")</f>
        <v/>
      </c>
    </row>
    <row r="283" spans="1:24">
      <c r="A283" t="str">
        <f>IF('Sağ Bekler'!A85="","",'Sağ Bekler'!A85)</f>
        <v/>
      </c>
      <c r="B283" t="str">
        <f>IF('Sağ Bekler'!B85="","",'Sağ Bekler'!B85)</f>
        <v/>
      </c>
      <c r="C283" s="2" t="str">
        <f>IF('Sağ Bekler'!C85="","",'Sağ Bekler'!C85)</f>
        <v/>
      </c>
      <c r="D283" t="str">
        <f ca="1">IF('Sağ Bekler'!D85="","",'Sağ Bekler'!D85)</f>
        <v/>
      </c>
      <c r="E283" t="str">
        <f>IF('Sağ Bekler'!E85="","",'Sağ Bekler'!E85)</f>
        <v>Sağ Bek</v>
      </c>
      <c r="F283" t="str">
        <f>IF('Sağ Bekler'!G85="","",'Sağ Bekler'!G85)</f>
        <v/>
      </c>
      <c r="G283" s="2" t="str">
        <f>IF('Sağ Bekler'!H85="","",'Sağ Bekler'!H85)</f>
        <v/>
      </c>
      <c r="H283" t="str">
        <f>IF('Sağ Bekler'!I85="","",'Sağ Bekler'!I85)</f>
        <v/>
      </c>
      <c r="I283" t="str">
        <f>IF('Sağ Bekler'!A85="","",'Sağ Bekler'!J85)</f>
        <v/>
      </c>
      <c r="J283" t="str">
        <f>IF('Sağ Bekler'!A85="","",'Sağ Bekler'!K85)</f>
        <v/>
      </c>
      <c r="K283" t="str">
        <f>IF('Sağ Bekler'!L85="","",'Sağ Bekler'!L85)</f>
        <v/>
      </c>
      <c r="L283" t="str">
        <f>IF('Sağ Bekler'!M85="","",'Sağ Bekler'!M85)</f>
        <v/>
      </c>
      <c r="M283" t="str">
        <f>IF('Sağ Bekler'!N85="","",'Sağ Bekler'!N85)</f>
        <v/>
      </c>
      <c r="N283" t="str">
        <f>IF('Sağ Bekler'!O85="","",'Sağ Bekler'!O85)</f>
        <v/>
      </c>
      <c r="O283" t="str">
        <f>IF('Sağ Bekler'!P85="","",'Sağ Bekler'!P85)</f>
        <v/>
      </c>
      <c r="P283" t="str">
        <f>IF('Sağ Bekler'!Q85="","",'Sağ Bekler'!Q85)</f>
        <v/>
      </c>
      <c r="Q283" t="str">
        <f>IF('Sağ Bekler'!R85="","",'Sağ Bekler'!R85)</f>
        <v/>
      </c>
      <c r="R283" t="str">
        <f>IF('Sağ Bekler'!S85="","",'Sağ Bekler'!S85)</f>
        <v/>
      </c>
      <c r="S283" t="str">
        <f>IF('Sağ Bekler'!T85="","",'Sağ Bekler'!T85)</f>
        <v/>
      </c>
      <c r="T283" s="2" t="str">
        <f>IF('Sağ Bekler'!U85="","",'Sağ Bekler'!U85)</f>
        <v/>
      </c>
      <c r="U283" t="s">
        <v>928</v>
      </c>
      <c r="V283">
        <v>85</v>
      </c>
      <c r="W283" t="str">
        <f ca="1">IF(AND($A283&lt;&gt;"",ISNUMBER($G283),$G283&gt;=TODAY(),$G283&lt;=EDATE(TODAY(),12)),COUNTIFS($G$2:$G$1001,"&gt;="&amp;TODAY(),$G$2:$G$1001,"&lt;"&amp;$G283,$A$2:$A$1001,"&lt;&gt;")+COUNTIFS($G$2:$G283,$G283,$A$2:$A283,"&lt;&gt;"),"")</f>
        <v/>
      </c>
      <c r="X283" t="str">
        <f>IF(AND($A283&lt;&gt;"",ISNUMBER($C283),$C283&gt;=DATE(2003,1,1)),COUNTIFS($C$2:$C283,"&gt;="&amp;DATE(2003,1,1),$A$2:$A283,"&lt;&gt;"),"")</f>
        <v/>
      </c>
    </row>
    <row r="284" spans="1:24">
      <c r="A284" t="str">
        <f>IF('Sağ Bekler'!A86="","",'Sağ Bekler'!A86)</f>
        <v/>
      </c>
      <c r="B284" t="str">
        <f>IF('Sağ Bekler'!B86="","",'Sağ Bekler'!B86)</f>
        <v/>
      </c>
      <c r="C284" s="2" t="str">
        <f>IF('Sağ Bekler'!C86="","",'Sağ Bekler'!C86)</f>
        <v/>
      </c>
      <c r="D284" t="str">
        <f ca="1">IF('Sağ Bekler'!D86="","",'Sağ Bekler'!D86)</f>
        <v/>
      </c>
      <c r="E284" t="str">
        <f>IF('Sağ Bekler'!E86="","",'Sağ Bekler'!E86)</f>
        <v>Sağ Bek</v>
      </c>
      <c r="F284" t="str">
        <f>IF('Sağ Bekler'!G86="","",'Sağ Bekler'!G86)</f>
        <v/>
      </c>
      <c r="G284" s="2" t="str">
        <f>IF('Sağ Bekler'!H86="","",'Sağ Bekler'!H86)</f>
        <v/>
      </c>
      <c r="H284" t="str">
        <f>IF('Sağ Bekler'!I86="","",'Sağ Bekler'!I86)</f>
        <v/>
      </c>
      <c r="I284" t="str">
        <f>IF('Sağ Bekler'!A86="","",'Sağ Bekler'!J86)</f>
        <v/>
      </c>
      <c r="J284" t="str">
        <f>IF('Sağ Bekler'!A86="","",'Sağ Bekler'!K86)</f>
        <v/>
      </c>
      <c r="K284" t="str">
        <f>IF('Sağ Bekler'!L86="","",'Sağ Bekler'!L86)</f>
        <v/>
      </c>
      <c r="L284" t="str">
        <f>IF('Sağ Bekler'!M86="","",'Sağ Bekler'!M86)</f>
        <v/>
      </c>
      <c r="M284" t="str">
        <f>IF('Sağ Bekler'!N86="","",'Sağ Bekler'!N86)</f>
        <v/>
      </c>
      <c r="N284" t="str">
        <f>IF('Sağ Bekler'!O86="","",'Sağ Bekler'!O86)</f>
        <v/>
      </c>
      <c r="O284" t="str">
        <f>IF('Sağ Bekler'!P86="","",'Sağ Bekler'!P86)</f>
        <v/>
      </c>
      <c r="P284" t="str">
        <f>IF('Sağ Bekler'!Q86="","",'Sağ Bekler'!Q86)</f>
        <v/>
      </c>
      <c r="Q284" t="str">
        <f>IF('Sağ Bekler'!R86="","",'Sağ Bekler'!R86)</f>
        <v/>
      </c>
      <c r="R284" t="str">
        <f>IF('Sağ Bekler'!S86="","",'Sağ Bekler'!S86)</f>
        <v/>
      </c>
      <c r="S284" t="str">
        <f>IF('Sağ Bekler'!T86="","",'Sağ Bekler'!T86)</f>
        <v/>
      </c>
      <c r="T284" s="2" t="str">
        <f>IF('Sağ Bekler'!U86="","",'Sağ Bekler'!U86)</f>
        <v/>
      </c>
      <c r="U284" t="s">
        <v>928</v>
      </c>
      <c r="V284">
        <v>86</v>
      </c>
      <c r="W284" t="str">
        <f ca="1">IF(AND($A284&lt;&gt;"",ISNUMBER($G284),$G284&gt;=TODAY(),$G284&lt;=EDATE(TODAY(),12)),COUNTIFS($G$2:$G$1001,"&gt;="&amp;TODAY(),$G$2:$G$1001,"&lt;"&amp;$G284,$A$2:$A$1001,"&lt;&gt;")+COUNTIFS($G$2:$G284,$G284,$A$2:$A284,"&lt;&gt;"),"")</f>
        <v/>
      </c>
      <c r="X284" t="str">
        <f>IF(AND($A284&lt;&gt;"",ISNUMBER($C284),$C284&gt;=DATE(2003,1,1)),COUNTIFS($C$2:$C284,"&gt;="&amp;DATE(2003,1,1),$A$2:$A284,"&lt;&gt;"),"")</f>
        <v/>
      </c>
    </row>
    <row r="285" spans="1:24">
      <c r="A285" t="str">
        <f>IF('Sağ Bekler'!A87="","",'Sağ Bekler'!A87)</f>
        <v/>
      </c>
      <c r="B285" t="str">
        <f>IF('Sağ Bekler'!B87="","",'Sağ Bekler'!B87)</f>
        <v/>
      </c>
      <c r="C285" s="2" t="str">
        <f>IF('Sağ Bekler'!C87="","",'Sağ Bekler'!C87)</f>
        <v/>
      </c>
      <c r="D285" t="str">
        <f ca="1">IF('Sağ Bekler'!D87="","",'Sağ Bekler'!D87)</f>
        <v/>
      </c>
      <c r="E285" t="str">
        <f>IF('Sağ Bekler'!E87="","",'Sağ Bekler'!E87)</f>
        <v>Sağ Bek</v>
      </c>
      <c r="F285" t="str">
        <f>IF('Sağ Bekler'!G87="","",'Sağ Bekler'!G87)</f>
        <v/>
      </c>
      <c r="G285" s="2" t="str">
        <f>IF('Sağ Bekler'!H87="","",'Sağ Bekler'!H87)</f>
        <v/>
      </c>
      <c r="H285" t="str">
        <f>IF('Sağ Bekler'!I87="","",'Sağ Bekler'!I87)</f>
        <v/>
      </c>
      <c r="I285" t="str">
        <f>IF('Sağ Bekler'!A87="","",'Sağ Bekler'!J87)</f>
        <v/>
      </c>
      <c r="J285" t="str">
        <f>IF('Sağ Bekler'!A87="","",'Sağ Bekler'!K87)</f>
        <v/>
      </c>
      <c r="K285" t="str">
        <f>IF('Sağ Bekler'!L87="","",'Sağ Bekler'!L87)</f>
        <v/>
      </c>
      <c r="L285" t="str">
        <f>IF('Sağ Bekler'!M87="","",'Sağ Bekler'!M87)</f>
        <v/>
      </c>
      <c r="M285" t="str">
        <f>IF('Sağ Bekler'!N87="","",'Sağ Bekler'!N87)</f>
        <v/>
      </c>
      <c r="N285" t="str">
        <f>IF('Sağ Bekler'!O87="","",'Sağ Bekler'!O87)</f>
        <v/>
      </c>
      <c r="O285" t="str">
        <f>IF('Sağ Bekler'!P87="","",'Sağ Bekler'!P87)</f>
        <v/>
      </c>
      <c r="P285" t="str">
        <f>IF('Sağ Bekler'!Q87="","",'Sağ Bekler'!Q87)</f>
        <v/>
      </c>
      <c r="Q285" t="str">
        <f>IF('Sağ Bekler'!R87="","",'Sağ Bekler'!R87)</f>
        <v/>
      </c>
      <c r="R285" t="str">
        <f>IF('Sağ Bekler'!S87="","",'Sağ Bekler'!S87)</f>
        <v/>
      </c>
      <c r="S285" t="str">
        <f>IF('Sağ Bekler'!T87="","",'Sağ Bekler'!T87)</f>
        <v/>
      </c>
      <c r="T285" s="2" t="str">
        <f>IF('Sağ Bekler'!U87="","",'Sağ Bekler'!U87)</f>
        <v/>
      </c>
      <c r="U285" t="s">
        <v>928</v>
      </c>
      <c r="V285">
        <v>87</v>
      </c>
      <c r="W285" t="str">
        <f ca="1">IF(AND($A285&lt;&gt;"",ISNUMBER($G285),$G285&gt;=TODAY(),$G285&lt;=EDATE(TODAY(),12)),COUNTIFS($G$2:$G$1001,"&gt;="&amp;TODAY(),$G$2:$G$1001,"&lt;"&amp;$G285,$A$2:$A$1001,"&lt;&gt;")+COUNTIFS($G$2:$G285,$G285,$A$2:$A285,"&lt;&gt;"),"")</f>
        <v/>
      </c>
      <c r="X285" t="str">
        <f>IF(AND($A285&lt;&gt;"",ISNUMBER($C285),$C285&gt;=DATE(2003,1,1)),COUNTIFS($C$2:$C285,"&gt;="&amp;DATE(2003,1,1),$A$2:$A285,"&lt;&gt;"),"")</f>
        <v/>
      </c>
    </row>
    <row r="286" spans="1:24">
      <c r="A286" t="str">
        <f>IF('Sağ Bekler'!A88="","",'Sağ Bekler'!A88)</f>
        <v/>
      </c>
      <c r="B286" t="str">
        <f>IF('Sağ Bekler'!B88="","",'Sağ Bekler'!B88)</f>
        <v/>
      </c>
      <c r="C286" s="2" t="str">
        <f>IF('Sağ Bekler'!C88="","",'Sağ Bekler'!C88)</f>
        <v/>
      </c>
      <c r="D286" t="str">
        <f ca="1">IF('Sağ Bekler'!D88="","",'Sağ Bekler'!D88)</f>
        <v/>
      </c>
      <c r="E286" t="str">
        <f>IF('Sağ Bekler'!E88="","",'Sağ Bekler'!E88)</f>
        <v>Sağ Bek</v>
      </c>
      <c r="F286" t="str">
        <f>IF('Sağ Bekler'!G88="","",'Sağ Bekler'!G88)</f>
        <v/>
      </c>
      <c r="G286" s="2" t="str">
        <f>IF('Sağ Bekler'!H88="","",'Sağ Bekler'!H88)</f>
        <v/>
      </c>
      <c r="H286" t="str">
        <f>IF('Sağ Bekler'!I88="","",'Sağ Bekler'!I88)</f>
        <v/>
      </c>
      <c r="I286" t="str">
        <f>IF('Sağ Bekler'!A88="","",'Sağ Bekler'!J88)</f>
        <v/>
      </c>
      <c r="J286" t="str">
        <f>IF('Sağ Bekler'!A88="","",'Sağ Bekler'!K88)</f>
        <v/>
      </c>
      <c r="K286" t="str">
        <f>IF('Sağ Bekler'!L88="","",'Sağ Bekler'!L88)</f>
        <v/>
      </c>
      <c r="L286" t="str">
        <f>IF('Sağ Bekler'!M88="","",'Sağ Bekler'!M88)</f>
        <v/>
      </c>
      <c r="M286" t="str">
        <f>IF('Sağ Bekler'!N88="","",'Sağ Bekler'!N88)</f>
        <v/>
      </c>
      <c r="N286" t="str">
        <f>IF('Sağ Bekler'!O88="","",'Sağ Bekler'!O88)</f>
        <v/>
      </c>
      <c r="O286" t="str">
        <f>IF('Sağ Bekler'!P88="","",'Sağ Bekler'!P88)</f>
        <v/>
      </c>
      <c r="P286" t="str">
        <f>IF('Sağ Bekler'!Q88="","",'Sağ Bekler'!Q88)</f>
        <v/>
      </c>
      <c r="Q286" t="str">
        <f>IF('Sağ Bekler'!R88="","",'Sağ Bekler'!R88)</f>
        <v/>
      </c>
      <c r="R286" t="str">
        <f>IF('Sağ Bekler'!S88="","",'Sağ Bekler'!S88)</f>
        <v/>
      </c>
      <c r="S286" t="str">
        <f>IF('Sağ Bekler'!T88="","",'Sağ Bekler'!T88)</f>
        <v/>
      </c>
      <c r="T286" s="2" t="str">
        <f>IF('Sağ Bekler'!U88="","",'Sağ Bekler'!U88)</f>
        <v/>
      </c>
      <c r="U286" t="s">
        <v>928</v>
      </c>
      <c r="V286">
        <v>88</v>
      </c>
      <c r="W286" t="str">
        <f ca="1">IF(AND($A286&lt;&gt;"",ISNUMBER($G286),$G286&gt;=TODAY(),$G286&lt;=EDATE(TODAY(),12)),COUNTIFS($G$2:$G$1001,"&gt;="&amp;TODAY(),$G$2:$G$1001,"&lt;"&amp;$G286,$A$2:$A$1001,"&lt;&gt;")+COUNTIFS($G$2:$G286,$G286,$A$2:$A286,"&lt;&gt;"),"")</f>
        <v/>
      </c>
      <c r="X286" t="str">
        <f>IF(AND($A286&lt;&gt;"",ISNUMBER($C286),$C286&gt;=DATE(2003,1,1)),COUNTIFS($C$2:$C286,"&gt;="&amp;DATE(2003,1,1),$A$2:$A286,"&lt;&gt;"),"")</f>
        <v/>
      </c>
    </row>
    <row r="287" spans="1:24">
      <c r="A287" t="str">
        <f>IF('Sağ Bekler'!A89="","",'Sağ Bekler'!A89)</f>
        <v/>
      </c>
      <c r="B287" t="str">
        <f>IF('Sağ Bekler'!B89="","",'Sağ Bekler'!B89)</f>
        <v/>
      </c>
      <c r="C287" s="2" t="str">
        <f>IF('Sağ Bekler'!C89="","",'Sağ Bekler'!C89)</f>
        <v/>
      </c>
      <c r="D287" t="str">
        <f ca="1">IF('Sağ Bekler'!D89="","",'Sağ Bekler'!D89)</f>
        <v/>
      </c>
      <c r="E287" t="str">
        <f>IF('Sağ Bekler'!E89="","",'Sağ Bekler'!E89)</f>
        <v>Sağ Bek</v>
      </c>
      <c r="F287" t="str">
        <f>IF('Sağ Bekler'!G89="","",'Sağ Bekler'!G89)</f>
        <v/>
      </c>
      <c r="G287" s="2" t="str">
        <f>IF('Sağ Bekler'!H89="","",'Sağ Bekler'!H89)</f>
        <v/>
      </c>
      <c r="H287" t="str">
        <f>IF('Sağ Bekler'!I89="","",'Sağ Bekler'!I89)</f>
        <v/>
      </c>
      <c r="I287" t="str">
        <f>IF('Sağ Bekler'!A89="","",'Sağ Bekler'!J89)</f>
        <v/>
      </c>
      <c r="J287" t="str">
        <f>IF('Sağ Bekler'!A89="","",'Sağ Bekler'!K89)</f>
        <v/>
      </c>
      <c r="K287" t="str">
        <f>IF('Sağ Bekler'!L89="","",'Sağ Bekler'!L89)</f>
        <v/>
      </c>
      <c r="L287" t="str">
        <f>IF('Sağ Bekler'!M89="","",'Sağ Bekler'!M89)</f>
        <v/>
      </c>
      <c r="M287" t="str">
        <f>IF('Sağ Bekler'!N89="","",'Sağ Bekler'!N89)</f>
        <v/>
      </c>
      <c r="N287" t="str">
        <f>IF('Sağ Bekler'!O89="","",'Sağ Bekler'!O89)</f>
        <v/>
      </c>
      <c r="O287" t="str">
        <f>IF('Sağ Bekler'!P89="","",'Sağ Bekler'!P89)</f>
        <v/>
      </c>
      <c r="P287" t="str">
        <f>IF('Sağ Bekler'!Q89="","",'Sağ Bekler'!Q89)</f>
        <v/>
      </c>
      <c r="Q287" t="str">
        <f>IF('Sağ Bekler'!R89="","",'Sağ Bekler'!R89)</f>
        <v/>
      </c>
      <c r="R287" t="str">
        <f>IF('Sağ Bekler'!S89="","",'Sağ Bekler'!S89)</f>
        <v/>
      </c>
      <c r="S287" t="str">
        <f>IF('Sağ Bekler'!T89="","",'Sağ Bekler'!T89)</f>
        <v/>
      </c>
      <c r="T287" s="2" t="str">
        <f>IF('Sağ Bekler'!U89="","",'Sağ Bekler'!U89)</f>
        <v/>
      </c>
      <c r="U287" t="s">
        <v>928</v>
      </c>
      <c r="V287">
        <v>89</v>
      </c>
      <c r="W287" t="str">
        <f ca="1">IF(AND($A287&lt;&gt;"",ISNUMBER($G287),$G287&gt;=TODAY(),$G287&lt;=EDATE(TODAY(),12)),COUNTIFS($G$2:$G$1001,"&gt;="&amp;TODAY(),$G$2:$G$1001,"&lt;"&amp;$G287,$A$2:$A$1001,"&lt;&gt;")+COUNTIFS($G$2:$G287,$G287,$A$2:$A287,"&lt;&gt;"),"")</f>
        <v/>
      </c>
      <c r="X287" t="str">
        <f>IF(AND($A287&lt;&gt;"",ISNUMBER($C287),$C287&gt;=DATE(2003,1,1)),COUNTIFS($C$2:$C287,"&gt;="&amp;DATE(2003,1,1),$A$2:$A287,"&lt;&gt;"),"")</f>
        <v/>
      </c>
    </row>
    <row r="288" spans="1:24">
      <c r="A288" t="str">
        <f>IF('Sağ Bekler'!A90="","",'Sağ Bekler'!A90)</f>
        <v/>
      </c>
      <c r="B288" t="str">
        <f>IF('Sağ Bekler'!B90="","",'Sağ Bekler'!B90)</f>
        <v/>
      </c>
      <c r="C288" s="2" t="str">
        <f>IF('Sağ Bekler'!C90="","",'Sağ Bekler'!C90)</f>
        <v/>
      </c>
      <c r="D288" t="str">
        <f ca="1">IF('Sağ Bekler'!D90="","",'Sağ Bekler'!D90)</f>
        <v/>
      </c>
      <c r="E288" t="str">
        <f>IF('Sağ Bekler'!E90="","",'Sağ Bekler'!E90)</f>
        <v>Sağ Bek</v>
      </c>
      <c r="F288" t="str">
        <f>IF('Sağ Bekler'!G90="","",'Sağ Bekler'!G90)</f>
        <v/>
      </c>
      <c r="G288" s="2" t="str">
        <f>IF('Sağ Bekler'!H90="","",'Sağ Bekler'!H90)</f>
        <v/>
      </c>
      <c r="H288" t="str">
        <f>IF('Sağ Bekler'!I90="","",'Sağ Bekler'!I90)</f>
        <v/>
      </c>
      <c r="I288" t="str">
        <f>IF('Sağ Bekler'!A90="","",'Sağ Bekler'!J90)</f>
        <v/>
      </c>
      <c r="J288" t="str">
        <f>IF('Sağ Bekler'!A90="","",'Sağ Bekler'!K90)</f>
        <v/>
      </c>
      <c r="K288" t="str">
        <f>IF('Sağ Bekler'!L90="","",'Sağ Bekler'!L90)</f>
        <v/>
      </c>
      <c r="L288" t="str">
        <f>IF('Sağ Bekler'!M90="","",'Sağ Bekler'!M90)</f>
        <v/>
      </c>
      <c r="M288" t="str">
        <f>IF('Sağ Bekler'!N90="","",'Sağ Bekler'!N90)</f>
        <v/>
      </c>
      <c r="N288" t="str">
        <f>IF('Sağ Bekler'!O90="","",'Sağ Bekler'!O90)</f>
        <v/>
      </c>
      <c r="O288" t="str">
        <f>IF('Sağ Bekler'!P90="","",'Sağ Bekler'!P90)</f>
        <v/>
      </c>
      <c r="P288" t="str">
        <f>IF('Sağ Bekler'!Q90="","",'Sağ Bekler'!Q90)</f>
        <v/>
      </c>
      <c r="Q288" t="str">
        <f>IF('Sağ Bekler'!R90="","",'Sağ Bekler'!R90)</f>
        <v/>
      </c>
      <c r="R288" t="str">
        <f>IF('Sağ Bekler'!S90="","",'Sağ Bekler'!S90)</f>
        <v/>
      </c>
      <c r="S288" t="str">
        <f>IF('Sağ Bekler'!T90="","",'Sağ Bekler'!T90)</f>
        <v/>
      </c>
      <c r="T288" s="2" t="str">
        <f>IF('Sağ Bekler'!U90="","",'Sağ Bekler'!U90)</f>
        <v/>
      </c>
      <c r="U288" t="s">
        <v>928</v>
      </c>
      <c r="V288">
        <v>90</v>
      </c>
      <c r="W288" t="str">
        <f ca="1">IF(AND($A288&lt;&gt;"",ISNUMBER($G288),$G288&gt;=TODAY(),$G288&lt;=EDATE(TODAY(),12)),COUNTIFS($G$2:$G$1001,"&gt;="&amp;TODAY(),$G$2:$G$1001,"&lt;"&amp;$G288,$A$2:$A$1001,"&lt;&gt;")+COUNTIFS($G$2:$G288,$G288,$A$2:$A288,"&lt;&gt;"),"")</f>
        <v/>
      </c>
      <c r="X288" t="str">
        <f>IF(AND($A288&lt;&gt;"",ISNUMBER($C288),$C288&gt;=DATE(2003,1,1)),COUNTIFS($C$2:$C288,"&gt;="&amp;DATE(2003,1,1),$A$2:$A288,"&lt;&gt;"),"")</f>
        <v/>
      </c>
    </row>
    <row r="289" spans="1:24">
      <c r="A289" t="str">
        <f>IF('Sağ Bekler'!A91="","",'Sağ Bekler'!A91)</f>
        <v/>
      </c>
      <c r="B289" t="str">
        <f>IF('Sağ Bekler'!B91="","",'Sağ Bekler'!B91)</f>
        <v/>
      </c>
      <c r="C289" s="2" t="str">
        <f>IF('Sağ Bekler'!C91="","",'Sağ Bekler'!C91)</f>
        <v/>
      </c>
      <c r="D289" t="str">
        <f ca="1">IF('Sağ Bekler'!D91="","",'Sağ Bekler'!D91)</f>
        <v/>
      </c>
      <c r="E289" t="str">
        <f>IF('Sağ Bekler'!E91="","",'Sağ Bekler'!E91)</f>
        <v>Sağ Bek</v>
      </c>
      <c r="F289" t="str">
        <f>IF('Sağ Bekler'!G91="","",'Sağ Bekler'!G91)</f>
        <v/>
      </c>
      <c r="G289" s="2" t="str">
        <f>IF('Sağ Bekler'!H91="","",'Sağ Bekler'!H91)</f>
        <v/>
      </c>
      <c r="H289" t="str">
        <f>IF('Sağ Bekler'!I91="","",'Sağ Bekler'!I91)</f>
        <v/>
      </c>
      <c r="I289" t="str">
        <f>IF('Sağ Bekler'!A91="","",'Sağ Bekler'!J91)</f>
        <v/>
      </c>
      <c r="J289" t="str">
        <f>IF('Sağ Bekler'!A91="","",'Sağ Bekler'!K91)</f>
        <v/>
      </c>
      <c r="K289" t="str">
        <f>IF('Sağ Bekler'!L91="","",'Sağ Bekler'!L91)</f>
        <v/>
      </c>
      <c r="L289" t="str">
        <f>IF('Sağ Bekler'!M91="","",'Sağ Bekler'!M91)</f>
        <v/>
      </c>
      <c r="M289" t="str">
        <f>IF('Sağ Bekler'!N91="","",'Sağ Bekler'!N91)</f>
        <v/>
      </c>
      <c r="N289" t="str">
        <f>IF('Sağ Bekler'!O91="","",'Sağ Bekler'!O91)</f>
        <v/>
      </c>
      <c r="O289" t="str">
        <f>IF('Sağ Bekler'!P91="","",'Sağ Bekler'!P91)</f>
        <v/>
      </c>
      <c r="P289" t="str">
        <f>IF('Sağ Bekler'!Q91="","",'Sağ Bekler'!Q91)</f>
        <v/>
      </c>
      <c r="Q289" t="str">
        <f>IF('Sağ Bekler'!R91="","",'Sağ Bekler'!R91)</f>
        <v/>
      </c>
      <c r="R289" t="str">
        <f>IF('Sağ Bekler'!S91="","",'Sağ Bekler'!S91)</f>
        <v/>
      </c>
      <c r="S289" t="str">
        <f>IF('Sağ Bekler'!T91="","",'Sağ Bekler'!T91)</f>
        <v/>
      </c>
      <c r="T289" s="2" t="str">
        <f>IF('Sağ Bekler'!U91="","",'Sağ Bekler'!U91)</f>
        <v/>
      </c>
      <c r="U289" t="s">
        <v>928</v>
      </c>
      <c r="V289">
        <v>91</v>
      </c>
      <c r="W289" t="str">
        <f ca="1">IF(AND($A289&lt;&gt;"",ISNUMBER($G289),$G289&gt;=TODAY(),$G289&lt;=EDATE(TODAY(),12)),COUNTIFS($G$2:$G$1001,"&gt;="&amp;TODAY(),$G$2:$G$1001,"&lt;"&amp;$G289,$A$2:$A$1001,"&lt;&gt;")+COUNTIFS($G$2:$G289,$G289,$A$2:$A289,"&lt;&gt;"),"")</f>
        <v/>
      </c>
      <c r="X289" t="str">
        <f>IF(AND($A289&lt;&gt;"",ISNUMBER($C289),$C289&gt;=DATE(2003,1,1)),COUNTIFS($C$2:$C289,"&gt;="&amp;DATE(2003,1,1),$A$2:$A289,"&lt;&gt;"),"")</f>
        <v/>
      </c>
    </row>
    <row r="290" spans="1:24">
      <c r="A290" t="str">
        <f>IF('Sağ Bekler'!A92="","",'Sağ Bekler'!A92)</f>
        <v/>
      </c>
      <c r="B290" t="str">
        <f>IF('Sağ Bekler'!B92="","",'Sağ Bekler'!B92)</f>
        <v/>
      </c>
      <c r="C290" s="2" t="str">
        <f>IF('Sağ Bekler'!C92="","",'Sağ Bekler'!C92)</f>
        <v/>
      </c>
      <c r="D290" t="str">
        <f ca="1">IF('Sağ Bekler'!D92="","",'Sağ Bekler'!D92)</f>
        <v/>
      </c>
      <c r="E290" t="str">
        <f>IF('Sağ Bekler'!E92="","",'Sağ Bekler'!E92)</f>
        <v>Sağ Bek</v>
      </c>
      <c r="F290" t="str">
        <f>IF('Sağ Bekler'!G92="","",'Sağ Bekler'!G92)</f>
        <v/>
      </c>
      <c r="G290" s="2" t="str">
        <f>IF('Sağ Bekler'!H92="","",'Sağ Bekler'!H92)</f>
        <v/>
      </c>
      <c r="H290" t="str">
        <f>IF('Sağ Bekler'!I92="","",'Sağ Bekler'!I92)</f>
        <v/>
      </c>
      <c r="I290" t="str">
        <f>IF('Sağ Bekler'!A92="","",'Sağ Bekler'!J92)</f>
        <v/>
      </c>
      <c r="J290" t="str">
        <f>IF('Sağ Bekler'!A92="","",'Sağ Bekler'!K92)</f>
        <v/>
      </c>
      <c r="K290" t="str">
        <f>IF('Sağ Bekler'!L92="","",'Sağ Bekler'!L92)</f>
        <v/>
      </c>
      <c r="L290" t="str">
        <f>IF('Sağ Bekler'!M92="","",'Sağ Bekler'!M92)</f>
        <v/>
      </c>
      <c r="M290" t="str">
        <f>IF('Sağ Bekler'!N92="","",'Sağ Bekler'!N92)</f>
        <v/>
      </c>
      <c r="N290" t="str">
        <f>IF('Sağ Bekler'!O92="","",'Sağ Bekler'!O92)</f>
        <v/>
      </c>
      <c r="O290" t="str">
        <f>IF('Sağ Bekler'!P92="","",'Sağ Bekler'!P92)</f>
        <v/>
      </c>
      <c r="P290" t="str">
        <f>IF('Sağ Bekler'!Q92="","",'Sağ Bekler'!Q92)</f>
        <v/>
      </c>
      <c r="Q290" t="str">
        <f>IF('Sağ Bekler'!R92="","",'Sağ Bekler'!R92)</f>
        <v/>
      </c>
      <c r="R290" t="str">
        <f>IF('Sağ Bekler'!S92="","",'Sağ Bekler'!S92)</f>
        <v/>
      </c>
      <c r="S290" t="str">
        <f>IF('Sağ Bekler'!T92="","",'Sağ Bekler'!T92)</f>
        <v/>
      </c>
      <c r="T290" s="2" t="str">
        <f>IF('Sağ Bekler'!U92="","",'Sağ Bekler'!U92)</f>
        <v/>
      </c>
      <c r="U290" t="s">
        <v>928</v>
      </c>
      <c r="V290">
        <v>92</v>
      </c>
      <c r="W290" t="str">
        <f ca="1">IF(AND($A290&lt;&gt;"",ISNUMBER($G290),$G290&gt;=TODAY(),$G290&lt;=EDATE(TODAY(),12)),COUNTIFS($G$2:$G$1001,"&gt;="&amp;TODAY(),$G$2:$G$1001,"&lt;"&amp;$G290,$A$2:$A$1001,"&lt;&gt;")+COUNTIFS($G$2:$G290,$G290,$A$2:$A290,"&lt;&gt;"),"")</f>
        <v/>
      </c>
      <c r="X290" t="str">
        <f>IF(AND($A290&lt;&gt;"",ISNUMBER($C290),$C290&gt;=DATE(2003,1,1)),COUNTIFS($C$2:$C290,"&gt;="&amp;DATE(2003,1,1),$A$2:$A290,"&lt;&gt;"),"")</f>
        <v/>
      </c>
    </row>
    <row r="291" spans="1:24">
      <c r="A291" t="str">
        <f>IF('Sağ Bekler'!A93="","",'Sağ Bekler'!A93)</f>
        <v/>
      </c>
      <c r="B291" t="str">
        <f>IF('Sağ Bekler'!B93="","",'Sağ Bekler'!B93)</f>
        <v/>
      </c>
      <c r="C291" s="2" t="str">
        <f>IF('Sağ Bekler'!C93="","",'Sağ Bekler'!C93)</f>
        <v/>
      </c>
      <c r="D291" t="str">
        <f ca="1">IF('Sağ Bekler'!D93="","",'Sağ Bekler'!D93)</f>
        <v/>
      </c>
      <c r="E291" t="str">
        <f>IF('Sağ Bekler'!E93="","",'Sağ Bekler'!E93)</f>
        <v>Sağ Bek</v>
      </c>
      <c r="F291" t="str">
        <f>IF('Sağ Bekler'!G93="","",'Sağ Bekler'!G93)</f>
        <v/>
      </c>
      <c r="G291" s="2" t="str">
        <f>IF('Sağ Bekler'!H93="","",'Sağ Bekler'!H93)</f>
        <v/>
      </c>
      <c r="H291" t="str">
        <f>IF('Sağ Bekler'!I93="","",'Sağ Bekler'!I93)</f>
        <v/>
      </c>
      <c r="I291" t="str">
        <f>IF('Sağ Bekler'!A93="","",'Sağ Bekler'!J93)</f>
        <v/>
      </c>
      <c r="J291" t="str">
        <f>IF('Sağ Bekler'!A93="","",'Sağ Bekler'!K93)</f>
        <v/>
      </c>
      <c r="K291" t="str">
        <f>IF('Sağ Bekler'!L93="","",'Sağ Bekler'!L93)</f>
        <v/>
      </c>
      <c r="L291" t="str">
        <f>IF('Sağ Bekler'!M93="","",'Sağ Bekler'!M93)</f>
        <v/>
      </c>
      <c r="M291" t="str">
        <f>IF('Sağ Bekler'!N93="","",'Sağ Bekler'!N93)</f>
        <v/>
      </c>
      <c r="N291" t="str">
        <f>IF('Sağ Bekler'!O93="","",'Sağ Bekler'!O93)</f>
        <v/>
      </c>
      <c r="O291" t="str">
        <f>IF('Sağ Bekler'!P93="","",'Sağ Bekler'!P93)</f>
        <v/>
      </c>
      <c r="P291" t="str">
        <f>IF('Sağ Bekler'!Q93="","",'Sağ Bekler'!Q93)</f>
        <v/>
      </c>
      <c r="Q291" t="str">
        <f>IF('Sağ Bekler'!R93="","",'Sağ Bekler'!R93)</f>
        <v/>
      </c>
      <c r="R291" t="str">
        <f>IF('Sağ Bekler'!S93="","",'Sağ Bekler'!S93)</f>
        <v/>
      </c>
      <c r="S291" t="str">
        <f>IF('Sağ Bekler'!T93="","",'Sağ Bekler'!T93)</f>
        <v/>
      </c>
      <c r="T291" s="2" t="str">
        <f>IF('Sağ Bekler'!U93="","",'Sağ Bekler'!U93)</f>
        <v/>
      </c>
      <c r="U291" t="s">
        <v>928</v>
      </c>
      <c r="V291">
        <v>93</v>
      </c>
      <c r="W291" t="str">
        <f ca="1">IF(AND($A291&lt;&gt;"",ISNUMBER($G291),$G291&gt;=TODAY(),$G291&lt;=EDATE(TODAY(),12)),COUNTIFS($G$2:$G$1001,"&gt;="&amp;TODAY(),$G$2:$G$1001,"&lt;"&amp;$G291,$A$2:$A$1001,"&lt;&gt;")+COUNTIFS($G$2:$G291,$G291,$A$2:$A291,"&lt;&gt;"),"")</f>
        <v/>
      </c>
      <c r="X291" t="str">
        <f>IF(AND($A291&lt;&gt;"",ISNUMBER($C291),$C291&gt;=DATE(2003,1,1)),COUNTIFS($C$2:$C291,"&gt;="&amp;DATE(2003,1,1),$A$2:$A291,"&lt;&gt;"),"")</f>
        <v/>
      </c>
    </row>
    <row r="292" spans="1:24">
      <c r="A292" t="str">
        <f>IF('Sağ Bekler'!A94="","",'Sağ Bekler'!A94)</f>
        <v/>
      </c>
      <c r="B292" t="str">
        <f>IF('Sağ Bekler'!B94="","",'Sağ Bekler'!B94)</f>
        <v/>
      </c>
      <c r="C292" s="2" t="str">
        <f>IF('Sağ Bekler'!C94="","",'Sağ Bekler'!C94)</f>
        <v/>
      </c>
      <c r="D292" t="str">
        <f ca="1">IF('Sağ Bekler'!D94="","",'Sağ Bekler'!D94)</f>
        <v/>
      </c>
      <c r="E292" t="str">
        <f>IF('Sağ Bekler'!E94="","",'Sağ Bekler'!E94)</f>
        <v>Sağ Bek</v>
      </c>
      <c r="F292" t="str">
        <f>IF('Sağ Bekler'!G94="","",'Sağ Bekler'!G94)</f>
        <v/>
      </c>
      <c r="G292" s="2" t="str">
        <f>IF('Sağ Bekler'!H94="","",'Sağ Bekler'!H94)</f>
        <v/>
      </c>
      <c r="H292" t="str">
        <f>IF('Sağ Bekler'!I94="","",'Sağ Bekler'!I94)</f>
        <v/>
      </c>
      <c r="I292" t="str">
        <f>IF('Sağ Bekler'!A94="","",'Sağ Bekler'!J94)</f>
        <v/>
      </c>
      <c r="J292" t="str">
        <f>IF('Sağ Bekler'!A94="","",'Sağ Bekler'!K94)</f>
        <v/>
      </c>
      <c r="K292" t="str">
        <f>IF('Sağ Bekler'!L94="","",'Sağ Bekler'!L94)</f>
        <v/>
      </c>
      <c r="L292" t="str">
        <f>IF('Sağ Bekler'!M94="","",'Sağ Bekler'!M94)</f>
        <v/>
      </c>
      <c r="M292" t="str">
        <f>IF('Sağ Bekler'!N94="","",'Sağ Bekler'!N94)</f>
        <v/>
      </c>
      <c r="N292" t="str">
        <f>IF('Sağ Bekler'!O94="","",'Sağ Bekler'!O94)</f>
        <v/>
      </c>
      <c r="O292" t="str">
        <f>IF('Sağ Bekler'!P94="","",'Sağ Bekler'!P94)</f>
        <v/>
      </c>
      <c r="P292" t="str">
        <f>IF('Sağ Bekler'!Q94="","",'Sağ Bekler'!Q94)</f>
        <v/>
      </c>
      <c r="Q292" t="str">
        <f>IF('Sağ Bekler'!R94="","",'Sağ Bekler'!R94)</f>
        <v/>
      </c>
      <c r="R292" t="str">
        <f>IF('Sağ Bekler'!S94="","",'Sağ Bekler'!S94)</f>
        <v/>
      </c>
      <c r="S292" t="str">
        <f>IF('Sağ Bekler'!T94="","",'Sağ Bekler'!T94)</f>
        <v/>
      </c>
      <c r="T292" s="2" t="str">
        <f>IF('Sağ Bekler'!U94="","",'Sağ Bekler'!U94)</f>
        <v/>
      </c>
      <c r="U292" t="s">
        <v>928</v>
      </c>
      <c r="V292">
        <v>94</v>
      </c>
      <c r="W292" t="str">
        <f ca="1">IF(AND($A292&lt;&gt;"",ISNUMBER($G292),$G292&gt;=TODAY(),$G292&lt;=EDATE(TODAY(),12)),COUNTIFS($G$2:$G$1001,"&gt;="&amp;TODAY(),$G$2:$G$1001,"&lt;"&amp;$G292,$A$2:$A$1001,"&lt;&gt;")+COUNTIFS($G$2:$G292,$G292,$A$2:$A292,"&lt;&gt;"),"")</f>
        <v/>
      </c>
      <c r="X292" t="str">
        <f>IF(AND($A292&lt;&gt;"",ISNUMBER($C292),$C292&gt;=DATE(2003,1,1)),COUNTIFS($C$2:$C292,"&gt;="&amp;DATE(2003,1,1),$A$2:$A292,"&lt;&gt;"),"")</f>
        <v/>
      </c>
    </row>
    <row r="293" spans="1:24">
      <c r="A293" t="str">
        <f>IF('Sağ Bekler'!A95="","",'Sağ Bekler'!A95)</f>
        <v/>
      </c>
      <c r="B293" t="str">
        <f>IF('Sağ Bekler'!B95="","",'Sağ Bekler'!B95)</f>
        <v/>
      </c>
      <c r="C293" s="2" t="str">
        <f>IF('Sağ Bekler'!C95="","",'Sağ Bekler'!C95)</f>
        <v/>
      </c>
      <c r="D293" t="str">
        <f ca="1">IF('Sağ Bekler'!D95="","",'Sağ Bekler'!D95)</f>
        <v/>
      </c>
      <c r="E293" t="str">
        <f>IF('Sağ Bekler'!E95="","",'Sağ Bekler'!E95)</f>
        <v>Sağ Bek</v>
      </c>
      <c r="F293" t="str">
        <f>IF('Sağ Bekler'!G95="","",'Sağ Bekler'!G95)</f>
        <v/>
      </c>
      <c r="G293" s="2" t="str">
        <f>IF('Sağ Bekler'!H95="","",'Sağ Bekler'!H95)</f>
        <v/>
      </c>
      <c r="H293" t="str">
        <f>IF('Sağ Bekler'!I95="","",'Sağ Bekler'!I95)</f>
        <v/>
      </c>
      <c r="I293" t="str">
        <f>IF('Sağ Bekler'!A95="","",'Sağ Bekler'!J95)</f>
        <v/>
      </c>
      <c r="J293" t="str">
        <f>IF('Sağ Bekler'!A95="","",'Sağ Bekler'!K95)</f>
        <v/>
      </c>
      <c r="K293" t="str">
        <f>IF('Sağ Bekler'!L95="","",'Sağ Bekler'!L95)</f>
        <v/>
      </c>
      <c r="L293" t="str">
        <f>IF('Sağ Bekler'!M95="","",'Sağ Bekler'!M95)</f>
        <v/>
      </c>
      <c r="M293" t="str">
        <f>IF('Sağ Bekler'!N95="","",'Sağ Bekler'!N95)</f>
        <v/>
      </c>
      <c r="N293" t="str">
        <f>IF('Sağ Bekler'!O95="","",'Sağ Bekler'!O95)</f>
        <v/>
      </c>
      <c r="O293" t="str">
        <f>IF('Sağ Bekler'!P95="","",'Sağ Bekler'!P95)</f>
        <v/>
      </c>
      <c r="P293" t="str">
        <f>IF('Sağ Bekler'!Q95="","",'Sağ Bekler'!Q95)</f>
        <v/>
      </c>
      <c r="Q293" t="str">
        <f>IF('Sağ Bekler'!R95="","",'Sağ Bekler'!R95)</f>
        <v/>
      </c>
      <c r="R293" t="str">
        <f>IF('Sağ Bekler'!S95="","",'Sağ Bekler'!S95)</f>
        <v/>
      </c>
      <c r="S293" t="str">
        <f>IF('Sağ Bekler'!T95="","",'Sağ Bekler'!T95)</f>
        <v/>
      </c>
      <c r="T293" s="2" t="str">
        <f>IF('Sağ Bekler'!U95="","",'Sağ Bekler'!U95)</f>
        <v/>
      </c>
      <c r="U293" t="s">
        <v>928</v>
      </c>
      <c r="V293">
        <v>95</v>
      </c>
      <c r="W293" t="str">
        <f ca="1">IF(AND($A293&lt;&gt;"",ISNUMBER($G293),$G293&gt;=TODAY(),$G293&lt;=EDATE(TODAY(),12)),COUNTIFS($G$2:$G$1001,"&gt;="&amp;TODAY(),$G$2:$G$1001,"&lt;"&amp;$G293,$A$2:$A$1001,"&lt;&gt;")+COUNTIFS($G$2:$G293,$G293,$A$2:$A293,"&lt;&gt;"),"")</f>
        <v/>
      </c>
      <c r="X293" t="str">
        <f>IF(AND($A293&lt;&gt;"",ISNUMBER($C293),$C293&gt;=DATE(2003,1,1)),COUNTIFS($C$2:$C293,"&gt;="&amp;DATE(2003,1,1),$A$2:$A293,"&lt;&gt;"),"")</f>
        <v/>
      </c>
    </row>
    <row r="294" spans="1:24">
      <c r="A294" t="str">
        <f>IF('Sağ Bekler'!A96="","",'Sağ Bekler'!A96)</f>
        <v/>
      </c>
      <c r="B294" t="str">
        <f>IF('Sağ Bekler'!B96="","",'Sağ Bekler'!B96)</f>
        <v/>
      </c>
      <c r="C294" s="2" t="str">
        <f>IF('Sağ Bekler'!C96="","",'Sağ Bekler'!C96)</f>
        <v/>
      </c>
      <c r="D294" t="str">
        <f ca="1">IF('Sağ Bekler'!D96="","",'Sağ Bekler'!D96)</f>
        <v/>
      </c>
      <c r="E294" t="str">
        <f>IF('Sağ Bekler'!E96="","",'Sağ Bekler'!E96)</f>
        <v>Sağ Bek</v>
      </c>
      <c r="F294" t="str">
        <f>IF('Sağ Bekler'!G96="","",'Sağ Bekler'!G96)</f>
        <v/>
      </c>
      <c r="G294" s="2" t="str">
        <f>IF('Sağ Bekler'!H96="","",'Sağ Bekler'!H96)</f>
        <v/>
      </c>
      <c r="H294" t="str">
        <f>IF('Sağ Bekler'!I96="","",'Sağ Bekler'!I96)</f>
        <v/>
      </c>
      <c r="I294" t="str">
        <f>IF('Sağ Bekler'!A96="","",'Sağ Bekler'!J96)</f>
        <v/>
      </c>
      <c r="J294" t="str">
        <f>IF('Sağ Bekler'!A96="","",'Sağ Bekler'!K96)</f>
        <v/>
      </c>
      <c r="K294" t="str">
        <f>IF('Sağ Bekler'!L96="","",'Sağ Bekler'!L96)</f>
        <v/>
      </c>
      <c r="L294" t="str">
        <f>IF('Sağ Bekler'!M96="","",'Sağ Bekler'!M96)</f>
        <v/>
      </c>
      <c r="M294" t="str">
        <f>IF('Sağ Bekler'!N96="","",'Sağ Bekler'!N96)</f>
        <v/>
      </c>
      <c r="N294" t="str">
        <f>IF('Sağ Bekler'!O96="","",'Sağ Bekler'!O96)</f>
        <v/>
      </c>
      <c r="O294" t="str">
        <f>IF('Sağ Bekler'!P96="","",'Sağ Bekler'!P96)</f>
        <v/>
      </c>
      <c r="P294" t="str">
        <f>IF('Sağ Bekler'!Q96="","",'Sağ Bekler'!Q96)</f>
        <v/>
      </c>
      <c r="Q294" t="str">
        <f>IF('Sağ Bekler'!R96="","",'Sağ Bekler'!R96)</f>
        <v/>
      </c>
      <c r="R294" t="str">
        <f>IF('Sağ Bekler'!S96="","",'Sağ Bekler'!S96)</f>
        <v/>
      </c>
      <c r="S294" t="str">
        <f>IF('Sağ Bekler'!T96="","",'Sağ Bekler'!T96)</f>
        <v/>
      </c>
      <c r="T294" s="2" t="str">
        <f>IF('Sağ Bekler'!U96="","",'Sağ Bekler'!U96)</f>
        <v/>
      </c>
      <c r="U294" t="s">
        <v>928</v>
      </c>
      <c r="V294">
        <v>96</v>
      </c>
      <c r="W294" t="str">
        <f ca="1">IF(AND($A294&lt;&gt;"",ISNUMBER($G294),$G294&gt;=TODAY(),$G294&lt;=EDATE(TODAY(),12)),COUNTIFS($G$2:$G$1001,"&gt;="&amp;TODAY(),$G$2:$G$1001,"&lt;"&amp;$G294,$A$2:$A$1001,"&lt;&gt;")+COUNTIFS($G$2:$G294,$G294,$A$2:$A294,"&lt;&gt;"),"")</f>
        <v/>
      </c>
      <c r="X294" t="str">
        <f>IF(AND($A294&lt;&gt;"",ISNUMBER($C294),$C294&gt;=DATE(2003,1,1)),COUNTIFS($C$2:$C294,"&gt;="&amp;DATE(2003,1,1),$A$2:$A294,"&lt;&gt;"),"")</f>
        <v/>
      </c>
    </row>
    <row r="295" spans="1:24">
      <c r="A295" t="str">
        <f>IF('Sağ Bekler'!A97="","",'Sağ Bekler'!A97)</f>
        <v/>
      </c>
      <c r="B295" t="str">
        <f>IF('Sağ Bekler'!B97="","",'Sağ Bekler'!B97)</f>
        <v/>
      </c>
      <c r="C295" s="2" t="str">
        <f>IF('Sağ Bekler'!C97="","",'Sağ Bekler'!C97)</f>
        <v/>
      </c>
      <c r="D295" t="str">
        <f ca="1">IF('Sağ Bekler'!D97="","",'Sağ Bekler'!D97)</f>
        <v/>
      </c>
      <c r="E295" t="str">
        <f>IF('Sağ Bekler'!E97="","",'Sağ Bekler'!E97)</f>
        <v>Sağ Bek</v>
      </c>
      <c r="F295" t="str">
        <f>IF('Sağ Bekler'!G97="","",'Sağ Bekler'!G97)</f>
        <v/>
      </c>
      <c r="G295" s="2" t="str">
        <f>IF('Sağ Bekler'!H97="","",'Sağ Bekler'!H97)</f>
        <v/>
      </c>
      <c r="H295" t="str">
        <f>IF('Sağ Bekler'!I97="","",'Sağ Bekler'!I97)</f>
        <v/>
      </c>
      <c r="I295" t="str">
        <f>IF('Sağ Bekler'!A97="","",'Sağ Bekler'!J97)</f>
        <v/>
      </c>
      <c r="J295" t="str">
        <f>IF('Sağ Bekler'!A97="","",'Sağ Bekler'!K97)</f>
        <v/>
      </c>
      <c r="K295" t="str">
        <f>IF('Sağ Bekler'!L97="","",'Sağ Bekler'!L97)</f>
        <v/>
      </c>
      <c r="L295" t="str">
        <f>IF('Sağ Bekler'!M97="","",'Sağ Bekler'!M97)</f>
        <v/>
      </c>
      <c r="M295" t="str">
        <f>IF('Sağ Bekler'!N97="","",'Sağ Bekler'!N97)</f>
        <v/>
      </c>
      <c r="N295" t="str">
        <f>IF('Sağ Bekler'!O97="","",'Sağ Bekler'!O97)</f>
        <v/>
      </c>
      <c r="O295" t="str">
        <f>IF('Sağ Bekler'!P97="","",'Sağ Bekler'!P97)</f>
        <v/>
      </c>
      <c r="P295" t="str">
        <f>IF('Sağ Bekler'!Q97="","",'Sağ Bekler'!Q97)</f>
        <v/>
      </c>
      <c r="Q295" t="str">
        <f>IF('Sağ Bekler'!R97="","",'Sağ Bekler'!R97)</f>
        <v/>
      </c>
      <c r="R295" t="str">
        <f>IF('Sağ Bekler'!S97="","",'Sağ Bekler'!S97)</f>
        <v/>
      </c>
      <c r="S295" t="str">
        <f>IF('Sağ Bekler'!T97="","",'Sağ Bekler'!T97)</f>
        <v/>
      </c>
      <c r="T295" s="2" t="str">
        <f>IF('Sağ Bekler'!U97="","",'Sağ Bekler'!U97)</f>
        <v/>
      </c>
      <c r="U295" t="s">
        <v>928</v>
      </c>
      <c r="V295">
        <v>97</v>
      </c>
      <c r="W295" t="str">
        <f ca="1">IF(AND($A295&lt;&gt;"",ISNUMBER($G295),$G295&gt;=TODAY(),$G295&lt;=EDATE(TODAY(),12)),COUNTIFS($G$2:$G$1001,"&gt;="&amp;TODAY(),$G$2:$G$1001,"&lt;"&amp;$G295,$A$2:$A$1001,"&lt;&gt;")+COUNTIFS($G$2:$G295,$G295,$A$2:$A295,"&lt;&gt;"),"")</f>
        <v/>
      </c>
      <c r="X295" t="str">
        <f>IF(AND($A295&lt;&gt;"",ISNUMBER($C295),$C295&gt;=DATE(2003,1,1)),COUNTIFS($C$2:$C295,"&gt;="&amp;DATE(2003,1,1),$A$2:$A295,"&lt;&gt;"),"")</f>
        <v/>
      </c>
    </row>
    <row r="296" spans="1:24">
      <c r="A296" t="str">
        <f>IF('Sağ Bekler'!A98="","",'Sağ Bekler'!A98)</f>
        <v/>
      </c>
      <c r="B296" t="str">
        <f>IF('Sağ Bekler'!B98="","",'Sağ Bekler'!B98)</f>
        <v/>
      </c>
      <c r="C296" s="2" t="str">
        <f>IF('Sağ Bekler'!C98="","",'Sağ Bekler'!C98)</f>
        <v/>
      </c>
      <c r="D296" t="str">
        <f ca="1">IF('Sağ Bekler'!D98="","",'Sağ Bekler'!D98)</f>
        <v/>
      </c>
      <c r="E296" t="str">
        <f>IF('Sağ Bekler'!E98="","",'Sağ Bekler'!E98)</f>
        <v>Sağ Bek</v>
      </c>
      <c r="F296" t="str">
        <f>IF('Sağ Bekler'!G98="","",'Sağ Bekler'!G98)</f>
        <v/>
      </c>
      <c r="G296" s="2" t="str">
        <f>IF('Sağ Bekler'!H98="","",'Sağ Bekler'!H98)</f>
        <v/>
      </c>
      <c r="H296" t="str">
        <f>IF('Sağ Bekler'!I98="","",'Sağ Bekler'!I98)</f>
        <v/>
      </c>
      <c r="I296" t="str">
        <f>IF('Sağ Bekler'!A98="","",'Sağ Bekler'!J98)</f>
        <v/>
      </c>
      <c r="J296" t="str">
        <f>IF('Sağ Bekler'!A98="","",'Sağ Bekler'!K98)</f>
        <v/>
      </c>
      <c r="K296" t="str">
        <f>IF('Sağ Bekler'!L98="","",'Sağ Bekler'!L98)</f>
        <v/>
      </c>
      <c r="L296" t="str">
        <f>IF('Sağ Bekler'!M98="","",'Sağ Bekler'!M98)</f>
        <v/>
      </c>
      <c r="M296" t="str">
        <f>IF('Sağ Bekler'!N98="","",'Sağ Bekler'!N98)</f>
        <v/>
      </c>
      <c r="N296" t="str">
        <f>IF('Sağ Bekler'!O98="","",'Sağ Bekler'!O98)</f>
        <v/>
      </c>
      <c r="O296" t="str">
        <f>IF('Sağ Bekler'!P98="","",'Sağ Bekler'!P98)</f>
        <v/>
      </c>
      <c r="P296" t="str">
        <f>IF('Sağ Bekler'!Q98="","",'Sağ Bekler'!Q98)</f>
        <v/>
      </c>
      <c r="Q296" t="str">
        <f>IF('Sağ Bekler'!R98="","",'Sağ Bekler'!R98)</f>
        <v/>
      </c>
      <c r="R296" t="str">
        <f>IF('Sağ Bekler'!S98="","",'Sağ Bekler'!S98)</f>
        <v/>
      </c>
      <c r="S296" t="str">
        <f>IF('Sağ Bekler'!T98="","",'Sağ Bekler'!T98)</f>
        <v/>
      </c>
      <c r="T296" s="2" t="str">
        <f>IF('Sağ Bekler'!U98="","",'Sağ Bekler'!U98)</f>
        <v/>
      </c>
      <c r="U296" t="s">
        <v>928</v>
      </c>
      <c r="V296">
        <v>98</v>
      </c>
      <c r="W296" t="str">
        <f ca="1">IF(AND($A296&lt;&gt;"",ISNUMBER($G296),$G296&gt;=TODAY(),$G296&lt;=EDATE(TODAY(),12)),COUNTIFS($G$2:$G$1001,"&gt;="&amp;TODAY(),$G$2:$G$1001,"&lt;"&amp;$G296,$A$2:$A$1001,"&lt;&gt;")+COUNTIFS($G$2:$G296,$G296,$A$2:$A296,"&lt;&gt;"),"")</f>
        <v/>
      </c>
      <c r="X296" t="str">
        <f>IF(AND($A296&lt;&gt;"",ISNUMBER($C296),$C296&gt;=DATE(2003,1,1)),COUNTIFS($C$2:$C296,"&gt;="&amp;DATE(2003,1,1),$A$2:$A296,"&lt;&gt;"),"")</f>
        <v/>
      </c>
    </row>
    <row r="297" spans="1:24">
      <c r="A297" t="str">
        <f>IF('Sağ Bekler'!A99="","",'Sağ Bekler'!A99)</f>
        <v/>
      </c>
      <c r="B297" t="str">
        <f>IF('Sağ Bekler'!B99="","",'Sağ Bekler'!B99)</f>
        <v/>
      </c>
      <c r="C297" s="2" t="str">
        <f>IF('Sağ Bekler'!C99="","",'Sağ Bekler'!C99)</f>
        <v/>
      </c>
      <c r="D297" t="str">
        <f ca="1">IF('Sağ Bekler'!D99="","",'Sağ Bekler'!D99)</f>
        <v/>
      </c>
      <c r="E297" t="str">
        <f>IF('Sağ Bekler'!E99="","",'Sağ Bekler'!E99)</f>
        <v>Sağ Bek</v>
      </c>
      <c r="F297" t="str">
        <f>IF('Sağ Bekler'!G99="","",'Sağ Bekler'!G99)</f>
        <v/>
      </c>
      <c r="G297" s="2" t="str">
        <f>IF('Sağ Bekler'!H99="","",'Sağ Bekler'!H99)</f>
        <v/>
      </c>
      <c r="H297" t="str">
        <f>IF('Sağ Bekler'!I99="","",'Sağ Bekler'!I99)</f>
        <v/>
      </c>
      <c r="I297" t="str">
        <f>IF('Sağ Bekler'!A99="","",'Sağ Bekler'!J99)</f>
        <v/>
      </c>
      <c r="J297" t="str">
        <f>IF('Sağ Bekler'!A99="","",'Sağ Bekler'!K99)</f>
        <v/>
      </c>
      <c r="K297" t="str">
        <f>IF('Sağ Bekler'!L99="","",'Sağ Bekler'!L99)</f>
        <v/>
      </c>
      <c r="L297" t="str">
        <f>IF('Sağ Bekler'!M99="","",'Sağ Bekler'!M99)</f>
        <v/>
      </c>
      <c r="M297" t="str">
        <f>IF('Sağ Bekler'!N99="","",'Sağ Bekler'!N99)</f>
        <v/>
      </c>
      <c r="N297" t="str">
        <f>IF('Sağ Bekler'!O99="","",'Sağ Bekler'!O99)</f>
        <v/>
      </c>
      <c r="O297" t="str">
        <f>IF('Sağ Bekler'!P99="","",'Sağ Bekler'!P99)</f>
        <v/>
      </c>
      <c r="P297" t="str">
        <f>IF('Sağ Bekler'!Q99="","",'Sağ Bekler'!Q99)</f>
        <v/>
      </c>
      <c r="Q297" t="str">
        <f>IF('Sağ Bekler'!R99="","",'Sağ Bekler'!R99)</f>
        <v/>
      </c>
      <c r="R297" t="str">
        <f>IF('Sağ Bekler'!S99="","",'Sağ Bekler'!S99)</f>
        <v/>
      </c>
      <c r="S297" t="str">
        <f>IF('Sağ Bekler'!T99="","",'Sağ Bekler'!T99)</f>
        <v/>
      </c>
      <c r="T297" s="2" t="str">
        <f>IF('Sağ Bekler'!U99="","",'Sağ Bekler'!U99)</f>
        <v/>
      </c>
      <c r="U297" t="s">
        <v>928</v>
      </c>
      <c r="V297">
        <v>99</v>
      </c>
      <c r="W297" t="str">
        <f ca="1">IF(AND($A297&lt;&gt;"",ISNUMBER($G297),$G297&gt;=TODAY(),$G297&lt;=EDATE(TODAY(),12)),COUNTIFS($G$2:$G$1001,"&gt;="&amp;TODAY(),$G$2:$G$1001,"&lt;"&amp;$G297,$A$2:$A$1001,"&lt;&gt;")+COUNTIFS($G$2:$G297,$G297,$A$2:$A297,"&lt;&gt;"),"")</f>
        <v/>
      </c>
      <c r="X297" t="str">
        <f>IF(AND($A297&lt;&gt;"",ISNUMBER($C297),$C297&gt;=DATE(2003,1,1)),COUNTIFS($C$2:$C297,"&gt;="&amp;DATE(2003,1,1),$A$2:$A297,"&lt;&gt;"),"")</f>
        <v/>
      </c>
    </row>
    <row r="298" spans="1:24">
      <c r="A298" t="str">
        <f>IF('Sağ Bekler'!A100="","",'Sağ Bekler'!A100)</f>
        <v/>
      </c>
      <c r="B298" t="str">
        <f>IF('Sağ Bekler'!B100="","",'Sağ Bekler'!B100)</f>
        <v/>
      </c>
      <c r="C298" s="2" t="str">
        <f>IF('Sağ Bekler'!C100="","",'Sağ Bekler'!C100)</f>
        <v/>
      </c>
      <c r="D298" t="str">
        <f ca="1">IF('Sağ Bekler'!D100="","",'Sağ Bekler'!D100)</f>
        <v/>
      </c>
      <c r="E298" t="str">
        <f>IF('Sağ Bekler'!E100="","",'Sağ Bekler'!E100)</f>
        <v>Sağ Bek</v>
      </c>
      <c r="F298" t="str">
        <f>IF('Sağ Bekler'!G100="","",'Sağ Bekler'!G100)</f>
        <v/>
      </c>
      <c r="G298" s="2" t="str">
        <f>IF('Sağ Bekler'!H100="","",'Sağ Bekler'!H100)</f>
        <v/>
      </c>
      <c r="H298" t="str">
        <f>IF('Sağ Bekler'!I100="","",'Sağ Bekler'!I100)</f>
        <v/>
      </c>
      <c r="I298" t="str">
        <f>IF('Sağ Bekler'!A100="","",'Sağ Bekler'!J100)</f>
        <v/>
      </c>
      <c r="J298" t="str">
        <f>IF('Sağ Bekler'!A100="","",'Sağ Bekler'!K100)</f>
        <v/>
      </c>
      <c r="K298" t="str">
        <f>IF('Sağ Bekler'!L100="","",'Sağ Bekler'!L100)</f>
        <v/>
      </c>
      <c r="L298" t="str">
        <f>IF('Sağ Bekler'!M100="","",'Sağ Bekler'!M100)</f>
        <v/>
      </c>
      <c r="M298" t="str">
        <f>IF('Sağ Bekler'!N100="","",'Sağ Bekler'!N100)</f>
        <v/>
      </c>
      <c r="N298" t="str">
        <f>IF('Sağ Bekler'!O100="","",'Sağ Bekler'!O100)</f>
        <v/>
      </c>
      <c r="O298" t="str">
        <f>IF('Sağ Bekler'!P100="","",'Sağ Bekler'!P100)</f>
        <v/>
      </c>
      <c r="P298" t="str">
        <f>IF('Sağ Bekler'!Q100="","",'Sağ Bekler'!Q100)</f>
        <v/>
      </c>
      <c r="Q298" t="str">
        <f>IF('Sağ Bekler'!R100="","",'Sağ Bekler'!R100)</f>
        <v/>
      </c>
      <c r="R298" t="str">
        <f>IF('Sağ Bekler'!S100="","",'Sağ Bekler'!S100)</f>
        <v/>
      </c>
      <c r="S298" t="str">
        <f>IF('Sağ Bekler'!T100="","",'Sağ Bekler'!T100)</f>
        <v/>
      </c>
      <c r="T298" s="2" t="str">
        <f>IF('Sağ Bekler'!U100="","",'Sağ Bekler'!U100)</f>
        <v/>
      </c>
      <c r="U298" t="s">
        <v>928</v>
      </c>
      <c r="V298">
        <v>100</v>
      </c>
      <c r="W298" t="str">
        <f ca="1">IF(AND($A298&lt;&gt;"",ISNUMBER($G298),$G298&gt;=TODAY(),$G298&lt;=EDATE(TODAY(),12)),COUNTIFS($G$2:$G$1001,"&gt;="&amp;TODAY(),$G$2:$G$1001,"&lt;"&amp;$G298,$A$2:$A$1001,"&lt;&gt;")+COUNTIFS($G$2:$G298,$G298,$A$2:$A298,"&lt;&gt;"),"")</f>
        <v/>
      </c>
      <c r="X298" t="str">
        <f>IF(AND($A298&lt;&gt;"",ISNUMBER($C298),$C298&gt;=DATE(2003,1,1)),COUNTIFS($C$2:$C298,"&gt;="&amp;DATE(2003,1,1),$A$2:$A298,"&lt;&gt;"),"")</f>
        <v/>
      </c>
    </row>
    <row r="299" spans="1:24">
      <c r="A299" t="str">
        <f>IF('Sağ Bekler'!A101="","",'Sağ Bekler'!A101)</f>
        <v/>
      </c>
      <c r="B299" t="str">
        <f>IF('Sağ Bekler'!B101="","",'Sağ Bekler'!B101)</f>
        <v/>
      </c>
      <c r="C299" s="2" t="str">
        <f>IF('Sağ Bekler'!C101="","",'Sağ Bekler'!C101)</f>
        <v/>
      </c>
      <c r="D299" t="str">
        <f ca="1">IF('Sağ Bekler'!D101="","",'Sağ Bekler'!D101)</f>
        <v/>
      </c>
      <c r="E299" t="str">
        <f>IF('Sağ Bekler'!E101="","",'Sağ Bekler'!E101)</f>
        <v>Sağ Bek</v>
      </c>
      <c r="F299" t="str">
        <f>IF('Sağ Bekler'!G101="","",'Sağ Bekler'!G101)</f>
        <v/>
      </c>
      <c r="G299" s="2" t="str">
        <f>IF('Sağ Bekler'!H101="","",'Sağ Bekler'!H101)</f>
        <v/>
      </c>
      <c r="H299" t="str">
        <f>IF('Sağ Bekler'!I101="","",'Sağ Bekler'!I101)</f>
        <v/>
      </c>
      <c r="I299" t="str">
        <f>IF('Sağ Bekler'!A101="","",'Sağ Bekler'!J101)</f>
        <v/>
      </c>
      <c r="J299" t="str">
        <f>IF('Sağ Bekler'!A101="","",'Sağ Bekler'!K101)</f>
        <v/>
      </c>
      <c r="K299" t="str">
        <f>IF('Sağ Bekler'!L101="","",'Sağ Bekler'!L101)</f>
        <v/>
      </c>
      <c r="L299" t="str">
        <f>IF('Sağ Bekler'!M101="","",'Sağ Bekler'!M101)</f>
        <v/>
      </c>
      <c r="M299" t="str">
        <f>IF('Sağ Bekler'!N101="","",'Sağ Bekler'!N101)</f>
        <v/>
      </c>
      <c r="N299" t="str">
        <f>IF('Sağ Bekler'!O101="","",'Sağ Bekler'!O101)</f>
        <v/>
      </c>
      <c r="O299" t="str">
        <f>IF('Sağ Bekler'!P101="","",'Sağ Bekler'!P101)</f>
        <v/>
      </c>
      <c r="P299" t="str">
        <f>IF('Sağ Bekler'!Q101="","",'Sağ Bekler'!Q101)</f>
        <v/>
      </c>
      <c r="Q299" t="str">
        <f>IF('Sağ Bekler'!R101="","",'Sağ Bekler'!R101)</f>
        <v/>
      </c>
      <c r="R299" t="str">
        <f>IF('Sağ Bekler'!S101="","",'Sağ Bekler'!S101)</f>
        <v/>
      </c>
      <c r="S299" t="str">
        <f>IF('Sağ Bekler'!T101="","",'Sağ Bekler'!T101)</f>
        <v/>
      </c>
      <c r="T299" s="2" t="str">
        <f>IF('Sağ Bekler'!U101="","",'Sağ Bekler'!U101)</f>
        <v/>
      </c>
      <c r="U299" t="s">
        <v>928</v>
      </c>
      <c r="V299">
        <v>101</v>
      </c>
      <c r="W299" t="str">
        <f ca="1">IF(AND($A299&lt;&gt;"",ISNUMBER($G299),$G299&gt;=TODAY(),$G299&lt;=EDATE(TODAY(),12)),COUNTIFS($G$2:$G$1001,"&gt;="&amp;TODAY(),$G$2:$G$1001,"&lt;"&amp;$G299,$A$2:$A$1001,"&lt;&gt;")+COUNTIFS($G$2:$G299,$G299,$A$2:$A299,"&lt;&gt;"),"")</f>
        <v/>
      </c>
      <c r="X299" t="str">
        <f>IF(AND($A299&lt;&gt;"",ISNUMBER($C299),$C299&gt;=DATE(2003,1,1)),COUNTIFS($C$2:$C299,"&gt;="&amp;DATE(2003,1,1),$A$2:$A299,"&lt;&gt;"),"")</f>
        <v/>
      </c>
    </row>
    <row r="300" spans="1:24">
      <c r="A300" t="str">
        <f>IF('Sağ Bekler'!A102="","",'Sağ Bekler'!A102)</f>
        <v/>
      </c>
      <c r="B300" t="str">
        <f>IF('Sağ Bekler'!B102="","",'Sağ Bekler'!B102)</f>
        <v/>
      </c>
      <c r="C300" s="2" t="str">
        <f>IF('Sağ Bekler'!C102="","",'Sağ Bekler'!C102)</f>
        <v/>
      </c>
      <c r="D300" t="str">
        <f ca="1">IF('Sağ Bekler'!D102="","",'Sağ Bekler'!D102)</f>
        <v/>
      </c>
      <c r="E300" t="str">
        <f>IF('Sağ Bekler'!E102="","",'Sağ Bekler'!E102)</f>
        <v>Sağ Bek</v>
      </c>
      <c r="F300" t="str">
        <f>IF('Sağ Bekler'!G102="","",'Sağ Bekler'!G102)</f>
        <v/>
      </c>
      <c r="G300" s="2" t="str">
        <f>IF('Sağ Bekler'!H102="","",'Sağ Bekler'!H102)</f>
        <v/>
      </c>
      <c r="H300" t="str">
        <f>IF('Sağ Bekler'!I102="","",'Sağ Bekler'!I102)</f>
        <v/>
      </c>
      <c r="I300" t="str">
        <f>IF('Sağ Bekler'!A102="","",'Sağ Bekler'!J102)</f>
        <v/>
      </c>
      <c r="J300" t="str">
        <f>IF('Sağ Bekler'!A102="","",'Sağ Bekler'!K102)</f>
        <v/>
      </c>
      <c r="K300" t="str">
        <f>IF('Sağ Bekler'!L102="","",'Sağ Bekler'!L102)</f>
        <v/>
      </c>
      <c r="L300" t="str">
        <f>IF('Sağ Bekler'!M102="","",'Sağ Bekler'!M102)</f>
        <v/>
      </c>
      <c r="M300" t="str">
        <f>IF('Sağ Bekler'!N102="","",'Sağ Bekler'!N102)</f>
        <v/>
      </c>
      <c r="N300" t="str">
        <f>IF('Sağ Bekler'!O102="","",'Sağ Bekler'!O102)</f>
        <v/>
      </c>
      <c r="O300" t="str">
        <f>IF('Sağ Bekler'!P102="","",'Sağ Bekler'!P102)</f>
        <v/>
      </c>
      <c r="P300" t="str">
        <f>IF('Sağ Bekler'!Q102="","",'Sağ Bekler'!Q102)</f>
        <v/>
      </c>
      <c r="Q300" t="str">
        <f>IF('Sağ Bekler'!R102="","",'Sağ Bekler'!R102)</f>
        <v/>
      </c>
      <c r="R300" t="str">
        <f>IF('Sağ Bekler'!S102="","",'Sağ Bekler'!S102)</f>
        <v/>
      </c>
      <c r="S300" t="str">
        <f>IF('Sağ Bekler'!T102="","",'Sağ Bekler'!T102)</f>
        <v/>
      </c>
      <c r="T300" s="2" t="str">
        <f>IF('Sağ Bekler'!U102="","",'Sağ Bekler'!U102)</f>
        <v/>
      </c>
      <c r="U300" t="s">
        <v>928</v>
      </c>
      <c r="V300">
        <v>102</v>
      </c>
      <c r="W300" t="str">
        <f ca="1">IF(AND($A300&lt;&gt;"",ISNUMBER($G300),$G300&gt;=TODAY(),$G300&lt;=EDATE(TODAY(),12)),COUNTIFS($G$2:$G$1001,"&gt;="&amp;TODAY(),$G$2:$G$1001,"&lt;"&amp;$G300,$A$2:$A$1001,"&lt;&gt;")+COUNTIFS($G$2:$G300,$G300,$A$2:$A300,"&lt;&gt;"),"")</f>
        <v/>
      </c>
      <c r="X300" t="str">
        <f>IF(AND($A300&lt;&gt;"",ISNUMBER($C300),$C300&gt;=DATE(2003,1,1)),COUNTIFS($C$2:$C300,"&gt;="&amp;DATE(2003,1,1),$A$2:$A300,"&lt;&gt;"),"")</f>
        <v/>
      </c>
    </row>
    <row r="301" spans="1:24">
      <c r="A301" t="str">
        <f>IF('Sağ Bekler'!A103="","",'Sağ Bekler'!A103)</f>
        <v/>
      </c>
      <c r="B301" t="str">
        <f>IF('Sağ Bekler'!B103="","",'Sağ Bekler'!B103)</f>
        <v/>
      </c>
      <c r="C301" s="2" t="str">
        <f>IF('Sağ Bekler'!C103="","",'Sağ Bekler'!C103)</f>
        <v/>
      </c>
      <c r="D301" t="str">
        <f ca="1">IF('Sağ Bekler'!D103="","",'Sağ Bekler'!D103)</f>
        <v/>
      </c>
      <c r="E301" t="str">
        <f>IF('Sağ Bekler'!E103="","",'Sağ Bekler'!E103)</f>
        <v>Sağ Bek</v>
      </c>
      <c r="F301" t="str">
        <f>IF('Sağ Bekler'!G103="","",'Sağ Bekler'!G103)</f>
        <v/>
      </c>
      <c r="G301" s="2" t="str">
        <f>IF('Sağ Bekler'!H103="","",'Sağ Bekler'!H103)</f>
        <v/>
      </c>
      <c r="H301" t="str">
        <f>IF('Sağ Bekler'!I103="","",'Sağ Bekler'!I103)</f>
        <v/>
      </c>
      <c r="I301" t="str">
        <f>IF('Sağ Bekler'!A103="","",'Sağ Bekler'!J103)</f>
        <v/>
      </c>
      <c r="J301" t="str">
        <f>IF('Sağ Bekler'!A103="","",'Sağ Bekler'!K103)</f>
        <v/>
      </c>
      <c r="K301" t="str">
        <f>IF('Sağ Bekler'!L103="","",'Sağ Bekler'!L103)</f>
        <v/>
      </c>
      <c r="L301" t="str">
        <f>IF('Sağ Bekler'!M103="","",'Sağ Bekler'!M103)</f>
        <v/>
      </c>
      <c r="M301" t="str">
        <f>IF('Sağ Bekler'!N103="","",'Sağ Bekler'!N103)</f>
        <v/>
      </c>
      <c r="N301" t="str">
        <f>IF('Sağ Bekler'!O103="","",'Sağ Bekler'!O103)</f>
        <v/>
      </c>
      <c r="O301" t="str">
        <f>IF('Sağ Bekler'!P103="","",'Sağ Bekler'!P103)</f>
        <v/>
      </c>
      <c r="P301" t="str">
        <f>IF('Sağ Bekler'!Q103="","",'Sağ Bekler'!Q103)</f>
        <v/>
      </c>
      <c r="Q301" t="str">
        <f>IF('Sağ Bekler'!R103="","",'Sağ Bekler'!R103)</f>
        <v/>
      </c>
      <c r="R301" t="str">
        <f>IF('Sağ Bekler'!S103="","",'Sağ Bekler'!S103)</f>
        <v/>
      </c>
      <c r="S301" t="str">
        <f>IF('Sağ Bekler'!T103="","",'Sağ Bekler'!T103)</f>
        <v/>
      </c>
      <c r="T301" s="2" t="str">
        <f>IF('Sağ Bekler'!U103="","",'Sağ Bekler'!U103)</f>
        <v/>
      </c>
      <c r="U301" t="s">
        <v>928</v>
      </c>
      <c r="V301">
        <v>103</v>
      </c>
      <c r="W301" t="str">
        <f ca="1">IF(AND($A301&lt;&gt;"",ISNUMBER($G301),$G301&gt;=TODAY(),$G301&lt;=EDATE(TODAY(),12)),COUNTIFS($G$2:$G$1001,"&gt;="&amp;TODAY(),$G$2:$G$1001,"&lt;"&amp;$G301,$A$2:$A$1001,"&lt;&gt;")+COUNTIFS($G$2:$G301,$G301,$A$2:$A301,"&lt;&gt;"),"")</f>
        <v/>
      </c>
      <c r="X301" t="str">
        <f>IF(AND($A301&lt;&gt;"",ISNUMBER($C301),$C301&gt;=DATE(2003,1,1)),COUNTIFS($C$2:$C301,"&gt;="&amp;DATE(2003,1,1),$A$2:$A301,"&lt;&gt;"),"")</f>
        <v/>
      </c>
    </row>
    <row r="302" spans="1:24">
      <c r="A302" t="str">
        <f>IF('Sol Bekler'!A4="","",'Sol Bekler'!A4)</f>
        <v>ADRIA PEDROSA</v>
      </c>
      <c r="B302" t="str">
        <f>IF('Sol Bekler'!B4="","",'Sol Bekler'!B4)</f>
        <v>İSPANYA</v>
      </c>
      <c r="C302" s="2">
        <f>IF('Sol Bekler'!C4="","",'Sol Bekler'!C4)</f>
        <v>35928</v>
      </c>
      <c r="D302">
        <f ca="1">IF('Sol Bekler'!D4="","",'Sol Bekler'!D4)</f>
        <v>28</v>
      </c>
      <c r="E302" t="str">
        <f>IF('Sol Bekler'!E4="","",'Sol Bekler'!E4)</f>
        <v>Sol Bek</v>
      </c>
      <c r="F302" t="str">
        <f>IF('Sol Bekler'!G4="","",'Sol Bekler'!G4)</f>
        <v>ROYO VALLECANO</v>
      </c>
      <c r="G302" s="2">
        <f>IF('Sol Bekler'!H4="","",'Sol Bekler'!H4)</f>
        <v>46568</v>
      </c>
      <c r="H302" t="str">
        <f>IF('Sol Bekler'!I4="","",'Sol Bekler'!I4)</f>
        <v>Sarı</v>
      </c>
      <c r="I302">
        <f>IF('Sol Bekler'!A4="","",'Sol Bekler'!J4)</f>
        <v>0</v>
      </c>
      <c r="J302">
        <f>IF('Sol Bekler'!A4="","",'Sol Bekler'!K4)</f>
        <v>0</v>
      </c>
      <c r="K302" t="str">
        <f>IF('Sol Bekler'!L4="","",'Sol Bekler'!L4)</f>
        <v/>
      </c>
      <c r="L302" t="str">
        <f>IF('Sol Bekler'!M4="","",'Sol Bekler'!M4)</f>
        <v/>
      </c>
      <c r="M302" t="str">
        <f>IF('Sol Bekler'!N4="","",'Sol Bekler'!N4)</f>
        <v/>
      </c>
      <c r="N302" t="str">
        <f>IF('Sol Bekler'!O4="","",'Sol Bekler'!O4)</f>
        <v/>
      </c>
      <c r="O302" t="str">
        <f>IF('Sol Bekler'!P4="","",'Sol Bekler'!P4)</f>
        <v/>
      </c>
      <c r="P302" t="str">
        <f>IF('Sol Bekler'!Q4="","",'Sol Bekler'!Q4)</f>
        <v/>
      </c>
      <c r="Q302" t="str">
        <f>IF('Sol Bekler'!R4="","",'Sol Bekler'!R4)</f>
        <v/>
      </c>
      <c r="R302" t="str">
        <f>IF('Sol Bekler'!S4="","",'Sol Bekler'!S4)</f>
        <v/>
      </c>
      <c r="S302" t="str">
        <f>IF('Sol Bekler'!T4="","",'Sol Bekler'!T4)</f>
        <v>B Liste</v>
      </c>
      <c r="T302" s="2" t="str">
        <f>IF('Sol Bekler'!U4="","",'Sol Bekler'!U4)</f>
        <v/>
      </c>
      <c r="U302" t="s">
        <v>929</v>
      </c>
      <c r="V302">
        <v>4</v>
      </c>
      <c r="W302">
        <f ca="1">IF(AND($A302&lt;&gt;"",ISNUMBER($G302),$G302&gt;=TODAY(),$G302&lt;=EDATE(TODAY(),12)),COUNTIFS($G$2:$G$1001,"&gt;="&amp;TODAY(),$G$2:$G$1001,"&lt;"&amp;$G302,$A$2:$A$1001,"&lt;&gt;")+COUNTIFS($G$2:$G302,$G302,$A$2:$A302,"&lt;&gt;"),"")</f>
        <v>25</v>
      </c>
      <c r="X302" t="str">
        <f>IF(AND($A302&lt;&gt;"",ISNUMBER($C302),$C302&gt;=DATE(2003,1,1)),COUNTIFS($C$2:$C302,"&gt;="&amp;DATE(2003,1,1),$A$2:$A302,"&lt;&gt;"),"")</f>
        <v/>
      </c>
    </row>
    <row r="303" spans="1:24">
      <c r="A303" t="str">
        <f>IF('Sol Bekler'!A5="","",'Sol Bekler'!A5)</f>
        <v>ARTHUR ZAGRE</v>
      </c>
      <c r="B303" t="str">
        <f>IF('Sol Bekler'!B5="","",'Sol Bekler'!B5)</f>
        <v>BURKİNA FASO</v>
      </c>
      <c r="C303" s="2">
        <f>IF('Sol Bekler'!C5="","",'Sol Bekler'!C5)</f>
        <v>37168</v>
      </c>
      <c r="D303">
        <f ca="1">IF('Sol Bekler'!D5="","",'Sol Bekler'!D5)</f>
        <v>25</v>
      </c>
      <c r="E303" t="str">
        <f>IF('Sol Bekler'!E5="","",'Sol Bekler'!E5)</f>
        <v>Sol Bek</v>
      </c>
      <c r="F303" t="str">
        <f>IF('Sol Bekler'!G5="","",'Sol Bekler'!G5)</f>
        <v>UTRECHT</v>
      </c>
      <c r="G303" s="2">
        <f>IF('Sol Bekler'!H5="","",'Sol Bekler'!H5)</f>
        <v>47289</v>
      </c>
      <c r="H303" t="str">
        <f>IF('Sol Bekler'!I5="","",'Sol Bekler'!I5)</f>
        <v>Yeşil</v>
      </c>
      <c r="I303">
        <f>IF('Sol Bekler'!A5="","",'Sol Bekler'!J5)</f>
        <v>0</v>
      </c>
      <c r="J303">
        <f>IF('Sol Bekler'!A5="","",'Sol Bekler'!K5)</f>
        <v>0</v>
      </c>
      <c r="K303" t="str">
        <f>IF('Sol Bekler'!L5="","",'Sol Bekler'!L5)</f>
        <v/>
      </c>
      <c r="L303" t="str">
        <f>IF('Sol Bekler'!M5="","",'Sol Bekler'!M5)</f>
        <v/>
      </c>
      <c r="M303" t="str">
        <f>IF('Sol Bekler'!N5="","",'Sol Bekler'!N5)</f>
        <v/>
      </c>
      <c r="N303" t="str">
        <f>IF('Sol Bekler'!O5="","",'Sol Bekler'!O5)</f>
        <v/>
      </c>
      <c r="O303" t="str">
        <f>IF('Sol Bekler'!P5="","",'Sol Bekler'!P5)</f>
        <v/>
      </c>
      <c r="P303" t="str">
        <f>IF('Sol Bekler'!Q5="","",'Sol Bekler'!Q5)</f>
        <v/>
      </c>
      <c r="Q303" t="str">
        <f>IF('Sol Bekler'!R5="","",'Sol Bekler'!R5)</f>
        <v/>
      </c>
      <c r="R303" t="str">
        <f>IF('Sol Bekler'!S5="","",'Sol Bekler'!S5)</f>
        <v/>
      </c>
      <c r="S303" t="str">
        <f>IF('Sol Bekler'!T5="","",'Sol Bekler'!T5)</f>
        <v>A Liste</v>
      </c>
      <c r="T303" s="2" t="str">
        <f>IF('Sol Bekler'!U5="","",'Sol Bekler'!U5)</f>
        <v/>
      </c>
      <c r="U303" t="s">
        <v>929</v>
      </c>
      <c r="V303">
        <v>5</v>
      </c>
      <c r="W303" t="str">
        <f ca="1">IF(AND($A303&lt;&gt;"",ISNUMBER($G303),$G303&gt;=TODAY(),$G303&lt;=EDATE(TODAY(),12)),COUNTIFS($G$2:$G$1001,"&gt;="&amp;TODAY(),$G$2:$G$1001,"&lt;"&amp;$G303,$A$2:$A$1001,"&lt;&gt;")+COUNTIFS($G$2:$G303,$G303,$A$2:$A303,"&lt;&gt;"),"")</f>
        <v/>
      </c>
      <c r="X303" t="str">
        <f>IF(AND($A303&lt;&gt;"",ISNUMBER($C303),$C303&gt;=DATE(2003,1,1)),COUNTIFS($C$2:$C303,"&gt;="&amp;DATE(2003,1,1),$A$2:$A303,"&lt;&gt;"),"")</f>
        <v/>
      </c>
    </row>
    <row r="304" spans="1:24">
      <c r="A304" t="str">
        <f>IF('Sol Bekler'!A6="","",'Sol Bekler'!A6)</f>
        <v>PEDRO AMARAL</v>
      </c>
      <c r="B304" t="str">
        <f>IF('Sol Bekler'!B6="","",'Sol Bekler'!B6)</f>
        <v>PORTEKİZ</v>
      </c>
      <c r="C304" s="2">
        <f>IF('Sol Bekler'!C6="","",'Sol Bekler'!C6)</f>
        <v>35667</v>
      </c>
      <c r="D304">
        <f ca="1">IF('Sol Bekler'!D6="","",'Sol Bekler'!D6)</f>
        <v>29</v>
      </c>
      <c r="E304" t="str">
        <f>IF('Sol Bekler'!E6="","",'Sol Bekler'!E6)</f>
        <v>Sol Bek</v>
      </c>
      <c r="F304" t="str">
        <f>IF('Sol Bekler'!G6="","",'Sol Bekler'!G6)</f>
        <v>RIO AVE</v>
      </c>
      <c r="G304" s="2">
        <f>IF('Sol Bekler'!H6="","",'Sol Bekler'!H6)</f>
        <v>46934</v>
      </c>
      <c r="H304" t="str">
        <f>IF('Sol Bekler'!I6="","",'Sol Bekler'!I6)</f>
        <v>Sarı</v>
      </c>
      <c r="I304">
        <f>IF('Sol Bekler'!A6="","",'Sol Bekler'!J6)</f>
        <v>0</v>
      </c>
      <c r="J304" t="str">
        <f>IF('Sol Bekler'!A6="","",'Sol Bekler'!K6)</f>
        <v>https://www.transfermarkt.com.tr/pedro-amaral/profil/spieler/319623</v>
      </c>
      <c r="K304" t="str">
        <f>IF('Sol Bekler'!L6="","",'Sol Bekler'!L6)</f>
        <v/>
      </c>
      <c r="L304" t="str">
        <f>IF('Sol Bekler'!M6="","",'Sol Bekler'!M6)</f>
        <v/>
      </c>
      <c r="M304" t="str">
        <f>IF('Sol Bekler'!N6="","",'Sol Bekler'!N6)</f>
        <v/>
      </c>
      <c r="N304" t="str">
        <f>IF('Sol Bekler'!O6="","",'Sol Bekler'!O6)</f>
        <v/>
      </c>
      <c r="O304" t="str">
        <f>IF('Sol Bekler'!P6="","",'Sol Bekler'!P6)</f>
        <v/>
      </c>
      <c r="P304" t="str">
        <f>IF('Sol Bekler'!Q6="","",'Sol Bekler'!Q6)</f>
        <v/>
      </c>
      <c r="Q304" t="str">
        <f>IF('Sol Bekler'!R6="","",'Sol Bekler'!R6)</f>
        <v/>
      </c>
      <c r="R304" t="str">
        <f>IF('Sol Bekler'!S6="","",'Sol Bekler'!S6)</f>
        <v/>
      </c>
      <c r="S304" t="str">
        <f>IF('Sol Bekler'!T6="","",'Sol Bekler'!T6)</f>
        <v>B Liste</v>
      </c>
      <c r="T304" s="2" t="str">
        <f>IF('Sol Bekler'!U6="","",'Sol Bekler'!U6)</f>
        <v/>
      </c>
      <c r="U304" t="s">
        <v>929</v>
      </c>
      <c r="V304">
        <v>6</v>
      </c>
      <c r="W304" t="str">
        <f ca="1">IF(AND($A304&lt;&gt;"",ISNUMBER($G304),$G304&gt;=TODAY(),$G304&lt;=EDATE(TODAY(),12)),COUNTIFS($G$2:$G$1001,"&gt;="&amp;TODAY(),$G$2:$G$1001,"&lt;"&amp;$G304,$A$2:$A$1001,"&lt;&gt;")+COUNTIFS($G$2:$G304,$G304,$A$2:$A304,"&lt;&gt;"),"")</f>
        <v/>
      </c>
      <c r="X304" t="str">
        <f>IF(AND($A304&lt;&gt;"",ISNUMBER($C304),$C304&gt;=DATE(2003,1,1)),COUNTIFS($C$2:$C304,"&gt;="&amp;DATE(2003,1,1),$A$2:$A304,"&lt;&gt;"),"")</f>
        <v/>
      </c>
    </row>
    <row r="305" spans="1:24">
      <c r="A305" t="str">
        <f>IF('Sol Bekler'!A7="","",'Sol Bekler'!A7)</f>
        <v>RODRIGO INSUA</v>
      </c>
      <c r="B305" t="str">
        <f>IF('Sol Bekler'!B7="","",'Sol Bekler'!B7)</f>
        <v>ARJANTİN</v>
      </c>
      <c r="C305" s="2">
        <f>IF('Sol Bekler'!C7="","",'Sol Bekler'!C7)</f>
        <v>35780</v>
      </c>
      <c r="D305">
        <f ca="1">IF('Sol Bekler'!D7="","",'Sol Bekler'!D7)</f>
        <v>28</v>
      </c>
      <c r="E305" t="str">
        <f>IF('Sol Bekler'!E7="","",'Sol Bekler'!E7)</f>
        <v>Sol Bek</v>
      </c>
      <c r="F305" t="str">
        <f>IF('Sol Bekler'!G7="","",'Sol Bekler'!G7)</f>
        <v>BARRACAS</v>
      </c>
      <c r="G305" s="2">
        <f>IF('Sol Bekler'!H7="","",'Sol Bekler'!H7)</f>
        <v>46387</v>
      </c>
      <c r="H305" t="str">
        <f>IF('Sol Bekler'!I7="","",'Sol Bekler'!I7)</f>
        <v>Kırmızı</v>
      </c>
      <c r="I305">
        <f>IF('Sol Bekler'!A7="","",'Sol Bekler'!J7)</f>
        <v>0</v>
      </c>
      <c r="J305" t="str">
        <f>IF('Sol Bekler'!A7="","",'Sol Bekler'!K7)</f>
        <v>https://www.transfermarkt.com.tr/rodrigo-insua/profil/spieler/721235</v>
      </c>
      <c r="K305" t="str">
        <f>IF('Sol Bekler'!L7="","",'Sol Bekler'!L7)</f>
        <v/>
      </c>
      <c r="L305" t="str">
        <f>IF('Sol Bekler'!M7="","",'Sol Bekler'!M7)</f>
        <v/>
      </c>
      <c r="M305" t="str">
        <f>IF('Sol Bekler'!N7="","",'Sol Bekler'!N7)</f>
        <v/>
      </c>
      <c r="N305" t="str">
        <f>IF('Sol Bekler'!O7="","",'Sol Bekler'!O7)</f>
        <v/>
      </c>
      <c r="O305" t="str">
        <f>IF('Sol Bekler'!P7="","",'Sol Bekler'!P7)</f>
        <v/>
      </c>
      <c r="P305" t="str">
        <f>IF('Sol Bekler'!Q7="","",'Sol Bekler'!Q7)</f>
        <v/>
      </c>
      <c r="Q305" t="str">
        <f>IF('Sol Bekler'!R7="","",'Sol Bekler'!R7)</f>
        <v/>
      </c>
      <c r="R305" t="str">
        <f>IF('Sol Bekler'!S7="","",'Sol Bekler'!S7)</f>
        <v/>
      </c>
      <c r="S305" t="str">
        <f>IF('Sol Bekler'!T7="","",'Sol Bekler'!T7)</f>
        <v>Ele</v>
      </c>
      <c r="T305" s="2" t="str">
        <f>IF('Sol Bekler'!U7="","",'Sol Bekler'!U7)</f>
        <v/>
      </c>
      <c r="U305" t="s">
        <v>929</v>
      </c>
      <c r="V305">
        <v>7</v>
      </c>
      <c r="W305">
        <f ca="1">IF(AND($A305&lt;&gt;"",ISNUMBER($G305),$G305&gt;=TODAY(),$G305&lt;=EDATE(TODAY(),12)),COUNTIFS($G$2:$G$1001,"&gt;="&amp;TODAY(),$G$2:$G$1001,"&lt;"&amp;$G305,$A$2:$A$1001,"&lt;&gt;")+COUNTIFS($G$2:$G305,$G305,$A$2:$A305,"&lt;&gt;"),"")</f>
        <v>5</v>
      </c>
      <c r="X305" t="str">
        <f>IF(AND($A305&lt;&gt;"",ISNUMBER($C305),$C305&gt;=DATE(2003,1,1)),COUNTIFS($C$2:$C305,"&gt;="&amp;DATE(2003,1,1),$A$2:$A305,"&lt;&gt;"),"")</f>
        <v/>
      </c>
    </row>
    <row r="306" spans="1:24">
      <c r="A306" t="str">
        <f>IF('Sol Bekler'!A8="","",'Sol Bekler'!A8)</f>
        <v>CASPER HOJER</v>
      </c>
      <c r="B306" t="str">
        <f>IF('Sol Bekler'!B8="","",'Sol Bekler'!B8)</f>
        <v>DANİMARKA</v>
      </c>
      <c r="C306" s="2">
        <f>IF('Sol Bekler'!C8="","",'Sol Bekler'!C8)</f>
        <v>34658</v>
      </c>
      <c r="D306">
        <f ca="1">IF('Sol Bekler'!D8="","",'Sol Bekler'!D8)</f>
        <v>31</v>
      </c>
      <c r="E306" t="str">
        <f>IF('Sol Bekler'!E8="","",'Sol Bekler'!E8)</f>
        <v>Sol Bek</v>
      </c>
      <c r="F306" t="str">
        <f>IF('Sol Bekler'!G8="","",'Sol Bekler'!G8)</f>
        <v>FREE</v>
      </c>
      <c r="G306" s="2" t="str">
        <f>IF('Sol Bekler'!H8="","",'Sol Bekler'!H8)</f>
        <v>-</v>
      </c>
      <c r="H306" t="str">
        <f>IF('Sol Bekler'!I8="","",'Sol Bekler'!I8)</f>
        <v>Sarı</v>
      </c>
      <c r="I306">
        <f>IF('Sol Bekler'!A8="","",'Sol Bekler'!J8)</f>
        <v>0</v>
      </c>
      <c r="J306" t="str">
        <f>IF('Sol Bekler'!A8="","",'Sol Bekler'!K8)</f>
        <v>https://www.transfermarkt.com.tr/casper-hojer/profil/spieler/222977</v>
      </c>
      <c r="K306" t="str">
        <f>IF('Sol Bekler'!L8="","",'Sol Bekler'!L8)</f>
        <v/>
      </c>
      <c r="L306" t="str">
        <f>IF('Sol Bekler'!M8="","",'Sol Bekler'!M8)</f>
        <v/>
      </c>
      <c r="M306" t="str">
        <f>IF('Sol Bekler'!N8="","",'Sol Bekler'!N8)</f>
        <v/>
      </c>
      <c r="N306" t="str">
        <f>IF('Sol Bekler'!O8="","",'Sol Bekler'!O8)</f>
        <v/>
      </c>
      <c r="O306" t="str">
        <f>IF('Sol Bekler'!P8="","",'Sol Bekler'!P8)</f>
        <v/>
      </c>
      <c r="P306" t="str">
        <f>IF('Sol Bekler'!Q8="","",'Sol Bekler'!Q8)</f>
        <v/>
      </c>
      <c r="Q306" t="str">
        <f>IF('Sol Bekler'!R8="","",'Sol Bekler'!R8)</f>
        <v/>
      </c>
      <c r="R306" t="str">
        <f>IF('Sol Bekler'!S8="","",'Sol Bekler'!S8)</f>
        <v/>
      </c>
      <c r="S306" t="str">
        <f>IF('Sol Bekler'!T8="","",'Sol Bekler'!T8)</f>
        <v>Takip</v>
      </c>
      <c r="T306" s="2" t="str">
        <f>IF('Sol Bekler'!U8="","",'Sol Bekler'!U8)</f>
        <v/>
      </c>
      <c r="U306" t="s">
        <v>929</v>
      </c>
      <c r="V306">
        <v>8</v>
      </c>
      <c r="W306" t="str">
        <f ca="1">IF(AND($A306&lt;&gt;"",ISNUMBER($G306),$G306&gt;=TODAY(),$G306&lt;=EDATE(TODAY(),12)),COUNTIFS($G$2:$G$1001,"&gt;="&amp;TODAY(),$G$2:$G$1001,"&lt;"&amp;$G306,$A$2:$A$1001,"&lt;&gt;")+COUNTIFS($G$2:$G306,$G306,$A$2:$A306,"&lt;&gt;"),"")</f>
        <v/>
      </c>
      <c r="X306" t="str">
        <f>IF(AND($A306&lt;&gt;"",ISNUMBER($C306),$C306&gt;=DATE(2003,1,1)),COUNTIFS($C$2:$C306,"&gt;="&amp;DATE(2003,1,1),$A$2:$A306,"&lt;&gt;"),"")</f>
        <v/>
      </c>
    </row>
    <row r="307" spans="1:24">
      <c r="A307" t="str">
        <f>IF('Sol Bekler'!A9="","",'Sol Bekler'!A9)</f>
        <v>LEONARDO LELO</v>
      </c>
      <c r="B307" t="str">
        <f>IF('Sol Bekler'!B9="","",'Sol Bekler'!B9)</f>
        <v>PORTEKİZ</v>
      </c>
      <c r="C307" s="2">
        <f>IF('Sol Bekler'!C9="","",'Sol Bekler'!C9)</f>
        <v>36615</v>
      </c>
      <c r="D307">
        <f ca="1">IF('Sol Bekler'!D9="","",'Sol Bekler'!D9)</f>
        <v>26</v>
      </c>
      <c r="E307" t="str">
        <f>IF('Sol Bekler'!E9="","",'Sol Bekler'!E9)</f>
        <v>Sol Bek</v>
      </c>
      <c r="F307" t="str">
        <f>IF('Sol Bekler'!G9="","",'Sol Bekler'!G9)</f>
        <v>ALMERIA</v>
      </c>
      <c r="G307" s="2">
        <f>IF('Sol Bekler'!H9="","",'Sol Bekler'!H9)</f>
        <v>46568</v>
      </c>
      <c r="H307" t="str">
        <f>IF('Sol Bekler'!I9="","",'Sol Bekler'!I9)</f>
        <v>Yeşil</v>
      </c>
      <c r="I307">
        <f>IF('Sol Bekler'!A9="","",'Sol Bekler'!J9)</f>
        <v>0</v>
      </c>
      <c r="J307" t="str">
        <f>IF('Sol Bekler'!A9="","",'Sol Bekler'!K9)</f>
        <v>https://www.transfermarkt.com.tr/leonardo-lelo/profil/spieler/669956</v>
      </c>
      <c r="K307" t="str">
        <f>IF('Sol Bekler'!L9="","",'Sol Bekler'!L9)</f>
        <v/>
      </c>
      <c r="L307" t="str">
        <f>IF('Sol Bekler'!M9="","",'Sol Bekler'!M9)</f>
        <v/>
      </c>
      <c r="M307" t="str">
        <f>IF('Sol Bekler'!N9="","",'Sol Bekler'!N9)</f>
        <v/>
      </c>
      <c r="N307" t="str">
        <f>IF('Sol Bekler'!O9="","",'Sol Bekler'!O9)</f>
        <v/>
      </c>
      <c r="O307" t="str">
        <f>IF('Sol Bekler'!P9="","",'Sol Bekler'!P9)</f>
        <v/>
      </c>
      <c r="P307" t="str">
        <f>IF('Sol Bekler'!Q9="","",'Sol Bekler'!Q9)</f>
        <v/>
      </c>
      <c r="Q307" t="str">
        <f>IF('Sol Bekler'!R9="","",'Sol Bekler'!R9)</f>
        <v/>
      </c>
      <c r="R307" t="str">
        <f>IF('Sol Bekler'!S9="","",'Sol Bekler'!S9)</f>
        <v/>
      </c>
      <c r="S307" t="str">
        <f>IF('Sol Bekler'!T9="","",'Sol Bekler'!T9)</f>
        <v>A Liste</v>
      </c>
      <c r="T307" s="2" t="str">
        <f>IF('Sol Bekler'!U9="","",'Sol Bekler'!U9)</f>
        <v/>
      </c>
      <c r="U307" t="s">
        <v>929</v>
      </c>
      <c r="V307">
        <v>9</v>
      </c>
      <c r="W307">
        <f ca="1">IF(AND($A307&lt;&gt;"",ISNUMBER($G307),$G307&gt;=TODAY(),$G307&lt;=EDATE(TODAY(),12)),COUNTIFS($G$2:$G$1001,"&gt;="&amp;TODAY(),$G$2:$G$1001,"&lt;"&amp;$G307,$A$2:$A$1001,"&lt;&gt;")+COUNTIFS($G$2:$G307,$G307,$A$2:$A307,"&lt;&gt;"),"")</f>
        <v>26</v>
      </c>
      <c r="X307" t="str">
        <f>IF(AND($A307&lt;&gt;"",ISNUMBER($C307),$C307&gt;=DATE(2003,1,1)),COUNTIFS($C$2:$C307,"&gt;="&amp;DATE(2003,1,1),$A$2:$A307,"&lt;&gt;"),"")</f>
        <v/>
      </c>
    </row>
    <row r="308" spans="1:24">
      <c r="A308" t="str">
        <f>IF('Sol Bekler'!A10="","",'Sol Bekler'!A10)</f>
        <v>LÉO DERIK</v>
      </c>
      <c r="B308" t="str">
        <f>IF('Sol Bekler'!B10="","",'Sol Bekler'!B10)</f>
        <v>BREZİLYA</v>
      </c>
      <c r="C308" s="2">
        <f>IF('Sol Bekler'!C10="","",'Sol Bekler'!C10)</f>
        <v>38557</v>
      </c>
      <c r="D308">
        <f ca="1">IF('Sol Bekler'!D10="","",'Sol Bekler'!D10)</f>
        <v>21</v>
      </c>
      <c r="E308" t="str">
        <f>IF('Sol Bekler'!E10="","",'Sol Bekler'!E10)</f>
        <v>Sol Bek</v>
      </c>
      <c r="F308" t="str">
        <f>IF('Sol Bekler'!G10="","",'Sol Bekler'!G10)</f>
        <v>ATHLETICO PARANAENSE</v>
      </c>
      <c r="G308" s="2">
        <f>IF('Sol Bekler'!H10="","",'Sol Bekler'!H10)</f>
        <v>47483</v>
      </c>
      <c r="H308" t="str">
        <f>IF('Sol Bekler'!I10="","",'Sol Bekler'!I10)</f>
        <v/>
      </c>
      <c r="I308">
        <f>IF('Sol Bekler'!A10="","",'Sol Bekler'!J10)</f>
        <v>0</v>
      </c>
      <c r="J308" t="str">
        <f>IF('Sol Bekler'!A10="","",'Sol Bekler'!K10)</f>
        <v>https://www.transfermarkt.com.br/leo-derik/profil/spieler/1052819</v>
      </c>
      <c r="K308" t="str">
        <f>IF('Sol Bekler'!L10="","",'Sol Bekler'!L10)</f>
        <v/>
      </c>
      <c r="L308" t="str">
        <f>IF('Sol Bekler'!M10="","",'Sol Bekler'!M10)</f>
        <v/>
      </c>
      <c r="M308" t="str">
        <f>IF('Sol Bekler'!N10="","",'Sol Bekler'!N10)</f>
        <v/>
      </c>
      <c r="N308" t="str">
        <f>IF('Sol Bekler'!O10="","",'Sol Bekler'!O10)</f>
        <v/>
      </c>
      <c r="O308" t="str">
        <f>IF('Sol Bekler'!P10="","",'Sol Bekler'!P10)</f>
        <v/>
      </c>
      <c r="P308" t="str">
        <f>IF('Sol Bekler'!Q10="","",'Sol Bekler'!Q10)</f>
        <v/>
      </c>
      <c r="Q308" t="str">
        <f>IF('Sol Bekler'!R10="","",'Sol Bekler'!R10)</f>
        <v/>
      </c>
      <c r="R308" t="str">
        <f>IF('Sol Bekler'!S10="","",'Sol Bekler'!S10)</f>
        <v/>
      </c>
      <c r="S308" t="str">
        <f>IF('Sol Bekler'!T10="","",'Sol Bekler'!T10)</f>
        <v/>
      </c>
      <c r="T308" s="2" t="str">
        <f>IF('Sol Bekler'!U10="","",'Sol Bekler'!U10)</f>
        <v/>
      </c>
      <c r="U308" t="s">
        <v>929</v>
      </c>
      <c r="V308">
        <v>10</v>
      </c>
      <c r="W308" t="str">
        <f ca="1">IF(AND($A308&lt;&gt;"",ISNUMBER($G308),$G308&gt;=TODAY(),$G308&lt;=EDATE(TODAY(),12)),COUNTIFS($G$2:$G$1001,"&gt;="&amp;TODAY(),$G$2:$G$1001,"&lt;"&amp;$G308,$A$2:$A$1001,"&lt;&gt;")+COUNTIFS($G$2:$G308,$G308,$A$2:$A308,"&lt;&gt;"),"")</f>
        <v/>
      </c>
      <c r="X308">
        <f>IF(AND($A308&lt;&gt;"",ISNUMBER($C308),$C308&gt;=DATE(2003,1,1)),COUNTIFS($C$2:$C308,"&gt;="&amp;DATE(2003,1,1),$A$2:$A308,"&lt;&gt;"),"")</f>
        <v>9</v>
      </c>
    </row>
    <row r="309" spans="1:24">
      <c r="A309" t="str">
        <f>IF('Sol Bekler'!A11="","",'Sol Bekler'!A11)</f>
        <v>RICARDO RODRIGUEZ</v>
      </c>
      <c r="B309" t="str">
        <f>IF('Sol Bekler'!B11="","",'Sol Bekler'!B11)</f>
        <v>İSVİÇRE</v>
      </c>
      <c r="C309" s="2">
        <f>IF('Sol Bekler'!C11="","",'Sol Bekler'!C11)</f>
        <v>33841</v>
      </c>
      <c r="D309">
        <f ca="1">IF('Sol Bekler'!D11="","",'Sol Bekler'!D11)</f>
        <v>34</v>
      </c>
      <c r="E309" t="str">
        <f>IF('Sol Bekler'!E11="","",'Sol Bekler'!E11)</f>
        <v>Sol Bek</v>
      </c>
      <c r="F309" t="str">
        <f>IF('Sol Bekler'!G11="","",'Sol Bekler'!G11)</f>
        <v/>
      </c>
      <c r="G309" s="2" t="str">
        <f>IF('Sol Bekler'!H11="","",'Sol Bekler'!H11)</f>
        <v>-</v>
      </c>
      <c r="H309" t="str">
        <f>IF('Sol Bekler'!I11="","",'Sol Bekler'!I11)</f>
        <v/>
      </c>
      <c r="I309">
        <f>IF('Sol Bekler'!A11="","",'Sol Bekler'!J11)</f>
        <v>0</v>
      </c>
      <c r="J309" t="str">
        <f>IF('Sol Bekler'!A11="","",'Sol Bekler'!K11)</f>
        <v>https://www.transfermarkt.com.tr/ricardo-rodriguez/leistungsdaten/spieler/86784</v>
      </c>
      <c r="K309" t="str">
        <f>IF('Sol Bekler'!L11="","",'Sol Bekler'!L11)</f>
        <v/>
      </c>
      <c r="L309" t="str">
        <f>IF('Sol Bekler'!M11="","",'Sol Bekler'!M11)</f>
        <v/>
      </c>
      <c r="M309" t="str">
        <f>IF('Sol Bekler'!N11="","",'Sol Bekler'!N11)</f>
        <v/>
      </c>
      <c r="N309" t="str">
        <f>IF('Sol Bekler'!O11="","",'Sol Bekler'!O11)</f>
        <v/>
      </c>
      <c r="O309" t="str">
        <f>IF('Sol Bekler'!P11="","",'Sol Bekler'!P11)</f>
        <v/>
      </c>
      <c r="P309" t="str">
        <f>IF('Sol Bekler'!Q11="","",'Sol Bekler'!Q11)</f>
        <v/>
      </c>
      <c r="Q309" t="str">
        <f>IF('Sol Bekler'!R11="","",'Sol Bekler'!R11)</f>
        <v/>
      </c>
      <c r="R309" t="str">
        <f>IF('Sol Bekler'!S11="","",'Sol Bekler'!S11)</f>
        <v/>
      </c>
      <c r="S309" t="str">
        <f>IF('Sol Bekler'!T11="","",'Sol Bekler'!T11)</f>
        <v/>
      </c>
      <c r="T309" s="2" t="str">
        <f>IF('Sol Bekler'!U11="","",'Sol Bekler'!U11)</f>
        <v/>
      </c>
      <c r="U309" t="s">
        <v>929</v>
      </c>
      <c r="V309">
        <v>11</v>
      </c>
      <c r="W309" t="str">
        <f ca="1">IF(AND($A309&lt;&gt;"",ISNUMBER($G309),$G309&gt;=TODAY(),$G309&lt;=EDATE(TODAY(),12)),COUNTIFS($G$2:$G$1001,"&gt;="&amp;TODAY(),$G$2:$G$1001,"&lt;"&amp;$G309,$A$2:$A$1001,"&lt;&gt;")+COUNTIFS($G$2:$G309,$G309,$A$2:$A309,"&lt;&gt;"),"")</f>
        <v/>
      </c>
      <c r="X309" t="str">
        <f>IF(AND($A309&lt;&gt;"",ISNUMBER($C309),$C309&gt;=DATE(2003,1,1)),COUNTIFS($C$2:$C309,"&gt;="&amp;DATE(2003,1,1),$A$2:$A309,"&lt;&gt;"),"")</f>
        <v/>
      </c>
    </row>
    <row r="310" spans="1:24">
      <c r="A310" t="str">
        <f>IF('Sol Bekler'!A12="","",'Sol Bekler'!A12)</f>
        <v>ENZO DIAZ</v>
      </c>
      <c r="B310" t="str">
        <f>IF('Sol Bekler'!B12="","",'Sol Bekler'!B12)</f>
        <v>ARJANTİN</v>
      </c>
      <c r="C310" s="2" t="str">
        <f>IF('Sol Bekler'!C12="","",'Sol Bekler'!C12)</f>
        <v/>
      </c>
      <c r="D310" t="str">
        <f ca="1">IF('Sol Bekler'!D12="","",'Sol Bekler'!D12)</f>
        <v/>
      </c>
      <c r="E310" t="str">
        <f>IF('Sol Bekler'!E12="","",'Sol Bekler'!E12)</f>
        <v>Sol Bek</v>
      </c>
      <c r="F310" t="str">
        <f>IF('Sol Bekler'!G12="","",'Sol Bekler'!G12)</f>
        <v/>
      </c>
      <c r="G310" s="2" t="str">
        <f>IF('Sol Bekler'!H12="","",'Sol Bekler'!H12)</f>
        <v>-</v>
      </c>
      <c r="H310" t="str">
        <f>IF('Sol Bekler'!I12="","",'Sol Bekler'!I12)</f>
        <v/>
      </c>
      <c r="I310">
        <f>IF('Sol Bekler'!A12="","",'Sol Bekler'!J12)</f>
        <v>0</v>
      </c>
      <c r="J310" t="str">
        <f>IF('Sol Bekler'!A12="","",'Sol Bekler'!K12)</f>
        <v>https://www.transfermarkt.es/enzo-diaz/profil/spieler/540458</v>
      </c>
      <c r="K310" t="str">
        <f>IF('Sol Bekler'!L12="","",'Sol Bekler'!L12)</f>
        <v/>
      </c>
      <c r="L310" t="str">
        <f>IF('Sol Bekler'!M12="","",'Sol Bekler'!M12)</f>
        <v/>
      </c>
      <c r="M310" t="str">
        <f>IF('Sol Bekler'!N12="","",'Sol Bekler'!N12)</f>
        <v/>
      </c>
      <c r="N310" t="str">
        <f>IF('Sol Bekler'!O12="","",'Sol Bekler'!O12)</f>
        <v/>
      </c>
      <c r="O310" t="str">
        <f>IF('Sol Bekler'!P12="","",'Sol Bekler'!P12)</f>
        <v/>
      </c>
      <c r="P310" t="str">
        <f>IF('Sol Bekler'!Q12="","",'Sol Bekler'!Q12)</f>
        <v/>
      </c>
      <c r="Q310" t="str">
        <f>IF('Sol Bekler'!R12="","",'Sol Bekler'!R12)</f>
        <v/>
      </c>
      <c r="R310" t="str">
        <f>IF('Sol Bekler'!S12="","",'Sol Bekler'!S12)</f>
        <v/>
      </c>
      <c r="S310" t="str">
        <f>IF('Sol Bekler'!T12="","",'Sol Bekler'!T12)</f>
        <v/>
      </c>
      <c r="T310" s="2" t="str">
        <f>IF('Sol Bekler'!U12="","",'Sol Bekler'!U12)</f>
        <v/>
      </c>
      <c r="U310" t="s">
        <v>929</v>
      </c>
      <c r="V310">
        <v>12</v>
      </c>
      <c r="W310" t="str">
        <f ca="1">IF(AND($A310&lt;&gt;"",ISNUMBER($G310),$G310&gt;=TODAY(),$G310&lt;=EDATE(TODAY(),12)),COUNTIFS($G$2:$G$1001,"&gt;="&amp;TODAY(),$G$2:$G$1001,"&lt;"&amp;$G310,$A$2:$A$1001,"&lt;&gt;")+COUNTIFS($G$2:$G310,$G310,$A$2:$A310,"&lt;&gt;"),"")</f>
        <v/>
      </c>
      <c r="X310" t="str">
        <f>IF(AND($A310&lt;&gt;"",ISNUMBER($C310),$C310&gt;=DATE(2003,1,1)),COUNTIFS($C$2:$C310,"&gt;="&amp;DATE(2003,1,1),$A$2:$A310,"&lt;&gt;"),"")</f>
        <v/>
      </c>
    </row>
    <row r="311" spans="1:24">
      <c r="A311" t="str">
        <f>IF('Sol Bekler'!A13="","",'Sol Bekler'!A13)</f>
        <v/>
      </c>
      <c r="B311" t="str">
        <f>IF('Sol Bekler'!B13="","",'Sol Bekler'!B13)</f>
        <v/>
      </c>
      <c r="C311" s="2" t="str">
        <f>IF('Sol Bekler'!C13="","",'Sol Bekler'!C13)</f>
        <v/>
      </c>
      <c r="D311" t="str">
        <f ca="1">IF('Sol Bekler'!D13="","",'Sol Bekler'!D13)</f>
        <v/>
      </c>
      <c r="E311" t="str">
        <f>IF('Sol Bekler'!E13="","",'Sol Bekler'!E13)</f>
        <v>Sol Bek</v>
      </c>
      <c r="F311" t="str">
        <f>IF('Sol Bekler'!G13="","",'Sol Bekler'!G13)</f>
        <v/>
      </c>
      <c r="G311" s="2" t="str">
        <f>IF('Sol Bekler'!H13="","",'Sol Bekler'!H13)</f>
        <v/>
      </c>
      <c r="H311" t="str">
        <f>IF('Sol Bekler'!I13="","",'Sol Bekler'!I13)</f>
        <v/>
      </c>
      <c r="I311" t="str">
        <f>IF('Sol Bekler'!A13="","",'Sol Bekler'!J13)</f>
        <v/>
      </c>
      <c r="J311" t="str">
        <f>IF('Sol Bekler'!A13="","",'Sol Bekler'!K13)</f>
        <v/>
      </c>
      <c r="K311" t="str">
        <f>IF('Sol Bekler'!L13="","",'Sol Bekler'!L13)</f>
        <v/>
      </c>
      <c r="L311" t="str">
        <f>IF('Sol Bekler'!M13="","",'Sol Bekler'!M13)</f>
        <v/>
      </c>
      <c r="M311" t="str">
        <f>IF('Sol Bekler'!N13="","",'Sol Bekler'!N13)</f>
        <v/>
      </c>
      <c r="N311" t="str">
        <f>IF('Sol Bekler'!O13="","",'Sol Bekler'!O13)</f>
        <v/>
      </c>
      <c r="O311" t="str">
        <f>IF('Sol Bekler'!P13="","",'Sol Bekler'!P13)</f>
        <v/>
      </c>
      <c r="P311" t="str">
        <f>IF('Sol Bekler'!Q13="","",'Sol Bekler'!Q13)</f>
        <v/>
      </c>
      <c r="Q311" t="str">
        <f>IF('Sol Bekler'!R13="","",'Sol Bekler'!R13)</f>
        <v/>
      </c>
      <c r="R311" t="str">
        <f>IF('Sol Bekler'!S13="","",'Sol Bekler'!S13)</f>
        <v/>
      </c>
      <c r="S311" t="str">
        <f>IF('Sol Bekler'!T13="","",'Sol Bekler'!T13)</f>
        <v/>
      </c>
      <c r="T311" s="2" t="str">
        <f>IF('Sol Bekler'!U13="","",'Sol Bekler'!U13)</f>
        <v/>
      </c>
      <c r="U311" t="s">
        <v>929</v>
      </c>
      <c r="V311">
        <v>13</v>
      </c>
      <c r="W311" t="str">
        <f ca="1">IF(AND($A311&lt;&gt;"",ISNUMBER($G311),$G311&gt;=TODAY(),$G311&lt;=EDATE(TODAY(),12)),COUNTIFS($G$2:$G$1001,"&gt;="&amp;TODAY(),$G$2:$G$1001,"&lt;"&amp;$G311,$A$2:$A$1001,"&lt;&gt;")+COUNTIFS($G$2:$G311,$G311,$A$2:$A311,"&lt;&gt;"),"")</f>
        <v/>
      </c>
      <c r="X311" t="str">
        <f>IF(AND($A311&lt;&gt;"",ISNUMBER($C311),$C311&gt;=DATE(2003,1,1)),COUNTIFS($C$2:$C311,"&gt;="&amp;DATE(2003,1,1),$A$2:$A311,"&lt;&gt;"),"")</f>
        <v/>
      </c>
    </row>
    <row r="312" spans="1:24">
      <c r="A312" t="str">
        <f>IF('Sol Bekler'!A14="","",'Sol Bekler'!A14)</f>
        <v/>
      </c>
      <c r="B312" t="str">
        <f>IF('Sol Bekler'!B14="","",'Sol Bekler'!B14)</f>
        <v/>
      </c>
      <c r="C312" s="2" t="str">
        <f>IF('Sol Bekler'!C14="","",'Sol Bekler'!C14)</f>
        <v/>
      </c>
      <c r="D312" t="str">
        <f ca="1">IF('Sol Bekler'!D14="","",'Sol Bekler'!D14)</f>
        <v/>
      </c>
      <c r="E312" t="str">
        <f>IF('Sol Bekler'!E14="","",'Sol Bekler'!E14)</f>
        <v>Sol Bek</v>
      </c>
      <c r="F312" t="str">
        <f>IF('Sol Bekler'!G14="","",'Sol Bekler'!G14)</f>
        <v/>
      </c>
      <c r="G312" s="2" t="str">
        <f>IF('Sol Bekler'!H14="","",'Sol Bekler'!H14)</f>
        <v/>
      </c>
      <c r="H312" t="str">
        <f>IF('Sol Bekler'!I14="","",'Sol Bekler'!I14)</f>
        <v/>
      </c>
      <c r="I312" t="str">
        <f>IF('Sol Bekler'!A14="","",'Sol Bekler'!J14)</f>
        <v/>
      </c>
      <c r="J312" t="str">
        <f>IF('Sol Bekler'!A14="","",'Sol Bekler'!K14)</f>
        <v/>
      </c>
      <c r="K312" t="str">
        <f>IF('Sol Bekler'!L14="","",'Sol Bekler'!L14)</f>
        <v/>
      </c>
      <c r="L312" t="str">
        <f>IF('Sol Bekler'!M14="","",'Sol Bekler'!M14)</f>
        <v/>
      </c>
      <c r="M312" t="str">
        <f>IF('Sol Bekler'!N14="","",'Sol Bekler'!N14)</f>
        <v/>
      </c>
      <c r="N312" t="str">
        <f>IF('Sol Bekler'!O14="","",'Sol Bekler'!O14)</f>
        <v/>
      </c>
      <c r="O312" t="str">
        <f>IF('Sol Bekler'!P14="","",'Sol Bekler'!P14)</f>
        <v/>
      </c>
      <c r="P312" t="str">
        <f>IF('Sol Bekler'!Q14="","",'Sol Bekler'!Q14)</f>
        <v/>
      </c>
      <c r="Q312" t="str">
        <f>IF('Sol Bekler'!R14="","",'Sol Bekler'!R14)</f>
        <v/>
      </c>
      <c r="R312" t="str">
        <f>IF('Sol Bekler'!S14="","",'Sol Bekler'!S14)</f>
        <v/>
      </c>
      <c r="S312" t="str">
        <f>IF('Sol Bekler'!T14="","",'Sol Bekler'!T14)</f>
        <v/>
      </c>
      <c r="T312" s="2" t="str">
        <f>IF('Sol Bekler'!U14="","",'Sol Bekler'!U14)</f>
        <v/>
      </c>
      <c r="U312" t="s">
        <v>929</v>
      </c>
      <c r="V312">
        <v>14</v>
      </c>
      <c r="W312" t="str">
        <f ca="1">IF(AND($A312&lt;&gt;"",ISNUMBER($G312),$G312&gt;=TODAY(),$G312&lt;=EDATE(TODAY(),12)),COUNTIFS($G$2:$G$1001,"&gt;="&amp;TODAY(),$G$2:$G$1001,"&lt;"&amp;$G312,$A$2:$A$1001,"&lt;&gt;")+COUNTIFS($G$2:$G312,$G312,$A$2:$A312,"&lt;&gt;"),"")</f>
        <v/>
      </c>
      <c r="X312" t="str">
        <f>IF(AND($A312&lt;&gt;"",ISNUMBER($C312),$C312&gt;=DATE(2003,1,1)),COUNTIFS($C$2:$C312,"&gt;="&amp;DATE(2003,1,1),$A$2:$A312,"&lt;&gt;"),"")</f>
        <v/>
      </c>
    </row>
    <row r="313" spans="1:24">
      <c r="A313" t="str">
        <f>IF('Sol Bekler'!A15="","",'Sol Bekler'!A15)</f>
        <v/>
      </c>
      <c r="B313" t="str">
        <f>IF('Sol Bekler'!B15="","",'Sol Bekler'!B15)</f>
        <v/>
      </c>
      <c r="C313" s="2" t="str">
        <f>IF('Sol Bekler'!C15="","",'Sol Bekler'!C15)</f>
        <v/>
      </c>
      <c r="D313" t="str">
        <f ca="1">IF('Sol Bekler'!D15="","",'Sol Bekler'!D15)</f>
        <v/>
      </c>
      <c r="E313" t="str">
        <f>IF('Sol Bekler'!E15="","",'Sol Bekler'!E15)</f>
        <v>Sol Bek</v>
      </c>
      <c r="F313" t="str">
        <f>IF('Sol Bekler'!G15="","",'Sol Bekler'!G15)</f>
        <v/>
      </c>
      <c r="G313" s="2" t="str">
        <f>IF('Sol Bekler'!H15="","",'Sol Bekler'!H15)</f>
        <v/>
      </c>
      <c r="H313" t="str">
        <f>IF('Sol Bekler'!I15="","",'Sol Bekler'!I15)</f>
        <v/>
      </c>
      <c r="I313" t="str">
        <f>IF('Sol Bekler'!A15="","",'Sol Bekler'!J15)</f>
        <v/>
      </c>
      <c r="J313" t="str">
        <f>IF('Sol Bekler'!A15="","",'Sol Bekler'!K15)</f>
        <v/>
      </c>
      <c r="K313" t="str">
        <f>IF('Sol Bekler'!L15="","",'Sol Bekler'!L15)</f>
        <v/>
      </c>
      <c r="L313" t="str">
        <f>IF('Sol Bekler'!M15="","",'Sol Bekler'!M15)</f>
        <v/>
      </c>
      <c r="M313" t="str">
        <f>IF('Sol Bekler'!N15="","",'Sol Bekler'!N15)</f>
        <v/>
      </c>
      <c r="N313" t="str">
        <f>IF('Sol Bekler'!O15="","",'Sol Bekler'!O15)</f>
        <v/>
      </c>
      <c r="O313" t="str">
        <f>IF('Sol Bekler'!P15="","",'Sol Bekler'!P15)</f>
        <v/>
      </c>
      <c r="P313" t="str">
        <f>IF('Sol Bekler'!Q15="","",'Sol Bekler'!Q15)</f>
        <v/>
      </c>
      <c r="Q313" t="str">
        <f>IF('Sol Bekler'!R15="","",'Sol Bekler'!R15)</f>
        <v/>
      </c>
      <c r="R313" t="str">
        <f>IF('Sol Bekler'!S15="","",'Sol Bekler'!S15)</f>
        <v/>
      </c>
      <c r="S313" t="str">
        <f>IF('Sol Bekler'!T15="","",'Sol Bekler'!T15)</f>
        <v/>
      </c>
      <c r="T313" s="2" t="str">
        <f>IF('Sol Bekler'!U15="","",'Sol Bekler'!U15)</f>
        <v/>
      </c>
      <c r="U313" t="s">
        <v>929</v>
      </c>
      <c r="V313">
        <v>15</v>
      </c>
      <c r="W313" t="str">
        <f ca="1">IF(AND($A313&lt;&gt;"",ISNUMBER($G313),$G313&gt;=TODAY(),$G313&lt;=EDATE(TODAY(),12)),COUNTIFS($G$2:$G$1001,"&gt;="&amp;TODAY(),$G$2:$G$1001,"&lt;"&amp;$G313,$A$2:$A$1001,"&lt;&gt;")+COUNTIFS($G$2:$G313,$G313,$A$2:$A313,"&lt;&gt;"),"")</f>
        <v/>
      </c>
      <c r="X313" t="str">
        <f>IF(AND($A313&lt;&gt;"",ISNUMBER($C313),$C313&gt;=DATE(2003,1,1)),COUNTIFS($C$2:$C313,"&gt;="&amp;DATE(2003,1,1),$A$2:$A313,"&lt;&gt;"),"")</f>
        <v/>
      </c>
    </row>
    <row r="314" spans="1:24">
      <c r="A314" t="str">
        <f>IF('Sol Bekler'!A16="","",'Sol Bekler'!A16)</f>
        <v/>
      </c>
      <c r="B314" t="str">
        <f>IF('Sol Bekler'!B16="","",'Sol Bekler'!B16)</f>
        <v/>
      </c>
      <c r="C314" s="2" t="str">
        <f>IF('Sol Bekler'!C16="","",'Sol Bekler'!C16)</f>
        <v/>
      </c>
      <c r="D314" t="str">
        <f ca="1">IF('Sol Bekler'!D16="","",'Sol Bekler'!D16)</f>
        <v/>
      </c>
      <c r="E314" t="str">
        <f>IF('Sol Bekler'!E16="","",'Sol Bekler'!E16)</f>
        <v>Sol Bek</v>
      </c>
      <c r="F314" t="str">
        <f>IF('Sol Bekler'!G16="","",'Sol Bekler'!G16)</f>
        <v/>
      </c>
      <c r="G314" s="2" t="str">
        <f>IF('Sol Bekler'!H16="","",'Sol Bekler'!H16)</f>
        <v/>
      </c>
      <c r="H314" t="str">
        <f>IF('Sol Bekler'!I16="","",'Sol Bekler'!I16)</f>
        <v/>
      </c>
      <c r="I314" t="str">
        <f>IF('Sol Bekler'!A16="","",'Sol Bekler'!J16)</f>
        <v/>
      </c>
      <c r="J314" t="str">
        <f>IF('Sol Bekler'!A16="","",'Sol Bekler'!K16)</f>
        <v/>
      </c>
      <c r="K314" t="str">
        <f>IF('Sol Bekler'!L16="","",'Sol Bekler'!L16)</f>
        <v/>
      </c>
      <c r="L314" t="str">
        <f>IF('Sol Bekler'!M16="","",'Sol Bekler'!M16)</f>
        <v/>
      </c>
      <c r="M314" t="str">
        <f>IF('Sol Bekler'!N16="","",'Sol Bekler'!N16)</f>
        <v/>
      </c>
      <c r="N314" t="str">
        <f>IF('Sol Bekler'!O16="","",'Sol Bekler'!O16)</f>
        <v/>
      </c>
      <c r="O314" t="str">
        <f>IF('Sol Bekler'!P16="","",'Sol Bekler'!P16)</f>
        <v/>
      </c>
      <c r="P314" t="str">
        <f>IF('Sol Bekler'!Q16="","",'Sol Bekler'!Q16)</f>
        <v/>
      </c>
      <c r="Q314" t="str">
        <f>IF('Sol Bekler'!R16="","",'Sol Bekler'!R16)</f>
        <v/>
      </c>
      <c r="R314" t="str">
        <f>IF('Sol Bekler'!S16="","",'Sol Bekler'!S16)</f>
        <v/>
      </c>
      <c r="S314" t="str">
        <f>IF('Sol Bekler'!T16="","",'Sol Bekler'!T16)</f>
        <v/>
      </c>
      <c r="T314" s="2" t="str">
        <f>IF('Sol Bekler'!U16="","",'Sol Bekler'!U16)</f>
        <v/>
      </c>
      <c r="U314" t="s">
        <v>929</v>
      </c>
      <c r="V314">
        <v>16</v>
      </c>
      <c r="W314" t="str">
        <f ca="1">IF(AND($A314&lt;&gt;"",ISNUMBER($G314),$G314&gt;=TODAY(),$G314&lt;=EDATE(TODAY(),12)),COUNTIFS($G$2:$G$1001,"&gt;="&amp;TODAY(),$G$2:$G$1001,"&lt;"&amp;$G314,$A$2:$A$1001,"&lt;&gt;")+COUNTIFS($G$2:$G314,$G314,$A$2:$A314,"&lt;&gt;"),"")</f>
        <v/>
      </c>
      <c r="X314" t="str">
        <f>IF(AND($A314&lt;&gt;"",ISNUMBER($C314),$C314&gt;=DATE(2003,1,1)),COUNTIFS($C$2:$C314,"&gt;="&amp;DATE(2003,1,1),$A$2:$A314,"&lt;&gt;"),"")</f>
        <v/>
      </c>
    </row>
    <row r="315" spans="1:24">
      <c r="A315" t="str">
        <f>IF('Sol Bekler'!A17="","",'Sol Bekler'!A17)</f>
        <v/>
      </c>
      <c r="B315" t="str">
        <f>IF('Sol Bekler'!B17="","",'Sol Bekler'!B17)</f>
        <v/>
      </c>
      <c r="C315" s="2" t="str">
        <f>IF('Sol Bekler'!C17="","",'Sol Bekler'!C17)</f>
        <v/>
      </c>
      <c r="D315" t="str">
        <f ca="1">IF('Sol Bekler'!D17="","",'Sol Bekler'!D17)</f>
        <v/>
      </c>
      <c r="E315" t="str">
        <f>IF('Sol Bekler'!E17="","",'Sol Bekler'!E17)</f>
        <v>Sol Bek</v>
      </c>
      <c r="F315" t="str">
        <f>IF('Sol Bekler'!G17="","",'Sol Bekler'!G17)</f>
        <v/>
      </c>
      <c r="G315" s="2" t="str">
        <f>IF('Sol Bekler'!H17="","",'Sol Bekler'!H17)</f>
        <v/>
      </c>
      <c r="H315" t="str">
        <f>IF('Sol Bekler'!I17="","",'Sol Bekler'!I17)</f>
        <v/>
      </c>
      <c r="I315" t="str">
        <f>IF('Sol Bekler'!A17="","",'Sol Bekler'!J17)</f>
        <v/>
      </c>
      <c r="J315" t="str">
        <f>IF('Sol Bekler'!A17="","",'Sol Bekler'!K17)</f>
        <v/>
      </c>
      <c r="K315" t="str">
        <f>IF('Sol Bekler'!L17="","",'Sol Bekler'!L17)</f>
        <v/>
      </c>
      <c r="L315" t="str">
        <f>IF('Sol Bekler'!M17="","",'Sol Bekler'!M17)</f>
        <v/>
      </c>
      <c r="M315" t="str">
        <f>IF('Sol Bekler'!N17="","",'Sol Bekler'!N17)</f>
        <v/>
      </c>
      <c r="N315" t="str">
        <f>IF('Sol Bekler'!O17="","",'Sol Bekler'!O17)</f>
        <v/>
      </c>
      <c r="O315" t="str">
        <f>IF('Sol Bekler'!P17="","",'Sol Bekler'!P17)</f>
        <v/>
      </c>
      <c r="P315" t="str">
        <f>IF('Sol Bekler'!Q17="","",'Sol Bekler'!Q17)</f>
        <v/>
      </c>
      <c r="Q315" t="str">
        <f>IF('Sol Bekler'!R17="","",'Sol Bekler'!R17)</f>
        <v/>
      </c>
      <c r="R315" t="str">
        <f>IF('Sol Bekler'!S17="","",'Sol Bekler'!S17)</f>
        <v/>
      </c>
      <c r="S315" t="str">
        <f>IF('Sol Bekler'!T17="","",'Sol Bekler'!T17)</f>
        <v/>
      </c>
      <c r="T315" s="2" t="str">
        <f>IF('Sol Bekler'!U17="","",'Sol Bekler'!U17)</f>
        <v/>
      </c>
      <c r="U315" t="s">
        <v>929</v>
      </c>
      <c r="V315">
        <v>17</v>
      </c>
      <c r="W315" t="str">
        <f ca="1">IF(AND($A315&lt;&gt;"",ISNUMBER($G315),$G315&gt;=TODAY(),$G315&lt;=EDATE(TODAY(),12)),COUNTIFS($G$2:$G$1001,"&gt;="&amp;TODAY(),$G$2:$G$1001,"&lt;"&amp;$G315,$A$2:$A$1001,"&lt;&gt;")+COUNTIFS($G$2:$G315,$G315,$A$2:$A315,"&lt;&gt;"),"")</f>
        <v/>
      </c>
      <c r="X315" t="str">
        <f>IF(AND($A315&lt;&gt;"",ISNUMBER($C315),$C315&gt;=DATE(2003,1,1)),COUNTIFS($C$2:$C315,"&gt;="&amp;DATE(2003,1,1),$A$2:$A315,"&lt;&gt;"),"")</f>
        <v/>
      </c>
    </row>
    <row r="316" spans="1:24">
      <c r="A316" t="str">
        <f>IF('Sol Bekler'!A18="","",'Sol Bekler'!A18)</f>
        <v/>
      </c>
      <c r="B316" t="str">
        <f>IF('Sol Bekler'!B18="","",'Sol Bekler'!B18)</f>
        <v/>
      </c>
      <c r="C316" s="2" t="str">
        <f>IF('Sol Bekler'!C18="","",'Sol Bekler'!C18)</f>
        <v/>
      </c>
      <c r="D316" t="str">
        <f ca="1">IF('Sol Bekler'!D18="","",'Sol Bekler'!D18)</f>
        <v/>
      </c>
      <c r="E316" t="str">
        <f>IF('Sol Bekler'!E18="","",'Sol Bekler'!E18)</f>
        <v>Sol Bek</v>
      </c>
      <c r="F316" t="str">
        <f>IF('Sol Bekler'!G18="","",'Sol Bekler'!G18)</f>
        <v/>
      </c>
      <c r="G316" s="2" t="str">
        <f>IF('Sol Bekler'!H18="","",'Sol Bekler'!H18)</f>
        <v/>
      </c>
      <c r="H316" t="str">
        <f>IF('Sol Bekler'!I18="","",'Sol Bekler'!I18)</f>
        <v/>
      </c>
      <c r="I316" t="str">
        <f>IF('Sol Bekler'!A18="","",'Sol Bekler'!J18)</f>
        <v/>
      </c>
      <c r="J316" t="str">
        <f>IF('Sol Bekler'!A18="","",'Sol Bekler'!K18)</f>
        <v/>
      </c>
      <c r="K316" t="str">
        <f>IF('Sol Bekler'!L18="","",'Sol Bekler'!L18)</f>
        <v/>
      </c>
      <c r="L316" t="str">
        <f>IF('Sol Bekler'!M18="","",'Sol Bekler'!M18)</f>
        <v/>
      </c>
      <c r="M316" t="str">
        <f>IF('Sol Bekler'!N18="","",'Sol Bekler'!N18)</f>
        <v/>
      </c>
      <c r="N316" t="str">
        <f>IF('Sol Bekler'!O18="","",'Sol Bekler'!O18)</f>
        <v/>
      </c>
      <c r="O316" t="str">
        <f>IF('Sol Bekler'!P18="","",'Sol Bekler'!P18)</f>
        <v/>
      </c>
      <c r="P316" t="str">
        <f>IF('Sol Bekler'!Q18="","",'Sol Bekler'!Q18)</f>
        <v/>
      </c>
      <c r="Q316" t="str">
        <f>IF('Sol Bekler'!R18="","",'Sol Bekler'!R18)</f>
        <v/>
      </c>
      <c r="R316" t="str">
        <f>IF('Sol Bekler'!S18="","",'Sol Bekler'!S18)</f>
        <v/>
      </c>
      <c r="S316" t="str">
        <f>IF('Sol Bekler'!T18="","",'Sol Bekler'!T18)</f>
        <v/>
      </c>
      <c r="T316" s="2" t="str">
        <f>IF('Sol Bekler'!U18="","",'Sol Bekler'!U18)</f>
        <v/>
      </c>
      <c r="U316" t="s">
        <v>929</v>
      </c>
      <c r="V316">
        <v>18</v>
      </c>
      <c r="W316" t="str">
        <f ca="1">IF(AND($A316&lt;&gt;"",ISNUMBER($G316),$G316&gt;=TODAY(),$G316&lt;=EDATE(TODAY(),12)),COUNTIFS($G$2:$G$1001,"&gt;="&amp;TODAY(),$G$2:$G$1001,"&lt;"&amp;$G316,$A$2:$A$1001,"&lt;&gt;")+COUNTIFS($G$2:$G316,$G316,$A$2:$A316,"&lt;&gt;"),"")</f>
        <v/>
      </c>
      <c r="X316" t="str">
        <f>IF(AND($A316&lt;&gt;"",ISNUMBER($C316),$C316&gt;=DATE(2003,1,1)),COUNTIFS($C$2:$C316,"&gt;="&amp;DATE(2003,1,1),$A$2:$A316,"&lt;&gt;"),"")</f>
        <v/>
      </c>
    </row>
    <row r="317" spans="1:24">
      <c r="A317" t="str">
        <f>IF('Sol Bekler'!A19="","",'Sol Bekler'!A19)</f>
        <v/>
      </c>
      <c r="B317" t="str">
        <f>IF('Sol Bekler'!B19="","",'Sol Bekler'!B19)</f>
        <v/>
      </c>
      <c r="C317" s="2" t="str">
        <f>IF('Sol Bekler'!C19="","",'Sol Bekler'!C19)</f>
        <v/>
      </c>
      <c r="D317" t="str">
        <f ca="1">IF('Sol Bekler'!D19="","",'Sol Bekler'!D19)</f>
        <v/>
      </c>
      <c r="E317" t="str">
        <f>IF('Sol Bekler'!E19="","",'Sol Bekler'!E19)</f>
        <v>Sol Bek</v>
      </c>
      <c r="F317" t="str">
        <f>IF('Sol Bekler'!G19="","",'Sol Bekler'!G19)</f>
        <v/>
      </c>
      <c r="G317" s="2" t="str">
        <f>IF('Sol Bekler'!H19="","",'Sol Bekler'!H19)</f>
        <v/>
      </c>
      <c r="H317" t="str">
        <f>IF('Sol Bekler'!I19="","",'Sol Bekler'!I19)</f>
        <v/>
      </c>
      <c r="I317" t="str">
        <f>IF('Sol Bekler'!A19="","",'Sol Bekler'!J19)</f>
        <v/>
      </c>
      <c r="J317" t="str">
        <f>IF('Sol Bekler'!A19="","",'Sol Bekler'!K19)</f>
        <v/>
      </c>
      <c r="K317" t="str">
        <f>IF('Sol Bekler'!L19="","",'Sol Bekler'!L19)</f>
        <v/>
      </c>
      <c r="L317" t="str">
        <f>IF('Sol Bekler'!M19="","",'Sol Bekler'!M19)</f>
        <v/>
      </c>
      <c r="M317" t="str">
        <f>IF('Sol Bekler'!N19="","",'Sol Bekler'!N19)</f>
        <v/>
      </c>
      <c r="N317" t="str">
        <f>IF('Sol Bekler'!O19="","",'Sol Bekler'!O19)</f>
        <v/>
      </c>
      <c r="O317" t="str">
        <f>IF('Sol Bekler'!P19="","",'Sol Bekler'!P19)</f>
        <v/>
      </c>
      <c r="P317" t="str">
        <f>IF('Sol Bekler'!Q19="","",'Sol Bekler'!Q19)</f>
        <v/>
      </c>
      <c r="Q317" t="str">
        <f>IF('Sol Bekler'!R19="","",'Sol Bekler'!R19)</f>
        <v/>
      </c>
      <c r="R317" t="str">
        <f>IF('Sol Bekler'!S19="","",'Sol Bekler'!S19)</f>
        <v/>
      </c>
      <c r="S317" t="str">
        <f>IF('Sol Bekler'!T19="","",'Sol Bekler'!T19)</f>
        <v/>
      </c>
      <c r="T317" s="2" t="str">
        <f>IF('Sol Bekler'!U19="","",'Sol Bekler'!U19)</f>
        <v/>
      </c>
      <c r="U317" t="s">
        <v>929</v>
      </c>
      <c r="V317">
        <v>19</v>
      </c>
      <c r="W317" t="str">
        <f ca="1">IF(AND($A317&lt;&gt;"",ISNUMBER($G317),$G317&gt;=TODAY(),$G317&lt;=EDATE(TODAY(),12)),COUNTIFS($G$2:$G$1001,"&gt;="&amp;TODAY(),$G$2:$G$1001,"&lt;"&amp;$G317,$A$2:$A$1001,"&lt;&gt;")+COUNTIFS($G$2:$G317,$G317,$A$2:$A317,"&lt;&gt;"),"")</f>
        <v/>
      </c>
      <c r="X317" t="str">
        <f>IF(AND($A317&lt;&gt;"",ISNUMBER($C317),$C317&gt;=DATE(2003,1,1)),COUNTIFS($C$2:$C317,"&gt;="&amp;DATE(2003,1,1),$A$2:$A317,"&lt;&gt;"),"")</f>
        <v/>
      </c>
    </row>
    <row r="318" spans="1:24">
      <c r="A318" t="str">
        <f>IF('Sol Bekler'!A20="","",'Sol Bekler'!A20)</f>
        <v/>
      </c>
      <c r="B318" t="str">
        <f>IF('Sol Bekler'!B20="","",'Sol Bekler'!B20)</f>
        <v/>
      </c>
      <c r="C318" s="2" t="str">
        <f>IF('Sol Bekler'!C20="","",'Sol Bekler'!C20)</f>
        <v/>
      </c>
      <c r="D318" t="str">
        <f ca="1">IF('Sol Bekler'!D20="","",'Sol Bekler'!D20)</f>
        <v/>
      </c>
      <c r="E318" t="str">
        <f>IF('Sol Bekler'!E20="","",'Sol Bekler'!E20)</f>
        <v>Sol Bek</v>
      </c>
      <c r="F318" t="str">
        <f>IF('Sol Bekler'!G20="","",'Sol Bekler'!G20)</f>
        <v/>
      </c>
      <c r="G318" s="2" t="str">
        <f>IF('Sol Bekler'!H20="","",'Sol Bekler'!H20)</f>
        <v/>
      </c>
      <c r="H318" t="str">
        <f>IF('Sol Bekler'!I20="","",'Sol Bekler'!I20)</f>
        <v/>
      </c>
      <c r="I318" t="str">
        <f>IF('Sol Bekler'!A20="","",'Sol Bekler'!J20)</f>
        <v/>
      </c>
      <c r="J318" t="str">
        <f>IF('Sol Bekler'!A20="","",'Sol Bekler'!K20)</f>
        <v/>
      </c>
      <c r="K318" t="str">
        <f>IF('Sol Bekler'!L20="","",'Sol Bekler'!L20)</f>
        <v/>
      </c>
      <c r="L318" t="str">
        <f>IF('Sol Bekler'!M20="","",'Sol Bekler'!M20)</f>
        <v/>
      </c>
      <c r="M318" t="str">
        <f>IF('Sol Bekler'!N20="","",'Sol Bekler'!N20)</f>
        <v/>
      </c>
      <c r="N318" t="str">
        <f>IF('Sol Bekler'!O20="","",'Sol Bekler'!O20)</f>
        <v/>
      </c>
      <c r="O318" t="str">
        <f>IF('Sol Bekler'!P20="","",'Sol Bekler'!P20)</f>
        <v/>
      </c>
      <c r="P318" t="str">
        <f>IF('Sol Bekler'!Q20="","",'Sol Bekler'!Q20)</f>
        <v/>
      </c>
      <c r="Q318" t="str">
        <f>IF('Sol Bekler'!R20="","",'Sol Bekler'!R20)</f>
        <v/>
      </c>
      <c r="R318" t="str">
        <f>IF('Sol Bekler'!S20="","",'Sol Bekler'!S20)</f>
        <v/>
      </c>
      <c r="S318" t="str">
        <f>IF('Sol Bekler'!T20="","",'Sol Bekler'!T20)</f>
        <v/>
      </c>
      <c r="T318" s="2" t="str">
        <f>IF('Sol Bekler'!U20="","",'Sol Bekler'!U20)</f>
        <v/>
      </c>
      <c r="U318" t="s">
        <v>929</v>
      </c>
      <c r="V318">
        <v>20</v>
      </c>
      <c r="W318" t="str">
        <f ca="1">IF(AND($A318&lt;&gt;"",ISNUMBER($G318),$G318&gt;=TODAY(),$G318&lt;=EDATE(TODAY(),12)),COUNTIFS($G$2:$G$1001,"&gt;="&amp;TODAY(),$G$2:$G$1001,"&lt;"&amp;$G318,$A$2:$A$1001,"&lt;&gt;")+COUNTIFS($G$2:$G318,$G318,$A$2:$A318,"&lt;&gt;"),"")</f>
        <v/>
      </c>
      <c r="X318" t="str">
        <f>IF(AND($A318&lt;&gt;"",ISNUMBER($C318),$C318&gt;=DATE(2003,1,1)),COUNTIFS($C$2:$C318,"&gt;="&amp;DATE(2003,1,1),$A$2:$A318,"&lt;&gt;"),"")</f>
        <v/>
      </c>
    </row>
    <row r="319" spans="1:24">
      <c r="A319" t="str">
        <f>IF('Sol Bekler'!A21="","",'Sol Bekler'!A21)</f>
        <v/>
      </c>
      <c r="B319" t="str">
        <f>IF('Sol Bekler'!B21="","",'Sol Bekler'!B21)</f>
        <v/>
      </c>
      <c r="C319" s="2" t="str">
        <f>IF('Sol Bekler'!C21="","",'Sol Bekler'!C21)</f>
        <v/>
      </c>
      <c r="D319" t="str">
        <f ca="1">IF('Sol Bekler'!D21="","",'Sol Bekler'!D21)</f>
        <v/>
      </c>
      <c r="E319" t="str">
        <f>IF('Sol Bekler'!E21="","",'Sol Bekler'!E21)</f>
        <v>Sol Bek</v>
      </c>
      <c r="F319" t="str">
        <f>IF('Sol Bekler'!G21="","",'Sol Bekler'!G21)</f>
        <v/>
      </c>
      <c r="G319" s="2" t="str">
        <f>IF('Sol Bekler'!H21="","",'Sol Bekler'!H21)</f>
        <v/>
      </c>
      <c r="H319" t="str">
        <f>IF('Sol Bekler'!I21="","",'Sol Bekler'!I21)</f>
        <v/>
      </c>
      <c r="I319" t="str">
        <f>IF('Sol Bekler'!A21="","",'Sol Bekler'!J21)</f>
        <v/>
      </c>
      <c r="J319" t="str">
        <f>IF('Sol Bekler'!A21="","",'Sol Bekler'!K21)</f>
        <v/>
      </c>
      <c r="K319" t="str">
        <f>IF('Sol Bekler'!L21="","",'Sol Bekler'!L21)</f>
        <v/>
      </c>
      <c r="L319" t="str">
        <f>IF('Sol Bekler'!M21="","",'Sol Bekler'!M21)</f>
        <v/>
      </c>
      <c r="M319" t="str">
        <f>IF('Sol Bekler'!N21="","",'Sol Bekler'!N21)</f>
        <v/>
      </c>
      <c r="N319" t="str">
        <f>IF('Sol Bekler'!O21="","",'Sol Bekler'!O21)</f>
        <v/>
      </c>
      <c r="O319" t="str">
        <f>IF('Sol Bekler'!P21="","",'Sol Bekler'!P21)</f>
        <v/>
      </c>
      <c r="P319" t="str">
        <f>IF('Sol Bekler'!Q21="","",'Sol Bekler'!Q21)</f>
        <v/>
      </c>
      <c r="Q319" t="str">
        <f>IF('Sol Bekler'!R21="","",'Sol Bekler'!R21)</f>
        <v/>
      </c>
      <c r="R319" t="str">
        <f>IF('Sol Bekler'!S21="","",'Sol Bekler'!S21)</f>
        <v/>
      </c>
      <c r="S319" t="str">
        <f>IF('Sol Bekler'!T21="","",'Sol Bekler'!T21)</f>
        <v/>
      </c>
      <c r="T319" s="2" t="str">
        <f>IF('Sol Bekler'!U21="","",'Sol Bekler'!U21)</f>
        <v/>
      </c>
      <c r="U319" t="s">
        <v>929</v>
      </c>
      <c r="V319">
        <v>21</v>
      </c>
      <c r="W319" t="str">
        <f ca="1">IF(AND($A319&lt;&gt;"",ISNUMBER($G319),$G319&gt;=TODAY(),$G319&lt;=EDATE(TODAY(),12)),COUNTIFS($G$2:$G$1001,"&gt;="&amp;TODAY(),$G$2:$G$1001,"&lt;"&amp;$G319,$A$2:$A$1001,"&lt;&gt;")+COUNTIFS($G$2:$G319,$G319,$A$2:$A319,"&lt;&gt;"),"")</f>
        <v/>
      </c>
      <c r="X319" t="str">
        <f>IF(AND($A319&lt;&gt;"",ISNUMBER($C319),$C319&gt;=DATE(2003,1,1)),COUNTIFS($C$2:$C319,"&gt;="&amp;DATE(2003,1,1),$A$2:$A319,"&lt;&gt;"),"")</f>
        <v/>
      </c>
    </row>
    <row r="320" spans="1:24">
      <c r="A320" t="str">
        <f>IF('Sol Bekler'!A22="","",'Sol Bekler'!A22)</f>
        <v/>
      </c>
      <c r="B320" t="str">
        <f>IF('Sol Bekler'!B22="","",'Sol Bekler'!B22)</f>
        <v/>
      </c>
      <c r="C320" s="2" t="str">
        <f>IF('Sol Bekler'!C22="","",'Sol Bekler'!C22)</f>
        <v/>
      </c>
      <c r="D320" t="str">
        <f ca="1">IF('Sol Bekler'!D22="","",'Sol Bekler'!D22)</f>
        <v/>
      </c>
      <c r="E320" t="str">
        <f>IF('Sol Bekler'!E22="","",'Sol Bekler'!E22)</f>
        <v>Sol Bek</v>
      </c>
      <c r="F320" t="str">
        <f>IF('Sol Bekler'!G22="","",'Sol Bekler'!G22)</f>
        <v/>
      </c>
      <c r="G320" s="2" t="str">
        <f>IF('Sol Bekler'!H22="","",'Sol Bekler'!H22)</f>
        <v/>
      </c>
      <c r="H320" t="str">
        <f>IF('Sol Bekler'!I22="","",'Sol Bekler'!I22)</f>
        <v/>
      </c>
      <c r="I320" t="str">
        <f>IF('Sol Bekler'!A22="","",'Sol Bekler'!J22)</f>
        <v/>
      </c>
      <c r="J320" t="str">
        <f>IF('Sol Bekler'!A22="","",'Sol Bekler'!K22)</f>
        <v/>
      </c>
      <c r="K320" t="str">
        <f>IF('Sol Bekler'!L22="","",'Sol Bekler'!L22)</f>
        <v/>
      </c>
      <c r="L320" t="str">
        <f>IF('Sol Bekler'!M22="","",'Sol Bekler'!M22)</f>
        <v/>
      </c>
      <c r="M320" t="str">
        <f>IF('Sol Bekler'!N22="","",'Sol Bekler'!N22)</f>
        <v/>
      </c>
      <c r="N320" t="str">
        <f>IF('Sol Bekler'!O22="","",'Sol Bekler'!O22)</f>
        <v/>
      </c>
      <c r="O320" t="str">
        <f>IF('Sol Bekler'!P22="","",'Sol Bekler'!P22)</f>
        <v/>
      </c>
      <c r="P320" t="str">
        <f>IF('Sol Bekler'!Q22="","",'Sol Bekler'!Q22)</f>
        <v/>
      </c>
      <c r="Q320" t="str">
        <f>IF('Sol Bekler'!R22="","",'Sol Bekler'!R22)</f>
        <v/>
      </c>
      <c r="R320" t="str">
        <f>IF('Sol Bekler'!S22="","",'Sol Bekler'!S22)</f>
        <v/>
      </c>
      <c r="S320" t="str">
        <f>IF('Sol Bekler'!T22="","",'Sol Bekler'!T22)</f>
        <v/>
      </c>
      <c r="T320" s="2" t="str">
        <f>IF('Sol Bekler'!U22="","",'Sol Bekler'!U22)</f>
        <v/>
      </c>
      <c r="U320" t="s">
        <v>929</v>
      </c>
      <c r="V320">
        <v>22</v>
      </c>
      <c r="W320" t="str">
        <f ca="1">IF(AND($A320&lt;&gt;"",ISNUMBER($G320),$G320&gt;=TODAY(),$G320&lt;=EDATE(TODAY(),12)),COUNTIFS($G$2:$G$1001,"&gt;="&amp;TODAY(),$G$2:$G$1001,"&lt;"&amp;$G320,$A$2:$A$1001,"&lt;&gt;")+COUNTIFS($G$2:$G320,$G320,$A$2:$A320,"&lt;&gt;"),"")</f>
        <v/>
      </c>
      <c r="X320" t="str">
        <f>IF(AND($A320&lt;&gt;"",ISNUMBER($C320),$C320&gt;=DATE(2003,1,1)),COUNTIFS($C$2:$C320,"&gt;="&amp;DATE(2003,1,1),$A$2:$A320,"&lt;&gt;"),"")</f>
        <v/>
      </c>
    </row>
    <row r="321" spans="1:24">
      <c r="A321" t="str">
        <f>IF('Sol Bekler'!A23="","",'Sol Bekler'!A23)</f>
        <v/>
      </c>
      <c r="B321" t="str">
        <f>IF('Sol Bekler'!B23="","",'Sol Bekler'!B23)</f>
        <v/>
      </c>
      <c r="C321" s="2" t="str">
        <f>IF('Sol Bekler'!C23="","",'Sol Bekler'!C23)</f>
        <v/>
      </c>
      <c r="D321" t="str">
        <f ca="1">IF('Sol Bekler'!D23="","",'Sol Bekler'!D23)</f>
        <v/>
      </c>
      <c r="E321" t="str">
        <f>IF('Sol Bekler'!E23="","",'Sol Bekler'!E23)</f>
        <v>Sol Bek</v>
      </c>
      <c r="F321" t="str">
        <f>IF('Sol Bekler'!G23="","",'Sol Bekler'!G23)</f>
        <v/>
      </c>
      <c r="G321" s="2" t="str">
        <f>IF('Sol Bekler'!H23="","",'Sol Bekler'!H23)</f>
        <v/>
      </c>
      <c r="H321" t="str">
        <f>IF('Sol Bekler'!I23="","",'Sol Bekler'!I23)</f>
        <v/>
      </c>
      <c r="I321" t="str">
        <f>IF('Sol Bekler'!A23="","",'Sol Bekler'!J23)</f>
        <v/>
      </c>
      <c r="J321" t="str">
        <f>IF('Sol Bekler'!A23="","",'Sol Bekler'!K23)</f>
        <v/>
      </c>
      <c r="K321" t="str">
        <f>IF('Sol Bekler'!L23="","",'Sol Bekler'!L23)</f>
        <v/>
      </c>
      <c r="L321" t="str">
        <f>IF('Sol Bekler'!M23="","",'Sol Bekler'!M23)</f>
        <v/>
      </c>
      <c r="M321" t="str">
        <f>IF('Sol Bekler'!N23="","",'Sol Bekler'!N23)</f>
        <v/>
      </c>
      <c r="N321" t="str">
        <f>IF('Sol Bekler'!O23="","",'Sol Bekler'!O23)</f>
        <v/>
      </c>
      <c r="O321" t="str">
        <f>IF('Sol Bekler'!P23="","",'Sol Bekler'!P23)</f>
        <v/>
      </c>
      <c r="P321" t="str">
        <f>IF('Sol Bekler'!Q23="","",'Sol Bekler'!Q23)</f>
        <v/>
      </c>
      <c r="Q321" t="str">
        <f>IF('Sol Bekler'!R23="","",'Sol Bekler'!R23)</f>
        <v/>
      </c>
      <c r="R321" t="str">
        <f>IF('Sol Bekler'!S23="","",'Sol Bekler'!S23)</f>
        <v/>
      </c>
      <c r="S321" t="str">
        <f>IF('Sol Bekler'!T23="","",'Sol Bekler'!T23)</f>
        <v/>
      </c>
      <c r="T321" s="2" t="str">
        <f>IF('Sol Bekler'!U23="","",'Sol Bekler'!U23)</f>
        <v/>
      </c>
      <c r="U321" t="s">
        <v>929</v>
      </c>
      <c r="V321">
        <v>23</v>
      </c>
      <c r="W321" t="str">
        <f ca="1">IF(AND($A321&lt;&gt;"",ISNUMBER($G321),$G321&gt;=TODAY(),$G321&lt;=EDATE(TODAY(),12)),COUNTIFS($G$2:$G$1001,"&gt;="&amp;TODAY(),$G$2:$G$1001,"&lt;"&amp;$G321,$A$2:$A$1001,"&lt;&gt;")+COUNTIFS($G$2:$G321,$G321,$A$2:$A321,"&lt;&gt;"),"")</f>
        <v/>
      </c>
      <c r="X321" t="str">
        <f>IF(AND($A321&lt;&gt;"",ISNUMBER($C321),$C321&gt;=DATE(2003,1,1)),COUNTIFS($C$2:$C321,"&gt;="&amp;DATE(2003,1,1),$A$2:$A321,"&lt;&gt;"),"")</f>
        <v/>
      </c>
    </row>
    <row r="322" spans="1:24">
      <c r="A322" t="str">
        <f>IF('Sol Bekler'!A24="","",'Sol Bekler'!A24)</f>
        <v/>
      </c>
      <c r="B322" t="str">
        <f>IF('Sol Bekler'!B24="","",'Sol Bekler'!B24)</f>
        <v/>
      </c>
      <c r="C322" s="2" t="str">
        <f>IF('Sol Bekler'!C24="","",'Sol Bekler'!C24)</f>
        <v/>
      </c>
      <c r="D322" t="str">
        <f ca="1">IF('Sol Bekler'!D24="","",'Sol Bekler'!D24)</f>
        <v/>
      </c>
      <c r="E322" t="str">
        <f>IF('Sol Bekler'!E24="","",'Sol Bekler'!E24)</f>
        <v>Sol Bek</v>
      </c>
      <c r="F322" t="str">
        <f>IF('Sol Bekler'!G24="","",'Sol Bekler'!G24)</f>
        <v/>
      </c>
      <c r="G322" s="2" t="str">
        <f>IF('Sol Bekler'!H24="","",'Sol Bekler'!H24)</f>
        <v/>
      </c>
      <c r="H322" t="str">
        <f>IF('Sol Bekler'!I24="","",'Sol Bekler'!I24)</f>
        <v/>
      </c>
      <c r="I322" t="str">
        <f>IF('Sol Bekler'!A24="","",'Sol Bekler'!J24)</f>
        <v/>
      </c>
      <c r="J322" t="str">
        <f>IF('Sol Bekler'!A24="","",'Sol Bekler'!K24)</f>
        <v/>
      </c>
      <c r="K322" t="str">
        <f>IF('Sol Bekler'!L24="","",'Sol Bekler'!L24)</f>
        <v/>
      </c>
      <c r="L322" t="str">
        <f>IF('Sol Bekler'!M24="","",'Sol Bekler'!M24)</f>
        <v/>
      </c>
      <c r="M322" t="str">
        <f>IF('Sol Bekler'!N24="","",'Sol Bekler'!N24)</f>
        <v/>
      </c>
      <c r="N322" t="str">
        <f>IF('Sol Bekler'!O24="","",'Sol Bekler'!O24)</f>
        <v/>
      </c>
      <c r="O322" t="str">
        <f>IF('Sol Bekler'!P24="","",'Sol Bekler'!P24)</f>
        <v/>
      </c>
      <c r="P322" t="str">
        <f>IF('Sol Bekler'!Q24="","",'Sol Bekler'!Q24)</f>
        <v/>
      </c>
      <c r="Q322" t="str">
        <f>IF('Sol Bekler'!R24="","",'Sol Bekler'!R24)</f>
        <v/>
      </c>
      <c r="R322" t="str">
        <f>IF('Sol Bekler'!S24="","",'Sol Bekler'!S24)</f>
        <v/>
      </c>
      <c r="S322" t="str">
        <f>IF('Sol Bekler'!T24="","",'Sol Bekler'!T24)</f>
        <v/>
      </c>
      <c r="T322" s="2" t="str">
        <f>IF('Sol Bekler'!U24="","",'Sol Bekler'!U24)</f>
        <v/>
      </c>
      <c r="U322" t="s">
        <v>929</v>
      </c>
      <c r="V322">
        <v>24</v>
      </c>
      <c r="W322" t="str">
        <f ca="1">IF(AND($A322&lt;&gt;"",ISNUMBER($G322),$G322&gt;=TODAY(),$G322&lt;=EDATE(TODAY(),12)),COUNTIFS($G$2:$G$1001,"&gt;="&amp;TODAY(),$G$2:$G$1001,"&lt;"&amp;$G322,$A$2:$A$1001,"&lt;&gt;")+COUNTIFS($G$2:$G322,$G322,$A$2:$A322,"&lt;&gt;"),"")</f>
        <v/>
      </c>
      <c r="X322" t="str">
        <f>IF(AND($A322&lt;&gt;"",ISNUMBER($C322),$C322&gt;=DATE(2003,1,1)),COUNTIFS($C$2:$C322,"&gt;="&amp;DATE(2003,1,1),$A$2:$A322,"&lt;&gt;"),"")</f>
        <v/>
      </c>
    </row>
    <row r="323" spans="1:24">
      <c r="A323" t="str">
        <f>IF('Sol Bekler'!A25="","",'Sol Bekler'!A25)</f>
        <v/>
      </c>
      <c r="B323" t="str">
        <f>IF('Sol Bekler'!B25="","",'Sol Bekler'!B25)</f>
        <v/>
      </c>
      <c r="C323" s="2" t="str">
        <f>IF('Sol Bekler'!C25="","",'Sol Bekler'!C25)</f>
        <v/>
      </c>
      <c r="D323" t="str">
        <f ca="1">IF('Sol Bekler'!D25="","",'Sol Bekler'!D25)</f>
        <v/>
      </c>
      <c r="E323" t="str">
        <f>IF('Sol Bekler'!E25="","",'Sol Bekler'!E25)</f>
        <v>Sol Bek</v>
      </c>
      <c r="F323" t="str">
        <f>IF('Sol Bekler'!G25="","",'Sol Bekler'!G25)</f>
        <v/>
      </c>
      <c r="G323" s="2" t="str">
        <f>IF('Sol Bekler'!H25="","",'Sol Bekler'!H25)</f>
        <v/>
      </c>
      <c r="H323" t="str">
        <f>IF('Sol Bekler'!I25="","",'Sol Bekler'!I25)</f>
        <v/>
      </c>
      <c r="I323" t="str">
        <f>IF('Sol Bekler'!A25="","",'Sol Bekler'!J25)</f>
        <v/>
      </c>
      <c r="J323" t="str">
        <f>IF('Sol Bekler'!A25="","",'Sol Bekler'!K25)</f>
        <v/>
      </c>
      <c r="K323" t="str">
        <f>IF('Sol Bekler'!L25="","",'Sol Bekler'!L25)</f>
        <v/>
      </c>
      <c r="L323" t="str">
        <f>IF('Sol Bekler'!M25="","",'Sol Bekler'!M25)</f>
        <v/>
      </c>
      <c r="M323" t="str">
        <f>IF('Sol Bekler'!N25="","",'Sol Bekler'!N25)</f>
        <v/>
      </c>
      <c r="N323" t="str">
        <f>IF('Sol Bekler'!O25="","",'Sol Bekler'!O25)</f>
        <v/>
      </c>
      <c r="O323" t="str">
        <f>IF('Sol Bekler'!P25="","",'Sol Bekler'!P25)</f>
        <v/>
      </c>
      <c r="P323" t="str">
        <f>IF('Sol Bekler'!Q25="","",'Sol Bekler'!Q25)</f>
        <v/>
      </c>
      <c r="Q323" t="str">
        <f>IF('Sol Bekler'!R25="","",'Sol Bekler'!R25)</f>
        <v/>
      </c>
      <c r="R323" t="str">
        <f>IF('Sol Bekler'!S25="","",'Sol Bekler'!S25)</f>
        <v/>
      </c>
      <c r="S323" t="str">
        <f>IF('Sol Bekler'!T25="","",'Sol Bekler'!T25)</f>
        <v/>
      </c>
      <c r="T323" s="2" t="str">
        <f>IF('Sol Bekler'!U25="","",'Sol Bekler'!U25)</f>
        <v/>
      </c>
      <c r="U323" t="s">
        <v>929</v>
      </c>
      <c r="V323">
        <v>25</v>
      </c>
      <c r="W323" t="str">
        <f ca="1">IF(AND($A323&lt;&gt;"",ISNUMBER($G323),$G323&gt;=TODAY(),$G323&lt;=EDATE(TODAY(),12)),COUNTIFS($G$2:$G$1001,"&gt;="&amp;TODAY(),$G$2:$G$1001,"&lt;"&amp;$G323,$A$2:$A$1001,"&lt;&gt;")+COUNTIFS($G$2:$G323,$G323,$A$2:$A323,"&lt;&gt;"),"")</f>
        <v/>
      </c>
      <c r="X323" t="str">
        <f>IF(AND($A323&lt;&gt;"",ISNUMBER($C323),$C323&gt;=DATE(2003,1,1)),COUNTIFS($C$2:$C323,"&gt;="&amp;DATE(2003,1,1),$A$2:$A323,"&lt;&gt;"),"")</f>
        <v/>
      </c>
    </row>
    <row r="324" spans="1:24">
      <c r="A324" t="str">
        <f>IF('Sol Bekler'!A26="","",'Sol Bekler'!A26)</f>
        <v/>
      </c>
      <c r="B324" t="str">
        <f>IF('Sol Bekler'!B26="","",'Sol Bekler'!B26)</f>
        <v/>
      </c>
      <c r="C324" s="2" t="str">
        <f>IF('Sol Bekler'!C26="","",'Sol Bekler'!C26)</f>
        <v/>
      </c>
      <c r="D324" t="str">
        <f ca="1">IF('Sol Bekler'!D26="","",'Sol Bekler'!D26)</f>
        <v/>
      </c>
      <c r="E324" t="str">
        <f>IF('Sol Bekler'!E26="","",'Sol Bekler'!E26)</f>
        <v>Sol Bek</v>
      </c>
      <c r="F324" t="str">
        <f>IF('Sol Bekler'!G26="","",'Sol Bekler'!G26)</f>
        <v/>
      </c>
      <c r="G324" s="2" t="str">
        <f>IF('Sol Bekler'!H26="","",'Sol Bekler'!H26)</f>
        <v/>
      </c>
      <c r="H324" t="str">
        <f>IF('Sol Bekler'!I26="","",'Sol Bekler'!I26)</f>
        <v/>
      </c>
      <c r="I324" t="str">
        <f>IF('Sol Bekler'!A26="","",'Sol Bekler'!J26)</f>
        <v/>
      </c>
      <c r="J324" t="str">
        <f>IF('Sol Bekler'!A26="","",'Sol Bekler'!K26)</f>
        <v/>
      </c>
      <c r="K324" t="str">
        <f>IF('Sol Bekler'!L26="","",'Sol Bekler'!L26)</f>
        <v/>
      </c>
      <c r="L324" t="str">
        <f>IF('Sol Bekler'!M26="","",'Sol Bekler'!M26)</f>
        <v/>
      </c>
      <c r="M324" t="str">
        <f>IF('Sol Bekler'!N26="","",'Sol Bekler'!N26)</f>
        <v/>
      </c>
      <c r="N324" t="str">
        <f>IF('Sol Bekler'!O26="","",'Sol Bekler'!O26)</f>
        <v/>
      </c>
      <c r="O324" t="str">
        <f>IF('Sol Bekler'!P26="","",'Sol Bekler'!P26)</f>
        <v/>
      </c>
      <c r="P324" t="str">
        <f>IF('Sol Bekler'!Q26="","",'Sol Bekler'!Q26)</f>
        <v/>
      </c>
      <c r="Q324" t="str">
        <f>IF('Sol Bekler'!R26="","",'Sol Bekler'!R26)</f>
        <v/>
      </c>
      <c r="R324" t="str">
        <f>IF('Sol Bekler'!S26="","",'Sol Bekler'!S26)</f>
        <v/>
      </c>
      <c r="S324" t="str">
        <f>IF('Sol Bekler'!T26="","",'Sol Bekler'!T26)</f>
        <v/>
      </c>
      <c r="T324" s="2" t="str">
        <f>IF('Sol Bekler'!U26="","",'Sol Bekler'!U26)</f>
        <v/>
      </c>
      <c r="U324" t="s">
        <v>929</v>
      </c>
      <c r="V324">
        <v>26</v>
      </c>
      <c r="W324" t="str">
        <f ca="1">IF(AND($A324&lt;&gt;"",ISNUMBER($G324),$G324&gt;=TODAY(),$G324&lt;=EDATE(TODAY(),12)),COUNTIFS($G$2:$G$1001,"&gt;="&amp;TODAY(),$G$2:$G$1001,"&lt;"&amp;$G324,$A$2:$A$1001,"&lt;&gt;")+COUNTIFS($G$2:$G324,$G324,$A$2:$A324,"&lt;&gt;"),"")</f>
        <v/>
      </c>
      <c r="X324" t="str">
        <f>IF(AND($A324&lt;&gt;"",ISNUMBER($C324),$C324&gt;=DATE(2003,1,1)),COUNTIFS($C$2:$C324,"&gt;="&amp;DATE(2003,1,1),$A$2:$A324,"&lt;&gt;"),"")</f>
        <v/>
      </c>
    </row>
    <row r="325" spans="1:24">
      <c r="A325" t="str">
        <f>IF('Sol Bekler'!A27="","",'Sol Bekler'!A27)</f>
        <v/>
      </c>
      <c r="B325" t="str">
        <f>IF('Sol Bekler'!B27="","",'Sol Bekler'!B27)</f>
        <v/>
      </c>
      <c r="C325" s="2" t="str">
        <f>IF('Sol Bekler'!C27="","",'Sol Bekler'!C27)</f>
        <v/>
      </c>
      <c r="D325" t="str">
        <f ca="1">IF('Sol Bekler'!D27="","",'Sol Bekler'!D27)</f>
        <v/>
      </c>
      <c r="E325" t="str">
        <f>IF('Sol Bekler'!E27="","",'Sol Bekler'!E27)</f>
        <v>Sol Bek</v>
      </c>
      <c r="F325" t="str">
        <f>IF('Sol Bekler'!G27="","",'Sol Bekler'!G27)</f>
        <v/>
      </c>
      <c r="G325" s="2" t="str">
        <f>IF('Sol Bekler'!H27="","",'Sol Bekler'!H27)</f>
        <v/>
      </c>
      <c r="H325" t="str">
        <f>IF('Sol Bekler'!I27="","",'Sol Bekler'!I27)</f>
        <v/>
      </c>
      <c r="I325" t="str">
        <f>IF('Sol Bekler'!A27="","",'Sol Bekler'!J27)</f>
        <v/>
      </c>
      <c r="J325" t="str">
        <f>IF('Sol Bekler'!A27="","",'Sol Bekler'!K27)</f>
        <v/>
      </c>
      <c r="K325" t="str">
        <f>IF('Sol Bekler'!L27="","",'Sol Bekler'!L27)</f>
        <v/>
      </c>
      <c r="L325" t="str">
        <f>IF('Sol Bekler'!M27="","",'Sol Bekler'!M27)</f>
        <v/>
      </c>
      <c r="M325" t="str">
        <f>IF('Sol Bekler'!N27="","",'Sol Bekler'!N27)</f>
        <v/>
      </c>
      <c r="N325" t="str">
        <f>IF('Sol Bekler'!O27="","",'Sol Bekler'!O27)</f>
        <v/>
      </c>
      <c r="O325" t="str">
        <f>IF('Sol Bekler'!P27="","",'Sol Bekler'!P27)</f>
        <v/>
      </c>
      <c r="P325" t="str">
        <f>IF('Sol Bekler'!Q27="","",'Sol Bekler'!Q27)</f>
        <v/>
      </c>
      <c r="Q325" t="str">
        <f>IF('Sol Bekler'!R27="","",'Sol Bekler'!R27)</f>
        <v/>
      </c>
      <c r="R325" t="str">
        <f>IF('Sol Bekler'!S27="","",'Sol Bekler'!S27)</f>
        <v/>
      </c>
      <c r="S325" t="str">
        <f>IF('Sol Bekler'!T27="","",'Sol Bekler'!T27)</f>
        <v/>
      </c>
      <c r="T325" s="2" t="str">
        <f>IF('Sol Bekler'!U27="","",'Sol Bekler'!U27)</f>
        <v/>
      </c>
      <c r="U325" t="s">
        <v>929</v>
      </c>
      <c r="V325">
        <v>27</v>
      </c>
      <c r="W325" t="str">
        <f ca="1">IF(AND($A325&lt;&gt;"",ISNUMBER($G325),$G325&gt;=TODAY(),$G325&lt;=EDATE(TODAY(),12)),COUNTIFS($G$2:$G$1001,"&gt;="&amp;TODAY(),$G$2:$G$1001,"&lt;"&amp;$G325,$A$2:$A$1001,"&lt;&gt;")+COUNTIFS($G$2:$G325,$G325,$A$2:$A325,"&lt;&gt;"),"")</f>
        <v/>
      </c>
      <c r="X325" t="str">
        <f>IF(AND($A325&lt;&gt;"",ISNUMBER($C325),$C325&gt;=DATE(2003,1,1)),COUNTIFS($C$2:$C325,"&gt;="&amp;DATE(2003,1,1),$A$2:$A325,"&lt;&gt;"),"")</f>
        <v/>
      </c>
    </row>
    <row r="326" spans="1:24">
      <c r="A326" t="str">
        <f>IF('Sol Bekler'!A28="","",'Sol Bekler'!A28)</f>
        <v/>
      </c>
      <c r="B326" t="str">
        <f>IF('Sol Bekler'!B28="","",'Sol Bekler'!B28)</f>
        <v/>
      </c>
      <c r="C326" s="2" t="str">
        <f>IF('Sol Bekler'!C28="","",'Sol Bekler'!C28)</f>
        <v/>
      </c>
      <c r="D326" t="str">
        <f ca="1">IF('Sol Bekler'!D28="","",'Sol Bekler'!D28)</f>
        <v/>
      </c>
      <c r="E326" t="str">
        <f>IF('Sol Bekler'!E28="","",'Sol Bekler'!E28)</f>
        <v>Sol Bek</v>
      </c>
      <c r="F326" t="str">
        <f>IF('Sol Bekler'!G28="","",'Sol Bekler'!G28)</f>
        <v/>
      </c>
      <c r="G326" s="2" t="str">
        <f>IF('Sol Bekler'!H28="","",'Sol Bekler'!H28)</f>
        <v/>
      </c>
      <c r="H326" t="str">
        <f>IF('Sol Bekler'!I28="","",'Sol Bekler'!I28)</f>
        <v/>
      </c>
      <c r="I326" t="str">
        <f>IF('Sol Bekler'!A28="","",'Sol Bekler'!J28)</f>
        <v/>
      </c>
      <c r="J326" t="str">
        <f>IF('Sol Bekler'!A28="","",'Sol Bekler'!K28)</f>
        <v/>
      </c>
      <c r="K326" t="str">
        <f>IF('Sol Bekler'!L28="","",'Sol Bekler'!L28)</f>
        <v/>
      </c>
      <c r="L326" t="str">
        <f>IF('Sol Bekler'!M28="","",'Sol Bekler'!M28)</f>
        <v/>
      </c>
      <c r="M326" t="str">
        <f>IF('Sol Bekler'!N28="","",'Sol Bekler'!N28)</f>
        <v/>
      </c>
      <c r="N326" t="str">
        <f>IF('Sol Bekler'!O28="","",'Sol Bekler'!O28)</f>
        <v/>
      </c>
      <c r="O326" t="str">
        <f>IF('Sol Bekler'!P28="","",'Sol Bekler'!P28)</f>
        <v/>
      </c>
      <c r="P326" t="str">
        <f>IF('Sol Bekler'!Q28="","",'Sol Bekler'!Q28)</f>
        <v/>
      </c>
      <c r="Q326" t="str">
        <f>IF('Sol Bekler'!R28="","",'Sol Bekler'!R28)</f>
        <v/>
      </c>
      <c r="R326" t="str">
        <f>IF('Sol Bekler'!S28="","",'Sol Bekler'!S28)</f>
        <v/>
      </c>
      <c r="S326" t="str">
        <f>IF('Sol Bekler'!T28="","",'Sol Bekler'!T28)</f>
        <v/>
      </c>
      <c r="T326" s="2" t="str">
        <f>IF('Sol Bekler'!U28="","",'Sol Bekler'!U28)</f>
        <v/>
      </c>
      <c r="U326" t="s">
        <v>929</v>
      </c>
      <c r="V326">
        <v>28</v>
      </c>
      <c r="W326" t="str">
        <f ca="1">IF(AND($A326&lt;&gt;"",ISNUMBER($G326),$G326&gt;=TODAY(),$G326&lt;=EDATE(TODAY(),12)),COUNTIFS($G$2:$G$1001,"&gt;="&amp;TODAY(),$G$2:$G$1001,"&lt;"&amp;$G326,$A$2:$A$1001,"&lt;&gt;")+COUNTIFS($G$2:$G326,$G326,$A$2:$A326,"&lt;&gt;"),"")</f>
        <v/>
      </c>
      <c r="X326" t="str">
        <f>IF(AND($A326&lt;&gt;"",ISNUMBER($C326),$C326&gt;=DATE(2003,1,1)),COUNTIFS($C$2:$C326,"&gt;="&amp;DATE(2003,1,1),$A$2:$A326,"&lt;&gt;"),"")</f>
        <v/>
      </c>
    </row>
    <row r="327" spans="1:24">
      <c r="A327" t="str">
        <f>IF('Sol Bekler'!A29="","",'Sol Bekler'!A29)</f>
        <v/>
      </c>
      <c r="B327" t="str">
        <f>IF('Sol Bekler'!B29="","",'Sol Bekler'!B29)</f>
        <v/>
      </c>
      <c r="C327" s="2" t="str">
        <f>IF('Sol Bekler'!C29="","",'Sol Bekler'!C29)</f>
        <v/>
      </c>
      <c r="D327" t="str">
        <f ca="1">IF('Sol Bekler'!D29="","",'Sol Bekler'!D29)</f>
        <v/>
      </c>
      <c r="E327" t="str">
        <f>IF('Sol Bekler'!E29="","",'Sol Bekler'!E29)</f>
        <v>Sol Bek</v>
      </c>
      <c r="F327" t="str">
        <f>IF('Sol Bekler'!G29="","",'Sol Bekler'!G29)</f>
        <v/>
      </c>
      <c r="G327" s="2" t="str">
        <f>IF('Sol Bekler'!H29="","",'Sol Bekler'!H29)</f>
        <v/>
      </c>
      <c r="H327" t="str">
        <f>IF('Sol Bekler'!I29="","",'Sol Bekler'!I29)</f>
        <v/>
      </c>
      <c r="I327" t="str">
        <f>IF('Sol Bekler'!A29="","",'Sol Bekler'!J29)</f>
        <v/>
      </c>
      <c r="J327" t="str">
        <f>IF('Sol Bekler'!A29="","",'Sol Bekler'!K29)</f>
        <v/>
      </c>
      <c r="K327" t="str">
        <f>IF('Sol Bekler'!L29="","",'Sol Bekler'!L29)</f>
        <v/>
      </c>
      <c r="L327" t="str">
        <f>IF('Sol Bekler'!M29="","",'Sol Bekler'!M29)</f>
        <v/>
      </c>
      <c r="M327" t="str">
        <f>IF('Sol Bekler'!N29="","",'Sol Bekler'!N29)</f>
        <v/>
      </c>
      <c r="N327" t="str">
        <f>IF('Sol Bekler'!O29="","",'Sol Bekler'!O29)</f>
        <v/>
      </c>
      <c r="O327" t="str">
        <f>IF('Sol Bekler'!P29="","",'Sol Bekler'!P29)</f>
        <v/>
      </c>
      <c r="P327" t="str">
        <f>IF('Sol Bekler'!Q29="","",'Sol Bekler'!Q29)</f>
        <v/>
      </c>
      <c r="Q327" t="str">
        <f>IF('Sol Bekler'!R29="","",'Sol Bekler'!R29)</f>
        <v/>
      </c>
      <c r="R327" t="str">
        <f>IF('Sol Bekler'!S29="","",'Sol Bekler'!S29)</f>
        <v/>
      </c>
      <c r="S327" t="str">
        <f>IF('Sol Bekler'!T29="","",'Sol Bekler'!T29)</f>
        <v/>
      </c>
      <c r="T327" s="2" t="str">
        <f>IF('Sol Bekler'!U29="","",'Sol Bekler'!U29)</f>
        <v/>
      </c>
      <c r="U327" t="s">
        <v>929</v>
      </c>
      <c r="V327">
        <v>29</v>
      </c>
      <c r="W327" t="str">
        <f ca="1">IF(AND($A327&lt;&gt;"",ISNUMBER($G327),$G327&gt;=TODAY(),$G327&lt;=EDATE(TODAY(),12)),COUNTIFS($G$2:$G$1001,"&gt;="&amp;TODAY(),$G$2:$G$1001,"&lt;"&amp;$G327,$A$2:$A$1001,"&lt;&gt;")+COUNTIFS($G$2:$G327,$G327,$A$2:$A327,"&lt;&gt;"),"")</f>
        <v/>
      </c>
      <c r="X327" t="str">
        <f>IF(AND($A327&lt;&gt;"",ISNUMBER($C327),$C327&gt;=DATE(2003,1,1)),COUNTIFS($C$2:$C327,"&gt;="&amp;DATE(2003,1,1),$A$2:$A327,"&lt;&gt;"),"")</f>
        <v/>
      </c>
    </row>
    <row r="328" spans="1:24">
      <c r="A328" t="str">
        <f>IF('Sol Bekler'!A30="","",'Sol Bekler'!A30)</f>
        <v/>
      </c>
      <c r="B328" t="str">
        <f>IF('Sol Bekler'!B30="","",'Sol Bekler'!B30)</f>
        <v/>
      </c>
      <c r="C328" s="2" t="str">
        <f>IF('Sol Bekler'!C30="","",'Sol Bekler'!C30)</f>
        <v/>
      </c>
      <c r="D328" t="str">
        <f ca="1">IF('Sol Bekler'!D30="","",'Sol Bekler'!D30)</f>
        <v/>
      </c>
      <c r="E328" t="str">
        <f>IF('Sol Bekler'!E30="","",'Sol Bekler'!E30)</f>
        <v>Sol Bek</v>
      </c>
      <c r="F328" t="str">
        <f>IF('Sol Bekler'!G30="","",'Sol Bekler'!G30)</f>
        <v/>
      </c>
      <c r="G328" s="2" t="str">
        <f>IF('Sol Bekler'!H30="","",'Sol Bekler'!H30)</f>
        <v/>
      </c>
      <c r="H328" t="str">
        <f>IF('Sol Bekler'!I30="","",'Sol Bekler'!I30)</f>
        <v/>
      </c>
      <c r="I328" t="str">
        <f>IF('Sol Bekler'!A30="","",'Sol Bekler'!J30)</f>
        <v/>
      </c>
      <c r="J328" t="str">
        <f>IF('Sol Bekler'!A30="","",'Sol Bekler'!K30)</f>
        <v/>
      </c>
      <c r="K328" t="str">
        <f>IF('Sol Bekler'!L30="","",'Sol Bekler'!L30)</f>
        <v/>
      </c>
      <c r="L328" t="str">
        <f>IF('Sol Bekler'!M30="","",'Sol Bekler'!M30)</f>
        <v/>
      </c>
      <c r="M328" t="str">
        <f>IF('Sol Bekler'!N30="","",'Sol Bekler'!N30)</f>
        <v/>
      </c>
      <c r="N328" t="str">
        <f>IF('Sol Bekler'!O30="","",'Sol Bekler'!O30)</f>
        <v/>
      </c>
      <c r="O328" t="str">
        <f>IF('Sol Bekler'!P30="","",'Sol Bekler'!P30)</f>
        <v/>
      </c>
      <c r="P328" t="str">
        <f>IF('Sol Bekler'!Q30="","",'Sol Bekler'!Q30)</f>
        <v/>
      </c>
      <c r="Q328" t="str">
        <f>IF('Sol Bekler'!R30="","",'Sol Bekler'!R30)</f>
        <v/>
      </c>
      <c r="R328" t="str">
        <f>IF('Sol Bekler'!S30="","",'Sol Bekler'!S30)</f>
        <v/>
      </c>
      <c r="S328" t="str">
        <f>IF('Sol Bekler'!T30="","",'Sol Bekler'!T30)</f>
        <v/>
      </c>
      <c r="T328" s="2" t="str">
        <f>IF('Sol Bekler'!U30="","",'Sol Bekler'!U30)</f>
        <v/>
      </c>
      <c r="U328" t="s">
        <v>929</v>
      </c>
      <c r="V328">
        <v>30</v>
      </c>
      <c r="W328" t="str">
        <f ca="1">IF(AND($A328&lt;&gt;"",ISNUMBER($G328),$G328&gt;=TODAY(),$G328&lt;=EDATE(TODAY(),12)),COUNTIFS($G$2:$G$1001,"&gt;="&amp;TODAY(),$G$2:$G$1001,"&lt;"&amp;$G328,$A$2:$A$1001,"&lt;&gt;")+COUNTIFS($G$2:$G328,$G328,$A$2:$A328,"&lt;&gt;"),"")</f>
        <v/>
      </c>
      <c r="X328" t="str">
        <f>IF(AND($A328&lt;&gt;"",ISNUMBER($C328),$C328&gt;=DATE(2003,1,1)),COUNTIFS($C$2:$C328,"&gt;="&amp;DATE(2003,1,1),$A$2:$A328,"&lt;&gt;"),"")</f>
        <v/>
      </c>
    </row>
    <row r="329" spans="1:24">
      <c r="A329" t="str">
        <f>IF('Sol Bekler'!A31="","",'Sol Bekler'!A31)</f>
        <v/>
      </c>
      <c r="B329" t="str">
        <f>IF('Sol Bekler'!B31="","",'Sol Bekler'!B31)</f>
        <v/>
      </c>
      <c r="C329" s="2" t="str">
        <f>IF('Sol Bekler'!C31="","",'Sol Bekler'!C31)</f>
        <v/>
      </c>
      <c r="D329" t="str">
        <f ca="1">IF('Sol Bekler'!D31="","",'Sol Bekler'!D31)</f>
        <v/>
      </c>
      <c r="E329" t="str">
        <f>IF('Sol Bekler'!E31="","",'Sol Bekler'!E31)</f>
        <v>Sol Bek</v>
      </c>
      <c r="F329" t="str">
        <f>IF('Sol Bekler'!G31="","",'Sol Bekler'!G31)</f>
        <v/>
      </c>
      <c r="G329" s="2" t="str">
        <f>IF('Sol Bekler'!H31="","",'Sol Bekler'!H31)</f>
        <v/>
      </c>
      <c r="H329" t="str">
        <f>IF('Sol Bekler'!I31="","",'Sol Bekler'!I31)</f>
        <v/>
      </c>
      <c r="I329" t="str">
        <f>IF('Sol Bekler'!A31="","",'Sol Bekler'!J31)</f>
        <v/>
      </c>
      <c r="J329" t="str">
        <f>IF('Sol Bekler'!A31="","",'Sol Bekler'!K31)</f>
        <v/>
      </c>
      <c r="K329" t="str">
        <f>IF('Sol Bekler'!L31="","",'Sol Bekler'!L31)</f>
        <v/>
      </c>
      <c r="L329" t="str">
        <f>IF('Sol Bekler'!M31="","",'Sol Bekler'!M31)</f>
        <v/>
      </c>
      <c r="M329" t="str">
        <f>IF('Sol Bekler'!N31="","",'Sol Bekler'!N31)</f>
        <v/>
      </c>
      <c r="N329" t="str">
        <f>IF('Sol Bekler'!O31="","",'Sol Bekler'!O31)</f>
        <v/>
      </c>
      <c r="O329" t="str">
        <f>IF('Sol Bekler'!P31="","",'Sol Bekler'!P31)</f>
        <v/>
      </c>
      <c r="P329" t="str">
        <f>IF('Sol Bekler'!Q31="","",'Sol Bekler'!Q31)</f>
        <v/>
      </c>
      <c r="Q329" t="str">
        <f>IF('Sol Bekler'!R31="","",'Sol Bekler'!R31)</f>
        <v/>
      </c>
      <c r="R329" t="str">
        <f>IF('Sol Bekler'!S31="","",'Sol Bekler'!S31)</f>
        <v/>
      </c>
      <c r="S329" t="str">
        <f>IF('Sol Bekler'!T31="","",'Sol Bekler'!T31)</f>
        <v/>
      </c>
      <c r="T329" s="2" t="str">
        <f>IF('Sol Bekler'!U31="","",'Sol Bekler'!U31)</f>
        <v/>
      </c>
      <c r="U329" t="s">
        <v>929</v>
      </c>
      <c r="V329">
        <v>31</v>
      </c>
      <c r="W329" t="str">
        <f ca="1">IF(AND($A329&lt;&gt;"",ISNUMBER($G329),$G329&gt;=TODAY(),$G329&lt;=EDATE(TODAY(),12)),COUNTIFS($G$2:$G$1001,"&gt;="&amp;TODAY(),$G$2:$G$1001,"&lt;"&amp;$G329,$A$2:$A$1001,"&lt;&gt;")+COUNTIFS($G$2:$G329,$G329,$A$2:$A329,"&lt;&gt;"),"")</f>
        <v/>
      </c>
      <c r="X329" t="str">
        <f>IF(AND($A329&lt;&gt;"",ISNUMBER($C329),$C329&gt;=DATE(2003,1,1)),COUNTIFS($C$2:$C329,"&gt;="&amp;DATE(2003,1,1),$A$2:$A329,"&lt;&gt;"),"")</f>
        <v/>
      </c>
    </row>
    <row r="330" spans="1:24">
      <c r="A330" t="str">
        <f>IF('Sol Bekler'!A32="","",'Sol Bekler'!A32)</f>
        <v/>
      </c>
      <c r="B330" t="str">
        <f>IF('Sol Bekler'!B32="","",'Sol Bekler'!B32)</f>
        <v/>
      </c>
      <c r="C330" s="2" t="str">
        <f>IF('Sol Bekler'!C32="","",'Sol Bekler'!C32)</f>
        <v/>
      </c>
      <c r="D330" t="str">
        <f ca="1">IF('Sol Bekler'!D32="","",'Sol Bekler'!D32)</f>
        <v/>
      </c>
      <c r="E330" t="str">
        <f>IF('Sol Bekler'!E32="","",'Sol Bekler'!E32)</f>
        <v>Sol Bek</v>
      </c>
      <c r="F330" t="str">
        <f>IF('Sol Bekler'!G32="","",'Sol Bekler'!G32)</f>
        <v/>
      </c>
      <c r="G330" s="2" t="str">
        <f>IF('Sol Bekler'!H32="","",'Sol Bekler'!H32)</f>
        <v/>
      </c>
      <c r="H330" t="str">
        <f>IF('Sol Bekler'!I32="","",'Sol Bekler'!I32)</f>
        <v/>
      </c>
      <c r="I330" t="str">
        <f>IF('Sol Bekler'!A32="","",'Sol Bekler'!J32)</f>
        <v/>
      </c>
      <c r="J330" t="str">
        <f>IF('Sol Bekler'!A32="","",'Sol Bekler'!K32)</f>
        <v/>
      </c>
      <c r="K330" t="str">
        <f>IF('Sol Bekler'!L32="","",'Sol Bekler'!L32)</f>
        <v/>
      </c>
      <c r="L330" t="str">
        <f>IF('Sol Bekler'!M32="","",'Sol Bekler'!M32)</f>
        <v/>
      </c>
      <c r="M330" t="str">
        <f>IF('Sol Bekler'!N32="","",'Sol Bekler'!N32)</f>
        <v/>
      </c>
      <c r="N330" t="str">
        <f>IF('Sol Bekler'!O32="","",'Sol Bekler'!O32)</f>
        <v/>
      </c>
      <c r="O330" t="str">
        <f>IF('Sol Bekler'!P32="","",'Sol Bekler'!P32)</f>
        <v/>
      </c>
      <c r="P330" t="str">
        <f>IF('Sol Bekler'!Q32="","",'Sol Bekler'!Q32)</f>
        <v/>
      </c>
      <c r="Q330" t="str">
        <f>IF('Sol Bekler'!R32="","",'Sol Bekler'!R32)</f>
        <v/>
      </c>
      <c r="R330" t="str">
        <f>IF('Sol Bekler'!S32="","",'Sol Bekler'!S32)</f>
        <v/>
      </c>
      <c r="S330" t="str">
        <f>IF('Sol Bekler'!T32="","",'Sol Bekler'!T32)</f>
        <v/>
      </c>
      <c r="T330" s="2" t="str">
        <f>IF('Sol Bekler'!U32="","",'Sol Bekler'!U32)</f>
        <v/>
      </c>
      <c r="U330" t="s">
        <v>929</v>
      </c>
      <c r="V330">
        <v>32</v>
      </c>
      <c r="W330" t="str">
        <f ca="1">IF(AND($A330&lt;&gt;"",ISNUMBER($G330),$G330&gt;=TODAY(),$G330&lt;=EDATE(TODAY(),12)),COUNTIFS($G$2:$G$1001,"&gt;="&amp;TODAY(),$G$2:$G$1001,"&lt;"&amp;$G330,$A$2:$A$1001,"&lt;&gt;")+COUNTIFS($G$2:$G330,$G330,$A$2:$A330,"&lt;&gt;"),"")</f>
        <v/>
      </c>
      <c r="X330" t="str">
        <f>IF(AND($A330&lt;&gt;"",ISNUMBER($C330),$C330&gt;=DATE(2003,1,1)),COUNTIFS($C$2:$C330,"&gt;="&amp;DATE(2003,1,1),$A$2:$A330,"&lt;&gt;"),"")</f>
        <v/>
      </c>
    </row>
    <row r="331" spans="1:24">
      <c r="A331" t="str">
        <f>IF('Sol Bekler'!A33="","",'Sol Bekler'!A33)</f>
        <v/>
      </c>
      <c r="B331" t="str">
        <f>IF('Sol Bekler'!B33="","",'Sol Bekler'!B33)</f>
        <v/>
      </c>
      <c r="C331" s="2" t="str">
        <f>IF('Sol Bekler'!C33="","",'Sol Bekler'!C33)</f>
        <v/>
      </c>
      <c r="D331" t="str">
        <f ca="1">IF('Sol Bekler'!D33="","",'Sol Bekler'!D33)</f>
        <v/>
      </c>
      <c r="E331" t="str">
        <f>IF('Sol Bekler'!E33="","",'Sol Bekler'!E33)</f>
        <v>Sol Bek</v>
      </c>
      <c r="F331" t="str">
        <f>IF('Sol Bekler'!G33="","",'Sol Bekler'!G33)</f>
        <v/>
      </c>
      <c r="G331" s="2" t="str">
        <f>IF('Sol Bekler'!H33="","",'Sol Bekler'!H33)</f>
        <v/>
      </c>
      <c r="H331" t="str">
        <f>IF('Sol Bekler'!I33="","",'Sol Bekler'!I33)</f>
        <v/>
      </c>
      <c r="I331" t="str">
        <f>IF('Sol Bekler'!A33="","",'Sol Bekler'!J33)</f>
        <v/>
      </c>
      <c r="J331" t="str">
        <f>IF('Sol Bekler'!A33="","",'Sol Bekler'!K33)</f>
        <v/>
      </c>
      <c r="K331" t="str">
        <f>IF('Sol Bekler'!L33="","",'Sol Bekler'!L33)</f>
        <v/>
      </c>
      <c r="L331" t="str">
        <f>IF('Sol Bekler'!M33="","",'Sol Bekler'!M33)</f>
        <v/>
      </c>
      <c r="M331" t="str">
        <f>IF('Sol Bekler'!N33="","",'Sol Bekler'!N33)</f>
        <v/>
      </c>
      <c r="N331" t="str">
        <f>IF('Sol Bekler'!O33="","",'Sol Bekler'!O33)</f>
        <v/>
      </c>
      <c r="O331" t="str">
        <f>IF('Sol Bekler'!P33="","",'Sol Bekler'!P33)</f>
        <v/>
      </c>
      <c r="P331" t="str">
        <f>IF('Sol Bekler'!Q33="","",'Sol Bekler'!Q33)</f>
        <v/>
      </c>
      <c r="Q331" t="str">
        <f>IF('Sol Bekler'!R33="","",'Sol Bekler'!R33)</f>
        <v/>
      </c>
      <c r="R331" t="str">
        <f>IF('Sol Bekler'!S33="","",'Sol Bekler'!S33)</f>
        <v/>
      </c>
      <c r="S331" t="str">
        <f>IF('Sol Bekler'!T33="","",'Sol Bekler'!T33)</f>
        <v/>
      </c>
      <c r="T331" s="2" t="str">
        <f>IF('Sol Bekler'!U33="","",'Sol Bekler'!U33)</f>
        <v/>
      </c>
      <c r="U331" t="s">
        <v>929</v>
      </c>
      <c r="V331">
        <v>33</v>
      </c>
      <c r="W331" t="str">
        <f ca="1">IF(AND($A331&lt;&gt;"",ISNUMBER($G331),$G331&gt;=TODAY(),$G331&lt;=EDATE(TODAY(),12)),COUNTIFS($G$2:$G$1001,"&gt;="&amp;TODAY(),$G$2:$G$1001,"&lt;"&amp;$G331,$A$2:$A$1001,"&lt;&gt;")+COUNTIFS($G$2:$G331,$G331,$A$2:$A331,"&lt;&gt;"),"")</f>
        <v/>
      </c>
      <c r="X331" t="str">
        <f>IF(AND($A331&lt;&gt;"",ISNUMBER($C331),$C331&gt;=DATE(2003,1,1)),COUNTIFS($C$2:$C331,"&gt;="&amp;DATE(2003,1,1),$A$2:$A331,"&lt;&gt;"),"")</f>
        <v/>
      </c>
    </row>
    <row r="332" spans="1:24">
      <c r="A332" t="str">
        <f>IF('Sol Bekler'!A34="","",'Sol Bekler'!A34)</f>
        <v/>
      </c>
      <c r="B332" t="str">
        <f>IF('Sol Bekler'!B34="","",'Sol Bekler'!B34)</f>
        <v/>
      </c>
      <c r="C332" s="2" t="str">
        <f>IF('Sol Bekler'!C34="","",'Sol Bekler'!C34)</f>
        <v/>
      </c>
      <c r="D332" t="str">
        <f ca="1">IF('Sol Bekler'!D34="","",'Sol Bekler'!D34)</f>
        <v/>
      </c>
      <c r="E332" t="str">
        <f>IF('Sol Bekler'!E34="","",'Sol Bekler'!E34)</f>
        <v>Sol Bek</v>
      </c>
      <c r="F332" t="str">
        <f>IF('Sol Bekler'!G34="","",'Sol Bekler'!G34)</f>
        <v/>
      </c>
      <c r="G332" s="2" t="str">
        <f>IF('Sol Bekler'!H34="","",'Sol Bekler'!H34)</f>
        <v/>
      </c>
      <c r="H332" t="str">
        <f>IF('Sol Bekler'!I34="","",'Sol Bekler'!I34)</f>
        <v/>
      </c>
      <c r="I332" t="str">
        <f>IF('Sol Bekler'!A34="","",'Sol Bekler'!J34)</f>
        <v/>
      </c>
      <c r="J332" t="str">
        <f>IF('Sol Bekler'!A34="","",'Sol Bekler'!K34)</f>
        <v/>
      </c>
      <c r="K332" t="str">
        <f>IF('Sol Bekler'!L34="","",'Sol Bekler'!L34)</f>
        <v/>
      </c>
      <c r="L332" t="str">
        <f>IF('Sol Bekler'!M34="","",'Sol Bekler'!M34)</f>
        <v/>
      </c>
      <c r="M332" t="str">
        <f>IF('Sol Bekler'!N34="","",'Sol Bekler'!N34)</f>
        <v/>
      </c>
      <c r="N332" t="str">
        <f>IF('Sol Bekler'!O34="","",'Sol Bekler'!O34)</f>
        <v/>
      </c>
      <c r="O332" t="str">
        <f>IF('Sol Bekler'!P34="","",'Sol Bekler'!P34)</f>
        <v/>
      </c>
      <c r="P332" t="str">
        <f>IF('Sol Bekler'!Q34="","",'Sol Bekler'!Q34)</f>
        <v/>
      </c>
      <c r="Q332" t="str">
        <f>IF('Sol Bekler'!R34="","",'Sol Bekler'!R34)</f>
        <v/>
      </c>
      <c r="R332" t="str">
        <f>IF('Sol Bekler'!S34="","",'Sol Bekler'!S34)</f>
        <v/>
      </c>
      <c r="S332" t="str">
        <f>IF('Sol Bekler'!T34="","",'Sol Bekler'!T34)</f>
        <v/>
      </c>
      <c r="T332" s="2" t="str">
        <f>IF('Sol Bekler'!U34="","",'Sol Bekler'!U34)</f>
        <v/>
      </c>
      <c r="U332" t="s">
        <v>929</v>
      </c>
      <c r="V332">
        <v>34</v>
      </c>
      <c r="W332" t="str">
        <f ca="1">IF(AND($A332&lt;&gt;"",ISNUMBER($G332),$G332&gt;=TODAY(),$G332&lt;=EDATE(TODAY(),12)),COUNTIFS($G$2:$G$1001,"&gt;="&amp;TODAY(),$G$2:$G$1001,"&lt;"&amp;$G332,$A$2:$A$1001,"&lt;&gt;")+COUNTIFS($G$2:$G332,$G332,$A$2:$A332,"&lt;&gt;"),"")</f>
        <v/>
      </c>
      <c r="X332" t="str">
        <f>IF(AND($A332&lt;&gt;"",ISNUMBER($C332),$C332&gt;=DATE(2003,1,1)),COUNTIFS($C$2:$C332,"&gt;="&amp;DATE(2003,1,1),$A$2:$A332,"&lt;&gt;"),"")</f>
        <v/>
      </c>
    </row>
    <row r="333" spans="1:24">
      <c r="A333" t="str">
        <f>IF('Sol Bekler'!A35="","",'Sol Bekler'!A35)</f>
        <v/>
      </c>
      <c r="B333" t="str">
        <f>IF('Sol Bekler'!B35="","",'Sol Bekler'!B35)</f>
        <v/>
      </c>
      <c r="C333" s="2" t="str">
        <f>IF('Sol Bekler'!C35="","",'Sol Bekler'!C35)</f>
        <v/>
      </c>
      <c r="D333" t="str">
        <f ca="1">IF('Sol Bekler'!D35="","",'Sol Bekler'!D35)</f>
        <v/>
      </c>
      <c r="E333" t="str">
        <f>IF('Sol Bekler'!E35="","",'Sol Bekler'!E35)</f>
        <v>Sol Bek</v>
      </c>
      <c r="F333" t="str">
        <f>IF('Sol Bekler'!G35="","",'Sol Bekler'!G35)</f>
        <v/>
      </c>
      <c r="G333" s="2" t="str">
        <f>IF('Sol Bekler'!H35="","",'Sol Bekler'!H35)</f>
        <v/>
      </c>
      <c r="H333" t="str">
        <f>IF('Sol Bekler'!I35="","",'Sol Bekler'!I35)</f>
        <v/>
      </c>
      <c r="I333" t="str">
        <f>IF('Sol Bekler'!A35="","",'Sol Bekler'!J35)</f>
        <v/>
      </c>
      <c r="J333" t="str">
        <f>IF('Sol Bekler'!A35="","",'Sol Bekler'!K35)</f>
        <v/>
      </c>
      <c r="K333" t="str">
        <f>IF('Sol Bekler'!L35="","",'Sol Bekler'!L35)</f>
        <v/>
      </c>
      <c r="L333" t="str">
        <f>IF('Sol Bekler'!M35="","",'Sol Bekler'!M35)</f>
        <v/>
      </c>
      <c r="M333" t="str">
        <f>IF('Sol Bekler'!N35="","",'Sol Bekler'!N35)</f>
        <v/>
      </c>
      <c r="N333" t="str">
        <f>IF('Sol Bekler'!O35="","",'Sol Bekler'!O35)</f>
        <v/>
      </c>
      <c r="O333" t="str">
        <f>IF('Sol Bekler'!P35="","",'Sol Bekler'!P35)</f>
        <v/>
      </c>
      <c r="P333" t="str">
        <f>IF('Sol Bekler'!Q35="","",'Sol Bekler'!Q35)</f>
        <v/>
      </c>
      <c r="Q333" t="str">
        <f>IF('Sol Bekler'!R35="","",'Sol Bekler'!R35)</f>
        <v/>
      </c>
      <c r="R333" t="str">
        <f>IF('Sol Bekler'!S35="","",'Sol Bekler'!S35)</f>
        <v/>
      </c>
      <c r="S333" t="str">
        <f>IF('Sol Bekler'!T35="","",'Sol Bekler'!T35)</f>
        <v/>
      </c>
      <c r="T333" s="2" t="str">
        <f>IF('Sol Bekler'!U35="","",'Sol Bekler'!U35)</f>
        <v/>
      </c>
      <c r="U333" t="s">
        <v>929</v>
      </c>
      <c r="V333">
        <v>35</v>
      </c>
      <c r="W333" t="str">
        <f ca="1">IF(AND($A333&lt;&gt;"",ISNUMBER($G333),$G333&gt;=TODAY(),$G333&lt;=EDATE(TODAY(),12)),COUNTIFS($G$2:$G$1001,"&gt;="&amp;TODAY(),$G$2:$G$1001,"&lt;"&amp;$G333,$A$2:$A$1001,"&lt;&gt;")+COUNTIFS($G$2:$G333,$G333,$A$2:$A333,"&lt;&gt;"),"")</f>
        <v/>
      </c>
      <c r="X333" t="str">
        <f>IF(AND($A333&lt;&gt;"",ISNUMBER($C333),$C333&gt;=DATE(2003,1,1)),COUNTIFS($C$2:$C333,"&gt;="&amp;DATE(2003,1,1),$A$2:$A333,"&lt;&gt;"),"")</f>
        <v/>
      </c>
    </row>
    <row r="334" spans="1:24">
      <c r="A334" t="str">
        <f>IF('Sol Bekler'!A36="","",'Sol Bekler'!A36)</f>
        <v/>
      </c>
      <c r="B334" t="str">
        <f>IF('Sol Bekler'!B36="","",'Sol Bekler'!B36)</f>
        <v/>
      </c>
      <c r="C334" s="2" t="str">
        <f>IF('Sol Bekler'!C36="","",'Sol Bekler'!C36)</f>
        <v/>
      </c>
      <c r="D334" t="str">
        <f ca="1">IF('Sol Bekler'!D36="","",'Sol Bekler'!D36)</f>
        <v/>
      </c>
      <c r="E334" t="str">
        <f>IF('Sol Bekler'!E36="","",'Sol Bekler'!E36)</f>
        <v>Sol Bek</v>
      </c>
      <c r="F334" t="str">
        <f>IF('Sol Bekler'!G36="","",'Sol Bekler'!G36)</f>
        <v/>
      </c>
      <c r="G334" s="2" t="str">
        <f>IF('Sol Bekler'!H36="","",'Sol Bekler'!H36)</f>
        <v/>
      </c>
      <c r="H334" t="str">
        <f>IF('Sol Bekler'!I36="","",'Sol Bekler'!I36)</f>
        <v/>
      </c>
      <c r="I334" t="str">
        <f>IF('Sol Bekler'!A36="","",'Sol Bekler'!J36)</f>
        <v/>
      </c>
      <c r="J334" t="str">
        <f>IF('Sol Bekler'!A36="","",'Sol Bekler'!K36)</f>
        <v/>
      </c>
      <c r="K334" t="str">
        <f>IF('Sol Bekler'!L36="","",'Sol Bekler'!L36)</f>
        <v/>
      </c>
      <c r="L334" t="str">
        <f>IF('Sol Bekler'!M36="","",'Sol Bekler'!M36)</f>
        <v/>
      </c>
      <c r="M334" t="str">
        <f>IF('Sol Bekler'!N36="","",'Sol Bekler'!N36)</f>
        <v/>
      </c>
      <c r="N334" t="str">
        <f>IF('Sol Bekler'!O36="","",'Sol Bekler'!O36)</f>
        <v/>
      </c>
      <c r="O334" t="str">
        <f>IF('Sol Bekler'!P36="","",'Sol Bekler'!P36)</f>
        <v/>
      </c>
      <c r="P334" t="str">
        <f>IF('Sol Bekler'!Q36="","",'Sol Bekler'!Q36)</f>
        <v/>
      </c>
      <c r="Q334" t="str">
        <f>IF('Sol Bekler'!R36="","",'Sol Bekler'!R36)</f>
        <v/>
      </c>
      <c r="R334" t="str">
        <f>IF('Sol Bekler'!S36="","",'Sol Bekler'!S36)</f>
        <v/>
      </c>
      <c r="S334" t="str">
        <f>IF('Sol Bekler'!T36="","",'Sol Bekler'!T36)</f>
        <v/>
      </c>
      <c r="T334" s="2" t="str">
        <f>IF('Sol Bekler'!U36="","",'Sol Bekler'!U36)</f>
        <v/>
      </c>
      <c r="U334" t="s">
        <v>929</v>
      </c>
      <c r="V334">
        <v>36</v>
      </c>
      <c r="W334" t="str">
        <f ca="1">IF(AND($A334&lt;&gt;"",ISNUMBER($G334),$G334&gt;=TODAY(),$G334&lt;=EDATE(TODAY(),12)),COUNTIFS($G$2:$G$1001,"&gt;="&amp;TODAY(),$G$2:$G$1001,"&lt;"&amp;$G334,$A$2:$A$1001,"&lt;&gt;")+COUNTIFS($G$2:$G334,$G334,$A$2:$A334,"&lt;&gt;"),"")</f>
        <v/>
      </c>
      <c r="X334" t="str">
        <f>IF(AND($A334&lt;&gt;"",ISNUMBER($C334),$C334&gt;=DATE(2003,1,1)),COUNTIFS($C$2:$C334,"&gt;="&amp;DATE(2003,1,1),$A$2:$A334,"&lt;&gt;"),"")</f>
        <v/>
      </c>
    </row>
    <row r="335" spans="1:24">
      <c r="A335" t="str">
        <f>IF('Sol Bekler'!A37="","",'Sol Bekler'!A37)</f>
        <v/>
      </c>
      <c r="B335" t="str">
        <f>IF('Sol Bekler'!B37="","",'Sol Bekler'!B37)</f>
        <v/>
      </c>
      <c r="C335" s="2" t="str">
        <f>IF('Sol Bekler'!C37="","",'Sol Bekler'!C37)</f>
        <v/>
      </c>
      <c r="D335" t="str">
        <f ca="1">IF('Sol Bekler'!D37="","",'Sol Bekler'!D37)</f>
        <v/>
      </c>
      <c r="E335" t="str">
        <f>IF('Sol Bekler'!E37="","",'Sol Bekler'!E37)</f>
        <v>Sol Bek</v>
      </c>
      <c r="F335" t="str">
        <f>IF('Sol Bekler'!G37="","",'Sol Bekler'!G37)</f>
        <v/>
      </c>
      <c r="G335" s="2" t="str">
        <f>IF('Sol Bekler'!H37="","",'Sol Bekler'!H37)</f>
        <v/>
      </c>
      <c r="H335" t="str">
        <f>IF('Sol Bekler'!I37="","",'Sol Bekler'!I37)</f>
        <v/>
      </c>
      <c r="I335" t="str">
        <f>IF('Sol Bekler'!A37="","",'Sol Bekler'!J37)</f>
        <v/>
      </c>
      <c r="J335" t="str">
        <f>IF('Sol Bekler'!A37="","",'Sol Bekler'!K37)</f>
        <v/>
      </c>
      <c r="K335" t="str">
        <f>IF('Sol Bekler'!L37="","",'Sol Bekler'!L37)</f>
        <v/>
      </c>
      <c r="L335" t="str">
        <f>IF('Sol Bekler'!M37="","",'Sol Bekler'!M37)</f>
        <v/>
      </c>
      <c r="M335" t="str">
        <f>IF('Sol Bekler'!N37="","",'Sol Bekler'!N37)</f>
        <v/>
      </c>
      <c r="N335" t="str">
        <f>IF('Sol Bekler'!O37="","",'Sol Bekler'!O37)</f>
        <v/>
      </c>
      <c r="O335" t="str">
        <f>IF('Sol Bekler'!P37="","",'Sol Bekler'!P37)</f>
        <v/>
      </c>
      <c r="P335" t="str">
        <f>IF('Sol Bekler'!Q37="","",'Sol Bekler'!Q37)</f>
        <v/>
      </c>
      <c r="Q335" t="str">
        <f>IF('Sol Bekler'!R37="","",'Sol Bekler'!R37)</f>
        <v/>
      </c>
      <c r="R335" t="str">
        <f>IF('Sol Bekler'!S37="","",'Sol Bekler'!S37)</f>
        <v/>
      </c>
      <c r="S335" t="str">
        <f>IF('Sol Bekler'!T37="","",'Sol Bekler'!T37)</f>
        <v/>
      </c>
      <c r="T335" s="2" t="str">
        <f>IF('Sol Bekler'!U37="","",'Sol Bekler'!U37)</f>
        <v/>
      </c>
      <c r="U335" t="s">
        <v>929</v>
      </c>
      <c r="V335">
        <v>37</v>
      </c>
      <c r="W335" t="str">
        <f ca="1">IF(AND($A335&lt;&gt;"",ISNUMBER($G335),$G335&gt;=TODAY(),$G335&lt;=EDATE(TODAY(),12)),COUNTIFS($G$2:$G$1001,"&gt;="&amp;TODAY(),$G$2:$G$1001,"&lt;"&amp;$G335,$A$2:$A$1001,"&lt;&gt;")+COUNTIFS($G$2:$G335,$G335,$A$2:$A335,"&lt;&gt;"),"")</f>
        <v/>
      </c>
      <c r="X335" t="str">
        <f>IF(AND($A335&lt;&gt;"",ISNUMBER($C335),$C335&gt;=DATE(2003,1,1)),COUNTIFS($C$2:$C335,"&gt;="&amp;DATE(2003,1,1),$A$2:$A335,"&lt;&gt;"),"")</f>
        <v/>
      </c>
    </row>
    <row r="336" spans="1:24">
      <c r="A336" t="str">
        <f>IF('Sol Bekler'!A38="","",'Sol Bekler'!A38)</f>
        <v/>
      </c>
      <c r="B336" t="str">
        <f>IF('Sol Bekler'!B38="","",'Sol Bekler'!B38)</f>
        <v/>
      </c>
      <c r="C336" s="2" t="str">
        <f>IF('Sol Bekler'!C38="","",'Sol Bekler'!C38)</f>
        <v/>
      </c>
      <c r="D336" t="str">
        <f ca="1">IF('Sol Bekler'!D38="","",'Sol Bekler'!D38)</f>
        <v/>
      </c>
      <c r="E336" t="str">
        <f>IF('Sol Bekler'!E38="","",'Sol Bekler'!E38)</f>
        <v>Sol Bek</v>
      </c>
      <c r="F336" t="str">
        <f>IF('Sol Bekler'!G38="","",'Sol Bekler'!G38)</f>
        <v/>
      </c>
      <c r="G336" s="2" t="str">
        <f>IF('Sol Bekler'!H38="","",'Sol Bekler'!H38)</f>
        <v/>
      </c>
      <c r="H336" t="str">
        <f>IF('Sol Bekler'!I38="","",'Sol Bekler'!I38)</f>
        <v/>
      </c>
      <c r="I336" t="str">
        <f>IF('Sol Bekler'!A38="","",'Sol Bekler'!J38)</f>
        <v/>
      </c>
      <c r="J336" t="str">
        <f>IF('Sol Bekler'!A38="","",'Sol Bekler'!K38)</f>
        <v/>
      </c>
      <c r="K336" t="str">
        <f>IF('Sol Bekler'!L38="","",'Sol Bekler'!L38)</f>
        <v/>
      </c>
      <c r="L336" t="str">
        <f>IF('Sol Bekler'!M38="","",'Sol Bekler'!M38)</f>
        <v/>
      </c>
      <c r="M336" t="str">
        <f>IF('Sol Bekler'!N38="","",'Sol Bekler'!N38)</f>
        <v/>
      </c>
      <c r="N336" t="str">
        <f>IF('Sol Bekler'!O38="","",'Sol Bekler'!O38)</f>
        <v/>
      </c>
      <c r="O336" t="str">
        <f>IF('Sol Bekler'!P38="","",'Sol Bekler'!P38)</f>
        <v/>
      </c>
      <c r="P336" t="str">
        <f>IF('Sol Bekler'!Q38="","",'Sol Bekler'!Q38)</f>
        <v/>
      </c>
      <c r="Q336" t="str">
        <f>IF('Sol Bekler'!R38="","",'Sol Bekler'!R38)</f>
        <v/>
      </c>
      <c r="R336" t="str">
        <f>IF('Sol Bekler'!S38="","",'Sol Bekler'!S38)</f>
        <v/>
      </c>
      <c r="S336" t="str">
        <f>IF('Sol Bekler'!T38="","",'Sol Bekler'!T38)</f>
        <v/>
      </c>
      <c r="T336" s="2" t="str">
        <f>IF('Sol Bekler'!U38="","",'Sol Bekler'!U38)</f>
        <v/>
      </c>
      <c r="U336" t="s">
        <v>929</v>
      </c>
      <c r="V336">
        <v>38</v>
      </c>
      <c r="W336" t="str">
        <f ca="1">IF(AND($A336&lt;&gt;"",ISNUMBER($G336),$G336&gt;=TODAY(),$G336&lt;=EDATE(TODAY(),12)),COUNTIFS($G$2:$G$1001,"&gt;="&amp;TODAY(),$G$2:$G$1001,"&lt;"&amp;$G336,$A$2:$A$1001,"&lt;&gt;")+COUNTIFS($G$2:$G336,$G336,$A$2:$A336,"&lt;&gt;"),"")</f>
        <v/>
      </c>
      <c r="X336" t="str">
        <f>IF(AND($A336&lt;&gt;"",ISNUMBER($C336),$C336&gt;=DATE(2003,1,1)),COUNTIFS($C$2:$C336,"&gt;="&amp;DATE(2003,1,1),$A$2:$A336,"&lt;&gt;"),"")</f>
        <v/>
      </c>
    </row>
    <row r="337" spans="1:24">
      <c r="A337" t="str">
        <f>IF('Sol Bekler'!A39="","",'Sol Bekler'!A39)</f>
        <v/>
      </c>
      <c r="B337" t="str">
        <f>IF('Sol Bekler'!B39="","",'Sol Bekler'!B39)</f>
        <v/>
      </c>
      <c r="C337" s="2" t="str">
        <f>IF('Sol Bekler'!C39="","",'Sol Bekler'!C39)</f>
        <v/>
      </c>
      <c r="D337" t="str">
        <f ca="1">IF('Sol Bekler'!D39="","",'Sol Bekler'!D39)</f>
        <v/>
      </c>
      <c r="E337" t="str">
        <f>IF('Sol Bekler'!E39="","",'Sol Bekler'!E39)</f>
        <v>Sol Bek</v>
      </c>
      <c r="F337" t="str">
        <f>IF('Sol Bekler'!G39="","",'Sol Bekler'!G39)</f>
        <v/>
      </c>
      <c r="G337" s="2" t="str">
        <f>IF('Sol Bekler'!H39="","",'Sol Bekler'!H39)</f>
        <v/>
      </c>
      <c r="H337" t="str">
        <f>IF('Sol Bekler'!I39="","",'Sol Bekler'!I39)</f>
        <v/>
      </c>
      <c r="I337" t="str">
        <f>IF('Sol Bekler'!A39="","",'Sol Bekler'!J39)</f>
        <v/>
      </c>
      <c r="J337" t="str">
        <f>IF('Sol Bekler'!A39="","",'Sol Bekler'!K39)</f>
        <v/>
      </c>
      <c r="K337" t="str">
        <f>IF('Sol Bekler'!L39="","",'Sol Bekler'!L39)</f>
        <v/>
      </c>
      <c r="L337" t="str">
        <f>IF('Sol Bekler'!M39="","",'Sol Bekler'!M39)</f>
        <v/>
      </c>
      <c r="M337" t="str">
        <f>IF('Sol Bekler'!N39="","",'Sol Bekler'!N39)</f>
        <v/>
      </c>
      <c r="N337" t="str">
        <f>IF('Sol Bekler'!O39="","",'Sol Bekler'!O39)</f>
        <v/>
      </c>
      <c r="O337" t="str">
        <f>IF('Sol Bekler'!P39="","",'Sol Bekler'!P39)</f>
        <v/>
      </c>
      <c r="P337" t="str">
        <f>IF('Sol Bekler'!Q39="","",'Sol Bekler'!Q39)</f>
        <v/>
      </c>
      <c r="Q337" t="str">
        <f>IF('Sol Bekler'!R39="","",'Sol Bekler'!R39)</f>
        <v/>
      </c>
      <c r="R337" t="str">
        <f>IF('Sol Bekler'!S39="","",'Sol Bekler'!S39)</f>
        <v/>
      </c>
      <c r="S337" t="str">
        <f>IF('Sol Bekler'!T39="","",'Sol Bekler'!T39)</f>
        <v/>
      </c>
      <c r="T337" s="2" t="str">
        <f>IF('Sol Bekler'!U39="","",'Sol Bekler'!U39)</f>
        <v/>
      </c>
      <c r="U337" t="s">
        <v>929</v>
      </c>
      <c r="V337">
        <v>39</v>
      </c>
      <c r="W337" t="str">
        <f ca="1">IF(AND($A337&lt;&gt;"",ISNUMBER($G337),$G337&gt;=TODAY(),$G337&lt;=EDATE(TODAY(),12)),COUNTIFS($G$2:$G$1001,"&gt;="&amp;TODAY(),$G$2:$G$1001,"&lt;"&amp;$G337,$A$2:$A$1001,"&lt;&gt;")+COUNTIFS($G$2:$G337,$G337,$A$2:$A337,"&lt;&gt;"),"")</f>
        <v/>
      </c>
      <c r="X337" t="str">
        <f>IF(AND($A337&lt;&gt;"",ISNUMBER($C337),$C337&gt;=DATE(2003,1,1)),COUNTIFS($C$2:$C337,"&gt;="&amp;DATE(2003,1,1),$A$2:$A337,"&lt;&gt;"),"")</f>
        <v/>
      </c>
    </row>
    <row r="338" spans="1:24">
      <c r="A338" t="str">
        <f>IF('Sol Bekler'!A40="","",'Sol Bekler'!A40)</f>
        <v/>
      </c>
      <c r="B338" t="str">
        <f>IF('Sol Bekler'!B40="","",'Sol Bekler'!B40)</f>
        <v/>
      </c>
      <c r="C338" s="2" t="str">
        <f>IF('Sol Bekler'!C40="","",'Sol Bekler'!C40)</f>
        <v/>
      </c>
      <c r="D338" t="str">
        <f ca="1">IF('Sol Bekler'!D40="","",'Sol Bekler'!D40)</f>
        <v/>
      </c>
      <c r="E338" t="str">
        <f>IF('Sol Bekler'!E40="","",'Sol Bekler'!E40)</f>
        <v>Sol Bek</v>
      </c>
      <c r="F338" t="str">
        <f>IF('Sol Bekler'!G40="","",'Sol Bekler'!G40)</f>
        <v/>
      </c>
      <c r="G338" s="2" t="str">
        <f>IF('Sol Bekler'!H40="","",'Sol Bekler'!H40)</f>
        <v/>
      </c>
      <c r="H338" t="str">
        <f>IF('Sol Bekler'!I40="","",'Sol Bekler'!I40)</f>
        <v/>
      </c>
      <c r="I338" t="str">
        <f>IF('Sol Bekler'!A40="","",'Sol Bekler'!J40)</f>
        <v/>
      </c>
      <c r="J338" t="str">
        <f>IF('Sol Bekler'!A40="","",'Sol Bekler'!K40)</f>
        <v/>
      </c>
      <c r="K338" t="str">
        <f>IF('Sol Bekler'!L40="","",'Sol Bekler'!L40)</f>
        <v/>
      </c>
      <c r="L338" t="str">
        <f>IF('Sol Bekler'!M40="","",'Sol Bekler'!M40)</f>
        <v/>
      </c>
      <c r="M338" t="str">
        <f>IF('Sol Bekler'!N40="","",'Sol Bekler'!N40)</f>
        <v/>
      </c>
      <c r="N338" t="str">
        <f>IF('Sol Bekler'!O40="","",'Sol Bekler'!O40)</f>
        <v/>
      </c>
      <c r="O338" t="str">
        <f>IF('Sol Bekler'!P40="","",'Sol Bekler'!P40)</f>
        <v/>
      </c>
      <c r="P338" t="str">
        <f>IF('Sol Bekler'!Q40="","",'Sol Bekler'!Q40)</f>
        <v/>
      </c>
      <c r="Q338" t="str">
        <f>IF('Sol Bekler'!R40="","",'Sol Bekler'!R40)</f>
        <v/>
      </c>
      <c r="R338" t="str">
        <f>IF('Sol Bekler'!S40="","",'Sol Bekler'!S40)</f>
        <v/>
      </c>
      <c r="S338" t="str">
        <f>IF('Sol Bekler'!T40="","",'Sol Bekler'!T40)</f>
        <v/>
      </c>
      <c r="T338" s="2" t="str">
        <f>IF('Sol Bekler'!U40="","",'Sol Bekler'!U40)</f>
        <v/>
      </c>
      <c r="U338" t="s">
        <v>929</v>
      </c>
      <c r="V338">
        <v>40</v>
      </c>
      <c r="W338" t="str">
        <f ca="1">IF(AND($A338&lt;&gt;"",ISNUMBER($G338),$G338&gt;=TODAY(),$G338&lt;=EDATE(TODAY(),12)),COUNTIFS($G$2:$G$1001,"&gt;="&amp;TODAY(),$G$2:$G$1001,"&lt;"&amp;$G338,$A$2:$A$1001,"&lt;&gt;")+COUNTIFS($G$2:$G338,$G338,$A$2:$A338,"&lt;&gt;"),"")</f>
        <v/>
      </c>
      <c r="X338" t="str">
        <f>IF(AND($A338&lt;&gt;"",ISNUMBER($C338),$C338&gt;=DATE(2003,1,1)),COUNTIFS($C$2:$C338,"&gt;="&amp;DATE(2003,1,1),$A$2:$A338,"&lt;&gt;"),"")</f>
        <v/>
      </c>
    </row>
    <row r="339" spans="1:24">
      <c r="A339" t="str">
        <f>IF('Sol Bekler'!A41="","",'Sol Bekler'!A41)</f>
        <v/>
      </c>
      <c r="B339" t="str">
        <f>IF('Sol Bekler'!B41="","",'Sol Bekler'!B41)</f>
        <v/>
      </c>
      <c r="C339" s="2" t="str">
        <f>IF('Sol Bekler'!C41="","",'Sol Bekler'!C41)</f>
        <v/>
      </c>
      <c r="D339" t="str">
        <f ca="1">IF('Sol Bekler'!D41="","",'Sol Bekler'!D41)</f>
        <v/>
      </c>
      <c r="E339" t="str">
        <f>IF('Sol Bekler'!E41="","",'Sol Bekler'!E41)</f>
        <v>Sol Bek</v>
      </c>
      <c r="F339" t="str">
        <f>IF('Sol Bekler'!G41="","",'Sol Bekler'!G41)</f>
        <v/>
      </c>
      <c r="G339" s="2" t="str">
        <f>IF('Sol Bekler'!H41="","",'Sol Bekler'!H41)</f>
        <v/>
      </c>
      <c r="H339" t="str">
        <f>IF('Sol Bekler'!I41="","",'Sol Bekler'!I41)</f>
        <v/>
      </c>
      <c r="I339" t="str">
        <f>IF('Sol Bekler'!A41="","",'Sol Bekler'!J41)</f>
        <v/>
      </c>
      <c r="J339" t="str">
        <f>IF('Sol Bekler'!A41="","",'Sol Bekler'!K41)</f>
        <v/>
      </c>
      <c r="K339" t="str">
        <f>IF('Sol Bekler'!L41="","",'Sol Bekler'!L41)</f>
        <v/>
      </c>
      <c r="L339" t="str">
        <f>IF('Sol Bekler'!M41="","",'Sol Bekler'!M41)</f>
        <v/>
      </c>
      <c r="M339" t="str">
        <f>IF('Sol Bekler'!N41="","",'Sol Bekler'!N41)</f>
        <v/>
      </c>
      <c r="N339" t="str">
        <f>IF('Sol Bekler'!O41="","",'Sol Bekler'!O41)</f>
        <v/>
      </c>
      <c r="O339" t="str">
        <f>IF('Sol Bekler'!P41="","",'Sol Bekler'!P41)</f>
        <v/>
      </c>
      <c r="P339" t="str">
        <f>IF('Sol Bekler'!Q41="","",'Sol Bekler'!Q41)</f>
        <v/>
      </c>
      <c r="Q339" t="str">
        <f>IF('Sol Bekler'!R41="","",'Sol Bekler'!R41)</f>
        <v/>
      </c>
      <c r="R339" t="str">
        <f>IF('Sol Bekler'!S41="","",'Sol Bekler'!S41)</f>
        <v/>
      </c>
      <c r="S339" t="str">
        <f>IF('Sol Bekler'!T41="","",'Sol Bekler'!T41)</f>
        <v/>
      </c>
      <c r="T339" s="2" t="str">
        <f>IF('Sol Bekler'!U41="","",'Sol Bekler'!U41)</f>
        <v/>
      </c>
      <c r="U339" t="s">
        <v>929</v>
      </c>
      <c r="V339">
        <v>41</v>
      </c>
      <c r="W339" t="str">
        <f ca="1">IF(AND($A339&lt;&gt;"",ISNUMBER($G339),$G339&gt;=TODAY(),$G339&lt;=EDATE(TODAY(),12)),COUNTIFS($G$2:$G$1001,"&gt;="&amp;TODAY(),$G$2:$G$1001,"&lt;"&amp;$G339,$A$2:$A$1001,"&lt;&gt;")+COUNTIFS($G$2:$G339,$G339,$A$2:$A339,"&lt;&gt;"),"")</f>
        <v/>
      </c>
      <c r="X339" t="str">
        <f>IF(AND($A339&lt;&gt;"",ISNUMBER($C339),$C339&gt;=DATE(2003,1,1)),COUNTIFS($C$2:$C339,"&gt;="&amp;DATE(2003,1,1),$A$2:$A339,"&lt;&gt;"),"")</f>
        <v/>
      </c>
    </row>
    <row r="340" spans="1:24">
      <c r="A340" t="str">
        <f>IF('Sol Bekler'!A42="","",'Sol Bekler'!A42)</f>
        <v/>
      </c>
      <c r="B340" t="str">
        <f>IF('Sol Bekler'!B42="","",'Sol Bekler'!B42)</f>
        <v/>
      </c>
      <c r="C340" s="2" t="str">
        <f>IF('Sol Bekler'!C42="","",'Sol Bekler'!C42)</f>
        <v/>
      </c>
      <c r="D340" t="str">
        <f ca="1">IF('Sol Bekler'!D42="","",'Sol Bekler'!D42)</f>
        <v/>
      </c>
      <c r="E340" t="str">
        <f>IF('Sol Bekler'!E42="","",'Sol Bekler'!E42)</f>
        <v>Sol Bek</v>
      </c>
      <c r="F340" t="str">
        <f>IF('Sol Bekler'!G42="","",'Sol Bekler'!G42)</f>
        <v/>
      </c>
      <c r="G340" s="2" t="str">
        <f>IF('Sol Bekler'!H42="","",'Sol Bekler'!H42)</f>
        <v/>
      </c>
      <c r="H340" t="str">
        <f>IF('Sol Bekler'!I42="","",'Sol Bekler'!I42)</f>
        <v/>
      </c>
      <c r="I340" t="str">
        <f>IF('Sol Bekler'!A42="","",'Sol Bekler'!J42)</f>
        <v/>
      </c>
      <c r="J340" t="str">
        <f>IF('Sol Bekler'!A42="","",'Sol Bekler'!K42)</f>
        <v/>
      </c>
      <c r="K340" t="str">
        <f>IF('Sol Bekler'!L42="","",'Sol Bekler'!L42)</f>
        <v/>
      </c>
      <c r="L340" t="str">
        <f>IF('Sol Bekler'!M42="","",'Sol Bekler'!M42)</f>
        <v/>
      </c>
      <c r="M340" t="str">
        <f>IF('Sol Bekler'!N42="","",'Sol Bekler'!N42)</f>
        <v/>
      </c>
      <c r="N340" t="str">
        <f>IF('Sol Bekler'!O42="","",'Sol Bekler'!O42)</f>
        <v/>
      </c>
      <c r="O340" t="str">
        <f>IF('Sol Bekler'!P42="","",'Sol Bekler'!P42)</f>
        <v/>
      </c>
      <c r="P340" t="str">
        <f>IF('Sol Bekler'!Q42="","",'Sol Bekler'!Q42)</f>
        <v/>
      </c>
      <c r="Q340" t="str">
        <f>IF('Sol Bekler'!R42="","",'Sol Bekler'!R42)</f>
        <v/>
      </c>
      <c r="R340" t="str">
        <f>IF('Sol Bekler'!S42="","",'Sol Bekler'!S42)</f>
        <v/>
      </c>
      <c r="S340" t="str">
        <f>IF('Sol Bekler'!T42="","",'Sol Bekler'!T42)</f>
        <v/>
      </c>
      <c r="T340" s="2" t="str">
        <f>IF('Sol Bekler'!U42="","",'Sol Bekler'!U42)</f>
        <v/>
      </c>
      <c r="U340" t="s">
        <v>929</v>
      </c>
      <c r="V340">
        <v>42</v>
      </c>
      <c r="W340" t="str">
        <f ca="1">IF(AND($A340&lt;&gt;"",ISNUMBER($G340),$G340&gt;=TODAY(),$G340&lt;=EDATE(TODAY(),12)),COUNTIFS($G$2:$G$1001,"&gt;="&amp;TODAY(),$G$2:$G$1001,"&lt;"&amp;$G340,$A$2:$A$1001,"&lt;&gt;")+COUNTIFS($G$2:$G340,$G340,$A$2:$A340,"&lt;&gt;"),"")</f>
        <v/>
      </c>
      <c r="X340" t="str">
        <f>IF(AND($A340&lt;&gt;"",ISNUMBER($C340),$C340&gt;=DATE(2003,1,1)),COUNTIFS($C$2:$C340,"&gt;="&amp;DATE(2003,1,1),$A$2:$A340,"&lt;&gt;"),"")</f>
        <v/>
      </c>
    </row>
    <row r="341" spans="1:24">
      <c r="A341" t="str">
        <f>IF('Sol Bekler'!A43="","",'Sol Bekler'!A43)</f>
        <v/>
      </c>
      <c r="B341" t="str">
        <f>IF('Sol Bekler'!B43="","",'Sol Bekler'!B43)</f>
        <v/>
      </c>
      <c r="C341" s="2" t="str">
        <f>IF('Sol Bekler'!C43="","",'Sol Bekler'!C43)</f>
        <v/>
      </c>
      <c r="D341" t="str">
        <f ca="1">IF('Sol Bekler'!D43="","",'Sol Bekler'!D43)</f>
        <v/>
      </c>
      <c r="E341" t="str">
        <f>IF('Sol Bekler'!E43="","",'Sol Bekler'!E43)</f>
        <v>Sol Bek</v>
      </c>
      <c r="F341" t="str">
        <f>IF('Sol Bekler'!G43="","",'Sol Bekler'!G43)</f>
        <v/>
      </c>
      <c r="G341" s="2" t="str">
        <f>IF('Sol Bekler'!H43="","",'Sol Bekler'!H43)</f>
        <v/>
      </c>
      <c r="H341" t="str">
        <f>IF('Sol Bekler'!I43="","",'Sol Bekler'!I43)</f>
        <v/>
      </c>
      <c r="I341" t="str">
        <f>IF('Sol Bekler'!A43="","",'Sol Bekler'!J43)</f>
        <v/>
      </c>
      <c r="J341" t="str">
        <f>IF('Sol Bekler'!A43="","",'Sol Bekler'!K43)</f>
        <v/>
      </c>
      <c r="K341" t="str">
        <f>IF('Sol Bekler'!L43="","",'Sol Bekler'!L43)</f>
        <v/>
      </c>
      <c r="L341" t="str">
        <f>IF('Sol Bekler'!M43="","",'Sol Bekler'!M43)</f>
        <v/>
      </c>
      <c r="M341" t="str">
        <f>IF('Sol Bekler'!N43="","",'Sol Bekler'!N43)</f>
        <v/>
      </c>
      <c r="N341" t="str">
        <f>IF('Sol Bekler'!O43="","",'Sol Bekler'!O43)</f>
        <v/>
      </c>
      <c r="O341" t="str">
        <f>IF('Sol Bekler'!P43="","",'Sol Bekler'!P43)</f>
        <v/>
      </c>
      <c r="P341" t="str">
        <f>IF('Sol Bekler'!Q43="","",'Sol Bekler'!Q43)</f>
        <v/>
      </c>
      <c r="Q341" t="str">
        <f>IF('Sol Bekler'!R43="","",'Sol Bekler'!R43)</f>
        <v/>
      </c>
      <c r="R341" t="str">
        <f>IF('Sol Bekler'!S43="","",'Sol Bekler'!S43)</f>
        <v/>
      </c>
      <c r="S341" t="str">
        <f>IF('Sol Bekler'!T43="","",'Sol Bekler'!T43)</f>
        <v/>
      </c>
      <c r="T341" s="2" t="str">
        <f>IF('Sol Bekler'!U43="","",'Sol Bekler'!U43)</f>
        <v/>
      </c>
      <c r="U341" t="s">
        <v>929</v>
      </c>
      <c r="V341">
        <v>43</v>
      </c>
      <c r="W341" t="str">
        <f ca="1">IF(AND($A341&lt;&gt;"",ISNUMBER($G341),$G341&gt;=TODAY(),$G341&lt;=EDATE(TODAY(),12)),COUNTIFS($G$2:$G$1001,"&gt;="&amp;TODAY(),$G$2:$G$1001,"&lt;"&amp;$G341,$A$2:$A$1001,"&lt;&gt;")+COUNTIFS($G$2:$G341,$G341,$A$2:$A341,"&lt;&gt;"),"")</f>
        <v/>
      </c>
      <c r="X341" t="str">
        <f>IF(AND($A341&lt;&gt;"",ISNUMBER($C341),$C341&gt;=DATE(2003,1,1)),COUNTIFS($C$2:$C341,"&gt;="&amp;DATE(2003,1,1),$A$2:$A341,"&lt;&gt;"),"")</f>
        <v/>
      </c>
    </row>
    <row r="342" spans="1:24">
      <c r="A342" t="str">
        <f>IF('Sol Bekler'!A44="","",'Sol Bekler'!A44)</f>
        <v/>
      </c>
      <c r="B342" t="str">
        <f>IF('Sol Bekler'!B44="","",'Sol Bekler'!B44)</f>
        <v/>
      </c>
      <c r="C342" s="2" t="str">
        <f>IF('Sol Bekler'!C44="","",'Sol Bekler'!C44)</f>
        <v/>
      </c>
      <c r="D342" t="str">
        <f ca="1">IF('Sol Bekler'!D44="","",'Sol Bekler'!D44)</f>
        <v/>
      </c>
      <c r="E342" t="str">
        <f>IF('Sol Bekler'!E44="","",'Sol Bekler'!E44)</f>
        <v>Sol Bek</v>
      </c>
      <c r="F342" t="str">
        <f>IF('Sol Bekler'!G44="","",'Sol Bekler'!G44)</f>
        <v/>
      </c>
      <c r="G342" s="2" t="str">
        <f>IF('Sol Bekler'!H44="","",'Sol Bekler'!H44)</f>
        <v/>
      </c>
      <c r="H342" t="str">
        <f>IF('Sol Bekler'!I44="","",'Sol Bekler'!I44)</f>
        <v/>
      </c>
      <c r="I342" t="str">
        <f>IF('Sol Bekler'!A44="","",'Sol Bekler'!J44)</f>
        <v/>
      </c>
      <c r="J342" t="str">
        <f>IF('Sol Bekler'!A44="","",'Sol Bekler'!K44)</f>
        <v/>
      </c>
      <c r="K342" t="str">
        <f>IF('Sol Bekler'!L44="","",'Sol Bekler'!L44)</f>
        <v/>
      </c>
      <c r="L342" t="str">
        <f>IF('Sol Bekler'!M44="","",'Sol Bekler'!M44)</f>
        <v/>
      </c>
      <c r="M342" t="str">
        <f>IF('Sol Bekler'!N44="","",'Sol Bekler'!N44)</f>
        <v/>
      </c>
      <c r="N342" t="str">
        <f>IF('Sol Bekler'!O44="","",'Sol Bekler'!O44)</f>
        <v/>
      </c>
      <c r="O342" t="str">
        <f>IF('Sol Bekler'!P44="","",'Sol Bekler'!P44)</f>
        <v/>
      </c>
      <c r="P342" t="str">
        <f>IF('Sol Bekler'!Q44="","",'Sol Bekler'!Q44)</f>
        <v/>
      </c>
      <c r="Q342" t="str">
        <f>IF('Sol Bekler'!R44="","",'Sol Bekler'!R44)</f>
        <v/>
      </c>
      <c r="R342" t="str">
        <f>IF('Sol Bekler'!S44="","",'Sol Bekler'!S44)</f>
        <v/>
      </c>
      <c r="S342" t="str">
        <f>IF('Sol Bekler'!T44="","",'Sol Bekler'!T44)</f>
        <v/>
      </c>
      <c r="T342" s="2" t="str">
        <f>IF('Sol Bekler'!U44="","",'Sol Bekler'!U44)</f>
        <v/>
      </c>
      <c r="U342" t="s">
        <v>929</v>
      </c>
      <c r="V342">
        <v>44</v>
      </c>
      <c r="W342" t="str">
        <f ca="1">IF(AND($A342&lt;&gt;"",ISNUMBER($G342),$G342&gt;=TODAY(),$G342&lt;=EDATE(TODAY(),12)),COUNTIFS($G$2:$G$1001,"&gt;="&amp;TODAY(),$G$2:$G$1001,"&lt;"&amp;$G342,$A$2:$A$1001,"&lt;&gt;")+COUNTIFS($G$2:$G342,$G342,$A$2:$A342,"&lt;&gt;"),"")</f>
        <v/>
      </c>
      <c r="X342" t="str">
        <f>IF(AND($A342&lt;&gt;"",ISNUMBER($C342),$C342&gt;=DATE(2003,1,1)),COUNTIFS($C$2:$C342,"&gt;="&amp;DATE(2003,1,1),$A$2:$A342,"&lt;&gt;"),"")</f>
        <v/>
      </c>
    </row>
    <row r="343" spans="1:24">
      <c r="A343" t="str">
        <f>IF('Sol Bekler'!A45="","",'Sol Bekler'!A45)</f>
        <v/>
      </c>
      <c r="B343" t="str">
        <f>IF('Sol Bekler'!B45="","",'Sol Bekler'!B45)</f>
        <v/>
      </c>
      <c r="C343" s="2" t="str">
        <f>IF('Sol Bekler'!C45="","",'Sol Bekler'!C45)</f>
        <v/>
      </c>
      <c r="D343" t="str">
        <f ca="1">IF('Sol Bekler'!D45="","",'Sol Bekler'!D45)</f>
        <v/>
      </c>
      <c r="E343" t="str">
        <f>IF('Sol Bekler'!E45="","",'Sol Bekler'!E45)</f>
        <v>Sol Bek</v>
      </c>
      <c r="F343" t="str">
        <f>IF('Sol Bekler'!G45="","",'Sol Bekler'!G45)</f>
        <v/>
      </c>
      <c r="G343" s="2" t="str">
        <f>IF('Sol Bekler'!H45="","",'Sol Bekler'!H45)</f>
        <v/>
      </c>
      <c r="H343" t="str">
        <f>IF('Sol Bekler'!I45="","",'Sol Bekler'!I45)</f>
        <v/>
      </c>
      <c r="I343" t="str">
        <f>IF('Sol Bekler'!A45="","",'Sol Bekler'!J45)</f>
        <v/>
      </c>
      <c r="J343" t="str">
        <f>IF('Sol Bekler'!A45="","",'Sol Bekler'!K45)</f>
        <v/>
      </c>
      <c r="K343" t="str">
        <f>IF('Sol Bekler'!L45="","",'Sol Bekler'!L45)</f>
        <v/>
      </c>
      <c r="L343" t="str">
        <f>IF('Sol Bekler'!M45="","",'Sol Bekler'!M45)</f>
        <v/>
      </c>
      <c r="M343" t="str">
        <f>IF('Sol Bekler'!N45="","",'Sol Bekler'!N45)</f>
        <v/>
      </c>
      <c r="N343" t="str">
        <f>IF('Sol Bekler'!O45="","",'Sol Bekler'!O45)</f>
        <v/>
      </c>
      <c r="O343" t="str">
        <f>IF('Sol Bekler'!P45="","",'Sol Bekler'!P45)</f>
        <v/>
      </c>
      <c r="P343" t="str">
        <f>IF('Sol Bekler'!Q45="","",'Sol Bekler'!Q45)</f>
        <v/>
      </c>
      <c r="Q343" t="str">
        <f>IF('Sol Bekler'!R45="","",'Sol Bekler'!R45)</f>
        <v/>
      </c>
      <c r="R343" t="str">
        <f>IF('Sol Bekler'!S45="","",'Sol Bekler'!S45)</f>
        <v/>
      </c>
      <c r="S343" t="str">
        <f>IF('Sol Bekler'!T45="","",'Sol Bekler'!T45)</f>
        <v/>
      </c>
      <c r="T343" s="2" t="str">
        <f>IF('Sol Bekler'!U45="","",'Sol Bekler'!U45)</f>
        <v/>
      </c>
      <c r="U343" t="s">
        <v>929</v>
      </c>
      <c r="V343">
        <v>45</v>
      </c>
      <c r="W343" t="str">
        <f ca="1">IF(AND($A343&lt;&gt;"",ISNUMBER($G343),$G343&gt;=TODAY(),$G343&lt;=EDATE(TODAY(),12)),COUNTIFS($G$2:$G$1001,"&gt;="&amp;TODAY(),$G$2:$G$1001,"&lt;"&amp;$G343,$A$2:$A$1001,"&lt;&gt;")+COUNTIFS($G$2:$G343,$G343,$A$2:$A343,"&lt;&gt;"),"")</f>
        <v/>
      </c>
      <c r="X343" t="str">
        <f>IF(AND($A343&lt;&gt;"",ISNUMBER($C343),$C343&gt;=DATE(2003,1,1)),COUNTIFS($C$2:$C343,"&gt;="&amp;DATE(2003,1,1),$A$2:$A343,"&lt;&gt;"),"")</f>
        <v/>
      </c>
    </row>
    <row r="344" spans="1:24">
      <c r="A344" t="str">
        <f>IF('Sol Bekler'!A46="","",'Sol Bekler'!A46)</f>
        <v/>
      </c>
      <c r="B344" t="str">
        <f>IF('Sol Bekler'!B46="","",'Sol Bekler'!B46)</f>
        <v/>
      </c>
      <c r="C344" s="2" t="str">
        <f>IF('Sol Bekler'!C46="","",'Sol Bekler'!C46)</f>
        <v/>
      </c>
      <c r="D344" t="str">
        <f ca="1">IF('Sol Bekler'!D46="","",'Sol Bekler'!D46)</f>
        <v/>
      </c>
      <c r="E344" t="str">
        <f>IF('Sol Bekler'!E46="","",'Sol Bekler'!E46)</f>
        <v>Sol Bek</v>
      </c>
      <c r="F344" t="str">
        <f>IF('Sol Bekler'!G46="","",'Sol Bekler'!G46)</f>
        <v/>
      </c>
      <c r="G344" s="2" t="str">
        <f>IF('Sol Bekler'!H46="","",'Sol Bekler'!H46)</f>
        <v/>
      </c>
      <c r="H344" t="str">
        <f>IF('Sol Bekler'!I46="","",'Sol Bekler'!I46)</f>
        <v/>
      </c>
      <c r="I344" t="str">
        <f>IF('Sol Bekler'!A46="","",'Sol Bekler'!J46)</f>
        <v/>
      </c>
      <c r="J344" t="str">
        <f>IF('Sol Bekler'!A46="","",'Sol Bekler'!K46)</f>
        <v/>
      </c>
      <c r="K344" t="str">
        <f>IF('Sol Bekler'!L46="","",'Sol Bekler'!L46)</f>
        <v/>
      </c>
      <c r="L344" t="str">
        <f>IF('Sol Bekler'!M46="","",'Sol Bekler'!M46)</f>
        <v/>
      </c>
      <c r="M344" t="str">
        <f>IF('Sol Bekler'!N46="","",'Sol Bekler'!N46)</f>
        <v/>
      </c>
      <c r="N344" t="str">
        <f>IF('Sol Bekler'!O46="","",'Sol Bekler'!O46)</f>
        <v/>
      </c>
      <c r="O344" t="str">
        <f>IF('Sol Bekler'!P46="","",'Sol Bekler'!P46)</f>
        <v/>
      </c>
      <c r="P344" t="str">
        <f>IF('Sol Bekler'!Q46="","",'Sol Bekler'!Q46)</f>
        <v/>
      </c>
      <c r="Q344" t="str">
        <f>IF('Sol Bekler'!R46="","",'Sol Bekler'!R46)</f>
        <v/>
      </c>
      <c r="R344" t="str">
        <f>IF('Sol Bekler'!S46="","",'Sol Bekler'!S46)</f>
        <v/>
      </c>
      <c r="S344" t="str">
        <f>IF('Sol Bekler'!T46="","",'Sol Bekler'!T46)</f>
        <v/>
      </c>
      <c r="T344" s="2" t="str">
        <f>IF('Sol Bekler'!U46="","",'Sol Bekler'!U46)</f>
        <v/>
      </c>
      <c r="U344" t="s">
        <v>929</v>
      </c>
      <c r="V344">
        <v>46</v>
      </c>
      <c r="W344" t="str">
        <f ca="1">IF(AND($A344&lt;&gt;"",ISNUMBER($G344),$G344&gt;=TODAY(),$G344&lt;=EDATE(TODAY(),12)),COUNTIFS($G$2:$G$1001,"&gt;="&amp;TODAY(),$G$2:$G$1001,"&lt;"&amp;$G344,$A$2:$A$1001,"&lt;&gt;")+COUNTIFS($G$2:$G344,$G344,$A$2:$A344,"&lt;&gt;"),"")</f>
        <v/>
      </c>
      <c r="X344" t="str">
        <f>IF(AND($A344&lt;&gt;"",ISNUMBER($C344),$C344&gt;=DATE(2003,1,1)),COUNTIFS($C$2:$C344,"&gt;="&amp;DATE(2003,1,1),$A$2:$A344,"&lt;&gt;"),"")</f>
        <v/>
      </c>
    </row>
    <row r="345" spans="1:24">
      <c r="A345" t="str">
        <f>IF('Sol Bekler'!A47="","",'Sol Bekler'!A47)</f>
        <v/>
      </c>
      <c r="B345" t="str">
        <f>IF('Sol Bekler'!B47="","",'Sol Bekler'!B47)</f>
        <v/>
      </c>
      <c r="C345" s="2" t="str">
        <f>IF('Sol Bekler'!C47="","",'Sol Bekler'!C47)</f>
        <v/>
      </c>
      <c r="D345" t="str">
        <f ca="1">IF('Sol Bekler'!D47="","",'Sol Bekler'!D47)</f>
        <v/>
      </c>
      <c r="E345" t="str">
        <f>IF('Sol Bekler'!E47="","",'Sol Bekler'!E47)</f>
        <v>Sol Bek</v>
      </c>
      <c r="F345" t="str">
        <f>IF('Sol Bekler'!G47="","",'Sol Bekler'!G47)</f>
        <v/>
      </c>
      <c r="G345" s="2" t="str">
        <f>IF('Sol Bekler'!H47="","",'Sol Bekler'!H47)</f>
        <v/>
      </c>
      <c r="H345" t="str">
        <f>IF('Sol Bekler'!I47="","",'Sol Bekler'!I47)</f>
        <v/>
      </c>
      <c r="I345" t="str">
        <f>IF('Sol Bekler'!A47="","",'Sol Bekler'!J47)</f>
        <v/>
      </c>
      <c r="J345" t="str">
        <f>IF('Sol Bekler'!A47="","",'Sol Bekler'!K47)</f>
        <v/>
      </c>
      <c r="K345" t="str">
        <f>IF('Sol Bekler'!L47="","",'Sol Bekler'!L47)</f>
        <v/>
      </c>
      <c r="L345" t="str">
        <f>IF('Sol Bekler'!M47="","",'Sol Bekler'!M47)</f>
        <v/>
      </c>
      <c r="M345" t="str">
        <f>IF('Sol Bekler'!N47="","",'Sol Bekler'!N47)</f>
        <v/>
      </c>
      <c r="N345" t="str">
        <f>IF('Sol Bekler'!O47="","",'Sol Bekler'!O47)</f>
        <v/>
      </c>
      <c r="O345" t="str">
        <f>IF('Sol Bekler'!P47="","",'Sol Bekler'!P47)</f>
        <v/>
      </c>
      <c r="P345" t="str">
        <f>IF('Sol Bekler'!Q47="","",'Sol Bekler'!Q47)</f>
        <v/>
      </c>
      <c r="Q345" t="str">
        <f>IF('Sol Bekler'!R47="","",'Sol Bekler'!R47)</f>
        <v/>
      </c>
      <c r="R345" t="str">
        <f>IF('Sol Bekler'!S47="","",'Sol Bekler'!S47)</f>
        <v/>
      </c>
      <c r="S345" t="str">
        <f>IF('Sol Bekler'!T47="","",'Sol Bekler'!T47)</f>
        <v/>
      </c>
      <c r="T345" s="2" t="str">
        <f>IF('Sol Bekler'!U47="","",'Sol Bekler'!U47)</f>
        <v/>
      </c>
      <c r="U345" t="s">
        <v>929</v>
      </c>
      <c r="V345">
        <v>47</v>
      </c>
      <c r="W345" t="str">
        <f ca="1">IF(AND($A345&lt;&gt;"",ISNUMBER($G345),$G345&gt;=TODAY(),$G345&lt;=EDATE(TODAY(),12)),COUNTIFS($G$2:$G$1001,"&gt;="&amp;TODAY(),$G$2:$G$1001,"&lt;"&amp;$G345,$A$2:$A$1001,"&lt;&gt;")+COUNTIFS($G$2:$G345,$G345,$A$2:$A345,"&lt;&gt;"),"")</f>
        <v/>
      </c>
      <c r="X345" t="str">
        <f>IF(AND($A345&lt;&gt;"",ISNUMBER($C345),$C345&gt;=DATE(2003,1,1)),COUNTIFS($C$2:$C345,"&gt;="&amp;DATE(2003,1,1),$A$2:$A345,"&lt;&gt;"),"")</f>
        <v/>
      </c>
    </row>
    <row r="346" spans="1:24">
      <c r="A346" t="str">
        <f>IF('Sol Bekler'!A48="","",'Sol Bekler'!A48)</f>
        <v/>
      </c>
      <c r="B346" t="str">
        <f>IF('Sol Bekler'!B48="","",'Sol Bekler'!B48)</f>
        <v/>
      </c>
      <c r="C346" s="2" t="str">
        <f>IF('Sol Bekler'!C48="","",'Sol Bekler'!C48)</f>
        <v/>
      </c>
      <c r="D346" t="str">
        <f ca="1">IF('Sol Bekler'!D48="","",'Sol Bekler'!D48)</f>
        <v/>
      </c>
      <c r="E346" t="str">
        <f>IF('Sol Bekler'!E48="","",'Sol Bekler'!E48)</f>
        <v>Sol Bek</v>
      </c>
      <c r="F346" t="str">
        <f>IF('Sol Bekler'!G48="","",'Sol Bekler'!G48)</f>
        <v/>
      </c>
      <c r="G346" s="2" t="str">
        <f>IF('Sol Bekler'!H48="","",'Sol Bekler'!H48)</f>
        <v/>
      </c>
      <c r="H346" t="str">
        <f>IF('Sol Bekler'!I48="","",'Sol Bekler'!I48)</f>
        <v/>
      </c>
      <c r="I346" t="str">
        <f>IF('Sol Bekler'!A48="","",'Sol Bekler'!J48)</f>
        <v/>
      </c>
      <c r="J346" t="str">
        <f>IF('Sol Bekler'!A48="","",'Sol Bekler'!K48)</f>
        <v/>
      </c>
      <c r="K346" t="str">
        <f>IF('Sol Bekler'!L48="","",'Sol Bekler'!L48)</f>
        <v/>
      </c>
      <c r="L346" t="str">
        <f>IF('Sol Bekler'!M48="","",'Sol Bekler'!M48)</f>
        <v/>
      </c>
      <c r="M346" t="str">
        <f>IF('Sol Bekler'!N48="","",'Sol Bekler'!N48)</f>
        <v/>
      </c>
      <c r="N346" t="str">
        <f>IF('Sol Bekler'!O48="","",'Sol Bekler'!O48)</f>
        <v/>
      </c>
      <c r="O346" t="str">
        <f>IF('Sol Bekler'!P48="","",'Sol Bekler'!P48)</f>
        <v/>
      </c>
      <c r="P346" t="str">
        <f>IF('Sol Bekler'!Q48="","",'Sol Bekler'!Q48)</f>
        <v/>
      </c>
      <c r="Q346" t="str">
        <f>IF('Sol Bekler'!R48="","",'Sol Bekler'!R48)</f>
        <v/>
      </c>
      <c r="R346" t="str">
        <f>IF('Sol Bekler'!S48="","",'Sol Bekler'!S48)</f>
        <v/>
      </c>
      <c r="S346" t="str">
        <f>IF('Sol Bekler'!T48="","",'Sol Bekler'!T48)</f>
        <v/>
      </c>
      <c r="T346" s="2" t="str">
        <f>IF('Sol Bekler'!U48="","",'Sol Bekler'!U48)</f>
        <v/>
      </c>
      <c r="U346" t="s">
        <v>929</v>
      </c>
      <c r="V346">
        <v>48</v>
      </c>
      <c r="W346" t="str">
        <f ca="1">IF(AND($A346&lt;&gt;"",ISNUMBER($G346),$G346&gt;=TODAY(),$G346&lt;=EDATE(TODAY(),12)),COUNTIFS($G$2:$G$1001,"&gt;="&amp;TODAY(),$G$2:$G$1001,"&lt;"&amp;$G346,$A$2:$A$1001,"&lt;&gt;")+COUNTIFS($G$2:$G346,$G346,$A$2:$A346,"&lt;&gt;"),"")</f>
        <v/>
      </c>
      <c r="X346" t="str">
        <f>IF(AND($A346&lt;&gt;"",ISNUMBER($C346),$C346&gt;=DATE(2003,1,1)),COUNTIFS($C$2:$C346,"&gt;="&amp;DATE(2003,1,1),$A$2:$A346,"&lt;&gt;"),"")</f>
        <v/>
      </c>
    </row>
    <row r="347" spans="1:24">
      <c r="A347" t="str">
        <f>IF('Sol Bekler'!A49="","",'Sol Bekler'!A49)</f>
        <v/>
      </c>
      <c r="B347" t="str">
        <f>IF('Sol Bekler'!B49="","",'Sol Bekler'!B49)</f>
        <v/>
      </c>
      <c r="C347" s="2" t="str">
        <f>IF('Sol Bekler'!C49="","",'Sol Bekler'!C49)</f>
        <v/>
      </c>
      <c r="D347" t="str">
        <f ca="1">IF('Sol Bekler'!D49="","",'Sol Bekler'!D49)</f>
        <v/>
      </c>
      <c r="E347" t="str">
        <f>IF('Sol Bekler'!E49="","",'Sol Bekler'!E49)</f>
        <v>Sol Bek</v>
      </c>
      <c r="F347" t="str">
        <f>IF('Sol Bekler'!G49="","",'Sol Bekler'!G49)</f>
        <v/>
      </c>
      <c r="G347" s="2" t="str">
        <f>IF('Sol Bekler'!H49="","",'Sol Bekler'!H49)</f>
        <v/>
      </c>
      <c r="H347" t="str">
        <f>IF('Sol Bekler'!I49="","",'Sol Bekler'!I49)</f>
        <v/>
      </c>
      <c r="I347" t="str">
        <f>IF('Sol Bekler'!A49="","",'Sol Bekler'!J49)</f>
        <v/>
      </c>
      <c r="J347" t="str">
        <f>IF('Sol Bekler'!A49="","",'Sol Bekler'!K49)</f>
        <v/>
      </c>
      <c r="K347" t="str">
        <f>IF('Sol Bekler'!L49="","",'Sol Bekler'!L49)</f>
        <v/>
      </c>
      <c r="L347" t="str">
        <f>IF('Sol Bekler'!M49="","",'Sol Bekler'!M49)</f>
        <v/>
      </c>
      <c r="M347" t="str">
        <f>IF('Sol Bekler'!N49="","",'Sol Bekler'!N49)</f>
        <v/>
      </c>
      <c r="N347" t="str">
        <f>IF('Sol Bekler'!O49="","",'Sol Bekler'!O49)</f>
        <v/>
      </c>
      <c r="O347" t="str">
        <f>IF('Sol Bekler'!P49="","",'Sol Bekler'!P49)</f>
        <v/>
      </c>
      <c r="P347" t="str">
        <f>IF('Sol Bekler'!Q49="","",'Sol Bekler'!Q49)</f>
        <v/>
      </c>
      <c r="Q347" t="str">
        <f>IF('Sol Bekler'!R49="","",'Sol Bekler'!R49)</f>
        <v/>
      </c>
      <c r="R347" t="str">
        <f>IF('Sol Bekler'!S49="","",'Sol Bekler'!S49)</f>
        <v/>
      </c>
      <c r="S347" t="str">
        <f>IF('Sol Bekler'!T49="","",'Sol Bekler'!T49)</f>
        <v/>
      </c>
      <c r="T347" s="2" t="str">
        <f>IF('Sol Bekler'!U49="","",'Sol Bekler'!U49)</f>
        <v/>
      </c>
      <c r="U347" t="s">
        <v>929</v>
      </c>
      <c r="V347">
        <v>49</v>
      </c>
      <c r="W347" t="str">
        <f ca="1">IF(AND($A347&lt;&gt;"",ISNUMBER($G347),$G347&gt;=TODAY(),$G347&lt;=EDATE(TODAY(),12)),COUNTIFS($G$2:$G$1001,"&gt;="&amp;TODAY(),$G$2:$G$1001,"&lt;"&amp;$G347,$A$2:$A$1001,"&lt;&gt;")+COUNTIFS($G$2:$G347,$G347,$A$2:$A347,"&lt;&gt;"),"")</f>
        <v/>
      </c>
      <c r="X347" t="str">
        <f>IF(AND($A347&lt;&gt;"",ISNUMBER($C347),$C347&gt;=DATE(2003,1,1)),COUNTIFS($C$2:$C347,"&gt;="&amp;DATE(2003,1,1),$A$2:$A347,"&lt;&gt;"),"")</f>
        <v/>
      </c>
    </row>
    <row r="348" spans="1:24">
      <c r="A348" t="str">
        <f>IF('Sol Bekler'!A50="","",'Sol Bekler'!A50)</f>
        <v/>
      </c>
      <c r="B348" t="str">
        <f>IF('Sol Bekler'!B50="","",'Sol Bekler'!B50)</f>
        <v/>
      </c>
      <c r="C348" s="2" t="str">
        <f>IF('Sol Bekler'!C50="","",'Sol Bekler'!C50)</f>
        <v/>
      </c>
      <c r="D348" t="str">
        <f ca="1">IF('Sol Bekler'!D50="","",'Sol Bekler'!D50)</f>
        <v/>
      </c>
      <c r="E348" t="str">
        <f>IF('Sol Bekler'!E50="","",'Sol Bekler'!E50)</f>
        <v>Sol Bek</v>
      </c>
      <c r="F348" t="str">
        <f>IF('Sol Bekler'!G50="","",'Sol Bekler'!G50)</f>
        <v/>
      </c>
      <c r="G348" s="2" t="str">
        <f>IF('Sol Bekler'!H50="","",'Sol Bekler'!H50)</f>
        <v/>
      </c>
      <c r="H348" t="str">
        <f>IF('Sol Bekler'!I50="","",'Sol Bekler'!I50)</f>
        <v/>
      </c>
      <c r="I348" t="str">
        <f>IF('Sol Bekler'!A50="","",'Sol Bekler'!J50)</f>
        <v/>
      </c>
      <c r="J348" t="str">
        <f>IF('Sol Bekler'!A50="","",'Sol Bekler'!K50)</f>
        <v/>
      </c>
      <c r="K348" t="str">
        <f>IF('Sol Bekler'!L50="","",'Sol Bekler'!L50)</f>
        <v/>
      </c>
      <c r="L348" t="str">
        <f>IF('Sol Bekler'!M50="","",'Sol Bekler'!M50)</f>
        <v/>
      </c>
      <c r="M348" t="str">
        <f>IF('Sol Bekler'!N50="","",'Sol Bekler'!N50)</f>
        <v/>
      </c>
      <c r="N348" t="str">
        <f>IF('Sol Bekler'!O50="","",'Sol Bekler'!O50)</f>
        <v/>
      </c>
      <c r="O348" t="str">
        <f>IF('Sol Bekler'!P50="","",'Sol Bekler'!P50)</f>
        <v/>
      </c>
      <c r="P348" t="str">
        <f>IF('Sol Bekler'!Q50="","",'Sol Bekler'!Q50)</f>
        <v/>
      </c>
      <c r="Q348" t="str">
        <f>IF('Sol Bekler'!R50="","",'Sol Bekler'!R50)</f>
        <v/>
      </c>
      <c r="R348" t="str">
        <f>IF('Sol Bekler'!S50="","",'Sol Bekler'!S50)</f>
        <v/>
      </c>
      <c r="S348" t="str">
        <f>IF('Sol Bekler'!T50="","",'Sol Bekler'!T50)</f>
        <v/>
      </c>
      <c r="T348" s="2" t="str">
        <f>IF('Sol Bekler'!U50="","",'Sol Bekler'!U50)</f>
        <v/>
      </c>
      <c r="U348" t="s">
        <v>929</v>
      </c>
      <c r="V348">
        <v>50</v>
      </c>
      <c r="W348" t="str">
        <f ca="1">IF(AND($A348&lt;&gt;"",ISNUMBER($G348),$G348&gt;=TODAY(),$G348&lt;=EDATE(TODAY(),12)),COUNTIFS($G$2:$G$1001,"&gt;="&amp;TODAY(),$G$2:$G$1001,"&lt;"&amp;$G348,$A$2:$A$1001,"&lt;&gt;")+COUNTIFS($G$2:$G348,$G348,$A$2:$A348,"&lt;&gt;"),"")</f>
        <v/>
      </c>
      <c r="X348" t="str">
        <f>IF(AND($A348&lt;&gt;"",ISNUMBER($C348),$C348&gt;=DATE(2003,1,1)),COUNTIFS($C$2:$C348,"&gt;="&amp;DATE(2003,1,1),$A$2:$A348,"&lt;&gt;"),"")</f>
        <v/>
      </c>
    </row>
    <row r="349" spans="1:24">
      <c r="A349" t="str">
        <f>IF('Sol Bekler'!A51="","",'Sol Bekler'!A51)</f>
        <v/>
      </c>
      <c r="B349" t="str">
        <f>IF('Sol Bekler'!B51="","",'Sol Bekler'!B51)</f>
        <v/>
      </c>
      <c r="C349" s="2" t="str">
        <f>IF('Sol Bekler'!C51="","",'Sol Bekler'!C51)</f>
        <v/>
      </c>
      <c r="D349" t="str">
        <f ca="1">IF('Sol Bekler'!D51="","",'Sol Bekler'!D51)</f>
        <v/>
      </c>
      <c r="E349" t="str">
        <f>IF('Sol Bekler'!E51="","",'Sol Bekler'!E51)</f>
        <v>Sol Bek</v>
      </c>
      <c r="F349" t="str">
        <f>IF('Sol Bekler'!G51="","",'Sol Bekler'!G51)</f>
        <v/>
      </c>
      <c r="G349" s="2" t="str">
        <f>IF('Sol Bekler'!H51="","",'Sol Bekler'!H51)</f>
        <v/>
      </c>
      <c r="H349" t="str">
        <f>IF('Sol Bekler'!I51="","",'Sol Bekler'!I51)</f>
        <v/>
      </c>
      <c r="I349" t="str">
        <f>IF('Sol Bekler'!A51="","",'Sol Bekler'!J51)</f>
        <v/>
      </c>
      <c r="J349" t="str">
        <f>IF('Sol Bekler'!A51="","",'Sol Bekler'!K51)</f>
        <v/>
      </c>
      <c r="K349" t="str">
        <f>IF('Sol Bekler'!L51="","",'Sol Bekler'!L51)</f>
        <v/>
      </c>
      <c r="L349" t="str">
        <f>IF('Sol Bekler'!M51="","",'Sol Bekler'!M51)</f>
        <v/>
      </c>
      <c r="M349" t="str">
        <f>IF('Sol Bekler'!N51="","",'Sol Bekler'!N51)</f>
        <v/>
      </c>
      <c r="N349" t="str">
        <f>IF('Sol Bekler'!O51="","",'Sol Bekler'!O51)</f>
        <v/>
      </c>
      <c r="O349" t="str">
        <f>IF('Sol Bekler'!P51="","",'Sol Bekler'!P51)</f>
        <v/>
      </c>
      <c r="P349" t="str">
        <f>IF('Sol Bekler'!Q51="","",'Sol Bekler'!Q51)</f>
        <v/>
      </c>
      <c r="Q349" t="str">
        <f>IF('Sol Bekler'!R51="","",'Sol Bekler'!R51)</f>
        <v/>
      </c>
      <c r="R349" t="str">
        <f>IF('Sol Bekler'!S51="","",'Sol Bekler'!S51)</f>
        <v/>
      </c>
      <c r="S349" t="str">
        <f>IF('Sol Bekler'!T51="","",'Sol Bekler'!T51)</f>
        <v/>
      </c>
      <c r="T349" s="2" t="str">
        <f>IF('Sol Bekler'!U51="","",'Sol Bekler'!U51)</f>
        <v/>
      </c>
      <c r="U349" t="s">
        <v>929</v>
      </c>
      <c r="V349">
        <v>51</v>
      </c>
      <c r="W349" t="str">
        <f ca="1">IF(AND($A349&lt;&gt;"",ISNUMBER($G349),$G349&gt;=TODAY(),$G349&lt;=EDATE(TODAY(),12)),COUNTIFS($G$2:$G$1001,"&gt;="&amp;TODAY(),$G$2:$G$1001,"&lt;"&amp;$G349,$A$2:$A$1001,"&lt;&gt;")+COUNTIFS($G$2:$G349,$G349,$A$2:$A349,"&lt;&gt;"),"")</f>
        <v/>
      </c>
      <c r="X349" t="str">
        <f>IF(AND($A349&lt;&gt;"",ISNUMBER($C349),$C349&gt;=DATE(2003,1,1)),COUNTIFS($C$2:$C349,"&gt;="&amp;DATE(2003,1,1),$A$2:$A349,"&lt;&gt;"),"")</f>
        <v/>
      </c>
    </row>
    <row r="350" spans="1:24">
      <c r="A350" t="str">
        <f>IF('Sol Bekler'!A52="","",'Sol Bekler'!A52)</f>
        <v/>
      </c>
      <c r="B350" t="str">
        <f>IF('Sol Bekler'!B52="","",'Sol Bekler'!B52)</f>
        <v/>
      </c>
      <c r="C350" s="2" t="str">
        <f>IF('Sol Bekler'!C52="","",'Sol Bekler'!C52)</f>
        <v/>
      </c>
      <c r="D350" t="str">
        <f ca="1">IF('Sol Bekler'!D52="","",'Sol Bekler'!D52)</f>
        <v/>
      </c>
      <c r="E350" t="str">
        <f>IF('Sol Bekler'!E52="","",'Sol Bekler'!E52)</f>
        <v>Sol Bek</v>
      </c>
      <c r="F350" t="str">
        <f>IF('Sol Bekler'!G52="","",'Sol Bekler'!G52)</f>
        <v/>
      </c>
      <c r="G350" s="2" t="str">
        <f>IF('Sol Bekler'!H52="","",'Sol Bekler'!H52)</f>
        <v/>
      </c>
      <c r="H350" t="str">
        <f>IF('Sol Bekler'!I52="","",'Sol Bekler'!I52)</f>
        <v/>
      </c>
      <c r="I350" t="str">
        <f>IF('Sol Bekler'!A52="","",'Sol Bekler'!J52)</f>
        <v/>
      </c>
      <c r="J350" t="str">
        <f>IF('Sol Bekler'!A52="","",'Sol Bekler'!K52)</f>
        <v/>
      </c>
      <c r="K350" t="str">
        <f>IF('Sol Bekler'!L52="","",'Sol Bekler'!L52)</f>
        <v/>
      </c>
      <c r="L350" t="str">
        <f>IF('Sol Bekler'!M52="","",'Sol Bekler'!M52)</f>
        <v/>
      </c>
      <c r="M350" t="str">
        <f>IF('Sol Bekler'!N52="","",'Sol Bekler'!N52)</f>
        <v/>
      </c>
      <c r="N350" t="str">
        <f>IF('Sol Bekler'!O52="","",'Sol Bekler'!O52)</f>
        <v/>
      </c>
      <c r="O350" t="str">
        <f>IF('Sol Bekler'!P52="","",'Sol Bekler'!P52)</f>
        <v/>
      </c>
      <c r="P350" t="str">
        <f>IF('Sol Bekler'!Q52="","",'Sol Bekler'!Q52)</f>
        <v/>
      </c>
      <c r="Q350" t="str">
        <f>IF('Sol Bekler'!R52="","",'Sol Bekler'!R52)</f>
        <v/>
      </c>
      <c r="R350" t="str">
        <f>IF('Sol Bekler'!S52="","",'Sol Bekler'!S52)</f>
        <v/>
      </c>
      <c r="S350" t="str">
        <f>IF('Sol Bekler'!T52="","",'Sol Bekler'!T52)</f>
        <v/>
      </c>
      <c r="T350" s="2" t="str">
        <f>IF('Sol Bekler'!U52="","",'Sol Bekler'!U52)</f>
        <v/>
      </c>
      <c r="U350" t="s">
        <v>929</v>
      </c>
      <c r="V350">
        <v>52</v>
      </c>
      <c r="W350" t="str">
        <f ca="1">IF(AND($A350&lt;&gt;"",ISNUMBER($G350),$G350&gt;=TODAY(),$G350&lt;=EDATE(TODAY(),12)),COUNTIFS($G$2:$G$1001,"&gt;="&amp;TODAY(),$G$2:$G$1001,"&lt;"&amp;$G350,$A$2:$A$1001,"&lt;&gt;")+COUNTIFS($G$2:$G350,$G350,$A$2:$A350,"&lt;&gt;"),"")</f>
        <v/>
      </c>
      <c r="X350" t="str">
        <f>IF(AND($A350&lt;&gt;"",ISNUMBER($C350),$C350&gt;=DATE(2003,1,1)),COUNTIFS($C$2:$C350,"&gt;="&amp;DATE(2003,1,1),$A$2:$A350,"&lt;&gt;"),"")</f>
        <v/>
      </c>
    </row>
    <row r="351" spans="1:24">
      <c r="A351" t="str">
        <f>IF('Sol Bekler'!A53="","",'Sol Bekler'!A53)</f>
        <v/>
      </c>
      <c r="B351" t="str">
        <f>IF('Sol Bekler'!B53="","",'Sol Bekler'!B53)</f>
        <v/>
      </c>
      <c r="C351" s="2" t="str">
        <f>IF('Sol Bekler'!C53="","",'Sol Bekler'!C53)</f>
        <v/>
      </c>
      <c r="D351" t="str">
        <f ca="1">IF('Sol Bekler'!D53="","",'Sol Bekler'!D53)</f>
        <v/>
      </c>
      <c r="E351" t="str">
        <f>IF('Sol Bekler'!E53="","",'Sol Bekler'!E53)</f>
        <v>Sol Bek</v>
      </c>
      <c r="F351" t="str">
        <f>IF('Sol Bekler'!G53="","",'Sol Bekler'!G53)</f>
        <v/>
      </c>
      <c r="G351" s="2" t="str">
        <f>IF('Sol Bekler'!H53="","",'Sol Bekler'!H53)</f>
        <v/>
      </c>
      <c r="H351" t="str">
        <f>IF('Sol Bekler'!I53="","",'Sol Bekler'!I53)</f>
        <v/>
      </c>
      <c r="I351" t="str">
        <f>IF('Sol Bekler'!A53="","",'Sol Bekler'!J53)</f>
        <v/>
      </c>
      <c r="J351" t="str">
        <f>IF('Sol Bekler'!A53="","",'Sol Bekler'!K53)</f>
        <v/>
      </c>
      <c r="K351" t="str">
        <f>IF('Sol Bekler'!L53="","",'Sol Bekler'!L53)</f>
        <v/>
      </c>
      <c r="L351" t="str">
        <f>IF('Sol Bekler'!M53="","",'Sol Bekler'!M53)</f>
        <v/>
      </c>
      <c r="M351" t="str">
        <f>IF('Sol Bekler'!N53="","",'Sol Bekler'!N53)</f>
        <v/>
      </c>
      <c r="N351" t="str">
        <f>IF('Sol Bekler'!O53="","",'Sol Bekler'!O53)</f>
        <v/>
      </c>
      <c r="O351" t="str">
        <f>IF('Sol Bekler'!P53="","",'Sol Bekler'!P53)</f>
        <v/>
      </c>
      <c r="P351" t="str">
        <f>IF('Sol Bekler'!Q53="","",'Sol Bekler'!Q53)</f>
        <v/>
      </c>
      <c r="Q351" t="str">
        <f>IF('Sol Bekler'!R53="","",'Sol Bekler'!R53)</f>
        <v/>
      </c>
      <c r="R351" t="str">
        <f>IF('Sol Bekler'!S53="","",'Sol Bekler'!S53)</f>
        <v/>
      </c>
      <c r="S351" t="str">
        <f>IF('Sol Bekler'!T53="","",'Sol Bekler'!T53)</f>
        <v/>
      </c>
      <c r="T351" s="2" t="str">
        <f>IF('Sol Bekler'!U53="","",'Sol Bekler'!U53)</f>
        <v/>
      </c>
      <c r="U351" t="s">
        <v>929</v>
      </c>
      <c r="V351">
        <v>53</v>
      </c>
      <c r="W351" t="str">
        <f ca="1">IF(AND($A351&lt;&gt;"",ISNUMBER($G351),$G351&gt;=TODAY(),$G351&lt;=EDATE(TODAY(),12)),COUNTIFS($G$2:$G$1001,"&gt;="&amp;TODAY(),$G$2:$G$1001,"&lt;"&amp;$G351,$A$2:$A$1001,"&lt;&gt;")+COUNTIFS($G$2:$G351,$G351,$A$2:$A351,"&lt;&gt;"),"")</f>
        <v/>
      </c>
      <c r="X351" t="str">
        <f>IF(AND($A351&lt;&gt;"",ISNUMBER($C351),$C351&gt;=DATE(2003,1,1)),COUNTIFS($C$2:$C351,"&gt;="&amp;DATE(2003,1,1),$A$2:$A351,"&lt;&gt;"),"")</f>
        <v/>
      </c>
    </row>
    <row r="352" spans="1:24">
      <c r="A352" t="str">
        <f>IF('Sol Bekler'!A54="","",'Sol Bekler'!A54)</f>
        <v/>
      </c>
      <c r="B352" t="str">
        <f>IF('Sol Bekler'!B54="","",'Sol Bekler'!B54)</f>
        <v/>
      </c>
      <c r="C352" s="2" t="str">
        <f>IF('Sol Bekler'!C54="","",'Sol Bekler'!C54)</f>
        <v/>
      </c>
      <c r="D352" t="str">
        <f ca="1">IF('Sol Bekler'!D54="","",'Sol Bekler'!D54)</f>
        <v/>
      </c>
      <c r="E352" t="str">
        <f>IF('Sol Bekler'!E54="","",'Sol Bekler'!E54)</f>
        <v>Sol Bek</v>
      </c>
      <c r="F352" t="str">
        <f>IF('Sol Bekler'!G54="","",'Sol Bekler'!G54)</f>
        <v/>
      </c>
      <c r="G352" s="2" t="str">
        <f>IF('Sol Bekler'!H54="","",'Sol Bekler'!H54)</f>
        <v/>
      </c>
      <c r="H352" t="str">
        <f>IF('Sol Bekler'!I54="","",'Sol Bekler'!I54)</f>
        <v/>
      </c>
      <c r="I352" t="str">
        <f>IF('Sol Bekler'!A54="","",'Sol Bekler'!J54)</f>
        <v/>
      </c>
      <c r="J352" t="str">
        <f>IF('Sol Bekler'!A54="","",'Sol Bekler'!K54)</f>
        <v/>
      </c>
      <c r="K352" t="str">
        <f>IF('Sol Bekler'!L54="","",'Sol Bekler'!L54)</f>
        <v/>
      </c>
      <c r="L352" t="str">
        <f>IF('Sol Bekler'!M54="","",'Sol Bekler'!M54)</f>
        <v/>
      </c>
      <c r="M352" t="str">
        <f>IF('Sol Bekler'!N54="","",'Sol Bekler'!N54)</f>
        <v/>
      </c>
      <c r="N352" t="str">
        <f>IF('Sol Bekler'!O54="","",'Sol Bekler'!O54)</f>
        <v/>
      </c>
      <c r="O352" t="str">
        <f>IF('Sol Bekler'!P54="","",'Sol Bekler'!P54)</f>
        <v/>
      </c>
      <c r="P352" t="str">
        <f>IF('Sol Bekler'!Q54="","",'Sol Bekler'!Q54)</f>
        <v/>
      </c>
      <c r="Q352" t="str">
        <f>IF('Sol Bekler'!R54="","",'Sol Bekler'!R54)</f>
        <v/>
      </c>
      <c r="R352" t="str">
        <f>IF('Sol Bekler'!S54="","",'Sol Bekler'!S54)</f>
        <v/>
      </c>
      <c r="S352" t="str">
        <f>IF('Sol Bekler'!T54="","",'Sol Bekler'!T54)</f>
        <v/>
      </c>
      <c r="T352" s="2" t="str">
        <f>IF('Sol Bekler'!U54="","",'Sol Bekler'!U54)</f>
        <v/>
      </c>
      <c r="U352" t="s">
        <v>929</v>
      </c>
      <c r="V352">
        <v>54</v>
      </c>
      <c r="W352" t="str">
        <f ca="1">IF(AND($A352&lt;&gt;"",ISNUMBER($G352),$G352&gt;=TODAY(),$G352&lt;=EDATE(TODAY(),12)),COUNTIFS($G$2:$G$1001,"&gt;="&amp;TODAY(),$G$2:$G$1001,"&lt;"&amp;$G352,$A$2:$A$1001,"&lt;&gt;")+COUNTIFS($G$2:$G352,$G352,$A$2:$A352,"&lt;&gt;"),"")</f>
        <v/>
      </c>
      <c r="X352" t="str">
        <f>IF(AND($A352&lt;&gt;"",ISNUMBER($C352),$C352&gt;=DATE(2003,1,1)),COUNTIFS($C$2:$C352,"&gt;="&amp;DATE(2003,1,1),$A$2:$A352,"&lt;&gt;"),"")</f>
        <v/>
      </c>
    </row>
    <row r="353" spans="1:24">
      <c r="A353" t="str">
        <f>IF('Sol Bekler'!A55="","",'Sol Bekler'!A55)</f>
        <v/>
      </c>
      <c r="B353" t="str">
        <f>IF('Sol Bekler'!B55="","",'Sol Bekler'!B55)</f>
        <v/>
      </c>
      <c r="C353" s="2" t="str">
        <f>IF('Sol Bekler'!C55="","",'Sol Bekler'!C55)</f>
        <v/>
      </c>
      <c r="D353" t="str">
        <f ca="1">IF('Sol Bekler'!D55="","",'Sol Bekler'!D55)</f>
        <v/>
      </c>
      <c r="E353" t="str">
        <f>IF('Sol Bekler'!E55="","",'Sol Bekler'!E55)</f>
        <v>Sol Bek</v>
      </c>
      <c r="F353" t="str">
        <f>IF('Sol Bekler'!G55="","",'Sol Bekler'!G55)</f>
        <v/>
      </c>
      <c r="G353" s="2" t="str">
        <f>IF('Sol Bekler'!H55="","",'Sol Bekler'!H55)</f>
        <v/>
      </c>
      <c r="H353" t="str">
        <f>IF('Sol Bekler'!I55="","",'Sol Bekler'!I55)</f>
        <v/>
      </c>
      <c r="I353" t="str">
        <f>IF('Sol Bekler'!A55="","",'Sol Bekler'!J55)</f>
        <v/>
      </c>
      <c r="J353" t="str">
        <f>IF('Sol Bekler'!A55="","",'Sol Bekler'!K55)</f>
        <v/>
      </c>
      <c r="K353" t="str">
        <f>IF('Sol Bekler'!L55="","",'Sol Bekler'!L55)</f>
        <v/>
      </c>
      <c r="L353" t="str">
        <f>IF('Sol Bekler'!M55="","",'Sol Bekler'!M55)</f>
        <v/>
      </c>
      <c r="M353" t="str">
        <f>IF('Sol Bekler'!N55="","",'Sol Bekler'!N55)</f>
        <v/>
      </c>
      <c r="N353" t="str">
        <f>IF('Sol Bekler'!O55="","",'Sol Bekler'!O55)</f>
        <v/>
      </c>
      <c r="O353" t="str">
        <f>IF('Sol Bekler'!P55="","",'Sol Bekler'!P55)</f>
        <v/>
      </c>
      <c r="P353" t="str">
        <f>IF('Sol Bekler'!Q55="","",'Sol Bekler'!Q55)</f>
        <v/>
      </c>
      <c r="Q353" t="str">
        <f>IF('Sol Bekler'!R55="","",'Sol Bekler'!R55)</f>
        <v/>
      </c>
      <c r="R353" t="str">
        <f>IF('Sol Bekler'!S55="","",'Sol Bekler'!S55)</f>
        <v/>
      </c>
      <c r="S353" t="str">
        <f>IF('Sol Bekler'!T55="","",'Sol Bekler'!T55)</f>
        <v/>
      </c>
      <c r="T353" s="2" t="str">
        <f>IF('Sol Bekler'!U55="","",'Sol Bekler'!U55)</f>
        <v/>
      </c>
      <c r="U353" t="s">
        <v>929</v>
      </c>
      <c r="V353">
        <v>55</v>
      </c>
      <c r="W353" t="str">
        <f ca="1">IF(AND($A353&lt;&gt;"",ISNUMBER($G353),$G353&gt;=TODAY(),$G353&lt;=EDATE(TODAY(),12)),COUNTIFS($G$2:$G$1001,"&gt;="&amp;TODAY(),$G$2:$G$1001,"&lt;"&amp;$G353,$A$2:$A$1001,"&lt;&gt;")+COUNTIFS($G$2:$G353,$G353,$A$2:$A353,"&lt;&gt;"),"")</f>
        <v/>
      </c>
      <c r="X353" t="str">
        <f>IF(AND($A353&lt;&gt;"",ISNUMBER($C353),$C353&gt;=DATE(2003,1,1)),COUNTIFS($C$2:$C353,"&gt;="&amp;DATE(2003,1,1),$A$2:$A353,"&lt;&gt;"),"")</f>
        <v/>
      </c>
    </row>
    <row r="354" spans="1:24">
      <c r="A354" t="str">
        <f>IF('Sol Bekler'!A56="","",'Sol Bekler'!A56)</f>
        <v/>
      </c>
      <c r="B354" t="str">
        <f>IF('Sol Bekler'!B56="","",'Sol Bekler'!B56)</f>
        <v/>
      </c>
      <c r="C354" s="2" t="str">
        <f>IF('Sol Bekler'!C56="","",'Sol Bekler'!C56)</f>
        <v/>
      </c>
      <c r="D354" t="str">
        <f ca="1">IF('Sol Bekler'!D56="","",'Sol Bekler'!D56)</f>
        <v/>
      </c>
      <c r="E354" t="str">
        <f>IF('Sol Bekler'!E56="","",'Sol Bekler'!E56)</f>
        <v>Sol Bek</v>
      </c>
      <c r="F354" t="str">
        <f>IF('Sol Bekler'!G56="","",'Sol Bekler'!G56)</f>
        <v/>
      </c>
      <c r="G354" s="2" t="str">
        <f>IF('Sol Bekler'!H56="","",'Sol Bekler'!H56)</f>
        <v/>
      </c>
      <c r="H354" t="str">
        <f>IF('Sol Bekler'!I56="","",'Sol Bekler'!I56)</f>
        <v/>
      </c>
      <c r="I354" t="str">
        <f>IF('Sol Bekler'!A56="","",'Sol Bekler'!J56)</f>
        <v/>
      </c>
      <c r="J354" t="str">
        <f>IF('Sol Bekler'!A56="","",'Sol Bekler'!K56)</f>
        <v/>
      </c>
      <c r="K354" t="str">
        <f>IF('Sol Bekler'!L56="","",'Sol Bekler'!L56)</f>
        <v/>
      </c>
      <c r="L354" t="str">
        <f>IF('Sol Bekler'!M56="","",'Sol Bekler'!M56)</f>
        <v/>
      </c>
      <c r="M354" t="str">
        <f>IF('Sol Bekler'!N56="","",'Sol Bekler'!N56)</f>
        <v/>
      </c>
      <c r="N354" t="str">
        <f>IF('Sol Bekler'!O56="","",'Sol Bekler'!O56)</f>
        <v/>
      </c>
      <c r="O354" t="str">
        <f>IF('Sol Bekler'!P56="","",'Sol Bekler'!P56)</f>
        <v/>
      </c>
      <c r="P354" t="str">
        <f>IF('Sol Bekler'!Q56="","",'Sol Bekler'!Q56)</f>
        <v/>
      </c>
      <c r="Q354" t="str">
        <f>IF('Sol Bekler'!R56="","",'Sol Bekler'!R56)</f>
        <v/>
      </c>
      <c r="R354" t="str">
        <f>IF('Sol Bekler'!S56="","",'Sol Bekler'!S56)</f>
        <v/>
      </c>
      <c r="S354" t="str">
        <f>IF('Sol Bekler'!T56="","",'Sol Bekler'!T56)</f>
        <v/>
      </c>
      <c r="T354" s="2" t="str">
        <f>IF('Sol Bekler'!U56="","",'Sol Bekler'!U56)</f>
        <v/>
      </c>
      <c r="U354" t="s">
        <v>929</v>
      </c>
      <c r="V354">
        <v>56</v>
      </c>
      <c r="W354" t="str">
        <f ca="1">IF(AND($A354&lt;&gt;"",ISNUMBER($G354),$G354&gt;=TODAY(),$G354&lt;=EDATE(TODAY(),12)),COUNTIFS($G$2:$G$1001,"&gt;="&amp;TODAY(),$G$2:$G$1001,"&lt;"&amp;$G354,$A$2:$A$1001,"&lt;&gt;")+COUNTIFS($G$2:$G354,$G354,$A$2:$A354,"&lt;&gt;"),"")</f>
        <v/>
      </c>
      <c r="X354" t="str">
        <f>IF(AND($A354&lt;&gt;"",ISNUMBER($C354),$C354&gt;=DATE(2003,1,1)),COUNTIFS($C$2:$C354,"&gt;="&amp;DATE(2003,1,1),$A$2:$A354,"&lt;&gt;"),"")</f>
        <v/>
      </c>
    </row>
    <row r="355" spans="1:24">
      <c r="A355" t="str">
        <f>IF('Sol Bekler'!A57="","",'Sol Bekler'!A57)</f>
        <v/>
      </c>
      <c r="B355" t="str">
        <f>IF('Sol Bekler'!B57="","",'Sol Bekler'!B57)</f>
        <v/>
      </c>
      <c r="C355" s="2" t="str">
        <f>IF('Sol Bekler'!C57="","",'Sol Bekler'!C57)</f>
        <v/>
      </c>
      <c r="D355" t="str">
        <f ca="1">IF('Sol Bekler'!D57="","",'Sol Bekler'!D57)</f>
        <v/>
      </c>
      <c r="E355" t="str">
        <f>IF('Sol Bekler'!E57="","",'Sol Bekler'!E57)</f>
        <v>Sol Bek</v>
      </c>
      <c r="F355" t="str">
        <f>IF('Sol Bekler'!G57="","",'Sol Bekler'!G57)</f>
        <v/>
      </c>
      <c r="G355" s="2" t="str">
        <f>IF('Sol Bekler'!H57="","",'Sol Bekler'!H57)</f>
        <v/>
      </c>
      <c r="H355" t="str">
        <f>IF('Sol Bekler'!I57="","",'Sol Bekler'!I57)</f>
        <v/>
      </c>
      <c r="I355" t="str">
        <f>IF('Sol Bekler'!A57="","",'Sol Bekler'!J57)</f>
        <v/>
      </c>
      <c r="J355" t="str">
        <f>IF('Sol Bekler'!A57="","",'Sol Bekler'!K57)</f>
        <v/>
      </c>
      <c r="K355" t="str">
        <f>IF('Sol Bekler'!L57="","",'Sol Bekler'!L57)</f>
        <v/>
      </c>
      <c r="L355" t="str">
        <f>IF('Sol Bekler'!M57="","",'Sol Bekler'!M57)</f>
        <v/>
      </c>
      <c r="M355" t="str">
        <f>IF('Sol Bekler'!N57="","",'Sol Bekler'!N57)</f>
        <v/>
      </c>
      <c r="N355" t="str">
        <f>IF('Sol Bekler'!O57="","",'Sol Bekler'!O57)</f>
        <v/>
      </c>
      <c r="O355" t="str">
        <f>IF('Sol Bekler'!P57="","",'Sol Bekler'!P57)</f>
        <v/>
      </c>
      <c r="P355" t="str">
        <f>IF('Sol Bekler'!Q57="","",'Sol Bekler'!Q57)</f>
        <v/>
      </c>
      <c r="Q355" t="str">
        <f>IF('Sol Bekler'!R57="","",'Sol Bekler'!R57)</f>
        <v/>
      </c>
      <c r="R355" t="str">
        <f>IF('Sol Bekler'!S57="","",'Sol Bekler'!S57)</f>
        <v/>
      </c>
      <c r="S355" t="str">
        <f>IF('Sol Bekler'!T57="","",'Sol Bekler'!T57)</f>
        <v/>
      </c>
      <c r="T355" s="2" t="str">
        <f>IF('Sol Bekler'!U57="","",'Sol Bekler'!U57)</f>
        <v/>
      </c>
      <c r="U355" t="s">
        <v>929</v>
      </c>
      <c r="V355">
        <v>57</v>
      </c>
      <c r="W355" t="str">
        <f ca="1">IF(AND($A355&lt;&gt;"",ISNUMBER($G355),$G355&gt;=TODAY(),$G355&lt;=EDATE(TODAY(),12)),COUNTIFS($G$2:$G$1001,"&gt;="&amp;TODAY(),$G$2:$G$1001,"&lt;"&amp;$G355,$A$2:$A$1001,"&lt;&gt;")+COUNTIFS($G$2:$G355,$G355,$A$2:$A355,"&lt;&gt;"),"")</f>
        <v/>
      </c>
      <c r="X355" t="str">
        <f>IF(AND($A355&lt;&gt;"",ISNUMBER($C355),$C355&gt;=DATE(2003,1,1)),COUNTIFS($C$2:$C355,"&gt;="&amp;DATE(2003,1,1),$A$2:$A355,"&lt;&gt;"),"")</f>
        <v/>
      </c>
    </row>
    <row r="356" spans="1:24">
      <c r="A356" t="str">
        <f>IF('Sol Bekler'!A58="","",'Sol Bekler'!A58)</f>
        <v/>
      </c>
      <c r="B356" t="str">
        <f>IF('Sol Bekler'!B58="","",'Sol Bekler'!B58)</f>
        <v/>
      </c>
      <c r="C356" s="2" t="str">
        <f>IF('Sol Bekler'!C58="","",'Sol Bekler'!C58)</f>
        <v/>
      </c>
      <c r="D356" t="str">
        <f ca="1">IF('Sol Bekler'!D58="","",'Sol Bekler'!D58)</f>
        <v/>
      </c>
      <c r="E356" t="str">
        <f>IF('Sol Bekler'!E58="","",'Sol Bekler'!E58)</f>
        <v>Sol Bek</v>
      </c>
      <c r="F356" t="str">
        <f>IF('Sol Bekler'!G58="","",'Sol Bekler'!G58)</f>
        <v/>
      </c>
      <c r="G356" s="2" t="str">
        <f>IF('Sol Bekler'!H58="","",'Sol Bekler'!H58)</f>
        <v/>
      </c>
      <c r="H356" t="str">
        <f>IF('Sol Bekler'!I58="","",'Sol Bekler'!I58)</f>
        <v/>
      </c>
      <c r="I356" t="str">
        <f>IF('Sol Bekler'!A58="","",'Sol Bekler'!J58)</f>
        <v/>
      </c>
      <c r="J356" t="str">
        <f>IF('Sol Bekler'!A58="","",'Sol Bekler'!K58)</f>
        <v/>
      </c>
      <c r="K356" t="str">
        <f>IF('Sol Bekler'!L58="","",'Sol Bekler'!L58)</f>
        <v/>
      </c>
      <c r="L356" t="str">
        <f>IF('Sol Bekler'!M58="","",'Sol Bekler'!M58)</f>
        <v/>
      </c>
      <c r="M356" t="str">
        <f>IF('Sol Bekler'!N58="","",'Sol Bekler'!N58)</f>
        <v/>
      </c>
      <c r="N356" t="str">
        <f>IF('Sol Bekler'!O58="","",'Sol Bekler'!O58)</f>
        <v/>
      </c>
      <c r="O356" t="str">
        <f>IF('Sol Bekler'!P58="","",'Sol Bekler'!P58)</f>
        <v/>
      </c>
      <c r="P356" t="str">
        <f>IF('Sol Bekler'!Q58="","",'Sol Bekler'!Q58)</f>
        <v/>
      </c>
      <c r="Q356" t="str">
        <f>IF('Sol Bekler'!R58="","",'Sol Bekler'!R58)</f>
        <v/>
      </c>
      <c r="R356" t="str">
        <f>IF('Sol Bekler'!S58="","",'Sol Bekler'!S58)</f>
        <v/>
      </c>
      <c r="S356" t="str">
        <f>IF('Sol Bekler'!T58="","",'Sol Bekler'!T58)</f>
        <v/>
      </c>
      <c r="T356" s="2" t="str">
        <f>IF('Sol Bekler'!U58="","",'Sol Bekler'!U58)</f>
        <v/>
      </c>
      <c r="U356" t="s">
        <v>929</v>
      </c>
      <c r="V356">
        <v>58</v>
      </c>
      <c r="W356" t="str">
        <f ca="1">IF(AND($A356&lt;&gt;"",ISNUMBER($G356),$G356&gt;=TODAY(),$G356&lt;=EDATE(TODAY(),12)),COUNTIFS($G$2:$G$1001,"&gt;="&amp;TODAY(),$G$2:$G$1001,"&lt;"&amp;$G356,$A$2:$A$1001,"&lt;&gt;")+COUNTIFS($G$2:$G356,$G356,$A$2:$A356,"&lt;&gt;"),"")</f>
        <v/>
      </c>
      <c r="X356" t="str">
        <f>IF(AND($A356&lt;&gt;"",ISNUMBER($C356),$C356&gt;=DATE(2003,1,1)),COUNTIFS($C$2:$C356,"&gt;="&amp;DATE(2003,1,1),$A$2:$A356,"&lt;&gt;"),"")</f>
        <v/>
      </c>
    </row>
    <row r="357" spans="1:24">
      <c r="A357" t="str">
        <f>IF('Sol Bekler'!A59="","",'Sol Bekler'!A59)</f>
        <v/>
      </c>
      <c r="B357" t="str">
        <f>IF('Sol Bekler'!B59="","",'Sol Bekler'!B59)</f>
        <v/>
      </c>
      <c r="C357" s="2" t="str">
        <f>IF('Sol Bekler'!C59="","",'Sol Bekler'!C59)</f>
        <v/>
      </c>
      <c r="D357" t="str">
        <f ca="1">IF('Sol Bekler'!D59="","",'Sol Bekler'!D59)</f>
        <v/>
      </c>
      <c r="E357" t="str">
        <f>IF('Sol Bekler'!E59="","",'Sol Bekler'!E59)</f>
        <v>Sol Bek</v>
      </c>
      <c r="F357" t="str">
        <f>IF('Sol Bekler'!G59="","",'Sol Bekler'!G59)</f>
        <v/>
      </c>
      <c r="G357" s="2" t="str">
        <f>IF('Sol Bekler'!H59="","",'Sol Bekler'!H59)</f>
        <v/>
      </c>
      <c r="H357" t="str">
        <f>IF('Sol Bekler'!I59="","",'Sol Bekler'!I59)</f>
        <v/>
      </c>
      <c r="I357" t="str">
        <f>IF('Sol Bekler'!A59="","",'Sol Bekler'!J59)</f>
        <v/>
      </c>
      <c r="J357" t="str">
        <f>IF('Sol Bekler'!A59="","",'Sol Bekler'!K59)</f>
        <v/>
      </c>
      <c r="K357" t="str">
        <f>IF('Sol Bekler'!L59="","",'Sol Bekler'!L59)</f>
        <v/>
      </c>
      <c r="L357" t="str">
        <f>IF('Sol Bekler'!M59="","",'Sol Bekler'!M59)</f>
        <v/>
      </c>
      <c r="M357" t="str">
        <f>IF('Sol Bekler'!N59="","",'Sol Bekler'!N59)</f>
        <v/>
      </c>
      <c r="N357" t="str">
        <f>IF('Sol Bekler'!O59="","",'Sol Bekler'!O59)</f>
        <v/>
      </c>
      <c r="O357" t="str">
        <f>IF('Sol Bekler'!P59="","",'Sol Bekler'!P59)</f>
        <v/>
      </c>
      <c r="P357" t="str">
        <f>IF('Sol Bekler'!Q59="","",'Sol Bekler'!Q59)</f>
        <v/>
      </c>
      <c r="Q357" t="str">
        <f>IF('Sol Bekler'!R59="","",'Sol Bekler'!R59)</f>
        <v/>
      </c>
      <c r="R357" t="str">
        <f>IF('Sol Bekler'!S59="","",'Sol Bekler'!S59)</f>
        <v/>
      </c>
      <c r="S357" t="str">
        <f>IF('Sol Bekler'!T59="","",'Sol Bekler'!T59)</f>
        <v/>
      </c>
      <c r="T357" s="2" t="str">
        <f>IF('Sol Bekler'!U59="","",'Sol Bekler'!U59)</f>
        <v/>
      </c>
      <c r="U357" t="s">
        <v>929</v>
      </c>
      <c r="V357">
        <v>59</v>
      </c>
      <c r="W357" t="str">
        <f ca="1">IF(AND($A357&lt;&gt;"",ISNUMBER($G357),$G357&gt;=TODAY(),$G357&lt;=EDATE(TODAY(),12)),COUNTIFS($G$2:$G$1001,"&gt;="&amp;TODAY(),$G$2:$G$1001,"&lt;"&amp;$G357,$A$2:$A$1001,"&lt;&gt;")+COUNTIFS($G$2:$G357,$G357,$A$2:$A357,"&lt;&gt;"),"")</f>
        <v/>
      </c>
      <c r="X357" t="str">
        <f>IF(AND($A357&lt;&gt;"",ISNUMBER($C357),$C357&gt;=DATE(2003,1,1)),COUNTIFS($C$2:$C357,"&gt;="&amp;DATE(2003,1,1),$A$2:$A357,"&lt;&gt;"),"")</f>
        <v/>
      </c>
    </row>
    <row r="358" spans="1:24">
      <c r="A358" t="str">
        <f>IF('Sol Bekler'!A60="","",'Sol Bekler'!A60)</f>
        <v/>
      </c>
      <c r="B358" t="str">
        <f>IF('Sol Bekler'!B60="","",'Sol Bekler'!B60)</f>
        <v/>
      </c>
      <c r="C358" s="2" t="str">
        <f>IF('Sol Bekler'!C60="","",'Sol Bekler'!C60)</f>
        <v/>
      </c>
      <c r="D358" t="str">
        <f ca="1">IF('Sol Bekler'!D60="","",'Sol Bekler'!D60)</f>
        <v/>
      </c>
      <c r="E358" t="str">
        <f>IF('Sol Bekler'!E60="","",'Sol Bekler'!E60)</f>
        <v>Sol Bek</v>
      </c>
      <c r="F358" t="str">
        <f>IF('Sol Bekler'!G60="","",'Sol Bekler'!G60)</f>
        <v/>
      </c>
      <c r="G358" s="2" t="str">
        <f>IF('Sol Bekler'!H60="","",'Sol Bekler'!H60)</f>
        <v/>
      </c>
      <c r="H358" t="str">
        <f>IF('Sol Bekler'!I60="","",'Sol Bekler'!I60)</f>
        <v/>
      </c>
      <c r="I358" t="str">
        <f>IF('Sol Bekler'!A60="","",'Sol Bekler'!J60)</f>
        <v/>
      </c>
      <c r="J358" t="str">
        <f>IF('Sol Bekler'!A60="","",'Sol Bekler'!K60)</f>
        <v/>
      </c>
      <c r="K358" t="str">
        <f>IF('Sol Bekler'!L60="","",'Sol Bekler'!L60)</f>
        <v/>
      </c>
      <c r="L358" t="str">
        <f>IF('Sol Bekler'!M60="","",'Sol Bekler'!M60)</f>
        <v/>
      </c>
      <c r="M358" t="str">
        <f>IF('Sol Bekler'!N60="","",'Sol Bekler'!N60)</f>
        <v/>
      </c>
      <c r="N358" t="str">
        <f>IF('Sol Bekler'!O60="","",'Sol Bekler'!O60)</f>
        <v/>
      </c>
      <c r="O358" t="str">
        <f>IF('Sol Bekler'!P60="","",'Sol Bekler'!P60)</f>
        <v/>
      </c>
      <c r="P358" t="str">
        <f>IF('Sol Bekler'!Q60="","",'Sol Bekler'!Q60)</f>
        <v/>
      </c>
      <c r="Q358" t="str">
        <f>IF('Sol Bekler'!R60="","",'Sol Bekler'!R60)</f>
        <v/>
      </c>
      <c r="R358" t="str">
        <f>IF('Sol Bekler'!S60="","",'Sol Bekler'!S60)</f>
        <v/>
      </c>
      <c r="S358" t="str">
        <f>IF('Sol Bekler'!T60="","",'Sol Bekler'!T60)</f>
        <v/>
      </c>
      <c r="T358" s="2" t="str">
        <f>IF('Sol Bekler'!U60="","",'Sol Bekler'!U60)</f>
        <v/>
      </c>
      <c r="U358" t="s">
        <v>929</v>
      </c>
      <c r="V358">
        <v>60</v>
      </c>
      <c r="W358" t="str">
        <f ca="1">IF(AND($A358&lt;&gt;"",ISNUMBER($G358),$G358&gt;=TODAY(),$G358&lt;=EDATE(TODAY(),12)),COUNTIFS($G$2:$G$1001,"&gt;="&amp;TODAY(),$G$2:$G$1001,"&lt;"&amp;$G358,$A$2:$A$1001,"&lt;&gt;")+COUNTIFS($G$2:$G358,$G358,$A$2:$A358,"&lt;&gt;"),"")</f>
        <v/>
      </c>
      <c r="X358" t="str">
        <f>IF(AND($A358&lt;&gt;"",ISNUMBER($C358),$C358&gt;=DATE(2003,1,1)),COUNTIFS($C$2:$C358,"&gt;="&amp;DATE(2003,1,1),$A$2:$A358,"&lt;&gt;"),"")</f>
        <v/>
      </c>
    </row>
    <row r="359" spans="1:24">
      <c r="A359" t="str">
        <f>IF('Sol Bekler'!A61="","",'Sol Bekler'!A61)</f>
        <v/>
      </c>
      <c r="B359" t="str">
        <f>IF('Sol Bekler'!B61="","",'Sol Bekler'!B61)</f>
        <v/>
      </c>
      <c r="C359" s="2" t="str">
        <f>IF('Sol Bekler'!C61="","",'Sol Bekler'!C61)</f>
        <v/>
      </c>
      <c r="D359" t="str">
        <f ca="1">IF('Sol Bekler'!D61="","",'Sol Bekler'!D61)</f>
        <v/>
      </c>
      <c r="E359" t="str">
        <f>IF('Sol Bekler'!E61="","",'Sol Bekler'!E61)</f>
        <v>Sol Bek</v>
      </c>
      <c r="F359" t="str">
        <f>IF('Sol Bekler'!G61="","",'Sol Bekler'!G61)</f>
        <v/>
      </c>
      <c r="G359" s="2" t="str">
        <f>IF('Sol Bekler'!H61="","",'Sol Bekler'!H61)</f>
        <v/>
      </c>
      <c r="H359" t="str">
        <f>IF('Sol Bekler'!I61="","",'Sol Bekler'!I61)</f>
        <v/>
      </c>
      <c r="I359" t="str">
        <f>IF('Sol Bekler'!A61="","",'Sol Bekler'!J61)</f>
        <v/>
      </c>
      <c r="J359" t="str">
        <f>IF('Sol Bekler'!A61="","",'Sol Bekler'!K61)</f>
        <v/>
      </c>
      <c r="K359" t="str">
        <f>IF('Sol Bekler'!L61="","",'Sol Bekler'!L61)</f>
        <v/>
      </c>
      <c r="L359" t="str">
        <f>IF('Sol Bekler'!M61="","",'Sol Bekler'!M61)</f>
        <v/>
      </c>
      <c r="M359" t="str">
        <f>IF('Sol Bekler'!N61="","",'Sol Bekler'!N61)</f>
        <v/>
      </c>
      <c r="N359" t="str">
        <f>IF('Sol Bekler'!O61="","",'Sol Bekler'!O61)</f>
        <v/>
      </c>
      <c r="O359" t="str">
        <f>IF('Sol Bekler'!P61="","",'Sol Bekler'!P61)</f>
        <v/>
      </c>
      <c r="P359" t="str">
        <f>IF('Sol Bekler'!Q61="","",'Sol Bekler'!Q61)</f>
        <v/>
      </c>
      <c r="Q359" t="str">
        <f>IF('Sol Bekler'!R61="","",'Sol Bekler'!R61)</f>
        <v/>
      </c>
      <c r="R359" t="str">
        <f>IF('Sol Bekler'!S61="","",'Sol Bekler'!S61)</f>
        <v/>
      </c>
      <c r="S359" t="str">
        <f>IF('Sol Bekler'!T61="","",'Sol Bekler'!T61)</f>
        <v/>
      </c>
      <c r="T359" s="2" t="str">
        <f>IF('Sol Bekler'!U61="","",'Sol Bekler'!U61)</f>
        <v/>
      </c>
      <c r="U359" t="s">
        <v>929</v>
      </c>
      <c r="V359">
        <v>61</v>
      </c>
      <c r="W359" t="str">
        <f ca="1">IF(AND($A359&lt;&gt;"",ISNUMBER($G359),$G359&gt;=TODAY(),$G359&lt;=EDATE(TODAY(),12)),COUNTIFS($G$2:$G$1001,"&gt;="&amp;TODAY(),$G$2:$G$1001,"&lt;"&amp;$G359,$A$2:$A$1001,"&lt;&gt;")+COUNTIFS($G$2:$G359,$G359,$A$2:$A359,"&lt;&gt;"),"")</f>
        <v/>
      </c>
      <c r="X359" t="str">
        <f>IF(AND($A359&lt;&gt;"",ISNUMBER($C359),$C359&gt;=DATE(2003,1,1)),COUNTIFS($C$2:$C359,"&gt;="&amp;DATE(2003,1,1),$A$2:$A359,"&lt;&gt;"),"")</f>
        <v/>
      </c>
    </row>
    <row r="360" spans="1:24">
      <c r="A360" t="str">
        <f>IF('Sol Bekler'!A62="","",'Sol Bekler'!A62)</f>
        <v/>
      </c>
      <c r="B360" t="str">
        <f>IF('Sol Bekler'!B62="","",'Sol Bekler'!B62)</f>
        <v/>
      </c>
      <c r="C360" s="2" t="str">
        <f>IF('Sol Bekler'!C62="","",'Sol Bekler'!C62)</f>
        <v/>
      </c>
      <c r="D360" t="str">
        <f ca="1">IF('Sol Bekler'!D62="","",'Sol Bekler'!D62)</f>
        <v/>
      </c>
      <c r="E360" t="str">
        <f>IF('Sol Bekler'!E62="","",'Sol Bekler'!E62)</f>
        <v>Sol Bek</v>
      </c>
      <c r="F360" t="str">
        <f>IF('Sol Bekler'!G62="","",'Sol Bekler'!G62)</f>
        <v/>
      </c>
      <c r="G360" s="2" t="str">
        <f>IF('Sol Bekler'!H62="","",'Sol Bekler'!H62)</f>
        <v/>
      </c>
      <c r="H360" t="str">
        <f>IF('Sol Bekler'!I62="","",'Sol Bekler'!I62)</f>
        <v/>
      </c>
      <c r="I360" t="str">
        <f>IF('Sol Bekler'!A62="","",'Sol Bekler'!J62)</f>
        <v/>
      </c>
      <c r="J360" t="str">
        <f>IF('Sol Bekler'!A62="","",'Sol Bekler'!K62)</f>
        <v/>
      </c>
      <c r="K360" t="str">
        <f>IF('Sol Bekler'!L62="","",'Sol Bekler'!L62)</f>
        <v/>
      </c>
      <c r="L360" t="str">
        <f>IF('Sol Bekler'!M62="","",'Sol Bekler'!M62)</f>
        <v/>
      </c>
      <c r="M360" t="str">
        <f>IF('Sol Bekler'!N62="","",'Sol Bekler'!N62)</f>
        <v/>
      </c>
      <c r="N360" t="str">
        <f>IF('Sol Bekler'!O62="","",'Sol Bekler'!O62)</f>
        <v/>
      </c>
      <c r="O360" t="str">
        <f>IF('Sol Bekler'!P62="","",'Sol Bekler'!P62)</f>
        <v/>
      </c>
      <c r="P360" t="str">
        <f>IF('Sol Bekler'!Q62="","",'Sol Bekler'!Q62)</f>
        <v/>
      </c>
      <c r="Q360" t="str">
        <f>IF('Sol Bekler'!R62="","",'Sol Bekler'!R62)</f>
        <v/>
      </c>
      <c r="R360" t="str">
        <f>IF('Sol Bekler'!S62="","",'Sol Bekler'!S62)</f>
        <v/>
      </c>
      <c r="S360" t="str">
        <f>IF('Sol Bekler'!T62="","",'Sol Bekler'!T62)</f>
        <v/>
      </c>
      <c r="T360" s="2" t="str">
        <f>IF('Sol Bekler'!U62="","",'Sol Bekler'!U62)</f>
        <v/>
      </c>
      <c r="U360" t="s">
        <v>929</v>
      </c>
      <c r="V360">
        <v>62</v>
      </c>
      <c r="W360" t="str">
        <f ca="1">IF(AND($A360&lt;&gt;"",ISNUMBER($G360),$G360&gt;=TODAY(),$G360&lt;=EDATE(TODAY(),12)),COUNTIFS($G$2:$G$1001,"&gt;="&amp;TODAY(),$G$2:$G$1001,"&lt;"&amp;$G360,$A$2:$A$1001,"&lt;&gt;")+COUNTIFS($G$2:$G360,$G360,$A$2:$A360,"&lt;&gt;"),"")</f>
        <v/>
      </c>
      <c r="X360" t="str">
        <f>IF(AND($A360&lt;&gt;"",ISNUMBER($C360),$C360&gt;=DATE(2003,1,1)),COUNTIFS($C$2:$C360,"&gt;="&amp;DATE(2003,1,1),$A$2:$A360,"&lt;&gt;"),"")</f>
        <v/>
      </c>
    </row>
    <row r="361" spans="1:24">
      <c r="A361" t="str">
        <f>IF('Sol Bekler'!A63="","",'Sol Bekler'!A63)</f>
        <v/>
      </c>
      <c r="B361" t="str">
        <f>IF('Sol Bekler'!B63="","",'Sol Bekler'!B63)</f>
        <v/>
      </c>
      <c r="C361" s="2" t="str">
        <f>IF('Sol Bekler'!C63="","",'Sol Bekler'!C63)</f>
        <v/>
      </c>
      <c r="D361" t="str">
        <f ca="1">IF('Sol Bekler'!D63="","",'Sol Bekler'!D63)</f>
        <v/>
      </c>
      <c r="E361" t="str">
        <f>IF('Sol Bekler'!E63="","",'Sol Bekler'!E63)</f>
        <v>Sol Bek</v>
      </c>
      <c r="F361" t="str">
        <f>IF('Sol Bekler'!G63="","",'Sol Bekler'!G63)</f>
        <v/>
      </c>
      <c r="G361" s="2" t="str">
        <f>IF('Sol Bekler'!H63="","",'Sol Bekler'!H63)</f>
        <v/>
      </c>
      <c r="H361" t="str">
        <f>IF('Sol Bekler'!I63="","",'Sol Bekler'!I63)</f>
        <v/>
      </c>
      <c r="I361" t="str">
        <f>IF('Sol Bekler'!A63="","",'Sol Bekler'!J63)</f>
        <v/>
      </c>
      <c r="J361" t="str">
        <f>IF('Sol Bekler'!A63="","",'Sol Bekler'!K63)</f>
        <v/>
      </c>
      <c r="K361" t="str">
        <f>IF('Sol Bekler'!L63="","",'Sol Bekler'!L63)</f>
        <v/>
      </c>
      <c r="L361" t="str">
        <f>IF('Sol Bekler'!M63="","",'Sol Bekler'!M63)</f>
        <v/>
      </c>
      <c r="M361" t="str">
        <f>IF('Sol Bekler'!N63="","",'Sol Bekler'!N63)</f>
        <v/>
      </c>
      <c r="N361" t="str">
        <f>IF('Sol Bekler'!O63="","",'Sol Bekler'!O63)</f>
        <v/>
      </c>
      <c r="O361" t="str">
        <f>IF('Sol Bekler'!P63="","",'Sol Bekler'!P63)</f>
        <v/>
      </c>
      <c r="P361" t="str">
        <f>IF('Sol Bekler'!Q63="","",'Sol Bekler'!Q63)</f>
        <v/>
      </c>
      <c r="Q361" t="str">
        <f>IF('Sol Bekler'!R63="","",'Sol Bekler'!R63)</f>
        <v/>
      </c>
      <c r="R361" t="str">
        <f>IF('Sol Bekler'!S63="","",'Sol Bekler'!S63)</f>
        <v/>
      </c>
      <c r="S361" t="str">
        <f>IF('Sol Bekler'!T63="","",'Sol Bekler'!T63)</f>
        <v/>
      </c>
      <c r="T361" s="2" t="str">
        <f>IF('Sol Bekler'!U63="","",'Sol Bekler'!U63)</f>
        <v/>
      </c>
      <c r="U361" t="s">
        <v>929</v>
      </c>
      <c r="V361">
        <v>63</v>
      </c>
      <c r="W361" t="str">
        <f ca="1">IF(AND($A361&lt;&gt;"",ISNUMBER($G361),$G361&gt;=TODAY(),$G361&lt;=EDATE(TODAY(),12)),COUNTIFS($G$2:$G$1001,"&gt;="&amp;TODAY(),$G$2:$G$1001,"&lt;"&amp;$G361,$A$2:$A$1001,"&lt;&gt;")+COUNTIFS($G$2:$G361,$G361,$A$2:$A361,"&lt;&gt;"),"")</f>
        <v/>
      </c>
      <c r="X361" t="str">
        <f>IF(AND($A361&lt;&gt;"",ISNUMBER($C361),$C361&gt;=DATE(2003,1,1)),COUNTIFS($C$2:$C361,"&gt;="&amp;DATE(2003,1,1),$A$2:$A361,"&lt;&gt;"),"")</f>
        <v/>
      </c>
    </row>
    <row r="362" spans="1:24">
      <c r="A362" t="str">
        <f>IF('Sol Bekler'!A64="","",'Sol Bekler'!A64)</f>
        <v/>
      </c>
      <c r="B362" t="str">
        <f>IF('Sol Bekler'!B64="","",'Sol Bekler'!B64)</f>
        <v/>
      </c>
      <c r="C362" s="2" t="str">
        <f>IF('Sol Bekler'!C64="","",'Sol Bekler'!C64)</f>
        <v/>
      </c>
      <c r="D362" t="str">
        <f ca="1">IF('Sol Bekler'!D64="","",'Sol Bekler'!D64)</f>
        <v/>
      </c>
      <c r="E362" t="str">
        <f>IF('Sol Bekler'!E64="","",'Sol Bekler'!E64)</f>
        <v>Sol Bek</v>
      </c>
      <c r="F362" t="str">
        <f>IF('Sol Bekler'!G64="","",'Sol Bekler'!G64)</f>
        <v/>
      </c>
      <c r="G362" s="2" t="str">
        <f>IF('Sol Bekler'!H64="","",'Sol Bekler'!H64)</f>
        <v/>
      </c>
      <c r="H362" t="str">
        <f>IF('Sol Bekler'!I64="","",'Sol Bekler'!I64)</f>
        <v/>
      </c>
      <c r="I362" t="str">
        <f>IF('Sol Bekler'!A64="","",'Sol Bekler'!J64)</f>
        <v/>
      </c>
      <c r="J362" t="str">
        <f>IF('Sol Bekler'!A64="","",'Sol Bekler'!K64)</f>
        <v/>
      </c>
      <c r="K362" t="str">
        <f>IF('Sol Bekler'!L64="","",'Sol Bekler'!L64)</f>
        <v/>
      </c>
      <c r="L362" t="str">
        <f>IF('Sol Bekler'!M64="","",'Sol Bekler'!M64)</f>
        <v/>
      </c>
      <c r="M362" t="str">
        <f>IF('Sol Bekler'!N64="","",'Sol Bekler'!N64)</f>
        <v/>
      </c>
      <c r="N362" t="str">
        <f>IF('Sol Bekler'!O64="","",'Sol Bekler'!O64)</f>
        <v/>
      </c>
      <c r="O362" t="str">
        <f>IF('Sol Bekler'!P64="","",'Sol Bekler'!P64)</f>
        <v/>
      </c>
      <c r="P362" t="str">
        <f>IF('Sol Bekler'!Q64="","",'Sol Bekler'!Q64)</f>
        <v/>
      </c>
      <c r="Q362" t="str">
        <f>IF('Sol Bekler'!R64="","",'Sol Bekler'!R64)</f>
        <v/>
      </c>
      <c r="R362" t="str">
        <f>IF('Sol Bekler'!S64="","",'Sol Bekler'!S64)</f>
        <v/>
      </c>
      <c r="S362" t="str">
        <f>IF('Sol Bekler'!T64="","",'Sol Bekler'!T64)</f>
        <v/>
      </c>
      <c r="T362" s="2" t="str">
        <f>IF('Sol Bekler'!U64="","",'Sol Bekler'!U64)</f>
        <v/>
      </c>
      <c r="U362" t="s">
        <v>929</v>
      </c>
      <c r="V362">
        <v>64</v>
      </c>
      <c r="W362" t="str">
        <f ca="1">IF(AND($A362&lt;&gt;"",ISNUMBER($G362),$G362&gt;=TODAY(),$G362&lt;=EDATE(TODAY(),12)),COUNTIFS($G$2:$G$1001,"&gt;="&amp;TODAY(),$G$2:$G$1001,"&lt;"&amp;$G362,$A$2:$A$1001,"&lt;&gt;")+COUNTIFS($G$2:$G362,$G362,$A$2:$A362,"&lt;&gt;"),"")</f>
        <v/>
      </c>
      <c r="X362" t="str">
        <f>IF(AND($A362&lt;&gt;"",ISNUMBER($C362),$C362&gt;=DATE(2003,1,1)),COUNTIFS($C$2:$C362,"&gt;="&amp;DATE(2003,1,1),$A$2:$A362,"&lt;&gt;"),"")</f>
        <v/>
      </c>
    </row>
    <row r="363" spans="1:24">
      <c r="A363" t="str">
        <f>IF('Sol Bekler'!A65="","",'Sol Bekler'!A65)</f>
        <v/>
      </c>
      <c r="B363" t="str">
        <f>IF('Sol Bekler'!B65="","",'Sol Bekler'!B65)</f>
        <v/>
      </c>
      <c r="C363" s="2" t="str">
        <f>IF('Sol Bekler'!C65="","",'Sol Bekler'!C65)</f>
        <v/>
      </c>
      <c r="D363" t="str">
        <f ca="1">IF('Sol Bekler'!D65="","",'Sol Bekler'!D65)</f>
        <v/>
      </c>
      <c r="E363" t="str">
        <f>IF('Sol Bekler'!E65="","",'Sol Bekler'!E65)</f>
        <v>Sol Bek</v>
      </c>
      <c r="F363" t="str">
        <f>IF('Sol Bekler'!G65="","",'Sol Bekler'!G65)</f>
        <v/>
      </c>
      <c r="G363" s="2" t="str">
        <f>IF('Sol Bekler'!H65="","",'Sol Bekler'!H65)</f>
        <v/>
      </c>
      <c r="H363" t="str">
        <f>IF('Sol Bekler'!I65="","",'Sol Bekler'!I65)</f>
        <v/>
      </c>
      <c r="I363" t="str">
        <f>IF('Sol Bekler'!A65="","",'Sol Bekler'!J65)</f>
        <v/>
      </c>
      <c r="J363" t="str">
        <f>IF('Sol Bekler'!A65="","",'Sol Bekler'!K65)</f>
        <v/>
      </c>
      <c r="K363" t="str">
        <f>IF('Sol Bekler'!L65="","",'Sol Bekler'!L65)</f>
        <v/>
      </c>
      <c r="L363" t="str">
        <f>IF('Sol Bekler'!M65="","",'Sol Bekler'!M65)</f>
        <v/>
      </c>
      <c r="M363" t="str">
        <f>IF('Sol Bekler'!N65="","",'Sol Bekler'!N65)</f>
        <v/>
      </c>
      <c r="N363" t="str">
        <f>IF('Sol Bekler'!O65="","",'Sol Bekler'!O65)</f>
        <v/>
      </c>
      <c r="O363" t="str">
        <f>IF('Sol Bekler'!P65="","",'Sol Bekler'!P65)</f>
        <v/>
      </c>
      <c r="P363" t="str">
        <f>IF('Sol Bekler'!Q65="","",'Sol Bekler'!Q65)</f>
        <v/>
      </c>
      <c r="Q363" t="str">
        <f>IF('Sol Bekler'!R65="","",'Sol Bekler'!R65)</f>
        <v/>
      </c>
      <c r="R363" t="str">
        <f>IF('Sol Bekler'!S65="","",'Sol Bekler'!S65)</f>
        <v/>
      </c>
      <c r="S363" t="str">
        <f>IF('Sol Bekler'!T65="","",'Sol Bekler'!T65)</f>
        <v/>
      </c>
      <c r="T363" s="2" t="str">
        <f>IF('Sol Bekler'!U65="","",'Sol Bekler'!U65)</f>
        <v/>
      </c>
      <c r="U363" t="s">
        <v>929</v>
      </c>
      <c r="V363">
        <v>65</v>
      </c>
      <c r="W363" t="str">
        <f ca="1">IF(AND($A363&lt;&gt;"",ISNUMBER($G363),$G363&gt;=TODAY(),$G363&lt;=EDATE(TODAY(),12)),COUNTIFS($G$2:$G$1001,"&gt;="&amp;TODAY(),$G$2:$G$1001,"&lt;"&amp;$G363,$A$2:$A$1001,"&lt;&gt;")+COUNTIFS($G$2:$G363,$G363,$A$2:$A363,"&lt;&gt;"),"")</f>
        <v/>
      </c>
      <c r="X363" t="str">
        <f>IF(AND($A363&lt;&gt;"",ISNUMBER($C363),$C363&gt;=DATE(2003,1,1)),COUNTIFS($C$2:$C363,"&gt;="&amp;DATE(2003,1,1),$A$2:$A363,"&lt;&gt;"),"")</f>
        <v/>
      </c>
    </row>
    <row r="364" spans="1:24">
      <c r="A364" t="str">
        <f>IF('Sol Bekler'!A66="","",'Sol Bekler'!A66)</f>
        <v/>
      </c>
      <c r="B364" t="str">
        <f>IF('Sol Bekler'!B66="","",'Sol Bekler'!B66)</f>
        <v/>
      </c>
      <c r="C364" s="2" t="str">
        <f>IF('Sol Bekler'!C66="","",'Sol Bekler'!C66)</f>
        <v/>
      </c>
      <c r="D364" t="str">
        <f ca="1">IF('Sol Bekler'!D66="","",'Sol Bekler'!D66)</f>
        <v/>
      </c>
      <c r="E364" t="str">
        <f>IF('Sol Bekler'!E66="","",'Sol Bekler'!E66)</f>
        <v>Sol Bek</v>
      </c>
      <c r="F364" t="str">
        <f>IF('Sol Bekler'!G66="","",'Sol Bekler'!G66)</f>
        <v/>
      </c>
      <c r="G364" s="2" t="str">
        <f>IF('Sol Bekler'!H66="","",'Sol Bekler'!H66)</f>
        <v/>
      </c>
      <c r="H364" t="str">
        <f>IF('Sol Bekler'!I66="","",'Sol Bekler'!I66)</f>
        <v/>
      </c>
      <c r="I364" t="str">
        <f>IF('Sol Bekler'!A66="","",'Sol Bekler'!J66)</f>
        <v/>
      </c>
      <c r="J364" t="str">
        <f>IF('Sol Bekler'!A66="","",'Sol Bekler'!K66)</f>
        <v/>
      </c>
      <c r="K364" t="str">
        <f>IF('Sol Bekler'!L66="","",'Sol Bekler'!L66)</f>
        <v/>
      </c>
      <c r="L364" t="str">
        <f>IF('Sol Bekler'!M66="","",'Sol Bekler'!M66)</f>
        <v/>
      </c>
      <c r="M364" t="str">
        <f>IF('Sol Bekler'!N66="","",'Sol Bekler'!N66)</f>
        <v/>
      </c>
      <c r="N364" t="str">
        <f>IF('Sol Bekler'!O66="","",'Sol Bekler'!O66)</f>
        <v/>
      </c>
      <c r="O364" t="str">
        <f>IF('Sol Bekler'!P66="","",'Sol Bekler'!P66)</f>
        <v/>
      </c>
      <c r="P364" t="str">
        <f>IF('Sol Bekler'!Q66="","",'Sol Bekler'!Q66)</f>
        <v/>
      </c>
      <c r="Q364" t="str">
        <f>IF('Sol Bekler'!R66="","",'Sol Bekler'!R66)</f>
        <v/>
      </c>
      <c r="R364" t="str">
        <f>IF('Sol Bekler'!S66="","",'Sol Bekler'!S66)</f>
        <v/>
      </c>
      <c r="S364" t="str">
        <f>IF('Sol Bekler'!T66="","",'Sol Bekler'!T66)</f>
        <v/>
      </c>
      <c r="T364" s="2" t="str">
        <f>IF('Sol Bekler'!U66="","",'Sol Bekler'!U66)</f>
        <v/>
      </c>
      <c r="U364" t="s">
        <v>929</v>
      </c>
      <c r="V364">
        <v>66</v>
      </c>
      <c r="W364" t="str">
        <f ca="1">IF(AND($A364&lt;&gt;"",ISNUMBER($G364),$G364&gt;=TODAY(),$G364&lt;=EDATE(TODAY(),12)),COUNTIFS($G$2:$G$1001,"&gt;="&amp;TODAY(),$G$2:$G$1001,"&lt;"&amp;$G364,$A$2:$A$1001,"&lt;&gt;")+COUNTIFS($G$2:$G364,$G364,$A$2:$A364,"&lt;&gt;"),"")</f>
        <v/>
      </c>
      <c r="X364" t="str">
        <f>IF(AND($A364&lt;&gt;"",ISNUMBER($C364),$C364&gt;=DATE(2003,1,1)),COUNTIFS($C$2:$C364,"&gt;="&amp;DATE(2003,1,1),$A$2:$A364,"&lt;&gt;"),"")</f>
        <v/>
      </c>
    </row>
    <row r="365" spans="1:24">
      <c r="A365" t="str">
        <f>IF('Sol Bekler'!A67="","",'Sol Bekler'!A67)</f>
        <v/>
      </c>
      <c r="B365" t="str">
        <f>IF('Sol Bekler'!B67="","",'Sol Bekler'!B67)</f>
        <v/>
      </c>
      <c r="C365" s="2" t="str">
        <f>IF('Sol Bekler'!C67="","",'Sol Bekler'!C67)</f>
        <v/>
      </c>
      <c r="D365" t="str">
        <f ca="1">IF('Sol Bekler'!D67="","",'Sol Bekler'!D67)</f>
        <v/>
      </c>
      <c r="E365" t="str">
        <f>IF('Sol Bekler'!E67="","",'Sol Bekler'!E67)</f>
        <v>Sol Bek</v>
      </c>
      <c r="F365" t="str">
        <f>IF('Sol Bekler'!G67="","",'Sol Bekler'!G67)</f>
        <v/>
      </c>
      <c r="G365" s="2" t="str">
        <f>IF('Sol Bekler'!H67="","",'Sol Bekler'!H67)</f>
        <v/>
      </c>
      <c r="H365" t="str">
        <f>IF('Sol Bekler'!I67="","",'Sol Bekler'!I67)</f>
        <v/>
      </c>
      <c r="I365" t="str">
        <f>IF('Sol Bekler'!A67="","",'Sol Bekler'!J67)</f>
        <v/>
      </c>
      <c r="J365" t="str">
        <f>IF('Sol Bekler'!A67="","",'Sol Bekler'!K67)</f>
        <v/>
      </c>
      <c r="K365" t="str">
        <f>IF('Sol Bekler'!L67="","",'Sol Bekler'!L67)</f>
        <v/>
      </c>
      <c r="L365" t="str">
        <f>IF('Sol Bekler'!M67="","",'Sol Bekler'!M67)</f>
        <v/>
      </c>
      <c r="M365" t="str">
        <f>IF('Sol Bekler'!N67="","",'Sol Bekler'!N67)</f>
        <v/>
      </c>
      <c r="N365" t="str">
        <f>IF('Sol Bekler'!O67="","",'Sol Bekler'!O67)</f>
        <v/>
      </c>
      <c r="O365" t="str">
        <f>IF('Sol Bekler'!P67="","",'Sol Bekler'!P67)</f>
        <v/>
      </c>
      <c r="P365" t="str">
        <f>IF('Sol Bekler'!Q67="","",'Sol Bekler'!Q67)</f>
        <v/>
      </c>
      <c r="Q365" t="str">
        <f>IF('Sol Bekler'!R67="","",'Sol Bekler'!R67)</f>
        <v/>
      </c>
      <c r="R365" t="str">
        <f>IF('Sol Bekler'!S67="","",'Sol Bekler'!S67)</f>
        <v/>
      </c>
      <c r="S365" t="str">
        <f>IF('Sol Bekler'!T67="","",'Sol Bekler'!T67)</f>
        <v/>
      </c>
      <c r="T365" s="2" t="str">
        <f>IF('Sol Bekler'!U67="","",'Sol Bekler'!U67)</f>
        <v/>
      </c>
      <c r="U365" t="s">
        <v>929</v>
      </c>
      <c r="V365">
        <v>67</v>
      </c>
      <c r="W365" t="str">
        <f ca="1">IF(AND($A365&lt;&gt;"",ISNUMBER($G365),$G365&gt;=TODAY(),$G365&lt;=EDATE(TODAY(),12)),COUNTIFS($G$2:$G$1001,"&gt;="&amp;TODAY(),$G$2:$G$1001,"&lt;"&amp;$G365,$A$2:$A$1001,"&lt;&gt;")+COUNTIFS($G$2:$G365,$G365,$A$2:$A365,"&lt;&gt;"),"")</f>
        <v/>
      </c>
      <c r="X365" t="str">
        <f>IF(AND($A365&lt;&gt;"",ISNUMBER($C365),$C365&gt;=DATE(2003,1,1)),COUNTIFS($C$2:$C365,"&gt;="&amp;DATE(2003,1,1),$A$2:$A365,"&lt;&gt;"),"")</f>
        <v/>
      </c>
    </row>
    <row r="366" spans="1:24">
      <c r="A366" t="str">
        <f>IF('Sol Bekler'!A68="","",'Sol Bekler'!A68)</f>
        <v/>
      </c>
      <c r="B366" t="str">
        <f>IF('Sol Bekler'!B68="","",'Sol Bekler'!B68)</f>
        <v/>
      </c>
      <c r="C366" s="2" t="str">
        <f>IF('Sol Bekler'!C68="","",'Sol Bekler'!C68)</f>
        <v/>
      </c>
      <c r="D366" t="str">
        <f ca="1">IF('Sol Bekler'!D68="","",'Sol Bekler'!D68)</f>
        <v/>
      </c>
      <c r="E366" t="str">
        <f>IF('Sol Bekler'!E68="","",'Sol Bekler'!E68)</f>
        <v>Sol Bek</v>
      </c>
      <c r="F366" t="str">
        <f>IF('Sol Bekler'!G68="","",'Sol Bekler'!G68)</f>
        <v/>
      </c>
      <c r="G366" s="2" t="str">
        <f>IF('Sol Bekler'!H68="","",'Sol Bekler'!H68)</f>
        <v/>
      </c>
      <c r="H366" t="str">
        <f>IF('Sol Bekler'!I68="","",'Sol Bekler'!I68)</f>
        <v/>
      </c>
      <c r="I366" t="str">
        <f>IF('Sol Bekler'!A68="","",'Sol Bekler'!J68)</f>
        <v/>
      </c>
      <c r="J366" t="str">
        <f>IF('Sol Bekler'!A68="","",'Sol Bekler'!K68)</f>
        <v/>
      </c>
      <c r="K366" t="str">
        <f>IF('Sol Bekler'!L68="","",'Sol Bekler'!L68)</f>
        <v/>
      </c>
      <c r="L366" t="str">
        <f>IF('Sol Bekler'!M68="","",'Sol Bekler'!M68)</f>
        <v/>
      </c>
      <c r="M366" t="str">
        <f>IF('Sol Bekler'!N68="","",'Sol Bekler'!N68)</f>
        <v/>
      </c>
      <c r="N366" t="str">
        <f>IF('Sol Bekler'!O68="","",'Sol Bekler'!O68)</f>
        <v/>
      </c>
      <c r="O366" t="str">
        <f>IF('Sol Bekler'!P68="","",'Sol Bekler'!P68)</f>
        <v/>
      </c>
      <c r="P366" t="str">
        <f>IF('Sol Bekler'!Q68="","",'Sol Bekler'!Q68)</f>
        <v/>
      </c>
      <c r="Q366" t="str">
        <f>IF('Sol Bekler'!R68="","",'Sol Bekler'!R68)</f>
        <v/>
      </c>
      <c r="R366" t="str">
        <f>IF('Sol Bekler'!S68="","",'Sol Bekler'!S68)</f>
        <v/>
      </c>
      <c r="S366" t="str">
        <f>IF('Sol Bekler'!T68="","",'Sol Bekler'!T68)</f>
        <v/>
      </c>
      <c r="T366" s="2" t="str">
        <f>IF('Sol Bekler'!U68="","",'Sol Bekler'!U68)</f>
        <v/>
      </c>
      <c r="U366" t="s">
        <v>929</v>
      </c>
      <c r="V366">
        <v>68</v>
      </c>
      <c r="W366" t="str">
        <f ca="1">IF(AND($A366&lt;&gt;"",ISNUMBER($G366),$G366&gt;=TODAY(),$G366&lt;=EDATE(TODAY(),12)),COUNTIFS($G$2:$G$1001,"&gt;="&amp;TODAY(),$G$2:$G$1001,"&lt;"&amp;$G366,$A$2:$A$1001,"&lt;&gt;")+COUNTIFS($G$2:$G366,$G366,$A$2:$A366,"&lt;&gt;"),"")</f>
        <v/>
      </c>
      <c r="X366" t="str">
        <f>IF(AND($A366&lt;&gt;"",ISNUMBER($C366),$C366&gt;=DATE(2003,1,1)),COUNTIFS($C$2:$C366,"&gt;="&amp;DATE(2003,1,1),$A$2:$A366,"&lt;&gt;"),"")</f>
        <v/>
      </c>
    </row>
    <row r="367" spans="1:24">
      <c r="A367" t="str">
        <f>IF('Sol Bekler'!A69="","",'Sol Bekler'!A69)</f>
        <v/>
      </c>
      <c r="B367" t="str">
        <f>IF('Sol Bekler'!B69="","",'Sol Bekler'!B69)</f>
        <v/>
      </c>
      <c r="C367" s="2" t="str">
        <f>IF('Sol Bekler'!C69="","",'Sol Bekler'!C69)</f>
        <v/>
      </c>
      <c r="D367" t="str">
        <f ca="1">IF('Sol Bekler'!D69="","",'Sol Bekler'!D69)</f>
        <v/>
      </c>
      <c r="E367" t="str">
        <f>IF('Sol Bekler'!E69="","",'Sol Bekler'!E69)</f>
        <v>Sol Bek</v>
      </c>
      <c r="F367" t="str">
        <f>IF('Sol Bekler'!G69="","",'Sol Bekler'!G69)</f>
        <v/>
      </c>
      <c r="G367" s="2" t="str">
        <f>IF('Sol Bekler'!H69="","",'Sol Bekler'!H69)</f>
        <v/>
      </c>
      <c r="H367" t="str">
        <f>IF('Sol Bekler'!I69="","",'Sol Bekler'!I69)</f>
        <v/>
      </c>
      <c r="I367" t="str">
        <f>IF('Sol Bekler'!A69="","",'Sol Bekler'!J69)</f>
        <v/>
      </c>
      <c r="J367" t="str">
        <f>IF('Sol Bekler'!A69="","",'Sol Bekler'!K69)</f>
        <v/>
      </c>
      <c r="K367" t="str">
        <f>IF('Sol Bekler'!L69="","",'Sol Bekler'!L69)</f>
        <v/>
      </c>
      <c r="L367" t="str">
        <f>IF('Sol Bekler'!M69="","",'Sol Bekler'!M69)</f>
        <v/>
      </c>
      <c r="M367" t="str">
        <f>IF('Sol Bekler'!N69="","",'Sol Bekler'!N69)</f>
        <v/>
      </c>
      <c r="N367" t="str">
        <f>IF('Sol Bekler'!O69="","",'Sol Bekler'!O69)</f>
        <v/>
      </c>
      <c r="O367" t="str">
        <f>IF('Sol Bekler'!P69="","",'Sol Bekler'!P69)</f>
        <v/>
      </c>
      <c r="P367" t="str">
        <f>IF('Sol Bekler'!Q69="","",'Sol Bekler'!Q69)</f>
        <v/>
      </c>
      <c r="Q367" t="str">
        <f>IF('Sol Bekler'!R69="","",'Sol Bekler'!R69)</f>
        <v/>
      </c>
      <c r="R367" t="str">
        <f>IF('Sol Bekler'!S69="","",'Sol Bekler'!S69)</f>
        <v/>
      </c>
      <c r="S367" t="str">
        <f>IF('Sol Bekler'!T69="","",'Sol Bekler'!T69)</f>
        <v/>
      </c>
      <c r="T367" s="2" t="str">
        <f>IF('Sol Bekler'!U69="","",'Sol Bekler'!U69)</f>
        <v/>
      </c>
      <c r="U367" t="s">
        <v>929</v>
      </c>
      <c r="V367">
        <v>69</v>
      </c>
      <c r="W367" t="str">
        <f ca="1">IF(AND($A367&lt;&gt;"",ISNUMBER($G367),$G367&gt;=TODAY(),$G367&lt;=EDATE(TODAY(),12)),COUNTIFS($G$2:$G$1001,"&gt;="&amp;TODAY(),$G$2:$G$1001,"&lt;"&amp;$G367,$A$2:$A$1001,"&lt;&gt;")+COUNTIFS($G$2:$G367,$G367,$A$2:$A367,"&lt;&gt;"),"")</f>
        <v/>
      </c>
      <c r="X367" t="str">
        <f>IF(AND($A367&lt;&gt;"",ISNUMBER($C367),$C367&gt;=DATE(2003,1,1)),COUNTIFS($C$2:$C367,"&gt;="&amp;DATE(2003,1,1),$A$2:$A367,"&lt;&gt;"),"")</f>
        <v/>
      </c>
    </row>
    <row r="368" spans="1:24">
      <c r="A368" t="str">
        <f>IF('Sol Bekler'!A70="","",'Sol Bekler'!A70)</f>
        <v/>
      </c>
      <c r="B368" t="str">
        <f>IF('Sol Bekler'!B70="","",'Sol Bekler'!B70)</f>
        <v/>
      </c>
      <c r="C368" s="2" t="str">
        <f>IF('Sol Bekler'!C70="","",'Sol Bekler'!C70)</f>
        <v/>
      </c>
      <c r="D368" t="str">
        <f ca="1">IF('Sol Bekler'!D70="","",'Sol Bekler'!D70)</f>
        <v/>
      </c>
      <c r="E368" t="str">
        <f>IF('Sol Bekler'!E70="","",'Sol Bekler'!E70)</f>
        <v>Sol Bek</v>
      </c>
      <c r="F368" t="str">
        <f>IF('Sol Bekler'!G70="","",'Sol Bekler'!G70)</f>
        <v/>
      </c>
      <c r="G368" s="2" t="str">
        <f>IF('Sol Bekler'!H70="","",'Sol Bekler'!H70)</f>
        <v/>
      </c>
      <c r="H368" t="str">
        <f>IF('Sol Bekler'!I70="","",'Sol Bekler'!I70)</f>
        <v/>
      </c>
      <c r="I368" t="str">
        <f>IF('Sol Bekler'!A70="","",'Sol Bekler'!J70)</f>
        <v/>
      </c>
      <c r="J368" t="str">
        <f>IF('Sol Bekler'!A70="","",'Sol Bekler'!K70)</f>
        <v/>
      </c>
      <c r="K368" t="str">
        <f>IF('Sol Bekler'!L70="","",'Sol Bekler'!L70)</f>
        <v/>
      </c>
      <c r="L368" t="str">
        <f>IF('Sol Bekler'!M70="","",'Sol Bekler'!M70)</f>
        <v/>
      </c>
      <c r="M368" t="str">
        <f>IF('Sol Bekler'!N70="","",'Sol Bekler'!N70)</f>
        <v/>
      </c>
      <c r="N368" t="str">
        <f>IF('Sol Bekler'!O70="","",'Sol Bekler'!O70)</f>
        <v/>
      </c>
      <c r="O368" t="str">
        <f>IF('Sol Bekler'!P70="","",'Sol Bekler'!P70)</f>
        <v/>
      </c>
      <c r="P368" t="str">
        <f>IF('Sol Bekler'!Q70="","",'Sol Bekler'!Q70)</f>
        <v/>
      </c>
      <c r="Q368" t="str">
        <f>IF('Sol Bekler'!R70="","",'Sol Bekler'!R70)</f>
        <v/>
      </c>
      <c r="R368" t="str">
        <f>IF('Sol Bekler'!S70="","",'Sol Bekler'!S70)</f>
        <v/>
      </c>
      <c r="S368" t="str">
        <f>IF('Sol Bekler'!T70="","",'Sol Bekler'!T70)</f>
        <v/>
      </c>
      <c r="T368" s="2" t="str">
        <f>IF('Sol Bekler'!U70="","",'Sol Bekler'!U70)</f>
        <v/>
      </c>
      <c r="U368" t="s">
        <v>929</v>
      </c>
      <c r="V368">
        <v>70</v>
      </c>
      <c r="W368" t="str">
        <f ca="1">IF(AND($A368&lt;&gt;"",ISNUMBER($G368),$G368&gt;=TODAY(),$G368&lt;=EDATE(TODAY(),12)),COUNTIFS($G$2:$G$1001,"&gt;="&amp;TODAY(),$G$2:$G$1001,"&lt;"&amp;$G368,$A$2:$A$1001,"&lt;&gt;")+COUNTIFS($G$2:$G368,$G368,$A$2:$A368,"&lt;&gt;"),"")</f>
        <v/>
      </c>
      <c r="X368" t="str">
        <f>IF(AND($A368&lt;&gt;"",ISNUMBER($C368),$C368&gt;=DATE(2003,1,1)),COUNTIFS($C$2:$C368,"&gt;="&amp;DATE(2003,1,1),$A$2:$A368,"&lt;&gt;"),"")</f>
        <v/>
      </c>
    </row>
    <row r="369" spans="1:24">
      <c r="A369" t="str">
        <f>IF('Sol Bekler'!A71="","",'Sol Bekler'!A71)</f>
        <v/>
      </c>
      <c r="B369" t="str">
        <f>IF('Sol Bekler'!B71="","",'Sol Bekler'!B71)</f>
        <v/>
      </c>
      <c r="C369" s="2" t="str">
        <f>IF('Sol Bekler'!C71="","",'Sol Bekler'!C71)</f>
        <v/>
      </c>
      <c r="D369" t="str">
        <f ca="1">IF('Sol Bekler'!D71="","",'Sol Bekler'!D71)</f>
        <v/>
      </c>
      <c r="E369" t="str">
        <f>IF('Sol Bekler'!E71="","",'Sol Bekler'!E71)</f>
        <v>Sol Bek</v>
      </c>
      <c r="F369" t="str">
        <f>IF('Sol Bekler'!G71="","",'Sol Bekler'!G71)</f>
        <v/>
      </c>
      <c r="G369" s="2" t="str">
        <f>IF('Sol Bekler'!H71="","",'Sol Bekler'!H71)</f>
        <v/>
      </c>
      <c r="H369" t="str">
        <f>IF('Sol Bekler'!I71="","",'Sol Bekler'!I71)</f>
        <v/>
      </c>
      <c r="I369" t="str">
        <f>IF('Sol Bekler'!A71="","",'Sol Bekler'!J71)</f>
        <v/>
      </c>
      <c r="J369" t="str">
        <f>IF('Sol Bekler'!A71="","",'Sol Bekler'!K71)</f>
        <v/>
      </c>
      <c r="K369" t="str">
        <f>IF('Sol Bekler'!L71="","",'Sol Bekler'!L71)</f>
        <v/>
      </c>
      <c r="L369" t="str">
        <f>IF('Sol Bekler'!M71="","",'Sol Bekler'!M71)</f>
        <v/>
      </c>
      <c r="M369" t="str">
        <f>IF('Sol Bekler'!N71="","",'Sol Bekler'!N71)</f>
        <v/>
      </c>
      <c r="N369" t="str">
        <f>IF('Sol Bekler'!O71="","",'Sol Bekler'!O71)</f>
        <v/>
      </c>
      <c r="O369" t="str">
        <f>IF('Sol Bekler'!P71="","",'Sol Bekler'!P71)</f>
        <v/>
      </c>
      <c r="P369" t="str">
        <f>IF('Sol Bekler'!Q71="","",'Sol Bekler'!Q71)</f>
        <v/>
      </c>
      <c r="Q369" t="str">
        <f>IF('Sol Bekler'!R71="","",'Sol Bekler'!R71)</f>
        <v/>
      </c>
      <c r="R369" t="str">
        <f>IF('Sol Bekler'!S71="","",'Sol Bekler'!S71)</f>
        <v/>
      </c>
      <c r="S369" t="str">
        <f>IF('Sol Bekler'!T71="","",'Sol Bekler'!T71)</f>
        <v/>
      </c>
      <c r="T369" s="2" t="str">
        <f>IF('Sol Bekler'!U71="","",'Sol Bekler'!U71)</f>
        <v/>
      </c>
      <c r="U369" t="s">
        <v>929</v>
      </c>
      <c r="V369">
        <v>71</v>
      </c>
      <c r="W369" t="str">
        <f ca="1">IF(AND($A369&lt;&gt;"",ISNUMBER($G369),$G369&gt;=TODAY(),$G369&lt;=EDATE(TODAY(),12)),COUNTIFS($G$2:$G$1001,"&gt;="&amp;TODAY(),$G$2:$G$1001,"&lt;"&amp;$G369,$A$2:$A$1001,"&lt;&gt;")+COUNTIFS($G$2:$G369,$G369,$A$2:$A369,"&lt;&gt;"),"")</f>
        <v/>
      </c>
      <c r="X369" t="str">
        <f>IF(AND($A369&lt;&gt;"",ISNUMBER($C369),$C369&gt;=DATE(2003,1,1)),COUNTIFS($C$2:$C369,"&gt;="&amp;DATE(2003,1,1),$A$2:$A369,"&lt;&gt;"),"")</f>
        <v/>
      </c>
    </row>
    <row r="370" spans="1:24">
      <c r="A370" t="str">
        <f>IF('Sol Bekler'!A72="","",'Sol Bekler'!A72)</f>
        <v/>
      </c>
      <c r="B370" t="str">
        <f>IF('Sol Bekler'!B72="","",'Sol Bekler'!B72)</f>
        <v/>
      </c>
      <c r="C370" s="2" t="str">
        <f>IF('Sol Bekler'!C72="","",'Sol Bekler'!C72)</f>
        <v/>
      </c>
      <c r="D370" t="str">
        <f ca="1">IF('Sol Bekler'!D72="","",'Sol Bekler'!D72)</f>
        <v/>
      </c>
      <c r="E370" t="str">
        <f>IF('Sol Bekler'!E72="","",'Sol Bekler'!E72)</f>
        <v>Sol Bek</v>
      </c>
      <c r="F370" t="str">
        <f>IF('Sol Bekler'!G72="","",'Sol Bekler'!G72)</f>
        <v/>
      </c>
      <c r="G370" s="2" t="str">
        <f>IF('Sol Bekler'!H72="","",'Sol Bekler'!H72)</f>
        <v/>
      </c>
      <c r="H370" t="str">
        <f>IF('Sol Bekler'!I72="","",'Sol Bekler'!I72)</f>
        <v/>
      </c>
      <c r="I370" t="str">
        <f>IF('Sol Bekler'!A72="","",'Sol Bekler'!J72)</f>
        <v/>
      </c>
      <c r="J370" t="str">
        <f>IF('Sol Bekler'!A72="","",'Sol Bekler'!K72)</f>
        <v/>
      </c>
      <c r="K370" t="str">
        <f>IF('Sol Bekler'!L72="","",'Sol Bekler'!L72)</f>
        <v/>
      </c>
      <c r="L370" t="str">
        <f>IF('Sol Bekler'!M72="","",'Sol Bekler'!M72)</f>
        <v/>
      </c>
      <c r="M370" t="str">
        <f>IF('Sol Bekler'!N72="","",'Sol Bekler'!N72)</f>
        <v/>
      </c>
      <c r="N370" t="str">
        <f>IF('Sol Bekler'!O72="","",'Sol Bekler'!O72)</f>
        <v/>
      </c>
      <c r="O370" t="str">
        <f>IF('Sol Bekler'!P72="","",'Sol Bekler'!P72)</f>
        <v/>
      </c>
      <c r="P370" t="str">
        <f>IF('Sol Bekler'!Q72="","",'Sol Bekler'!Q72)</f>
        <v/>
      </c>
      <c r="Q370" t="str">
        <f>IF('Sol Bekler'!R72="","",'Sol Bekler'!R72)</f>
        <v/>
      </c>
      <c r="R370" t="str">
        <f>IF('Sol Bekler'!S72="","",'Sol Bekler'!S72)</f>
        <v/>
      </c>
      <c r="S370" t="str">
        <f>IF('Sol Bekler'!T72="","",'Sol Bekler'!T72)</f>
        <v/>
      </c>
      <c r="T370" s="2" t="str">
        <f>IF('Sol Bekler'!U72="","",'Sol Bekler'!U72)</f>
        <v/>
      </c>
      <c r="U370" t="s">
        <v>929</v>
      </c>
      <c r="V370">
        <v>72</v>
      </c>
      <c r="W370" t="str">
        <f ca="1">IF(AND($A370&lt;&gt;"",ISNUMBER($G370),$G370&gt;=TODAY(),$G370&lt;=EDATE(TODAY(),12)),COUNTIFS($G$2:$G$1001,"&gt;="&amp;TODAY(),$G$2:$G$1001,"&lt;"&amp;$G370,$A$2:$A$1001,"&lt;&gt;")+COUNTIFS($G$2:$G370,$G370,$A$2:$A370,"&lt;&gt;"),"")</f>
        <v/>
      </c>
      <c r="X370" t="str">
        <f>IF(AND($A370&lt;&gt;"",ISNUMBER($C370),$C370&gt;=DATE(2003,1,1)),COUNTIFS($C$2:$C370,"&gt;="&amp;DATE(2003,1,1),$A$2:$A370,"&lt;&gt;"),"")</f>
        <v/>
      </c>
    </row>
    <row r="371" spans="1:24">
      <c r="A371" t="str">
        <f>IF('Sol Bekler'!A73="","",'Sol Bekler'!A73)</f>
        <v/>
      </c>
      <c r="B371" t="str">
        <f>IF('Sol Bekler'!B73="","",'Sol Bekler'!B73)</f>
        <v/>
      </c>
      <c r="C371" s="2" t="str">
        <f>IF('Sol Bekler'!C73="","",'Sol Bekler'!C73)</f>
        <v/>
      </c>
      <c r="D371" t="str">
        <f ca="1">IF('Sol Bekler'!D73="","",'Sol Bekler'!D73)</f>
        <v/>
      </c>
      <c r="E371" t="str">
        <f>IF('Sol Bekler'!E73="","",'Sol Bekler'!E73)</f>
        <v>Sol Bek</v>
      </c>
      <c r="F371" t="str">
        <f>IF('Sol Bekler'!G73="","",'Sol Bekler'!G73)</f>
        <v/>
      </c>
      <c r="G371" s="2" t="str">
        <f>IF('Sol Bekler'!H73="","",'Sol Bekler'!H73)</f>
        <v/>
      </c>
      <c r="H371" t="str">
        <f>IF('Sol Bekler'!I73="","",'Sol Bekler'!I73)</f>
        <v/>
      </c>
      <c r="I371" t="str">
        <f>IF('Sol Bekler'!A73="","",'Sol Bekler'!J73)</f>
        <v/>
      </c>
      <c r="J371" t="str">
        <f>IF('Sol Bekler'!A73="","",'Sol Bekler'!K73)</f>
        <v/>
      </c>
      <c r="K371" t="str">
        <f>IF('Sol Bekler'!L73="","",'Sol Bekler'!L73)</f>
        <v/>
      </c>
      <c r="L371" t="str">
        <f>IF('Sol Bekler'!M73="","",'Sol Bekler'!M73)</f>
        <v/>
      </c>
      <c r="M371" t="str">
        <f>IF('Sol Bekler'!N73="","",'Sol Bekler'!N73)</f>
        <v/>
      </c>
      <c r="N371" t="str">
        <f>IF('Sol Bekler'!O73="","",'Sol Bekler'!O73)</f>
        <v/>
      </c>
      <c r="O371" t="str">
        <f>IF('Sol Bekler'!P73="","",'Sol Bekler'!P73)</f>
        <v/>
      </c>
      <c r="P371" t="str">
        <f>IF('Sol Bekler'!Q73="","",'Sol Bekler'!Q73)</f>
        <v/>
      </c>
      <c r="Q371" t="str">
        <f>IF('Sol Bekler'!R73="","",'Sol Bekler'!R73)</f>
        <v/>
      </c>
      <c r="R371" t="str">
        <f>IF('Sol Bekler'!S73="","",'Sol Bekler'!S73)</f>
        <v/>
      </c>
      <c r="S371" t="str">
        <f>IF('Sol Bekler'!T73="","",'Sol Bekler'!T73)</f>
        <v/>
      </c>
      <c r="T371" s="2" t="str">
        <f>IF('Sol Bekler'!U73="","",'Sol Bekler'!U73)</f>
        <v/>
      </c>
      <c r="U371" t="s">
        <v>929</v>
      </c>
      <c r="V371">
        <v>73</v>
      </c>
      <c r="W371" t="str">
        <f ca="1">IF(AND($A371&lt;&gt;"",ISNUMBER($G371),$G371&gt;=TODAY(),$G371&lt;=EDATE(TODAY(),12)),COUNTIFS($G$2:$G$1001,"&gt;="&amp;TODAY(),$G$2:$G$1001,"&lt;"&amp;$G371,$A$2:$A$1001,"&lt;&gt;")+COUNTIFS($G$2:$G371,$G371,$A$2:$A371,"&lt;&gt;"),"")</f>
        <v/>
      </c>
      <c r="X371" t="str">
        <f>IF(AND($A371&lt;&gt;"",ISNUMBER($C371),$C371&gt;=DATE(2003,1,1)),COUNTIFS($C$2:$C371,"&gt;="&amp;DATE(2003,1,1),$A$2:$A371,"&lt;&gt;"),"")</f>
        <v/>
      </c>
    </row>
    <row r="372" spans="1:24">
      <c r="A372" t="str">
        <f>IF('Sol Bekler'!A74="","",'Sol Bekler'!A74)</f>
        <v/>
      </c>
      <c r="B372" t="str">
        <f>IF('Sol Bekler'!B74="","",'Sol Bekler'!B74)</f>
        <v/>
      </c>
      <c r="C372" s="2" t="str">
        <f>IF('Sol Bekler'!C74="","",'Sol Bekler'!C74)</f>
        <v/>
      </c>
      <c r="D372" t="str">
        <f ca="1">IF('Sol Bekler'!D74="","",'Sol Bekler'!D74)</f>
        <v/>
      </c>
      <c r="E372" t="str">
        <f>IF('Sol Bekler'!E74="","",'Sol Bekler'!E74)</f>
        <v>Sol Bek</v>
      </c>
      <c r="F372" t="str">
        <f>IF('Sol Bekler'!G74="","",'Sol Bekler'!G74)</f>
        <v/>
      </c>
      <c r="G372" s="2" t="str">
        <f>IF('Sol Bekler'!H74="","",'Sol Bekler'!H74)</f>
        <v/>
      </c>
      <c r="H372" t="str">
        <f>IF('Sol Bekler'!I74="","",'Sol Bekler'!I74)</f>
        <v/>
      </c>
      <c r="I372" t="str">
        <f>IF('Sol Bekler'!A74="","",'Sol Bekler'!J74)</f>
        <v/>
      </c>
      <c r="J372" t="str">
        <f>IF('Sol Bekler'!A74="","",'Sol Bekler'!K74)</f>
        <v/>
      </c>
      <c r="K372" t="str">
        <f>IF('Sol Bekler'!L74="","",'Sol Bekler'!L74)</f>
        <v/>
      </c>
      <c r="L372" t="str">
        <f>IF('Sol Bekler'!M74="","",'Sol Bekler'!M74)</f>
        <v/>
      </c>
      <c r="M372" t="str">
        <f>IF('Sol Bekler'!N74="","",'Sol Bekler'!N74)</f>
        <v/>
      </c>
      <c r="N372" t="str">
        <f>IF('Sol Bekler'!O74="","",'Sol Bekler'!O74)</f>
        <v/>
      </c>
      <c r="O372" t="str">
        <f>IF('Sol Bekler'!P74="","",'Sol Bekler'!P74)</f>
        <v/>
      </c>
      <c r="P372" t="str">
        <f>IF('Sol Bekler'!Q74="","",'Sol Bekler'!Q74)</f>
        <v/>
      </c>
      <c r="Q372" t="str">
        <f>IF('Sol Bekler'!R74="","",'Sol Bekler'!R74)</f>
        <v/>
      </c>
      <c r="R372" t="str">
        <f>IF('Sol Bekler'!S74="","",'Sol Bekler'!S74)</f>
        <v/>
      </c>
      <c r="S372" t="str">
        <f>IF('Sol Bekler'!T74="","",'Sol Bekler'!T74)</f>
        <v/>
      </c>
      <c r="T372" s="2" t="str">
        <f>IF('Sol Bekler'!U74="","",'Sol Bekler'!U74)</f>
        <v/>
      </c>
      <c r="U372" t="s">
        <v>929</v>
      </c>
      <c r="V372">
        <v>74</v>
      </c>
      <c r="W372" t="str">
        <f ca="1">IF(AND($A372&lt;&gt;"",ISNUMBER($G372),$G372&gt;=TODAY(),$G372&lt;=EDATE(TODAY(),12)),COUNTIFS($G$2:$G$1001,"&gt;="&amp;TODAY(),$G$2:$G$1001,"&lt;"&amp;$G372,$A$2:$A$1001,"&lt;&gt;")+COUNTIFS($G$2:$G372,$G372,$A$2:$A372,"&lt;&gt;"),"")</f>
        <v/>
      </c>
      <c r="X372" t="str">
        <f>IF(AND($A372&lt;&gt;"",ISNUMBER($C372),$C372&gt;=DATE(2003,1,1)),COUNTIFS($C$2:$C372,"&gt;="&amp;DATE(2003,1,1),$A$2:$A372,"&lt;&gt;"),"")</f>
        <v/>
      </c>
    </row>
    <row r="373" spans="1:24">
      <c r="A373" t="str">
        <f>IF('Sol Bekler'!A75="","",'Sol Bekler'!A75)</f>
        <v/>
      </c>
      <c r="B373" t="str">
        <f>IF('Sol Bekler'!B75="","",'Sol Bekler'!B75)</f>
        <v/>
      </c>
      <c r="C373" s="2" t="str">
        <f>IF('Sol Bekler'!C75="","",'Sol Bekler'!C75)</f>
        <v/>
      </c>
      <c r="D373" t="str">
        <f ca="1">IF('Sol Bekler'!D75="","",'Sol Bekler'!D75)</f>
        <v/>
      </c>
      <c r="E373" t="str">
        <f>IF('Sol Bekler'!E75="","",'Sol Bekler'!E75)</f>
        <v>Sol Bek</v>
      </c>
      <c r="F373" t="str">
        <f>IF('Sol Bekler'!G75="","",'Sol Bekler'!G75)</f>
        <v/>
      </c>
      <c r="G373" s="2" t="str">
        <f>IF('Sol Bekler'!H75="","",'Sol Bekler'!H75)</f>
        <v/>
      </c>
      <c r="H373" t="str">
        <f>IF('Sol Bekler'!I75="","",'Sol Bekler'!I75)</f>
        <v/>
      </c>
      <c r="I373" t="str">
        <f>IF('Sol Bekler'!A75="","",'Sol Bekler'!J75)</f>
        <v/>
      </c>
      <c r="J373" t="str">
        <f>IF('Sol Bekler'!A75="","",'Sol Bekler'!K75)</f>
        <v/>
      </c>
      <c r="K373" t="str">
        <f>IF('Sol Bekler'!L75="","",'Sol Bekler'!L75)</f>
        <v/>
      </c>
      <c r="L373" t="str">
        <f>IF('Sol Bekler'!M75="","",'Sol Bekler'!M75)</f>
        <v/>
      </c>
      <c r="M373" t="str">
        <f>IF('Sol Bekler'!N75="","",'Sol Bekler'!N75)</f>
        <v/>
      </c>
      <c r="N373" t="str">
        <f>IF('Sol Bekler'!O75="","",'Sol Bekler'!O75)</f>
        <v/>
      </c>
      <c r="O373" t="str">
        <f>IF('Sol Bekler'!P75="","",'Sol Bekler'!P75)</f>
        <v/>
      </c>
      <c r="P373" t="str">
        <f>IF('Sol Bekler'!Q75="","",'Sol Bekler'!Q75)</f>
        <v/>
      </c>
      <c r="Q373" t="str">
        <f>IF('Sol Bekler'!R75="","",'Sol Bekler'!R75)</f>
        <v/>
      </c>
      <c r="R373" t="str">
        <f>IF('Sol Bekler'!S75="","",'Sol Bekler'!S75)</f>
        <v/>
      </c>
      <c r="S373" t="str">
        <f>IF('Sol Bekler'!T75="","",'Sol Bekler'!T75)</f>
        <v/>
      </c>
      <c r="T373" s="2" t="str">
        <f>IF('Sol Bekler'!U75="","",'Sol Bekler'!U75)</f>
        <v/>
      </c>
      <c r="U373" t="s">
        <v>929</v>
      </c>
      <c r="V373">
        <v>75</v>
      </c>
      <c r="W373" t="str">
        <f ca="1">IF(AND($A373&lt;&gt;"",ISNUMBER($G373),$G373&gt;=TODAY(),$G373&lt;=EDATE(TODAY(),12)),COUNTIFS($G$2:$G$1001,"&gt;="&amp;TODAY(),$G$2:$G$1001,"&lt;"&amp;$G373,$A$2:$A$1001,"&lt;&gt;")+COUNTIFS($G$2:$G373,$G373,$A$2:$A373,"&lt;&gt;"),"")</f>
        <v/>
      </c>
      <c r="X373" t="str">
        <f>IF(AND($A373&lt;&gt;"",ISNUMBER($C373),$C373&gt;=DATE(2003,1,1)),COUNTIFS($C$2:$C373,"&gt;="&amp;DATE(2003,1,1),$A$2:$A373,"&lt;&gt;"),"")</f>
        <v/>
      </c>
    </row>
    <row r="374" spans="1:24">
      <c r="A374" t="str">
        <f>IF('Sol Bekler'!A76="","",'Sol Bekler'!A76)</f>
        <v/>
      </c>
      <c r="B374" t="str">
        <f>IF('Sol Bekler'!B76="","",'Sol Bekler'!B76)</f>
        <v/>
      </c>
      <c r="C374" s="2" t="str">
        <f>IF('Sol Bekler'!C76="","",'Sol Bekler'!C76)</f>
        <v/>
      </c>
      <c r="D374" t="str">
        <f ca="1">IF('Sol Bekler'!D76="","",'Sol Bekler'!D76)</f>
        <v/>
      </c>
      <c r="E374" t="str">
        <f>IF('Sol Bekler'!E76="","",'Sol Bekler'!E76)</f>
        <v>Sol Bek</v>
      </c>
      <c r="F374" t="str">
        <f>IF('Sol Bekler'!G76="","",'Sol Bekler'!G76)</f>
        <v/>
      </c>
      <c r="G374" s="2" t="str">
        <f>IF('Sol Bekler'!H76="","",'Sol Bekler'!H76)</f>
        <v/>
      </c>
      <c r="H374" t="str">
        <f>IF('Sol Bekler'!I76="","",'Sol Bekler'!I76)</f>
        <v/>
      </c>
      <c r="I374" t="str">
        <f>IF('Sol Bekler'!A76="","",'Sol Bekler'!J76)</f>
        <v/>
      </c>
      <c r="J374" t="str">
        <f>IF('Sol Bekler'!A76="","",'Sol Bekler'!K76)</f>
        <v/>
      </c>
      <c r="K374" t="str">
        <f>IF('Sol Bekler'!L76="","",'Sol Bekler'!L76)</f>
        <v/>
      </c>
      <c r="L374" t="str">
        <f>IF('Sol Bekler'!M76="","",'Sol Bekler'!M76)</f>
        <v/>
      </c>
      <c r="M374" t="str">
        <f>IF('Sol Bekler'!N76="","",'Sol Bekler'!N76)</f>
        <v/>
      </c>
      <c r="N374" t="str">
        <f>IF('Sol Bekler'!O76="","",'Sol Bekler'!O76)</f>
        <v/>
      </c>
      <c r="O374" t="str">
        <f>IF('Sol Bekler'!P76="","",'Sol Bekler'!P76)</f>
        <v/>
      </c>
      <c r="P374" t="str">
        <f>IF('Sol Bekler'!Q76="","",'Sol Bekler'!Q76)</f>
        <v/>
      </c>
      <c r="Q374" t="str">
        <f>IF('Sol Bekler'!R76="","",'Sol Bekler'!R76)</f>
        <v/>
      </c>
      <c r="R374" t="str">
        <f>IF('Sol Bekler'!S76="","",'Sol Bekler'!S76)</f>
        <v/>
      </c>
      <c r="S374" t="str">
        <f>IF('Sol Bekler'!T76="","",'Sol Bekler'!T76)</f>
        <v/>
      </c>
      <c r="T374" s="2" t="str">
        <f>IF('Sol Bekler'!U76="","",'Sol Bekler'!U76)</f>
        <v/>
      </c>
      <c r="U374" t="s">
        <v>929</v>
      </c>
      <c r="V374">
        <v>76</v>
      </c>
      <c r="W374" t="str">
        <f ca="1">IF(AND($A374&lt;&gt;"",ISNUMBER($G374),$G374&gt;=TODAY(),$G374&lt;=EDATE(TODAY(),12)),COUNTIFS($G$2:$G$1001,"&gt;="&amp;TODAY(),$G$2:$G$1001,"&lt;"&amp;$G374,$A$2:$A$1001,"&lt;&gt;")+COUNTIFS($G$2:$G374,$G374,$A$2:$A374,"&lt;&gt;"),"")</f>
        <v/>
      </c>
      <c r="X374" t="str">
        <f>IF(AND($A374&lt;&gt;"",ISNUMBER($C374),$C374&gt;=DATE(2003,1,1)),COUNTIFS($C$2:$C374,"&gt;="&amp;DATE(2003,1,1),$A$2:$A374,"&lt;&gt;"),"")</f>
        <v/>
      </c>
    </row>
    <row r="375" spans="1:24">
      <c r="A375" t="str">
        <f>IF('Sol Bekler'!A77="","",'Sol Bekler'!A77)</f>
        <v/>
      </c>
      <c r="B375" t="str">
        <f>IF('Sol Bekler'!B77="","",'Sol Bekler'!B77)</f>
        <v/>
      </c>
      <c r="C375" s="2" t="str">
        <f>IF('Sol Bekler'!C77="","",'Sol Bekler'!C77)</f>
        <v/>
      </c>
      <c r="D375" t="str">
        <f ca="1">IF('Sol Bekler'!D77="","",'Sol Bekler'!D77)</f>
        <v/>
      </c>
      <c r="E375" t="str">
        <f>IF('Sol Bekler'!E77="","",'Sol Bekler'!E77)</f>
        <v>Sol Bek</v>
      </c>
      <c r="F375" t="str">
        <f>IF('Sol Bekler'!G77="","",'Sol Bekler'!G77)</f>
        <v/>
      </c>
      <c r="G375" s="2" t="str">
        <f>IF('Sol Bekler'!H77="","",'Sol Bekler'!H77)</f>
        <v/>
      </c>
      <c r="H375" t="str">
        <f>IF('Sol Bekler'!I77="","",'Sol Bekler'!I77)</f>
        <v/>
      </c>
      <c r="I375" t="str">
        <f>IF('Sol Bekler'!A77="","",'Sol Bekler'!J77)</f>
        <v/>
      </c>
      <c r="J375" t="str">
        <f>IF('Sol Bekler'!A77="","",'Sol Bekler'!K77)</f>
        <v/>
      </c>
      <c r="K375" t="str">
        <f>IF('Sol Bekler'!L77="","",'Sol Bekler'!L77)</f>
        <v/>
      </c>
      <c r="L375" t="str">
        <f>IF('Sol Bekler'!M77="","",'Sol Bekler'!M77)</f>
        <v/>
      </c>
      <c r="M375" t="str">
        <f>IF('Sol Bekler'!N77="","",'Sol Bekler'!N77)</f>
        <v/>
      </c>
      <c r="N375" t="str">
        <f>IF('Sol Bekler'!O77="","",'Sol Bekler'!O77)</f>
        <v/>
      </c>
      <c r="O375" t="str">
        <f>IF('Sol Bekler'!P77="","",'Sol Bekler'!P77)</f>
        <v/>
      </c>
      <c r="P375" t="str">
        <f>IF('Sol Bekler'!Q77="","",'Sol Bekler'!Q77)</f>
        <v/>
      </c>
      <c r="Q375" t="str">
        <f>IF('Sol Bekler'!R77="","",'Sol Bekler'!R77)</f>
        <v/>
      </c>
      <c r="R375" t="str">
        <f>IF('Sol Bekler'!S77="","",'Sol Bekler'!S77)</f>
        <v/>
      </c>
      <c r="S375" t="str">
        <f>IF('Sol Bekler'!T77="","",'Sol Bekler'!T77)</f>
        <v/>
      </c>
      <c r="T375" s="2" t="str">
        <f>IF('Sol Bekler'!U77="","",'Sol Bekler'!U77)</f>
        <v/>
      </c>
      <c r="U375" t="s">
        <v>929</v>
      </c>
      <c r="V375">
        <v>77</v>
      </c>
      <c r="W375" t="str">
        <f ca="1">IF(AND($A375&lt;&gt;"",ISNUMBER($G375),$G375&gt;=TODAY(),$G375&lt;=EDATE(TODAY(),12)),COUNTIFS($G$2:$G$1001,"&gt;="&amp;TODAY(),$G$2:$G$1001,"&lt;"&amp;$G375,$A$2:$A$1001,"&lt;&gt;")+COUNTIFS($G$2:$G375,$G375,$A$2:$A375,"&lt;&gt;"),"")</f>
        <v/>
      </c>
      <c r="X375" t="str">
        <f>IF(AND($A375&lt;&gt;"",ISNUMBER($C375),$C375&gt;=DATE(2003,1,1)),COUNTIFS($C$2:$C375,"&gt;="&amp;DATE(2003,1,1),$A$2:$A375,"&lt;&gt;"),"")</f>
        <v/>
      </c>
    </row>
    <row r="376" spans="1:24">
      <c r="A376" t="str">
        <f>IF('Sol Bekler'!A78="","",'Sol Bekler'!A78)</f>
        <v/>
      </c>
      <c r="B376" t="str">
        <f>IF('Sol Bekler'!B78="","",'Sol Bekler'!B78)</f>
        <v/>
      </c>
      <c r="C376" s="2" t="str">
        <f>IF('Sol Bekler'!C78="","",'Sol Bekler'!C78)</f>
        <v/>
      </c>
      <c r="D376" t="str">
        <f ca="1">IF('Sol Bekler'!D78="","",'Sol Bekler'!D78)</f>
        <v/>
      </c>
      <c r="E376" t="str">
        <f>IF('Sol Bekler'!E78="","",'Sol Bekler'!E78)</f>
        <v>Sol Bek</v>
      </c>
      <c r="F376" t="str">
        <f>IF('Sol Bekler'!G78="","",'Sol Bekler'!G78)</f>
        <v/>
      </c>
      <c r="G376" s="2" t="str">
        <f>IF('Sol Bekler'!H78="","",'Sol Bekler'!H78)</f>
        <v/>
      </c>
      <c r="H376" t="str">
        <f>IF('Sol Bekler'!I78="","",'Sol Bekler'!I78)</f>
        <v/>
      </c>
      <c r="I376" t="str">
        <f>IF('Sol Bekler'!A78="","",'Sol Bekler'!J78)</f>
        <v/>
      </c>
      <c r="J376" t="str">
        <f>IF('Sol Bekler'!A78="","",'Sol Bekler'!K78)</f>
        <v/>
      </c>
      <c r="K376" t="str">
        <f>IF('Sol Bekler'!L78="","",'Sol Bekler'!L78)</f>
        <v/>
      </c>
      <c r="L376" t="str">
        <f>IF('Sol Bekler'!M78="","",'Sol Bekler'!M78)</f>
        <v/>
      </c>
      <c r="M376" t="str">
        <f>IF('Sol Bekler'!N78="","",'Sol Bekler'!N78)</f>
        <v/>
      </c>
      <c r="N376" t="str">
        <f>IF('Sol Bekler'!O78="","",'Sol Bekler'!O78)</f>
        <v/>
      </c>
      <c r="O376" t="str">
        <f>IF('Sol Bekler'!P78="","",'Sol Bekler'!P78)</f>
        <v/>
      </c>
      <c r="P376" t="str">
        <f>IF('Sol Bekler'!Q78="","",'Sol Bekler'!Q78)</f>
        <v/>
      </c>
      <c r="Q376" t="str">
        <f>IF('Sol Bekler'!R78="","",'Sol Bekler'!R78)</f>
        <v/>
      </c>
      <c r="R376" t="str">
        <f>IF('Sol Bekler'!S78="","",'Sol Bekler'!S78)</f>
        <v/>
      </c>
      <c r="S376" t="str">
        <f>IF('Sol Bekler'!T78="","",'Sol Bekler'!T78)</f>
        <v/>
      </c>
      <c r="T376" s="2" t="str">
        <f>IF('Sol Bekler'!U78="","",'Sol Bekler'!U78)</f>
        <v/>
      </c>
      <c r="U376" t="s">
        <v>929</v>
      </c>
      <c r="V376">
        <v>78</v>
      </c>
      <c r="W376" t="str">
        <f ca="1">IF(AND($A376&lt;&gt;"",ISNUMBER($G376),$G376&gt;=TODAY(),$G376&lt;=EDATE(TODAY(),12)),COUNTIFS($G$2:$G$1001,"&gt;="&amp;TODAY(),$G$2:$G$1001,"&lt;"&amp;$G376,$A$2:$A$1001,"&lt;&gt;")+COUNTIFS($G$2:$G376,$G376,$A$2:$A376,"&lt;&gt;"),"")</f>
        <v/>
      </c>
      <c r="X376" t="str">
        <f>IF(AND($A376&lt;&gt;"",ISNUMBER($C376),$C376&gt;=DATE(2003,1,1)),COUNTIFS($C$2:$C376,"&gt;="&amp;DATE(2003,1,1),$A$2:$A376,"&lt;&gt;"),"")</f>
        <v/>
      </c>
    </row>
    <row r="377" spans="1:24">
      <c r="A377" t="str">
        <f>IF('Sol Bekler'!A79="","",'Sol Bekler'!A79)</f>
        <v/>
      </c>
      <c r="B377" t="str">
        <f>IF('Sol Bekler'!B79="","",'Sol Bekler'!B79)</f>
        <v/>
      </c>
      <c r="C377" s="2" t="str">
        <f>IF('Sol Bekler'!C79="","",'Sol Bekler'!C79)</f>
        <v/>
      </c>
      <c r="D377" t="str">
        <f ca="1">IF('Sol Bekler'!D79="","",'Sol Bekler'!D79)</f>
        <v/>
      </c>
      <c r="E377" t="str">
        <f>IF('Sol Bekler'!E79="","",'Sol Bekler'!E79)</f>
        <v>Sol Bek</v>
      </c>
      <c r="F377" t="str">
        <f>IF('Sol Bekler'!G79="","",'Sol Bekler'!G79)</f>
        <v/>
      </c>
      <c r="G377" s="2" t="str">
        <f>IF('Sol Bekler'!H79="","",'Sol Bekler'!H79)</f>
        <v/>
      </c>
      <c r="H377" t="str">
        <f>IF('Sol Bekler'!I79="","",'Sol Bekler'!I79)</f>
        <v/>
      </c>
      <c r="I377" t="str">
        <f>IF('Sol Bekler'!A79="","",'Sol Bekler'!J79)</f>
        <v/>
      </c>
      <c r="J377" t="str">
        <f>IF('Sol Bekler'!A79="","",'Sol Bekler'!K79)</f>
        <v/>
      </c>
      <c r="K377" t="str">
        <f>IF('Sol Bekler'!L79="","",'Sol Bekler'!L79)</f>
        <v/>
      </c>
      <c r="L377" t="str">
        <f>IF('Sol Bekler'!M79="","",'Sol Bekler'!M79)</f>
        <v/>
      </c>
      <c r="M377" t="str">
        <f>IF('Sol Bekler'!N79="","",'Sol Bekler'!N79)</f>
        <v/>
      </c>
      <c r="N377" t="str">
        <f>IF('Sol Bekler'!O79="","",'Sol Bekler'!O79)</f>
        <v/>
      </c>
      <c r="O377" t="str">
        <f>IF('Sol Bekler'!P79="","",'Sol Bekler'!P79)</f>
        <v/>
      </c>
      <c r="P377" t="str">
        <f>IF('Sol Bekler'!Q79="","",'Sol Bekler'!Q79)</f>
        <v/>
      </c>
      <c r="Q377" t="str">
        <f>IF('Sol Bekler'!R79="","",'Sol Bekler'!R79)</f>
        <v/>
      </c>
      <c r="R377" t="str">
        <f>IF('Sol Bekler'!S79="","",'Sol Bekler'!S79)</f>
        <v/>
      </c>
      <c r="S377" t="str">
        <f>IF('Sol Bekler'!T79="","",'Sol Bekler'!T79)</f>
        <v/>
      </c>
      <c r="T377" s="2" t="str">
        <f>IF('Sol Bekler'!U79="","",'Sol Bekler'!U79)</f>
        <v/>
      </c>
      <c r="U377" t="s">
        <v>929</v>
      </c>
      <c r="V377">
        <v>79</v>
      </c>
      <c r="W377" t="str">
        <f ca="1">IF(AND($A377&lt;&gt;"",ISNUMBER($G377),$G377&gt;=TODAY(),$G377&lt;=EDATE(TODAY(),12)),COUNTIFS($G$2:$G$1001,"&gt;="&amp;TODAY(),$G$2:$G$1001,"&lt;"&amp;$G377,$A$2:$A$1001,"&lt;&gt;")+COUNTIFS($G$2:$G377,$G377,$A$2:$A377,"&lt;&gt;"),"")</f>
        <v/>
      </c>
      <c r="X377" t="str">
        <f>IF(AND($A377&lt;&gt;"",ISNUMBER($C377),$C377&gt;=DATE(2003,1,1)),COUNTIFS($C$2:$C377,"&gt;="&amp;DATE(2003,1,1),$A$2:$A377,"&lt;&gt;"),"")</f>
        <v/>
      </c>
    </row>
    <row r="378" spans="1:24">
      <c r="A378" t="str">
        <f>IF('Sol Bekler'!A80="","",'Sol Bekler'!A80)</f>
        <v/>
      </c>
      <c r="B378" t="str">
        <f>IF('Sol Bekler'!B80="","",'Sol Bekler'!B80)</f>
        <v/>
      </c>
      <c r="C378" s="2" t="str">
        <f>IF('Sol Bekler'!C80="","",'Sol Bekler'!C80)</f>
        <v/>
      </c>
      <c r="D378" t="str">
        <f ca="1">IF('Sol Bekler'!D80="","",'Sol Bekler'!D80)</f>
        <v/>
      </c>
      <c r="E378" t="str">
        <f>IF('Sol Bekler'!E80="","",'Sol Bekler'!E80)</f>
        <v>Sol Bek</v>
      </c>
      <c r="F378" t="str">
        <f>IF('Sol Bekler'!G80="","",'Sol Bekler'!G80)</f>
        <v/>
      </c>
      <c r="G378" s="2" t="str">
        <f>IF('Sol Bekler'!H80="","",'Sol Bekler'!H80)</f>
        <v/>
      </c>
      <c r="H378" t="str">
        <f>IF('Sol Bekler'!I80="","",'Sol Bekler'!I80)</f>
        <v/>
      </c>
      <c r="I378" t="str">
        <f>IF('Sol Bekler'!A80="","",'Sol Bekler'!J80)</f>
        <v/>
      </c>
      <c r="J378" t="str">
        <f>IF('Sol Bekler'!A80="","",'Sol Bekler'!K80)</f>
        <v/>
      </c>
      <c r="K378" t="str">
        <f>IF('Sol Bekler'!L80="","",'Sol Bekler'!L80)</f>
        <v/>
      </c>
      <c r="L378" t="str">
        <f>IF('Sol Bekler'!M80="","",'Sol Bekler'!M80)</f>
        <v/>
      </c>
      <c r="M378" t="str">
        <f>IF('Sol Bekler'!N80="","",'Sol Bekler'!N80)</f>
        <v/>
      </c>
      <c r="N378" t="str">
        <f>IF('Sol Bekler'!O80="","",'Sol Bekler'!O80)</f>
        <v/>
      </c>
      <c r="O378" t="str">
        <f>IF('Sol Bekler'!P80="","",'Sol Bekler'!P80)</f>
        <v/>
      </c>
      <c r="P378" t="str">
        <f>IF('Sol Bekler'!Q80="","",'Sol Bekler'!Q80)</f>
        <v/>
      </c>
      <c r="Q378" t="str">
        <f>IF('Sol Bekler'!R80="","",'Sol Bekler'!R80)</f>
        <v/>
      </c>
      <c r="R378" t="str">
        <f>IF('Sol Bekler'!S80="","",'Sol Bekler'!S80)</f>
        <v/>
      </c>
      <c r="S378" t="str">
        <f>IF('Sol Bekler'!T80="","",'Sol Bekler'!T80)</f>
        <v/>
      </c>
      <c r="T378" s="2" t="str">
        <f>IF('Sol Bekler'!U80="","",'Sol Bekler'!U80)</f>
        <v/>
      </c>
      <c r="U378" t="s">
        <v>929</v>
      </c>
      <c r="V378">
        <v>80</v>
      </c>
      <c r="W378" t="str">
        <f ca="1">IF(AND($A378&lt;&gt;"",ISNUMBER($G378),$G378&gt;=TODAY(),$G378&lt;=EDATE(TODAY(),12)),COUNTIFS($G$2:$G$1001,"&gt;="&amp;TODAY(),$G$2:$G$1001,"&lt;"&amp;$G378,$A$2:$A$1001,"&lt;&gt;")+COUNTIFS($G$2:$G378,$G378,$A$2:$A378,"&lt;&gt;"),"")</f>
        <v/>
      </c>
      <c r="X378" t="str">
        <f>IF(AND($A378&lt;&gt;"",ISNUMBER($C378),$C378&gt;=DATE(2003,1,1)),COUNTIFS($C$2:$C378,"&gt;="&amp;DATE(2003,1,1),$A$2:$A378,"&lt;&gt;"),"")</f>
        <v/>
      </c>
    </row>
    <row r="379" spans="1:24">
      <c r="A379" t="str">
        <f>IF('Sol Bekler'!A81="","",'Sol Bekler'!A81)</f>
        <v/>
      </c>
      <c r="B379" t="str">
        <f>IF('Sol Bekler'!B81="","",'Sol Bekler'!B81)</f>
        <v/>
      </c>
      <c r="C379" s="2" t="str">
        <f>IF('Sol Bekler'!C81="","",'Sol Bekler'!C81)</f>
        <v/>
      </c>
      <c r="D379" t="str">
        <f ca="1">IF('Sol Bekler'!D81="","",'Sol Bekler'!D81)</f>
        <v/>
      </c>
      <c r="E379" t="str">
        <f>IF('Sol Bekler'!E81="","",'Sol Bekler'!E81)</f>
        <v>Sol Bek</v>
      </c>
      <c r="F379" t="str">
        <f>IF('Sol Bekler'!G81="","",'Sol Bekler'!G81)</f>
        <v/>
      </c>
      <c r="G379" s="2" t="str">
        <f>IF('Sol Bekler'!H81="","",'Sol Bekler'!H81)</f>
        <v/>
      </c>
      <c r="H379" t="str">
        <f>IF('Sol Bekler'!I81="","",'Sol Bekler'!I81)</f>
        <v/>
      </c>
      <c r="I379" t="str">
        <f>IF('Sol Bekler'!A81="","",'Sol Bekler'!J81)</f>
        <v/>
      </c>
      <c r="J379" t="str">
        <f>IF('Sol Bekler'!A81="","",'Sol Bekler'!K81)</f>
        <v/>
      </c>
      <c r="K379" t="str">
        <f>IF('Sol Bekler'!L81="","",'Sol Bekler'!L81)</f>
        <v/>
      </c>
      <c r="L379" t="str">
        <f>IF('Sol Bekler'!M81="","",'Sol Bekler'!M81)</f>
        <v/>
      </c>
      <c r="M379" t="str">
        <f>IF('Sol Bekler'!N81="","",'Sol Bekler'!N81)</f>
        <v/>
      </c>
      <c r="N379" t="str">
        <f>IF('Sol Bekler'!O81="","",'Sol Bekler'!O81)</f>
        <v/>
      </c>
      <c r="O379" t="str">
        <f>IF('Sol Bekler'!P81="","",'Sol Bekler'!P81)</f>
        <v/>
      </c>
      <c r="P379" t="str">
        <f>IF('Sol Bekler'!Q81="","",'Sol Bekler'!Q81)</f>
        <v/>
      </c>
      <c r="Q379" t="str">
        <f>IF('Sol Bekler'!R81="","",'Sol Bekler'!R81)</f>
        <v/>
      </c>
      <c r="R379" t="str">
        <f>IF('Sol Bekler'!S81="","",'Sol Bekler'!S81)</f>
        <v/>
      </c>
      <c r="S379" t="str">
        <f>IF('Sol Bekler'!T81="","",'Sol Bekler'!T81)</f>
        <v/>
      </c>
      <c r="T379" s="2" t="str">
        <f>IF('Sol Bekler'!U81="","",'Sol Bekler'!U81)</f>
        <v/>
      </c>
      <c r="U379" t="s">
        <v>929</v>
      </c>
      <c r="V379">
        <v>81</v>
      </c>
      <c r="W379" t="str">
        <f ca="1">IF(AND($A379&lt;&gt;"",ISNUMBER($G379),$G379&gt;=TODAY(),$G379&lt;=EDATE(TODAY(),12)),COUNTIFS($G$2:$G$1001,"&gt;="&amp;TODAY(),$G$2:$G$1001,"&lt;"&amp;$G379,$A$2:$A$1001,"&lt;&gt;")+COUNTIFS($G$2:$G379,$G379,$A$2:$A379,"&lt;&gt;"),"")</f>
        <v/>
      </c>
      <c r="X379" t="str">
        <f>IF(AND($A379&lt;&gt;"",ISNUMBER($C379),$C379&gt;=DATE(2003,1,1)),COUNTIFS($C$2:$C379,"&gt;="&amp;DATE(2003,1,1),$A$2:$A379,"&lt;&gt;"),"")</f>
        <v/>
      </c>
    </row>
    <row r="380" spans="1:24">
      <c r="A380" t="str">
        <f>IF('Sol Bekler'!A82="","",'Sol Bekler'!A82)</f>
        <v/>
      </c>
      <c r="B380" t="str">
        <f>IF('Sol Bekler'!B82="","",'Sol Bekler'!B82)</f>
        <v/>
      </c>
      <c r="C380" s="2" t="str">
        <f>IF('Sol Bekler'!C82="","",'Sol Bekler'!C82)</f>
        <v/>
      </c>
      <c r="D380" t="str">
        <f ca="1">IF('Sol Bekler'!D82="","",'Sol Bekler'!D82)</f>
        <v/>
      </c>
      <c r="E380" t="str">
        <f>IF('Sol Bekler'!E82="","",'Sol Bekler'!E82)</f>
        <v>Sol Bek</v>
      </c>
      <c r="F380" t="str">
        <f>IF('Sol Bekler'!G82="","",'Sol Bekler'!G82)</f>
        <v/>
      </c>
      <c r="G380" s="2" t="str">
        <f>IF('Sol Bekler'!H82="","",'Sol Bekler'!H82)</f>
        <v/>
      </c>
      <c r="H380" t="str">
        <f>IF('Sol Bekler'!I82="","",'Sol Bekler'!I82)</f>
        <v/>
      </c>
      <c r="I380" t="str">
        <f>IF('Sol Bekler'!A82="","",'Sol Bekler'!J82)</f>
        <v/>
      </c>
      <c r="J380" t="str">
        <f>IF('Sol Bekler'!A82="","",'Sol Bekler'!K82)</f>
        <v/>
      </c>
      <c r="K380" t="str">
        <f>IF('Sol Bekler'!L82="","",'Sol Bekler'!L82)</f>
        <v/>
      </c>
      <c r="L380" t="str">
        <f>IF('Sol Bekler'!M82="","",'Sol Bekler'!M82)</f>
        <v/>
      </c>
      <c r="M380" t="str">
        <f>IF('Sol Bekler'!N82="","",'Sol Bekler'!N82)</f>
        <v/>
      </c>
      <c r="N380" t="str">
        <f>IF('Sol Bekler'!O82="","",'Sol Bekler'!O82)</f>
        <v/>
      </c>
      <c r="O380" t="str">
        <f>IF('Sol Bekler'!P82="","",'Sol Bekler'!P82)</f>
        <v/>
      </c>
      <c r="P380" t="str">
        <f>IF('Sol Bekler'!Q82="","",'Sol Bekler'!Q82)</f>
        <v/>
      </c>
      <c r="Q380" t="str">
        <f>IF('Sol Bekler'!R82="","",'Sol Bekler'!R82)</f>
        <v/>
      </c>
      <c r="R380" t="str">
        <f>IF('Sol Bekler'!S82="","",'Sol Bekler'!S82)</f>
        <v/>
      </c>
      <c r="S380" t="str">
        <f>IF('Sol Bekler'!T82="","",'Sol Bekler'!T82)</f>
        <v/>
      </c>
      <c r="T380" s="2" t="str">
        <f>IF('Sol Bekler'!U82="","",'Sol Bekler'!U82)</f>
        <v/>
      </c>
      <c r="U380" t="s">
        <v>929</v>
      </c>
      <c r="V380">
        <v>82</v>
      </c>
      <c r="W380" t="str">
        <f ca="1">IF(AND($A380&lt;&gt;"",ISNUMBER($G380),$G380&gt;=TODAY(),$G380&lt;=EDATE(TODAY(),12)),COUNTIFS($G$2:$G$1001,"&gt;="&amp;TODAY(),$G$2:$G$1001,"&lt;"&amp;$G380,$A$2:$A$1001,"&lt;&gt;")+COUNTIFS($G$2:$G380,$G380,$A$2:$A380,"&lt;&gt;"),"")</f>
        <v/>
      </c>
      <c r="X380" t="str">
        <f>IF(AND($A380&lt;&gt;"",ISNUMBER($C380),$C380&gt;=DATE(2003,1,1)),COUNTIFS($C$2:$C380,"&gt;="&amp;DATE(2003,1,1),$A$2:$A380,"&lt;&gt;"),"")</f>
        <v/>
      </c>
    </row>
    <row r="381" spans="1:24">
      <c r="A381" t="str">
        <f>IF('Sol Bekler'!A83="","",'Sol Bekler'!A83)</f>
        <v/>
      </c>
      <c r="B381" t="str">
        <f>IF('Sol Bekler'!B83="","",'Sol Bekler'!B83)</f>
        <v/>
      </c>
      <c r="C381" s="2" t="str">
        <f>IF('Sol Bekler'!C83="","",'Sol Bekler'!C83)</f>
        <v/>
      </c>
      <c r="D381" t="str">
        <f ca="1">IF('Sol Bekler'!D83="","",'Sol Bekler'!D83)</f>
        <v/>
      </c>
      <c r="E381" t="str">
        <f>IF('Sol Bekler'!E83="","",'Sol Bekler'!E83)</f>
        <v>Sol Bek</v>
      </c>
      <c r="F381" t="str">
        <f>IF('Sol Bekler'!G83="","",'Sol Bekler'!G83)</f>
        <v/>
      </c>
      <c r="G381" s="2" t="str">
        <f>IF('Sol Bekler'!H83="","",'Sol Bekler'!H83)</f>
        <v/>
      </c>
      <c r="H381" t="str">
        <f>IF('Sol Bekler'!I83="","",'Sol Bekler'!I83)</f>
        <v/>
      </c>
      <c r="I381" t="str">
        <f>IF('Sol Bekler'!A83="","",'Sol Bekler'!J83)</f>
        <v/>
      </c>
      <c r="J381" t="str">
        <f>IF('Sol Bekler'!A83="","",'Sol Bekler'!K83)</f>
        <v/>
      </c>
      <c r="K381" t="str">
        <f>IF('Sol Bekler'!L83="","",'Sol Bekler'!L83)</f>
        <v/>
      </c>
      <c r="L381" t="str">
        <f>IF('Sol Bekler'!M83="","",'Sol Bekler'!M83)</f>
        <v/>
      </c>
      <c r="M381" t="str">
        <f>IF('Sol Bekler'!N83="","",'Sol Bekler'!N83)</f>
        <v/>
      </c>
      <c r="N381" t="str">
        <f>IF('Sol Bekler'!O83="","",'Sol Bekler'!O83)</f>
        <v/>
      </c>
      <c r="O381" t="str">
        <f>IF('Sol Bekler'!P83="","",'Sol Bekler'!P83)</f>
        <v/>
      </c>
      <c r="P381" t="str">
        <f>IF('Sol Bekler'!Q83="","",'Sol Bekler'!Q83)</f>
        <v/>
      </c>
      <c r="Q381" t="str">
        <f>IF('Sol Bekler'!R83="","",'Sol Bekler'!R83)</f>
        <v/>
      </c>
      <c r="R381" t="str">
        <f>IF('Sol Bekler'!S83="","",'Sol Bekler'!S83)</f>
        <v/>
      </c>
      <c r="S381" t="str">
        <f>IF('Sol Bekler'!T83="","",'Sol Bekler'!T83)</f>
        <v/>
      </c>
      <c r="T381" s="2" t="str">
        <f>IF('Sol Bekler'!U83="","",'Sol Bekler'!U83)</f>
        <v/>
      </c>
      <c r="U381" t="s">
        <v>929</v>
      </c>
      <c r="V381">
        <v>83</v>
      </c>
      <c r="W381" t="str">
        <f ca="1">IF(AND($A381&lt;&gt;"",ISNUMBER($G381),$G381&gt;=TODAY(),$G381&lt;=EDATE(TODAY(),12)),COUNTIFS($G$2:$G$1001,"&gt;="&amp;TODAY(),$G$2:$G$1001,"&lt;"&amp;$G381,$A$2:$A$1001,"&lt;&gt;")+COUNTIFS($G$2:$G381,$G381,$A$2:$A381,"&lt;&gt;"),"")</f>
        <v/>
      </c>
      <c r="X381" t="str">
        <f>IF(AND($A381&lt;&gt;"",ISNUMBER($C381),$C381&gt;=DATE(2003,1,1)),COUNTIFS($C$2:$C381,"&gt;="&amp;DATE(2003,1,1),$A$2:$A381,"&lt;&gt;"),"")</f>
        <v/>
      </c>
    </row>
    <row r="382" spans="1:24">
      <c r="A382" t="str">
        <f>IF('Sol Bekler'!A84="","",'Sol Bekler'!A84)</f>
        <v/>
      </c>
      <c r="B382" t="str">
        <f>IF('Sol Bekler'!B84="","",'Sol Bekler'!B84)</f>
        <v/>
      </c>
      <c r="C382" s="2" t="str">
        <f>IF('Sol Bekler'!C84="","",'Sol Bekler'!C84)</f>
        <v/>
      </c>
      <c r="D382" t="str">
        <f ca="1">IF('Sol Bekler'!D84="","",'Sol Bekler'!D84)</f>
        <v/>
      </c>
      <c r="E382" t="str">
        <f>IF('Sol Bekler'!E84="","",'Sol Bekler'!E84)</f>
        <v>Sol Bek</v>
      </c>
      <c r="F382" t="str">
        <f>IF('Sol Bekler'!G84="","",'Sol Bekler'!G84)</f>
        <v/>
      </c>
      <c r="G382" s="2" t="str">
        <f>IF('Sol Bekler'!H84="","",'Sol Bekler'!H84)</f>
        <v/>
      </c>
      <c r="H382" t="str">
        <f>IF('Sol Bekler'!I84="","",'Sol Bekler'!I84)</f>
        <v/>
      </c>
      <c r="I382" t="str">
        <f>IF('Sol Bekler'!A84="","",'Sol Bekler'!J84)</f>
        <v/>
      </c>
      <c r="J382" t="str">
        <f>IF('Sol Bekler'!A84="","",'Sol Bekler'!K84)</f>
        <v/>
      </c>
      <c r="K382" t="str">
        <f>IF('Sol Bekler'!L84="","",'Sol Bekler'!L84)</f>
        <v/>
      </c>
      <c r="L382" t="str">
        <f>IF('Sol Bekler'!M84="","",'Sol Bekler'!M84)</f>
        <v/>
      </c>
      <c r="M382" t="str">
        <f>IF('Sol Bekler'!N84="","",'Sol Bekler'!N84)</f>
        <v/>
      </c>
      <c r="N382" t="str">
        <f>IF('Sol Bekler'!O84="","",'Sol Bekler'!O84)</f>
        <v/>
      </c>
      <c r="O382" t="str">
        <f>IF('Sol Bekler'!P84="","",'Sol Bekler'!P84)</f>
        <v/>
      </c>
      <c r="P382" t="str">
        <f>IF('Sol Bekler'!Q84="","",'Sol Bekler'!Q84)</f>
        <v/>
      </c>
      <c r="Q382" t="str">
        <f>IF('Sol Bekler'!R84="","",'Sol Bekler'!R84)</f>
        <v/>
      </c>
      <c r="R382" t="str">
        <f>IF('Sol Bekler'!S84="","",'Sol Bekler'!S84)</f>
        <v/>
      </c>
      <c r="S382" t="str">
        <f>IF('Sol Bekler'!T84="","",'Sol Bekler'!T84)</f>
        <v/>
      </c>
      <c r="T382" s="2" t="str">
        <f>IF('Sol Bekler'!U84="","",'Sol Bekler'!U84)</f>
        <v/>
      </c>
      <c r="U382" t="s">
        <v>929</v>
      </c>
      <c r="V382">
        <v>84</v>
      </c>
      <c r="W382" t="str">
        <f ca="1">IF(AND($A382&lt;&gt;"",ISNUMBER($G382),$G382&gt;=TODAY(),$G382&lt;=EDATE(TODAY(),12)),COUNTIFS($G$2:$G$1001,"&gt;="&amp;TODAY(),$G$2:$G$1001,"&lt;"&amp;$G382,$A$2:$A$1001,"&lt;&gt;")+COUNTIFS($G$2:$G382,$G382,$A$2:$A382,"&lt;&gt;"),"")</f>
        <v/>
      </c>
      <c r="X382" t="str">
        <f>IF(AND($A382&lt;&gt;"",ISNUMBER($C382),$C382&gt;=DATE(2003,1,1)),COUNTIFS($C$2:$C382,"&gt;="&amp;DATE(2003,1,1),$A$2:$A382,"&lt;&gt;"),"")</f>
        <v/>
      </c>
    </row>
    <row r="383" spans="1:24">
      <c r="A383" t="str">
        <f>IF('Sol Bekler'!A85="","",'Sol Bekler'!A85)</f>
        <v/>
      </c>
      <c r="B383" t="str">
        <f>IF('Sol Bekler'!B85="","",'Sol Bekler'!B85)</f>
        <v/>
      </c>
      <c r="C383" s="2" t="str">
        <f>IF('Sol Bekler'!C85="","",'Sol Bekler'!C85)</f>
        <v/>
      </c>
      <c r="D383" t="str">
        <f ca="1">IF('Sol Bekler'!D85="","",'Sol Bekler'!D85)</f>
        <v/>
      </c>
      <c r="E383" t="str">
        <f>IF('Sol Bekler'!E85="","",'Sol Bekler'!E85)</f>
        <v>Sol Bek</v>
      </c>
      <c r="F383" t="str">
        <f>IF('Sol Bekler'!G85="","",'Sol Bekler'!G85)</f>
        <v/>
      </c>
      <c r="G383" s="2" t="str">
        <f>IF('Sol Bekler'!H85="","",'Sol Bekler'!H85)</f>
        <v/>
      </c>
      <c r="H383" t="str">
        <f>IF('Sol Bekler'!I85="","",'Sol Bekler'!I85)</f>
        <v/>
      </c>
      <c r="I383" t="str">
        <f>IF('Sol Bekler'!A85="","",'Sol Bekler'!J85)</f>
        <v/>
      </c>
      <c r="J383" t="str">
        <f>IF('Sol Bekler'!A85="","",'Sol Bekler'!K85)</f>
        <v/>
      </c>
      <c r="K383" t="str">
        <f>IF('Sol Bekler'!L85="","",'Sol Bekler'!L85)</f>
        <v/>
      </c>
      <c r="L383" t="str">
        <f>IF('Sol Bekler'!M85="","",'Sol Bekler'!M85)</f>
        <v/>
      </c>
      <c r="M383" t="str">
        <f>IF('Sol Bekler'!N85="","",'Sol Bekler'!N85)</f>
        <v/>
      </c>
      <c r="N383" t="str">
        <f>IF('Sol Bekler'!O85="","",'Sol Bekler'!O85)</f>
        <v/>
      </c>
      <c r="O383" t="str">
        <f>IF('Sol Bekler'!P85="","",'Sol Bekler'!P85)</f>
        <v/>
      </c>
      <c r="P383" t="str">
        <f>IF('Sol Bekler'!Q85="","",'Sol Bekler'!Q85)</f>
        <v/>
      </c>
      <c r="Q383" t="str">
        <f>IF('Sol Bekler'!R85="","",'Sol Bekler'!R85)</f>
        <v/>
      </c>
      <c r="R383" t="str">
        <f>IF('Sol Bekler'!S85="","",'Sol Bekler'!S85)</f>
        <v/>
      </c>
      <c r="S383" t="str">
        <f>IF('Sol Bekler'!T85="","",'Sol Bekler'!T85)</f>
        <v/>
      </c>
      <c r="T383" s="2" t="str">
        <f>IF('Sol Bekler'!U85="","",'Sol Bekler'!U85)</f>
        <v/>
      </c>
      <c r="U383" t="s">
        <v>929</v>
      </c>
      <c r="V383">
        <v>85</v>
      </c>
      <c r="W383" t="str">
        <f ca="1">IF(AND($A383&lt;&gt;"",ISNUMBER($G383),$G383&gt;=TODAY(),$G383&lt;=EDATE(TODAY(),12)),COUNTIFS($G$2:$G$1001,"&gt;="&amp;TODAY(),$G$2:$G$1001,"&lt;"&amp;$G383,$A$2:$A$1001,"&lt;&gt;")+COUNTIFS($G$2:$G383,$G383,$A$2:$A383,"&lt;&gt;"),"")</f>
        <v/>
      </c>
      <c r="X383" t="str">
        <f>IF(AND($A383&lt;&gt;"",ISNUMBER($C383),$C383&gt;=DATE(2003,1,1)),COUNTIFS($C$2:$C383,"&gt;="&amp;DATE(2003,1,1),$A$2:$A383,"&lt;&gt;"),"")</f>
        <v/>
      </c>
    </row>
    <row r="384" spans="1:24">
      <c r="A384" t="str">
        <f>IF('Sol Bekler'!A86="","",'Sol Bekler'!A86)</f>
        <v/>
      </c>
      <c r="B384" t="str">
        <f>IF('Sol Bekler'!B86="","",'Sol Bekler'!B86)</f>
        <v/>
      </c>
      <c r="C384" s="2" t="str">
        <f>IF('Sol Bekler'!C86="","",'Sol Bekler'!C86)</f>
        <v/>
      </c>
      <c r="D384" t="str">
        <f ca="1">IF('Sol Bekler'!D86="","",'Sol Bekler'!D86)</f>
        <v/>
      </c>
      <c r="E384" t="str">
        <f>IF('Sol Bekler'!E86="","",'Sol Bekler'!E86)</f>
        <v>Sol Bek</v>
      </c>
      <c r="F384" t="str">
        <f>IF('Sol Bekler'!G86="","",'Sol Bekler'!G86)</f>
        <v/>
      </c>
      <c r="G384" s="2" t="str">
        <f>IF('Sol Bekler'!H86="","",'Sol Bekler'!H86)</f>
        <v/>
      </c>
      <c r="H384" t="str">
        <f>IF('Sol Bekler'!I86="","",'Sol Bekler'!I86)</f>
        <v/>
      </c>
      <c r="I384" t="str">
        <f>IF('Sol Bekler'!A86="","",'Sol Bekler'!J86)</f>
        <v/>
      </c>
      <c r="J384" t="str">
        <f>IF('Sol Bekler'!A86="","",'Sol Bekler'!K86)</f>
        <v/>
      </c>
      <c r="K384" t="str">
        <f>IF('Sol Bekler'!L86="","",'Sol Bekler'!L86)</f>
        <v/>
      </c>
      <c r="L384" t="str">
        <f>IF('Sol Bekler'!M86="","",'Sol Bekler'!M86)</f>
        <v/>
      </c>
      <c r="M384" t="str">
        <f>IF('Sol Bekler'!N86="","",'Sol Bekler'!N86)</f>
        <v/>
      </c>
      <c r="N384" t="str">
        <f>IF('Sol Bekler'!O86="","",'Sol Bekler'!O86)</f>
        <v/>
      </c>
      <c r="O384" t="str">
        <f>IF('Sol Bekler'!P86="","",'Sol Bekler'!P86)</f>
        <v/>
      </c>
      <c r="P384" t="str">
        <f>IF('Sol Bekler'!Q86="","",'Sol Bekler'!Q86)</f>
        <v/>
      </c>
      <c r="Q384" t="str">
        <f>IF('Sol Bekler'!R86="","",'Sol Bekler'!R86)</f>
        <v/>
      </c>
      <c r="R384" t="str">
        <f>IF('Sol Bekler'!S86="","",'Sol Bekler'!S86)</f>
        <v/>
      </c>
      <c r="S384" t="str">
        <f>IF('Sol Bekler'!T86="","",'Sol Bekler'!T86)</f>
        <v/>
      </c>
      <c r="T384" s="2" t="str">
        <f>IF('Sol Bekler'!U86="","",'Sol Bekler'!U86)</f>
        <v/>
      </c>
      <c r="U384" t="s">
        <v>929</v>
      </c>
      <c r="V384">
        <v>86</v>
      </c>
      <c r="W384" t="str">
        <f ca="1">IF(AND($A384&lt;&gt;"",ISNUMBER($G384),$G384&gt;=TODAY(),$G384&lt;=EDATE(TODAY(),12)),COUNTIFS($G$2:$G$1001,"&gt;="&amp;TODAY(),$G$2:$G$1001,"&lt;"&amp;$G384,$A$2:$A$1001,"&lt;&gt;")+COUNTIFS($G$2:$G384,$G384,$A$2:$A384,"&lt;&gt;"),"")</f>
        <v/>
      </c>
      <c r="X384" t="str">
        <f>IF(AND($A384&lt;&gt;"",ISNUMBER($C384),$C384&gt;=DATE(2003,1,1)),COUNTIFS($C$2:$C384,"&gt;="&amp;DATE(2003,1,1),$A$2:$A384,"&lt;&gt;"),"")</f>
        <v/>
      </c>
    </row>
    <row r="385" spans="1:24">
      <c r="A385" t="str">
        <f>IF('Sol Bekler'!A87="","",'Sol Bekler'!A87)</f>
        <v/>
      </c>
      <c r="B385" t="str">
        <f>IF('Sol Bekler'!B87="","",'Sol Bekler'!B87)</f>
        <v/>
      </c>
      <c r="C385" s="2" t="str">
        <f>IF('Sol Bekler'!C87="","",'Sol Bekler'!C87)</f>
        <v/>
      </c>
      <c r="D385" t="str">
        <f ca="1">IF('Sol Bekler'!D87="","",'Sol Bekler'!D87)</f>
        <v/>
      </c>
      <c r="E385" t="str">
        <f>IF('Sol Bekler'!E87="","",'Sol Bekler'!E87)</f>
        <v>Sol Bek</v>
      </c>
      <c r="F385" t="str">
        <f>IF('Sol Bekler'!G87="","",'Sol Bekler'!G87)</f>
        <v/>
      </c>
      <c r="G385" s="2" t="str">
        <f>IF('Sol Bekler'!H87="","",'Sol Bekler'!H87)</f>
        <v/>
      </c>
      <c r="H385" t="str">
        <f>IF('Sol Bekler'!I87="","",'Sol Bekler'!I87)</f>
        <v/>
      </c>
      <c r="I385" t="str">
        <f>IF('Sol Bekler'!A87="","",'Sol Bekler'!J87)</f>
        <v/>
      </c>
      <c r="J385" t="str">
        <f>IF('Sol Bekler'!A87="","",'Sol Bekler'!K87)</f>
        <v/>
      </c>
      <c r="K385" t="str">
        <f>IF('Sol Bekler'!L87="","",'Sol Bekler'!L87)</f>
        <v/>
      </c>
      <c r="L385" t="str">
        <f>IF('Sol Bekler'!M87="","",'Sol Bekler'!M87)</f>
        <v/>
      </c>
      <c r="M385" t="str">
        <f>IF('Sol Bekler'!N87="","",'Sol Bekler'!N87)</f>
        <v/>
      </c>
      <c r="N385" t="str">
        <f>IF('Sol Bekler'!O87="","",'Sol Bekler'!O87)</f>
        <v/>
      </c>
      <c r="O385" t="str">
        <f>IF('Sol Bekler'!P87="","",'Sol Bekler'!P87)</f>
        <v/>
      </c>
      <c r="P385" t="str">
        <f>IF('Sol Bekler'!Q87="","",'Sol Bekler'!Q87)</f>
        <v/>
      </c>
      <c r="Q385" t="str">
        <f>IF('Sol Bekler'!R87="","",'Sol Bekler'!R87)</f>
        <v/>
      </c>
      <c r="R385" t="str">
        <f>IF('Sol Bekler'!S87="","",'Sol Bekler'!S87)</f>
        <v/>
      </c>
      <c r="S385" t="str">
        <f>IF('Sol Bekler'!T87="","",'Sol Bekler'!T87)</f>
        <v/>
      </c>
      <c r="T385" s="2" t="str">
        <f>IF('Sol Bekler'!U87="","",'Sol Bekler'!U87)</f>
        <v/>
      </c>
      <c r="U385" t="s">
        <v>929</v>
      </c>
      <c r="V385">
        <v>87</v>
      </c>
      <c r="W385" t="str">
        <f ca="1">IF(AND($A385&lt;&gt;"",ISNUMBER($G385),$G385&gt;=TODAY(),$G385&lt;=EDATE(TODAY(),12)),COUNTIFS($G$2:$G$1001,"&gt;="&amp;TODAY(),$G$2:$G$1001,"&lt;"&amp;$G385,$A$2:$A$1001,"&lt;&gt;")+COUNTIFS($G$2:$G385,$G385,$A$2:$A385,"&lt;&gt;"),"")</f>
        <v/>
      </c>
      <c r="X385" t="str">
        <f>IF(AND($A385&lt;&gt;"",ISNUMBER($C385),$C385&gt;=DATE(2003,1,1)),COUNTIFS($C$2:$C385,"&gt;="&amp;DATE(2003,1,1),$A$2:$A385,"&lt;&gt;"),"")</f>
        <v/>
      </c>
    </row>
    <row r="386" spans="1:24">
      <c r="A386" t="str">
        <f>IF('Sol Bekler'!A88="","",'Sol Bekler'!A88)</f>
        <v/>
      </c>
      <c r="B386" t="str">
        <f>IF('Sol Bekler'!B88="","",'Sol Bekler'!B88)</f>
        <v/>
      </c>
      <c r="C386" s="2" t="str">
        <f>IF('Sol Bekler'!C88="","",'Sol Bekler'!C88)</f>
        <v/>
      </c>
      <c r="D386" t="str">
        <f ca="1">IF('Sol Bekler'!D88="","",'Sol Bekler'!D88)</f>
        <v/>
      </c>
      <c r="E386" t="str">
        <f>IF('Sol Bekler'!E88="","",'Sol Bekler'!E88)</f>
        <v>Sol Bek</v>
      </c>
      <c r="F386" t="str">
        <f>IF('Sol Bekler'!G88="","",'Sol Bekler'!G88)</f>
        <v/>
      </c>
      <c r="G386" s="2" t="str">
        <f>IF('Sol Bekler'!H88="","",'Sol Bekler'!H88)</f>
        <v/>
      </c>
      <c r="H386" t="str">
        <f>IF('Sol Bekler'!I88="","",'Sol Bekler'!I88)</f>
        <v/>
      </c>
      <c r="I386" t="str">
        <f>IF('Sol Bekler'!A88="","",'Sol Bekler'!J88)</f>
        <v/>
      </c>
      <c r="J386" t="str">
        <f>IF('Sol Bekler'!A88="","",'Sol Bekler'!K88)</f>
        <v/>
      </c>
      <c r="K386" t="str">
        <f>IF('Sol Bekler'!L88="","",'Sol Bekler'!L88)</f>
        <v/>
      </c>
      <c r="L386" t="str">
        <f>IF('Sol Bekler'!M88="","",'Sol Bekler'!M88)</f>
        <v/>
      </c>
      <c r="M386" t="str">
        <f>IF('Sol Bekler'!N88="","",'Sol Bekler'!N88)</f>
        <v/>
      </c>
      <c r="N386" t="str">
        <f>IF('Sol Bekler'!O88="","",'Sol Bekler'!O88)</f>
        <v/>
      </c>
      <c r="O386" t="str">
        <f>IF('Sol Bekler'!P88="","",'Sol Bekler'!P88)</f>
        <v/>
      </c>
      <c r="P386" t="str">
        <f>IF('Sol Bekler'!Q88="","",'Sol Bekler'!Q88)</f>
        <v/>
      </c>
      <c r="Q386" t="str">
        <f>IF('Sol Bekler'!R88="","",'Sol Bekler'!R88)</f>
        <v/>
      </c>
      <c r="R386" t="str">
        <f>IF('Sol Bekler'!S88="","",'Sol Bekler'!S88)</f>
        <v/>
      </c>
      <c r="S386" t="str">
        <f>IF('Sol Bekler'!T88="","",'Sol Bekler'!T88)</f>
        <v/>
      </c>
      <c r="T386" s="2" t="str">
        <f>IF('Sol Bekler'!U88="","",'Sol Bekler'!U88)</f>
        <v/>
      </c>
      <c r="U386" t="s">
        <v>929</v>
      </c>
      <c r="V386">
        <v>88</v>
      </c>
      <c r="W386" t="str">
        <f ca="1">IF(AND($A386&lt;&gt;"",ISNUMBER($G386),$G386&gt;=TODAY(),$G386&lt;=EDATE(TODAY(),12)),COUNTIFS($G$2:$G$1001,"&gt;="&amp;TODAY(),$G$2:$G$1001,"&lt;"&amp;$G386,$A$2:$A$1001,"&lt;&gt;")+COUNTIFS($G$2:$G386,$G386,$A$2:$A386,"&lt;&gt;"),"")</f>
        <v/>
      </c>
      <c r="X386" t="str">
        <f>IF(AND($A386&lt;&gt;"",ISNUMBER($C386),$C386&gt;=DATE(2003,1,1)),COUNTIFS($C$2:$C386,"&gt;="&amp;DATE(2003,1,1),$A$2:$A386,"&lt;&gt;"),"")</f>
        <v/>
      </c>
    </row>
    <row r="387" spans="1:24">
      <c r="A387" t="str">
        <f>IF('Sol Bekler'!A89="","",'Sol Bekler'!A89)</f>
        <v/>
      </c>
      <c r="B387" t="str">
        <f>IF('Sol Bekler'!B89="","",'Sol Bekler'!B89)</f>
        <v/>
      </c>
      <c r="C387" s="2" t="str">
        <f>IF('Sol Bekler'!C89="","",'Sol Bekler'!C89)</f>
        <v/>
      </c>
      <c r="D387" t="str">
        <f ca="1">IF('Sol Bekler'!D89="","",'Sol Bekler'!D89)</f>
        <v/>
      </c>
      <c r="E387" t="str">
        <f>IF('Sol Bekler'!E89="","",'Sol Bekler'!E89)</f>
        <v>Sol Bek</v>
      </c>
      <c r="F387" t="str">
        <f>IF('Sol Bekler'!G89="","",'Sol Bekler'!G89)</f>
        <v/>
      </c>
      <c r="G387" s="2" t="str">
        <f>IF('Sol Bekler'!H89="","",'Sol Bekler'!H89)</f>
        <v/>
      </c>
      <c r="H387" t="str">
        <f>IF('Sol Bekler'!I89="","",'Sol Bekler'!I89)</f>
        <v/>
      </c>
      <c r="I387" t="str">
        <f>IF('Sol Bekler'!A89="","",'Sol Bekler'!J89)</f>
        <v/>
      </c>
      <c r="J387" t="str">
        <f>IF('Sol Bekler'!A89="","",'Sol Bekler'!K89)</f>
        <v/>
      </c>
      <c r="K387" t="str">
        <f>IF('Sol Bekler'!L89="","",'Sol Bekler'!L89)</f>
        <v/>
      </c>
      <c r="L387" t="str">
        <f>IF('Sol Bekler'!M89="","",'Sol Bekler'!M89)</f>
        <v/>
      </c>
      <c r="M387" t="str">
        <f>IF('Sol Bekler'!N89="","",'Sol Bekler'!N89)</f>
        <v/>
      </c>
      <c r="N387" t="str">
        <f>IF('Sol Bekler'!O89="","",'Sol Bekler'!O89)</f>
        <v/>
      </c>
      <c r="O387" t="str">
        <f>IF('Sol Bekler'!P89="","",'Sol Bekler'!P89)</f>
        <v/>
      </c>
      <c r="P387" t="str">
        <f>IF('Sol Bekler'!Q89="","",'Sol Bekler'!Q89)</f>
        <v/>
      </c>
      <c r="Q387" t="str">
        <f>IF('Sol Bekler'!R89="","",'Sol Bekler'!R89)</f>
        <v/>
      </c>
      <c r="R387" t="str">
        <f>IF('Sol Bekler'!S89="","",'Sol Bekler'!S89)</f>
        <v/>
      </c>
      <c r="S387" t="str">
        <f>IF('Sol Bekler'!T89="","",'Sol Bekler'!T89)</f>
        <v/>
      </c>
      <c r="T387" s="2" t="str">
        <f>IF('Sol Bekler'!U89="","",'Sol Bekler'!U89)</f>
        <v/>
      </c>
      <c r="U387" t="s">
        <v>929</v>
      </c>
      <c r="V387">
        <v>89</v>
      </c>
      <c r="W387" t="str">
        <f ca="1">IF(AND($A387&lt;&gt;"",ISNUMBER($G387),$G387&gt;=TODAY(),$G387&lt;=EDATE(TODAY(),12)),COUNTIFS($G$2:$G$1001,"&gt;="&amp;TODAY(),$G$2:$G$1001,"&lt;"&amp;$G387,$A$2:$A$1001,"&lt;&gt;")+COUNTIFS($G$2:$G387,$G387,$A$2:$A387,"&lt;&gt;"),"")</f>
        <v/>
      </c>
      <c r="X387" t="str">
        <f>IF(AND($A387&lt;&gt;"",ISNUMBER($C387),$C387&gt;=DATE(2003,1,1)),COUNTIFS($C$2:$C387,"&gt;="&amp;DATE(2003,1,1),$A$2:$A387,"&lt;&gt;"),"")</f>
        <v/>
      </c>
    </row>
    <row r="388" spans="1:24">
      <c r="A388" t="str">
        <f>IF('Sol Bekler'!A90="","",'Sol Bekler'!A90)</f>
        <v/>
      </c>
      <c r="B388" t="str">
        <f>IF('Sol Bekler'!B90="","",'Sol Bekler'!B90)</f>
        <v/>
      </c>
      <c r="C388" s="2" t="str">
        <f>IF('Sol Bekler'!C90="","",'Sol Bekler'!C90)</f>
        <v/>
      </c>
      <c r="D388" t="str">
        <f ca="1">IF('Sol Bekler'!D90="","",'Sol Bekler'!D90)</f>
        <v/>
      </c>
      <c r="E388" t="str">
        <f>IF('Sol Bekler'!E90="","",'Sol Bekler'!E90)</f>
        <v>Sol Bek</v>
      </c>
      <c r="F388" t="str">
        <f>IF('Sol Bekler'!G90="","",'Sol Bekler'!G90)</f>
        <v/>
      </c>
      <c r="G388" s="2" t="str">
        <f>IF('Sol Bekler'!H90="","",'Sol Bekler'!H90)</f>
        <v/>
      </c>
      <c r="H388" t="str">
        <f>IF('Sol Bekler'!I90="","",'Sol Bekler'!I90)</f>
        <v/>
      </c>
      <c r="I388" t="str">
        <f>IF('Sol Bekler'!A90="","",'Sol Bekler'!J90)</f>
        <v/>
      </c>
      <c r="J388" t="str">
        <f>IF('Sol Bekler'!A90="","",'Sol Bekler'!K90)</f>
        <v/>
      </c>
      <c r="K388" t="str">
        <f>IF('Sol Bekler'!L90="","",'Sol Bekler'!L90)</f>
        <v/>
      </c>
      <c r="L388" t="str">
        <f>IF('Sol Bekler'!M90="","",'Sol Bekler'!M90)</f>
        <v/>
      </c>
      <c r="M388" t="str">
        <f>IF('Sol Bekler'!N90="","",'Sol Bekler'!N90)</f>
        <v/>
      </c>
      <c r="N388" t="str">
        <f>IF('Sol Bekler'!O90="","",'Sol Bekler'!O90)</f>
        <v/>
      </c>
      <c r="O388" t="str">
        <f>IF('Sol Bekler'!P90="","",'Sol Bekler'!P90)</f>
        <v/>
      </c>
      <c r="P388" t="str">
        <f>IF('Sol Bekler'!Q90="","",'Sol Bekler'!Q90)</f>
        <v/>
      </c>
      <c r="Q388" t="str">
        <f>IF('Sol Bekler'!R90="","",'Sol Bekler'!R90)</f>
        <v/>
      </c>
      <c r="R388" t="str">
        <f>IF('Sol Bekler'!S90="","",'Sol Bekler'!S90)</f>
        <v/>
      </c>
      <c r="S388" t="str">
        <f>IF('Sol Bekler'!T90="","",'Sol Bekler'!T90)</f>
        <v/>
      </c>
      <c r="T388" s="2" t="str">
        <f>IF('Sol Bekler'!U90="","",'Sol Bekler'!U90)</f>
        <v/>
      </c>
      <c r="U388" t="s">
        <v>929</v>
      </c>
      <c r="V388">
        <v>90</v>
      </c>
      <c r="W388" t="str">
        <f ca="1">IF(AND($A388&lt;&gt;"",ISNUMBER($G388),$G388&gt;=TODAY(),$G388&lt;=EDATE(TODAY(),12)),COUNTIFS($G$2:$G$1001,"&gt;="&amp;TODAY(),$G$2:$G$1001,"&lt;"&amp;$G388,$A$2:$A$1001,"&lt;&gt;")+COUNTIFS($G$2:$G388,$G388,$A$2:$A388,"&lt;&gt;"),"")</f>
        <v/>
      </c>
      <c r="X388" t="str">
        <f>IF(AND($A388&lt;&gt;"",ISNUMBER($C388),$C388&gt;=DATE(2003,1,1)),COUNTIFS($C$2:$C388,"&gt;="&amp;DATE(2003,1,1),$A$2:$A388,"&lt;&gt;"),"")</f>
        <v/>
      </c>
    </row>
    <row r="389" spans="1:24">
      <c r="A389" t="str">
        <f>IF('Sol Bekler'!A91="","",'Sol Bekler'!A91)</f>
        <v/>
      </c>
      <c r="B389" t="str">
        <f>IF('Sol Bekler'!B91="","",'Sol Bekler'!B91)</f>
        <v/>
      </c>
      <c r="C389" s="2" t="str">
        <f>IF('Sol Bekler'!C91="","",'Sol Bekler'!C91)</f>
        <v/>
      </c>
      <c r="D389" t="str">
        <f ca="1">IF('Sol Bekler'!D91="","",'Sol Bekler'!D91)</f>
        <v/>
      </c>
      <c r="E389" t="str">
        <f>IF('Sol Bekler'!E91="","",'Sol Bekler'!E91)</f>
        <v>Sol Bek</v>
      </c>
      <c r="F389" t="str">
        <f>IF('Sol Bekler'!G91="","",'Sol Bekler'!G91)</f>
        <v/>
      </c>
      <c r="G389" s="2" t="str">
        <f>IF('Sol Bekler'!H91="","",'Sol Bekler'!H91)</f>
        <v/>
      </c>
      <c r="H389" t="str">
        <f>IF('Sol Bekler'!I91="","",'Sol Bekler'!I91)</f>
        <v/>
      </c>
      <c r="I389" t="str">
        <f>IF('Sol Bekler'!A91="","",'Sol Bekler'!J91)</f>
        <v/>
      </c>
      <c r="J389" t="str">
        <f>IF('Sol Bekler'!A91="","",'Sol Bekler'!K91)</f>
        <v/>
      </c>
      <c r="K389" t="str">
        <f>IF('Sol Bekler'!L91="","",'Sol Bekler'!L91)</f>
        <v/>
      </c>
      <c r="L389" t="str">
        <f>IF('Sol Bekler'!M91="","",'Sol Bekler'!M91)</f>
        <v/>
      </c>
      <c r="M389" t="str">
        <f>IF('Sol Bekler'!N91="","",'Sol Bekler'!N91)</f>
        <v/>
      </c>
      <c r="N389" t="str">
        <f>IF('Sol Bekler'!O91="","",'Sol Bekler'!O91)</f>
        <v/>
      </c>
      <c r="O389" t="str">
        <f>IF('Sol Bekler'!P91="","",'Sol Bekler'!P91)</f>
        <v/>
      </c>
      <c r="P389" t="str">
        <f>IF('Sol Bekler'!Q91="","",'Sol Bekler'!Q91)</f>
        <v/>
      </c>
      <c r="Q389" t="str">
        <f>IF('Sol Bekler'!R91="","",'Sol Bekler'!R91)</f>
        <v/>
      </c>
      <c r="R389" t="str">
        <f>IF('Sol Bekler'!S91="","",'Sol Bekler'!S91)</f>
        <v/>
      </c>
      <c r="S389" t="str">
        <f>IF('Sol Bekler'!T91="","",'Sol Bekler'!T91)</f>
        <v/>
      </c>
      <c r="T389" s="2" t="str">
        <f>IF('Sol Bekler'!U91="","",'Sol Bekler'!U91)</f>
        <v/>
      </c>
      <c r="U389" t="s">
        <v>929</v>
      </c>
      <c r="V389">
        <v>91</v>
      </c>
      <c r="W389" t="str">
        <f ca="1">IF(AND($A389&lt;&gt;"",ISNUMBER($G389),$G389&gt;=TODAY(),$G389&lt;=EDATE(TODAY(),12)),COUNTIFS($G$2:$G$1001,"&gt;="&amp;TODAY(),$G$2:$G$1001,"&lt;"&amp;$G389,$A$2:$A$1001,"&lt;&gt;")+COUNTIFS($G$2:$G389,$G389,$A$2:$A389,"&lt;&gt;"),"")</f>
        <v/>
      </c>
      <c r="X389" t="str">
        <f>IF(AND($A389&lt;&gt;"",ISNUMBER($C389),$C389&gt;=DATE(2003,1,1)),COUNTIFS($C$2:$C389,"&gt;="&amp;DATE(2003,1,1),$A$2:$A389,"&lt;&gt;"),"")</f>
        <v/>
      </c>
    </row>
    <row r="390" spans="1:24">
      <c r="A390" t="str">
        <f>IF('Sol Bekler'!A92="","",'Sol Bekler'!A92)</f>
        <v/>
      </c>
      <c r="B390" t="str">
        <f>IF('Sol Bekler'!B92="","",'Sol Bekler'!B92)</f>
        <v/>
      </c>
      <c r="C390" s="2" t="str">
        <f>IF('Sol Bekler'!C92="","",'Sol Bekler'!C92)</f>
        <v/>
      </c>
      <c r="D390" t="str">
        <f ca="1">IF('Sol Bekler'!D92="","",'Sol Bekler'!D92)</f>
        <v/>
      </c>
      <c r="E390" t="str">
        <f>IF('Sol Bekler'!E92="","",'Sol Bekler'!E92)</f>
        <v>Sol Bek</v>
      </c>
      <c r="F390" t="str">
        <f>IF('Sol Bekler'!G92="","",'Sol Bekler'!G92)</f>
        <v/>
      </c>
      <c r="G390" s="2" t="str">
        <f>IF('Sol Bekler'!H92="","",'Sol Bekler'!H92)</f>
        <v/>
      </c>
      <c r="H390" t="str">
        <f>IF('Sol Bekler'!I92="","",'Sol Bekler'!I92)</f>
        <v/>
      </c>
      <c r="I390" t="str">
        <f>IF('Sol Bekler'!A92="","",'Sol Bekler'!J92)</f>
        <v/>
      </c>
      <c r="J390" t="str">
        <f>IF('Sol Bekler'!A92="","",'Sol Bekler'!K92)</f>
        <v/>
      </c>
      <c r="K390" t="str">
        <f>IF('Sol Bekler'!L92="","",'Sol Bekler'!L92)</f>
        <v/>
      </c>
      <c r="L390" t="str">
        <f>IF('Sol Bekler'!M92="","",'Sol Bekler'!M92)</f>
        <v/>
      </c>
      <c r="M390" t="str">
        <f>IF('Sol Bekler'!N92="","",'Sol Bekler'!N92)</f>
        <v/>
      </c>
      <c r="N390" t="str">
        <f>IF('Sol Bekler'!O92="","",'Sol Bekler'!O92)</f>
        <v/>
      </c>
      <c r="O390" t="str">
        <f>IF('Sol Bekler'!P92="","",'Sol Bekler'!P92)</f>
        <v/>
      </c>
      <c r="P390" t="str">
        <f>IF('Sol Bekler'!Q92="","",'Sol Bekler'!Q92)</f>
        <v/>
      </c>
      <c r="Q390" t="str">
        <f>IF('Sol Bekler'!R92="","",'Sol Bekler'!R92)</f>
        <v/>
      </c>
      <c r="R390" t="str">
        <f>IF('Sol Bekler'!S92="","",'Sol Bekler'!S92)</f>
        <v/>
      </c>
      <c r="S390" t="str">
        <f>IF('Sol Bekler'!T92="","",'Sol Bekler'!T92)</f>
        <v/>
      </c>
      <c r="T390" s="2" t="str">
        <f>IF('Sol Bekler'!U92="","",'Sol Bekler'!U92)</f>
        <v/>
      </c>
      <c r="U390" t="s">
        <v>929</v>
      </c>
      <c r="V390">
        <v>92</v>
      </c>
      <c r="W390" t="str">
        <f ca="1">IF(AND($A390&lt;&gt;"",ISNUMBER($G390),$G390&gt;=TODAY(),$G390&lt;=EDATE(TODAY(),12)),COUNTIFS($G$2:$G$1001,"&gt;="&amp;TODAY(),$G$2:$G$1001,"&lt;"&amp;$G390,$A$2:$A$1001,"&lt;&gt;")+COUNTIFS($G$2:$G390,$G390,$A$2:$A390,"&lt;&gt;"),"")</f>
        <v/>
      </c>
      <c r="X390" t="str">
        <f>IF(AND($A390&lt;&gt;"",ISNUMBER($C390),$C390&gt;=DATE(2003,1,1)),COUNTIFS($C$2:$C390,"&gt;="&amp;DATE(2003,1,1),$A$2:$A390,"&lt;&gt;"),"")</f>
        <v/>
      </c>
    </row>
    <row r="391" spans="1:24">
      <c r="A391" t="str">
        <f>IF('Sol Bekler'!A93="","",'Sol Bekler'!A93)</f>
        <v/>
      </c>
      <c r="B391" t="str">
        <f>IF('Sol Bekler'!B93="","",'Sol Bekler'!B93)</f>
        <v/>
      </c>
      <c r="C391" s="2" t="str">
        <f>IF('Sol Bekler'!C93="","",'Sol Bekler'!C93)</f>
        <v/>
      </c>
      <c r="D391" t="str">
        <f ca="1">IF('Sol Bekler'!D93="","",'Sol Bekler'!D93)</f>
        <v/>
      </c>
      <c r="E391" t="str">
        <f>IF('Sol Bekler'!E93="","",'Sol Bekler'!E93)</f>
        <v>Sol Bek</v>
      </c>
      <c r="F391" t="str">
        <f>IF('Sol Bekler'!G93="","",'Sol Bekler'!G93)</f>
        <v/>
      </c>
      <c r="G391" s="2" t="str">
        <f>IF('Sol Bekler'!H93="","",'Sol Bekler'!H93)</f>
        <v/>
      </c>
      <c r="H391" t="str">
        <f>IF('Sol Bekler'!I93="","",'Sol Bekler'!I93)</f>
        <v/>
      </c>
      <c r="I391" t="str">
        <f>IF('Sol Bekler'!A93="","",'Sol Bekler'!J93)</f>
        <v/>
      </c>
      <c r="J391" t="str">
        <f>IF('Sol Bekler'!A93="","",'Sol Bekler'!K93)</f>
        <v/>
      </c>
      <c r="K391" t="str">
        <f>IF('Sol Bekler'!L93="","",'Sol Bekler'!L93)</f>
        <v/>
      </c>
      <c r="L391" t="str">
        <f>IF('Sol Bekler'!M93="","",'Sol Bekler'!M93)</f>
        <v/>
      </c>
      <c r="M391" t="str">
        <f>IF('Sol Bekler'!N93="","",'Sol Bekler'!N93)</f>
        <v/>
      </c>
      <c r="N391" t="str">
        <f>IF('Sol Bekler'!O93="","",'Sol Bekler'!O93)</f>
        <v/>
      </c>
      <c r="O391" t="str">
        <f>IF('Sol Bekler'!P93="","",'Sol Bekler'!P93)</f>
        <v/>
      </c>
      <c r="P391" t="str">
        <f>IF('Sol Bekler'!Q93="","",'Sol Bekler'!Q93)</f>
        <v/>
      </c>
      <c r="Q391" t="str">
        <f>IF('Sol Bekler'!R93="","",'Sol Bekler'!R93)</f>
        <v/>
      </c>
      <c r="R391" t="str">
        <f>IF('Sol Bekler'!S93="","",'Sol Bekler'!S93)</f>
        <v/>
      </c>
      <c r="S391" t="str">
        <f>IF('Sol Bekler'!T93="","",'Sol Bekler'!T93)</f>
        <v/>
      </c>
      <c r="T391" s="2" t="str">
        <f>IF('Sol Bekler'!U93="","",'Sol Bekler'!U93)</f>
        <v/>
      </c>
      <c r="U391" t="s">
        <v>929</v>
      </c>
      <c r="V391">
        <v>93</v>
      </c>
      <c r="W391" t="str">
        <f ca="1">IF(AND($A391&lt;&gt;"",ISNUMBER($G391),$G391&gt;=TODAY(),$G391&lt;=EDATE(TODAY(),12)),COUNTIFS($G$2:$G$1001,"&gt;="&amp;TODAY(),$G$2:$G$1001,"&lt;"&amp;$G391,$A$2:$A$1001,"&lt;&gt;")+COUNTIFS($G$2:$G391,$G391,$A$2:$A391,"&lt;&gt;"),"")</f>
        <v/>
      </c>
      <c r="X391" t="str">
        <f>IF(AND($A391&lt;&gt;"",ISNUMBER($C391),$C391&gt;=DATE(2003,1,1)),COUNTIFS($C$2:$C391,"&gt;="&amp;DATE(2003,1,1),$A$2:$A391,"&lt;&gt;"),"")</f>
        <v/>
      </c>
    </row>
    <row r="392" spans="1:24">
      <c r="A392" t="str">
        <f>IF('Sol Bekler'!A94="","",'Sol Bekler'!A94)</f>
        <v/>
      </c>
      <c r="B392" t="str">
        <f>IF('Sol Bekler'!B94="","",'Sol Bekler'!B94)</f>
        <v/>
      </c>
      <c r="C392" s="2" t="str">
        <f>IF('Sol Bekler'!C94="","",'Sol Bekler'!C94)</f>
        <v/>
      </c>
      <c r="D392" t="str">
        <f ca="1">IF('Sol Bekler'!D94="","",'Sol Bekler'!D94)</f>
        <v/>
      </c>
      <c r="E392" t="str">
        <f>IF('Sol Bekler'!E94="","",'Sol Bekler'!E94)</f>
        <v>Sol Bek</v>
      </c>
      <c r="F392" t="str">
        <f>IF('Sol Bekler'!G94="","",'Sol Bekler'!G94)</f>
        <v/>
      </c>
      <c r="G392" s="2" t="str">
        <f>IF('Sol Bekler'!H94="","",'Sol Bekler'!H94)</f>
        <v/>
      </c>
      <c r="H392" t="str">
        <f>IF('Sol Bekler'!I94="","",'Sol Bekler'!I94)</f>
        <v/>
      </c>
      <c r="I392" t="str">
        <f>IF('Sol Bekler'!A94="","",'Sol Bekler'!J94)</f>
        <v/>
      </c>
      <c r="J392" t="str">
        <f>IF('Sol Bekler'!A94="","",'Sol Bekler'!K94)</f>
        <v/>
      </c>
      <c r="K392" t="str">
        <f>IF('Sol Bekler'!L94="","",'Sol Bekler'!L94)</f>
        <v/>
      </c>
      <c r="L392" t="str">
        <f>IF('Sol Bekler'!M94="","",'Sol Bekler'!M94)</f>
        <v/>
      </c>
      <c r="M392" t="str">
        <f>IF('Sol Bekler'!N94="","",'Sol Bekler'!N94)</f>
        <v/>
      </c>
      <c r="N392" t="str">
        <f>IF('Sol Bekler'!O94="","",'Sol Bekler'!O94)</f>
        <v/>
      </c>
      <c r="O392" t="str">
        <f>IF('Sol Bekler'!P94="","",'Sol Bekler'!P94)</f>
        <v/>
      </c>
      <c r="P392" t="str">
        <f>IF('Sol Bekler'!Q94="","",'Sol Bekler'!Q94)</f>
        <v/>
      </c>
      <c r="Q392" t="str">
        <f>IF('Sol Bekler'!R94="","",'Sol Bekler'!R94)</f>
        <v/>
      </c>
      <c r="R392" t="str">
        <f>IF('Sol Bekler'!S94="","",'Sol Bekler'!S94)</f>
        <v/>
      </c>
      <c r="S392" t="str">
        <f>IF('Sol Bekler'!T94="","",'Sol Bekler'!T94)</f>
        <v/>
      </c>
      <c r="T392" s="2" t="str">
        <f>IF('Sol Bekler'!U94="","",'Sol Bekler'!U94)</f>
        <v/>
      </c>
      <c r="U392" t="s">
        <v>929</v>
      </c>
      <c r="V392">
        <v>94</v>
      </c>
      <c r="W392" t="str">
        <f ca="1">IF(AND($A392&lt;&gt;"",ISNUMBER($G392),$G392&gt;=TODAY(),$G392&lt;=EDATE(TODAY(),12)),COUNTIFS($G$2:$G$1001,"&gt;="&amp;TODAY(),$G$2:$G$1001,"&lt;"&amp;$G392,$A$2:$A$1001,"&lt;&gt;")+COUNTIFS($G$2:$G392,$G392,$A$2:$A392,"&lt;&gt;"),"")</f>
        <v/>
      </c>
      <c r="X392" t="str">
        <f>IF(AND($A392&lt;&gt;"",ISNUMBER($C392),$C392&gt;=DATE(2003,1,1)),COUNTIFS($C$2:$C392,"&gt;="&amp;DATE(2003,1,1),$A$2:$A392,"&lt;&gt;"),"")</f>
        <v/>
      </c>
    </row>
    <row r="393" spans="1:24">
      <c r="A393" t="str">
        <f>IF('Sol Bekler'!A95="","",'Sol Bekler'!A95)</f>
        <v/>
      </c>
      <c r="B393" t="str">
        <f>IF('Sol Bekler'!B95="","",'Sol Bekler'!B95)</f>
        <v/>
      </c>
      <c r="C393" s="2" t="str">
        <f>IF('Sol Bekler'!C95="","",'Sol Bekler'!C95)</f>
        <v/>
      </c>
      <c r="D393" t="str">
        <f ca="1">IF('Sol Bekler'!D95="","",'Sol Bekler'!D95)</f>
        <v/>
      </c>
      <c r="E393" t="str">
        <f>IF('Sol Bekler'!E95="","",'Sol Bekler'!E95)</f>
        <v>Sol Bek</v>
      </c>
      <c r="F393" t="str">
        <f>IF('Sol Bekler'!G95="","",'Sol Bekler'!G95)</f>
        <v/>
      </c>
      <c r="G393" s="2" t="str">
        <f>IF('Sol Bekler'!H95="","",'Sol Bekler'!H95)</f>
        <v/>
      </c>
      <c r="H393" t="str">
        <f>IF('Sol Bekler'!I95="","",'Sol Bekler'!I95)</f>
        <v/>
      </c>
      <c r="I393" t="str">
        <f>IF('Sol Bekler'!A95="","",'Sol Bekler'!J95)</f>
        <v/>
      </c>
      <c r="J393" t="str">
        <f>IF('Sol Bekler'!A95="","",'Sol Bekler'!K95)</f>
        <v/>
      </c>
      <c r="K393" t="str">
        <f>IF('Sol Bekler'!L95="","",'Sol Bekler'!L95)</f>
        <v/>
      </c>
      <c r="L393" t="str">
        <f>IF('Sol Bekler'!M95="","",'Sol Bekler'!M95)</f>
        <v/>
      </c>
      <c r="M393" t="str">
        <f>IF('Sol Bekler'!N95="","",'Sol Bekler'!N95)</f>
        <v/>
      </c>
      <c r="N393" t="str">
        <f>IF('Sol Bekler'!O95="","",'Sol Bekler'!O95)</f>
        <v/>
      </c>
      <c r="O393" t="str">
        <f>IF('Sol Bekler'!P95="","",'Sol Bekler'!P95)</f>
        <v/>
      </c>
      <c r="P393" t="str">
        <f>IF('Sol Bekler'!Q95="","",'Sol Bekler'!Q95)</f>
        <v/>
      </c>
      <c r="Q393" t="str">
        <f>IF('Sol Bekler'!R95="","",'Sol Bekler'!R95)</f>
        <v/>
      </c>
      <c r="R393" t="str">
        <f>IF('Sol Bekler'!S95="","",'Sol Bekler'!S95)</f>
        <v/>
      </c>
      <c r="S393" t="str">
        <f>IF('Sol Bekler'!T95="","",'Sol Bekler'!T95)</f>
        <v/>
      </c>
      <c r="T393" s="2" t="str">
        <f>IF('Sol Bekler'!U95="","",'Sol Bekler'!U95)</f>
        <v/>
      </c>
      <c r="U393" t="s">
        <v>929</v>
      </c>
      <c r="V393">
        <v>95</v>
      </c>
      <c r="W393" t="str">
        <f ca="1">IF(AND($A393&lt;&gt;"",ISNUMBER($G393),$G393&gt;=TODAY(),$G393&lt;=EDATE(TODAY(),12)),COUNTIFS($G$2:$G$1001,"&gt;="&amp;TODAY(),$G$2:$G$1001,"&lt;"&amp;$G393,$A$2:$A$1001,"&lt;&gt;")+COUNTIFS($G$2:$G393,$G393,$A$2:$A393,"&lt;&gt;"),"")</f>
        <v/>
      </c>
      <c r="X393" t="str">
        <f>IF(AND($A393&lt;&gt;"",ISNUMBER($C393),$C393&gt;=DATE(2003,1,1)),COUNTIFS($C$2:$C393,"&gt;="&amp;DATE(2003,1,1),$A$2:$A393,"&lt;&gt;"),"")</f>
        <v/>
      </c>
    </row>
    <row r="394" spans="1:24">
      <c r="A394" t="str">
        <f>IF('Sol Bekler'!A96="","",'Sol Bekler'!A96)</f>
        <v/>
      </c>
      <c r="B394" t="str">
        <f>IF('Sol Bekler'!B96="","",'Sol Bekler'!B96)</f>
        <v/>
      </c>
      <c r="C394" s="2" t="str">
        <f>IF('Sol Bekler'!C96="","",'Sol Bekler'!C96)</f>
        <v/>
      </c>
      <c r="D394" t="str">
        <f ca="1">IF('Sol Bekler'!D96="","",'Sol Bekler'!D96)</f>
        <v/>
      </c>
      <c r="E394" t="str">
        <f>IF('Sol Bekler'!E96="","",'Sol Bekler'!E96)</f>
        <v>Sol Bek</v>
      </c>
      <c r="F394" t="str">
        <f>IF('Sol Bekler'!G96="","",'Sol Bekler'!G96)</f>
        <v/>
      </c>
      <c r="G394" s="2" t="str">
        <f>IF('Sol Bekler'!H96="","",'Sol Bekler'!H96)</f>
        <v/>
      </c>
      <c r="H394" t="str">
        <f>IF('Sol Bekler'!I96="","",'Sol Bekler'!I96)</f>
        <v/>
      </c>
      <c r="I394" t="str">
        <f>IF('Sol Bekler'!A96="","",'Sol Bekler'!J96)</f>
        <v/>
      </c>
      <c r="J394" t="str">
        <f>IF('Sol Bekler'!A96="","",'Sol Bekler'!K96)</f>
        <v/>
      </c>
      <c r="K394" t="str">
        <f>IF('Sol Bekler'!L96="","",'Sol Bekler'!L96)</f>
        <v/>
      </c>
      <c r="L394" t="str">
        <f>IF('Sol Bekler'!M96="","",'Sol Bekler'!M96)</f>
        <v/>
      </c>
      <c r="M394" t="str">
        <f>IF('Sol Bekler'!N96="","",'Sol Bekler'!N96)</f>
        <v/>
      </c>
      <c r="N394" t="str">
        <f>IF('Sol Bekler'!O96="","",'Sol Bekler'!O96)</f>
        <v/>
      </c>
      <c r="O394" t="str">
        <f>IF('Sol Bekler'!P96="","",'Sol Bekler'!P96)</f>
        <v/>
      </c>
      <c r="P394" t="str">
        <f>IF('Sol Bekler'!Q96="","",'Sol Bekler'!Q96)</f>
        <v/>
      </c>
      <c r="Q394" t="str">
        <f>IF('Sol Bekler'!R96="","",'Sol Bekler'!R96)</f>
        <v/>
      </c>
      <c r="R394" t="str">
        <f>IF('Sol Bekler'!S96="","",'Sol Bekler'!S96)</f>
        <v/>
      </c>
      <c r="S394" t="str">
        <f>IF('Sol Bekler'!T96="","",'Sol Bekler'!T96)</f>
        <v/>
      </c>
      <c r="T394" s="2" t="str">
        <f>IF('Sol Bekler'!U96="","",'Sol Bekler'!U96)</f>
        <v/>
      </c>
      <c r="U394" t="s">
        <v>929</v>
      </c>
      <c r="V394">
        <v>96</v>
      </c>
      <c r="W394" t="str">
        <f ca="1">IF(AND($A394&lt;&gt;"",ISNUMBER($G394),$G394&gt;=TODAY(),$G394&lt;=EDATE(TODAY(),12)),COUNTIFS($G$2:$G$1001,"&gt;="&amp;TODAY(),$G$2:$G$1001,"&lt;"&amp;$G394,$A$2:$A$1001,"&lt;&gt;")+COUNTIFS($G$2:$G394,$G394,$A$2:$A394,"&lt;&gt;"),"")</f>
        <v/>
      </c>
      <c r="X394" t="str">
        <f>IF(AND($A394&lt;&gt;"",ISNUMBER($C394),$C394&gt;=DATE(2003,1,1)),COUNTIFS($C$2:$C394,"&gt;="&amp;DATE(2003,1,1),$A$2:$A394,"&lt;&gt;"),"")</f>
        <v/>
      </c>
    </row>
    <row r="395" spans="1:24">
      <c r="A395" t="str">
        <f>IF('Sol Bekler'!A97="","",'Sol Bekler'!A97)</f>
        <v/>
      </c>
      <c r="B395" t="str">
        <f>IF('Sol Bekler'!B97="","",'Sol Bekler'!B97)</f>
        <v/>
      </c>
      <c r="C395" s="2" t="str">
        <f>IF('Sol Bekler'!C97="","",'Sol Bekler'!C97)</f>
        <v/>
      </c>
      <c r="D395" t="str">
        <f ca="1">IF('Sol Bekler'!D97="","",'Sol Bekler'!D97)</f>
        <v/>
      </c>
      <c r="E395" t="str">
        <f>IF('Sol Bekler'!E97="","",'Sol Bekler'!E97)</f>
        <v>Sol Bek</v>
      </c>
      <c r="F395" t="str">
        <f>IF('Sol Bekler'!G97="","",'Sol Bekler'!G97)</f>
        <v/>
      </c>
      <c r="G395" s="2" t="str">
        <f>IF('Sol Bekler'!H97="","",'Sol Bekler'!H97)</f>
        <v/>
      </c>
      <c r="H395" t="str">
        <f>IF('Sol Bekler'!I97="","",'Sol Bekler'!I97)</f>
        <v/>
      </c>
      <c r="I395" t="str">
        <f>IF('Sol Bekler'!A97="","",'Sol Bekler'!J97)</f>
        <v/>
      </c>
      <c r="J395" t="str">
        <f>IF('Sol Bekler'!A97="","",'Sol Bekler'!K97)</f>
        <v/>
      </c>
      <c r="K395" t="str">
        <f>IF('Sol Bekler'!L97="","",'Sol Bekler'!L97)</f>
        <v/>
      </c>
      <c r="L395" t="str">
        <f>IF('Sol Bekler'!M97="","",'Sol Bekler'!M97)</f>
        <v/>
      </c>
      <c r="M395" t="str">
        <f>IF('Sol Bekler'!N97="","",'Sol Bekler'!N97)</f>
        <v/>
      </c>
      <c r="N395" t="str">
        <f>IF('Sol Bekler'!O97="","",'Sol Bekler'!O97)</f>
        <v/>
      </c>
      <c r="O395" t="str">
        <f>IF('Sol Bekler'!P97="","",'Sol Bekler'!P97)</f>
        <v/>
      </c>
      <c r="P395" t="str">
        <f>IF('Sol Bekler'!Q97="","",'Sol Bekler'!Q97)</f>
        <v/>
      </c>
      <c r="Q395" t="str">
        <f>IF('Sol Bekler'!R97="","",'Sol Bekler'!R97)</f>
        <v/>
      </c>
      <c r="R395" t="str">
        <f>IF('Sol Bekler'!S97="","",'Sol Bekler'!S97)</f>
        <v/>
      </c>
      <c r="S395" t="str">
        <f>IF('Sol Bekler'!T97="","",'Sol Bekler'!T97)</f>
        <v/>
      </c>
      <c r="T395" s="2" t="str">
        <f>IF('Sol Bekler'!U97="","",'Sol Bekler'!U97)</f>
        <v/>
      </c>
      <c r="U395" t="s">
        <v>929</v>
      </c>
      <c r="V395">
        <v>97</v>
      </c>
      <c r="W395" t="str">
        <f ca="1">IF(AND($A395&lt;&gt;"",ISNUMBER($G395),$G395&gt;=TODAY(),$G395&lt;=EDATE(TODAY(),12)),COUNTIFS($G$2:$G$1001,"&gt;="&amp;TODAY(),$G$2:$G$1001,"&lt;"&amp;$G395,$A$2:$A$1001,"&lt;&gt;")+COUNTIFS($G$2:$G395,$G395,$A$2:$A395,"&lt;&gt;"),"")</f>
        <v/>
      </c>
      <c r="X395" t="str">
        <f>IF(AND($A395&lt;&gt;"",ISNUMBER($C395),$C395&gt;=DATE(2003,1,1)),COUNTIFS($C$2:$C395,"&gt;="&amp;DATE(2003,1,1),$A$2:$A395,"&lt;&gt;"),"")</f>
        <v/>
      </c>
    </row>
    <row r="396" spans="1:24">
      <c r="A396" t="str">
        <f>IF('Sol Bekler'!A98="","",'Sol Bekler'!A98)</f>
        <v/>
      </c>
      <c r="B396" t="str">
        <f>IF('Sol Bekler'!B98="","",'Sol Bekler'!B98)</f>
        <v/>
      </c>
      <c r="C396" s="2" t="str">
        <f>IF('Sol Bekler'!C98="","",'Sol Bekler'!C98)</f>
        <v/>
      </c>
      <c r="D396" t="str">
        <f ca="1">IF('Sol Bekler'!D98="","",'Sol Bekler'!D98)</f>
        <v/>
      </c>
      <c r="E396" t="str">
        <f>IF('Sol Bekler'!E98="","",'Sol Bekler'!E98)</f>
        <v>Sol Bek</v>
      </c>
      <c r="F396" t="str">
        <f>IF('Sol Bekler'!G98="","",'Sol Bekler'!G98)</f>
        <v/>
      </c>
      <c r="G396" s="2" t="str">
        <f>IF('Sol Bekler'!H98="","",'Sol Bekler'!H98)</f>
        <v/>
      </c>
      <c r="H396" t="str">
        <f>IF('Sol Bekler'!I98="","",'Sol Bekler'!I98)</f>
        <v/>
      </c>
      <c r="I396" t="str">
        <f>IF('Sol Bekler'!A98="","",'Sol Bekler'!J98)</f>
        <v/>
      </c>
      <c r="J396" t="str">
        <f>IF('Sol Bekler'!A98="","",'Sol Bekler'!K98)</f>
        <v/>
      </c>
      <c r="K396" t="str">
        <f>IF('Sol Bekler'!L98="","",'Sol Bekler'!L98)</f>
        <v/>
      </c>
      <c r="L396" t="str">
        <f>IF('Sol Bekler'!M98="","",'Sol Bekler'!M98)</f>
        <v/>
      </c>
      <c r="M396" t="str">
        <f>IF('Sol Bekler'!N98="","",'Sol Bekler'!N98)</f>
        <v/>
      </c>
      <c r="N396" t="str">
        <f>IF('Sol Bekler'!O98="","",'Sol Bekler'!O98)</f>
        <v/>
      </c>
      <c r="O396" t="str">
        <f>IF('Sol Bekler'!P98="","",'Sol Bekler'!P98)</f>
        <v/>
      </c>
      <c r="P396" t="str">
        <f>IF('Sol Bekler'!Q98="","",'Sol Bekler'!Q98)</f>
        <v/>
      </c>
      <c r="Q396" t="str">
        <f>IF('Sol Bekler'!R98="","",'Sol Bekler'!R98)</f>
        <v/>
      </c>
      <c r="R396" t="str">
        <f>IF('Sol Bekler'!S98="","",'Sol Bekler'!S98)</f>
        <v/>
      </c>
      <c r="S396" t="str">
        <f>IF('Sol Bekler'!T98="","",'Sol Bekler'!T98)</f>
        <v/>
      </c>
      <c r="T396" s="2" t="str">
        <f>IF('Sol Bekler'!U98="","",'Sol Bekler'!U98)</f>
        <v/>
      </c>
      <c r="U396" t="s">
        <v>929</v>
      </c>
      <c r="V396">
        <v>98</v>
      </c>
      <c r="W396" t="str">
        <f ca="1">IF(AND($A396&lt;&gt;"",ISNUMBER($G396),$G396&gt;=TODAY(),$G396&lt;=EDATE(TODAY(),12)),COUNTIFS($G$2:$G$1001,"&gt;="&amp;TODAY(),$G$2:$G$1001,"&lt;"&amp;$G396,$A$2:$A$1001,"&lt;&gt;")+COUNTIFS($G$2:$G396,$G396,$A$2:$A396,"&lt;&gt;"),"")</f>
        <v/>
      </c>
      <c r="X396" t="str">
        <f>IF(AND($A396&lt;&gt;"",ISNUMBER($C396),$C396&gt;=DATE(2003,1,1)),COUNTIFS($C$2:$C396,"&gt;="&amp;DATE(2003,1,1),$A$2:$A396,"&lt;&gt;"),"")</f>
        <v/>
      </c>
    </row>
    <row r="397" spans="1:24">
      <c r="A397" t="str">
        <f>IF('Sol Bekler'!A99="","",'Sol Bekler'!A99)</f>
        <v/>
      </c>
      <c r="B397" t="str">
        <f>IF('Sol Bekler'!B99="","",'Sol Bekler'!B99)</f>
        <v/>
      </c>
      <c r="C397" s="2" t="str">
        <f>IF('Sol Bekler'!C99="","",'Sol Bekler'!C99)</f>
        <v/>
      </c>
      <c r="D397" t="str">
        <f ca="1">IF('Sol Bekler'!D99="","",'Sol Bekler'!D99)</f>
        <v/>
      </c>
      <c r="E397" t="str">
        <f>IF('Sol Bekler'!E99="","",'Sol Bekler'!E99)</f>
        <v>Sol Bek</v>
      </c>
      <c r="F397" t="str">
        <f>IF('Sol Bekler'!G99="","",'Sol Bekler'!G99)</f>
        <v/>
      </c>
      <c r="G397" s="2" t="str">
        <f>IF('Sol Bekler'!H99="","",'Sol Bekler'!H99)</f>
        <v/>
      </c>
      <c r="H397" t="str">
        <f>IF('Sol Bekler'!I99="","",'Sol Bekler'!I99)</f>
        <v/>
      </c>
      <c r="I397" t="str">
        <f>IF('Sol Bekler'!A99="","",'Sol Bekler'!J99)</f>
        <v/>
      </c>
      <c r="J397" t="str">
        <f>IF('Sol Bekler'!A99="","",'Sol Bekler'!K99)</f>
        <v/>
      </c>
      <c r="K397" t="str">
        <f>IF('Sol Bekler'!L99="","",'Sol Bekler'!L99)</f>
        <v/>
      </c>
      <c r="L397" t="str">
        <f>IF('Sol Bekler'!M99="","",'Sol Bekler'!M99)</f>
        <v/>
      </c>
      <c r="M397" t="str">
        <f>IF('Sol Bekler'!N99="","",'Sol Bekler'!N99)</f>
        <v/>
      </c>
      <c r="N397" t="str">
        <f>IF('Sol Bekler'!O99="","",'Sol Bekler'!O99)</f>
        <v/>
      </c>
      <c r="O397" t="str">
        <f>IF('Sol Bekler'!P99="","",'Sol Bekler'!P99)</f>
        <v/>
      </c>
      <c r="P397" t="str">
        <f>IF('Sol Bekler'!Q99="","",'Sol Bekler'!Q99)</f>
        <v/>
      </c>
      <c r="Q397" t="str">
        <f>IF('Sol Bekler'!R99="","",'Sol Bekler'!R99)</f>
        <v/>
      </c>
      <c r="R397" t="str">
        <f>IF('Sol Bekler'!S99="","",'Sol Bekler'!S99)</f>
        <v/>
      </c>
      <c r="S397" t="str">
        <f>IF('Sol Bekler'!T99="","",'Sol Bekler'!T99)</f>
        <v/>
      </c>
      <c r="T397" s="2" t="str">
        <f>IF('Sol Bekler'!U99="","",'Sol Bekler'!U99)</f>
        <v/>
      </c>
      <c r="U397" t="s">
        <v>929</v>
      </c>
      <c r="V397">
        <v>99</v>
      </c>
      <c r="W397" t="str">
        <f ca="1">IF(AND($A397&lt;&gt;"",ISNUMBER($G397),$G397&gt;=TODAY(),$G397&lt;=EDATE(TODAY(),12)),COUNTIFS($G$2:$G$1001,"&gt;="&amp;TODAY(),$G$2:$G$1001,"&lt;"&amp;$G397,$A$2:$A$1001,"&lt;&gt;")+COUNTIFS($G$2:$G397,$G397,$A$2:$A397,"&lt;&gt;"),"")</f>
        <v/>
      </c>
      <c r="X397" t="str">
        <f>IF(AND($A397&lt;&gt;"",ISNUMBER($C397),$C397&gt;=DATE(2003,1,1)),COUNTIFS($C$2:$C397,"&gt;="&amp;DATE(2003,1,1),$A$2:$A397,"&lt;&gt;"),"")</f>
        <v/>
      </c>
    </row>
    <row r="398" spans="1:24">
      <c r="A398" t="str">
        <f>IF('Sol Bekler'!A100="","",'Sol Bekler'!A100)</f>
        <v/>
      </c>
      <c r="B398" t="str">
        <f>IF('Sol Bekler'!B100="","",'Sol Bekler'!B100)</f>
        <v/>
      </c>
      <c r="C398" s="2" t="str">
        <f>IF('Sol Bekler'!C100="","",'Sol Bekler'!C100)</f>
        <v/>
      </c>
      <c r="D398" t="str">
        <f ca="1">IF('Sol Bekler'!D100="","",'Sol Bekler'!D100)</f>
        <v/>
      </c>
      <c r="E398" t="str">
        <f>IF('Sol Bekler'!E100="","",'Sol Bekler'!E100)</f>
        <v>Sol Bek</v>
      </c>
      <c r="F398" t="str">
        <f>IF('Sol Bekler'!G100="","",'Sol Bekler'!G100)</f>
        <v/>
      </c>
      <c r="G398" s="2" t="str">
        <f>IF('Sol Bekler'!H100="","",'Sol Bekler'!H100)</f>
        <v/>
      </c>
      <c r="H398" t="str">
        <f>IF('Sol Bekler'!I100="","",'Sol Bekler'!I100)</f>
        <v/>
      </c>
      <c r="I398" t="str">
        <f>IF('Sol Bekler'!A100="","",'Sol Bekler'!J100)</f>
        <v/>
      </c>
      <c r="J398" t="str">
        <f>IF('Sol Bekler'!A100="","",'Sol Bekler'!K100)</f>
        <v/>
      </c>
      <c r="K398" t="str">
        <f>IF('Sol Bekler'!L100="","",'Sol Bekler'!L100)</f>
        <v/>
      </c>
      <c r="L398" t="str">
        <f>IF('Sol Bekler'!M100="","",'Sol Bekler'!M100)</f>
        <v/>
      </c>
      <c r="M398" t="str">
        <f>IF('Sol Bekler'!N100="","",'Sol Bekler'!N100)</f>
        <v/>
      </c>
      <c r="N398" t="str">
        <f>IF('Sol Bekler'!O100="","",'Sol Bekler'!O100)</f>
        <v/>
      </c>
      <c r="O398" t="str">
        <f>IF('Sol Bekler'!P100="","",'Sol Bekler'!P100)</f>
        <v/>
      </c>
      <c r="P398" t="str">
        <f>IF('Sol Bekler'!Q100="","",'Sol Bekler'!Q100)</f>
        <v/>
      </c>
      <c r="Q398" t="str">
        <f>IF('Sol Bekler'!R100="","",'Sol Bekler'!R100)</f>
        <v/>
      </c>
      <c r="R398" t="str">
        <f>IF('Sol Bekler'!S100="","",'Sol Bekler'!S100)</f>
        <v/>
      </c>
      <c r="S398" t="str">
        <f>IF('Sol Bekler'!T100="","",'Sol Bekler'!T100)</f>
        <v/>
      </c>
      <c r="T398" s="2" t="str">
        <f>IF('Sol Bekler'!U100="","",'Sol Bekler'!U100)</f>
        <v/>
      </c>
      <c r="U398" t="s">
        <v>929</v>
      </c>
      <c r="V398">
        <v>100</v>
      </c>
      <c r="W398" t="str">
        <f ca="1">IF(AND($A398&lt;&gt;"",ISNUMBER($G398),$G398&gt;=TODAY(),$G398&lt;=EDATE(TODAY(),12)),COUNTIFS($G$2:$G$1001,"&gt;="&amp;TODAY(),$G$2:$G$1001,"&lt;"&amp;$G398,$A$2:$A$1001,"&lt;&gt;")+COUNTIFS($G$2:$G398,$G398,$A$2:$A398,"&lt;&gt;"),"")</f>
        <v/>
      </c>
      <c r="X398" t="str">
        <f>IF(AND($A398&lt;&gt;"",ISNUMBER($C398),$C398&gt;=DATE(2003,1,1)),COUNTIFS($C$2:$C398,"&gt;="&amp;DATE(2003,1,1),$A$2:$A398,"&lt;&gt;"),"")</f>
        <v/>
      </c>
    </row>
    <row r="399" spans="1:24">
      <c r="A399" t="str">
        <f>IF('Sol Bekler'!A101="","",'Sol Bekler'!A101)</f>
        <v/>
      </c>
      <c r="B399" t="str">
        <f>IF('Sol Bekler'!B101="","",'Sol Bekler'!B101)</f>
        <v/>
      </c>
      <c r="C399" s="2" t="str">
        <f>IF('Sol Bekler'!C101="","",'Sol Bekler'!C101)</f>
        <v/>
      </c>
      <c r="D399" t="str">
        <f ca="1">IF('Sol Bekler'!D101="","",'Sol Bekler'!D101)</f>
        <v/>
      </c>
      <c r="E399" t="str">
        <f>IF('Sol Bekler'!E101="","",'Sol Bekler'!E101)</f>
        <v>Sol Bek</v>
      </c>
      <c r="F399" t="str">
        <f>IF('Sol Bekler'!G101="","",'Sol Bekler'!G101)</f>
        <v/>
      </c>
      <c r="G399" s="2" t="str">
        <f>IF('Sol Bekler'!H101="","",'Sol Bekler'!H101)</f>
        <v/>
      </c>
      <c r="H399" t="str">
        <f>IF('Sol Bekler'!I101="","",'Sol Bekler'!I101)</f>
        <v/>
      </c>
      <c r="I399" t="str">
        <f>IF('Sol Bekler'!A101="","",'Sol Bekler'!J101)</f>
        <v/>
      </c>
      <c r="J399" t="str">
        <f>IF('Sol Bekler'!A101="","",'Sol Bekler'!K101)</f>
        <v/>
      </c>
      <c r="K399" t="str">
        <f>IF('Sol Bekler'!L101="","",'Sol Bekler'!L101)</f>
        <v/>
      </c>
      <c r="L399" t="str">
        <f>IF('Sol Bekler'!M101="","",'Sol Bekler'!M101)</f>
        <v/>
      </c>
      <c r="M399" t="str">
        <f>IF('Sol Bekler'!N101="","",'Sol Bekler'!N101)</f>
        <v/>
      </c>
      <c r="N399" t="str">
        <f>IF('Sol Bekler'!O101="","",'Sol Bekler'!O101)</f>
        <v/>
      </c>
      <c r="O399" t="str">
        <f>IF('Sol Bekler'!P101="","",'Sol Bekler'!P101)</f>
        <v/>
      </c>
      <c r="P399" t="str">
        <f>IF('Sol Bekler'!Q101="","",'Sol Bekler'!Q101)</f>
        <v/>
      </c>
      <c r="Q399" t="str">
        <f>IF('Sol Bekler'!R101="","",'Sol Bekler'!R101)</f>
        <v/>
      </c>
      <c r="R399" t="str">
        <f>IF('Sol Bekler'!S101="","",'Sol Bekler'!S101)</f>
        <v/>
      </c>
      <c r="S399" t="str">
        <f>IF('Sol Bekler'!T101="","",'Sol Bekler'!T101)</f>
        <v/>
      </c>
      <c r="T399" s="2" t="str">
        <f>IF('Sol Bekler'!U101="","",'Sol Bekler'!U101)</f>
        <v/>
      </c>
      <c r="U399" t="s">
        <v>929</v>
      </c>
      <c r="V399">
        <v>101</v>
      </c>
      <c r="W399" t="str">
        <f ca="1">IF(AND($A399&lt;&gt;"",ISNUMBER($G399),$G399&gt;=TODAY(),$G399&lt;=EDATE(TODAY(),12)),COUNTIFS($G$2:$G$1001,"&gt;="&amp;TODAY(),$G$2:$G$1001,"&lt;"&amp;$G399,$A$2:$A$1001,"&lt;&gt;")+COUNTIFS($G$2:$G399,$G399,$A$2:$A399,"&lt;&gt;"),"")</f>
        <v/>
      </c>
      <c r="X399" t="str">
        <f>IF(AND($A399&lt;&gt;"",ISNUMBER($C399),$C399&gt;=DATE(2003,1,1)),COUNTIFS($C$2:$C399,"&gt;="&amp;DATE(2003,1,1),$A$2:$A399,"&lt;&gt;"),"")</f>
        <v/>
      </c>
    </row>
    <row r="400" spans="1:24">
      <c r="A400" t="str">
        <f>IF('Sol Bekler'!A102="","",'Sol Bekler'!A102)</f>
        <v/>
      </c>
      <c r="B400" t="str">
        <f>IF('Sol Bekler'!B102="","",'Sol Bekler'!B102)</f>
        <v/>
      </c>
      <c r="C400" s="2" t="str">
        <f>IF('Sol Bekler'!C102="","",'Sol Bekler'!C102)</f>
        <v/>
      </c>
      <c r="D400" t="str">
        <f ca="1">IF('Sol Bekler'!D102="","",'Sol Bekler'!D102)</f>
        <v/>
      </c>
      <c r="E400" t="str">
        <f>IF('Sol Bekler'!E102="","",'Sol Bekler'!E102)</f>
        <v>Sol Bek</v>
      </c>
      <c r="F400" t="str">
        <f>IF('Sol Bekler'!G102="","",'Sol Bekler'!G102)</f>
        <v/>
      </c>
      <c r="G400" s="2" t="str">
        <f>IF('Sol Bekler'!H102="","",'Sol Bekler'!H102)</f>
        <v/>
      </c>
      <c r="H400" t="str">
        <f>IF('Sol Bekler'!I102="","",'Sol Bekler'!I102)</f>
        <v/>
      </c>
      <c r="I400" t="str">
        <f>IF('Sol Bekler'!A102="","",'Sol Bekler'!J102)</f>
        <v/>
      </c>
      <c r="J400" t="str">
        <f>IF('Sol Bekler'!A102="","",'Sol Bekler'!K102)</f>
        <v/>
      </c>
      <c r="K400" t="str">
        <f>IF('Sol Bekler'!L102="","",'Sol Bekler'!L102)</f>
        <v/>
      </c>
      <c r="L400" t="str">
        <f>IF('Sol Bekler'!M102="","",'Sol Bekler'!M102)</f>
        <v/>
      </c>
      <c r="M400" t="str">
        <f>IF('Sol Bekler'!N102="","",'Sol Bekler'!N102)</f>
        <v/>
      </c>
      <c r="N400" t="str">
        <f>IF('Sol Bekler'!O102="","",'Sol Bekler'!O102)</f>
        <v/>
      </c>
      <c r="O400" t="str">
        <f>IF('Sol Bekler'!P102="","",'Sol Bekler'!P102)</f>
        <v/>
      </c>
      <c r="P400" t="str">
        <f>IF('Sol Bekler'!Q102="","",'Sol Bekler'!Q102)</f>
        <v/>
      </c>
      <c r="Q400" t="str">
        <f>IF('Sol Bekler'!R102="","",'Sol Bekler'!R102)</f>
        <v/>
      </c>
      <c r="R400" t="str">
        <f>IF('Sol Bekler'!S102="","",'Sol Bekler'!S102)</f>
        <v/>
      </c>
      <c r="S400" t="str">
        <f>IF('Sol Bekler'!T102="","",'Sol Bekler'!T102)</f>
        <v/>
      </c>
      <c r="T400" s="2" t="str">
        <f>IF('Sol Bekler'!U102="","",'Sol Bekler'!U102)</f>
        <v/>
      </c>
      <c r="U400" t="s">
        <v>929</v>
      </c>
      <c r="V400">
        <v>102</v>
      </c>
      <c r="W400" t="str">
        <f ca="1">IF(AND($A400&lt;&gt;"",ISNUMBER($G400),$G400&gt;=TODAY(),$G400&lt;=EDATE(TODAY(),12)),COUNTIFS($G$2:$G$1001,"&gt;="&amp;TODAY(),$G$2:$G$1001,"&lt;"&amp;$G400,$A$2:$A$1001,"&lt;&gt;")+COUNTIFS($G$2:$G400,$G400,$A$2:$A400,"&lt;&gt;"),"")</f>
        <v/>
      </c>
      <c r="X400" t="str">
        <f>IF(AND($A400&lt;&gt;"",ISNUMBER($C400),$C400&gt;=DATE(2003,1,1)),COUNTIFS($C$2:$C400,"&gt;="&amp;DATE(2003,1,1),$A$2:$A400,"&lt;&gt;"),"")</f>
        <v/>
      </c>
    </row>
    <row r="401" spans="1:24">
      <c r="A401" t="str">
        <f>IF('Sol Bekler'!A103="","",'Sol Bekler'!A103)</f>
        <v/>
      </c>
      <c r="B401" t="str">
        <f>IF('Sol Bekler'!B103="","",'Sol Bekler'!B103)</f>
        <v/>
      </c>
      <c r="C401" s="2" t="str">
        <f>IF('Sol Bekler'!C103="","",'Sol Bekler'!C103)</f>
        <v/>
      </c>
      <c r="D401" t="str">
        <f ca="1">IF('Sol Bekler'!D103="","",'Sol Bekler'!D103)</f>
        <v/>
      </c>
      <c r="E401" t="str">
        <f>IF('Sol Bekler'!E103="","",'Sol Bekler'!E103)</f>
        <v>Sol Bek</v>
      </c>
      <c r="F401" t="str">
        <f>IF('Sol Bekler'!G103="","",'Sol Bekler'!G103)</f>
        <v/>
      </c>
      <c r="G401" s="2" t="str">
        <f>IF('Sol Bekler'!H103="","",'Sol Bekler'!H103)</f>
        <v/>
      </c>
      <c r="H401" t="str">
        <f>IF('Sol Bekler'!I103="","",'Sol Bekler'!I103)</f>
        <v/>
      </c>
      <c r="I401" t="str">
        <f>IF('Sol Bekler'!A103="","",'Sol Bekler'!J103)</f>
        <v/>
      </c>
      <c r="J401" t="str">
        <f>IF('Sol Bekler'!A103="","",'Sol Bekler'!K103)</f>
        <v/>
      </c>
      <c r="K401" t="str">
        <f>IF('Sol Bekler'!L103="","",'Sol Bekler'!L103)</f>
        <v/>
      </c>
      <c r="L401" t="str">
        <f>IF('Sol Bekler'!M103="","",'Sol Bekler'!M103)</f>
        <v/>
      </c>
      <c r="M401" t="str">
        <f>IF('Sol Bekler'!N103="","",'Sol Bekler'!N103)</f>
        <v/>
      </c>
      <c r="N401" t="str">
        <f>IF('Sol Bekler'!O103="","",'Sol Bekler'!O103)</f>
        <v/>
      </c>
      <c r="O401" t="str">
        <f>IF('Sol Bekler'!P103="","",'Sol Bekler'!P103)</f>
        <v/>
      </c>
      <c r="P401" t="str">
        <f>IF('Sol Bekler'!Q103="","",'Sol Bekler'!Q103)</f>
        <v/>
      </c>
      <c r="Q401" t="str">
        <f>IF('Sol Bekler'!R103="","",'Sol Bekler'!R103)</f>
        <v/>
      </c>
      <c r="R401" t="str">
        <f>IF('Sol Bekler'!S103="","",'Sol Bekler'!S103)</f>
        <v/>
      </c>
      <c r="S401" t="str">
        <f>IF('Sol Bekler'!T103="","",'Sol Bekler'!T103)</f>
        <v/>
      </c>
      <c r="T401" s="2" t="str">
        <f>IF('Sol Bekler'!U103="","",'Sol Bekler'!U103)</f>
        <v/>
      </c>
      <c r="U401" t="s">
        <v>929</v>
      </c>
      <c r="V401">
        <v>103</v>
      </c>
      <c r="W401" t="str">
        <f ca="1">IF(AND($A401&lt;&gt;"",ISNUMBER($G401),$G401&gt;=TODAY(),$G401&lt;=EDATE(TODAY(),12)),COUNTIFS($G$2:$G$1001,"&gt;="&amp;TODAY(),$G$2:$G$1001,"&lt;"&amp;$G401,$A$2:$A$1001,"&lt;&gt;")+COUNTIFS($G$2:$G401,$G401,$A$2:$A401,"&lt;&gt;"),"")</f>
        <v/>
      </c>
      <c r="X401" t="str">
        <f>IF(AND($A401&lt;&gt;"",ISNUMBER($C401),$C401&gt;=DATE(2003,1,1)),COUNTIFS($C$2:$C401,"&gt;="&amp;DATE(2003,1,1),$A$2:$A401,"&lt;&gt;"),"")</f>
        <v/>
      </c>
    </row>
    <row r="402" spans="1:24">
      <c r="A402" t="str">
        <f>IF('6 Numaralar'!A4="","",'6 Numaralar'!A4)</f>
        <v>YVES BISSOUMA</v>
      </c>
      <c r="B402" t="str">
        <f>IF('6 Numaralar'!B4="","",'6 Numaralar'!B4)</f>
        <v>MALİ</v>
      </c>
      <c r="C402" s="2">
        <f>IF('6 Numaralar'!C4="","",'6 Numaralar'!C4)</f>
        <v>35307</v>
      </c>
      <c r="D402">
        <f ca="1">IF('6 Numaralar'!D4="","",'6 Numaralar'!D4)</f>
        <v>30</v>
      </c>
      <c r="E402" t="str">
        <f>IF('6 Numaralar'!E4="","",'6 Numaralar'!E4)</f>
        <v>6 Numara</v>
      </c>
      <c r="F402" t="str">
        <f>IF('6 Numaralar'!G4="","",'6 Numaralar'!G4)</f>
        <v>FREE</v>
      </c>
      <c r="G402" s="2" t="str">
        <f>IF('6 Numaralar'!H4="","",'6 Numaralar'!H4)</f>
        <v>-</v>
      </c>
      <c r="H402" t="str">
        <f>IF('6 Numaralar'!I4="","",'6 Numaralar'!I4)</f>
        <v>Sarı</v>
      </c>
      <c r="I402">
        <f>IF('6 Numaralar'!A4="","",'6 Numaralar'!J4)</f>
        <v>0</v>
      </c>
      <c r="J402">
        <f>IF('6 Numaralar'!A4="","",'6 Numaralar'!K4)</f>
        <v>0</v>
      </c>
      <c r="K402" t="str">
        <f>IF('6 Numaralar'!L4="","",'6 Numaralar'!L4)</f>
        <v/>
      </c>
      <c r="L402" t="str">
        <f>IF('6 Numaralar'!M4="","",'6 Numaralar'!M4)</f>
        <v/>
      </c>
      <c r="M402" t="str">
        <f>IF('6 Numaralar'!N4="","",'6 Numaralar'!N4)</f>
        <v/>
      </c>
      <c r="N402" t="str">
        <f>IF('6 Numaralar'!O4="","",'6 Numaralar'!O4)</f>
        <v/>
      </c>
      <c r="O402" t="str">
        <f>IF('6 Numaralar'!P4="","",'6 Numaralar'!P4)</f>
        <v/>
      </c>
      <c r="P402" t="str">
        <f>IF('6 Numaralar'!Q4="","",'6 Numaralar'!Q4)</f>
        <v/>
      </c>
      <c r="Q402" t="str">
        <f>IF('6 Numaralar'!R4="","",'6 Numaralar'!R4)</f>
        <v/>
      </c>
      <c r="R402" t="str">
        <f>IF('6 Numaralar'!S4="","",'6 Numaralar'!S4)</f>
        <v/>
      </c>
      <c r="S402" t="str">
        <f>IF('6 Numaralar'!T4="","",'6 Numaralar'!T4)</f>
        <v>Takip</v>
      </c>
      <c r="T402" s="2" t="str">
        <f>IF('6 Numaralar'!U4="","",'6 Numaralar'!U4)</f>
        <v/>
      </c>
      <c r="U402" t="s">
        <v>930</v>
      </c>
      <c r="V402">
        <v>4</v>
      </c>
      <c r="W402" t="str">
        <f ca="1">IF(AND($A402&lt;&gt;"",ISNUMBER($G402),$G402&gt;=TODAY(),$G402&lt;=EDATE(TODAY(),12)),COUNTIFS($G$2:$G$1001,"&gt;="&amp;TODAY(),$G$2:$G$1001,"&lt;"&amp;$G402,$A$2:$A$1001,"&lt;&gt;")+COUNTIFS($G$2:$G402,$G402,$A$2:$A402,"&lt;&gt;"),"")</f>
        <v/>
      </c>
      <c r="X402" t="str">
        <f>IF(AND($A402&lt;&gt;"",ISNUMBER($C402),$C402&gt;=DATE(2003,1,1)),COUNTIFS($C$2:$C402,"&gt;="&amp;DATE(2003,1,1),$A$2:$A402,"&lt;&gt;"),"")</f>
        <v/>
      </c>
    </row>
    <row r="403" spans="1:24">
      <c r="A403" t="str">
        <f>IF('6 Numaralar'!A5="","",'6 Numaralar'!A5)</f>
        <v>YUSSIF SAIDU</v>
      </c>
      <c r="B403" t="str">
        <f>IF('6 Numaralar'!B5="","",'6 Numaralar'!B5)</f>
        <v>GANA</v>
      </c>
      <c r="C403" s="2">
        <f>IF('6 Numaralar'!C5="","",'6 Numaralar'!C5)</f>
        <v>38517</v>
      </c>
      <c r="D403">
        <f ca="1">IF('6 Numaralar'!D5="","",'6 Numaralar'!D5)</f>
        <v>21</v>
      </c>
      <c r="E403" t="str">
        <f>IF('6 Numaralar'!E5="","",'6 Numaralar'!E5)</f>
        <v>6 Numara</v>
      </c>
      <c r="F403" t="str">
        <f>IF('6 Numaralar'!G5="","",'6 Numaralar'!G5)</f>
        <v>REAL ZARAGOZA</v>
      </c>
      <c r="G403" s="2">
        <f>IF('6 Numaralar'!H5="","",'6 Numaralar'!H5)</f>
        <v>47664</v>
      </c>
      <c r="H403" t="str">
        <f>IF('6 Numaralar'!I5="","",'6 Numaralar'!I5)</f>
        <v>Sarı</v>
      </c>
      <c r="I403">
        <f>IF('6 Numaralar'!A5="","",'6 Numaralar'!J5)</f>
        <v>0</v>
      </c>
      <c r="J403">
        <f>IF('6 Numaralar'!A5="","",'6 Numaralar'!K5)</f>
        <v>0</v>
      </c>
      <c r="K403" t="str">
        <f>IF('6 Numaralar'!L5="","",'6 Numaralar'!L5)</f>
        <v/>
      </c>
      <c r="L403" t="str">
        <f>IF('6 Numaralar'!M5="","",'6 Numaralar'!M5)</f>
        <v/>
      </c>
      <c r="M403" t="str">
        <f>IF('6 Numaralar'!N5="","",'6 Numaralar'!N5)</f>
        <v/>
      </c>
      <c r="N403" t="str">
        <f>IF('6 Numaralar'!O5="","",'6 Numaralar'!O5)</f>
        <v/>
      </c>
      <c r="O403" t="str">
        <f>IF('6 Numaralar'!P5="","",'6 Numaralar'!P5)</f>
        <v/>
      </c>
      <c r="P403" t="str">
        <f>IF('6 Numaralar'!Q5="","",'6 Numaralar'!Q5)</f>
        <v/>
      </c>
      <c r="Q403" t="str">
        <f>IF('6 Numaralar'!R5="","",'6 Numaralar'!R5)</f>
        <v/>
      </c>
      <c r="R403" t="str">
        <f>IF('6 Numaralar'!S5="","",'6 Numaralar'!S5)</f>
        <v/>
      </c>
      <c r="S403" t="str">
        <f>IF('6 Numaralar'!T5="","",'6 Numaralar'!T5)</f>
        <v>B Liste</v>
      </c>
      <c r="T403" s="2" t="str">
        <f>IF('6 Numaralar'!U5="","",'6 Numaralar'!U5)</f>
        <v/>
      </c>
      <c r="U403" t="s">
        <v>930</v>
      </c>
      <c r="V403">
        <v>5</v>
      </c>
      <c r="W403" t="str">
        <f ca="1">IF(AND($A403&lt;&gt;"",ISNUMBER($G403),$G403&gt;=TODAY(),$G403&lt;=EDATE(TODAY(),12)),COUNTIFS($G$2:$G$1001,"&gt;="&amp;TODAY(),$G$2:$G$1001,"&lt;"&amp;$G403,$A$2:$A$1001,"&lt;&gt;")+COUNTIFS($G$2:$G403,$G403,$A$2:$A403,"&lt;&gt;"),"")</f>
        <v/>
      </c>
      <c r="X403">
        <f>IF(AND($A403&lt;&gt;"",ISNUMBER($C403),$C403&gt;=DATE(2003,1,1)),COUNTIFS($C$2:$C403,"&gt;="&amp;DATE(2003,1,1),$A$2:$A403,"&lt;&gt;"),"")</f>
        <v>10</v>
      </c>
    </row>
    <row r="404" spans="1:24">
      <c r="A404" t="str">
        <f>IF('6 Numaralar'!A6="","",'6 Numaralar'!A6)</f>
        <v>LUCA REGIARDO</v>
      </c>
      <c r="B404" t="str">
        <f>IF('6 Numaralar'!B6="","",'6 Numaralar'!B6)</f>
        <v>ARJANTİN</v>
      </c>
      <c r="C404" s="2">
        <f>IF('6 Numaralar'!C6="","",'6 Numaralar'!C6)</f>
        <v>39013</v>
      </c>
      <c r="D404">
        <f ca="1">IF('6 Numaralar'!D6="","",'6 Numaralar'!D6)</f>
        <v>19</v>
      </c>
      <c r="E404" t="str">
        <f>IF('6 Numaralar'!E6="","",'6 Numaralar'!E6)</f>
        <v>6 Numara</v>
      </c>
      <c r="F404" t="str">
        <f>IF('6 Numaralar'!G6="","",'6 Numaralar'!G6)</f>
        <v>NEWELL'S</v>
      </c>
      <c r="G404" s="2">
        <f>IF('6 Numaralar'!H6="","",'6 Numaralar'!H6)</f>
        <v>47483</v>
      </c>
      <c r="H404" t="str">
        <f>IF('6 Numaralar'!I6="","",'6 Numaralar'!I6)</f>
        <v>Yeşil</v>
      </c>
      <c r="I404">
        <f>IF('6 Numaralar'!A6="","",'6 Numaralar'!J6)</f>
        <v>0</v>
      </c>
      <c r="J404">
        <f>IF('6 Numaralar'!A6="","",'6 Numaralar'!K6)</f>
        <v>0</v>
      </c>
      <c r="K404" t="str">
        <f>IF('6 Numaralar'!L6="","",'6 Numaralar'!L6)</f>
        <v/>
      </c>
      <c r="L404" t="str">
        <f>IF('6 Numaralar'!M6="","",'6 Numaralar'!M6)</f>
        <v/>
      </c>
      <c r="M404" t="str">
        <f>IF('6 Numaralar'!N6="","",'6 Numaralar'!N6)</f>
        <v/>
      </c>
      <c r="N404" t="str">
        <f>IF('6 Numaralar'!O6="","",'6 Numaralar'!O6)</f>
        <v/>
      </c>
      <c r="O404" t="str">
        <f>IF('6 Numaralar'!P6="","",'6 Numaralar'!P6)</f>
        <v/>
      </c>
      <c r="P404" t="str">
        <f>IF('6 Numaralar'!Q6="","",'6 Numaralar'!Q6)</f>
        <v/>
      </c>
      <c r="Q404" t="str">
        <f>IF('6 Numaralar'!R6="","",'6 Numaralar'!R6)</f>
        <v/>
      </c>
      <c r="R404" t="str">
        <f>IF('6 Numaralar'!S6="","",'6 Numaralar'!S6)</f>
        <v/>
      </c>
      <c r="S404" t="str">
        <f>IF('6 Numaralar'!T6="","",'6 Numaralar'!T6)</f>
        <v>Takip</v>
      </c>
      <c r="T404" s="2" t="str">
        <f>IF('6 Numaralar'!U6="","",'6 Numaralar'!U6)</f>
        <v/>
      </c>
      <c r="U404" t="s">
        <v>930</v>
      </c>
      <c r="V404">
        <v>6</v>
      </c>
      <c r="W404" t="str">
        <f ca="1">IF(AND($A404&lt;&gt;"",ISNUMBER($G404),$G404&gt;=TODAY(),$G404&lt;=EDATE(TODAY(),12)),COUNTIFS($G$2:$G$1001,"&gt;="&amp;TODAY(),$G$2:$G$1001,"&lt;"&amp;$G404,$A$2:$A$1001,"&lt;&gt;")+COUNTIFS($G$2:$G404,$G404,$A$2:$A404,"&lt;&gt;"),"")</f>
        <v/>
      </c>
      <c r="X404">
        <f>IF(AND($A404&lt;&gt;"",ISNUMBER($C404),$C404&gt;=DATE(2003,1,1)),COUNTIFS($C$2:$C404,"&gt;="&amp;DATE(2003,1,1),$A$2:$A404,"&lt;&gt;"),"")</f>
        <v>11</v>
      </c>
    </row>
    <row r="405" spans="1:24">
      <c r="A405" t="str">
        <f>IF('6 Numaralar'!A7="","",'6 Numaralar'!A7)</f>
        <v>KEVIN CASTANO</v>
      </c>
      <c r="B405" t="str">
        <f>IF('6 Numaralar'!B7="","",'6 Numaralar'!B7)</f>
        <v>KOLOMBİYA</v>
      </c>
      <c r="C405" s="2">
        <f>IF('6 Numaralar'!C7="","",'6 Numaralar'!C7)</f>
        <v>36798</v>
      </c>
      <c r="D405">
        <f ca="1">IF('6 Numaralar'!D7="","",'6 Numaralar'!D7)</f>
        <v>26</v>
      </c>
      <c r="E405" t="str">
        <f>IF('6 Numaralar'!E7="","",'6 Numaralar'!E7)</f>
        <v>6 Numara</v>
      </c>
      <c r="F405" t="str">
        <f>IF('6 Numaralar'!G7="","",'6 Numaralar'!G7)</f>
        <v>ATLETİCO MG</v>
      </c>
      <c r="G405" s="2">
        <f>IF('6 Numaralar'!H7="","",'6 Numaralar'!H7)</f>
        <v>46568</v>
      </c>
      <c r="H405" t="str">
        <f>IF('6 Numaralar'!I7="","",'6 Numaralar'!I7)</f>
        <v>Sarı</v>
      </c>
      <c r="I405">
        <f>IF('6 Numaralar'!A7="","",'6 Numaralar'!J7)</f>
        <v>0</v>
      </c>
      <c r="J405">
        <f>IF('6 Numaralar'!A7="","",'6 Numaralar'!K7)</f>
        <v>0</v>
      </c>
      <c r="K405" t="str">
        <f>IF('6 Numaralar'!L7="","",'6 Numaralar'!L7)</f>
        <v/>
      </c>
      <c r="L405" t="str">
        <f>IF('6 Numaralar'!M7="","",'6 Numaralar'!M7)</f>
        <v/>
      </c>
      <c r="M405" t="str">
        <f>IF('6 Numaralar'!N7="","",'6 Numaralar'!N7)</f>
        <v/>
      </c>
      <c r="N405" t="str">
        <f>IF('6 Numaralar'!O7="","",'6 Numaralar'!O7)</f>
        <v/>
      </c>
      <c r="O405" t="str">
        <f>IF('6 Numaralar'!P7="","",'6 Numaralar'!P7)</f>
        <v/>
      </c>
      <c r="P405" t="str">
        <f>IF('6 Numaralar'!Q7="","",'6 Numaralar'!Q7)</f>
        <v/>
      </c>
      <c r="Q405" t="str">
        <f>IF('6 Numaralar'!R7="","",'6 Numaralar'!R7)</f>
        <v/>
      </c>
      <c r="R405" t="str">
        <f>IF('6 Numaralar'!S7="","",'6 Numaralar'!S7)</f>
        <v/>
      </c>
      <c r="S405" t="str">
        <f>IF('6 Numaralar'!T7="","",'6 Numaralar'!T7)</f>
        <v>B Liste</v>
      </c>
      <c r="T405" s="2" t="str">
        <f>IF('6 Numaralar'!U7="","",'6 Numaralar'!U7)</f>
        <v/>
      </c>
      <c r="U405" t="s">
        <v>930</v>
      </c>
      <c r="V405">
        <v>7</v>
      </c>
      <c r="W405">
        <f ca="1">IF(AND($A405&lt;&gt;"",ISNUMBER($G405),$G405&gt;=TODAY(),$G405&lt;=EDATE(TODAY(),12)),COUNTIFS($G$2:$G$1001,"&gt;="&amp;TODAY(),$G$2:$G$1001,"&lt;"&amp;$G405,$A$2:$A$1001,"&lt;&gt;")+COUNTIFS($G$2:$G405,$G405,$A$2:$A405,"&lt;&gt;"),"")</f>
        <v>27</v>
      </c>
      <c r="X405" t="str">
        <f>IF(AND($A405&lt;&gt;"",ISNUMBER($C405),$C405&gt;=DATE(2003,1,1)),COUNTIFS($C$2:$C405,"&gt;="&amp;DATE(2003,1,1),$A$2:$A405,"&lt;&gt;"),"")</f>
        <v/>
      </c>
    </row>
    <row r="406" spans="1:24">
      <c r="A406" t="str">
        <f>IF('6 Numaralar'!A8="","",'6 Numaralar'!A8)</f>
        <v>AGUSTIN DOFFO</v>
      </c>
      <c r="B406" t="str">
        <f>IF('6 Numaralar'!B8="","",'6 Numaralar'!B8)</f>
        <v>ARJANTİN</v>
      </c>
      <c r="C406" s="2">
        <f>IF('6 Numaralar'!C8="","",'6 Numaralar'!C8)</f>
        <v>34844</v>
      </c>
      <c r="D406">
        <f ca="1">IF('6 Numaralar'!D8="","",'6 Numaralar'!D8)</f>
        <v>31</v>
      </c>
      <c r="E406" t="str">
        <f>IF('6 Numaralar'!E8="","",'6 Numaralar'!E8)</f>
        <v>6 Numara</v>
      </c>
      <c r="F406" t="str">
        <f>IF('6 Numaralar'!G8="","",'6 Numaralar'!G8)</f>
        <v>NK OLIMPIJA</v>
      </c>
      <c r="G406" s="2">
        <f>IF('6 Numaralar'!H8="","",'6 Numaralar'!H8)</f>
        <v>46934</v>
      </c>
      <c r="H406" t="str">
        <f>IF('6 Numaralar'!I8="","",'6 Numaralar'!I8)</f>
        <v>Kırmızı</v>
      </c>
      <c r="I406">
        <f>IF('6 Numaralar'!A8="","",'6 Numaralar'!J8)</f>
        <v>0</v>
      </c>
      <c r="J406">
        <f>IF('6 Numaralar'!A8="","",'6 Numaralar'!K8)</f>
        <v>0</v>
      </c>
      <c r="K406" t="str">
        <f>IF('6 Numaralar'!L8="","",'6 Numaralar'!L8)</f>
        <v/>
      </c>
      <c r="L406" t="str">
        <f>IF('6 Numaralar'!M8="","",'6 Numaralar'!M8)</f>
        <v/>
      </c>
      <c r="M406" t="str">
        <f>IF('6 Numaralar'!N8="","",'6 Numaralar'!N8)</f>
        <v/>
      </c>
      <c r="N406" t="str">
        <f>IF('6 Numaralar'!O8="","",'6 Numaralar'!O8)</f>
        <v/>
      </c>
      <c r="O406" t="str">
        <f>IF('6 Numaralar'!P8="","",'6 Numaralar'!P8)</f>
        <v/>
      </c>
      <c r="P406" t="str">
        <f>IF('6 Numaralar'!Q8="","",'6 Numaralar'!Q8)</f>
        <v/>
      </c>
      <c r="Q406" t="str">
        <f>IF('6 Numaralar'!R8="","",'6 Numaralar'!R8)</f>
        <v/>
      </c>
      <c r="R406" t="str">
        <f>IF('6 Numaralar'!S8="","",'6 Numaralar'!S8)</f>
        <v/>
      </c>
      <c r="S406" t="str">
        <f>IF('6 Numaralar'!T8="","",'6 Numaralar'!T8)</f>
        <v>Ele</v>
      </c>
      <c r="T406" s="2" t="str">
        <f>IF('6 Numaralar'!U8="","",'6 Numaralar'!U8)</f>
        <v/>
      </c>
      <c r="U406" t="s">
        <v>930</v>
      </c>
      <c r="V406">
        <v>8</v>
      </c>
      <c r="W406" t="str">
        <f ca="1">IF(AND($A406&lt;&gt;"",ISNUMBER($G406),$G406&gt;=TODAY(),$G406&lt;=EDATE(TODAY(),12)),COUNTIFS($G$2:$G$1001,"&gt;="&amp;TODAY(),$G$2:$G$1001,"&lt;"&amp;$G406,$A$2:$A$1001,"&lt;&gt;")+COUNTIFS($G$2:$G406,$G406,$A$2:$A406,"&lt;&gt;"),"")</f>
        <v/>
      </c>
      <c r="X406" t="str">
        <f>IF(AND($A406&lt;&gt;"",ISNUMBER($C406),$C406&gt;=DATE(2003,1,1)),COUNTIFS($C$2:$C406,"&gt;="&amp;DATE(2003,1,1),$A$2:$A406,"&lt;&gt;"),"")</f>
        <v/>
      </c>
    </row>
    <row r="407" spans="1:24">
      <c r="A407" t="str">
        <f>IF('6 Numaralar'!A9="","",'6 Numaralar'!A9)</f>
        <v>DANİLO BARBOSA</v>
      </c>
      <c r="B407" t="str">
        <f>IF('6 Numaralar'!B9="","",'6 Numaralar'!B9)</f>
        <v>BREZİLYA</v>
      </c>
      <c r="C407" s="2">
        <f>IF('6 Numaralar'!C9="","",'6 Numaralar'!C9)</f>
        <v>35123</v>
      </c>
      <c r="D407">
        <f ca="1">IF('6 Numaralar'!D9="","",'6 Numaralar'!D9)</f>
        <v>30</v>
      </c>
      <c r="E407" t="str">
        <f>IF('6 Numaralar'!E9="","",'6 Numaralar'!E9)</f>
        <v>6 Numara</v>
      </c>
      <c r="F407" t="str">
        <f>IF('6 Numaralar'!G9="","",'6 Numaralar'!G9)</f>
        <v>GREMIO</v>
      </c>
      <c r="G407" s="2">
        <f>IF('6 Numaralar'!H9="","",'6 Numaralar'!H9)</f>
        <v>47118</v>
      </c>
      <c r="H407" t="str">
        <f>IF('6 Numaralar'!I9="","",'6 Numaralar'!I9)</f>
        <v>Kırmızı</v>
      </c>
      <c r="I407">
        <f>IF('6 Numaralar'!A9="","",'6 Numaralar'!J9)</f>
        <v>0</v>
      </c>
      <c r="J407" t="str">
        <f>IF('6 Numaralar'!A9="","",'6 Numaralar'!K9)</f>
        <v>https://www.transfermarkt.com.tr/danilo-barbosa/profil/spieler/273438</v>
      </c>
      <c r="K407" t="str">
        <f>IF('6 Numaralar'!L9="","",'6 Numaralar'!L9)</f>
        <v/>
      </c>
      <c r="L407" t="str">
        <f>IF('6 Numaralar'!M9="","",'6 Numaralar'!M9)</f>
        <v/>
      </c>
      <c r="M407" t="str">
        <f>IF('6 Numaralar'!N9="","",'6 Numaralar'!N9)</f>
        <v/>
      </c>
      <c r="N407" t="str">
        <f>IF('6 Numaralar'!O9="","",'6 Numaralar'!O9)</f>
        <v/>
      </c>
      <c r="O407" t="str">
        <f>IF('6 Numaralar'!P9="","",'6 Numaralar'!P9)</f>
        <v/>
      </c>
      <c r="P407" t="str">
        <f>IF('6 Numaralar'!Q9="","",'6 Numaralar'!Q9)</f>
        <v/>
      </c>
      <c r="Q407" t="str">
        <f>IF('6 Numaralar'!R9="","",'6 Numaralar'!R9)</f>
        <v/>
      </c>
      <c r="R407" t="str">
        <f>IF('6 Numaralar'!S9="","",'6 Numaralar'!S9)</f>
        <v/>
      </c>
      <c r="S407" t="str">
        <f>IF('6 Numaralar'!T9="","",'6 Numaralar'!T9)</f>
        <v>Ele</v>
      </c>
      <c r="T407" s="2" t="str">
        <f>IF('6 Numaralar'!U9="","",'6 Numaralar'!U9)</f>
        <v/>
      </c>
      <c r="U407" t="s">
        <v>930</v>
      </c>
      <c r="V407">
        <v>9</v>
      </c>
      <c r="W407" t="str">
        <f ca="1">IF(AND($A407&lt;&gt;"",ISNUMBER($G407),$G407&gt;=TODAY(),$G407&lt;=EDATE(TODAY(),12)),COUNTIFS($G$2:$G$1001,"&gt;="&amp;TODAY(),$G$2:$G$1001,"&lt;"&amp;$G407,$A$2:$A$1001,"&lt;&gt;")+COUNTIFS($G$2:$G407,$G407,$A$2:$A407,"&lt;&gt;"),"")</f>
        <v/>
      </c>
      <c r="X407" t="str">
        <f>IF(AND($A407&lt;&gt;"",ISNUMBER($C407),$C407&gt;=DATE(2003,1,1)),COUNTIFS($C$2:$C407,"&gt;="&amp;DATE(2003,1,1),$A$2:$A407,"&lt;&gt;"),"")</f>
        <v/>
      </c>
    </row>
    <row r="408" spans="1:24">
      <c r="A408" t="str">
        <f>IF('6 Numaralar'!A10="","",'6 Numaralar'!A10)</f>
        <v>RAMIZ ZERROUKI</v>
      </c>
      <c r="B408" t="str">
        <f>IF('6 Numaralar'!B10="","",'6 Numaralar'!B10)</f>
        <v>CEZAYİR</v>
      </c>
      <c r="C408" s="2">
        <f>IF('6 Numaralar'!C10="","",'6 Numaralar'!C10)</f>
        <v>35941</v>
      </c>
      <c r="D408">
        <f ca="1">IF('6 Numaralar'!D10="","",'6 Numaralar'!D10)</f>
        <v>28</v>
      </c>
      <c r="E408" t="str">
        <f>IF('6 Numaralar'!E10="","",'6 Numaralar'!E10)</f>
        <v>6 Numara</v>
      </c>
      <c r="F408" t="str">
        <f>IF('6 Numaralar'!G10="","",'6 Numaralar'!G10)</f>
        <v>TWENTE</v>
      </c>
      <c r="G408" s="2">
        <f>IF('6 Numaralar'!H10="","",'6 Numaralar'!H10)</f>
        <v>47664</v>
      </c>
      <c r="H408" t="str">
        <f>IF('6 Numaralar'!I10="","",'6 Numaralar'!I10)</f>
        <v>Yeşil</v>
      </c>
      <c r="I408">
        <f>IF('6 Numaralar'!A10="","",'6 Numaralar'!J10)</f>
        <v>0</v>
      </c>
      <c r="J408" t="str">
        <f>IF('6 Numaralar'!A10="","",'6 Numaralar'!K10)</f>
        <v>https://www.transfermarkt.com.tr/ramiz-zerrouki/profil/spieler/416660</v>
      </c>
      <c r="K408" t="str">
        <f>IF('6 Numaralar'!L10="","",'6 Numaralar'!L10)</f>
        <v/>
      </c>
      <c r="L408" t="str">
        <f>IF('6 Numaralar'!M10="","",'6 Numaralar'!M10)</f>
        <v/>
      </c>
      <c r="M408" t="str">
        <f>IF('6 Numaralar'!N10="","",'6 Numaralar'!N10)</f>
        <v/>
      </c>
      <c r="N408" t="str">
        <f>IF('6 Numaralar'!O10="","",'6 Numaralar'!O10)</f>
        <v/>
      </c>
      <c r="O408" t="str">
        <f>IF('6 Numaralar'!P10="","",'6 Numaralar'!P10)</f>
        <v/>
      </c>
      <c r="P408" t="str">
        <f>IF('6 Numaralar'!Q10="","",'6 Numaralar'!Q10)</f>
        <v/>
      </c>
      <c r="Q408" t="str">
        <f>IF('6 Numaralar'!R10="","",'6 Numaralar'!R10)</f>
        <v/>
      </c>
      <c r="R408" t="str">
        <f>IF('6 Numaralar'!S10="","",'6 Numaralar'!S10)</f>
        <v/>
      </c>
      <c r="S408" t="str">
        <f>IF('6 Numaralar'!T10="","",'6 Numaralar'!T10)</f>
        <v>A Liste</v>
      </c>
      <c r="T408" s="2" t="str">
        <f>IF('6 Numaralar'!U10="","",'6 Numaralar'!U10)</f>
        <v/>
      </c>
      <c r="U408" t="s">
        <v>930</v>
      </c>
      <c r="V408">
        <v>10</v>
      </c>
      <c r="W408" t="str">
        <f ca="1">IF(AND($A408&lt;&gt;"",ISNUMBER($G408),$G408&gt;=TODAY(),$G408&lt;=EDATE(TODAY(),12)),COUNTIFS($G$2:$G$1001,"&gt;="&amp;TODAY(),$G$2:$G$1001,"&lt;"&amp;$G408,$A$2:$A$1001,"&lt;&gt;")+COUNTIFS($G$2:$G408,$G408,$A$2:$A408,"&lt;&gt;"),"")</f>
        <v/>
      </c>
      <c r="X408" t="str">
        <f>IF(AND($A408&lt;&gt;"",ISNUMBER($C408),$C408&gt;=DATE(2003,1,1)),COUNTIFS($C$2:$C408,"&gt;="&amp;DATE(2003,1,1),$A$2:$A408,"&lt;&gt;"),"")</f>
        <v/>
      </c>
    </row>
    <row r="409" spans="1:24">
      <c r="A409" t="str">
        <f>IF('6 Numaralar'!A11="","",'6 Numaralar'!A11)</f>
        <v>CHARLYS MATHEUS LİMA</v>
      </c>
      <c r="B409" t="str">
        <f>IF('6 Numaralar'!B11="","",'6 Numaralar'!B11)</f>
        <v>BREZİLYA</v>
      </c>
      <c r="C409" s="2">
        <f>IF('6 Numaralar'!C11="","",'6 Numaralar'!C11)</f>
        <v>38036</v>
      </c>
      <c r="D409">
        <f ca="1">IF('6 Numaralar'!D11="","",'6 Numaralar'!D11)</f>
        <v>22</v>
      </c>
      <c r="E409" t="str">
        <f>IF('6 Numaralar'!E11="","",'6 Numaralar'!E11)</f>
        <v>6 Numara</v>
      </c>
      <c r="F409" t="str">
        <f>IF('6 Numaralar'!G11="","",'6 Numaralar'!G11)</f>
        <v>İNTER</v>
      </c>
      <c r="G409" s="2">
        <f>IF('6 Numaralar'!H11="","",'6 Numaralar'!H11)</f>
        <v>46568</v>
      </c>
      <c r="H409" t="str">
        <f>IF('6 Numaralar'!I11="","",'6 Numaralar'!I11)</f>
        <v>Sarı</v>
      </c>
      <c r="I409">
        <f>IF('6 Numaralar'!A11="","",'6 Numaralar'!J11)</f>
        <v>0</v>
      </c>
      <c r="J409" t="str">
        <f>IF('6 Numaralar'!A11="","",'6 Numaralar'!K11)</f>
        <v>https://www.transfermarkt.com.tr/charlys/profil/spieler/1082519</v>
      </c>
      <c r="K409" t="str">
        <f>IF('6 Numaralar'!L11="","",'6 Numaralar'!L11)</f>
        <v/>
      </c>
      <c r="L409" t="str">
        <f>IF('6 Numaralar'!M11="","",'6 Numaralar'!M11)</f>
        <v/>
      </c>
      <c r="M409" t="str">
        <f>IF('6 Numaralar'!N11="","",'6 Numaralar'!N11)</f>
        <v/>
      </c>
      <c r="N409" t="str">
        <f>IF('6 Numaralar'!O11="","",'6 Numaralar'!O11)</f>
        <v/>
      </c>
      <c r="O409" t="str">
        <f>IF('6 Numaralar'!P11="","",'6 Numaralar'!P11)</f>
        <v/>
      </c>
      <c r="P409" t="str">
        <f>IF('6 Numaralar'!Q11="","",'6 Numaralar'!Q11)</f>
        <v/>
      </c>
      <c r="Q409" t="str">
        <f>IF('6 Numaralar'!R11="","",'6 Numaralar'!R11)</f>
        <v/>
      </c>
      <c r="R409" t="str">
        <f>IF('6 Numaralar'!S11="","",'6 Numaralar'!S11)</f>
        <v/>
      </c>
      <c r="S409" t="str">
        <f>IF('6 Numaralar'!T11="","",'6 Numaralar'!T11)</f>
        <v>Takip</v>
      </c>
      <c r="T409" s="2" t="str">
        <f>IF('6 Numaralar'!U11="","",'6 Numaralar'!U11)</f>
        <v/>
      </c>
      <c r="U409" t="s">
        <v>930</v>
      </c>
      <c r="V409">
        <v>11</v>
      </c>
      <c r="W409">
        <f ca="1">IF(AND($A409&lt;&gt;"",ISNUMBER($G409),$G409&gt;=TODAY(),$G409&lt;=EDATE(TODAY(),12)),COUNTIFS($G$2:$G$1001,"&gt;="&amp;TODAY(),$G$2:$G$1001,"&lt;"&amp;$G409,$A$2:$A$1001,"&lt;&gt;")+COUNTIFS($G$2:$G409,$G409,$A$2:$A409,"&lt;&gt;"),"")</f>
        <v>28</v>
      </c>
      <c r="X409">
        <f>IF(AND($A409&lt;&gt;"",ISNUMBER($C409),$C409&gt;=DATE(2003,1,1)),COUNTIFS($C$2:$C409,"&gt;="&amp;DATE(2003,1,1),$A$2:$A409,"&lt;&gt;"),"")</f>
        <v>12</v>
      </c>
    </row>
    <row r="410" spans="1:24">
      <c r="A410" t="str">
        <f>IF('6 Numaralar'!A12="","",'6 Numaralar'!A12)</f>
        <v>MAHMOUD DAHOUD</v>
      </c>
      <c r="B410" t="str">
        <f>IF('6 Numaralar'!B12="","",'6 Numaralar'!B12)</f>
        <v>SURİYE</v>
      </c>
      <c r="C410" s="2">
        <f>IF('6 Numaralar'!C12="","",'6 Numaralar'!C12)</f>
        <v>35065</v>
      </c>
      <c r="D410">
        <f ca="1">IF('6 Numaralar'!D12="","",'6 Numaralar'!D12)</f>
        <v>30</v>
      </c>
      <c r="E410" t="str">
        <f>IF('6 Numaralar'!E12="","",'6 Numaralar'!E12)</f>
        <v>6 Numara</v>
      </c>
      <c r="F410" t="str">
        <f>IF('6 Numaralar'!G12="","",'6 Numaralar'!G12)</f>
        <v>FREE</v>
      </c>
      <c r="G410" s="2" t="str">
        <f>IF('6 Numaralar'!H12="","",'6 Numaralar'!H12)</f>
        <v/>
      </c>
      <c r="H410" t="str">
        <f>IF('6 Numaralar'!I12="","",'6 Numaralar'!I12)</f>
        <v>Kırmızı</v>
      </c>
      <c r="I410">
        <f>IF('6 Numaralar'!A12="","",'6 Numaralar'!J12)</f>
        <v>0</v>
      </c>
      <c r="J410" t="str">
        <f>IF('6 Numaralar'!A12="","",'6 Numaralar'!K12)</f>
        <v>https://www.transfermarkt.com.tr/mahmoud-dahoud/profil/spieler/191422</v>
      </c>
      <c r="K410" t="str">
        <f>IF('6 Numaralar'!L12="","",'6 Numaralar'!L12)</f>
        <v/>
      </c>
      <c r="L410" t="str">
        <f>IF('6 Numaralar'!M12="","",'6 Numaralar'!M12)</f>
        <v/>
      </c>
      <c r="M410" t="str">
        <f>IF('6 Numaralar'!N12="","",'6 Numaralar'!N12)</f>
        <v/>
      </c>
      <c r="N410" t="str">
        <f>IF('6 Numaralar'!O12="","",'6 Numaralar'!O12)</f>
        <v/>
      </c>
      <c r="O410" t="str">
        <f>IF('6 Numaralar'!P12="","",'6 Numaralar'!P12)</f>
        <v/>
      </c>
      <c r="P410" t="str">
        <f>IF('6 Numaralar'!Q12="","",'6 Numaralar'!Q12)</f>
        <v/>
      </c>
      <c r="Q410" t="str">
        <f>IF('6 Numaralar'!R12="","",'6 Numaralar'!R12)</f>
        <v/>
      </c>
      <c r="R410" t="str">
        <f>IF('6 Numaralar'!S12="","",'6 Numaralar'!S12)</f>
        <v/>
      </c>
      <c r="S410" t="str">
        <f>IF('6 Numaralar'!T12="","",'6 Numaralar'!T12)</f>
        <v>Ele</v>
      </c>
      <c r="T410" s="2" t="str">
        <f>IF('6 Numaralar'!U12="","",'6 Numaralar'!U12)</f>
        <v/>
      </c>
      <c r="U410" t="s">
        <v>930</v>
      </c>
      <c r="V410">
        <v>12</v>
      </c>
      <c r="W410" t="str">
        <f ca="1">IF(AND($A410&lt;&gt;"",ISNUMBER($G410),$G410&gt;=TODAY(),$G410&lt;=EDATE(TODAY(),12)),COUNTIFS($G$2:$G$1001,"&gt;="&amp;TODAY(),$G$2:$G$1001,"&lt;"&amp;$G410,$A$2:$A$1001,"&lt;&gt;")+COUNTIFS($G$2:$G410,$G410,$A$2:$A410,"&lt;&gt;"),"")</f>
        <v/>
      </c>
      <c r="X410" t="str">
        <f>IF(AND($A410&lt;&gt;"",ISNUMBER($C410),$C410&gt;=DATE(2003,1,1)),COUNTIFS($C$2:$C410,"&gt;="&amp;DATE(2003,1,1),$A$2:$A410,"&lt;&gt;"),"")</f>
        <v/>
      </c>
    </row>
    <row r="411" spans="1:24">
      <c r="A411" t="str">
        <f>IF('6 Numaralar'!A13="","",'6 Numaralar'!A13)</f>
        <v>DANILO BARBOSA</v>
      </c>
      <c r="B411" t="str">
        <f>IF('6 Numaralar'!B13="","",'6 Numaralar'!B13)</f>
        <v>BREZİLYA</v>
      </c>
      <c r="C411" s="2">
        <f>IF('6 Numaralar'!C13="","",'6 Numaralar'!C13)</f>
        <v>35123</v>
      </c>
      <c r="D411">
        <f ca="1">IF('6 Numaralar'!D13="","",'6 Numaralar'!D13)</f>
        <v>30</v>
      </c>
      <c r="E411" t="str">
        <f>IF('6 Numaralar'!E13="","",'6 Numaralar'!E13)</f>
        <v>6 Numara</v>
      </c>
      <c r="F411" t="str">
        <f>IF('6 Numaralar'!G13="","",'6 Numaralar'!G13)</f>
        <v>GRÊMIO</v>
      </c>
      <c r="G411" s="2">
        <f>IF('6 Numaralar'!H13="","",'6 Numaralar'!H13)</f>
        <v>47118</v>
      </c>
      <c r="H411" t="str">
        <f>IF('6 Numaralar'!I13="","",'6 Numaralar'!I13)</f>
        <v/>
      </c>
      <c r="I411">
        <f>IF('6 Numaralar'!A13="","",'6 Numaralar'!J13)</f>
        <v>0</v>
      </c>
      <c r="J411" t="str">
        <f>IF('6 Numaralar'!A13="","",'6 Numaralar'!K13)</f>
        <v>https://www.transfermarkt.pt/danilo-barbosa/profil/spieler/273438</v>
      </c>
      <c r="K411" t="str">
        <f>IF('6 Numaralar'!L13="","",'6 Numaralar'!L13)</f>
        <v/>
      </c>
      <c r="L411" t="str">
        <f>IF('6 Numaralar'!M13="","",'6 Numaralar'!M13)</f>
        <v/>
      </c>
      <c r="M411" t="str">
        <f>IF('6 Numaralar'!N13="","",'6 Numaralar'!N13)</f>
        <v/>
      </c>
      <c r="N411" t="str">
        <f>IF('6 Numaralar'!O13="","",'6 Numaralar'!O13)</f>
        <v/>
      </c>
      <c r="O411" t="str">
        <f>IF('6 Numaralar'!P13="","",'6 Numaralar'!P13)</f>
        <v/>
      </c>
      <c r="P411" t="str">
        <f>IF('6 Numaralar'!Q13="","",'6 Numaralar'!Q13)</f>
        <v/>
      </c>
      <c r="Q411" t="str">
        <f>IF('6 Numaralar'!R13="","",'6 Numaralar'!R13)</f>
        <v/>
      </c>
      <c r="R411" t="str">
        <f>IF('6 Numaralar'!S13="","",'6 Numaralar'!S13)</f>
        <v/>
      </c>
      <c r="S411" t="str">
        <f>IF('6 Numaralar'!T13="","",'6 Numaralar'!T13)</f>
        <v/>
      </c>
      <c r="T411" s="2" t="str">
        <f>IF('6 Numaralar'!U13="","",'6 Numaralar'!U13)</f>
        <v/>
      </c>
      <c r="U411" t="s">
        <v>930</v>
      </c>
      <c r="V411">
        <v>13</v>
      </c>
      <c r="W411" t="str">
        <f ca="1">IF(AND($A411&lt;&gt;"",ISNUMBER($G411),$G411&gt;=TODAY(),$G411&lt;=EDATE(TODAY(),12)),COUNTIFS($G$2:$G$1001,"&gt;="&amp;TODAY(),$G$2:$G$1001,"&lt;"&amp;$G411,$A$2:$A$1001,"&lt;&gt;")+COUNTIFS($G$2:$G411,$G411,$A$2:$A411,"&lt;&gt;"),"")</f>
        <v/>
      </c>
      <c r="X411" t="str">
        <f>IF(AND($A411&lt;&gt;"",ISNUMBER($C411),$C411&gt;=DATE(2003,1,1)),COUNTIFS($C$2:$C411,"&gt;="&amp;DATE(2003,1,1),$A$2:$A411,"&lt;&gt;"),"")</f>
        <v/>
      </c>
    </row>
    <row r="412" spans="1:24">
      <c r="A412" t="str">
        <f>IF('6 Numaralar'!A14="","",'6 Numaralar'!A14)</f>
        <v>FLORIAN GRILLITSCH</v>
      </c>
      <c r="B412" t="str">
        <f>IF('6 Numaralar'!B14="","",'6 Numaralar'!B14)</f>
        <v>AVUSTURYA</v>
      </c>
      <c r="C412" s="2">
        <f>IF('6 Numaralar'!C14="","",'6 Numaralar'!C14)</f>
        <v>34918</v>
      </c>
      <c r="D412">
        <f ca="1">IF('6 Numaralar'!D14="","",'6 Numaralar'!D14)</f>
        <v>31</v>
      </c>
      <c r="E412" t="str">
        <f>IF('6 Numaralar'!E14="","",'6 Numaralar'!E14)</f>
        <v>6 Numara</v>
      </c>
      <c r="F412" t="str">
        <f>IF('6 Numaralar'!G14="","",'6 Numaralar'!G14)</f>
        <v>KULÜPSÜZ</v>
      </c>
      <c r="G412" s="2" t="str">
        <f>IF('6 Numaralar'!H14="","",'6 Numaralar'!H14)</f>
        <v>-</v>
      </c>
      <c r="H412" t="str">
        <f>IF('6 Numaralar'!I14="","",'6 Numaralar'!I14)</f>
        <v/>
      </c>
      <c r="I412">
        <f>IF('6 Numaralar'!A14="","",'6 Numaralar'!J14)</f>
        <v>0</v>
      </c>
      <c r="J412" t="str">
        <f>IF('6 Numaralar'!A14="","",'6 Numaralar'!K14)</f>
        <v>https://www.transfermarkt.com.tr/florian-grillitsch/profil/spieler/195736</v>
      </c>
      <c r="K412" t="str">
        <f>IF('6 Numaralar'!L14="","",'6 Numaralar'!L14)</f>
        <v/>
      </c>
      <c r="L412" t="str">
        <f>IF('6 Numaralar'!M14="","",'6 Numaralar'!M14)</f>
        <v/>
      </c>
      <c r="M412" t="str">
        <f>IF('6 Numaralar'!N14="","",'6 Numaralar'!N14)</f>
        <v/>
      </c>
      <c r="N412" t="str">
        <f>IF('6 Numaralar'!O14="","",'6 Numaralar'!O14)</f>
        <v/>
      </c>
      <c r="O412" t="str">
        <f>IF('6 Numaralar'!P14="","",'6 Numaralar'!P14)</f>
        <v/>
      </c>
      <c r="P412" t="str">
        <f>IF('6 Numaralar'!Q14="","",'6 Numaralar'!Q14)</f>
        <v/>
      </c>
      <c r="Q412" t="str">
        <f>IF('6 Numaralar'!R14="","",'6 Numaralar'!R14)</f>
        <v/>
      </c>
      <c r="R412" t="str">
        <f>IF('6 Numaralar'!S14="","",'6 Numaralar'!S14)</f>
        <v/>
      </c>
      <c r="S412" t="str">
        <f>IF('6 Numaralar'!T14="","",'6 Numaralar'!T14)</f>
        <v/>
      </c>
      <c r="T412" s="2" t="str">
        <f>IF('6 Numaralar'!U14="","",'6 Numaralar'!U14)</f>
        <v/>
      </c>
      <c r="U412" t="s">
        <v>930</v>
      </c>
      <c r="V412">
        <v>14</v>
      </c>
      <c r="W412" t="str">
        <f ca="1">IF(AND($A412&lt;&gt;"",ISNUMBER($G412),$G412&gt;=TODAY(),$G412&lt;=EDATE(TODAY(),12)),COUNTIFS($G$2:$G$1001,"&gt;="&amp;TODAY(),$G$2:$G$1001,"&lt;"&amp;$G412,$A$2:$A$1001,"&lt;&gt;")+COUNTIFS($G$2:$G412,$G412,$A$2:$A412,"&lt;&gt;"),"")</f>
        <v/>
      </c>
      <c r="X412" t="str">
        <f>IF(AND($A412&lt;&gt;"",ISNUMBER($C412),$C412&gt;=DATE(2003,1,1)),COUNTIFS($C$2:$C412,"&gt;="&amp;DATE(2003,1,1),$A$2:$A412,"&lt;&gt;"),"")</f>
        <v/>
      </c>
    </row>
    <row r="413" spans="1:24">
      <c r="A413" t="str">
        <f>IF('6 Numaralar'!A15="","",'6 Numaralar'!A15)</f>
        <v>PATRICKSON DELGADO</v>
      </c>
      <c r="B413" t="str">
        <f>IF('6 Numaralar'!B15="","",'6 Numaralar'!B15)</f>
        <v>EKVADOR</v>
      </c>
      <c r="C413" s="2">
        <f>IF('6 Numaralar'!C15="","",'6 Numaralar'!C15)</f>
        <v>37911</v>
      </c>
      <c r="D413">
        <f ca="1">IF('6 Numaralar'!D15="","",'6 Numaralar'!D15)</f>
        <v>22</v>
      </c>
      <c r="E413" t="str">
        <f>IF('6 Numaralar'!E15="","",'6 Numaralar'!E15)</f>
        <v>6 Numara</v>
      </c>
      <c r="F413" t="str">
        <f>IF('6 Numaralar'!G15="","",'6 Numaralar'!G15)</f>
        <v>FC DALLAS</v>
      </c>
      <c r="G413" s="2">
        <f>IF('6 Numaralar'!H15="","",'6 Numaralar'!H15)</f>
        <v>46752</v>
      </c>
      <c r="H413" t="str">
        <f>IF('6 Numaralar'!I15="","",'6 Numaralar'!I15)</f>
        <v/>
      </c>
      <c r="I413">
        <f>IF('6 Numaralar'!A15="","",'6 Numaralar'!J15)</f>
        <v>0</v>
      </c>
      <c r="J413" t="str">
        <f>IF('6 Numaralar'!A15="","",'6 Numaralar'!K15)</f>
        <v>https://www.transfermarkt.com.tr/patrickson-delgado/profil/spieler/659802</v>
      </c>
      <c r="K413" t="str">
        <f>IF('6 Numaralar'!L15="","",'6 Numaralar'!L15)</f>
        <v/>
      </c>
      <c r="L413" t="str">
        <f>IF('6 Numaralar'!M15="","",'6 Numaralar'!M15)</f>
        <v/>
      </c>
      <c r="M413" t="str">
        <f>IF('6 Numaralar'!N15="","",'6 Numaralar'!N15)</f>
        <v/>
      </c>
      <c r="N413" t="str">
        <f>IF('6 Numaralar'!O15="","",'6 Numaralar'!O15)</f>
        <v/>
      </c>
      <c r="O413" t="str">
        <f>IF('6 Numaralar'!P15="","",'6 Numaralar'!P15)</f>
        <v/>
      </c>
      <c r="P413" t="str">
        <f>IF('6 Numaralar'!Q15="","",'6 Numaralar'!Q15)</f>
        <v/>
      </c>
      <c r="Q413" t="str">
        <f>IF('6 Numaralar'!R15="","",'6 Numaralar'!R15)</f>
        <v/>
      </c>
      <c r="R413" t="str">
        <f>IF('6 Numaralar'!S15="","",'6 Numaralar'!S15)</f>
        <v/>
      </c>
      <c r="S413" t="str">
        <f>IF('6 Numaralar'!T15="","",'6 Numaralar'!T15)</f>
        <v/>
      </c>
      <c r="T413" s="2" t="str">
        <f>IF('6 Numaralar'!U15="","",'6 Numaralar'!U15)</f>
        <v/>
      </c>
      <c r="U413" t="s">
        <v>930</v>
      </c>
      <c r="V413">
        <v>15</v>
      </c>
      <c r="W413" t="str">
        <f ca="1">IF(AND($A413&lt;&gt;"",ISNUMBER($G413),$G413&gt;=TODAY(),$G413&lt;=EDATE(TODAY(),12)),COUNTIFS($G$2:$G$1001,"&gt;="&amp;TODAY(),$G$2:$G$1001,"&lt;"&amp;$G413,$A$2:$A$1001,"&lt;&gt;")+COUNTIFS($G$2:$G413,$G413,$A$2:$A413,"&lt;&gt;"),"")</f>
        <v/>
      </c>
      <c r="X413">
        <f>IF(AND($A413&lt;&gt;"",ISNUMBER($C413),$C413&gt;=DATE(2003,1,1)),COUNTIFS($C$2:$C413,"&gt;="&amp;DATE(2003,1,1),$A$2:$A413,"&lt;&gt;"),"")</f>
        <v>13</v>
      </c>
    </row>
    <row r="414" spans="1:24">
      <c r="A414" t="str">
        <f>IF('6 Numaralar'!A16="","",'6 Numaralar'!A16)</f>
        <v>LINDON SELAHI</v>
      </c>
      <c r="B414" t="str">
        <f>IF('6 Numaralar'!B16="","",'6 Numaralar'!B16)</f>
        <v>ARNAVUTLUK / BELÇİKA</v>
      </c>
      <c r="C414" s="2">
        <f>IF('6 Numaralar'!C16="","",'6 Numaralar'!C16)</f>
        <v>36217</v>
      </c>
      <c r="D414">
        <f ca="1">IF('6 Numaralar'!D16="","",'6 Numaralar'!D16)</f>
        <v>27</v>
      </c>
      <c r="E414" t="str">
        <f>IF('6 Numaralar'!E16="","",'6 Numaralar'!E16)</f>
        <v>6 Numara</v>
      </c>
      <c r="F414" t="str">
        <f>IF('6 Numaralar'!G16="","",'6 Numaralar'!G16)</f>
        <v>WIDZEW ŁÓDŹ</v>
      </c>
      <c r="G414" s="2">
        <f>IF('6 Numaralar'!H16="","",'6 Numaralar'!H16)</f>
        <v>46934</v>
      </c>
      <c r="H414" t="str">
        <f>IF('6 Numaralar'!I16="","",'6 Numaralar'!I16)</f>
        <v/>
      </c>
      <c r="I414">
        <f>IF('6 Numaralar'!A16="","",'6 Numaralar'!J16)</f>
        <v>0</v>
      </c>
      <c r="J414" t="str">
        <f>IF('6 Numaralar'!A16="","",'6 Numaralar'!K16)</f>
        <v>https://www.transfermarkt.com.tr/lindon-selahi/profil/spieler/340172</v>
      </c>
      <c r="K414" t="str">
        <f>IF('6 Numaralar'!L16="","",'6 Numaralar'!L16)</f>
        <v/>
      </c>
      <c r="L414" t="str">
        <f>IF('6 Numaralar'!M16="","",'6 Numaralar'!M16)</f>
        <v/>
      </c>
      <c r="M414" t="str">
        <f>IF('6 Numaralar'!N16="","",'6 Numaralar'!N16)</f>
        <v/>
      </c>
      <c r="N414" t="str">
        <f>IF('6 Numaralar'!O16="","",'6 Numaralar'!O16)</f>
        <v/>
      </c>
      <c r="O414" t="str">
        <f>IF('6 Numaralar'!P16="","",'6 Numaralar'!P16)</f>
        <v/>
      </c>
      <c r="P414" t="str">
        <f>IF('6 Numaralar'!Q16="","",'6 Numaralar'!Q16)</f>
        <v/>
      </c>
      <c r="Q414" t="str">
        <f>IF('6 Numaralar'!R16="","",'6 Numaralar'!R16)</f>
        <v/>
      </c>
      <c r="R414" t="str">
        <f>IF('6 Numaralar'!S16="","",'6 Numaralar'!S16)</f>
        <v/>
      </c>
      <c r="S414" t="str">
        <f>IF('6 Numaralar'!T16="","",'6 Numaralar'!T16)</f>
        <v/>
      </c>
      <c r="T414" s="2" t="str">
        <f>IF('6 Numaralar'!U16="","",'6 Numaralar'!U16)</f>
        <v/>
      </c>
      <c r="U414" t="s">
        <v>930</v>
      </c>
      <c r="V414">
        <v>16</v>
      </c>
      <c r="W414" t="str">
        <f ca="1">IF(AND($A414&lt;&gt;"",ISNUMBER($G414),$G414&gt;=TODAY(),$G414&lt;=EDATE(TODAY(),12)),COUNTIFS($G$2:$G$1001,"&gt;="&amp;TODAY(),$G$2:$G$1001,"&lt;"&amp;$G414,$A$2:$A$1001,"&lt;&gt;")+COUNTIFS($G$2:$G414,$G414,$A$2:$A414,"&lt;&gt;"),"")</f>
        <v/>
      </c>
      <c r="X414" t="str">
        <f>IF(AND($A414&lt;&gt;"",ISNUMBER($C414),$C414&gt;=DATE(2003,1,1)),COUNTIFS($C$2:$C414,"&gt;="&amp;DATE(2003,1,1),$A$2:$A414,"&lt;&gt;"),"")</f>
        <v/>
      </c>
    </row>
    <row r="415" spans="1:24">
      <c r="A415" t="str">
        <f>IF('6 Numaralar'!A17="","",'6 Numaralar'!A17)</f>
        <v>MATE TUBOLY</v>
      </c>
      <c r="B415" t="str">
        <f>IF('6 Numaralar'!B17="","",'6 Numaralar'!B17)</f>
        <v>MACARİSTAN</v>
      </c>
      <c r="C415" s="2">
        <f>IF('6 Numaralar'!C17="","",'6 Numaralar'!C17)</f>
        <v>38245</v>
      </c>
      <c r="D415">
        <f ca="1">IF('6 Numaralar'!D17="","",'6 Numaralar'!D17)</f>
        <v>22</v>
      </c>
      <c r="E415" t="str">
        <f>IF('6 Numaralar'!E17="","",'6 Numaralar'!E17)</f>
        <v>6 Numara</v>
      </c>
      <c r="F415" t="str">
        <f>IF('6 Numaralar'!G17="","",'6 Numaralar'!G17)</f>
        <v>DAC DUNAJSKA STREDA</v>
      </c>
      <c r="G415" s="2">
        <f>IF('6 Numaralar'!H17="","",'6 Numaralar'!H17)</f>
        <v>46934</v>
      </c>
      <c r="H415" t="str">
        <f>IF('6 Numaralar'!I17="","",'6 Numaralar'!I17)</f>
        <v/>
      </c>
      <c r="I415">
        <f>IF('6 Numaralar'!A17="","",'6 Numaralar'!J17)</f>
        <v>0</v>
      </c>
      <c r="J415" t="str">
        <f>IF('6 Numaralar'!A17="","",'6 Numaralar'!K17)</f>
        <v>https://www.transfermarkt.co.uk/mate-tuboly/profil/spieler/874947</v>
      </c>
      <c r="K415" t="str">
        <f>IF('6 Numaralar'!L17="","",'6 Numaralar'!L17)</f>
        <v/>
      </c>
      <c r="L415" t="str">
        <f>IF('6 Numaralar'!M17="","",'6 Numaralar'!M17)</f>
        <v/>
      </c>
      <c r="M415" t="str">
        <f>IF('6 Numaralar'!N17="","",'6 Numaralar'!N17)</f>
        <v/>
      </c>
      <c r="N415" t="str">
        <f>IF('6 Numaralar'!O17="","",'6 Numaralar'!O17)</f>
        <v/>
      </c>
      <c r="O415" t="str">
        <f>IF('6 Numaralar'!P17="","",'6 Numaralar'!P17)</f>
        <v/>
      </c>
      <c r="P415" t="str">
        <f>IF('6 Numaralar'!Q17="","",'6 Numaralar'!Q17)</f>
        <v/>
      </c>
      <c r="Q415" t="str">
        <f>IF('6 Numaralar'!R17="","",'6 Numaralar'!R17)</f>
        <v/>
      </c>
      <c r="R415" t="str">
        <f>IF('6 Numaralar'!S17="","",'6 Numaralar'!S17)</f>
        <v/>
      </c>
      <c r="S415" t="str">
        <f>IF('6 Numaralar'!T17="","",'6 Numaralar'!T17)</f>
        <v/>
      </c>
      <c r="T415" s="2" t="str">
        <f>IF('6 Numaralar'!U17="","",'6 Numaralar'!U17)</f>
        <v/>
      </c>
      <c r="U415" t="s">
        <v>930</v>
      </c>
      <c r="V415">
        <v>17</v>
      </c>
      <c r="W415" t="str">
        <f ca="1">IF(AND($A415&lt;&gt;"",ISNUMBER($G415),$G415&gt;=TODAY(),$G415&lt;=EDATE(TODAY(),12)),COUNTIFS($G$2:$G$1001,"&gt;="&amp;TODAY(),$G$2:$G$1001,"&lt;"&amp;$G415,$A$2:$A$1001,"&lt;&gt;")+COUNTIFS($G$2:$G415,$G415,$A$2:$A415,"&lt;&gt;"),"")</f>
        <v/>
      </c>
      <c r="X415">
        <f>IF(AND($A415&lt;&gt;"",ISNUMBER($C415),$C415&gt;=DATE(2003,1,1)),COUNTIFS($C$2:$C415,"&gt;="&amp;DATE(2003,1,1),$A$2:$A415,"&lt;&gt;"),"")</f>
        <v>14</v>
      </c>
    </row>
    <row r="416" spans="1:24">
      <c r="A416" t="str">
        <f>IF('6 Numaralar'!A18="","",'6 Numaralar'!A18)</f>
        <v/>
      </c>
      <c r="B416" t="str">
        <f>IF('6 Numaralar'!B18="","",'6 Numaralar'!B18)</f>
        <v/>
      </c>
      <c r="C416" s="2" t="str">
        <f>IF('6 Numaralar'!C18="","",'6 Numaralar'!C18)</f>
        <v/>
      </c>
      <c r="D416" t="str">
        <f ca="1">IF('6 Numaralar'!D18="","",'6 Numaralar'!D18)</f>
        <v/>
      </c>
      <c r="E416" t="str">
        <f>IF('6 Numaralar'!E18="","",'6 Numaralar'!E18)</f>
        <v>6 Numara</v>
      </c>
      <c r="F416" t="str">
        <f>IF('6 Numaralar'!G18="","",'6 Numaralar'!G18)</f>
        <v/>
      </c>
      <c r="G416" s="2" t="str">
        <f>IF('6 Numaralar'!H18="","",'6 Numaralar'!H18)</f>
        <v/>
      </c>
      <c r="H416" t="str">
        <f>IF('6 Numaralar'!I18="","",'6 Numaralar'!I18)</f>
        <v/>
      </c>
      <c r="I416" t="str">
        <f>IF('6 Numaralar'!A18="","",'6 Numaralar'!J18)</f>
        <v/>
      </c>
      <c r="J416" t="str">
        <f>IF('6 Numaralar'!A18="","",'6 Numaralar'!K18)</f>
        <v/>
      </c>
      <c r="K416" t="str">
        <f>IF('6 Numaralar'!L18="","",'6 Numaralar'!L18)</f>
        <v/>
      </c>
      <c r="L416" t="str">
        <f>IF('6 Numaralar'!M18="","",'6 Numaralar'!M18)</f>
        <v/>
      </c>
      <c r="M416" t="str">
        <f>IF('6 Numaralar'!N18="","",'6 Numaralar'!N18)</f>
        <v/>
      </c>
      <c r="N416" t="str">
        <f>IF('6 Numaralar'!O18="","",'6 Numaralar'!O18)</f>
        <v/>
      </c>
      <c r="O416" t="str">
        <f>IF('6 Numaralar'!P18="","",'6 Numaralar'!P18)</f>
        <v/>
      </c>
      <c r="P416" t="str">
        <f>IF('6 Numaralar'!Q18="","",'6 Numaralar'!Q18)</f>
        <v/>
      </c>
      <c r="Q416" t="str">
        <f>IF('6 Numaralar'!R18="","",'6 Numaralar'!R18)</f>
        <v/>
      </c>
      <c r="R416" t="str">
        <f>IF('6 Numaralar'!S18="","",'6 Numaralar'!S18)</f>
        <v/>
      </c>
      <c r="S416" t="str">
        <f>IF('6 Numaralar'!T18="","",'6 Numaralar'!T18)</f>
        <v/>
      </c>
      <c r="T416" s="2" t="str">
        <f>IF('6 Numaralar'!U18="","",'6 Numaralar'!U18)</f>
        <v/>
      </c>
      <c r="U416" t="s">
        <v>930</v>
      </c>
      <c r="V416">
        <v>18</v>
      </c>
      <c r="W416" t="str">
        <f ca="1">IF(AND($A416&lt;&gt;"",ISNUMBER($G416),$G416&gt;=TODAY(),$G416&lt;=EDATE(TODAY(),12)),COUNTIFS($G$2:$G$1001,"&gt;="&amp;TODAY(),$G$2:$G$1001,"&lt;"&amp;$G416,$A$2:$A$1001,"&lt;&gt;")+COUNTIFS($G$2:$G416,$G416,$A$2:$A416,"&lt;&gt;"),"")</f>
        <v/>
      </c>
      <c r="X416" t="str">
        <f>IF(AND($A416&lt;&gt;"",ISNUMBER($C416),$C416&gt;=DATE(2003,1,1)),COUNTIFS($C$2:$C416,"&gt;="&amp;DATE(2003,1,1),$A$2:$A416,"&lt;&gt;"),"")</f>
        <v/>
      </c>
    </row>
    <row r="417" spans="1:24">
      <c r="A417" t="str">
        <f>IF('6 Numaralar'!A19="","",'6 Numaralar'!A19)</f>
        <v/>
      </c>
      <c r="B417" t="str">
        <f>IF('6 Numaralar'!B19="","",'6 Numaralar'!B19)</f>
        <v/>
      </c>
      <c r="C417" s="2" t="str">
        <f>IF('6 Numaralar'!C19="","",'6 Numaralar'!C19)</f>
        <v/>
      </c>
      <c r="D417" t="str">
        <f ca="1">IF('6 Numaralar'!D19="","",'6 Numaralar'!D19)</f>
        <v/>
      </c>
      <c r="E417" t="str">
        <f>IF('6 Numaralar'!E19="","",'6 Numaralar'!E19)</f>
        <v>6 Numara</v>
      </c>
      <c r="F417" t="str">
        <f>IF('6 Numaralar'!G19="","",'6 Numaralar'!G19)</f>
        <v/>
      </c>
      <c r="G417" s="2" t="str">
        <f>IF('6 Numaralar'!H19="","",'6 Numaralar'!H19)</f>
        <v/>
      </c>
      <c r="H417" t="str">
        <f>IF('6 Numaralar'!I19="","",'6 Numaralar'!I19)</f>
        <v/>
      </c>
      <c r="I417" t="str">
        <f>IF('6 Numaralar'!A19="","",'6 Numaralar'!J19)</f>
        <v/>
      </c>
      <c r="J417" t="str">
        <f>IF('6 Numaralar'!A19="","",'6 Numaralar'!K19)</f>
        <v/>
      </c>
      <c r="K417" t="str">
        <f>IF('6 Numaralar'!L19="","",'6 Numaralar'!L19)</f>
        <v/>
      </c>
      <c r="L417" t="str">
        <f>IF('6 Numaralar'!M19="","",'6 Numaralar'!M19)</f>
        <v/>
      </c>
      <c r="M417" t="str">
        <f>IF('6 Numaralar'!N19="","",'6 Numaralar'!N19)</f>
        <v/>
      </c>
      <c r="N417" t="str">
        <f>IF('6 Numaralar'!O19="","",'6 Numaralar'!O19)</f>
        <v/>
      </c>
      <c r="O417" t="str">
        <f>IF('6 Numaralar'!P19="","",'6 Numaralar'!P19)</f>
        <v/>
      </c>
      <c r="P417" t="str">
        <f>IF('6 Numaralar'!Q19="","",'6 Numaralar'!Q19)</f>
        <v/>
      </c>
      <c r="Q417" t="str">
        <f>IF('6 Numaralar'!R19="","",'6 Numaralar'!R19)</f>
        <v/>
      </c>
      <c r="R417" t="str">
        <f>IF('6 Numaralar'!S19="","",'6 Numaralar'!S19)</f>
        <v/>
      </c>
      <c r="S417" t="str">
        <f>IF('6 Numaralar'!T19="","",'6 Numaralar'!T19)</f>
        <v/>
      </c>
      <c r="T417" s="2" t="str">
        <f>IF('6 Numaralar'!U19="","",'6 Numaralar'!U19)</f>
        <v/>
      </c>
      <c r="U417" t="s">
        <v>930</v>
      </c>
      <c r="V417">
        <v>19</v>
      </c>
      <c r="W417" t="str">
        <f ca="1">IF(AND($A417&lt;&gt;"",ISNUMBER($G417),$G417&gt;=TODAY(),$G417&lt;=EDATE(TODAY(),12)),COUNTIFS($G$2:$G$1001,"&gt;="&amp;TODAY(),$G$2:$G$1001,"&lt;"&amp;$G417,$A$2:$A$1001,"&lt;&gt;")+COUNTIFS($G$2:$G417,$G417,$A$2:$A417,"&lt;&gt;"),"")</f>
        <v/>
      </c>
      <c r="X417" t="str">
        <f>IF(AND($A417&lt;&gt;"",ISNUMBER($C417),$C417&gt;=DATE(2003,1,1)),COUNTIFS($C$2:$C417,"&gt;="&amp;DATE(2003,1,1),$A$2:$A417,"&lt;&gt;"),"")</f>
        <v/>
      </c>
    </row>
    <row r="418" spans="1:24">
      <c r="A418" t="str">
        <f>IF('6 Numaralar'!A20="","",'6 Numaralar'!A20)</f>
        <v/>
      </c>
      <c r="B418" t="str">
        <f>IF('6 Numaralar'!B20="","",'6 Numaralar'!B20)</f>
        <v/>
      </c>
      <c r="C418" s="2" t="str">
        <f>IF('6 Numaralar'!C20="","",'6 Numaralar'!C20)</f>
        <v/>
      </c>
      <c r="D418" t="str">
        <f ca="1">IF('6 Numaralar'!D20="","",'6 Numaralar'!D20)</f>
        <v/>
      </c>
      <c r="E418" t="str">
        <f>IF('6 Numaralar'!E20="","",'6 Numaralar'!E20)</f>
        <v>6 Numara</v>
      </c>
      <c r="F418" t="str">
        <f>IF('6 Numaralar'!G20="","",'6 Numaralar'!G20)</f>
        <v/>
      </c>
      <c r="G418" s="2" t="str">
        <f>IF('6 Numaralar'!H20="","",'6 Numaralar'!H20)</f>
        <v/>
      </c>
      <c r="H418" t="str">
        <f>IF('6 Numaralar'!I20="","",'6 Numaralar'!I20)</f>
        <v/>
      </c>
      <c r="I418" t="str">
        <f>IF('6 Numaralar'!A20="","",'6 Numaralar'!J20)</f>
        <v/>
      </c>
      <c r="J418" t="str">
        <f>IF('6 Numaralar'!A20="","",'6 Numaralar'!K20)</f>
        <v/>
      </c>
      <c r="K418" t="str">
        <f>IF('6 Numaralar'!L20="","",'6 Numaralar'!L20)</f>
        <v/>
      </c>
      <c r="L418" t="str">
        <f>IF('6 Numaralar'!M20="","",'6 Numaralar'!M20)</f>
        <v/>
      </c>
      <c r="M418" t="str">
        <f>IF('6 Numaralar'!N20="","",'6 Numaralar'!N20)</f>
        <v/>
      </c>
      <c r="N418" t="str">
        <f>IF('6 Numaralar'!O20="","",'6 Numaralar'!O20)</f>
        <v/>
      </c>
      <c r="O418" t="str">
        <f>IF('6 Numaralar'!P20="","",'6 Numaralar'!P20)</f>
        <v/>
      </c>
      <c r="P418" t="str">
        <f>IF('6 Numaralar'!Q20="","",'6 Numaralar'!Q20)</f>
        <v/>
      </c>
      <c r="Q418" t="str">
        <f>IF('6 Numaralar'!R20="","",'6 Numaralar'!R20)</f>
        <v/>
      </c>
      <c r="R418" t="str">
        <f>IF('6 Numaralar'!S20="","",'6 Numaralar'!S20)</f>
        <v/>
      </c>
      <c r="S418" t="str">
        <f>IF('6 Numaralar'!T20="","",'6 Numaralar'!T20)</f>
        <v/>
      </c>
      <c r="T418" s="2" t="str">
        <f>IF('6 Numaralar'!U20="","",'6 Numaralar'!U20)</f>
        <v/>
      </c>
      <c r="U418" t="s">
        <v>930</v>
      </c>
      <c r="V418">
        <v>20</v>
      </c>
      <c r="W418" t="str">
        <f ca="1">IF(AND($A418&lt;&gt;"",ISNUMBER($G418),$G418&gt;=TODAY(),$G418&lt;=EDATE(TODAY(),12)),COUNTIFS($G$2:$G$1001,"&gt;="&amp;TODAY(),$G$2:$G$1001,"&lt;"&amp;$G418,$A$2:$A$1001,"&lt;&gt;")+COUNTIFS($G$2:$G418,$G418,$A$2:$A418,"&lt;&gt;"),"")</f>
        <v/>
      </c>
      <c r="X418" t="str">
        <f>IF(AND($A418&lt;&gt;"",ISNUMBER($C418),$C418&gt;=DATE(2003,1,1)),COUNTIFS($C$2:$C418,"&gt;="&amp;DATE(2003,1,1),$A$2:$A418,"&lt;&gt;"),"")</f>
        <v/>
      </c>
    </row>
    <row r="419" spans="1:24">
      <c r="A419" t="str">
        <f>IF('6 Numaralar'!A21="","",'6 Numaralar'!A21)</f>
        <v/>
      </c>
      <c r="B419" t="str">
        <f>IF('6 Numaralar'!B21="","",'6 Numaralar'!B21)</f>
        <v/>
      </c>
      <c r="C419" s="2" t="str">
        <f>IF('6 Numaralar'!C21="","",'6 Numaralar'!C21)</f>
        <v/>
      </c>
      <c r="D419" t="str">
        <f ca="1">IF('6 Numaralar'!D21="","",'6 Numaralar'!D21)</f>
        <v/>
      </c>
      <c r="E419" t="str">
        <f>IF('6 Numaralar'!E21="","",'6 Numaralar'!E21)</f>
        <v>6 Numara</v>
      </c>
      <c r="F419" t="str">
        <f>IF('6 Numaralar'!G21="","",'6 Numaralar'!G21)</f>
        <v/>
      </c>
      <c r="G419" s="2" t="str">
        <f>IF('6 Numaralar'!H21="","",'6 Numaralar'!H21)</f>
        <v/>
      </c>
      <c r="H419" t="str">
        <f>IF('6 Numaralar'!I21="","",'6 Numaralar'!I21)</f>
        <v/>
      </c>
      <c r="I419" t="str">
        <f>IF('6 Numaralar'!A21="","",'6 Numaralar'!J21)</f>
        <v/>
      </c>
      <c r="J419" t="str">
        <f>IF('6 Numaralar'!A21="","",'6 Numaralar'!K21)</f>
        <v/>
      </c>
      <c r="K419" t="str">
        <f>IF('6 Numaralar'!L21="","",'6 Numaralar'!L21)</f>
        <v/>
      </c>
      <c r="L419" t="str">
        <f>IF('6 Numaralar'!M21="","",'6 Numaralar'!M21)</f>
        <v/>
      </c>
      <c r="M419" t="str">
        <f>IF('6 Numaralar'!N21="","",'6 Numaralar'!N21)</f>
        <v/>
      </c>
      <c r="N419" t="str">
        <f>IF('6 Numaralar'!O21="","",'6 Numaralar'!O21)</f>
        <v/>
      </c>
      <c r="O419" t="str">
        <f>IF('6 Numaralar'!P21="","",'6 Numaralar'!P21)</f>
        <v/>
      </c>
      <c r="P419" t="str">
        <f>IF('6 Numaralar'!Q21="","",'6 Numaralar'!Q21)</f>
        <v/>
      </c>
      <c r="Q419" t="str">
        <f>IF('6 Numaralar'!R21="","",'6 Numaralar'!R21)</f>
        <v/>
      </c>
      <c r="R419" t="str">
        <f>IF('6 Numaralar'!S21="","",'6 Numaralar'!S21)</f>
        <v/>
      </c>
      <c r="S419" t="str">
        <f>IF('6 Numaralar'!T21="","",'6 Numaralar'!T21)</f>
        <v/>
      </c>
      <c r="T419" s="2" t="str">
        <f>IF('6 Numaralar'!U21="","",'6 Numaralar'!U21)</f>
        <v/>
      </c>
      <c r="U419" t="s">
        <v>930</v>
      </c>
      <c r="V419">
        <v>21</v>
      </c>
      <c r="W419" t="str">
        <f ca="1">IF(AND($A419&lt;&gt;"",ISNUMBER($G419),$G419&gt;=TODAY(),$G419&lt;=EDATE(TODAY(),12)),COUNTIFS($G$2:$G$1001,"&gt;="&amp;TODAY(),$G$2:$G$1001,"&lt;"&amp;$G419,$A$2:$A$1001,"&lt;&gt;")+COUNTIFS($G$2:$G419,$G419,$A$2:$A419,"&lt;&gt;"),"")</f>
        <v/>
      </c>
      <c r="X419" t="str">
        <f>IF(AND($A419&lt;&gt;"",ISNUMBER($C419),$C419&gt;=DATE(2003,1,1)),COUNTIFS($C$2:$C419,"&gt;="&amp;DATE(2003,1,1),$A$2:$A419,"&lt;&gt;"),"")</f>
        <v/>
      </c>
    </row>
    <row r="420" spans="1:24">
      <c r="A420" t="str">
        <f>IF('6 Numaralar'!A22="","",'6 Numaralar'!A22)</f>
        <v/>
      </c>
      <c r="B420" t="str">
        <f>IF('6 Numaralar'!B22="","",'6 Numaralar'!B22)</f>
        <v/>
      </c>
      <c r="C420" s="2" t="str">
        <f>IF('6 Numaralar'!C22="","",'6 Numaralar'!C22)</f>
        <v/>
      </c>
      <c r="D420" t="str">
        <f ca="1">IF('6 Numaralar'!D22="","",'6 Numaralar'!D22)</f>
        <v/>
      </c>
      <c r="E420" t="str">
        <f>IF('6 Numaralar'!E22="","",'6 Numaralar'!E22)</f>
        <v>6 Numara</v>
      </c>
      <c r="F420" t="str">
        <f>IF('6 Numaralar'!G22="","",'6 Numaralar'!G22)</f>
        <v/>
      </c>
      <c r="G420" s="2" t="str">
        <f>IF('6 Numaralar'!H22="","",'6 Numaralar'!H22)</f>
        <v/>
      </c>
      <c r="H420" t="str">
        <f>IF('6 Numaralar'!I22="","",'6 Numaralar'!I22)</f>
        <v/>
      </c>
      <c r="I420" t="str">
        <f>IF('6 Numaralar'!A22="","",'6 Numaralar'!J22)</f>
        <v/>
      </c>
      <c r="J420" t="str">
        <f>IF('6 Numaralar'!A22="","",'6 Numaralar'!K22)</f>
        <v/>
      </c>
      <c r="K420" t="str">
        <f>IF('6 Numaralar'!L22="","",'6 Numaralar'!L22)</f>
        <v/>
      </c>
      <c r="L420" t="str">
        <f>IF('6 Numaralar'!M22="","",'6 Numaralar'!M22)</f>
        <v/>
      </c>
      <c r="M420" t="str">
        <f>IF('6 Numaralar'!N22="","",'6 Numaralar'!N22)</f>
        <v/>
      </c>
      <c r="N420" t="str">
        <f>IF('6 Numaralar'!O22="","",'6 Numaralar'!O22)</f>
        <v/>
      </c>
      <c r="O420" t="str">
        <f>IF('6 Numaralar'!P22="","",'6 Numaralar'!P22)</f>
        <v/>
      </c>
      <c r="P420" t="str">
        <f>IF('6 Numaralar'!Q22="","",'6 Numaralar'!Q22)</f>
        <v/>
      </c>
      <c r="Q420" t="str">
        <f>IF('6 Numaralar'!R22="","",'6 Numaralar'!R22)</f>
        <v/>
      </c>
      <c r="R420" t="str">
        <f>IF('6 Numaralar'!S22="","",'6 Numaralar'!S22)</f>
        <v/>
      </c>
      <c r="S420" t="str">
        <f>IF('6 Numaralar'!T22="","",'6 Numaralar'!T22)</f>
        <v/>
      </c>
      <c r="T420" s="2" t="str">
        <f>IF('6 Numaralar'!U22="","",'6 Numaralar'!U22)</f>
        <v/>
      </c>
      <c r="U420" t="s">
        <v>930</v>
      </c>
      <c r="V420">
        <v>22</v>
      </c>
      <c r="W420" t="str">
        <f ca="1">IF(AND($A420&lt;&gt;"",ISNUMBER($G420),$G420&gt;=TODAY(),$G420&lt;=EDATE(TODAY(),12)),COUNTIFS($G$2:$G$1001,"&gt;="&amp;TODAY(),$G$2:$G$1001,"&lt;"&amp;$G420,$A$2:$A$1001,"&lt;&gt;")+COUNTIFS($G$2:$G420,$G420,$A$2:$A420,"&lt;&gt;"),"")</f>
        <v/>
      </c>
      <c r="X420" t="str">
        <f>IF(AND($A420&lt;&gt;"",ISNUMBER($C420),$C420&gt;=DATE(2003,1,1)),COUNTIFS($C$2:$C420,"&gt;="&amp;DATE(2003,1,1),$A$2:$A420,"&lt;&gt;"),"")</f>
        <v/>
      </c>
    </row>
    <row r="421" spans="1:24">
      <c r="A421" t="str">
        <f>IF('6 Numaralar'!A23="","",'6 Numaralar'!A23)</f>
        <v/>
      </c>
      <c r="B421" t="str">
        <f>IF('6 Numaralar'!B23="","",'6 Numaralar'!B23)</f>
        <v/>
      </c>
      <c r="C421" s="2" t="str">
        <f>IF('6 Numaralar'!C23="","",'6 Numaralar'!C23)</f>
        <v/>
      </c>
      <c r="D421" t="str">
        <f ca="1">IF('6 Numaralar'!D23="","",'6 Numaralar'!D23)</f>
        <v/>
      </c>
      <c r="E421" t="str">
        <f>IF('6 Numaralar'!E23="","",'6 Numaralar'!E23)</f>
        <v>6 Numara</v>
      </c>
      <c r="F421" t="str">
        <f>IF('6 Numaralar'!G23="","",'6 Numaralar'!G23)</f>
        <v/>
      </c>
      <c r="G421" s="2" t="str">
        <f>IF('6 Numaralar'!H23="","",'6 Numaralar'!H23)</f>
        <v/>
      </c>
      <c r="H421" t="str">
        <f>IF('6 Numaralar'!I23="","",'6 Numaralar'!I23)</f>
        <v/>
      </c>
      <c r="I421" t="str">
        <f>IF('6 Numaralar'!A23="","",'6 Numaralar'!J23)</f>
        <v/>
      </c>
      <c r="J421" t="str">
        <f>IF('6 Numaralar'!A23="","",'6 Numaralar'!K23)</f>
        <v/>
      </c>
      <c r="K421" t="str">
        <f>IF('6 Numaralar'!L23="","",'6 Numaralar'!L23)</f>
        <v/>
      </c>
      <c r="L421" t="str">
        <f>IF('6 Numaralar'!M23="","",'6 Numaralar'!M23)</f>
        <v/>
      </c>
      <c r="M421" t="str">
        <f>IF('6 Numaralar'!N23="","",'6 Numaralar'!N23)</f>
        <v/>
      </c>
      <c r="N421" t="str">
        <f>IF('6 Numaralar'!O23="","",'6 Numaralar'!O23)</f>
        <v/>
      </c>
      <c r="O421" t="str">
        <f>IF('6 Numaralar'!P23="","",'6 Numaralar'!P23)</f>
        <v/>
      </c>
      <c r="P421" t="str">
        <f>IF('6 Numaralar'!Q23="","",'6 Numaralar'!Q23)</f>
        <v/>
      </c>
      <c r="Q421" t="str">
        <f>IF('6 Numaralar'!R23="","",'6 Numaralar'!R23)</f>
        <v/>
      </c>
      <c r="R421" t="str">
        <f>IF('6 Numaralar'!S23="","",'6 Numaralar'!S23)</f>
        <v/>
      </c>
      <c r="S421" t="str">
        <f>IF('6 Numaralar'!T23="","",'6 Numaralar'!T23)</f>
        <v/>
      </c>
      <c r="T421" s="2" t="str">
        <f>IF('6 Numaralar'!U23="","",'6 Numaralar'!U23)</f>
        <v/>
      </c>
      <c r="U421" t="s">
        <v>930</v>
      </c>
      <c r="V421">
        <v>23</v>
      </c>
      <c r="W421" t="str">
        <f ca="1">IF(AND($A421&lt;&gt;"",ISNUMBER($G421),$G421&gt;=TODAY(),$G421&lt;=EDATE(TODAY(),12)),COUNTIFS($G$2:$G$1001,"&gt;="&amp;TODAY(),$G$2:$G$1001,"&lt;"&amp;$G421,$A$2:$A$1001,"&lt;&gt;")+COUNTIFS($G$2:$G421,$G421,$A$2:$A421,"&lt;&gt;"),"")</f>
        <v/>
      </c>
      <c r="X421" t="str">
        <f>IF(AND($A421&lt;&gt;"",ISNUMBER($C421),$C421&gt;=DATE(2003,1,1)),COUNTIFS($C$2:$C421,"&gt;="&amp;DATE(2003,1,1),$A$2:$A421,"&lt;&gt;"),"")</f>
        <v/>
      </c>
    </row>
    <row r="422" spans="1:24">
      <c r="A422" t="str">
        <f>IF('6 Numaralar'!A24="","",'6 Numaralar'!A24)</f>
        <v/>
      </c>
      <c r="B422" t="str">
        <f>IF('6 Numaralar'!B24="","",'6 Numaralar'!B24)</f>
        <v/>
      </c>
      <c r="C422" s="2" t="str">
        <f>IF('6 Numaralar'!C24="","",'6 Numaralar'!C24)</f>
        <v/>
      </c>
      <c r="D422" t="str">
        <f ca="1">IF('6 Numaralar'!D24="","",'6 Numaralar'!D24)</f>
        <v/>
      </c>
      <c r="E422" t="str">
        <f>IF('6 Numaralar'!E24="","",'6 Numaralar'!E24)</f>
        <v>6 Numara</v>
      </c>
      <c r="F422" t="str">
        <f>IF('6 Numaralar'!G24="","",'6 Numaralar'!G24)</f>
        <v/>
      </c>
      <c r="G422" s="2" t="str">
        <f>IF('6 Numaralar'!H24="","",'6 Numaralar'!H24)</f>
        <v/>
      </c>
      <c r="H422" t="str">
        <f>IF('6 Numaralar'!I24="","",'6 Numaralar'!I24)</f>
        <v/>
      </c>
      <c r="I422" t="str">
        <f>IF('6 Numaralar'!A24="","",'6 Numaralar'!J24)</f>
        <v/>
      </c>
      <c r="J422" t="str">
        <f>IF('6 Numaralar'!A24="","",'6 Numaralar'!K24)</f>
        <v/>
      </c>
      <c r="K422" t="str">
        <f>IF('6 Numaralar'!L24="","",'6 Numaralar'!L24)</f>
        <v/>
      </c>
      <c r="L422" t="str">
        <f>IF('6 Numaralar'!M24="","",'6 Numaralar'!M24)</f>
        <v/>
      </c>
      <c r="M422" t="str">
        <f>IF('6 Numaralar'!N24="","",'6 Numaralar'!N24)</f>
        <v/>
      </c>
      <c r="N422" t="str">
        <f>IF('6 Numaralar'!O24="","",'6 Numaralar'!O24)</f>
        <v/>
      </c>
      <c r="O422" t="str">
        <f>IF('6 Numaralar'!P24="","",'6 Numaralar'!P24)</f>
        <v/>
      </c>
      <c r="P422" t="str">
        <f>IF('6 Numaralar'!Q24="","",'6 Numaralar'!Q24)</f>
        <v/>
      </c>
      <c r="Q422" t="str">
        <f>IF('6 Numaralar'!R24="","",'6 Numaralar'!R24)</f>
        <v/>
      </c>
      <c r="R422" t="str">
        <f>IF('6 Numaralar'!S24="","",'6 Numaralar'!S24)</f>
        <v/>
      </c>
      <c r="S422" t="str">
        <f>IF('6 Numaralar'!T24="","",'6 Numaralar'!T24)</f>
        <v/>
      </c>
      <c r="T422" s="2" t="str">
        <f>IF('6 Numaralar'!U24="","",'6 Numaralar'!U24)</f>
        <v/>
      </c>
      <c r="U422" t="s">
        <v>930</v>
      </c>
      <c r="V422">
        <v>24</v>
      </c>
      <c r="W422" t="str">
        <f ca="1">IF(AND($A422&lt;&gt;"",ISNUMBER($G422),$G422&gt;=TODAY(),$G422&lt;=EDATE(TODAY(),12)),COUNTIFS($G$2:$G$1001,"&gt;="&amp;TODAY(),$G$2:$G$1001,"&lt;"&amp;$G422,$A$2:$A$1001,"&lt;&gt;")+COUNTIFS($G$2:$G422,$G422,$A$2:$A422,"&lt;&gt;"),"")</f>
        <v/>
      </c>
      <c r="X422" t="str">
        <f>IF(AND($A422&lt;&gt;"",ISNUMBER($C422),$C422&gt;=DATE(2003,1,1)),COUNTIFS($C$2:$C422,"&gt;="&amp;DATE(2003,1,1),$A$2:$A422,"&lt;&gt;"),"")</f>
        <v/>
      </c>
    </row>
    <row r="423" spans="1:24">
      <c r="A423" t="str">
        <f>IF('6 Numaralar'!A25="","",'6 Numaralar'!A25)</f>
        <v/>
      </c>
      <c r="B423" t="str">
        <f>IF('6 Numaralar'!B25="","",'6 Numaralar'!B25)</f>
        <v/>
      </c>
      <c r="C423" s="2" t="str">
        <f>IF('6 Numaralar'!C25="","",'6 Numaralar'!C25)</f>
        <v/>
      </c>
      <c r="D423" t="str">
        <f ca="1">IF('6 Numaralar'!D25="","",'6 Numaralar'!D25)</f>
        <v/>
      </c>
      <c r="E423" t="str">
        <f>IF('6 Numaralar'!E25="","",'6 Numaralar'!E25)</f>
        <v>6 Numara</v>
      </c>
      <c r="F423" t="str">
        <f>IF('6 Numaralar'!G25="","",'6 Numaralar'!G25)</f>
        <v/>
      </c>
      <c r="G423" s="2" t="str">
        <f>IF('6 Numaralar'!H25="","",'6 Numaralar'!H25)</f>
        <v/>
      </c>
      <c r="H423" t="str">
        <f>IF('6 Numaralar'!I25="","",'6 Numaralar'!I25)</f>
        <v/>
      </c>
      <c r="I423" t="str">
        <f>IF('6 Numaralar'!A25="","",'6 Numaralar'!J25)</f>
        <v/>
      </c>
      <c r="J423" t="str">
        <f>IF('6 Numaralar'!A25="","",'6 Numaralar'!K25)</f>
        <v/>
      </c>
      <c r="K423" t="str">
        <f>IF('6 Numaralar'!L25="","",'6 Numaralar'!L25)</f>
        <v/>
      </c>
      <c r="L423" t="str">
        <f>IF('6 Numaralar'!M25="","",'6 Numaralar'!M25)</f>
        <v/>
      </c>
      <c r="M423" t="str">
        <f>IF('6 Numaralar'!N25="","",'6 Numaralar'!N25)</f>
        <v/>
      </c>
      <c r="N423" t="str">
        <f>IF('6 Numaralar'!O25="","",'6 Numaralar'!O25)</f>
        <v/>
      </c>
      <c r="O423" t="str">
        <f>IF('6 Numaralar'!P25="","",'6 Numaralar'!P25)</f>
        <v/>
      </c>
      <c r="P423" t="str">
        <f>IF('6 Numaralar'!Q25="","",'6 Numaralar'!Q25)</f>
        <v/>
      </c>
      <c r="Q423" t="str">
        <f>IF('6 Numaralar'!R25="","",'6 Numaralar'!R25)</f>
        <v/>
      </c>
      <c r="R423" t="str">
        <f>IF('6 Numaralar'!S25="","",'6 Numaralar'!S25)</f>
        <v/>
      </c>
      <c r="S423" t="str">
        <f>IF('6 Numaralar'!T25="","",'6 Numaralar'!T25)</f>
        <v/>
      </c>
      <c r="T423" s="2" t="str">
        <f>IF('6 Numaralar'!U25="","",'6 Numaralar'!U25)</f>
        <v/>
      </c>
      <c r="U423" t="s">
        <v>930</v>
      </c>
      <c r="V423">
        <v>25</v>
      </c>
      <c r="W423" t="str">
        <f ca="1">IF(AND($A423&lt;&gt;"",ISNUMBER($G423),$G423&gt;=TODAY(),$G423&lt;=EDATE(TODAY(),12)),COUNTIFS($G$2:$G$1001,"&gt;="&amp;TODAY(),$G$2:$G$1001,"&lt;"&amp;$G423,$A$2:$A$1001,"&lt;&gt;")+COUNTIFS($G$2:$G423,$G423,$A$2:$A423,"&lt;&gt;"),"")</f>
        <v/>
      </c>
      <c r="X423" t="str">
        <f>IF(AND($A423&lt;&gt;"",ISNUMBER($C423),$C423&gt;=DATE(2003,1,1)),COUNTIFS($C$2:$C423,"&gt;="&amp;DATE(2003,1,1),$A$2:$A423,"&lt;&gt;"),"")</f>
        <v/>
      </c>
    </row>
    <row r="424" spans="1:24">
      <c r="A424" t="str">
        <f>IF('6 Numaralar'!A26="","",'6 Numaralar'!A26)</f>
        <v/>
      </c>
      <c r="B424" t="str">
        <f>IF('6 Numaralar'!B26="","",'6 Numaralar'!B26)</f>
        <v/>
      </c>
      <c r="C424" s="2" t="str">
        <f>IF('6 Numaralar'!C26="","",'6 Numaralar'!C26)</f>
        <v/>
      </c>
      <c r="D424" t="str">
        <f ca="1">IF('6 Numaralar'!D26="","",'6 Numaralar'!D26)</f>
        <v/>
      </c>
      <c r="E424" t="str">
        <f>IF('6 Numaralar'!E26="","",'6 Numaralar'!E26)</f>
        <v>6 Numara</v>
      </c>
      <c r="F424" t="str">
        <f>IF('6 Numaralar'!G26="","",'6 Numaralar'!G26)</f>
        <v/>
      </c>
      <c r="G424" s="2" t="str">
        <f>IF('6 Numaralar'!H26="","",'6 Numaralar'!H26)</f>
        <v/>
      </c>
      <c r="H424" t="str">
        <f>IF('6 Numaralar'!I26="","",'6 Numaralar'!I26)</f>
        <v/>
      </c>
      <c r="I424" t="str">
        <f>IF('6 Numaralar'!A26="","",'6 Numaralar'!J26)</f>
        <v/>
      </c>
      <c r="J424" t="str">
        <f>IF('6 Numaralar'!A26="","",'6 Numaralar'!K26)</f>
        <v/>
      </c>
      <c r="K424" t="str">
        <f>IF('6 Numaralar'!L26="","",'6 Numaralar'!L26)</f>
        <v/>
      </c>
      <c r="L424" t="str">
        <f>IF('6 Numaralar'!M26="","",'6 Numaralar'!M26)</f>
        <v/>
      </c>
      <c r="M424" t="str">
        <f>IF('6 Numaralar'!N26="","",'6 Numaralar'!N26)</f>
        <v/>
      </c>
      <c r="N424" t="str">
        <f>IF('6 Numaralar'!O26="","",'6 Numaralar'!O26)</f>
        <v/>
      </c>
      <c r="O424" t="str">
        <f>IF('6 Numaralar'!P26="","",'6 Numaralar'!P26)</f>
        <v/>
      </c>
      <c r="P424" t="str">
        <f>IF('6 Numaralar'!Q26="","",'6 Numaralar'!Q26)</f>
        <v/>
      </c>
      <c r="Q424" t="str">
        <f>IF('6 Numaralar'!R26="","",'6 Numaralar'!R26)</f>
        <v/>
      </c>
      <c r="R424" t="str">
        <f>IF('6 Numaralar'!S26="","",'6 Numaralar'!S26)</f>
        <v/>
      </c>
      <c r="S424" t="str">
        <f>IF('6 Numaralar'!T26="","",'6 Numaralar'!T26)</f>
        <v/>
      </c>
      <c r="T424" s="2" t="str">
        <f>IF('6 Numaralar'!U26="","",'6 Numaralar'!U26)</f>
        <v/>
      </c>
      <c r="U424" t="s">
        <v>930</v>
      </c>
      <c r="V424">
        <v>26</v>
      </c>
      <c r="W424" t="str">
        <f ca="1">IF(AND($A424&lt;&gt;"",ISNUMBER($G424),$G424&gt;=TODAY(),$G424&lt;=EDATE(TODAY(),12)),COUNTIFS($G$2:$G$1001,"&gt;="&amp;TODAY(),$G$2:$G$1001,"&lt;"&amp;$G424,$A$2:$A$1001,"&lt;&gt;")+COUNTIFS($G$2:$G424,$G424,$A$2:$A424,"&lt;&gt;"),"")</f>
        <v/>
      </c>
      <c r="X424" t="str">
        <f>IF(AND($A424&lt;&gt;"",ISNUMBER($C424),$C424&gt;=DATE(2003,1,1)),COUNTIFS($C$2:$C424,"&gt;="&amp;DATE(2003,1,1),$A$2:$A424,"&lt;&gt;"),"")</f>
        <v/>
      </c>
    </row>
    <row r="425" spans="1:24">
      <c r="A425" t="str">
        <f>IF('6 Numaralar'!A27="","",'6 Numaralar'!A27)</f>
        <v/>
      </c>
      <c r="B425" t="str">
        <f>IF('6 Numaralar'!B27="","",'6 Numaralar'!B27)</f>
        <v/>
      </c>
      <c r="C425" s="2" t="str">
        <f>IF('6 Numaralar'!C27="","",'6 Numaralar'!C27)</f>
        <v/>
      </c>
      <c r="D425" t="str">
        <f ca="1">IF('6 Numaralar'!D27="","",'6 Numaralar'!D27)</f>
        <v/>
      </c>
      <c r="E425" t="str">
        <f>IF('6 Numaralar'!E27="","",'6 Numaralar'!E27)</f>
        <v>6 Numara</v>
      </c>
      <c r="F425" t="str">
        <f>IF('6 Numaralar'!G27="","",'6 Numaralar'!G27)</f>
        <v/>
      </c>
      <c r="G425" s="2" t="str">
        <f>IF('6 Numaralar'!H27="","",'6 Numaralar'!H27)</f>
        <v/>
      </c>
      <c r="H425" t="str">
        <f>IF('6 Numaralar'!I27="","",'6 Numaralar'!I27)</f>
        <v/>
      </c>
      <c r="I425" t="str">
        <f>IF('6 Numaralar'!A27="","",'6 Numaralar'!J27)</f>
        <v/>
      </c>
      <c r="J425" t="str">
        <f>IF('6 Numaralar'!A27="","",'6 Numaralar'!K27)</f>
        <v/>
      </c>
      <c r="K425" t="str">
        <f>IF('6 Numaralar'!L27="","",'6 Numaralar'!L27)</f>
        <v/>
      </c>
      <c r="L425" t="str">
        <f>IF('6 Numaralar'!M27="","",'6 Numaralar'!M27)</f>
        <v/>
      </c>
      <c r="M425" t="str">
        <f>IF('6 Numaralar'!N27="","",'6 Numaralar'!N27)</f>
        <v/>
      </c>
      <c r="N425" t="str">
        <f>IF('6 Numaralar'!O27="","",'6 Numaralar'!O27)</f>
        <v/>
      </c>
      <c r="O425" t="str">
        <f>IF('6 Numaralar'!P27="","",'6 Numaralar'!P27)</f>
        <v/>
      </c>
      <c r="P425" t="str">
        <f>IF('6 Numaralar'!Q27="","",'6 Numaralar'!Q27)</f>
        <v/>
      </c>
      <c r="Q425" t="str">
        <f>IF('6 Numaralar'!R27="","",'6 Numaralar'!R27)</f>
        <v/>
      </c>
      <c r="R425" t="str">
        <f>IF('6 Numaralar'!S27="","",'6 Numaralar'!S27)</f>
        <v/>
      </c>
      <c r="S425" t="str">
        <f>IF('6 Numaralar'!T27="","",'6 Numaralar'!T27)</f>
        <v/>
      </c>
      <c r="T425" s="2" t="str">
        <f>IF('6 Numaralar'!U27="","",'6 Numaralar'!U27)</f>
        <v/>
      </c>
      <c r="U425" t="s">
        <v>930</v>
      </c>
      <c r="V425">
        <v>27</v>
      </c>
      <c r="W425" t="str">
        <f ca="1">IF(AND($A425&lt;&gt;"",ISNUMBER($G425),$G425&gt;=TODAY(),$G425&lt;=EDATE(TODAY(),12)),COUNTIFS($G$2:$G$1001,"&gt;="&amp;TODAY(),$G$2:$G$1001,"&lt;"&amp;$G425,$A$2:$A$1001,"&lt;&gt;")+COUNTIFS($G$2:$G425,$G425,$A$2:$A425,"&lt;&gt;"),"")</f>
        <v/>
      </c>
      <c r="X425" t="str">
        <f>IF(AND($A425&lt;&gt;"",ISNUMBER($C425),$C425&gt;=DATE(2003,1,1)),COUNTIFS($C$2:$C425,"&gt;="&amp;DATE(2003,1,1),$A$2:$A425,"&lt;&gt;"),"")</f>
        <v/>
      </c>
    </row>
    <row r="426" spans="1:24">
      <c r="A426" t="str">
        <f>IF('6 Numaralar'!A28="","",'6 Numaralar'!A28)</f>
        <v/>
      </c>
      <c r="B426" t="str">
        <f>IF('6 Numaralar'!B28="","",'6 Numaralar'!B28)</f>
        <v/>
      </c>
      <c r="C426" s="2" t="str">
        <f>IF('6 Numaralar'!C28="","",'6 Numaralar'!C28)</f>
        <v/>
      </c>
      <c r="D426" t="str">
        <f ca="1">IF('6 Numaralar'!D28="","",'6 Numaralar'!D28)</f>
        <v/>
      </c>
      <c r="E426" t="str">
        <f>IF('6 Numaralar'!E28="","",'6 Numaralar'!E28)</f>
        <v>6 Numara</v>
      </c>
      <c r="F426" t="str">
        <f>IF('6 Numaralar'!G28="","",'6 Numaralar'!G28)</f>
        <v/>
      </c>
      <c r="G426" s="2" t="str">
        <f>IF('6 Numaralar'!H28="","",'6 Numaralar'!H28)</f>
        <v/>
      </c>
      <c r="H426" t="str">
        <f>IF('6 Numaralar'!I28="","",'6 Numaralar'!I28)</f>
        <v/>
      </c>
      <c r="I426" t="str">
        <f>IF('6 Numaralar'!A28="","",'6 Numaralar'!J28)</f>
        <v/>
      </c>
      <c r="J426" t="str">
        <f>IF('6 Numaralar'!A28="","",'6 Numaralar'!K28)</f>
        <v/>
      </c>
      <c r="K426" t="str">
        <f>IF('6 Numaralar'!L28="","",'6 Numaralar'!L28)</f>
        <v/>
      </c>
      <c r="L426" t="str">
        <f>IF('6 Numaralar'!M28="","",'6 Numaralar'!M28)</f>
        <v/>
      </c>
      <c r="M426" t="str">
        <f>IF('6 Numaralar'!N28="","",'6 Numaralar'!N28)</f>
        <v/>
      </c>
      <c r="N426" t="str">
        <f>IF('6 Numaralar'!O28="","",'6 Numaralar'!O28)</f>
        <v/>
      </c>
      <c r="O426" t="str">
        <f>IF('6 Numaralar'!P28="","",'6 Numaralar'!P28)</f>
        <v/>
      </c>
      <c r="P426" t="str">
        <f>IF('6 Numaralar'!Q28="","",'6 Numaralar'!Q28)</f>
        <v/>
      </c>
      <c r="Q426" t="str">
        <f>IF('6 Numaralar'!R28="","",'6 Numaralar'!R28)</f>
        <v/>
      </c>
      <c r="R426" t="str">
        <f>IF('6 Numaralar'!S28="","",'6 Numaralar'!S28)</f>
        <v/>
      </c>
      <c r="S426" t="str">
        <f>IF('6 Numaralar'!T28="","",'6 Numaralar'!T28)</f>
        <v/>
      </c>
      <c r="T426" s="2" t="str">
        <f>IF('6 Numaralar'!U28="","",'6 Numaralar'!U28)</f>
        <v/>
      </c>
      <c r="U426" t="s">
        <v>930</v>
      </c>
      <c r="V426">
        <v>28</v>
      </c>
      <c r="W426" t="str">
        <f ca="1">IF(AND($A426&lt;&gt;"",ISNUMBER($G426),$G426&gt;=TODAY(),$G426&lt;=EDATE(TODAY(),12)),COUNTIFS($G$2:$G$1001,"&gt;="&amp;TODAY(),$G$2:$G$1001,"&lt;"&amp;$G426,$A$2:$A$1001,"&lt;&gt;")+COUNTIFS($G$2:$G426,$G426,$A$2:$A426,"&lt;&gt;"),"")</f>
        <v/>
      </c>
      <c r="X426" t="str">
        <f>IF(AND($A426&lt;&gt;"",ISNUMBER($C426),$C426&gt;=DATE(2003,1,1)),COUNTIFS($C$2:$C426,"&gt;="&amp;DATE(2003,1,1),$A$2:$A426,"&lt;&gt;"),"")</f>
        <v/>
      </c>
    </row>
    <row r="427" spans="1:24">
      <c r="A427" t="str">
        <f>IF('6 Numaralar'!A29="","",'6 Numaralar'!A29)</f>
        <v/>
      </c>
      <c r="B427" t="str">
        <f>IF('6 Numaralar'!B29="","",'6 Numaralar'!B29)</f>
        <v/>
      </c>
      <c r="C427" s="2" t="str">
        <f>IF('6 Numaralar'!C29="","",'6 Numaralar'!C29)</f>
        <v/>
      </c>
      <c r="D427" t="str">
        <f ca="1">IF('6 Numaralar'!D29="","",'6 Numaralar'!D29)</f>
        <v/>
      </c>
      <c r="E427" t="str">
        <f>IF('6 Numaralar'!E29="","",'6 Numaralar'!E29)</f>
        <v>6 Numara</v>
      </c>
      <c r="F427" t="str">
        <f>IF('6 Numaralar'!G29="","",'6 Numaralar'!G29)</f>
        <v/>
      </c>
      <c r="G427" s="2" t="str">
        <f>IF('6 Numaralar'!H29="","",'6 Numaralar'!H29)</f>
        <v/>
      </c>
      <c r="H427" t="str">
        <f>IF('6 Numaralar'!I29="","",'6 Numaralar'!I29)</f>
        <v/>
      </c>
      <c r="I427" t="str">
        <f>IF('6 Numaralar'!A29="","",'6 Numaralar'!J29)</f>
        <v/>
      </c>
      <c r="J427" t="str">
        <f>IF('6 Numaralar'!A29="","",'6 Numaralar'!K29)</f>
        <v/>
      </c>
      <c r="K427" t="str">
        <f>IF('6 Numaralar'!L29="","",'6 Numaralar'!L29)</f>
        <v/>
      </c>
      <c r="L427" t="str">
        <f>IF('6 Numaralar'!M29="","",'6 Numaralar'!M29)</f>
        <v/>
      </c>
      <c r="M427" t="str">
        <f>IF('6 Numaralar'!N29="","",'6 Numaralar'!N29)</f>
        <v/>
      </c>
      <c r="N427" t="str">
        <f>IF('6 Numaralar'!O29="","",'6 Numaralar'!O29)</f>
        <v/>
      </c>
      <c r="O427" t="str">
        <f>IF('6 Numaralar'!P29="","",'6 Numaralar'!P29)</f>
        <v/>
      </c>
      <c r="P427" t="str">
        <f>IF('6 Numaralar'!Q29="","",'6 Numaralar'!Q29)</f>
        <v/>
      </c>
      <c r="Q427" t="str">
        <f>IF('6 Numaralar'!R29="","",'6 Numaralar'!R29)</f>
        <v/>
      </c>
      <c r="R427" t="str">
        <f>IF('6 Numaralar'!S29="","",'6 Numaralar'!S29)</f>
        <v/>
      </c>
      <c r="S427" t="str">
        <f>IF('6 Numaralar'!T29="","",'6 Numaralar'!T29)</f>
        <v/>
      </c>
      <c r="T427" s="2" t="str">
        <f>IF('6 Numaralar'!U29="","",'6 Numaralar'!U29)</f>
        <v/>
      </c>
      <c r="U427" t="s">
        <v>930</v>
      </c>
      <c r="V427">
        <v>29</v>
      </c>
      <c r="W427" t="str">
        <f ca="1">IF(AND($A427&lt;&gt;"",ISNUMBER($G427),$G427&gt;=TODAY(),$G427&lt;=EDATE(TODAY(),12)),COUNTIFS($G$2:$G$1001,"&gt;="&amp;TODAY(),$G$2:$G$1001,"&lt;"&amp;$G427,$A$2:$A$1001,"&lt;&gt;")+COUNTIFS($G$2:$G427,$G427,$A$2:$A427,"&lt;&gt;"),"")</f>
        <v/>
      </c>
      <c r="X427" t="str">
        <f>IF(AND($A427&lt;&gt;"",ISNUMBER($C427),$C427&gt;=DATE(2003,1,1)),COUNTIFS($C$2:$C427,"&gt;="&amp;DATE(2003,1,1),$A$2:$A427,"&lt;&gt;"),"")</f>
        <v/>
      </c>
    </row>
    <row r="428" spans="1:24">
      <c r="A428" t="str">
        <f>IF('6 Numaralar'!A30="","",'6 Numaralar'!A30)</f>
        <v/>
      </c>
      <c r="B428" t="str">
        <f>IF('6 Numaralar'!B30="","",'6 Numaralar'!B30)</f>
        <v/>
      </c>
      <c r="C428" s="2" t="str">
        <f>IF('6 Numaralar'!C30="","",'6 Numaralar'!C30)</f>
        <v/>
      </c>
      <c r="D428" t="str">
        <f ca="1">IF('6 Numaralar'!D30="","",'6 Numaralar'!D30)</f>
        <v/>
      </c>
      <c r="E428" t="str">
        <f>IF('6 Numaralar'!E30="","",'6 Numaralar'!E30)</f>
        <v>6 Numara</v>
      </c>
      <c r="F428" t="str">
        <f>IF('6 Numaralar'!G30="","",'6 Numaralar'!G30)</f>
        <v/>
      </c>
      <c r="G428" s="2" t="str">
        <f>IF('6 Numaralar'!H30="","",'6 Numaralar'!H30)</f>
        <v/>
      </c>
      <c r="H428" t="str">
        <f>IF('6 Numaralar'!I30="","",'6 Numaralar'!I30)</f>
        <v/>
      </c>
      <c r="I428" t="str">
        <f>IF('6 Numaralar'!A30="","",'6 Numaralar'!J30)</f>
        <v/>
      </c>
      <c r="J428" t="str">
        <f>IF('6 Numaralar'!A30="","",'6 Numaralar'!K30)</f>
        <v/>
      </c>
      <c r="K428" t="str">
        <f>IF('6 Numaralar'!L30="","",'6 Numaralar'!L30)</f>
        <v/>
      </c>
      <c r="L428" t="str">
        <f>IF('6 Numaralar'!M30="","",'6 Numaralar'!M30)</f>
        <v/>
      </c>
      <c r="M428" t="str">
        <f>IF('6 Numaralar'!N30="","",'6 Numaralar'!N30)</f>
        <v/>
      </c>
      <c r="N428" t="str">
        <f>IF('6 Numaralar'!O30="","",'6 Numaralar'!O30)</f>
        <v/>
      </c>
      <c r="O428" t="str">
        <f>IF('6 Numaralar'!P30="","",'6 Numaralar'!P30)</f>
        <v/>
      </c>
      <c r="P428" t="str">
        <f>IF('6 Numaralar'!Q30="","",'6 Numaralar'!Q30)</f>
        <v/>
      </c>
      <c r="Q428" t="str">
        <f>IF('6 Numaralar'!R30="","",'6 Numaralar'!R30)</f>
        <v/>
      </c>
      <c r="R428" t="str">
        <f>IF('6 Numaralar'!S30="","",'6 Numaralar'!S30)</f>
        <v/>
      </c>
      <c r="S428" t="str">
        <f>IF('6 Numaralar'!T30="","",'6 Numaralar'!T30)</f>
        <v/>
      </c>
      <c r="T428" s="2" t="str">
        <f>IF('6 Numaralar'!U30="","",'6 Numaralar'!U30)</f>
        <v/>
      </c>
      <c r="U428" t="s">
        <v>930</v>
      </c>
      <c r="V428">
        <v>30</v>
      </c>
      <c r="W428" t="str">
        <f ca="1">IF(AND($A428&lt;&gt;"",ISNUMBER($G428),$G428&gt;=TODAY(),$G428&lt;=EDATE(TODAY(),12)),COUNTIFS($G$2:$G$1001,"&gt;="&amp;TODAY(),$G$2:$G$1001,"&lt;"&amp;$G428,$A$2:$A$1001,"&lt;&gt;")+COUNTIFS($G$2:$G428,$G428,$A$2:$A428,"&lt;&gt;"),"")</f>
        <v/>
      </c>
      <c r="X428" t="str">
        <f>IF(AND($A428&lt;&gt;"",ISNUMBER($C428),$C428&gt;=DATE(2003,1,1)),COUNTIFS($C$2:$C428,"&gt;="&amp;DATE(2003,1,1),$A$2:$A428,"&lt;&gt;"),"")</f>
        <v/>
      </c>
    </row>
    <row r="429" spans="1:24">
      <c r="A429" t="str">
        <f>IF('6 Numaralar'!A31="","",'6 Numaralar'!A31)</f>
        <v/>
      </c>
      <c r="B429" t="str">
        <f>IF('6 Numaralar'!B31="","",'6 Numaralar'!B31)</f>
        <v/>
      </c>
      <c r="C429" s="2" t="str">
        <f>IF('6 Numaralar'!C31="","",'6 Numaralar'!C31)</f>
        <v/>
      </c>
      <c r="D429" t="str">
        <f ca="1">IF('6 Numaralar'!D31="","",'6 Numaralar'!D31)</f>
        <v/>
      </c>
      <c r="E429" t="str">
        <f>IF('6 Numaralar'!E31="","",'6 Numaralar'!E31)</f>
        <v>6 Numara</v>
      </c>
      <c r="F429" t="str">
        <f>IF('6 Numaralar'!G31="","",'6 Numaralar'!G31)</f>
        <v/>
      </c>
      <c r="G429" s="2" t="str">
        <f>IF('6 Numaralar'!H31="","",'6 Numaralar'!H31)</f>
        <v/>
      </c>
      <c r="H429" t="str">
        <f>IF('6 Numaralar'!I31="","",'6 Numaralar'!I31)</f>
        <v/>
      </c>
      <c r="I429" t="str">
        <f>IF('6 Numaralar'!A31="","",'6 Numaralar'!J31)</f>
        <v/>
      </c>
      <c r="J429" t="str">
        <f>IF('6 Numaralar'!A31="","",'6 Numaralar'!K31)</f>
        <v/>
      </c>
      <c r="K429" t="str">
        <f>IF('6 Numaralar'!L31="","",'6 Numaralar'!L31)</f>
        <v/>
      </c>
      <c r="L429" t="str">
        <f>IF('6 Numaralar'!M31="","",'6 Numaralar'!M31)</f>
        <v/>
      </c>
      <c r="M429" t="str">
        <f>IF('6 Numaralar'!N31="","",'6 Numaralar'!N31)</f>
        <v/>
      </c>
      <c r="N429" t="str">
        <f>IF('6 Numaralar'!O31="","",'6 Numaralar'!O31)</f>
        <v/>
      </c>
      <c r="O429" t="str">
        <f>IF('6 Numaralar'!P31="","",'6 Numaralar'!P31)</f>
        <v/>
      </c>
      <c r="P429" t="str">
        <f>IF('6 Numaralar'!Q31="","",'6 Numaralar'!Q31)</f>
        <v/>
      </c>
      <c r="Q429" t="str">
        <f>IF('6 Numaralar'!R31="","",'6 Numaralar'!R31)</f>
        <v/>
      </c>
      <c r="R429" t="str">
        <f>IF('6 Numaralar'!S31="","",'6 Numaralar'!S31)</f>
        <v/>
      </c>
      <c r="S429" t="str">
        <f>IF('6 Numaralar'!T31="","",'6 Numaralar'!T31)</f>
        <v/>
      </c>
      <c r="T429" s="2" t="str">
        <f>IF('6 Numaralar'!U31="","",'6 Numaralar'!U31)</f>
        <v/>
      </c>
      <c r="U429" t="s">
        <v>930</v>
      </c>
      <c r="V429">
        <v>31</v>
      </c>
      <c r="W429" t="str">
        <f ca="1">IF(AND($A429&lt;&gt;"",ISNUMBER($G429),$G429&gt;=TODAY(),$G429&lt;=EDATE(TODAY(),12)),COUNTIFS($G$2:$G$1001,"&gt;="&amp;TODAY(),$G$2:$G$1001,"&lt;"&amp;$G429,$A$2:$A$1001,"&lt;&gt;")+COUNTIFS($G$2:$G429,$G429,$A$2:$A429,"&lt;&gt;"),"")</f>
        <v/>
      </c>
      <c r="X429" t="str">
        <f>IF(AND($A429&lt;&gt;"",ISNUMBER($C429),$C429&gt;=DATE(2003,1,1)),COUNTIFS($C$2:$C429,"&gt;="&amp;DATE(2003,1,1),$A$2:$A429,"&lt;&gt;"),"")</f>
        <v/>
      </c>
    </row>
    <row r="430" spans="1:24">
      <c r="A430" t="str">
        <f>IF('6 Numaralar'!A32="","",'6 Numaralar'!A32)</f>
        <v/>
      </c>
      <c r="B430" t="str">
        <f>IF('6 Numaralar'!B32="","",'6 Numaralar'!B32)</f>
        <v/>
      </c>
      <c r="C430" s="2" t="str">
        <f>IF('6 Numaralar'!C32="","",'6 Numaralar'!C32)</f>
        <v/>
      </c>
      <c r="D430" t="str">
        <f ca="1">IF('6 Numaralar'!D32="","",'6 Numaralar'!D32)</f>
        <v/>
      </c>
      <c r="E430" t="str">
        <f>IF('6 Numaralar'!E32="","",'6 Numaralar'!E32)</f>
        <v>6 Numara</v>
      </c>
      <c r="F430" t="str">
        <f>IF('6 Numaralar'!G32="","",'6 Numaralar'!G32)</f>
        <v/>
      </c>
      <c r="G430" s="2" t="str">
        <f>IF('6 Numaralar'!H32="","",'6 Numaralar'!H32)</f>
        <v/>
      </c>
      <c r="H430" t="str">
        <f>IF('6 Numaralar'!I32="","",'6 Numaralar'!I32)</f>
        <v/>
      </c>
      <c r="I430" t="str">
        <f>IF('6 Numaralar'!A32="","",'6 Numaralar'!J32)</f>
        <v/>
      </c>
      <c r="J430" t="str">
        <f>IF('6 Numaralar'!A32="","",'6 Numaralar'!K32)</f>
        <v/>
      </c>
      <c r="K430" t="str">
        <f>IF('6 Numaralar'!L32="","",'6 Numaralar'!L32)</f>
        <v/>
      </c>
      <c r="L430" t="str">
        <f>IF('6 Numaralar'!M32="","",'6 Numaralar'!M32)</f>
        <v/>
      </c>
      <c r="M430" t="str">
        <f>IF('6 Numaralar'!N32="","",'6 Numaralar'!N32)</f>
        <v/>
      </c>
      <c r="N430" t="str">
        <f>IF('6 Numaralar'!O32="","",'6 Numaralar'!O32)</f>
        <v/>
      </c>
      <c r="O430" t="str">
        <f>IF('6 Numaralar'!P32="","",'6 Numaralar'!P32)</f>
        <v/>
      </c>
      <c r="P430" t="str">
        <f>IF('6 Numaralar'!Q32="","",'6 Numaralar'!Q32)</f>
        <v/>
      </c>
      <c r="Q430" t="str">
        <f>IF('6 Numaralar'!R32="","",'6 Numaralar'!R32)</f>
        <v/>
      </c>
      <c r="R430" t="str">
        <f>IF('6 Numaralar'!S32="","",'6 Numaralar'!S32)</f>
        <v/>
      </c>
      <c r="S430" t="str">
        <f>IF('6 Numaralar'!T32="","",'6 Numaralar'!T32)</f>
        <v/>
      </c>
      <c r="T430" s="2" t="str">
        <f>IF('6 Numaralar'!U32="","",'6 Numaralar'!U32)</f>
        <v/>
      </c>
      <c r="U430" t="s">
        <v>930</v>
      </c>
      <c r="V430">
        <v>32</v>
      </c>
      <c r="W430" t="str">
        <f ca="1">IF(AND($A430&lt;&gt;"",ISNUMBER($G430),$G430&gt;=TODAY(),$G430&lt;=EDATE(TODAY(),12)),COUNTIFS($G$2:$G$1001,"&gt;="&amp;TODAY(),$G$2:$G$1001,"&lt;"&amp;$G430,$A$2:$A$1001,"&lt;&gt;")+COUNTIFS($G$2:$G430,$G430,$A$2:$A430,"&lt;&gt;"),"")</f>
        <v/>
      </c>
      <c r="X430" t="str">
        <f>IF(AND($A430&lt;&gt;"",ISNUMBER($C430),$C430&gt;=DATE(2003,1,1)),COUNTIFS($C$2:$C430,"&gt;="&amp;DATE(2003,1,1),$A$2:$A430,"&lt;&gt;"),"")</f>
        <v/>
      </c>
    </row>
    <row r="431" spans="1:24">
      <c r="A431" t="str">
        <f>IF('6 Numaralar'!A33="","",'6 Numaralar'!A33)</f>
        <v/>
      </c>
      <c r="B431" t="str">
        <f>IF('6 Numaralar'!B33="","",'6 Numaralar'!B33)</f>
        <v/>
      </c>
      <c r="C431" s="2" t="str">
        <f>IF('6 Numaralar'!C33="","",'6 Numaralar'!C33)</f>
        <v/>
      </c>
      <c r="D431" t="str">
        <f ca="1">IF('6 Numaralar'!D33="","",'6 Numaralar'!D33)</f>
        <v/>
      </c>
      <c r="E431" t="str">
        <f>IF('6 Numaralar'!E33="","",'6 Numaralar'!E33)</f>
        <v>6 Numara</v>
      </c>
      <c r="F431" t="str">
        <f>IF('6 Numaralar'!G33="","",'6 Numaralar'!G33)</f>
        <v/>
      </c>
      <c r="G431" s="2" t="str">
        <f>IF('6 Numaralar'!H33="","",'6 Numaralar'!H33)</f>
        <v/>
      </c>
      <c r="H431" t="str">
        <f>IF('6 Numaralar'!I33="","",'6 Numaralar'!I33)</f>
        <v/>
      </c>
      <c r="I431" t="str">
        <f>IF('6 Numaralar'!A33="","",'6 Numaralar'!J33)</f>
        <v/>
      </c>
      <c r="J431" t="str">
        <f>IF('6 Numaralar'!A33="","",'6 Numaralar'!K33)</f>
        <v/>
      </c>
      <c r="K431" t="str">
        <f>IF('6 Numaralar'!L33="","",'6 Numaralar'!L33)</f>
        <v/>
      </c>
      <c r="L431" t="str">
        <f>IF('6 Numaralar'!M33="","",'6 Numaralar'!M33)</f>
        <v/>
      </c>
      <c r="M431" t="str">
        <f>IF('6 Numaralar'!N33="","",'6 Numaralar'!N33)</f>
        <v/>
      </c>
      <c r="N431" t="str">
        <f>IF('6 Numaralar'!O33="","",'6 Numaralar'!O33)</f>
        <v/>
      </c>
      <c r="O431" t="str">
        <f>IF('6 Numaralar'!P33="","",'6 Numaralar'!P33)</f>
        <v/>
      </c>
      <c r="P431" t="str">
        <f>IF('6 Numaralar'!Q33="","",'6 Numaralar'!Q33)</f>
        <v/>
      </c>
      <c r="Q431" t="str">
        <f>IF('6 Numaralar'!R33="","",'6 Numaralar'!R33)</f>
        <v/>
      </c>
      <c r="R431" t="str">
        <f>IF('6 Numaralar'!S33="","",'6 Numaralar'!S33)</f>
        <v/>
      </c>
      <c r="S431" t="str">
        <f>IF('6 Numaralar'!T33="","",'6 Numaralar'!T33)</f>
        <v/>
      </c>
      <c r="T431" s="2" t="str">
        <f>IF('6 Numaralar'!U33="","",'6 Numaralar'!U33)</f>
        <v/>
      </c>
      <c r="U431" t="s">
        <v>930</v>
      </c>
      <c r="V431">
        <v>33</v>
      </c>
      <c r="W431" t="str">
        <f ca="1">IF(AND($A431&lt;&gt;"",ISNUMBER($G431),$G431&gt;=TODAY(),$G431&lt;=EDATE(TODAY(),12)),COUNTIFS($G$2:$G$1001,"&gt;="&amp;TODAY(),$G$2:$G$1001,"&lt;"&amp;$G431,$A$2:$A$1001,"&lt;&gt;")+COUNTIFS($G$2:$G431,$G431,$A$2:$A431,"&lt;&gt;"),"")</f>
        <v/>
      </c>
      <c r="X431" t="str">
        <f>IF(AND($A431&lt;&gt;"",ISNUMBER($C431),$C431&gt;=DATE(2003,1,1)),COUNTIFS($C$2:$C431,"&gt;="&amp;DATE(2003,1,1),$A$2:$A431,"&lt;&gt;"),"")</f>
        <v/>
      </c>
    </row>
    <row r="432" spans="1:24">
      <c r="A432" t="str">
        <f>IF('6 Numaralar'!A34="","",'6 Numaralar'!A34)</f>
        <v/>
      </c>
      <c r="B432" t="str">
        <f>IF('6 Numaralar'!B34="","",'6 Numaralar'!B34)</f>
        <v/>
      </c>
      <c r="C432" s="2" t="str">
        <f>IF('6 Numaralar'!C34="","",'6 Numaralar'!C34)</f>
        <v/>
      </c>
      <c r="D432" t="str">
        <f ca="1">IF('6 Numaralar'!D34="","",'6 Numaralar'!D34)</f>
        <v/>
      </c>
      <c r="E432" t="str">
        <f>IF('6 Numaralar'!E34="","",'6 Numaralar'!E34)</f>
        <v>6 Numara</v>
      </c>
      <c r="F432" t="str">
        <f>IF('6 Numaralar'!G34="","",'6 Numaralar'!G34)</f>
        <v/>
      </c>
      <c r="G432" s="2" t="str">
        <f>IF('6 Numaralar'!H34="","",'6 Numaralar'!H34)</f>
        <v/>
      </c>
      <c r="H432" t="str">
        <f>IF('6 Numaralar'!I34="","",'6 Numaralar'!I34)</f>
        <v/>
      </c>
      <c r="I432" t="str">
        <f>IF('6 Numaralar'!A34="","",'6 Numaralar'!J34)</f>
        <v/>
      </c>
      <c r="J432" t="str">
        <f>IF('6 Numaralar'!A34="","",'6 Numaralar'!K34)</f>
        <v/>
      </c>
      <c r="K432" t="str">
        <f>IF('6 Numaralar'!L34="","",'6 Numaralar'!L34)</f>
        <v/>
      </c>
      <c r="L432" t="str">
        <f>IF('6 Numaralar'!M34="","",'6 Numaralar'!M34)</f>
        <v/>
      </c>
      <c r="M432" t="str">
        <f>IF('6 Numaralar'!N34="","",'6 Numaralar'!N34)</f>
        <v/>
      </c>
      <c r="N432" t="str">
        <f>IF('6 Numaralar'!O34="","",'6 Numaralar'!O34)</f>
        <v/>
      </c>
      <c r="O432" t="str">
        <f>IF('6 Numaralar'!P34="","",'6 Numaralar'!P34)</f>
        <v/>
      </c>
      <c r="P432" t="str">
        <f>IF('6 Numaralar'!Q34="","",'6 Numaralar'!Q34)</f>
        <v/>
      </c>
      <c r="Q432" t="str">
        <f>IF('6 Numaralar'!R34="","",'6 Numaralar'!R34)</f>
        <v/>
      </c>
      <c r="R432" t="str">
        <f>IF('6 Numaralar'!S34="","",'6 Numaralar'!S34)</f>
        <v/>
      </c>
      <c r="S432" t="str">
        <f>IF('6 Numaralar'!T34="","",'6 Numaralar'!T34)</f>
        <v/>
      </c>
      <c r="T432" s="2" t="str">
        <f>IF('6 Numaralar'!U34="","",'6 Numaralar'!U34)</f>
        <v/>
      </c>
      <c r="U432" t="s">
        <v>930</v>
      </c>
      <c r="V432">
        <v>34</v>
      </c>
      <c r="W432" t="str">
        <f ca="1">IF(AND($A432&lt;&gt;"",ISNUMBER($G432),$G432&gt;=TODAY(),$G432&lt;=EDATE(TODAY(),12)),COUNTIFS($G$2:$G$1001,"&gt;="&amp;TODAY(),$G$2:$G$1001,"&lt;"&amp;$G432,$A$2:$A$1001,"&lt;&gt;")+COUNTIFS($G$2:$G432,$G432,$A$2:$A432,"&lt;&gt;"),"")</f>
        <v/>
      </c>
      <c r="X432" t="str">
        <f>IF(AND($A432&lt;&gt;"",ISNUMBER($C432),$C432&gt;=DATE(2003,1,1)),COUNTIFS($C$2:$C432,"&gt;="&amp;DATE(2003,1,1),$A$2:$A432,"&lt;&gt;"),"")</f>
        <v/>
      </c>
    </row>
    <row r="433" spans="1:24">
      <c r="A433" t="str">
        <f>IF('6 Numaralar'!A35="","",'6 Numaralar'!A35)</f>
        <v/>
      </c>
      <c r="B433" t="str">
        <f>IF('6 Numaralar'!B35="","",'6 Numaralar'!B35)</f>
        <v/>
      </c>
      <c r="C433" s="2" t="str">
        <f>IF('6 Numaralar'!C35="","",'6 Numaralar'!C35)</f>
        <v/>
      </c>
      <c r="D433" t="str">
        <f ca="1">IF('6 Numaralar'!D35="","",'6 Numaralar'!D35)</f>
        <v/>
      </c>
      <c r="E433" t="str">
        <f>IF('6 Numaralar'!E35="","",'6 Numaralar'!E35)</f>
        <v>6 Numara</v>
      </c>
      <c r="F433" t="str">
        <f>IF('6 Numaralar'!G35="","",'6 Numaralar'!G35)</f>
        <v/>
      </c>
      <c r="G433" s="2" t="str">
        <f>IF('6 Numaralar'!H35="","",'6 Numaralar'!H35)</f>
        <v/>
      </c>
      <c r="H433" t="str">
        <f>IF('6 Numaralar'!I35="","",'6 Numaralar'!I35)</f>
        <v/>
      </c>
      <c r="I433" t="str">
        <f>IF('6 Numaralar'!A35="","",'6 Numaralar'!J35)</f>
        <v/>
      </c>
      <c r="J433" t="str">
        <f>IF('6 Numaralar'!A35="","",'6 Numaralar'!K35)</f>
        <v/>
      </c>
      <c r="K433" t="str">
        <f>IF('6 Numaralar'!L35="","",'6 Numaralar'!L35)</f>
        <v/>
      </c>
      <c r="L433" t="str">
        <f>IF('6 Numaralar'!M35="","",'6 Numaralar'!M35)</f>
        <v/>
      </c>
      <c r="M433" t="str">
        <f>IF('6 Numaralar'!N35="","",'6 Numaralar'!N35)</f>
        <v/>
      </c>
      <c r="N433" t="str">
        <f>IF('6 Numaralar'!O35="","",'6 Numaralar'!O35)</f>
        <v/>
      </c>
      <c r="O433" t="str">
        <f>IF('6 Numaralar'!P35="","",'6 Numaralar'!P35)</f>
        <v/>
      </c>
      <c r="P433" t="str">
        <f>IF('6 Numaralar'!Q35="","",'6 Numaralar'!Q35)</f>
        <v/>
      </c>
      <c r="Q433" t="str">
        <f>IF('6 Numaralar'!R35="","",'6 Numaralar'!R35)</f>
        <v/>
      </c>
      <c r="R433" t="str">
        <f>IF('6 Numaralar'!S35="","",'6 Numaralar'!S35)</f>
        <v/>
      </c>
      <c r="S433" t="str">
        <f>IF('6 Numaralar'!T35="","",'6 Numaralar'!T35)</f>
        <v/>
      </c>
      <c r="T433" s="2" t="str">
        <f>IF('6 Numaralar'!U35="","",'6 Numaralar'!U35)</f>
        <v/>
      </c>
      <c r="U433" t="s">
        <v>930</v>
      </c>
      <c r="V433">
        <v>35</v>
      </c>
      <c r="W433" t="str">
        <f ca="1">IF(AND($A433&lt;&gt;"",ISNUMBER($G433),$G433&gt;=TODAY(),$G433&lt;=EDATE(TODAY(),12)),COUNTIFS($G$2:$G$1001,"&gt;="&amp;TODAY(),$G$2:$G$1001,"&lt;"&amp;$G433,$A$2:$A$1001,"&lt;&gt;")+COUNTIFS($G$2:$G433,$G433,$A$2:$A433,"&lt;&gt;"),"")</f>
        <v/>
      </c>
      <c r="X433" t="str">
        <f>IF(AND($A433&lt;&gt;"",ISNUMBER($C433),$C433&gt;=DATE(2003,1,1)),COUNTIFS($C$2:$C433,"&gt;="&amp;DATE(2003,1,1),$A$2:$A433,"&lt;&gt;"),"")</f>
        <v/>
      </c>
    </row>
    <row r="434" spans="1:24">
      <c r="A434" t="str">
        <f>IF('6 Numaralar'!A36="","",'6 Numaralar'!A36)</f>
        <v/>
      </c>
      <c r="B434" t="str">
        <f>IF('6 Numaralar'!B36="","",'6 Numaralar'!B36)</f>
        <v/>
      </c>
      <c r="C434" s="2" t="str">
        <f>IF('6 Numaralar'!C36="","",'6 Numaralar'!C36)</f>
        <v/>
      </c>
      <c r="D434" t="str">
        <f ca="1">IF('6 Numaralar'!D36="","",'6 Numaralar'!D36)</f>
        <v/>
      </c>
      <c r="E434" t="str">
        <f>IF('6 Numaralar'!E36="","",'6 Numaralar'!E36)</f>
        <v>6 Numara</v>
      </c>
      <c r="F434" t="str">
        <f>IF('6 Numaralar'!G36="","",'6 Numaralar'!G36)</f>
        <v/>
      </c>
      <c r="G434" s="2" t="str">
        <f>IF('6 Numaralar'!H36="","",'6 Numaralar'!H36)</f>
        <v/>
      </c>
      <c r="H434" t="str">
        <f>IF('6 Numaralar'!I36="","",'6 Numaralar'!I36)</f>
        <v/>
      </c>
      <c r="I434" t="str">
        <f>IF('6 Numaralar'!A36="","",'6 Numaralar'!J36)</f>
        <v/>
      </c>
      <c r="J434" t="str">
        <f>IF('6 Numaralar'!A36="","",'6 Numaralar'!K36)</f>
        <v/>
      </c>
      <c r="K434" t="str">
        <f>IF('6 Numaralar'!L36="","",'6 Numaralar'!L36)</f>
        <v/>
      </c>
      <c r="L434" t="str">
        <f>IF('6 Numaralar'!M36="","",'6 Numaralar'!M36)</f>
        <v/>
      </c>
      <c r="M434" t="str">
        <f>IF('6 Numaralar'!N36="","",'6 Numaralar'!N36)</f>
        <v/>
      </c>
      <c r="N434" t="str">
        <f>IF('6 Numaralar'!O36="","",'6 Numaralar'!O36)</f>
        <v/>
      </c>
      <c r="O434" t="str">
        <f>IF('6 Numaralar'!P36="","",'6 Numaralar'!P36)</f>
        <v/>
      </c>
      <c r="P434" t="str">
        <f>IF('6 Numaralar'!Q36="","",'6 Numaralar'!Q36)</f>
        <v/>
      </c>
      <c r="Q434" t="str">
        <f>IF('6 Numaralar'!R36="","",'6 Numaralar'!R36)</f>
        <v/>
      </c>
      <c r="R434" t="str">
        <f>IF('6 Numaralar'!S36="","",'6 Numaralar'!S36)</f>
        <v/>
      </c>
      <c r="S434" t="str">
        <f>IF('6 Numaralar'!T36="","",'6 Numaralar'!T36)</f>
        <v/>
      </c>
      <c r="T434" s="2" t="str">
        <f>IF('6 Numaralar'!U36="","",'6 Numaralar'!U36)</f>
        <v/>
      </c>
      <c r="U434" t="s">
        <v>930</v>
      </c>
      <c r="V434">
        <v>36</v>
      </c>
      <c r="W434" t="str">
        <f ca="1">IF(AND($A434&lt;&gt;"",ISNUMBER($G434),$G434&gt;=TODAY(),$G434&lt;=EDATE(TODAY(),12)),COUNTIFS($G$2:$G$1001,"&gt;="&amp;TODAY(),$G$2:$G$1001,"&lt;"&amp;$G434,$A$2:$A$1001,"&lt;&gt;")+COUNTIFS($G$2:$G434,$G434,$A$2:$A434,"&lt;&gt;"),"")</f>
        <v/>
      </c>
      <c r="X434" t="str">
        <f>IF(AND($A434&lt;&gt;"",ISNUMBER($C434),$C434&gt;=DATE(2003,1,1)),COUNTIFS($C$2:$C434,"&gt;="&amp;DATE(2003,1,1),$A$2:$A434,"&lt;&gt;"),"")</f>
        <v/>
      </c>
    </row>
    <row r="435" spans="1:24">
      <c r="A435" t="str">
        <f>IF('6 Numaralar'!A37="","",'6 Numaralar'!A37)</f>
        <v/>
      </c>
      <c r="B435" t="str">
        <f>IF('6 Numaralar'!B37="","",'6 Numaralar'!B37)</f>
        <v/>
      </c>
      <c r="C435" s="2" t="str">
        <f>IF('6 Numaralar'!C37="","",'6 Numaralar'!C37)</f>
        <v/>
      </c>
      <c r="D435" t="str">
        <f ca="1">IF('6 Numaralar'!D37="","",'6 Numaralar'!D37)</f>
        <v/>
      </c>
      <c r="E435" t="str">
        <f>IF('6 Numaralar'!E37="","",'6 Numaralar'!E37)</f>
        <v>6 Numara</v>
      </c>
      <c r="F435" t="str">
        <f>IF('6 Numaralar'!G37="","",'6 Numaralar'!G37)</f>
        <v/>
      </c>
      <c r="G435" s="2" t="str">
        <f>IF('6 Numaralar'!H37="","",'6 Numaralar'!H37)</f>
        <v/>
      </c>
      <c r="H435" t="str">
        <f>IF('6 Numaralar'!I37="","",'6 Numaralar'!I37)</f>
        <v/>
      </c>
      <c r="I435" t="str">
        <f>IF('6 Numaralar'!A37="","",'6 Numaralar'!J37)</f>
        <v/>
      </c>
      <c r="J435" t="str">
        <f>IF('6 Numaralar'!A37="","",'6 Numaralar'!K37)</f>
        <v/>
      </c>
      <c r="K435" t="str">
        <f>IF('6 Numaralar'!L37="","",'6 Numaralar'!L37)</f>
        <v/>
      </c>
      <c r="L435" t="str">
        <f>IF('6 Numaralar'!M37="","",'6 Numaralar'!M37)</f>
        <v/>
      </c>
      <c r="M435" t="str">
        <f>IF('6 Numaralar'!N37="","",'6 Numaralar'!N37)</f>
        <v/>
      </c>
      <c r="N435" t="str">
        <f>IF('6 Numaralar'!O37="","",'6 Numaralar'!O37)</f>
        <v/>
      </c>
      <c r="O435" t="str">
        <f>IF('6 Numaralar'!P37="","",'6 Numaralar'!P37)</f>
        <v/>
      </c>
      <c r="P435" t="str">
        <f>IF('6 Numaralar'!Q37="","",'6 Numaralar'!Q37)</f>
        <v/>
      </c>
      <c r="Q435" t="str">
        <f>IF('6 Numaralar'!R37="","",'6 Numaralar'!R37)</f>
        <v/>
      </c>
      <c r="R435" t="str">
        <f>IF('6 Numaralar'!S37="","",'6 Numaralar'!S37)</f>
        <v/>
      </c>
      <c r="S435" t="str">
        <f>IF('6 Numaralar'!T37="","",'6 Numaralar'!T37)</f>
        <v/>
      </c>
      <c r="T435" s="2" t="str">
        <f>IF('6 Numaralar'!U37="","",'6 Numaralar'!U37)</f>
        <v/>
      </c>
      <c r="U435" t="s">
        <v>930</v>
      </c>
      <c r="V435">
        <v>37</v>
      </c>
      <c r="W435" t="str">
        <f ca="1">IF(AND($A435&lt;&gt;"",ISNUMBER($G435),$G435&gt;=TODAY(),$G435&lt;=EDATE(TODAY(),12)),COUNTIFS($G$2:$G$1001,"&gt;="&amp;TODAY(),$G$2:$G$1001,"&lt;"&amp;$G435,$A$2:$A$1001,"&lt;&gt;")+COUNTIFS($G$2:$G435,$G435,$A$2:$A435,"&lt;&gt;"),"")</f>
        <v/>
      </c>
      <c r="X435" t="str">
        <f>IF(AND($A435&lt;&gt;"",ISNUMBER($C435),$C435&gt;=DATE(2003,1,1)),COUNTIFS($C$2:$C435,"&gt;="&amp;DATE(2003,1,1),$A$2:$A435,"&lt;&gt;"),"")</f>
        <v/>
      </c>
    </row>
    <row r="436" spans="1:24">
      <c r="A436" t="str">
        <f>IF('6 Numaralar'!A38="","",'6 Numaralar'!A38)</f>
        <v/>
      </c>
      <c r="B436" t="str">
        <f>IF('6 Numaralar'!B38="","",'6 Numaralar'!B38)</f>
        <v/>
      </c>
      <c r="C436" s="2" t="str">
        <f>IF('6 Numaralar'!C38="","",'6 Numaralar'!C38)</f>
        <v/>
      </c>
      <c r="D436" t="str">
        <f ca="1">IF('6 Numaralar'!D38="","",'6 Numaralar'!D38)</f>
        <v/>
      </c>
      <c r="E436" t="str">
        <f>IF('6 Numaralar'!E38="","",'6 Numaralar'!E38)</f>
        <v>6 Numara</v>
      </c>
      <c r="F436" t="str">
        <f>IF('6 Numaralar'!G38="","",'6 Numaralar'!G38)</f>
        <v/>
      </c>
      <c r="G436" s="2" t="str">
        <f>IF('6 Numaralar'!H38="","",'6 Numaralar'!H38)</f>
        <v/>
      </c>
      <c r="H436" t="str">
        <f>IF('6 Numaralar'!I38="","",'6 Numaralar'!I38)</f>
        <v/>
      </c>
      <c r="I436" t="str">
        <f>IF('6 Numaralar'!A38="","",'6 Numaralar'!J38)</f>
        <v/>
      </c>
      <c r="J436" t="str">
        <f>IF('6 Numaralar'!A38="","",'6 Numaralar'!K38)</f>
        <v/>
      </c>
      <c r="K436" t="str">
        <f>IF('6 Numaralar'!L38="","",'6 Numaralar'!L38)</f>
        <v/>
      </c>
      <c r="L436" t="str">
        <f>IF('6 Numaralar'!M38="","",'6 Numaralar'!M38)</f>
        <v/>
      </c>
      <c r="M436" t="str">
        <f>IF('6 Numaralar'!N38="","",'6 Numaralar'!N38)</f>
        <v/>
      </c>
      <c r="N436" t="str">
        <f>IF('6 Numaralar'!O38="","",'6 Numaralar'!O38)</f>
        <v/>
      </c>
      <c r="O436" t="str">
        <f>IF('6 Numaralar'!P38="","",'6 Numaralar'!P38)</f>
        <v/>
      </c>
      <c r="P436" t="str">
        <f>IF('6 Numaralar'!Q38="","",'6 Numaralar'!Q38)</f>
        <v/>
      </c>
      <c r="Q436" t="str">
        <f>IF('6 Numaralar'!R38="","",'6 Numaralar'!R38)</f>
        <v/>
      </c>
      <c r="R436" t="str">
        <f>IF('6 Numaralar'!S38="","",'6 Numaralar'!S38)</f>
        <v/>
      </c>
      <c r="S436" t="str">
        <f>IF('6 Numaralar'!T38="","",'6 Numaralar'!T38)</f>
        <v/>
      </c>
      <c r="T436" s="2" t="str">
        <f>IF('6 Numaralar'!U38="","",'6 Numaralar'!U38)</f>
        <v/>
      </c>
      <c r="U436" t="s">
        <v>930</v>
      </c>
      <c r="V436">
        <v>38</v>
      </c>
      <c r="W436" t="str">
        <f ca="1">IF(AND($A436&lt;&gt;"",ISNUMBER($G436),$G436&gt;=TODAY(),$G436&lt;=EDATE(TODAY(),12)),COUNTIFS($G$2:$G$1001,"&gt;="&amp;TODAY(),$G$2:$G$1001,"&lt;"&amp;$G436,$A$2:$A$1001,"&lt;&gt;")+COUNTIFS($G$2:$G436,$G436,$A$2:$A436,"&lt;&gt;"),"")</f>
        <v/>
      </c>
      <c r="X436" t="str">
        <f>IF(AND($A436&lt;&gt;"",ISNUMBER($C436),$C436&gt;=DATE(2003,1,1)),COUNTIFS($C$2:$C436,"&gt;="&amp;DATE(2003,1,1),$A$2:$A436,"&lt;&gt;"),"")</f>
        <v/>
      </c>
    </row>
    <row r="437" spans="1:24">
      <c r="A437" t="str">
        <f>IF('6 Numaralar'!A39="","",'6 Numaralar'!A39)</f>
        <v/>
      </c>
      <c r="B437" t="str">
        <f>IF('6 Numaralar'!B39="","",'6 Numaralar'!B39)</f>
        <v/>
      </c>
      <c r="C437" s="2" t="str">
        <f>IF('6 Numaralar'!C39="","",'6 Numaralar'!C39)</f>
        <v/>
      </c>
      <c r="D437" t="str">
        <f ca="1">IF('6 Numaralar'!D39="","",'6 Numaralar'!D39)</f>
        <v/>
      </c>
      <c r="E437" t="str">
        <f>IF('6 Numaralar'!E39="","",'6 Numaralar'!E39)</f>
        <v>6 Numara</v>
      </c>
      <c r="F437" t="str">
        <f>IF('6 Numaralar'!G39="","",'6 Numaralar'!G39)</f>
        <v/>
      </c>
      <c r="G437" s="2" t="str">
        <f>IF('6 Numaralar'!H39="","",'6 Numaralar'!H39)</f>
        <v/>
      </c>
      <c r="H437" t="str">
        <f>IF('6 Numaralar'!I39="","",'6 Numaralar'!I39)</f>
        <v/>
      </c>
      <c r="I437" t="str">
        <f>IF('6 Numaralar'!A39="","",'6 Numaralar'!J39)</f>
        <v/>
      </c>
      <c r="J437" t="str">
        <f>IF('6 Numaralar'!A39="","",'6 Numaralar'!K39)</f>
        <v/>
      </c>
      <c r="K437" t="str">
        <f>IF('6 Numaralar'!L39="","",'6 Numaralar'!L39)</f>
        <v/>
      </c>
      <c r="L437" t="str">
        <f>IF('6 Numaralar'!M39="","",'6 Numaralar'!M39)</f>
        <v/>
      </c>
      <c r="M437" t="str">
        <f>IF('6 Numaralar'!N39="","",'6 Numaralar'!N39)</f>
        <v/>
      </c>
      <c r="N437" t="str">
        <f>IF('6 Numaralar'!O39="","",'6 Numaralar'!O39)</f>
        <v/>
      </c>
      <c r="O437" t="str">
        <f>IF('6 Numaralar'!P39="","",'6 Numaralar'!P39)</f>
        <v/>
      </c>
      <c r="P437" t="str">
        <f>IF('6 Numaralar'!Q39="","",'6 Numaralar'!Q39)</f>
        <v/>
      </c>
      <c r="Q437" t="str">
        <f>IF('6 Numaralar'!R39="","",'6 Numaralar'!R39)</f>
        <v/>
      </c>
      <c r="R437" t="str">
        <f>IF('6 Numaralar'!S39="","",'6 Numaralar'!S39)</f>
        <v/>
      </c>
      <c r="S437" t="str">
        <f>IF('6 Numaralar'!T39="","",'6 Numaralar'!T39)</f>
        <v/>
      </c>
      <c r="T437" s="2" t="str">
        <f>IF('6 Numaralar'!U39="","",'6 Numaralar'!U39)</f>
        <v/>
      </c>
      <c r="U437" t="s">
        <v>930</v>
      </c>
      <c r="V437">
        <v>39</v>
      </c>
      <c r="W437" t="str">
        <f ca="1">IF(AND($A437&lt;&gt;"",ISNUMBER($G437),$G437&gt;=TODAY(),$G437&lt;=EDATE(TODAY(),12)),COUNTIFS($G$2:$G$1001,"&gt;="&amp;TODAY(),$G$2:$G$1001,"&lt;"&amp;$G437,$A$2:$A$1001,"&lt;&gt;")+COUNTIFS($G$2:$G437,$G437,$A$2:$A437,"&lt;&gt;"),"")</f>
        <v/>
      </c>
      <c r="X437" t="str">
        <f>IF(AND($A437&lt;&gt;"",ISNUMBER($C437),$C437&gt;=DATE(2003,1,1)),COUNTIFS($C$2:$C437,"&gt;="&amp;DATE(2003,1,1),$A$2:$A437,"&lt;&gt;"),"")</f>
        <v/>
      </c>
    </row>
    <row r="438" spans="1:24">
      <c r="A438" t="str">
        <f>IF('6 Numaralar'!A40="","",'6 Numaralar'!A40)</f>
        <v/>
      </c>
      <c r="B438" t="str">
        <f>IF('6 Numaralar'!B40="","",'6 Numaralar'!B40)</f>
        <v/>
      </c>
      <c r="C438" s="2" t="str">
        <f>IF('6 Numaralar'!C40="","",'6 Numaralar'!C40)</f>
        <v/>
      </c>
      <c r="D438" t="str">
        <f ca="1">IF('6 Numaralar'!D40="","",'6 Numaralar'!D40)</f>
        <v/>
      </c>
      <c r="E438" t="str">
        <f>IF('6 Numaralar'!E40="","",'6 Numaralar'!E40)</f>
        <v>6 Numara</v>
      </c>
      <c r="F438" t="str">
        <f>IF('6 Numaralar'!G40="","",'6 Numaralar'!G40)</f>
        <v/>
      </c>
      <c r="G438" s="2" t="str">
        <f>IF('6 Numaralar'!H40="","",'6 Numaralar'!H40)</f>
        <v/>
      </c>
      <c r="H438" t="str">
        <f>IF('6 Numaralar'!I40="","",'6 Numaralar'!I40)</f>
        <v/>
      </c>
      <c r="I438" t="str">
        <f>IF('6 Numaralar'!A40="","",'6 Numaralar'!J40)</f>
        <v/>
      </c>
      <c r="J438" t="str">
        <f>IF('6 Numaralar'!A40="","",'6 Numaralar'!K40)</f>
        <v/>
      </c>
      <c r="K438" t="str">
        <f>IF('6 Numaralar'!L40="","",'6 Numaralar'!L40)</f>
        <v/>
      </c>
      <c r="L438" t="str">
        <f>IF('6 Numaralar'!M40="","",'6 Numaralar'!M40)</f>
        <v/>
      </c>
      <c r="M438" t="str">
        <f>IF('6 Numaralar'!N40="","",'6 Numaralar'!N40)</f>
        <v/>
      </c>
      <c r="N438" t="str">
        <f>IF('6 Numaralar'!O40="","",'6 Numaralar'!O40)</f>
        <v/>
      </c>
      <c r="O438" t="str">
        <f>IF('6 Numaralar'!P40="","",'6 Numaralar'!P40)</f>
        <v/>
      </c>
      <c r="P438" t="str">
        <f>IF('6 Numaralar'!Q40="","",'6 Numaralar'!Q40)</f>
        <v/>
      </c>
      <c r="Q438" t="str">
        <f>IF('6 Numaralar'!R40="","",'6 Numaralar'!R40)</f>
        <v/>
      </c>
      <c r="R438" t="str">
        <f>IF('6 Numaralar'!S40="","",'6 Numaralar'!S40)</f>
        <v/>
      </c>
      <c r="S438" t="str">
        <f>IF('6 Numaralar'!T40="","",'6 Numaralar'!T40)</f>
        <v/>
      </c>
      <c r="T438" s="2" t="str">
        <f>IF('6 Numaralar'!U40="","",'6 Numaralar'!U40)</f>
        <v/>
      </c>
      <c r="U438" t="s">
        <v>930</v>
      </c>
      <c r="V438">
        <v>40</v>
      </c>
      <c r="W438" t="str">
        <f ca="1">IF(AND($A438&lt;&gt;"",ISNUMBER($G438),$G438&gt;=TODAY(),$G438&lt;=EDATE(TODAY(),12)),COUNTIFS($G$2:$G$1001,"&gt;="&amp;TODAY(),$G$2:$G$1001,"&lt;"&amp;$G438,$A$2:$A$1001,"&lt;&gt;")+COUNTIFS($G$2:$G438,$G438,$A$2:$A438,"&lt;&gt;"),"")</f>
        <v/>
      </c>
      <c r="X438" t="str">
        <f>IF(AND($A438&lt;&gt;"",ISNUMBER($C438),$C438&gt;=DATE(2003,1,1)),COUNTIFS($C$2:$C438,"&gt;="&amp;DATE(2003,1,1),$A$2:$A438,"&lt;&gt;"),"")</f>
        <v/>
      </c>
    </row>
    <row r="439" spans="1:24">
      <c r="A439" t="str">
        <f>IF('6 Numaralar'!A41="","",'6 Numaralar'!A41)</f>
        <v/>
      </c>
      <c r="B439" t="str">
        <f>IF('6 Numaralar'!B41="","",'6 Numaralar'!B41)</f>
        <v/>
      </c>
      <c r="C439" s="2" t="str">
        <f>IF('6 Numaralar'!C41="","",'6 Numaralar'!C41)</f>
        <v/>
      </c>
      <c r="D439" t="str">
        <f ca="1">IF('6 Numaralar'!D41="","",'6 Numaralar'!D41)</f>
        <v/>
      </c>
      <c r="E439" t="str">
        <f>IF('6 Numaralar'!E41="","",'6 Numaralar'!E41)</f>
        <v>6 Numara</v>
      </c>
      <c r="F439" t="str">
        <f>IF('6 Numaralar'!G41="","",'6 Numaralar'!G41)</f>
        <v/>
      </c>
      <c r="G439" s="2" t="str">
        <f>IF('6 Numaralar'!H41="","",'6 Numaralar'!H41)</f>
        <v/>
      </c>
      <c r="H439" t="str">
        <f>IF('6 Numaralar'!I41="","",'6 Numaralar'!I41)</f>
        <v/>
      </c>
      <c r="I439" t="str">
        <f>IF('6 Numaralar'!A41="","",'6 Numaralar'!J41)</f>
        <v/>
      </c>
      <c r="J439" t="str">
        <f>IF('6 Numaralar'!A41="","",'6 Numaralar'!K41)</f>
        <v/>
      </c>
      <c r="K439" t="str">
        <f>IF('6 Numaralar'!L41="","",'6 Numaralar'!L41)</f>
        <v/>
      </c>
      <c r="L439" t="str">
        <f>IF('6 Numaralar'!M41="","",'6 Numaralar'!M41)</f>
        <v/>
      </c>
      <c r="M439" t="str">
        <f>IF('6 Numaralar'!N41="","",'6 Numaralar'!N41)</f>
        <v/>
      </c>
      <c r="N439" t="str">
        <f>IF('6 Numaralar'!O41="","",'6 Numaralar'!O41)</f>
        <v/>
      </c>
      <c r="O439" t="str">
        <f>IF('6 Numaralar'!P41="","",'6 Numaralar'!P41)</f>
        <v/>
      </c>
      <c r="P439" t="str">
        <f>IF('6 Numaralar'!Q41="","",'6 Numaralar'!Q41)</f>
        <v/>
      </c>
      <c r="Q439" t="str">
        <f>IF('6 Numaralar'!R41="","",'6 Numaralar'!R41)</f>
        <v/>
      </c>
      <c r="R439" t="str">
        <f>IF('6 Numaralar'!S41="","",'6 Numaralar'!S41)</f>
        <v/>
      </c>
      <c r="S439" t="str">
        <f>IF('6 Numaralar'!T41="","",'6 Numaralar'!T41)</f>
        <v/>
      </c>
      <c r="T439" s="2" t="str">
        <f>IF('6 Numaralar'!U41="","",'6 Numaralar'!U41)</f>
        <v/>
      </c>
      <c r="U439" t="s">
        <v>930</v>
      </c>
      <c r="V439">
        <v>41</v>
      </c>
      <c r="W439" t="str">
        <f ca="1">IF(AND($A439&lt;&gt;"",ISNUMBER($G439),$G439&gt;=TODAY(),$G439&lt;=EDATE(TODAY(),12)),COUNTIFS($G$2:$G$1001,"&gt;="&amp;TODAY(),$G$2:$G$1001,"&lt;"&amp;$G439,$A$2:$A$1001,"&lt;&gt;")+COUNTIFS($G$2:$G439,$G439,$A$2:$A439,"&lt;&gt;"),"")</f>
        <v/>
      </c>
      <c r="X439" t="str">
        <f>IF(AND($A439&lt;&gt;"",ISNUMBER($C439),$C439&gt;=DATE(2003,1,1)),COUNTIFS($C$2:$C439,"&gt;="&amp;DATE(2003,1,1),$A$2:$A439,"&lt;&gt;"),"")</f>
        <v/>
      </c>
    </row>
    <row r="440" spans="1:24">
      <c r="A440" t="str">
        <f>IF('6 Numaralar'!A42="","",'6 Numaralar'!A42)</f>
        <v/>
      </c>
      <c r="B440" t="str">
        <f>IF('6 Numaralar'!B42="","",'6 Numaralar'!B42)</f>
        <v/>
      </c>
      <c r="C440" s="2" t="str">
        <f>IF('6 Numaralar'!C42="","",'6 Numaralar'!C42)</f>
        <v/>
      </c>
      <c r="D440" t="str">
        <f ca="1">IF('6 Numaralar'!D42="","",'6 Numaralar'!D42)</f>
        <v/>
      </c>
      <c r="E440" t="str">
        <f>IF('6 Numaralar'!E42="","",'6 Numaralar'!E42)</f>
        <v>6 Numara</v>
      </c>
      <c r="F440" t="str">
        <f>IF('6 Numaralar'!G42="","",'6 Numaralar'!G42)</f>
        <v/>
      </c>
      <c r="G440" s="2" t="str">
        <f>IF('6 Numaralar'!H42="","",'6 Numaralar'!H42)</f>
        <v/>
      </c>
      <c r="H440" t="str">
        <f>IF('6 Numaralar'!I42="","",'6 Numaralar'!I42)</f>
        <v/>
      </c>
      <c r="I440" t="str">
        <f>IF('6 Numaralar'!A42="","",'6 Numaralar'!J42)</f>
        <v/>
      </c>
      <c r="J440" t="str">
        <f>IF('6 Numaralar'!A42="","",'6 Numaralar'!K42)</f>
        <v/>
      </c>
      <c r="K440" t="str">
        <f>IF('6 Numaralar'!L42="","",'6 Numaralar'!L42)</f>
        <v/>
      </c>
      <c r="L440" t="str">
        <f>IF('6 Numaralar'!M42="","",'6 Numaralar'!M42)</f>
        <v/>
      </c>
      <c r="M440" t="str">
        <f>IF('6 Numaralar'!N42="","",'6 Numaralar'!N42)</f>
        <v/>
      </c>
      <c r="N440" t="str">
        <f>IF('6 Numaralar'!O42="","",'6 Numaralar'!O42)</f>
        <v/>
      </c>
      <c r="O440" t="str">
        <f>IF('6 Numaralar'!P42="","",'6 Numaralar'!P42)</f>
        <v/>
      </c>
      <c r="P440" t="str">
        <f>IF('6 Numaralar'!Q42="","",'6 Numaralar'!Q42)</f>
        <v/>
      </c>
      <c r="Q440" t="str">
        <f>IF('6 Numaralar'!R42="","",'6 Numaralar'!R42)</f>
        <v/>
      </c>
      <c r="R440" t="str">
        <f>IF('6 Numaralar'!S42="","",'6 Numaralar'!S42)</f>
        <v/>
      </c>
      <c r="S440" t="str">
        <f>IF('6 Numaralar'!T42="","",'6 Numaralar'!T42)</f>
        <v/>
      </c>
      <c r="T440" s="2" t="str">
        <f>IF('6 Numaralar'!U42="","",'6 Numaralar'!U42)</f>
        <v/>
      </c>
      <c r="U440" t="s">
        <v>930</v>
      </c>
      <c r="V440">
        <v>42</v>
      </c>
      <c r="W440" t="str">
        <f ca="1">IF(AND($A440&lt;&gt;"",ISNUMBER($G440),$G440&gt;=TODAY(),$G440&lt;=EDATE(TODAY(),12)),COUNTIFS($G$2:$G$1001,"&gt;="&amp;TODAY(),$G$2:$G$1001,"&lt;"&amp;$G440,$A$2:$A$1001,"&lt;&gt;")+COUNTIFS($G$2:$G440,$G440,$A$2:$A440,"&lt;&gt;"),"")</f>
        <v/>
      </c>
      <c r="X440" t="str">
        <f>IF(AND($A440&lt;&gt;"",ISNUMBER($C440),$C440&gt;=DATE(2003,1,1)),COUNTIFS($C$2:$C440,"&gt;="&amp;DATE(2003,1,1),$A$2:$A440,"&lt;&gt;"),"")</f>
        <v/>
      </c>
    </row>
    <row r="441" spans="1:24">
      <c r="A441" t="str">
        <f>IF('6 Numaralar'!A43="","",'6 Numaralar'!A43)</f>
        <v/>
      </c>
      <c r="B441" t="str">
        <f>IF('6 Numaralar'!B43="","",'6 Numaralar'!B43)</f>
        <v/>
      </c>
      <c r="C441" s="2" t="str">
        <f>IF('6 Numaralar'!C43="","",'6 Numaralar'!C43)</f>
        <v/>
      </c>
      <c r="D441" t="str">
        <f ca="1">IF('6 Numaralar'!D43="","",'6 Numaralar'!D43)</f>
        <v/>
      </c>
      <c r="E441" t="str">
        <f>IF('6 Numaralar'!E43="","",'6 Numaralar'!E43)</f>
        <v>6 Numara</v>
      </c>
      <c r="F441" t="str">
        <f>IF('6 Numaralar'!G43="","",'6 Numaralar'!G43)</f>
        <v/>
      </c>
      <c r="G441" s="2" t="str">
        <f>IF('6 Numaralar'!H43="","",'6 Numaralar'!H43)</f>
        <v/>
      </c>
      <c r="H441" t="str">
        <f>IF('6 Numaralar'!I43="","",'6 Numaralar'!I43)</f>
        <v/>
      </c>
      <c r="I441" t="str">
        <f>IF('6 Numaralar'!A43="","",'6 Numaralar'!J43)</f>
        <v/>
      </c>
      <c r="J441" t="str">
        <f>IF('6 Numaralar'!A43="","",'6 Numaralar'!K43)</f>
        <v/>
      </c>
      <c r="K441" t="str">
        <f>IF('6 Numaralar'!L43="","",'6 Numaralar'!L43)</f>
        <v/>
      </c>
      <c r="L441" t="str">
        <f>IF('6 Numaralar'!M43="","",'6 Numaralar'!M43)</f>
        <v/>
      </c>
      <c r="M441" t="str">
        <f>IF('6 Numaralar'!N43="","",'6 Numaralar'!N43)</f>
        <v/>
      </c>
      <c r="N441" t="str">
        <f>IF('6 Numaralar'!O43="","",'6 Numaralar'!O43)</f>
        <v/>
      </c>
      <c r="O441" t="str">
        <f>IF('6 Numaralar'!P43="","",'6 Numaralar'!P43)</f>
        <v/>
      </c>
      <c r="P441" t="str">
        <f>IF('6 Numaralar'!Q43="","",'6 Numaralar'!Q43)</f>
        <v/>
      </c>
      <c r="Q441" t="str">
        <f>IF('6 Numaralar'!R43="","",'6 Numaralar'!R43)</f>
        <v/>
      </c>
      <c r="R441" t="str">
        <f>IF('6 Numaralar'!S43="","",'6 Numaralar'!S43)</f>
        <v/>
      </c>
      <c r="S441" t="str">
        <f>IF('6 Numaralar'!T43="","",'6 Numaralar'!T43)</f>
        <v/>
      </c>
      <c r="T441" s="2" t="str">
        <f>IF('6 Numaralar'!U43="","",'6 Numaralar'!U43)</f>
        <v/>
      </c>
      <c r="U441" t="s">
        <v>930</v>
      </c>
      <c r="V441">
        <v>43</v>
      </c>
      <c r="W441" t="str">
        <f ca="1">IF(AND($A441&lt;&gt;"",ISNUMBER($G441),$G441&gt;=TODAY(),$G441&lt;=EDATE(TODAY(),12)),COUNTIFS($G$2:$G$1001,"&gt;="&amp;TODAY(),$G$2:$G$1001,"&lt;"&amp;$G441,$A$2:$A$1001,"&lt;&gt;")+COUNTIFS($G$2:$G441,$G441,$A$2:$A441,"&lt;&gt;"),"")</f>
        <v/>
      </c>
      <c r="X441" t="str">
        <f>IF(AND($A441&lt;&gt;"",ISNUMBER($C441),$C441&gt;=DATE(2003,1,1)),COUNTIFS($C$2:$C441,"&gt;="&amp;DATE(2003,1,1),$A$2:$A441,"&lt;&gt;"),"")</f>
        <v/>
      </c>
    </row>
    <row r="442" spans="1:24">
      <c r="A442" t="str">
        <f>IF('6 Numaralar'!A44="","",'6 Numaralar'!A44)</f>
        <v/>
      </c>
      <c r="B442" t="str">
        <f>IF('6 Numaralar'!B44="","",'6 Numaralar'!B44)</f>
        <v/>
      </c>
      <c r="C442" s="2" t="str">
        <f>IF('6 Numaralar'!C44="","",'6 Numaralar'!C44)</f>
        <v/>
      </c>
      <c r="D442" t="str">
        <f ca="1">IF('6 Numaralar'!D44="","",'6 Numaralar'!D44)</f>
        <v/>
      </c>
      <c r="E442" t="str">
        <f>IF('6 Numaralar'!E44="","",'6 Numaralar'!E44)</f>
        <v>6 Numara</v>
      </c>
      <c r="F442" t="str">
        <f>IF('6 Numaralar'!G44="","",'6 Numaralar'!G44)</f>
        <v/>
      </c>
      <c r="G442" s="2" t="str">
        <f>IF('6 Numaralar'!H44="","",'6 Numaralar'!H44)</f>
        <v/>
      </c>
      <c r="H442" t="str">
        <f>IF('6 Numaralar'!I44="","",'6 Numaralar'!I44)</f>
        <v/>
      </c>
      <c r="I442" t="str">
        <f>IF('6 Numaralar'!A44="","",'6 Numaralar'!J44)</f>
        <v/>
      </c>
      <c r="J442" t="str">
        <f>IF('6 Numaralar'!A44="","",'6 Numaralar'!K44)</f>
        <v/>
      </c>
      <c r="K442" t="str">
        <f>IF('6 Numaralar'!L44="","",'6 Numaralar'!L44)</f>
        <v/>
      </c>
      <c r="L442" t="str">
        <f>IF('6 Numaralar'!M44="","",'6 Numaralar'!M44)</f>
        <v/>
      </c>
      <c r="M442" t="str">
        <f>IF('6 Numaralar'!N44="","",'6 Numaralar'!N44)</f>
        <v/>
      </c>
      <c r="N442" t="str">
        <f>IF('6 Numaralar'!O44="","",'6 Numaralar'!O44)</f>
        <v/>
      </c>
      <c r="O442" t="str">
        <f>IF('6 Numaralar'!P44="","",'6 Numaralar'!P44)</f>
        <v/>
      </c>
      <c r="P442" t="str">
        <f>IF('6 Numaralar'!Q44="","",'6 Numaralar'!Q44)</f>
        <v/>
      </c>
      <c r="Q442" t="str">
        <f>IF('6 Numaralar'!R44="","",'6 Numaralar'!R44)</f>
        <v/>
      </c>
      <c r="R442" t="str">
        <f>IF('6 Numaralar'!S44="","",'6 Numaralar'!S44)</f>
        <v/>
      </c>
      <c r="S442" t="str">
        <f>IF('6 Numaralar'!T44="","",'6 Numaralar'!T44)</f>
        <v/>
      </c>
      <c r="T442" s="2" t="str">
        <f>IF('6 Numaralar'!U44="","",'6 Numaralar'!U44)</f>
        <v/>
      </c>
      <c r="U442" t="s">
        <v>930</v>
      </c>
      <c r="V442">
        <v>44</v>
      </c>
      <c r="W442" t="str">
        <f ca="1">IF(AND($A442&lt;&gt;"",ISNUMBER($G442),$G442&gt;=TODAY(),$G442&lt;=EDATE(TODAY(),12)),COUNTIFS($G$2:$G$1001,"&gt;="&amp;TODAY(),$G$2:$G$1001,"&lt;"&amp;$G442,$A$2:$A$1001,"&lt;&gt;")+COUNTIFS($G$2:$G442,$G442,$A$2:$A442,"&lt;&gt;"),"")</f>
        <v/>
      </c>
      <c r="X442" t="str">
        <f>IF(AND($A442&lt;&gt;"",ISNUMBER($C442),$C442&gt;=DATE(2003,1,1)),COUNTIFS($C$2:$C442,"&gt;="&amp;DATE(2003,1,1),$A$2:$A442,"&lt;&gt;"),"")</f>
        <v/>
      </c>
    </row>
    <row r="443" spans="1:24">
      <c r="A443" t="str">
        <f>IF('6 Numaralar'!A45="","",'6 Numaralar'!A45)</f>
        <v/>
      </c>
      <c r="B443" t="str">
        <f>IF('6 Numaralar'!B45="","",'6 Numaralar'!B45)</f>
        <v/>
      </c>
      <c r="C443" s="2" t="str">
        <f>IF('6 Numaralar'!C45="","",'6 Numaralar'!C45)</f>
        <v/>
      </c>
      <c r="D443" t="str">
        <f ca="1">IF('6 Numaralar'!D45="","",'6 Numaralar'!D45)</f>
        <v/>
      </c>
      <c r="E443" t="str">
        <f>IF('6 Numaralar'!E45="","",'6 Numaralar'!E45)</f>
        <v>6 Numara</v>
      </c>
      <c r="F443" t="str">
        <f>IF('6 Numaralar'!G45="","",'6 Numaralar'!G45)</f>
        <v/>
      </c>
      <c r="G443" s="2" t="str">
        <f>IF('6 Numaralar'!H45="","",'6 Numaralar'!H45)</f>
        <v/>
      </c>
      <c r="H443" t="str">
        <f>IF('6 Numaralar'!I45="","",'6 Numaralar'!I45)</f>
        <v/>
      </c>
      <c r="I443" t="str">
        <f>IF('6 Numaralar'!A45="","",'6 Numaralar'!J45)</f>
        <v/>
      </c>
      <c r="J443" t="str">
        <f>IF('6 Numaralar'!A45="","",'6 Numaralar'!K45)</f>
        <v/>
      </c>
      <c r="K443" t="str">
        <f>IF('6 Numaralar'!L45="","",'6 Numaralar'!L45)</f>
        <v/>
      </c>
      <c r="L443" t="str">
        <f>IF('6 Numaralar'!M45="","",'6 Numaralar'!M45)</f>
        <v/>
      </c>
      <c r="M443" t="str">
        <f>IF('6 Numaralar'!N45="","",'6 Numaralar'!N45)</f>
        <v/>
      </c>
      <c r="N443" t="str">
        <f>IF('6 Numaralar'!O45="","",'6 Numaralar'!O45)</f>
        <v/>
      </c>
      <c r="O443" t="str">
        <f>IF('6 Numaralar'!P45="","",'6 Numaralar'!P45)</f>
        <v/>
      </c>
      <c r="P443" t="str">
        <f>IF('6 Numaralar'!Q45="","",'6 Numaralar'!Q45)</f>
        <v/>
      </c>
      <c r="Q443" t="str">
        <f>IF('6 Numaralar'!R45="","",'6 Numaralar'!R45)</f>
        <v/>
      </c>
      <c r="R443" t="str">
        <f>IF('6 Numaralar'!S45="","",'6 Numaralar'!S45)</f>
        <v/>
      </c>
      <c r="S443" t="str">
        <f>IF('6 Numaralar'!T45="","",'6 Numaralar'!T45)</f>
        <v/>
      </c>
      <c r="T443" s="2" t="str">
        <f>IF('6 Numaralar'!U45="","",'6 Numaralar'!U45)</f>
        <v/>
      </c>
      <c r="U443" t="s">
        <v>930</v>
      </c>
      <c r="V443">
        <v>45</v>
      </c>
      <c r="W443" t="str">
        <f ca="1">IF(AND($A443&lt;&gt;"",ISNUMBER($G443),$G443&gt;=TODAY(),$G443&lt;=EDATE(TODAY(),12)),COUNTIFS($G$2:$G$1001,"&gt;="&amp;TODAY(),$G$2:$G$1001,"&lt;"&amp;$G443,$A$2:$A$1001,"&lt;&gt;")+COUNTIFS($G$2:$G443,$G443,$A$2:$A443,"&lt;&gt;"),"")</f>
        <v/>
      </c>
      <c r="X443" t="str">
        <f>IF(AND($A443&lt;&gt;"",ISNUMBER($C443),$C443&gt;=DATE(2003,1,1)),COUNTIFS($C$2:$C443,"&gt;="&amp;DATE(2003,1,1),$A$2:$A443,"&lt;&gt;"),"")</f>
        <v/>
      </c>
    </row>
    <row r="444" spans="1:24">
      <c r="A444" t="str">
        <f>IF('6 Numaralar'!A46="","",'6 Numaralar'!A46)</f>
        <v/>
      </c>
      <c r="B444" t="str">
        <f>IF('6 Numaralar'!B46="","",'6 Numaralar'!B46)</f>
        <v/>
      </c>
      <c r="C444" s="2" t="str">
        <f>IF('6 Numaralar'!C46="","",'6 Numaralar'!C46)</f>
        <v/>
      </c>
      <c r="D444" t="str">
        <f ca="1">IF('6 Numaralar'!D46="","",'6 Numaralar'!D46)</f>
        <v/>
      </c>
      <c r="E444" t="str">
        <f>IF('6 Numaralar'!E46="","",'6 Numaralar'!E46)</f>
        <v>6 Numara</v>
      </c>
      <c r="F444" t="str">
        <f>IF('6 Numaralar'!G46="","",'6 Numaralar'!G46)</f>
        <v/>
      </c>
      <c r="G444" s="2" t="str">
        <f>IF('6 Numaralar'!H46="","",'6 Numaralar'!H46)</f>
        <v/>
      </c>
      <c r="H444" t="str">
        <f>IF('6 Numaralar'!I46="","",'6 Numaralar'!I46)</f>
        <v/>
      </c>
      <c r="I444" t="str">
        <f>IF('6 Numaralar'!A46="","",'6 Numaralar'!J46)</f>
        <v/>
      </c>
      <c r="J444" t="str">
        <f>IF('6 Numaralar'!A46="","",'6 Numaralar'!K46)</f>
        <v/>
      </c>
      <c r="K444" t="str">
        <f>IF('6 Numaralar'!L46="","",'6 Numaralar'!L46)</f>
        <v/>
      </c>
      <c r="L444" t="str">
        <f>IF('6 Numaralar'!M46="","",'6 Numaralar'!M46)</f>
        <v/>
      </c>
      <c r="M444" t="str">
        <f>IF('6 Numaralar'!N46="","",'6 Numaralar'!N46)</f>
        <v/>
      </c>
      <c r="N444" t="str">
        <f>IF('6 Numaralar'!O46="","",'6 Numaralar'!O46)</f>
        <v/>
      </c>
      <c r="O444" t="str">
        <f>IF('6 Numaralar'!P46="","",'6 Numaralar'!P46)</f>
        <v/>
      </c>
      <c r="P444" t="str">
        <f>IF('6 Numaralar'!Q46="","",'6 Numaralar'!Q46)</f>
        <v/>
      </c>
      <c r="Q444" t="str">
        <f>IF('6 Numaralar'!R46="","",'6 Numaralar'!R46)</f>
        <v/>
      </c>
      <c r="R444" t="str">
        <f>IF('6 Numaralar'!S46="","",'6 Numaralar'!S46)</f>
        <v/>
      </c>
      <c r="S444" t="str">
        <f>IF('6 Numaralar'!T46="","",'6 Numaralar'!T46)</f>
        <v/>
      </c>
      <c r="T444" s="2" t="str">
        <f>IF('6 Numaralar'!U46="","",'6 Numaralar'!U46)</f>
        <v/>
      </c>
      <c r="U444" t="s">
        <v>930</v>
      </c>
      <c r="V444">
        <v>46</v>
      </c>
      <c r="W444" t="str">
        <f ca="1">IF(AND($A444&lt;&gt;"",ISNUMBER($G444),$G444&gt;=TODAY(),$G444&lt;=EDATE(TODAY(),12)),COUNTIFS($G$2:$G$1001,"&gt;="&amp;TODAY(),$G$2:$G$1001,"&lt;"&amp;$G444,$A$2:$A$1001,"&lt;&gt;")+COUNTIFS($G$2:$G444,$G444,$A$2:$A444,"&lt;&gt;"),"")</f>
        <v/>
      </c>
      <c r="X444" t="str">
        <f>IF(AND($A444&lt;&gt;"",ISNUMBER($C444),$C444&gt;=DATE(2003,1,1)),COUNTIFS($C$2:$C444,"&gt;="&amp;DATE(2003,1,1),$A$2:$A444,"&lt;&gt;"),"")</f>
        <v/>
      </c>
    </row>
    <row r="445" spans="1:24">
      <c r="A445" t="str">
        <f>IF('6 Numaralar'!A47="","",'6 Numaralar'!A47)</f>
        <v/>
      </c>
      <c r="B445" t="str">
        <f>IF('6 Numaralar'!B47="","",'6 Numaralar'!B47)</f>
        <v/>
      </c>
      <c r="C445" s="2" t="str">
        <f>IF('6 Numaralar'!C47="","",'6 Numaralar'!C47)</f>
        <v/>
      </c>
      <c r="D445" t="str">
        <f ca="1">IF('6 Numaralar'!D47="","",'6 Numaralar'!D47)</f>
        <v/>
      </c>
      <c r="E445" t="str">
        <f>IF('6 Numaralar'!E47="","",'6 Numaralar'!E47)</f>
        <v>6 Numara</v>
      </c>
      <c r="F445" t="str">
        <f>IF('6 Numaralar'!G47="","",'6 Numaralar'!G47)</f>
        <v/>
      </c>
      <c r="G445" s="2" t="str">
        <f>IF('6 Numaralar'!H47="","",'6 Numaralar'!H47)</f>
        <v/>
      </c>
      <c r="H445" t="str">
        <f>IF('6 Numaralar'!I47="","",'6 Numaralar'!I47)</f>
        <v/>
      </c>
      <c r="I445" t="str">
        <f>IF('6 Numaralar'!A47="","",'6 Numaralar'!J47)</f>
        <v/>
      </c>
      <c r="J445" t="str">
        <f>IF('6 Numaralar'!A47="","",'6 Numaralar'!K47)</f>
        <v/>
      </c>
      <c r="K445" t="str">
        <f>IF('6 Numaralar'!L47="","",'6 Numaralar'!L47)</f>
        <v/>
      </c>
      <c r="L445" t="str">
        <f>IF('6 Numaralar'!M47="","",'6 Numaralar'!M47)</f>
        <v/>
      </c>
      <c r="M445" t="str">
        <f>IF('6 Numaralar'!N47="","",'6 Numaralar'!N47)</f>
        <v/>
      </c>
      <c r="N445" t="str">
        <f>IF('6 Numaralar'!O47="","",'6 Numaralar'!O47)</f>
        <v/>
      </c>
      <c r="O445" t="str">
        <f>IF('6 Numaralar'!P47="","",'6 Numaralar'!P47)</f>
        <v/>
      </c>
      <c r="P445" t="str">
        <f>IF('6 Numaralar'!Q47="","",'6 Numaralar'!Q47)</f>
        <v/>
      </c>
      <c r="Q445" t="str">
        <f>IF('6 Numaralar'!R47="","",'6 Numaralar'!R47)</f>
        <v/>
      </c>
      <c r="R445" t="str">
        <f>IF('6 Numaralar'!S47="","",'6 Numaralar'!S47)</f>
        <v/>
      </c>
      <c r="S445" t="str">
        <f>IF('6 Numaralar'!T47="","",'6 Numaralar'!T47)</f>
        <v/>
      </c>
      <c r="T445" s="2" t="str">
        <f>IF('6 Numaralar'!U47="","",'6 Numaralar'!U47)</f>
        <v/>
      </c>
      <c r="U445" t="s">
        <v>930</v>
      </c>
      <c r="V445">
        <v>47</v>
      </c>
      <c r="W445" t="str">
        <f ca="1">IF(AND($A445&lt;&gt;"",ISNUMBER($G445),$G445&gt;=TODAY(),$G445&lt;=EDATE(TODAY(),12)),COUNTIFS($G$2:$G$1001,"&gt;="&amp;TODAY(),$G$2:$G$1001,"&lt;"&amp;$G445,$A$2:$A$1001,"&lt;&gt;")+COUNTIFS($G$2:$G445,$G445,$A$2:$A445,"&lt;&gt;"),"")</f>
        <v/>
      </c>
      <c r="X445" t="str">
        <f>IF(AND($A445&lt;&gt;"",ISNUMBER($C445),$C445&gt;=DATE(2003,1,1)),COUNTIFS($C$2:$C445,"&gt;="&amp;DATE(2003,1,1),$A$2:$A445,"&lt;&gt;"),"")</f>
        <v/>
      </c>
    </row>
    <row r="446" spans="1:24">
      <c r="A446" t="str">
        <f>IF('6 Numaralar'!A48="","",'6 Numaralar'!A48)</f>
        <v/>
      </c>
      <c r="B446" t="str">
        <f>IF('6 Numaralar'!B48="","",'6 Numaralar'!B48)</f>
        <v/>
      </c>
      <c r="C446" s="2" t="str">
        <f>IF('6 Numaralar'!C48="","",'6 Numaralar'!C48)</f>
        <v/>
      </c>
      <c r="D446" t="str">
        <f ca="1">IF('6 Numaralar'!D48="","",'6 Numaralar'!D48)</f>
        <v/>
      </c>
      <c r="E446" t="str">
        <f>IF('6 Numaralar'!E48="","",'6 Numaralar'!E48)</f>
        <v>6 Numara</v>
      </c>
      <c r="F446" t="str">
        <f>IF('6 Numaralar'!G48="","",'6 Numaralar'!G48)</f>
        <v/>
      </c>
      <c r="G446" s="2" t="str">
        <f>IF('6 Numaralar'!H48="","",'6 Numaralar'!H48)</f>
        <v/>
      </c>
      <c r="H446" t="str">
        <f>IF('6 Numaralar'!I48="","",'6 Numaralar'!I48)</f>
        <v/>
      </c>
      <c r="I446" t="str">
        <f>IF('6 Numaralar'!A48="","",'6 Numaralar'!J48)</f>
        <v/>
      </c>
      <c r="J446" t="str">
        <f>IF('6 Numaralar'!A48="","",'6 Numaralar'!K48)</f>
        <v/>
      </c>
      <c r="K446" t="str">
        <f>IF('6 Numaralar'!L48="","",'6 Numaralar'!L48)</f>
        <v/>
      </c>
      <c r="L446" t="str">
        <f>IF('6 Numaralar'!M48="","",'6 Numaralar'!M48)</f>
        <v/>
      </c>
      <c r="M446" t="str">
        <f>IF('6 Numaralar'!N48="","",'6 Numaralar'!N48)</f>
        <v/>
      </c>
      <c r="N446" t="str">
        <f>IF('6 Numaralar'!O48="","",'6 Numaralar'!O48)</f>
        <v/>
      </c>
      <c r="O446" t="str">
        <f>IF('6 Numaralar'!P48="","",'6 Numaralar'!P48)</f>
        <v/>
      </c>
      <c r="P446" t="str">
        <f>IF('6 Numaralar'!Q48="","",'6 Numaralar'!Q48)</f>
        <v/>
      </c>
      <c r="Q446" t="str">
        <f>IF('6 Numaralar'!R48="","",'6 Numaralar'!R48)</f>
        <v/>
      </c>
      <c r="R446" t="str">
        <f>IF('6 Numaralar'!S48="","",'6 Numaralar'!S48)</f>
        <v/>
      </c>
      <c r="S446" t="str">
        <f>IF('6 Numaralar'!T48="","",'6 Numaralar'!T48)</f>
        <v/>
      </c>
      <c r="T446" s="2" t="str">
        <f>IF('6 Numaralar'!U48="","",'6 Numaralar'!U48)</f>
        <v/>
      </c>
      <c r="U446" t="s">
        <v>930</v>
      </c>
      <c r="V446">
        <v>48</v>
      </c>
      <c r="W446" t="str">
        <f ca="1">IF(AND($A446&lt;&gt;"",ISNUMBER($G446),$G446&gt;=TODAY(),$G446&lt;=EDATE(TODAY(),12)),COUNTIFS($G$2:$G$1001,"&gt;="&amp;TODAY(),$G$2:$G$1001,"&lt;"&amp;$G446,$A$2:$A$1001,"&lt;&gt;")+COUNTIFS($G$2:$G446,$G446,$A$2:$A446,"&lt;&gt;"),"")</f>
        <v/>
      </c>
      <c r="X446" t="str">
        <f>IF(AND($A446&lt;&gt;"",ISNUMBER($C446),$C446&gt;=DATE(2003,1,1)),COUNTIFS($C$2:$C446,"&gt;="&amp;DATE(2003,1,1),$A$2:$A446,"&lt;&gt;"),"")</f>
        <v/>
      </c>
    </row>
    <row r="447" spans="1:24">
      <c r="A447" t="str">
        <f>IF('6 Numaralar'!A49="","",'6 Numaralar'!A49)</f>
        <v/>
      </c>
      <c r="B447" t="str">
        <f>IF('6 Numaralar'!B49="","",'6 Numaralar'!B49)</f>
        <v/>
      </c>
      <c r="C447" s="2" t="str">
        <f>IF('6 Numaralar'!C49="","",'6 Numaralar'!C49)</f>
        <v/>
      </c>
      <c r="D447" t="str">
        <f ca="1">IF('6 Numaralar'!D49="","",'6 Numaralar'!D49)</f>
        <v/>
      </c>
      <c r="E447" t="str">
        <f>IF('6 Numaralar'!E49="","",'6 Numaralar'!E49)</f>
        <v>6 Numara</v>
      </c>
      <c r="F447" t="str">
        <f>IF('6 Numaralar'!G49="","",'6 Numaralar'!G49)</f>
        <v/>
      </c>
      <c r="G447" s="2" t="str">
        <f>IF('6 Numaralar'!H49="","",'6 Numaralar'!H49)</f>
        <v/>
      </c>
      <c r="H447" t="str">
        <f>IF('6 Numaralar'!I49="","",'6 Numaralar'!I49)</f>
        <v/>
      </c>
      <c r="I447" t="str">
        <f>IF('6 Numaralar'!A49="","",'6 Numaralar'!J49)</f>
        <v/>
      </c>
      <c r="J447" t="str">
        <f>IF('6 Numaralar'!A49="","",'6 Numaralar'!K49)</f>
        <v/>
      </c>
      <c r="K447" t="str">
        <f>IF('6 Numaralar'!L49="","",'6 Numaralar'!L49)</f>
        <v/>
      </c>
      <c r="L447" t="str">
        <f>IF('6 Numaralar'!M49="","",'6 Numaralar'!M49)</f>
        <v/>
      </c>
      <c r="M447" t="str">
        <f>IF('6 Numaralar'!N49="","",'6 Numaralar'!N49)</f>
        <v/>
      </c>
      <c r="N447" t="str">
        <f>IF('6 Numaralar'!O49="","",'6 Numaralar'!O49)</f>
        <v/>
      </c>
      <c r="O447" t="str">
        <f>IF('6 Numaralar'!P49="","",'6 Numaralar'!P49)</f>
        <v/>
      </c>
      <c r="P447" t="str">
        <f>IF('6 Numaralar'!Q49="","",'6 Numaralar'!Q49)</f>
        <v/>
      </c>
      <c r="Q447" t="str">
        <f>IF('6 Numaralar'!R49="","",'6 Numaralar'!R49)</f>
        <v/>
      </c>
      <c r="R447" t="str">
        <f>IF('6 Numaralar'!S49="","",'6 Numaralar'!S49)</f>
        <v/>
      </c>
      <c r="S447" t="str">
        <f>IF('6 Numaralar'!T49="","",'6 Numaralar'!T49)</f>
        <v/>
      </c>
      <c r="T447" s="2" t="str">
        <f>IF('6 Numaralar'!U49="","",'6 Numaralar'!U49)</f>
        <v/>
      </c>
      <c r="U447" t="s">
        <v>930</v>
      </c>
      <c r="V447">
        <v>49</v>
      </c>
      <c r="W447" t="str">
        <f ca="1">IF(AND($A447&lt;&gt;"",ISNUMBER($G447),$G447&gt;=TODAY(),$G447&lt;=EDATE(TODAY(),12)),COUNTIFS($G$2:$G$1001,"&gt;="&amp;TODAY(),$G$2:$G$1001,"&lt;"&amp;$G447,$A$2:$A$1001,"&lt;&gt;")+COUNTIFS($G$2:$G447,$G447,$A$2:$A447,"&lt;&gt;"),"")</f>
        <v/>
      </c>
      <c r="X447" t="str">
        <f>IF(AND($A447&lt;&gt;"",ISNUMBER($C447),$C447&gt;=DATE(2003,1,1)),COUNTIFS($C$2:$C447,"&gt;="&amp;DATE(2003,1,1),$A$2:$A447,"&lt;&gt;"),"")</f>
        <v/>
      </c>
    </row>
    <row r="448" spans="1:24">
      <c r="A448" t="str">
        <f>IF('6 Numaralar'!A50="","",'6 Numaralar'!A50)</f>
        <v/>
      </c>
      <c r="B448" t="str">
        <f>IF('6 Numaralar'!B50="","",'6 Numaralar'!B50)</f>
        <v/>
      </c>
      <c r="C448" s="2" t="str">
        <f>IF('6 Numaralar'!C50="","",'6 Numaralar'!C50)</f>
        <v/>
      </c>
      <c r="D448" t="str">
        <f ca="1">IF('6 Numaralar'!D50="","",'6 Numaralar'!D50)</f>
        <v/>
      </c>
      <c r="E448" t="str">
        <f>IF('6 Numaralar'!E50="","",'6 Numaralar'!E50)</f>
        <v>6 Numara</v>
      </c>
      <c r="F448" t="str">
        <f>IF('6 Numaralar'!G50="","",'6 Numaralar'!G50)</f>
        <v/>
      </c>
      <c r="G448" s="2" t="str">
        <f>IF('6 Numaralar'!H50="","",'6 Numaralar'!H50)</f>
        <v/>
      </c>
      <c r="H448" t="str">
        <f>IF('6 Numaralar'!I50="","",'6 Numaralar'!I50)</f>
        <v/>
      </c>
      <c r="I448" t="str">
        <f>IF('6 Numaralar'!A50="","",'6 Numaralar'!J50)</f>
        <v/>
      </c>
      <c r="J448" t="str">
        <f>IF('6 Numaralar'!A50="","",'6 Numaralar'!K50)</f>
        <v/>
      </c>
      <c r="K448" t="str">
        <f>IF('6 Numaralar'!L50="","",'6 Numaralar'!L50)</f>
        <v/>
      </c>
      <c r="L448" t="str">
        <f>IF('6 Numaralar'!M50="","",'6 Numaralar'!M50)</f>
        <v/>
      </c>
      <c r="M448" t="str">
        <f>IF('6 Numaralar'!N50="","",'6 Numaralar'!N50)</f>
        <v/>
      </c>
      <c r="N448" t="str">
        <f>IF('6 Numaralar'!O50="","",'6 Numaralar'!O50)</f>
        <v/>
      </c>
      <c r="O448" t="str">
        <f>IF('6 Numaralar'!P50="","",'6 Numaralar'!P50)</f>
        <v/>
      </c>
      <c r="P448" t="str">
        <f>IF('6 Numaralar'!Q50="","",'6 Numaralar'!Q50)</f>
        <v/>
      </c>
      <c r="Q448" t="str">
        <f>IF('6 Numaralar'!R50="","",'6 Numaralar'!R50)</f>
        <v/>
      </c>
      <c r="R448" t="str">
        <f>IF('6 Numaralar'!S50="","",'6 Numaralar'!S50)</f>
        <v/>
      </c>
      <c r="S448" t="str">
        <f>IF('6 Numaralar'!T50="","",'6 Numaralar'!T50)</f>
        <v/>
      </c>
      <c r="T448" s="2" t="str">
        <f>IF('6 Numaralar'!U50="","",'6 Numaralar'!U50)</f>
        <v/>
      </c>
      <c r="U448" t="s">
        <v>930</v>
      </c>
      <c r="V448">
        <v>50</v>
      </c>
      <c r="W448" t="str">
        <f ca="1">IF(AND($A448&lt;&gt;"",ISNUMBER($G448),$G448&gt;=TODAY(),$G448&lt;=EDATE(TODAY(),12)),COUNTIFS($G$2:$G$1001,"&gt;="&amp;TODAY(),$G$2:$G$1001,"&lt;"&amp;$G448,$A$2:$A$1001,"&lt;&gt;")+COUNTIFS($G$2:$G448,$G448,$A$2:$A448,"&lt;&gt;"),"")</f>
        <v/>
      </c>
      <c r="X448" t="str">
        <f>IF(AND($A448&lt;&gt;"",ISNUMBER($C448),$C448&gt;=DATE(2003,1,1)),COUNTIFS($C$2:$C448,"&gt;="&amp;DATE(2003,1,1),$A$2:$A448,"&lt;&gt;"),"")</f>
        <v/>
      </c>
    </row>
    <row r="449" spans="1:24">
      <c r="A449" t="str">
        <f>IF('6 Numaralar'!A51="","",'6 Numaralar'!A51)</f>
        <v/>
      </c>
      <c r="B449" t="str">
        <f>IF('6 Numaralar'!B51="","",'6 Numaralar'!B51)</f>
        <v/>
      </c>
      <c r="C449" s="2" t="str">
        <f>IF('6 Numaralar'!C51="","",'6 Numaralar'!C51)</f>
        <v/>
      </c>
      <c r="D449" t="str">
        <f ca="1">IF('6 Numaralar'!D51="","",'6 Numaralar'!D51)</f>
        <v/>
      </c>
      <c r="E449" t="str">
        <f>IF('6 Numaralar'!E51="","",'6 Numaralar'!E51)</f>
        <v>6 Numara</v>
      </c>
      <c r="F449" t="str">
        <f>IF('6 Numaralar'!G51="","",'6 Numaralar'!G51)</f>
        <v/>
      </c>
      <c r="G449" s="2" t="str">
        <f>IF('6 Numaralar'!H51="","",'6 Numaralar'!H51)</f>
        <v/>
      </c>
      <c r="H449" t="str">
        <f>IF('6 Numaralar'!I51="","",'6 Numaralar'!I51)</f>
        <v/>
      </c>
      <c r="I449" t="str">
        <f>IF('6 Numaralar'!A51="","",'6 Numaralar'!J51)</f>
        <v/>
      </c>
      <c r="J449" t="str">
        <f>IF('6 Numaralar'!A51="","",'6 Numaralar'!K51)</f>
        <v/>
      </c>
      <c r="K449" t="str">
        <f>IF('6 Numaralar'!L51="","",'6 Numaralar'!L51)</f>
        <v/>
      </c>
      <c r="L449" t="str">
        <f>IF('6 Numaralar'!M51="","",'6 Numaralar'!M51)</f>
        <v/>
      </c>
      <c r="M449" t="str">
        <f>IF('6 Numaralar'!N51="","",'6 Numaralar'!N51)</f>
        <v/>
      </c>
      <c r="N449" t="str">
        <f>IF('6 Numaralar'!O51="","",'6 Numaralar'!O51)</f>
        <v/>
      </c>
      <c r="O449" t="str">
        <f>IF('6 Numaralar'!P51="","",'6 Numaralar'!P51)</f>
        <v/>
      </c>
      <c r="P449" t="str">
        <f>IF('6 Numaralar'!Q51="","",'6 Numaralar'!Q51)</f>
        <v/>
      </c>
      <c r="Q449" t="str">
        <f>IF('6 Numaralar'!R51="","",'6 Numaralar'!R51)</f>
        <v/>
      </c>
      <c r="R449" t="str">
        <f>IF('6 Numaralar'!S51="","",'6 Numaralar'!S51)</f>
        <v/>
      </c>
      <c r="S449" t="str">
        <f>IF('6 Numaralar'!T51="","",'6 Numaralar'!T51)</f>
        <v/>
      </c>
      <c r="T449" s="2" t="str">
        <f>IF('6 Numaralar'!U51="","",'6 Numaralar'!U51)</f>
        <v/>
      </c>
      <c r="U449" t="s">
        <v>930</v>
      </c>
      <c r="V449">
        <v>51</v>
      </c>
      <c r="W449" t="str">
        <f ca="1">IF(AND($A449&lt;&gt;"",ISNUMBER($G449),$G449&gt;=TODAY(),$G449&lt;=EDATE(TODAY(),12)),COUNTIFS($G$2:$G$1001,"&gt;="&amp;TODAY(),$G$2:$G$1001,"&lt;"&amp;$G449,$A$2:$A$1001,"&lt;&gt;")+COUNTIFS($G$2:$G449,$G449,$A$2:$A449,"&lt;&gt;"),"")</f>
        <v/>
      </c>
      <c r="X449" t="str">
        <f>IF(AND($A449&lt;&gt;"",ISNUMBER($C449),$C449&gt;=DATE(2003,1,1)),COUNTIFS($C$2:$C449,"&gt;="&amp;DATE(2003,1,1),$A$2:$A449,"&lt;&gt;"),"")</f>
        <v/>
      </c>
    </row>
    <row r="450" spans="1:24">
      <c r="A450" t="str">
        <f>IF('6 Numaralar'!A52="","",'6 Numaralar'!A52)</f>
        <v/>
      </c>
      <c r="B450" t="str">
        <f>IF('6 Numaralar'!B52="","",'6 Numaralar'!B52)</f>
        <v/>
      </c>
      <c r="C450" s="2" t="str">
        <f>IF('6 Numaralar'!C52="","",'6 Numaralar'!C52)</f>
        <v/>
      </c>
      <c r="D450" t="str">
        <f ca="1">IF('6 Numaralar'!D52="","",'6 Numaralar'!D52)</f>
        <v/>
      </c>
      <c r="E450" t="str">
        <f>IF('6 Numaralar'!E52="","",'6 Numaralar'!E52)</f>
        <v>6 Numara</v>
      </c>
      <c r="F450" t="str">
        <f>IF('6 Numaralar'!G52="","",'6 Numaralar'!G52)</f>
        <v/>
      </c>
      <c r="G450" s="2" t="str">
        <f>IF('6 Numaralar'!H52="","",'6 Numaralar'!H52)</f>
        <v/>
      </c>
      <c r="H450" t="str">
        <f>IF('6 Numaralar'!I52="","",'6 Numaralar'!I52)</f>
        <v/>
      </c>
      <c r="I450" t="str">
        <f>IF('6 Numaralar'!A52="","",'6 Numaralar'!J52)</f>
        <v/>
      </c>
      <c r="J450" t="str">
        <f>IF('6 Numaralar'!A52="","",'6 Numaralar'!K52)</f>
        <v/>
      </c>
      <c r="K450" t="str">
        <f>IF('6 Numaralar'!L52="","",'6 Numaralar'!L52)</f>
        <v/>
      </c>
      <c r="L450" t="str">
        <f>IF('6 Numaralar'!M52="","",'6 Numaralar'!M52)</f>
        <v/>
      </c>
      <c r="M450" t="str">
        <f>IF('6 Numaralar'!N52="","",'6 Numaralar'!N52)</f>
        <v/>
      </c>
      <c r="N450" t="str">
        <f>IF('6 Numaralar'!O52="","",'6 Numaralar'!O52)</f>
        <v/>
      </c>
      <c r="O450" t="str">
        <f>IF('6 Numaralar'!P52="","",'6 Numaralar'!P52)</f>
        <v/>
      </c>
      <c r="P450" t="str">
        <f>IF('6 Numaralar'!Q52="","",'6 Numaralar'!Q52)</f>
        <v/>
      </c>
      <c r="Q450" t="str">
        <f>IF('6 Numaralar'!R52="","",'6 Numaralar'!R52)</f>
        <v/>
      </c>
      <c r="R450" t="str">
        <f>IF('6 Numaralar'!S52="","",'6 Numaralar'!S52)</f>
        <v/>
      </c>
      <c r="S450" t="str">
        <f>IF('6 Numaralar'!T52="","",'6 Numaralar'!T52)</f>
        <v/>
      </c>
      <c r="T450" s="2" t="str">
        <f>IF('6 Numaralar'!U52="","",'6 Numaralar'!U52)</f>
        <v/>
      </c>
      <c r="U450" t="s">
        <v>930</v>
      </c>
      <c r="V450">
        <v>52</v>
      </c>
      <c r="W450" t="str">
        <f ca="1">IF(AND($A450&lt;&gt;"",ISNUMBER($G450),$G450&gt;=TODAY(),$G450&lt;=EDATE(TODAY(),12)),COUNTIFS($G$2:$G$1001,"&gt;="&amp;TODAY(),$G$2:$G$1001,"&lt;"&amp;$G450,$A$2:$A$1001,"&lt;&gt;")+COUNTIFS($G$2:$G450,$G450,$A$2:$A450,"&lt;&gt;"),"")</f>
        <v/>
      </c>
      <c r="X450" t="str">
        <f>IF(AND($A450&lt;&gt;"",ISNUMBER($C450),$C450&gt;=DATE(2003,1,1)),COUNTIFS($C$2:$C450,"&gt;="&amp;DATE(2003,1,1),$A$2:$A450,"&lt;&gt;"),"")</f>
        <v/>
      </c>
    </row>
    <row r="451" spans="1:24">
      <c r="A451" t="str">
        <f>IF('6 Numaralar'!A53="","",'6 Numaralar'!A53)</f>
        <v/>
      </c>
      <c r="B451" t="str">
        <f>IF('6 Numaralar'!B53="","",'6 Numaralar'!B53)</f>
        <v/>
      </c>
      <c r="C451" s="2" t="str">
        <f>IF('6 Numaralar'!C53="","",'6 Numaralar'!C53)</f>
        <v/>
      </c>
      <c r="D451" t="str">
        <f ca="1">IF('6 Numaralar'!D53="","",'6 Numaralar'!D53)</f>
        <v/>
      </c>
      <c r="E451" t="str">
        <f>IF('6 Numaralar'!E53="","",'6 Numaralar'!E53)</f>
        <v>6 Numara</v>
      </c>
      <c r="F451" t="str">
        <f>IF('6 Numaralar'!G53="","",'6 Numaralar'!G53)</f>
        <v/>
      </c>
      <c r="G451" s="2" t="str">
        <f>IF('6 Numaralar'!H53="","",'6 Numaralar'!H53)</f>
        <v/>
      </c>
      <c r="H451" t="str">
        <f>IF('6 Numaralar'!I53="","",'6 Numaralar'!I53)</f>
        <v/>
      </c>
      <c r="I451" t="str">
        <f>IF('6 Numaralar'!A53="","",'6 Numaralar'!J53)</f>
        <v/>
      </c>
      <c r="J451" t="str">
        <f>IF('6 Numaralar'!A53="","",'6 Numaralar'!K53)</f>
        <v/>
      </c>
      <c r="K451" t="str">
        <f>IF('6 Numaralar'!L53="","",'6 Numaralar'!L53)</f>
        <v/>
      </c>
      <c r="L451" t="str">
        <f>IF('6 Numaralar'!M53="","",'6 Numaralar'!M53)</f>
        <v/>
      </c>
      <c r="M451" t="str">
        <f>IF('6 Numaralar'!N53="","",'6 Numaralar'!N53)</f>
        <v/>
      </c>
      <c r="N451" t="str">
        <f>IF('6 Numaralar'!O53="","",'6 Numaralar'!O53)</f>
        <v/>
      </c>
      <c r="O451" t="str">
        <f>IF('6 Numaralar'!P53="","",'6 Numaralar'!P53)</f>
        <v/>
      </c>
      <c r="P451" t="str">
        <f>IF('6 Numaralar'!Q53="","",'6 Numaralar'!Q53)</f>
        <v/>
      </c>
      <c r="Q451" t="str">
        <f>IF('6 Numaralar'!R53="","",'6 Numaralar'!R53)</f>
        <v/>
      </c>
      <c r="R451" t="str">
        <f>IF('6 Numaralar'!S53="","",'6 Numaralar'!S53)</f>
        <v/>
      </c>
      <c r="S451" t="str">
        <f>IF('6 Numaralar'!T53="","",'6 Numaralar'!T53)</f>
        <v/>
      </c>
      <c r="T451" s="2" t="str">
        <f>IF('6 Numaralar'!U53="","",'6 Numaralar'!U53)</f>
        <v/>
      </c>
      <c r="U451" t="s">
        <v>930</v>
      </c>
      <c r="V451">
        <v>53</v>
      </c>
      <c r="W451" t="str">
        <f ca="1">IF(AND($A451&lt;&gt;"",ISNUMBER($G451),$G451&gt;=TODAY(),$G451&lt;=EDATE(TODAY(),12)),COUNTIFS($G$2:$G$1001,"&gt;="&amp;TODAY(),$G$2:$G$1001,"&lt;"&amp;$G451,$A$2:$A$1001,"&lt;&gt;")+COUNTIFS($G$2:$G451,$G451,$A$2:$A451,"&lt;&gt;"),"")</f>
        <v/>
      </c>
      <c r="X451" t="str">
        <f>IF(AND($A451&lt;&gt;"",ISNUMBER($C451),$C451&gt;=DATE(2003,1,1)),COUNTIFS($C$2:$C451,"&gt;="&amp;DATE(2003,1,1),$A$2:$A451,"&lt;&gt;"),"")</f>
        <v/>
      </c>
    </row>
    <row r="452" spans="1:24">
      <c r="A452" t="str">
        <f>IF('6 Numaralar'!A54="","",'6 Numaralar'!A54)</f>
        <v/>
      </c>
      <c r="B452" t="str">
        <f>IF('6 Numaralar'!B54="","",'6 Numaralar'!B54)</f>
        <v/>
      </c>
      <c r="C452" s="2" t="str">
        <f>IF('6 Numaralar'!C54="","",'6 Numaralar'!C54)</f>
        <v/>
      </c>
      <c r="D452" t="str">
        <f ca="1">IF('6 Numaralar'!D54="","",'6 Numaralar'!D54)</f>
        <v/>
      </c>
      <c r="E452" t="str">
        <f>IF('6 Numaralar'!E54="","",'6 Numaralar'!E54)</f>
        <v>6 Numara</v>
      </c>
      <c r="F452" t="str">
        <f>IF('6 Numaralar'!G54="","",'6 Numaralar'!G54)</f>
        <v/>
      </c>
      <c r="G452" s="2" t="str">
        <f>IF('6 Numaralar'!H54="","",'6 Numaralar'!H54)</f>
        <v/>
      </c>
      <c r="H452" t="str">
        <f>IF('6 Numaralar'!I54="","",'6 Numaralar'!I54)</f>
        <v/>
      </c>
      <c r="I452" t="str">
        <f>IF('6 Numaralar'!A54="","",'6 Numaralar'!J54)</f>
        <v/>
      </c>
      <c r="J452" t="str">
        <f>IF('6 Numaralar'!A54="","",'6 Numaralar'!K54)</f>
        <v/>
      </c>
      <c r="K452" t="str">
        <f>IF('6 Numaralar'!L54="","",'6 Numaralar'!L54)</f>
        <v/>
      </c>
      <c r="L452" t="str">
        <f>IF('6 Numaralar'!M54="","",'6 Numaralar'!M54)</f>
        <v/>
      </c>
      <c r="M452" t="str">
        <f>IF('6 Numaralar'!N54="","",'6 Numaralar'!N54)</f>
        <v/>
      </c>
      <c r="N452" t="str">
        <f>IF('6 Numaralar'!O54="","",'6 Numaralar'!O54)</f>
        <v/>
      </c>
      <c r="O452" t="str">
        <f>IF('6 Numaralar'!P54="","",'6 Numaralar'!P54)</f>
        <v/>
      </c>
      <c r="P452" t="str">
        <f>IF('6 Numaralar'!Q54="","",'6 Numaralar'!Q54)</f>
        <v/>
      </c>
      <c r="Q452" t="str">
        <f>IF('6 Numaralar'!R54="","",'6 Numaralar'!R54)</f>
        <v/>
      </c>
      <c r="R452" t="str">
        <f>IF('6 Numaralar'!S54="","",'6 Numaralar'!S54)</f>
        <v/>
      </c>
      <c r="S452" t="str">
        <f>IF('6 Numaralar'!T54="","",'6 Numaralar'!T54)</f>
        <v/>
      </c>
      <c r="T452" s="2" t="str">
        <f>IF('6 Numaralar'!U54="","",'6 Numaralar'!U54)</f>
        <v/>
      </c>
      <c r="U452" t="s">
        <v>930</v>
      </c>
      <c r="V452">
        <v>54</v>
      </c>
      <c r="W452" t="str">
        <f ca="1">IF(AND($A452&lt;&gt;"",ISNUMBER($G452),$G452&gt;=TODAY(),$G452&lt;=EDATE(TODAY(),12)),COUNTIFS($G$2:$G$1001,"&gt;="&amp;TODAY(),$G$2:$G$1001,"&lt;"&amp;$G452,$A$2:$A$1001,"&lt;&gt;")+COUNTIFS($G$2:$G452,$G452,$A$2:$A452,"&lt;&gt;"),"")</f>
        <v/>
      </c>
      <c r="X452" t="str">
        <f>IF(AND($A452&lt;&gt;"",ISNUMBER($C452),$C452&gt;=DATE(2003,1,1)),COUNTIFS($C$2:$C452,"&gt;="&amp;DATE(2003,1,1),$A$2:$A452,"&lt;&gt;"),"")</f>
        <v/>
      </c>
    </row>
    <row r="453" spans="1:24">
      <c r="A453" t="str">
        <f>IF('6 Numaralar'!A55="","",'6 Numaralar'!A55)</f>
        <v/>
      </c>
      <c r="B453" t="str">
        <f>IF('6 Numaralar'!B55="","",'6 Numaralar'!B55)</f>
        <v/>
      </c>
      <c r="C453" s="2" t="str">
        <f>IF('6 Numaralar'!C55="","",'6 Numaralar'!C55)</f>
        <v/>
      </c>
      <c r="D453" t="str">
        <f ca="1">IF('6 Numaralar'!D55="","",'6 Numaralar'!D55)</f>
        <v/>
      </c>
      <c r="E453" t="str">
        <f>IF('6 Numaralar'!E55="","",'6 Numaralar'!E55)</f>
        <v>6 Numara</v>
      </c>
      <c r="F453" t="str">
        <f>IF('6 Numaralar'!G55="","",'6 Numaralar'!G55)</f>
        <v/>
      </c>
      <c r="G453" s="2" t="str">
        <f>IF('6 Numaralar'!H55="","",'6 Numaralar'!H55)</f>
        <v/>
      </c>
      <c r="H453" t="str">
        <f>IF('6 Numaralar'!I55="","",'6 Numaralar'!I55)</f>
        <v/>
      </c>
      <c r="I453" t="str">
        <f>IF('6 Numaralar'!A55="","",'6 Numaralar'!J55)</f>
        <v/>
      </c>
      <c r="J453" t="str">
        <f>IF('6 Numaralar'!A55="","",'6 Numaralar'!K55)</f>
        <v/>
      </c>
      <c r="K453" t="str">
        <f>IF('6 Numaralar'!L55="","",'6 Numaralar'!L55)</f>
        <v/>
      </c>
      <c r="L453" t="str">
        <f>IF('6 Numaralar'!M55="","",'6 Numaralar'!M55)</f>
        <v/>
      </c>
      <c r="M453" t="str">
        <f>IF('6 Numaralar'!N55="","",'6 Numaralar'!N55)</f>
        <v/>
      </c>
      <c r="N453" t="str">
        <f>IF('6 Numaralar'!O55="","",'6 Numaralar'!O55)</f>
        <v/>
      </c>
      <c r="O453" t="str">
        <f>IF('6 Numaralar'!P55="","",'6 Numaralar'!P55)</f>
        <v/>
      </c>
      <c r="P453" t="str">
        <f>IF('6 Numaralar'!Q55="","",'6 Numaralar'!Q55)</f>
        <v/>
      </c>
      <c r="Q453" t="str">
        <f>IF('6 Numaralar'!R55="","",'6 Numaralar'!R55)</f>
        <v/>
      </c>
      <c r="R453" t="str">
        <f>IF('6 Numaralar'!S55="","",'6 Numaralar'!S55)</f>
        <v/>
      </c>
      <c r="S453" t="str">
        <f>IF('6 Numaralar'!T55="","",'6 Numaralar'!T55)</f>
        <v/>
      </c>
      <c r="T453" s="2" t="str">
        <f>IF('6 Numaralar'!U55="","",'6 Numaralar'!U55)</f>
        <v/>
      </c>
      <c r="U453" t="s">
        <v>930</v>
      </c>
      <c r="V453">
        <v>55</v>
      </c>
      <c r="W453" t="str">
        <f ca="1">IF(AND($A453&lt;&gt;"",ISNUMBER($G453),$G453&gt;=TODAY(),$G453&lt;=EDATE(TODAY(),12)),COUNTIFS($G$2:$G$1001,"&gt;="&amp;TODAY(),$G$2:$G$1001,"&lt;"&amp;$G453,$A$2:$A$1001,"&lt;&gt;")+COUNTIFS($G$2:$G453,$G453,$A$2:$A453,"&lt;&gt;"),"")</f>
        <v/>
      </c>
      <c r="X453" t="str">
        <f>IF(AND($A453&lt;&gt;"",ISNUMBER($C453),$C453&gt;=DATE(2003,1,1)),COUNTIFS($C$2:$C453,"&gt;="&amp;DATE(2003,1,1),$A$2:$A453,"&lt;&gt;"),"")</f>
        <v/>
      </c>
    </row>
    <row r="454" spans="1:24">
      <c r="A454" t="str">
        <f>IF('6 Numaralar'!A56="","",'6 Numaralar'!A56)</f>
        <v/>
      </c>
      <c r="B454" t="str">
        <f>IF('6 Numaralar'!B56="","",'6 Numaralar'!B56)</f>
        <v/>
      </c>
      <c r="C454" s="2" t="str">
        <f>IF('6 Numaralar'!C56="","",'6 Numaralar'!C56)</f>
        <v/>
      </c>
      <c r="D454" t="str">
        <f ca="1">IF('6 Numaralar'!D56="","",'6 Numaralar'!D56)</f>
        <v/>
      </c>
      <c r="E454" t="str">
        <f>IF('6 Numaralar'!E56="","",'6 Numaralar'!E56)</f>
        <v>6 Numara</v>
      </c>
      <c r="F454" t="str">
        <f>IF('6 Numaralar'!G56="","",'6 Numaralar'!G56)</f>
        <v/>
      </c>
      <c r="G454" s="2" t="str">
        <f>IF('6 Numaralar'!H56="","",'6 Numaralar'!H56)</f>
        <v/>
      </c>
      <c r="H454" t="str">
        <f>IF('6 Numaralar'!I56="","",'6 Numaralar'!I56)</f>
        <v/>
      </c>
      <c r="I454" t="str">
        <f>IF('6 Numaralar'!A56="","",'6 Numaralar'!J56)</f>
        <v/>
      </c>
      <c r="J454" t="str">
        <f>IF('6 Numaralar'!A56="","",'6 Numaralar'!K56)</f>
        <v/>
      </c>
      <c r="K454" t="str">
        <f>IF('6 Numaralar'!L56="","",'6 Numaralar'!L56)</f>
        <v/>
      </c>
      <c r="L454" t="str">
        <f>IF('6 Numaralar'!M56="","",'6 Numaralar'!M56)</f>
        <v/>
      </c>
      <c r="M454" t="str">
        <f>IF('6 Numaralar'!N56="","",'6 Numaralar'!N56)</f>
        <v/>
      </c>
      <c r="N454" t="str">
        <f>IF('6 Numaralar'!O56="","",'6 Numaralar'!O56)</f>
        <v/>
      </c>
      <c r="O454" t="str">
        <f>IF('6 Numaralar'!P56="","",'6 Numaralar'!P56)</f>
        <v/>
      </c>
      <c r="P454" t="str">
        <f>IF('6 Numaralar'!Q56="","",'6 Numaralar'!Q56)</f>
        <v/>
      </c>
      <c r="Q454" t="str">
        <f>IF('6 Numaralar'!R56="","",'6 Numaralar'!R56)</f>
        <v/>
      </c>
      <c r="R454" t="str">
        <f>IF('6 Numaralar'!S56="","",'6 Numaralar'!S56)</f>
        <v/>
      </c>
      <c r="S454" t="str">
        <f>IF('6 Numaralar'!T56="","",'6 Numaralar'!T56)</f>
        <v/>
      </c>
      <c r="T454" s="2" t="str">
        <f>IF('6 Numaralar'!U56="","",'6 Numaralar'!U56)</f>
        <v/>
      </c>
      <c r="U454" t="s">
        <v>930</v>
      </c>
      <c r="V454">
        <v>56</v>
      </c>
      <c r="W454" t="str">
        <f ca="1">IF(AND($A454&lt;&gt;"",ISNUMBER($G454),$G454&gt;=TODAY(),$G454&lt;=EDATE(TODAY(),12)),COUNTIFS($G$2:$G$1001,"&gt;="&amp;TODAY(),$G$2:$G$1001,"&lt;"&amp;$G454,$A$2:$A$1001,"&lt;&gt;")+COUNTIFS($G$2:$G454,$G454,$A$2:$A454,"&lt;&gt;"),"")</f>
        <v/>
      </c>
      <c r="X454" t="str">
        <f>IF(AND($A454&lt;&gt;"",ISNUMBER($C454),$C454&gt;=DATE(2003,1,1)),COUNTIFS($C$2:$C454,"&gt;="&amp;DATE(2003,1,1),$A$2:$A454,"&lt;&gt;"),"")</f>
        <v/>
      </c>
    </row>
    <row r="455" spans="1:24">
      <c r="A455" t="str">
        <f>IF('6 Numaralar'!A57="","",'6 Numaralar'!A57)</f>
        <v/>
      </c>
      <c r="B455" t="str">
        <f>IF('6 Numaralar'!B57="","",'6 Numaralar'!B57)</f>
        <v/>
      </c>
      <c r="C455" s="2" t="str">
        <f>IF('6 Numaralar'!C57="","",'6 Numaralar'!C57)</f>
        <v/>
      </c>
      <c r="D455" t="str">
        <f ca="1">IF('6 Numaralar'!D57="","",'6 Numaralar'!D57)</f>
        <v/>
      </c>
      <c r="E455" t="str">
        <f>IF('6 Numaralar'!E57="","",'6 Numaralar'!E57)</f>
        <v>6 Numara</v>
      </c>
      <c r="F455" t="str">
        <f>IF('6 Numaralar'!G57="","",'6 Numaralar'!G57)</f>
        <v/>
      </c>
      <c r="G455" s="2" t="str">
        <f>IF('6 Numaralar'!H57="","",'6 Numaralar'!H57)</f>
        <v/>
      </c>
      <c r="H455" t="str">
        <f>IF('6 Numaralar'!I57="","",'6 Numaralar'!I57)</f>
        <v/>
      </c>
      <c r="I455" t="str">
        <f>IF('6 Numaralar'!A57="","",'6 Numaralar'!J57)</f>
        <v/>
      </c>
      <c r="J455" t="str">
        <f>IF('6 Numaralar'!A57="","",'6 Numaralar'!K57)</f>
        <v/>
      </c>
      <c r="K455" t="str">
        <f>IF('6 Numaralar'!L57="","",'6 Numaralar'!L57)</f>
        <v/>
      </c>
      <c r="L455" t="str">
        <f>IF('6 Numaralar'!M57="","",'6 Numaralar'!M57)</f>
        <v/>
      </c>
      <c r="M455" t="str">
        <f>IF('6 Numaralar'!N57="","",'6 Numaralar'!N57)</f>
        <v/>
      </c>
      <c r="N455" t="str">
        <f>IF('6 Numaralar'!O57="","",'6 Numaralar'!O57)</f>
        <v/>
      </c>
      <c r="O455" t="str">
        <f>IF('6 Numaralar'!P57="","",'6 Numaralar'!P57)</f>
        <v/>
      </c>
      <c r="P455" t="str">
        <f>IF('6 Numaralar'!Q57="","",'6 Numaralar'!Q57)</f>
        <v/>
      </c>
      <c r="Q455" t="str">
        <f>IF('6 Numaralar'!R57="","",'6 Numaralar'!R57)</f>
        <v/>
      </c>
      <c r="R455" t="str">
        <f>IF('6 Numaralar'!S57="","",'6 Numaralar'!S57)</f>
        <v/>
      </c>
      <c r="S455" t="str">
        <f>IF('6 Numaralar'!T57="","",'6 Numaralar'!T57)</f>
        <v/>
      </c>
      <c r="T455" s="2" t="str">
        <f>IF('6 Numaralar'!U57="","",'6 Numaralar'!U57)</f>
        <v/>
      </c>
      <c r="U455" t="s">
        <v>930</v>
      </c>
      <c r="V455">
        <v>57</v>
      </c>
      <c r="W455" t="str">
        <f ca="1">IF(AND($A455&lt;&gt;"",ISNUMBER($G455),$G455&gt;=TODAY(),$G455&lt;=EDATE(TODAY(),12)),COUNTIFS($G$2:$G$1001,"&gt;="&amp;TODAY(),$G$2:$G$1001,"&lt;"&amp;$G455,$A$2:$A$1001,"&lt;&gt;")+COUNTIFS($G$2:$G455,$G455,$A$2:$A455,"&lt;&gt;"),"")</f>
        <v/>
      </c>
      <c r="X455" t="str">
        <f>IF(AND($A455&lt;&gt;"",ISNUMBER($C455),$C455&gt;=DATE(2003,1,1)),COUNTIFS($C$2:$C455,"&gt;="&amp;DATE(2003,1,1),$A$2:$A455,"&lt;&gt;"),"")</f>
        <v/>
      </c>
    </row>
    <row r="456" spans="1:24">
      <c r="A456" t="str">
        <f>IF('6 Numaralar'!A58="","",'6 Numaralar'!A58)</f>
        <v/>
      </c>
      <c r="B456" t="str">
        <f>IF('6 Numaralar'!B58="","",'6 Numaralar'!B58)</f>
        <v/>
      </c>
      <c r="C456" s="2" t="str">
        <f>IF('6 Numaralar'!C58="","",'6 Numaralar'!C58)</f>
        <v/>
      </c>
      <c r="D456" t="str">
        <f ca="1">IF('6 Numaralar'!D58="","",'6 Numaralar'!D58)</f>
        <v/>
      </c>
      <c r="E456" t="str">
        <f>IF('6 Numaralar'!E58="","",'6 Numaralar'!E58)</f>
        <v>6 Numara</v>
      </c>
      <c r="F456" t="str">
        <f>IF('6 Numaralar'!G58="","",'6 Numaralar'!G58)</f>
        <v/>
      </c>
      <c r="G456" s="2" t="str">
        <f>IF('6 Numaralar'!H58="","",'6 Numaralar'!H58)</f>
        <v/>
      </c>
      <c r="H456" t="str">
        <f>IF('6 Numaralar'!I58="","",'6 Numaralar'!I58)</f>
        <v/>
      </c>
      <c r="I456" t="str">
        <f>IF('6 Numaralar'!A58="","",'6 Numaralar'!J58)</f>
        <v/>
      </c>
      <c r="J456" t="str">
        <f>IF('6 Numaralar'!A58="","",'6 Numaralar'!K58)</f>
        <v/>
      </c>
      <c r="K456" t="str">
        <f>IF('6 Numaralar'!L58="","",'6 Numaralar'!L58)</f>
        <v/>
      </c>
      <c r="L456" t="str">
        <f>IF('6 Numaralar'!M58="","",'6 Numaralar'!M58)</f>
        <v/>
      </c>
      <c r="M456" t="str">
        <f>IF('6 Numaralar'!N58="","",'6 Numaralar'!N58)</f>
        <v/>
      </c>
      <c r="N456" t="str">
        <f>IF('6 Numaralar'!O58="","",'6 Numaralar'!O58)</f>
        <v/>
      </c>
      <c r="O456" t="str">
        <f>IF('6 Numaralar'!P58="","",'6 Numaralar'!P58)</f>
        <v/>
      </c>
      <c r="P456" t="str">
        <f>IF('6 Numaralar'!Q58="","",'6 Numaralar'!Q58)</f>
        <v/>
      </c>
      <c r="Q456" t="str">
        <f>IF('6 Numaralar'!R58="","",'6 Numaralar'!R58)</f>
        <v/>
      </c>
      <c r="R456" t="str">
        <f>IF('6 Numaralar'!S58="","",'6 Numaralar'!S58)</f>
        <v/>
      </c>
      <c r="S456" t="str">
        <f>IF('6 Numaralar'!T58="","",'6 Numaralar'!T58)</f>
        <v/>
      </c>
      <c r="T456" s="2" t="str">
        <f>IF('6 Numaralar'!U58="","",'6 Numaralar'!U58)</f>
        <v/>
      </c>
      <c r="U456" t="s">
        <v>930</v>
      </c>
      <c r="V456">
        <v>58</v>
      </c>
      <c r="W456" t="str">
        <f ca="1">IF(AND($A456&lt;&gt;"",ISNUMBER($G456),$G456&gt;=TODAY(),$G456&lt;=EDATE(TODAY(),12)),COUNTIFS($G$2:$G$1001,"&gt;="&amp;TODAY(),$G$2:$G$1001,"&lt;"&amp;$G456,$A$2:$A$1001,"&lt;&gt;")+COUNTIFS($G$2:$G456,$G456,$A$2:$A456,"&lt;&gt;"),"")</f>
        <v/>
      </c>
      <c r="X456" t="str">
        <f>IF(AND($A456&lt;&gt;"",ISNUMBER($C456),$C456&gt;=DATE(2003,1,1)),COUNTIFS($C$2:$C456,"&gt;="&amp;DATE(2003,1,1),$A$2:$A456,"&lt;&gt;"),"")</f>
        <v/>
      </c>
    </row>
    <row r="457" spans="1:24">
      <c r="A457" t="str">
        <f>IF('6 Numaralar'!A59="","",'6 Numaralar'!A59)</f>
        <v/>
      </c>
      <c r="B457" t="str">
        <f>IF('6 Numaralar'!B59="","",'6 Numaralar'!B59)</f>
        <v/>
      </c>
      <c r="C457" s="2" t="str">
        <f>IF('6 Numaralar'!C59="","",'6 Numaralar'!C59)</f>
        <v/>
      </c>
      <c r="D457" t="str">
        <f ca="1">IF('6 Numaralar'!D59="","",'6 Numaralar'!D59)</f>
        <v/>
      </c>
      <c r="E457" t="str">
        <f>IF('6 Numaralar'!E59="","",'6 Numaralar'!E59)</f>
        <v>6 Numara</v>
      </c>
      <c r="F457" t="str">
        <f>IF('6 Numaralar'!G59="","",'6 Numaralar'!G59)</f>
        <v/>
      </c>
      <c r="G457" s="2" t="str">
        <f>IF('6 Numaralar'!H59="","",'6 Numaralar'!H59)</f>
        <v/>
      </c>
      <c r="H457" t="str">
        <f>IF('6 Numaralar'!I59="","",'6 Numaralar'!I59)</f>
        <v/>
      </c>
      <c r="I457" t="str">
        <f>IF('6 Numaralar'!A59="","",'6 Numaralar'!J59)</f>
        <v/>
      </c>
      <c r="J457" t="str">
        <f>IF('6 Numaralar'!A59="","",'6 Numaralar'!K59)</f>
        <v/>
      </c>
      <c r="K457" t="str">
        <f>IF('6 Numaralar'!L59="","",'6 Numaralar'!L59)</f>
        <v/>
      </c>
      <c r="L457" t="str">
        <f>IF('6 Numaralar'!M59="","",'6 Numaralar'!M59)</f>
        <v/>
      </c>
      <c r="M457" t="str">
        <f>IF('6 Numaralar'!N59="","",'6 Numaralar'!N59)</f>
        <v/>
      </c>
      <c r="N457" t="str">
        <f>IF('6 Numaralar'!O59="","",'6 Numaralar'!O59)</f>
        <v/>
      </c>
      <c r="O457" t="str">
        <f>IF('6 Numaralar'!P59="","",'6 Numaralar'!P59)</f>
        <v/>
      </c>
      <c r="P457" t="str">
        <f>IF('6 Numaralar'!Q59="","",'6 Numaralar'!Q59)</f>
        <v/>
      </c>
      <c r="Q457" t="str">
        <f>IF('6 Numaralar'!R59="","",'6 Numaralar'!R59)</f>
        <v/>
      </c>
      <c r="R457" t="str">
        <f>IF('6 Numaralar'!S59="","",'6 Numaralar'!S59)</f>
        <v/>
      </c>
      <c r="S457" t="str">
        <f>IF('6 Numaralar'!T59="","",'6 Numaralar'!T59)</f>
        <v/>
      </c>
      <c r="T457" s="2" t="str">
        <f>IF('6 Numaralar'!U59="","",'6 Numaralar'!U59)</f>
        <v/>
      </c>
      <c r="U457" t="s">
        <v>930</v>
      </c>
      <c r="V457">
        <v>59</v>
      </c>
      <c r="W457" t="str">
        <f ca="1">IF(AND($A457&lt;&gt;"",ISNUMBER($G457),$G457&gt;=TODAY(),$G457&lt;=EDATE(TODAY(),12)),COUNTIFS($G$2:$G$1001,"&gt;="&amp;TODAY(),$G$2:$G$1001,"&lt;"&amp;$G457,$A$2:$A$1001,"&lt;&gt;")+COUNTIFS($G$2:$G457,$G457,$A$2:$A457,"&lt;&gt;"),"")</f>
        <v/>
      </c>
      <c r="X457" t="str">
        <f>IF(AND($A457&lt;&gt;"",ISNUMBER($C457),$C457&gt;=DATE(2003,1,1)),COUNTIFS($C$2:$C457,"&gt;="&amp;DATE(2003,1,1),$A$2:$A457,"&lt;&gt;"),"")</f>
        <v/>
      </c>
    </row>
    <row r="458" spans="1:24">
      <c r="A458" t="str">
        <f>IF('6 Numaralar'!A60="","",'6 Numaralar'!A60)</f>
        <v/>
      </c>
      <c r="B458" t="str">
        <f>IF('6 Numaralar'!B60="","",'6 Numaralar'!B60)</f>
        <v/>
      </c>
      <c r="C458" s="2" t="str">
        <f>IF('6 Numaralar'!C60="","",'6 Numaralar'!C60)</f>
        <v/>
      </c>
      <c r="D458" t="str">
        <f ca="1">IF('6 Numaralar'!D60="","",'6 Numaralar'!D60)</f>
        <v/>
      </c>
      <c r="E458" t="str">
        <f>IF('6 Numaralar'!E60="","",'6 Numaralar'!E60)</f>
        <v>6 Numara</v>
      </c>
      <c r="F458" t="str">
        <f>IF('6 Numaralar'!G60="","",'6 Numaralar'!G60)</f>
        <v/>
      </c>
      <c r="G458" s="2" t="str">
        <f>IF('6 Numaralar'!H60="","",'6 Numaralar'!H60)</f>
        <v/>
      </c>
      <c r="H458" t="str">
        <f>IF('6 Numaralar'!I60="","",'6 Numaralar'!I60)</f>
        <v/>
      </c>
      <c r="I458" t="str">
        <f>IF('6 Numaralar'!A60="","",'6 Numaralar'!J60)</f>
        <v/>
      </c>
      <c r="J458" t="str">
        <f>IF('6 Numaralar'!A60="","",'6 Numaralar'!K60)</f>
        <v/>
      </c>
      <c r="K458" t="str">
        <f>IF('6 Numaralar'!L60="","",'6 Numaralar'!L60)</f>
        <v/>
      </c>
      <c r="L458" t="str">
        <f>IF('6 Numaralar'!M60="","",'6 Numaralar'!M60)</f>
        <v/>
      </c>
      <c r="M458" t="str">
        <f>IF('6 Numaralar'!N60="","",'6 Numaralar'!N60)</f>
        <v/>
      </c>
      <c r="N458" t="str">
        <f>IF('6 Numaralar'!O60="","",'6 Numaralar'!O60)</f>
        <v/>
      </c>
      <c r="O458" t="str">
        <f>IF('6 Numaralar'!P60="","",'6 Numaralar'!P60)</f>
        <v/>
      </c>
      <c r="P458" t="str">
        <f>IF('6 Numaralar'!Q60="","",'6 Numaralar'!Q60)</f>
        <v/>
      </c>
      <c r="Q458" t="str">
        <f>IF('6 Numaralar'!R60="","",'6 Numaralar'!R60)</f>
        <v/>
      </c>
      <c r="R458" t="str">
        <f>IF('6 Numaralar'!S60="","",'6 Numaralar'!S60)</f>
        <v/>
      </c>
      <c r="S458" t="str">
        <f>IF('6 Numaralar'!T60="","",'6 Numaralar'!T60)</f>
        <v/>
      </c>
      <c r="T458" s="2" t="str">
        <f>IF('6 Numaralar'!U60="","",'6 Numaralar'!U60)</f>
        <v/>
      </c>
      <c r="U458" t="s">
        <v>930</v>
      </c>
      <c r="V458">
        <v>60</v>
      </c>
      <c r="W458" t="str">
        <f ca="1">IF(AND($A458&lt;&gt;"",ISNUMBER($G458),$G458&gt;=TODAY(),$G458&lt;=EDATE(TODAY(),12)),COUNTIFS($G$2:$G$1001,"&gt;="&amp;TODAY(),$G$2:$G$1001,"&lt;"&amp;$G458,$A$2:$A$1001,"&lt;&gt;")+COUNTIFS($G$2:$G458,$G458,$A$2:$A458,"&lt;&gt;"),"")</f>
        <v/>
      </c>
      <c r="X458" t="str">
        <f>IF(AND($A458&lt;&gt;"",ISNUMBER($C458),$C458&gt;=DATE(2003,1,1)),COUNTIFS($C$2:$C458,"&gt;="&amp;DATE(2003,1,1),$A$2:$A458,"&lt;&gt;"),"")</f>
        <v/>
      </c>
    </row>
    <row r="459" spans="1:24">
      <c r="A459" t="str">
        <f>IF('6 Numaralar'!A61="","",'6 Numaralar'!A61)</f>
        <v/>
      </c>
      <c r="B459" t="str">
        <f>IF('6 Numaralar'!B61="","",'6 Numaralar'!B61)</f>
        <v/>
      </c>
      <c r="C459" s="2" t="str">
        <f>IF('6 Numaralar'!C61="","",'6 Numaralar'!C61)</f>
        <v/>
      </c>
      <c r="D459" t="str">
        <f ca="1">IF('6 Numaralar'!D61="","",'6 Numaralar'!D61)</f>
        <v/>
      </c>
      <c r="E459" t="str">
        <f>IF('6 Numaralar'!E61="","",'6 Numaralar'!E61)</f>
        <v>6 Numara</v>
      </c>
      <c r="F459" t="str">
        <f>IF('6 Numaralar'!G61="","",'6 Numaralar'!G61)</f>
        <v/>
      </c>
      <c r="G459" s="2" t="str">
        <f>IF('6 Numaralar'!H61="","",'6 Numaralar'!H61)</f>
        <v/>
      </c>
      <c r="H459" t="str">
        <f>IF('6 Numaralar'!I61="","",'6 Numaralar'!I61)</f>
        <v/>
      </c>
      <c r="I459" t="str">
        <f>IF('6 Numaralar'!A61="","",'6 Numaralar'!J61)</f>
        <v/>
      </c>
      <c r="J459" t="str">
        <f>IF('6 Numaralar'!A61="","",'6 Numaralar'!K61)</f>
        <v/>
      </c>
      <c r="K459" t="str">
        <f>IF('6 Numaralar'!L61="","",'6 Numaralar'!L61)</f>
        <v/>
      </c>
      <c r="L459" t="str">
        <f>IF('6 Numaralar'!M61="","",'6 Numaralar'!M61)</f>
        <v/>
      </c>
      <c r="M459" t="str">
        <f>IF('6 Numaralar'!N61="","",'6 Numaralar'!N61)</f>
        <v/>
      </c>
      <c r="N459" t="str">
        <f>IF('6 Numaralar'!O61="","",'6 Numaralar'!O61)</f>
        <v/>
      </c>
      <c r="O459" t="str">
        <f>IF('6 Numaralar'!P61="","",'6 Numaralar'!P61)</f>
        <v/>
      </c>
      <c r="P459" t="str">
        <f>IF('6 Numaralar'!Q61="","",'6 Numaralar'!Q61)</f>
        <v/>
      </c>
      <c r="Q459" t="str">
        <f>IF('6 Numaralar'!R61="","",'6 Numaralar'!R61)</f>
        <v/>
      </c>
      <c r="R459" t="str">
        <f>IF('6 Numaralar'!S61="","",'6 Numaralar'!S61)</f>
        <v/>
      </c>
      <c r="S459" t="str">
        <f>IF('6 Numaralar'!T61="","",'6 Numaralar'!T61)</f>
        <v/>
      </c>
      <c r="T459" s="2" t="str">
        <f>IF('6 Numaralar'!U61="","",'6 Numaralar'!U61)</f>
        <v/>
      </c>
      <c r="U459" t="s">
        <v>930</v>
      </c>
      <c r="V459">
        <v>61</v>
      </c>
      <c r="W459" t="str">
        <f ca="1">IF(AND($A459&lt;&gt;"",ISNUMBER($G459),$G459&gt;=TODAY(),$G459&lt;=EDATE(TODAY(),12)),COUNTIFS($G$2:$G$1001,"&gt;="&amp;TODAY(),$G$2:$G$1001,"&lt;"&amp;$G459,$A$2:$A$1001,"&lt;&gt;")+COUNTIFS($G$2:$G459,$G459,$A$2:$A459,"&lt;&gt;"),"")</f>
        <v/>
      </c>
      <c r="X459" t="str">
        <f>IF(AND($A459&lt;&gt;"",ISNUMBER($C459),$C459&gt;=DATE(2003,1,1)),COUNTIFS($C$2:$C459,"&gt;="&amp;DATE(2003,1,1),$A$2:$A459,"&lt;&gt;"),"")</f>
        <v/>
      </c>
    </row>
    <row r="460" spans="1:24">
      <c r="A460" t="str">
        <f>IF('6 Numaralar'!A62="","",'6 Numaralar'!A62)</f>
        <v/>
      </c>
      <c r="B460" t="str">
        <f>IF('6 Numaralar'!B62="","",'6 Numaralar'!B62)</f>
        <v/>
      </c>
      <c r="C460" s="2" t="str">
        <f>IF('6 Numaralar'!C62="","",'6 Numaralar'!C62)</f>
        <v/>
      </c>
      <c r="D460" t="str">
        <f ca="1">IF('6 Numaralar'!D62="","",'6 Numaralar'!D62)</f>
        <v/>
      </c>
      <c r="E460" t="str">
        <f>IF('6 Numaralar'!E62="","",'6 Numaralar'!E62)</f>
        <v>6 Numara</v>
      </c>
      <c r="F460" t="str">
        <f>IF('6 Numaralar'!G62="","",'6 Numaralar'!G62)</f>
        <v/>
      </c>
      <c r="G460" s="2" t="str">
        <f>IF('6 Numaralar'!H62="","",'6 Numaralar'!H62)</f>
        <v/>
      </c>
      <c r="H460" t="str">
        <f>IF('6 Numaralar'!I62="","",'6 Numaralar'!I62)</f>
        <v/>
      </c>
      <c r="I460" t="str">
        <f>IF('6 Numaralar'!A62="","",'6 Numaralar'!J62)</f>
        <v/>
      </c>
      <c r="J460" t="str">
        <f>IF('6 Numaralar'!A62="","",'6 Numaralar'!K62)</f>
        <v/>
      </c>
      <c r="K460" t="str">
        <f>IF('6 Numaralar'!L62="","",'6 Numaralar'!L62)</f>
        <v/>
      </c>
      <c r="L460" t="str">
        <f>IF('6 Numaralar'!M62="","",'6 Numaralar'!M62)</f>
        <v/>
      </c>
      <c r="M460" t="str">
        <f>IF('6 Numaralar'!N62="","",'6 Numaralar'!N62)</f>
        <v/>
      </c>
      <c r="N460" t="str">
        <f>IF('6 Numaralar'!O62="","",'6 Numaralar'!O62)</f>
        <v/>
      </c>
      <c r="O460" t="str">
        <f>IF('6 Numaralar'!P62="","",'6 Numaralar'!P62)</f>
        <v/>
      </c>
      <c r="P460" t="str">
        <f>IF('6 Numaralar'!Q62="","",'6 Numaralar'!Q62)</f>
        <v/>
      </c>
      <c r="Q460" t="str">
        <f>IF('6 Numaralar'!R62="","",'6 Numaralar'!R62)</f>
        <v/>
      </c>
      <c r="R460" t="str">
        <f>IF('6 Numaralar'!S62="","",'6 Numaralar'!S62)</f>
        <v/>
      </c>
      <c r="S460" t="str">
        <f>IF('6 Numaralar'!T62="","",'6 Numaralar'!T62)</f>
        <v/>
      </c>
      <c r="T460" s="2" t="str">
        <f>IF('6 Numaralar'!U62="","",'6 Numaralar'!U62)</f>
        <v/>
      </c>
      <c r="U460" t="s">
        <v>930</v>
      </c>
      <c r="V460">
        <v>62</v>
      </c>
      <c r="W460" t="str">
        <f ca="1">IF(AND($A460&lt;&gt;"",ISNUMBER($G460),$G460&gt;=TODAY(),$G460&lt;=EDATE(TODAY(),12)),COUNTIFS($G$2:$G$1001,"&gt;="&amp;TODAY(),$G$2:$G$1001,"&lt;"&amp;$G460,$A$2:$A$1001,"&lt;&gt;")+COUNTIFS($G$2:$G460,$G460,$A$2:$A460,"&lt;&gt;"),"")</f>
        <v/>
      </c>
      <c r="X460" t="str">
        <f>IF(AND($A460&lt;&gt;"",ISNUMBER($C460),$C460&gt;=DATE(2003,1,1)),COUNTIFS($C$2:$C460,"&gt;="&amp;DATE(2003,1,1),$A$2:$A460,"&lt;&gt;"),"")</f>
        <v/>
      </c>
    </row>
    <row r="461" spans="1:24">
      <c r="A461" t="str">
        <f>IF('6 Numaralar'!A63="","",'6 Numaralar'!A63)</f>
        <v/>
      </c>
      <c r="B461" t="str">
        <f>IF('6 Numaralar'!B63="","",'6 Numaralar'!B63)</f>
        <v/>
      </c>
      <c r="C461" s="2" t="str">
        <f>IF('6 Numaralar'!C63="","",'6 Numaralar'!C63)</f>
        <v/>
      </c>
      <c r="D461" t="str">
        <f ca="1">IF('6 Numaralar'!D63="","",'6 Numaralar'!D63)</f>
        <v/>
      </c>
      <c r="E461" t="str">
        <f>IF('6 Numaralar'!E63="","",'6 Numaralar'!E63)</f>
        <v>6 Numara</v>
      </c>
      <c r="F461" t="str">
        <f>IF('6 Numaralar'!G63="","",'6 Numaralar'!G63)</f>
        <v/>
      </c>
      <c r="G461" s="2" t="str">
        <f>IF('6 Numaralar'!H63="","",'6 Numaralar'!H63)</f>
        <v/>
      </c>
      <c r="H461" t="str">
        <f>IF('6 Numaralar'!I63="","",'6 Numaralar'!I63)</f>
        <v/>
      </c>
      <c r="I461" t="str">
        <f>IF('6 Numaralar'!A63="","",'6 Numaralar'!J63)</f>
        <v/>
      </c>
      <c r="J461" t="str">
        <f>IF('6 Numaralar'!A63="","",'6 Numaralar'!K63)</f>
        <v/>
      </c>
      <c r="K461" t="str">
        <f>IF('6 Numaralar'!L63="","",'6 Numaralar'!L63)</f>
        <v/>
      </c>
      <c r="L461" t="str">
        <f>IF('6 Numaralar'!M63="","",'6 Numaralar'!M63)</f>
        <v/>
      </c>
      <c r="M461" t="str">
        <f>IF('6 Numaralar'!N63="","",'6 Numaralar'!N63)</f>
        <v/>
      </c>
      <c r="N461" t="str">
        <f>IF('6 Numaralar'!O63="","",'6 Numaralar'!O63)</f>
        <v/>
      </c>
      <c r="O461" t="str">
        <f>IF('6 Numaralar'!P63="","",'6 Numaralar'!P63)</f>
        <v/>
      </c>
      <c r="P461" t="str">
        <f>IF('6 Numaralar'!Q63="","",'6 Numaralar'!Q63)</f>
        <v/>
      </c>
      <c r="Q461" t="str">
        <f>IF('6 Numaralar'!R63="","",'6 Numaralar'!R63)</f>
        <v/>
      </c>
      <c r="R461" t="str">
        <f>IF('6 Numaralar'!S63="","",'6 Numaralar'!S63)</f>
        <v/>
      </c>
      <c r="S461" t="str">
        <f>IF('6 Numaralar'!T63="","",'6 Numaralar'!T63)</f>
        <v/>
      </c>
      <c r="T461" s="2" t="str">
        <f>IF('6 Numaralar'!U63="","",'6 Numaralar'!U63)</f>
        <v/>
      </c>
      <c r="U461" t="s">
        <v>930</v>
      </c>
      <c r="V461">
        <v>63</v>
      </c>
      <c r="W461" t="str">
        <f ca="1">IF(AND($A461&lt;&gt;"",ISNUMBER($G461),$G461&gt;=TODAY(),$G461&lt;=EDATE(TODAY(),12)),COUNTIFS($G$2:$G$1001,"&gt;="&amp;TODAY(),$G$2:$G$1001,"&lt;"&amp;$G461,$A$2:$A$1001,"&lt;&gt;")+COUNTIFS($G$2:$G461,$G461,$A$2:$A461,"&lt;&gt;"),"")</f>
        <v/>
      </c>
      <c r="X461" t="str">
        <f>IF(AND($A461&lt;&gt;"",ISNUMBER($C461),$C461&gt;=DATE(2003,1,1)),COUNTIFS($C$2:$C461,"&gt;="&amp;DATE(2003,1,1),$A$2:$A461,"&lt;&gt;"),"")</f>
        <v/>
      </c>
    </row>
    <row r="462" spans="1:24">
      <c r="A462" t="str">
        <f>IF('6 Numaralar'!A64="","",'6 Numaralar'!A64)</f>
        <v/>
      </c>
      <c r="B462" t="str">
        <f>IF('6 Numaralar'!B64="","",'6 Numaralar'!B64)</f>
        <v/>
      </c>
      <c r="C462" s="2" t="str">
        <f>IF('6 Numaralar'!C64="","",'6 Numaralar'!C64)</f>
        <v/>
      </c>
      <c r="D462" t="str">
        <f ca="1">IF('6 Numaralar'!D64="","",'6 Numaralar'!D64)</f>
        <v/>
      </c>
      <c r="E462" t="str">
        <f>IF('6 Numaralar'!E64="","",'6 Numaralar'!E64)</f>
        <v>6 Numara</v>
      </c>
      <c r="F462" t="str">
        <f>IF('6 Numaralar'!G64="","",'6 Numaralar'!G64)</f>
        <v/>
      </c>
      <c r="G462" s="2" t="str">
        <f>IF('6 Numaralar'!H64="","",'6 Numaralar'!H64)</f>
        <v/>
      </c>
      <c r="H462" t="str">
        <f>IF('6 Numaralar'!I64="","",'6 Numaralar'!I64)</f>
        <v/>
      </c>
      <c r="I462" t="str">
        <f>IF('6 Numaralar'!A64="","",'6 Numaralar'!J64)</f>
        <v/>
      </c>
      <c r="J462" t="str">
        <f>IF('6 Numaralar'!A64="","",'6 Numaralar'!K64)</f>
        <v/>
      </c>
      <c r="K462" t="str">
        <f>IF('6 Numaralar'!L64="","",'6 Numaralar'!L64)</f>
        <v/>
      </c>
      <c r="L462" t="str">
        <f>IF('6 Numaralar'!M64="","",'6 Numaralar'!M64)</f>
        <v/>
      </c>
      <c r="M462" t="str">
        <f>IF('6 Numaralar'!N64="","",'6 Numaralar'!N64)</f>
        <v/>
      </c>
      <c r="N462" t="str">
        <f>IF('6 Numaralar'!O64="","",'6 Numaralar'!O64)</f>
        <v/>
      </c>
      <c r="O462" t="str">
        <f>IF('6 Numaralar'!P64="","",'6 Numaralar'!P64)</f>
        <v/>
      </c>
      <c r="P462" t="str">
        <f>IF('6 Numaralar'!Q64="","",'6 Numaralar'!Q64)</f>
        <v/>
      </c>
      <c r="Q462" t="str">
        <f>IF('6 Numaralar'!R64="","",'6 Numaralar'!R64)</f>
        <v/>
      </c>
      <c r="R462" t="str">
        <f>IF('6 Numaralar'!S64="","",'6 Numaralar'!S64)</f>
        <v/>
      </c>
      <c r="S462" t="str">
        <f>IF('6 Numaralar'!T64="","",'6 Numaralar'!T64)</f>
        <v/>
      </c>
      <c r="T462" s="2" t="str">
        <f>IF('6 Numaralar'!U64="","",'6 Numaralar'!U64)</f>
        <v/>
      </c>
      <c r="U462" t="s">
        <v>930</v>
      </c>
      <c r="V462">
        <v>64</v>
      </c>
      <c r="W462" t="str">
        <f ca="1">IF(AND($A462&lt;&gt;"",ISNUMBER($G462),$G462&gt;=TODAY(),$G462&lt;=EDATE(TODAY(),12)),COUNTIFS($G$2:$G$1001,"&gt;="&amp;TODAY(),$G$2:$G$1001,"&lt;"&amp;$G462,$A$2:$A$1001,"&lt;&gt;")+COUNTIFS($G$2:$G462,$G462,$A$2:$A462,"&lt;&gt;"),"")</f>
        <v/>
      </c>
      <c r="X462" t="str">
        <f>IF(AND($A462&lt;&gt;"",ISNUMBER($C462),$C462&gt;=DATE(2003,1,1)),COUNTIFS($C$2:$C462,"&gt;="&amp;DATE(2003,1,1),$A$2:$A462,"&lt;&gt;"),"")</f>
        <v/>
      </c>
    </row>
    <row r="463" spans="1:24">
      <c r="A463" t="str">
        <f>IF('6 Numaralar'!A65="","",'6 Numaralar'!A65)</f>
        <v/>
      </c>
      <c r="B463" t="str">
        <f>IF('6 Numaralar'!B65="","",'6 Numaralar'!B65)</f>
        <v/>
      </c>
      <c r="C463" s="2" t="str">
        <f>IF('6 Numaralar'!C65="","",'6 Numaralar'!C65)</f>
        <v/>
      </c>
      <c r="D463" t="str">
        <f ca="1">IF('6 Numaralar'!D65="","",'6 Numaralar'!D65)</f>
        <v/>
      </c>
      <c r="E463" t="str">
        <f>IF('6 Numaralar'!E65="","",'6 Numaralar'!E65)</f>
        <v>6 Numara</v>
      </c>
      <c r="F463" t="str">
        <f>IF('6 Numaralar'!G65="","",'6 Numaralar'!G65)</f>
        <v/>
      </c>
      <c r="G463" s="2" t="str">
        <f>IF('6 Numaralar'!H65="","",'6 Numaralar'!H65)</f>
        <v/>
      </c>
      <c r="H463" t="str">
        <f>IF('6 Numaralar'!I65="","",'6 Numaralar'!I65)</f>
        <v/>
      </c>
      <c r="I463" t="str">
        <f>IF('6 Numaralar'!A65="","",'6 Numaralar'!J65)</f>
        <v/>
      </c>
      <c r="J463" t="str">
        <f>IF('6 Numaralar'!A65="","",'6 Numaralar'!K65)</f>
        <v/>
      </c>
      <c r="K463" t="str">
        <f>IF('6 Numaralar'!L65="","",'6 Numaralar'!L65)</f>
        <v/>
      </c>
      <c r="L463" t="str">
        <f>IF('6 Numaralar'!M65="","",'6 Numaralar'!M65)</f>
        <v/>
      </c>
      <c r="M463" t="str">
        <f>IF('6 Numaralar'!N65="","",'6 Numaralar'!N65)</f>
        <v/>
      </c>
      <c r="N463" t="str">
        <f>IF('6 Numaralar'!O65="","",'6 Numaralar'!O65)</f>
        <v/>
      </c>
      <c r="O463" t="str">
        <f>IF('6 Numaralar'!P65="","",'6 Numaralar'!P65)</f>
        <v/>
      </c>
      <c r="P463" t="str">
        <f>IF('6 Numaralar'!Q65="","",'6 Numaralar'!Q65)</f>
        <v/>
      </c>
      <c r="Q463" t="str">
        <f>IF('6 Numaralar'!R65="","",'6 Numaralar'!R65)</f>
        <v/>
      </c>
      <c r="R463" t="str">
        <f>IF('6 Numaralar'!S65="","",'6 Numaralar'!S65)</f>
        <v/>
      </c>
      <c r="S463" t="str">
        <f>IF('6 Numaralar'!T65="","",'6 Numaralar'!T65)</f>
        <v/>
      </c>
      <c r="T463" s="2" t="str">
        <f>IF('6 Numaralar'!U65="","",'6 Numaralar'!U65)</f>
        <v/>
      </c>
      <c r="U463" t="s">
        <v>930</v>
      </c>
      <c r="V463">
        <v>65</v>
      </c>
      <c r="W463" t="str">
        <f ca="1">IF(AND($A463&lt;&gt;"",ISNUMBER($G463),$G463&gt;=TODAY(),$G463&lt;=EDATE(TODAY(),12)),COUNTIFS($G$2:$G$1001,"&gt;="&amp;TODAY(),$G$2:$G$1001,"&lt;"&amp;$G463,$A$2:$A$1001,"&lt;&gt;")+COUNTIFS($G$2:$G463,$G463,$A$2:$A463,"&lt;&gt;"),"")</f>
        <v/>
      </c>
      <c r="X463" t="str">
        <f>IF(AND($A463&lt;&gt;"",ISNUMBER($C463),$C463&gt;=DATE(2003,1,1)),COUNTIFS($C$2:$C463,"&gt;="&amp;DATE(2003,1,1),$A$2:$A463,"&lt;&gt;"),"")</f>
        <v/>
      </c>
    </row>
    <row r="464" spans="1:24">
      <c r="A464" t="str">
        <f>IF('6 Numaralar'!A66="","",'6 Numaralar'!A66)</f>
        <v/>
      </c>
      <c r="B464" t="str">
        <f>IF('6 Numaralar'!B66="","",'6 Numaralar'!B66)</f>
        <v/>
      </c>
      <c r="C464" s="2" t="str">
        <f>IF('6 Numaralar'!C66="","",'6 Numaralar'!C66)</f>
        <v/>
      </c>
      <c r="D464" t="str">
        <f ca="1">IF('6 Numaralar'!D66="","",'6 Numaralar'!D66)</f>
        <v/>
      </c>
      <c r="E464" t="str">
        <f>IF('6 Numaralar'!E66="","",'6 Numaralar'!E66)</f>
        <v>6 Numara</v>
      </c>
      <c r="F464" t="str">
        <f>IF('6 Numaralar'!G66="","",'6 Numaralar'!G66)</f>
        <v/>
      </c>
      <c r="G464" s="2" t="str">
        <f>IF('6 Numaralar'!H66="","",'6 Numaralar'!H66)</f>
        <v/>
      </c>
      <c r="H464" t="str">
        <f>IF('6 Numaralar'!I66="","",'6 Numaralar'!I66)</f>
        <v/>
      </c>
      <c r="I464" t="str">
        <f>IF('6 Numaralar'!A66="","",'6 Numaralar'!J66)</f>
        <v/>
      </c>
      <c r="J464" t="str">
        <f>IF('6 Numaralar'!A66="","",'6 Numaralar'!K66)</f>
        <v/>
      </c>
      <c r="K464" t="str">
        <f>IF('6 Numaralar'!L66="","",'6 Numaralar'!L66)</f>
        <v/>
      </c>
      <c r="L464" t="str">
        <f>IF('6 Numaralar'!M66="","",'6 Numaralar'!M66)</f>
        <v/>
      </c>
      <c r="M464" t="str">
        <f>IF('6 Numaralar'!N66="","",'6 Numaralar'!N66)</f>
        <v/>
      </c>
      <c r="N464" t="str">
        <f>IF('6 Numaralar'!O66="","",'6 Numaralar'!O66)</f>
        <v/>
      </c>
      <c r="O464" t="str">
        <f>IF('6 Numaralar'!P66="","",'6 Numaralar'!P66)</f>
        <v/>
      </c>
      <c r="P464" t="str">
        <f>IF('6 Numaralar'!Q66="","",'6 Numaralar'!Q66)</f>
        <v/>
      </c>
      <c r="Q464" t="str">
        <f>IF('6 Numaralar'!R66="","",'6 Numaralar'!R66)</f>
        <v/>
      </c>
      <c r="R464" t="str">
        <f>IF('6 Numaralar'!S66="","",'6 Numaralar'!S66)</f>
        <v/>
      </c>
      <c r="S464" t="str">
        <f>IF('6 Numaralar'!T66="","",'6 Numaralar'!T66)</f>
        <v/>
      </c>
      <c r="T464" s="2" t="str">
        <f>IF('6 Numaralar'!U66="","",'6 Numaralar'!U66)</f>
        <v/>
      </c>
      <c r="U464" t="s">
        <v>930</v>
      </c>
      <c r="V464">
        <v>66</v>
      </c>
      <c r="W464" t="str">
        <f ca="1">IF(AND($A464&lt;&gt;"",ISNUMBER($G464),$G464&gt;=TODAY(),$G464&lt;=EDATE(TODAY(),12)),COUNTIFS($G$2:$G$1001,"&gt;="&amp;TODAY(),$G$2:$G$1001,"&lt;"&amp;$G464,$A$2:$A$1001,"&lt;&gt;")+COUNTIFS($G$2:$G464,$G464,$A$2:$A464,"&lt;&gt;"),"")</f>
        <v/>
      </c>
      <c r="X464" t="str">
        <f>IF(AND($A464&lt;&gt;"",ISNUMBER($C464),$C464&gt;=DATE(2003,1,1)),COUNTIFS($C$2:$C464,"&gt;="&amp;DATE(2003,1,1),$A$2:$A464,"&lt;&gt;"),"")</f>
        <v/>
      </c>
    </row>
    <row r="465" spans="1:24">
      <c r="A465" t="str">
        <f>IF('6 Numaralar'!A67="","",'6 Numaralar'!A67)</f>
        <v/>
      </c>
      <c r="B465" t="str">
        <f>IF('6 Numaralar'!B67="","",'6 Numaralar'!B67)</f>
        <v/>
      </c>
      <c r="C465" s="2" t="str">
        <f>IF('6 Numaralar'!C67="","",'6 Numaralar'!C67)</f>
        <v/>
      </c>
      <c r="D465" t="str">
        <f ca="1">IF('6 Numaralar'!D67="","",'6 Numaralar'!D67)</f>
        <v/>
      </c>
      <c r="E465" t="str">
        <f>IF('6 Numaralar'!E67="","",'6 Numaralar'!E67)</f>
        <v>6 Numara</v>
      </c>
      <c r="F465" t="str">
        <f>IF('6 Numaralar'!G67="","",'6 Numaralar'!G67)</f>
        <v/>
      </c>
      <c r="G465" s="2" t="str">
        <f>IF('6 Numaralar'!H67="","",'6 Numaralar'!H67)</f>
        <v/>
      </c>
      <c r="H465" t="str">
        <f>IF('6 Numaralar'!I67="","",'6 Numaralar'!I67)</f>
        <v/>
      </c>
      <c r="I465" t="str">
        <f>IF('6 Numaralar'!A67="","",'6 Numaralar'!J67)</f>
        <v/>
      </c>
      <c r="J465" t="str">
        <f>IF('6 Numaralar'!A67="","",'6 Numaralar'!K67)</f>
        <v/>
      </c>
      <c r="K465" t="str">
        <f>IF('6 Numaralar'!L67="","",'6 Numaralar'!L67)</f>
        <v/>
      </c>
      <c r="L465" t="str">
        <f>IF('6 Numaralar'!M67="","",'6 Numaralar'!M67)</f>
        <v/>
      </c>
      <c r="M465" t="str">
        <f>IF('6 Numaralar'!N67="","",'6 Numaralar'!N67)</f>
        <v/>
      </c>
      <c r="N465" t="str">
        <f>IF('6 Numaralar'!O67="","",'6 Numaralar'!O67)</f>
        <v/>
      </c>
      <c r="O465" t="str">
        <f>IF('6 Numaralar'!P67="","",'6 Numaralar'!P67)</f>
        <v/>
      </c>
      <c r="P465" t="str">
        <f>IF('6 Numaralar'!Q67="","",'6 Numaralar'!Q67)</f>
        <v/>
      </c>
      <c r="Q465" t="str">
        <f>IF('6 Numaralar'!R67="","",'6 Numaralar'!R67)</f>
        <v/>
      </c>
      <c r="R465" t="str">
        <f>IF('6 Numaralar'!S67="","",'6 Numaralar'!S67)</f>
        <v/>
      </c>
      <c r="S465" t="str">
        <f>IF('6 Numaralar'!T67="","",'6 Numaralar'!T67)</f>
        <v/>
      </c>
      <c r="T465" s="2" t="str">
        <f>IF('6 Numaralar'!U67="","",'6 Numaralar'!U67)</f>
        <v/>
      </c>
      <c r="U465" t="s">
        <v>930</v>
      </c>
      <c r="V465">
        <v>67</v>
      </c>
      <c r="W465" t="str">
        <f ca="1">IF(AND($A465&lt;&gt;"",ISNUMBER($G465),$G465&gt;=TODAY(),$G465&lt;=EDATE(TODAY(),12)),COUNTIFS($G$2:$G$1001,"&gt;="&amp;TODAY(),$G$2:$G$1001,"&lt;"&amp;$G465,$A$2:$A$1001,"&lt;&gt;")+COUNTIFS($G$2:$G465,$G465,$A$2:$A465,"&lt;&gt;"),"")</f>
        <v/>
      </c>
      <c r="X465" t="str">
        <f>IF(AND($A465&lt;&gt;"",ISNUMBER($C465),$C465&gt;=DATE(2003,1,1)),COUNTIFS($C$2:$C465,"&gt;="&amp;DATE(2003,1,1),$A$2:$A465,"&lt;&gt;"),"")</f>
        <v/>
      </c>
    </row>
    <row r="466" spans="1:24">
      <c r="A466" t="str">
        <f>IF('6 Numaralar'!A68="","",'6 Numaralar'!A68)</f>
        <v/>
      </c>
      <c r="B466" t="str">
        <f>IF('6 Numaralar'!B68="","",'6 Numaralar'!B68)</f>
        <v/>
      </c>
      <c r="C466" s="2" t="str">
        <f>IF('6 Numaralar'!C68="","",'6 Numaralar'!C68)</f>
        <v/>
      </c>
      <c r="D466" t="str">
        <f ca="1">IF('6 Numaralar'!D68="","",'6 Numaralar'!D68)</f>
        <v/>
      </c>
      <c r="E466" t="str">
        <f>IF('6 Numaralar'!E68="","",'6 Numaralar'!E68)</f>
        <v>6 Numara</v>
      </c>
      <c r="F466" t="str">
        <f>IF('6 Numaralar'!G68="","",'6 Numaralar'!G68)</f>
        <v/>
      </c>
      <c r="G466" s="2" t="str">
        <f>IF('6 Numaralar'!H68="","",'6 Numaralar'!H68)</f>
        <v/>
      </c>
      <c r="H466" t="str">
        <f>IF('6 Numaralar'!I68="","",'6 Numaralar'!I68)</f>
        <v/>
      </c>
      <c r="I466" t="str">
        <f>IF('6 Numaralar'!A68="","",'6 Numaralar'!J68)</f>
        <v/>
      </c>
      <c r="J466" t="str">
        <f>IF('6 Numaralar'!A68="","",'6 Numaralar'!K68)</f>
        <v/>
      </c>
      <c r="K466" t="str">
        <f>IF('6 Numaralar'!L68="","",'6 Numaralar'!L68)</f>
        <v/>
      </c>
      <c r="L466" t="str">
        <f>IF('6 Numaralar'!M68="","",'6 Numaralar'!M68)</f>
        <v/>
      </c>
      <c r="M466" t="str">
        <f>IF('6 Numaralar'!N68="","",'6 Numaralar'!N68)</f>
        <v/>
      </c>
      <c r="N466" t="str">
        <f>IF('6 Numaralar'!O68="","",'6 Numaralar'!O68)</f>
        <v/>
      </c>
      <c r="O466" t="str">
        <f>IF('6 Numaralar'!P68="","",'6 Numaralar'!P68)</f>
        <v/>
      </c>
      <c r="P466" t="str">
        <f>IF('6 Numaralar'!Q68="","",'6 Numaralar'!Q68)</f>
        <v/>
      </c>
      <c r="Q466" t="str">
        <f>IF('6 Numaralar'!R68="","",'6 Numaralar'!R68)</f>
        <v/>
      </c>
      <c r="R466" t="str">
        <f>IF('6 Numaralar'!S68="","",'6 Numaralar'!S68)</f>
        <v/>
      </c>
      <c r="S466" t="str">
        <f>IF('6 Numaralar'!T68="","",'6 Numaralar'!T68)</f>
        <v/>
      </c>
      <c r="T466" s="2" t="str">
        <f>IF('6 Numaralar'!U68="","",'6 Numaralar'!U68)</f>
        <v/>
      </c>
      <c r="U466" t="s">
        <v>930</v>
      </c>
      <c r="V466">
        <v>68</v>
      </c>
      <c r="W466" t="str">
        <f ca="1">IF(AND($A466&lt;&gt;"",ISNUMBER($G466),$G466&gt;=TODAY(),$G466&lt;=EDATE(TODAY(),12)),COUNTIFS($G$2:$G$1001,"&gt;="&amp;TODAY(),$G$2:$G$1001,"&lt;"&amp;$G466,$A$2:$A$1001,"&lt;&gt;")+COUNTIFS($G$2:$G466,$G466,$A$2:$A466,"&lt;&gt;"),"")</f>
        <v/>
      </c>
      <c r="X466" t="str">
        <f>IF(AND($A466&lt;&gt;"",ISNUMBER($C466),$C466&gt;=DATE(2003,1,1)),COUNTIFS($C$2:$C466,"&gt;="&amp;DATE(2003,1,1),$A$2:$A466,"&lt;&gt;"),"")</f>
        <v/>
      </c>
    </row>
    <row r="467" spans="1:24">
      <c r="A467" t="str">
        <f>IF('6 Numaralar'!A69="","",'6 Numaralar'!A69)</f>
        <v/>
      </c>
      <c r="B467" t="str">
        <f>IF('6 Numaralar'!B69="","",'6 Numaralar'!B69)</f>
        <v/>
      </c>
      <c r="C467" s="2" t="str">
        <f>IF('6 Numaralar'!C69="","",'6 Numaralar'!C69)</f>
        <v/>
      </c>
      <c r="D467" t="str">
        <f ca="1">IF('6 Numaralar'!D69="","",'6 Numaralar'!D69)</f>
        <v/>
      </c>
      <c r="E467" t="str">
        <f>IF('6 Numaralar'!E69="","",'6 Numaralar'!E69)</f>
        <v>6 Numara</v>
      </c>
      <c r="F467" t="str">
        <f>IF('6 Numaralar'!G69="","",'6 Numaralar'!G69)</f>
        <v/>
      </c>
      <c r="G467" s="2" t="str">
        <f>IF('6 Numaralar'!H69="","",'6 Numaralar'!H69)</f>
        <v/>
      </c>
      <c r="H467" t="str">
        <f>IF('6 Numaralar'!I69="","",'6 Numaralar'!I69)</f>
        <v/>
      </c>
      <c r="I467" t="str">
        <f>IF('6 Numaralar'!A69="","",'6 Numaralar'!J69)</f>
        <v/>
      </c>
      <c r="J467" t="str">
        <f>IF('6 Numaralar'!A69="","",'6 Numaralar'!K69)</f>
        <v/>
      </c>
      <c r="K467" t="str">
        <f>IF('6 Numaralar'!L69="","",'6 Numaralar'!L69)</f>
        <v/>
      </c>
      <c r="L467" t="str">
        <f>IF('6 Numaralar'!M69="","",'6 Numaralar'!M69)</f>
        <v/>
      </c>
      <c r="M467" t="str">
        <f>IF('6 Numaralar'!N69="","",'6 Numaralar'!N69)</f>
        <v/>
      </c>
      <c r="N467" t="str">
        <f>IF('6 Numaralar'!O69="","",'6 Numaralar'!O69)</f>
        <v/>
      </c>
      <c r="O467" t="str">
        <f>IF('6 Numaralar'!P69="","",'6 Numaralar'!P69)</f>
        <v/>
      </c>
      <c r="P467" t="str">
        <f>IF('6 Numaralar'!Q69="","",'6 Numaralar'!Q69)</f>
        <v/>
      </c>
      <c r="Q467" t="str">
        <f>IF('6 Numaralar'!R69="","",'6 Numaralar'!R69)</f>
        <v/>
      </c>
      <c r="R467" t="str">
        <f>IF('6 Numaralar'!S69="","",'6 Numaralar'!S69)</f>
        <v/>
      </c>
      <c r="S467" t="str">
        <f>IF('6 Numaralar'!T69="","",'6 Numaralar'!T69)</f>
        <v/>
      </c>
      <c r="T467" s="2" t="str">
        <f>IF('6 Numaralar'!U69="","",'6 Numaralar'!U69)</f>
        <v/>
      </c>
      <c r="U467" t="s">
        <v>930</v>
      </c>
      <c r="V467">
        <v>69</v>
      </c>
      <c r="W467" t="str">
        <f ca="1">IF(AND($A467&lt;&gt;"",ISNUMBER($G467),$G467&gt;=TODAY(),$G467&lt;=EDATE(TODAY(),12)),COUNTIFS($G$2:$G$1001,"&gt;="&amp;TODAY(),$G$2:$G$1001,"&lt;"&amp;$G467,$A$2:$A$1001,"&lt;&gt;")+COUNTIFS($G$2:$G467,$G467,$A$2:$A467,"&lt;&gt;"),"")</f>
        <v/>
      </c>
      <c r="X467" t="str">
        <f>IF(AND($A467&lt;&gt;"",ISNUMBER($C467),$C467&gt;=DATE(2003,1,1)),COUNTIFS($C$2:$C467,"&gt;="&amp;DATE(2003,1,1),$A$2:$A467,"&lt;&gt;"),"")</f>
        <v/>
      </c>
    </row>
    <row r="468" spans="1:24">
      <c r="A468" t="str">
        <f>IF('6 Numaralar'!A70="","",'6 Numaralar'!A70)</f>
        <v/>
      </c>
      <c r="B468" t="str">
        <f>IF('6 Numaralar'!B70="","",'6 Numaralar'!B70)</f>
        <v/>
      </c>
      <c r="C468" s="2" t="str">
        <f>IF('6 Numaralar'!C70="","",'6 Numaralar'!C70)</f>
        <v/>
      </c>
      <c r="D468" t="str">
        <f ca="1">IF('6 Numaralar'!D70="","",'6 Numaralar'!D70)</f>
        <v/>
      </c>
      <c r="E468" t="str">
        <f>IF('6 Numaralar'!E70="","",'6 Numaralar'!E70)</f>
        <v>6 Numara</v>
      </c>
      <c r="F468" t="str">
        <f>IF('6 Numaralar'!G70="","",'6 Numaralar'!G70)</f>
        <v/>
      </c>
      <c r="G468" s="2" t="str">
        <f>IF('6 Numaralar'!H70="","",'6 Numaralar'!H70)</f>
        <v/>
      </c>
      <c r="H468" t="str">
        <f>IF('6 Numaralar'!I70="","",'6 Numaralar'!I70)</f>
        <v/>
      </c>
      <c r="I468" t="str">
        <f>IF('6 Numaralar'!A70="","",'6 Numaralar'!J70)</f>
        <v/>
      </c>
      <c r="J468" t="str">
        <f>IF('6 Numaralar'!A70="","",'6 Numaralar'!K70)</f>
        <v/>
      </c>
      <c r="K468" t="str">
        <f>IF('6 Numaralar'!L70="","",'6 Numaralar'!L70)</f>
        <v/>
      </c>
      <c r="L468" t="str">
        <f>IF('6 Numaralar'!M70="","",'6 Numaralar'!M70)</f>
        <v/>
      </c>
      <c r="M468" t="str">
        <f>IF('6 Numaralar'!N70="","",'6 Numaralar'!N70)</f>
        <v/>
      </c>
      <c r="N468" t="str">
        <f>IF('6 Numaralar'!O70="","",'6 Numaralar'!O70)</f>
        <v/>
      </c>
      <c r="O468" t="str">
        <f>IF('6 Numaralar'!P70="","",'6 Numaralar'!P70)</f>
        <v/>
      </c>
      <c r="P468" t="str">
        <f>IF('6 Numaralar'!Q70="","",'6 Numaralar'!Q70)</f>
        <v/>
      </c>
      <c r="Q468" t="str">
        <f>IF('6 Numaralar'!R70="","",'6 Numaralar'!R70)</f>
        <v/>
      </c>
      <c r="R468" t="str">
        <f>IF('6 Numaralar'!S70="","",'6 Numaralar'!S70)</f>
        <v/>
      </c>
      <c r="S468" t="str">
        <f>IF('6 Numaralar'!T70="","",'6 Numaralar'!T70)</f>
        <v/>
      </c>
      <c r="T468" s="2" t="str">
        <f>IF('6 Numaralar'!U70="","",'6 Numaralar'!U70)</f>
        <v/>
      </c>
      <c r="U468" t="s">
        <v>930</v>
      </c>
      <c r="V468">
        <v>70</v>
      </c>
      <c r="W468" t="str">
        <f ca="1">IF(AND($A468&lt;&gt;"",ISNUMBER($G468),$G468&gt;=TODAY(),$G468&lt;=EDATE(TODAY(),12)),COUNTIFS($G$2:$G$1001,"&gt;="&amp;TODAY(),$G$2:$G$1001,"&lt;"&amp;$G468,$A$2:$A$1001,"&lt;&gt;")+COUNTIFS($G$2:$G468,$G468,$A$2:$A468,"&lt;&gt;"),"")</f>
        <v/>
      </c>
      <c r="X468" t="str">
        <f>IF(AND($A468&lt;&gt;"",ISNUMBER($C468),$C468&gt;=DATE(2003,1,1)),COUNTIFS($C$2:$C468,"&gt;="&amp;DATE(2003,1,1),$A$2:$A468,"&lt;&gt;"),"")</f>
        <v/>
      </c>
    </row>
    <row r="469" spans="1:24">
      <c r="A469" t="str">
        <f>IF('6 Numaralar'!A71="","",'6 Numaralar'!A71)</f>
        <v/>
      </c>
      <c r="B469" t="str">
        <f>IF('6 Numaralar'!B71="","",'6 Numaralar'!B71)</f>
        <v/>
      </c>
      <c r="C469" s="2" t="str">
        <f>IF('6 Numaralar'!C71="","",'6 Numaralar'!C71)</f>
        <v/>
      </c>
      <c r="D469" t="str">
        <f ca="1">IF('6 Numaralar'!D71="","",'6 Numaralar'!D71)</f>
        <v/>
      </c>
      <c r="E469" t="str">
        <f>IF('6 Numaralar'!E71="","",'6 Numaralar'!E71)</f>
        <v>6 Numara</v>
      </c>
      <c r="F469" t="str">
        <f>IF('6 Numaralar'!G71="","",'6 Numaralar'!G71)</f>
        <v/>
      </c>
      <c r="G469" s="2" t="str">
        <f>IF('6 Numaralar'!H71="","",'6 Numaralar'!H71)</f>
        <v/>
      </c>
      <c r="H469" t="str">
        <f>IF('6 Numaralar'!I71="","",'6 Numaralar'!I71)</f>
        <v/>
      </c>
      <c r="I469" t="str">
        <f>IF('6 Numaralar'!A71="","",'6 Numaralar'!J71)</f>
        <v/>
      </c>
      <c r="J469" t="str">
        <f>IF('6 Numaralar'!A71="","",'6 Numaralar'!K71)</f>
        <v/>
      </c>
      <c r="K469" t="str">
        <f>IF('6 Numaralar'!L71="","",'6 Numaralar'!L71)</f>
        <v/>
      </c>
      <c r="L469" t="str">
        <f>IF('6 Numaralar'!M71="","",'6 Numaralar'!M71)</f>
        <v/>
      </c>
      <c r="M469" t="str">
        <f>IF('6 Numaralar'!N71="","",'6 Numaralar'!N71)</f>
        <v/>
      </c>
      <c r="N469" t="str">
        <f>IF('6 Numaralar'!O71="","",'6 Numaralar'!O71)</f>
        <v/>
      </c>
      <c r="O469" t="str">
        <f>IF('6 Numaralar'!P71="","",'6 Numaralar'!P71)</f>
        <v/>
      </c>
      <c r="P469" t="str">
        <f>IF('6 Numaralar'!Q71="","",'6 Numaralar'!Q71)</f>
        <v/>
      </c>
      <c r="Q469" t="str">
        <f>IF('6 Numaralar'!R71="","",'6 Numaralar'!R71)</f>
        <v/>
      </c>
      <c r="R469" t="str">
        <f>IF('6 Numaralar'!S71="","",'6 Numaralar'!S71)</f>
        <v/>
      </c>
      <c r="S469" t="str">
        <f>IF('6 Numaralar'!T71="","",'6 Numaralar'!T71)</f>
        <v/>
      </c>
      <c r="T469" s="2" t="str">
        <f>IF('6 Numaralar'!U71="","",'6 Numaralar'!U71)</f>
        <v/>
      </c>
      <c r="U469" t="s">
        <v>930</v>
      </c>
      <c r="V469">
        <v>71</v>
      </c>
      <c r="W469" t="str">
        <f ca="1">IF(AND($A469&lt;&gt;"",ISNUMBER($G469),$G469&gt;=TODAY(),$G469&lt;=EDATE(TODAY(),12)),COUNTIFS($G$2:$G$1001,"&gt;="&amp;TODAY(),$G$2:$G$1001,"&lt;"&amp;$G469,$A$2:$A$1001,"&lt;&gt;")+COUNTIFS($G$2:$G469,$G469,$A$2:$A469,"&lt;&gt;"),"")</f>
        <v/>
      </c>
      <c r="X469" t="str">
        <f>IF(AND($A469&lt;&gt;"",ISNUMBER($C469),$C469&gt;=DATE(2003,1,1)),COUNTIFS($C$2:$C469,"&gt;="&amp;DATE(2003,1,1),$A$2:$A469,"&lt;&gt;"),"")</f>
        <v/>
      </c>
    </row>
    <row r="470" spans="1:24">
      <c r="A470" t="str">
        <f>IF('6 Numaralar'!A72="","",'6 Numaralar'!A72)</f>
        <v/>
      </c>
      <c r="B470" t="str">
        <f>IF('6 Numaralar'!B72="","",'6 Numaralar'!B72)</f>
        <v/>
      </c>
      <c r="C470" s="2" t="str">
        <f>IF('6 Numaralar'!C72="","",'6 Numaralar'!C72)</f>
        <v/>
      </c>
      <c r="D470" t="str">
        <f ca="1">IF('6 Numaralar'!D72="","",'6 Numaralar'!D72)</f>
        <v/>
      </c>
      <c r="E470" t="str">
        <f>IF('6 Numaralar'!E72="","",'6 Numaralar'!E72)</f>
        <v>6 Numara</v>
      </c>
      <c r="F470" t="str">
        <f>IF('6 Numaralar'!G72="","",'6 Numaralar'!G72)</f>
        <v/>
      </c>
      <c r="G470" s="2" t="str">
        <f>IF('6 Numaralar'!H72="","",'6 Numaralar'!H72)</f>
        <v/>
      </c>
      <c r="H470" t="str">
        <f>IF('6 Numaralar'!I72="","",'6 Numaralar'!I72)</f>
        <v/>
      </c>
      <c r="I470" t="str">
        <f>IF('6 Numaralar'!A72="","",'6 Numaralar'!J72)</f>
        <v/>
      </c>
      <c r="J470" t="str">
        <f>IF('6 Numaralar'!A72="","",'6 Numaralar'!K72)</f>
        <v/>
      </c>
      <c r="K470" t="str">
        <f>IF('6 Numaralar'!L72="","",'6 Numaralar'!L72)</f>
        <v/>
      </c>
      <c r="L470" t="str">
        <f>IF('6 Numaralar'!M72="","",'6 Numaralar'!M72)</f>
        <v/>
      </c>
      <c r="M470" t="str">
        <f>IF('6 Numaralar'!N72="","",'6 Numaralar'!N72)</f>
        <v/>
      </c>
      <c r="N470" t="str">
        <f>IF('6 Numaralar'!O72="","",'6 Numaralar'!O72)</f>
        <v/>
      </c>
      <c r="O470" t="str">
        <f>IF('6 Numaralar'!P72="","",'6 Numaralar'!P72)</f>
        <v/>
      </c>
      <c r="P470" t="str">
        <f>IF('6 Numaralar'!Q72="","",'6 Numaralar'!Q72)</f>
        <v/>
      </c>
      <c r="Q470" t="str">
        <f>IF('6 Numaralar'!R72="","",'6 Numaralar'!R72)</f>
        <v/>
      </c>
      <c r="R470" t="str">
        <f>IF('6 Numaralar'!S72="","",'6 Numaralar'!S72)</f>
        <v/>
      </c>
      <c r="S470" t="str">
        <f>IF('6 Numaralar'!T72="","",'6 Numaralar'!T72)</f>
        <v/>
      </c>
      <c r="T470" s="2" t="str">
        <f>IF('6 Numaralar'!U72="","",'6 Numaralar'!U72)</f>
        <v/>
      </c>
      <c r="U470" t="s">
        <v>930</v>
      </c>
      <c r="V470">
        <v>72</v>
      </c>
      <c r="W470" t="str">
        <f ca="1">IF(AND($A470&lt;&gt;"",ISNUMBER($G470),$G470&gt;=TODAY(),$G470&lt;=EDATE(TODAY(),12)),COUNTIFS($G$2:$G$1001,"&gt;="&amp;TODAY(),$G$2:$G$1001,"&lt;"&amp;$G470,$A$2:$A$1001,"&lt;&gt;")+COUNTIFS($G$2:$G470,$G470,$A$2:$A470,"&lt;&gt;"),"")</f>
        <v/>
      </c>
      <c r="X470" t="str">
        <f>IF(AND($A470&lt;&gt;"",ISNUMBER($C470),$C470&gt;=DATE(2003,1,1)),COUNTIFS($C$2:$C470,"&gt;="&amp;DATE(2003,1,1),$A$2:$A470,"&lt;&gt;"),"")</f>
        <v/>
      </c>
    </row>
    <row r="471" spans="1:24">
      <c r="A471" t="str">
        <f>IF('6 Numaralar'!A73="","",'6 Numaralar'!A73)</f>
        <v/>
      </c>
      <c r="B471" t="str">
        <f>IF('6 Numaralar'!B73="","",'6 Numaralar'!B73)</f>
        <v/>
      </c>
      <c r="C471" s="2" t="str">
        <f>IF('6 Numaralar'!C73="","",'6 Numaralar'!C73)</f>
        <v/>
      </c>
      <c r="D471" t="str">
        <f ca="1">IF('6 Numaralar'!D73="","",'6 Numaralar'!D73)</f>
        <v/>
      </c>
      <c r="E471" t="str">
        <f>IF('6 Numaralar'!E73="","",'6 Numaralar'!E73)</f>
        <v>6 Numara</v>
      </c>
      <c r="F471" t="str">
        <f>IF('6 Numaralar'!G73="","",'6 Numaralar'!G73)</f>
        <v/>
      </c>
      <c r="G471" s="2" t="str">
        <f>IF('6 Numaralar'!H73="","",'6 Numaralar'!H73)</f>
        <v/>
      </c>
      <c r="H471" t="str">
        <f>IF('6 Numaralar'!I73="","",'6 Numaralar'!I73)</f>
        <v/>
      </c>
      <c r="I471" t="str">
        <f>IF('6 Numaralar'!A73="","",'6 Numaralar'!J73)</f>
        <v/>
      </c>
      <c r="J471" t="str">
        <f>IF('6 Numaralar'!A73="","",'6 Numaralar'!K73)</f>
        <v/>
      </c>
      <c r="K471" t="str">
        <f>IF('6 Numaralar'!L73="","",'6 Numaralar'!L73)</f>
        <v/>
      </c>
      <c r="L471" t="str">
        <f>IF('6 Numaralar'!M73="","",'6 Numaralar'!M73)</f>
        <v/>
      </c>
      <c r="M471" t="str">
        <f>IF('6 Numaralar'!N73="","",'6 Numaralar'!N73)</f>
        <v/>
      </c>
      <c r="N471" t="str">
        <f>IF('6 Numaralar'!O73="","",'6 Numaralar'!O73)</f>
        <v/>
      </c>
      <c r="O471" t="str">
        <f>IF('6 Numaralar'!P73="","",'6 Numaralar'!P73)</f>
        <v/>
      </c>
      <c r="P471" t="str">
        <f>IF('6 Numaralar'!Q73="","",'6 Numaralar'!Q73)</f>
        <v/>
      </c>
      <c r="Q471" t="str">
        <f>IF('6 Numaralar'!R73="","",'6 Numaralar'!R73)</f>
        <v/>
      </c>
      <c r="R471" t="str">
        <f>IF('6 Numaralar'!S73="","",'6 Numaralar'!S73)</f>
        <v/>
      </c>
      <c r="S471" t="str">
        <f>IF('6 Numaralar'!T73="","",'6 Numaralar'!T73)</f>
        <v/>
      </c>
      <c r="T471" s="2" t="str">
        <f>IF('6 Numaralar'!U73="","",'6 Numaralar'!U73)</f>
        <v/>
      </c>
      <c r="U471" t="s">
        <v>930</v>
      </c>
      <c r="V471">
        <v>73</v>
      </c>
      <c r="W471" t="str">
        <f ca="1">IF(AND($A471&lt;&gt;"",ISNUMBER($G471),$G471&gt;=TODAY(),$G471&lt;=EDATE(TODAY(),12)),COUNTIFS($G$2:$G$1001,"&gt;="&amp;TODAY(),$G$2:$G$1001,"&lt;"&amp;$G471,$A$2:$A$1001,"&lt;&gt;")+COUNTIFS($G$2:$G471,$G471,$A$2:$A471,"&lt;&gt;"),"")</f>
        <v/>
      </c>
      <c r="X471" t="str">
        <f>IF(AND($A471&lt;&gt;"",ISNUMBER($C471),$C471&gt;=DATE(2003,1,1)),COUNTIFS($C$2:$C471,"&gt;="&amp;DATE(2003,1,1),$A$2:$A471,"&lt;&gt;"),"")</f>
        <v/>
      </c>
    </row>
    <row r="472" spans="1:24">
      <c r="A472" t="str">
        <f>IF('6 Numaralar'!A74="","",'6 Numaralar'!A74)</f>
        <v/>
      </c>
      <c r="B472" t="str">
        <f>IF('6 Numaralar'!B74="","",'6 Numaralar'!B74)</f>
        <v/>
      </c>
      <c r="C472" s="2" t="str">
        <f>IF('6 Numaralar'!C74="","",'6 Numaralar'!C74)</f>
        <v/>
      </c>
      <c r="D472" t="str">
        <f ca="1">IF('6 Numaralar'!D74="","",'6 Numaralar'!D74)</f>
        <v/>
      </c>
      <c r="E472" t="str">
        <f>IF('6 Numaralar'!E74="","",'6 Numaralar'!E74)</f>
        <v>6 Numara</v>
      </c>
      <c r="F472" t="str">
        <f>IF('6 Numaralar'!G74="","",'6 Numaralar'!G74)</f>
        <v/>
      </c>
      <c r="G472" s="2" t="str">
        <f>IF('6 Numaralar'!H74="","",'6 Numaralar'!H74)</f>
        <v/>
      </c>
      <c r="H472" t="str">
        <f>IF('6 Numaralar'!I74="","",'6 Numaralar'!I74)</f>
        <v/>
      </c>
      <c r="I472" t="str">
        <f>IF('6 Numaralar'!A74="","",'6 Numaralar'!J74)</f>
        <v/>
      </c>
      <c r="J472" t="str">
        <f>IF('6 Numaralar'!A74="","",'6 Numaralar'!K74)</f>
        <v/>
      </c>
      <c r="K472" t="str">
        <f>IF('6 Numaralar'!L74="","",'6 Numaralar'!L74)</f>
        <v/>
      </c>
      <c r="L472" t="str">
        <f>IF('6 Numaralar'!M74="","",'6 Numaralar'!M74)</f>
        <v/>
      </c>
      <c r="M472" t="str">
        <f>IF('6 Numaralar'!N74="","",'6 Numaralar'!N74)</f>
        <v/>
      </c>
      <c r="N472" t="str">
        <f>IF('6 Numaralar'!O74="","",'6 Numaralar'!O74)</f>
        <v/>
      </c>
      <c r="O472" t="str">
        <f>IF('6 Numaralar'!P74="","",'6 Numaralar'!P74)</f>
        <v/>
      </c>
      <c r="P472" t="str">
        <f>IF('6 Numaralar'!Q74="","",'6 Numaralar'!Q74)</f>
        <v/>
      </c>
      <c r="Q472" t="str">
        <f>IF('6 Numaralar'!R74="","",'6 Numaralar'!R74)</f>
        <v/>
      </c>
      <c r="R472" t="str">
        <f>IF('6 Numaralar'!S74="","",'6 Numaralar'!S74)</f>
        <v/>
      </c>
      <c r="S472" t="str">
        <f>IF('6 Numaralar'!T74="","",'6 Numaralar'!T74)</f>
        <v/>
      </c>
      <c r="T472" s="2" t="str">
        <f>IF('6 Numaralar'!U74="","",'6 Numaralar'!U74)</f>
        <v/>
      </c>
      <c r="U472" t="s">
        <v>930</v>
      </c>
      <c r="V472">
        <v>74</v>
      </c>
      <c r="W472" t="str">
        <f ca="1">IF(AND($A472&lt;&gt;"",ISNUMBER($G472),$G472&gt;=TODAY(),$G472&lt;=EDATE(TODAY(),12)),COUNTIFS($G$2:$G$1001,"&gt;="&amp;TODAY(),$G$2:$G$1001,"&lt;"&amp;$G472,$A$2:$A$1001,"&lt;&gt;")+COUNTIFS($G$2:$G472,$G472,$A$2:$A472,"&lt;&gt;"),"")</f>
        <v/>
      </c>
      <c r="X472" t="str">
        <f>IF(AND($A472&lt;&gt;"",ISNUMBER($C472),$C472&gt;=DATE(2003,1,1)),COUNTIFS($C$2:$C472,"&gt;="&amp;DATE(2003,1,1),$A$2:$A472,"&lt;&gt;"),"")</f>
        <v/>
      </c>
    </row>
    <row r="473" spans="1:24">
      <c r="A473" t="str">
        <f>IF('6 Numaralar'!A75="","",'6 Numaralar'!A75)</f>
        <v/>
      </c>
      <c r="B473" t="str">
        <f>IF('6 Numaralar'!B75="","",'6 Numaralar'!B75)</f>
        <v/>
      </c>
      <c r="C473" s="2" t="str">
        <f>IF('6 Numaralar'!C75="","",'6 Numaralar'!C75)</f>
        <v/>
      </c>
      <c r="D473" t="str">
        <f ca="1">IF('6 Numaralar'!D75="","",'6 Numaralar'!D75)</f>
        <v/>
      </c>
      <c r="E473" t="str">
        <f>IF('6 Numaralar'!E75="","",'6 Numaralar'!E75)</f>
        <v>6 Numara</v>
      </c>
      <c r="F473" t="str">
        <f>IF('6 Numaralar'!G75="","",'6 Numaralar'!G75)</f>
        <v/>
      </c>
      <c r="G473" s="2" t="str">
        <f>IF('6 Numaralar'!H75="","",'6 Numaralar'!H75)</f>
        <v/>
      </c>
      <c r="H473" t="str">
        <f>IF('6 Numaralar'!I75="","",'6 Numaralar'!I75)</f>
        <v/>
      </c>
      <c r="I473" t="str">
        <f>IF('6 Numaralar'!A75="","",'6 Numaralar'!J75)</f>
        <v/>
      </c>
      <c r="J473" t="str">
        <f>IF('6 Numaralar'!A75="","",'6 Numaralar'!K75)</f>
        <v/>
      </c>
      <c r="K473" t="str">
        <f>IF('6 Numaralar'!L75="","",'6 Numaralar'!L75)</f>
        <v/>
      </c>
      <c r="L473" t="str">
        <f>IF('6 Numaralar'!M75="","",'6 Numaralar'!M75)</f>
        <v/>
      </c>
      <c r="M473" t="str">
        <f>IF('6 Numaralar'!N75="","",'6 Numaralar'!N75)</f>
        <v/>
      </c>
      <c r="N473" t="str">
        <f>IF('6 Numaralar'!O75="","",'6 Numaralar'!O75)</f>
        <v/>
      </c>
      <c r="O473" t="str">
        <f>IF('6 Numaralar'!P75="","",'6 Numaralar'!P75)</f>
        <v/>
      </c>
      <c r="P473" t="str">
        <f>IF('6 Numaralar'!Q75="","",'6 Numaralar'!Q75)</f>
        <v/>
      </c>
      <c r="Q473" t="str">
        <f>IF('6 Numaralar'!R75="","",'6 Numaralar'!R75)</f>
        <v/>
      </c>
      <c r="R473" t="str">
        <f>IF('6 Numaralar'!S75="","",'6 Numaralar'!S75)</f>
        <v/>
      </c>
      <c r="S473" t="str">
        <f>IF('6 Numaralar'!T75="","",'6 Numaralar'!T75)</f>
        <v/>
      </c>
      <c r="T473" s="2" t="str">
        <f>IF('6 Numaralar'!U75="","",'6 Numaralar'!U75)</f>
        <v/>
      </c>
      <c r="U473" t="s">
        <v>930</v>
      </c>
      <c r="V473">
        <v>75</v>
      </c>
      <c r="W473" t="str">
        <f ca="1">IF(AND($A473&lt;&gt;"",ISNUMBER($G473),$G473&gt;=TODAY(),$G473&lt;=EDATE(TODAY(),12)),COUNTIFS($G$2:$G$1001,"&gt;="&amp;TODAY(),$G$2:$G$1001,"&lt;"&amp;$G473,$A$2:$A$1001,"&lt;&gt;")+COUNTIFS($G$2:$G473,$G473,$A$2:$A473,"&lt;&gt;"),"")</f>
        <v/>
      </c>
      <c r="X473" t="str">
        <f>IF(AND($A473&lt;&gt;"",ISNUMBER($C473),$C473&gt;=DATE(2003,1,1)),COUNTIFS($C$2:$C473,"&gt;="&amp;DATE(2003,1,1),$A$2:$A473,"&lt;&gt;"),"")</f>
        <v/>
      </c>
    </row>
    <row r="474" spans="1:24">
      <c r="A474" t="str">
        <f>IF('6 Numaralar'!A76="","",'6 Numaralar'!A76)</f>
        <v/>
      </c>
      <c r="B474" t="str">
        <f>IF('6 Numaralar'!B76="","",'6 Numaralar'!B76)</f>
        <v/>
      </c>
      <c r="C474" s="2" t="str">
        <f>IF('6 Numaralar'!C76="","",'6 Numaralar'!C76)</f>
        <v/>
      </c>
      <c r="D474" t="str">
        <f ca="1">IF('6 Numaralar'!D76="","",'6 Numaralar'!D76)</f>
        <v/>
      </c>
      <c r="E474" t="str">
        <f>IF('6 Numaralar'!E76="","",'6 Numaralar'!E76)</f>
        <v>6 Numara</v>
      </c>
      <c r="F474" t="str">
        <f>IF('6 Numaralar'!G76="","",'6 Numaralar'!G76)</f>
        <v/>
      </c>
      <c r="G474" s="2" t="str">
        <f>IF('6 Numaralar'!H76="","",'6 Numaralar'!H76)</f>
        <v/>
      </c>
      <c r="H474" t="str">
        <f>IF('6 Numaralar'!I76="","",'6 Numaralar'!I76)</f>
        <v/>
      </c>
      <c r="I474" t="str">
        <f>IF('6 Numaralar'!A76="","",'6 Numaralar'!J76)</f>
        <v/>
      </c>
      <c r="J474" t="str">
        <f>IF('6 Numaralar'!A76="","",'6 Numaralar'!K76)</f>
        <v/>
      </c>
      <c r="K474" t="str">
        <f>IF('6 Numaralar'!L76="","",'6 Numaralar'!L76)</f>
        <v/>
      </c>
      <c r="L474" t="str">
        <f>IF('6 Numaralar'!M76="","",'6 Numaralar'!M76)</f>
        <v/>
      </c>
      <c r="M474" t="str">
        <f>IF('6 Numaralar'!N76="","",'6 Numaralar'!N76)</f>
        <v/>
      </c>
      <c r="N474" t="str">
        <f>IF('6 Numaralar'!O76="","",'6 Numaralar'!O76)</f>
        <v/>
      </c>
      <c r="O474" t="str">
        <f>IF('6 Numaralar'!P76="","",'6 Numaralar'!P76)</f>
        <v/>
      </c>
      <c r="P474" t="str">
        <f>IF('6 Numaralar'!Q76="","",'6 Numaralar'!Q76)</f>
        <v/>
      </c>
      <c r="Q474" t="str">
        <f>IF('6 Numaralar'!R76="","",'6 Numaralar'!R76)</f>
        <v/>
      </c>
      <c r="R474" t="str">
        <f>IF('6 Numaralar'!S76="","",'6 Numaralar'!S76)</f>
        <v/>
      </c>
      <c r="S474" t="str">
        <f>IF('6 Numaralar'!T76="","",'6 Numaralar'!T76)</f>
        <v/>
      </c>
      <c r="T474" s="2" t="str">
        <f>IF('6 Numaralar'!U76="","",'6 Numaralar'!U76)</f>
        <v/>
      </c>
      <c r="U474" t="s">
        <v>930</v>
      </c>
      <c r="V474">
        <v>76</v>
      </c>
      <c r="W474" t="str">
        <f ca="1">IF(AND($A474&lt;&gt;"",ISNUMBER($G474),$G474&gt;=TODAY(),$G474&lt;=EDATE(TODAY(),12)),COUNTIFS($G$2:$G$1001,"&gt;="&amp;TODAY(),$G$2:$G$1001,"&lt;"&amp;$G474,$A$2:$A$1001,"&lt;&gt;")+COUNTIFS($G$2:$G474,$G474,$A$2:$A474,"&lt;&gt;"),"")</f>
        <v/>
      </c>
      <c r="X474" t="str">
        <f>IF(AND($A474&lt;&gt;"",ISNUMBER($C474),$C474&gt;=DATE(2003,1,1)),COUNTIFS($C$2:$C474,"&gt;="&amp;DATE(2003,1,1),$A$2:$A474,"&lt;&gt;"),"")</f>
        <v/>
      </c>
    </row>
    <row r="475" spans="1:24">
      <c r="A475" t="str">
        <f>IF('6 Numaralar'!A77="","",'6 Numaralar'!A77)</f>
        <v/>
      </c>
      <c r="B475" t="str">
        <f>IF('6 Numaralar'!B77="","",'6 Numaralar'!B77)</f>
        <v/>
      </c>
      <c r="C475" s="2" t="str">
        <f>IF('6 Numaralar'!C77="","",'6 Numaralar'!C77)</f>
        <v/>
      </c>
      <c r="D475" t="str">
        <f ca="1">IF('6 Numaralar'!D77="","",'6 Numaralar'!D77)</f>
        <v/>
      </c>
      <c r="E475" t="str">
        <f>IF('6 Numaralar'!E77="","",'6 Numaralar'!E77)</f>
        <v>6 Numara</v>
      </c>
      <c r="F475" t="str">
        <f>IF('6 Numaralar'!G77="","",'6 Numaralar'!G77)</f>
        <v/>
      </c>
      <c r="G475" s="2" t="str">
        <f>IF('6 Numaralar'!H77="","",'6 Numaralar'!H77)</f>
        <v/>
      </c>
      <c r="H475" t="str">
        <f>IF('6 Numaralar'!I77="","",'6 Numaralar'!I77)</f>
        <v/>
      </c>
      <c r="I475" t="str">
        <f>IF('6 Numaralar'!A77="","",'6 Numaralar'!J77)</f>
        <v/>
      </c>
      <c r="J475" t="str">
        <f>IF('6 Numaralar'!A77="","",'6 Numaralar'!K77)</f>
        <v/>
      </c>
      <c r="K475" t="str">
        <f>IF('6 Numaralar'!L77="","",'6 Numaralar'!L77)</f>
        <v/>
      </c>
      <c r="L475" t="str">
        <f>IF('6 Numaralar'!M77="","",'6 Numaralar'!M77)</f>
        <v/>
      </c>
      <c r="M475" t="str">
        <f>IF('6 Numaralar'!N77="","",'6 Numaralar'!N77)</f>
        <v/>
      </c>
      <c r="N475" t="str">
        <f>IF('6 Numaralar'!O77="","",'6 Numaralar'!O77)</f>
        <v/>
      </c>
      <c r="O475" t="str">
        <f>IF('6 Numaralar'!P77="","",'6 Numaralar'!P77)</f>
        <v/>
      </c>
      <c r="P475" t="str">
        <f>IF('6 Numaralar'!Q77="","",'6 Numaralar'!Q77)</f>
        <v/>
      </c>
      <c r="Q475" t="str">
        <f>IF('6 Numaralar'!R77="","",'6 Numaralar'!R77)</f>
        <v/>
      </c>
      <c r="R475" t="str">
        <f>IF('6 Numaralar'!S77="","",'6 Numaralar'!S77)</f>
        <v/>
      </c>
      <c r="S475" t="str">
        <f>IF('6 Numaralar'!T77="","",'6 Numaralar'!T77)</f>
        <v/>
      </c>
      <c r="T475" s="2" t="str">
        <f>IF('6 Numaralar'!U77="","",'6 Numaralar'!U77)</f>
        <v/>
      </c>
      <c r="U475" t="s">
        <v>930</v>
      </c>
      <c r="V475">
        <v>77</v>
      </c>
      <c r="W475" t="str">
        <f ca="1">IF(AND($A475&lt;&gt;"",ISNUMBER($G475),$G475&gt;=TODAY(),$G475&lt;=EDATE(TODAY(),12)),COUNTIFS($G$2:$G$1001,"&gt;="&amp;TODAY(),$G$2:$G$1001,"&lt;"&amp;$G475,$A$2:$A$1001,"&lt;&gt;")+COUNTIFS($G$2:$G475,$G475,$A$2:$A475,"&lt;&gt;"),"")</f>
        <v/>
      </c>
      <c r="X475" t="str">
        <f>IF(AND($A475&lt;&gt;"",ISNUMBER($C475),$C475&gt;=DATE(2003,1,1)),COUNTIFS($C$2:$C475,"&gt;="&amp;DATE(2003,1,1),$A$2:$A475,"&lt;&gt;"),"")</f>
        <v/>
      </c>
    </row>
    <row r="476" spans="1:24">
      <c r="A476" t="str">
        <f>IF('6 Numaralar'!A78="","",'6 Numaralar'!A78)</f>
        <v/>
      </c>
      <c r="B476" t="str">
        <f>IF('6 Numaralar'!B78="","",'6 Numaralar'!B78)</f>
        <v/>
      </c>
      <c r="C476" s="2" t="str">
        <f>IF('6 Numaralar'!C78="","",'6 Numaralar'!C78)</f>
        <v/>
      </c>
      <c r="D476" t="str">
        <f ca="1">IF('6 Numaralar'!D78="","",'6 Numaralar'!D78)</f>
        <v/>
      </c>
      <c r="E476" t="str">
        <f>IF('6 Numaralar'!E78="","",'6 Numaralar'!E78)</f>
        <v>6 Numara</v>
      </c>
      <c r="F476" t="str">
        <f>IF('6 Numaralar'!G78="","",'6 Numaralar'!G78)</f>
        <v/>
      </c>
      <c r="G476" s="2" t="str">
        <f>IF('6 Numaralar'!H78="","",'6 Numaralar'!H78)</f>
        <v/>
      </c>
      <c r="H476" t="str">
        <f>IF('6 Numaralar'!I78="","",'6 Numaralar'!I78)</f>
        <v/>
      </c>
      <c r="I476" t="str">
        <f>IF('6 Numaralar'!A78="","",'6 Numaralar'!J78)</f>
        <v/>
      </c>
      <c r="J476" t="str">
        <f>IF('6 Numaralar'!A78="","",'6 Numaralar'!K78)</f>
        <v/>
      </c>
      <c r="K476" t="str">
        <f>IF('6 Numaralar'!L78="","",'6 Numaralar'!L78)</f>
        <v/>
      </c>
      <c r="L476" t="str">
        <f>IF('6 Numaralar'!M78="","",'6 Numaralar'!M78)</f>
        <v/>
      </c>
      <c r="M476" t="str">
        <f>IF('6 Numaralar'!N78="","",'6 Numaralar'!N78)</f>
        <v/>
      </c>
      <c r="N476" t="str">
        <f>IF('6 Numaralar'!O78="","",'6 Numaralar'!O78)</f>
        <v/>
      </c>
      <c r="O476" t="str">
        <f>IF('6 Numaralar'!P78="","",'6 Numaralar'!P78)</f>
        <v/>
      </c>
      <c r="P476" t="str">
        <f>IF('6 Numaralar'!Q78="","",'6 Numaralar'!Q78)</f>
        <v/>
      </c>
      <c r="Q476" t="str">
        <f>IF('6 Numaralar'!R78="","",'6 Numaralar'!R78)</f>
        <v/>
      </c>
      <c r="R476" t="str">
        <f>IF('6 Numaralar'!S78="","",'6 Numaralar'!S78)</f>
        <v/>
      </c>
      <c r="S476" t="str">
        <f>IF('6 Numaralar'!T78="","",'6 Numaralar'!T78)</f>
        <v/>
      </c>
      <c r="T476" s="2" t="str">
        <f>IF('6 Numaralar'!U78="","",'6 Numaralar'!U78)</f>
        <v/>
      </c>
      <c r="U476" t="s">
        <v>930</v>
      </c>
      <c r="V476">
        <v>78</v>
      </c>
      <c r="W476" t="str">
        <f ca="1">IF(AND($A476&lt;&gt;"",ISNUMBER($G476),$G476&gt;=TODAY(),$G476&lt;=EDATE(TODAY(),12)),COUNTIFS($G$2:$G$1001,"&gt;="&amp;TODAY(),$G$2:$G$1001,"&lt;"&amp;$G476,$A$2:$A$1001,"&lt;&gt;")+COUNTIFS($G$2:$G476,$G476,$A$2:$A476,"&lt;&gt;"),"")</f>
        <v/>
      </c>
      <c r="X476" t="str">
        <f>IF(AND($A476&lt;&gt;"",ISNUMBER($C476),$C476&gt;=DATE(2003,1,1)),COUNTIFS($C$2:$C476,"&gt;="&amp;DATE(2003,1,1),$A$2:$A476,"&lt;&gt;"),"")</f>
        <v/>
      </c>
    </row>
    <row r="477" spans="1:24">
      <c r="A477" t="str">
        <f>IF('6 Numaralar'!A79="","",'6 Numaralar'!A79)</f>
        <v/>
      </c>
      <c r="B477" t="str">
        <f>IF('6 Numaralar'!B79="","",'6 Numaralar'!B79)</f>
        <v/>
      </c>
      <c r="C477" s="2" t="str">
        <f>IF('6 Numaralar'!C79="","",'6 Numaralar'!C79)</f>
        <v/>
      </c>
      <c r="D477" t="str">
        <f ca="1">IF('6 Numaralar'!D79="","",'6 Numaralar'!D79)</f>
        <v/>
      </c>
      <c r="E477" t="str">
        <f>IF('6 Numaralar'!E79="","",'6 Numaralar'!E79)</f>
        <v>6 Numara</v>
      </c>
      <c r="F477" t="str">
        <f>IF('6 Numaralar'!G79="","",'6 Numaralar'!G79)</f>
        <v/>
      </c>
      <c r="G477" s="2" t="str">
        <f>IF('6 Numaralar'!H79="","",'6 Numaralar'!H79)</f>
        <v/>
      </c>
      <c r="H477" t="str">
        <f>IF('6 Numaralar'!I79="","",'6 Numaralar'!I79)</f>
        <v/>
      </c>
      <c r="I477" t="str">
        <f>IF('6 Numaralar'!A79="","",'6 Numaralar'!J79)</f>
        <v/>
      </c>
      <c r="J477" t="str">
        <f>IF('6 Numaralar'!A79="","",'6 Numaralar'!K79)</f>
        <v/>
      </c>
      <c r="K477" t="str">
        <f>IF('6 Numaralar'!L79="","",'6 Numaralar'!L79)</f>
        <v/>
      </c>
      <c r="L477" t="str">
        <f>IF('6 Numaralar'!M79="","",'6 Numaralar'!M79)</f>
        <v/>
      </c>
      <c r="M477" t="str">
        <f>IF('6 Numaralar'!N79="","",'6 Numaralar'!N79)</f>
        <v/>
      </c>
      <c r="N477" t="str">
        <f>IF('6 Numaralar'!O79="","",'6 Numaralar'!O79)</f>
        <v/>
      </c>
      <c r="O477" t="str">
        <f>IF('6 Numaralar'!P79="","",'6 Numaralar'!P79)</f>
        <v/>
      </c>
      <c r="P477" t="str">
        <f>IF('6 Numaralar'!Q79="","",'6 Numaralar'!Q79)</f>
        <v/>
      </c>
      <c r="Q477" t="str">
        <f>IF('6 Numaralar'!R79="","",'6 Numaralar'!R79)</f>
        <v/>
      </c>
      <c r="R477" t="str">
        <f>IF('6 Numaralar'!S79="","",'6 Numaralar'!S79)</f>
        <v/>
      </c>
      <c r="S477" t="str">
        <f>IF('6 Numaralar'!T79="","",'6 Numaralar'!T79)</f>
        <v/>
      </c>
      <c r="T477" s="2" t="str">
        <f>IF('6 Numaralar'!U79="","",'6 Numaralar'!U79)</f>
        <v/>
      </c>
      <c r="U477" t="s">
        <v>930</v>
      </c>
      <c r="V477">
        <v>79</v>
      </c>
      <c r="W477" t="str">
        <f ca="1">IF(AND($A477&lt;&gt;"",ISNUMBER($G477),$G477&gt;=TODAY(),$G477&lt;=EDATE(TODAY(),12)),COUNTIFS($G$2:$G$1001,"&gt;="&amp;TODAY(),$G$2:$G$1001,"&lt;"&amp;$G477,$A$2:$A$1001,"&lt;&gt;")+COUNTIFS($G$2:$G477,$G477,$A$2:$A477,"&lt;&gt;"),"")</f>
        <v/>
      </c>
      <c r="X477" t="str">
        <f>IF(AND($A477&lt;&gt;"",ISNUMBER($C477),$C477&gt;=DATE(2003,1,1)),COUNTIFS($C$2:$C477,"&gt;="&amp;DATE(2003,1,1),$A$2:$A477,"&lt;&gt;"),"")</f>
        <v/>
      </c>
    </row>
    <row r="478" spans="1:24">
      <c r="A478" t="str">
        <f>IF('6 Numaralar'!A80="","",'6 Numaralar'!A80)</f>
        <v/>
      </c>
      <c r="B478" t="str">
        <f>IF('6 Numaralar'!B80="","",'6 Numaralar'!B80)</f>
        <v/>
      </c>
      <c r="C478" s="2" t="str">
        <f>IF('6 Numaralar'!C80="","",'6 Numaralar'!C80)</f>
        <v/>
      </c>
      <c r="D478" t="str">
        <f ca="1">IF('6 Numaralar'!D80="","",'6 Numaralar'!D80)</f>
        <v/>
      </c>
      <c r="E478" t="str">
        <f>IF('6 Numaralar'!E80="","",'6 Numaralar'!E80)</f>
        <v>6 Numara</v>
      </c>
      <c r="F478" t="str">
        <f>IF('6 Numaralar'!G80="","",'6 Numaralar'!G80)</f>
        <v/>
      </c>
      <c r="G478" s="2" t="str">
        <f>IF('6 Numaralar'!H80="","",'6 Numaralar'!H80)</f>
        <v/>
      </c>
      <c r="H478" t="str">
        <f>IF('6 Numaralar'!I80="","",'6 Numaralar'!I80)</f>
        <v/>
      </c>
      <c r="I478" t="str">
        <f>IF('6 Numaralar'!A80="","",'6 Numaralar'!J80)</f>
        <v/>
      </c>
      <c r="J478" t="str">
        <f>IF('6 Numaralar'!A80="","",'6 Numaralar'!K80)</f>
        <v/>
      </c>
      <c r="K478" t="str">
        <f>IF('6 Numaralar'!L80="","",'6 Numaralar'!L80)</f>
        <v/>
      </c>
      <c r="L478" t="str">
        <f>IF('6 Numaralar'!M80="","",'6 Numaralar'!M80)</f>
        <v/>
      </c>
      <c r="M478" t="str">
        <f>IF('6 Numaralar'!N80="","",'6 Numaralar'!N80)</f>
        <v/>
      </c>
      <c r="N478" t="str">
        <f>IF('6 Numaralar'!O80="","",'6 Numaralar'!O80)</f>
        <v/>
      </c>
      <c r="O478" t="str">
        <f>IF('6 Numaralar'!P80="","",'6 Numaralar'!P80)</f>
        <v/>
      </c>
      <c r="P478" t="str">
        <f>IF('6 Numaralar'!Q80="","",'6 Numaralar'!Q80)</f>
        <v/>
      </c>
      <c r="Q478" t="str">
        <f>IF('6 Numaralar'!R80="","",'6 Numaralar'!R80)</f>
        <v/>
      </c>
      <c r="R478" t="str">
        <f>IF('6 Numaralar'!S80="","",'6 Numaralar'!S80)</f>
        <v/>
      </c>
      <c r="S478" t="str">
        <f>IF('6 Numaralar'!T80="","",'6 Numaralar'!T80)</f>
        <v/>
      </c>
      <c r="T478" s="2" t="str">
        <f>IF('6 Numaralar'!U80="","",'6 Numaralar'!U80)</f>
        <v/>
      </c>
      <c r="U478" t="s">
        <v>930</v>
      </c>
      <c r="V478">
        <v>80</v>
      </c>
      <c r="W478" t="str">
        <f ca="1">IF(AND($A478&lt;&gt;"",ISNUMBER($G478),$G478&gt;=TODAY(),$G478&lt;=EDATE(TODAY(),12)),COUNTIFS($G$2:$G$1001,"&gt;="&amp;TODAY(),$G$2:$G$1001,"&lt;"&amp;$G478,$A$2:$A$1001,"&lt;&gt;")+COUNTIFS($G$2:$G478,$G478,$A$2:$A478,"&lt;&gt;"),"")</f>
        <v/>
      </c>
      <c r="X478" t="str">
        <f>IF(AND($A478&lt;&gt;"",ISNUMBER($C478),$C478&gt;=DATE(2003,1,1)),COUNTIFS($C$2:$C478,"&gt;="&amp;DATE(2003,1,1),$A$2:$A478,"&lt;&gt;"),"")</f>
        <v/>
      </c>
    </row>
    <row r="479" spans="1:24">
      <c r="A479" t="str">
        <f>IF('6 Numaralar'!A81="","",'6 Numaralar'!A81)</f>
        <v/>
      </c>
      <c r="B479" t="str">
        <f>IF('6 Numaralar'!B81="","",'6 Numaralar'!B81)</f>
        <v/>
      </c>
      <c r="C479" s="2" t="str">
        <f>IF('6 Numaralar'!C81="","",'6 Numaralar'!C81)</f>
        <v/>
      </c>
      <c r="D479" t="str">
        <f ca="1">IF('6 Numaralar'!D81="","",'6 Numaralar'!D81)</f>
        <v/>
      </c>
      <c r="E479" t="str">
        <f>IF('6 Numaralar'!E81="","",'6 Numaralar'!E81)</f>
        <v>6 Numara</v>
      </c>
      <c r="F479" t="str">
        <f>IF('6 Numaralar'!G81="","",'6 Numaralar'!G81)</f>
        <v/>
      </c>
      <c r="G479" s="2" t="str">
        <f>IF('6 Numaralar'!H81="","",'6 Numaralar'!H81)</f>
        <v/>
      </c>
      <c r="H479" t="str">
        <f>IF('6 Numaralar'!I81="","",'6 Numaralar'!I81)</f>
        <v/>
      </c>
      <c r="I479" t="str">
        <f>IF('6 Numaralar'!A81="","",'6 Numaralar'!J81)</f>
        <v/>
      </c>
      <c r="J479" t="str">
        <f>IF('6 Numaralar'!A81="","",'6 Numaralar'!K81)</f>
        <v/>
      </c>
      <c r="K479" t="str">
        <f>IF('6 Numaralar'!L81="","",'6 Numaralar'!L81)</f>
        <v/>
      </c>
      <c r="L479" t="str">
        <f>IF('6 Numaralar'!M81="","",'6 Numaralar'!M81)</f>
        <v/>
      </c>
      <c r="M479" t="str">
        <f>IF('6 Numaralar'!N81="","",'6 Numaralar'!N81)</f>
        <v/>
      </c>
      <c r="N479" t="str">
        <f>IF('6 Numaralar'!O81="","",'6 Numaralar'!O81)</f>
        <v/>
      </c>
      <c r="O479" t="str">
        <f>IF('6 Numaralar'!P81="","",'6 Numaralar'!P81)</f>
        <v/>
      </c>
      <c r="P479" t="str">
        <f>IF('6 Numaralar'!Q81="","",'6 Numaralar'!Q81)</f>
        <v/>
      </c>
      <c r="Q479" t="str">
        <f>IF('6 Numaralar'!R81="","",'6 Numaralar'!R81)</f>
        <v/>
      </c>
      <c r="R479" t="str">
        <f>IF('6 Numaralar'!S81="","",'6 Numaralar'!S81)</f>
        <v/>
      </c>
      <c r="S479" t="str">
        <f>IF('6 Numaralar'!T81="","",'6 Numaralar'!T81)</f>
        <v/>
      </c>
      <c r="T479" s="2" t="str">
        <f>IF('6 Numaralar'!U81="","",'6 Numaralar'!U81)</f>
        <v/>
      </c>
      <c r="U479" t="s">
        <v>930</v>
      </c>
      <c r="V479">
        <v>81</v>
      </c>
      <c r="W479" t="str">
        <f ca="1">IF(AND($A479&lt;&gt;"",ISNUMBER($G479),$G479&gt;=TODAY(),$G479&lt;=EDATE(TODAY(),12)),COUNTIFS($G$2:$G$1001,"&gt;="&amp;TODAY(),$G$2:$G$1001,"&lt;"&amp;$G479,$A$2:$A$1001,"&lt;&gt;")+COUNTIFS($G$2:$G479,$G479,$A$2:$A479,"&lt;&gt;"),"")</f>
        <v/>
      </c>
      <c r="X479" t="str">
        <f>IF(AND($A479&lt;&gt;"",ISNUMBER($C479),$C479&gt;=DATE(2003,1,1)),COUNTIFS($C$2:$C479,"&gt;="&amp;DATE(2003,1,1),$A$2:$A479,"&lt;&gt;"),"")</f>
        <v/>
      </c>
    </row>
    <row r="480" spans="1:24">
      <c r="A480" t="str">
        <f>IF('6 Numaralar'!A82="","",'6 Numaralar'!A82)</f>
        <v/>
      </c>
      <c r="B480" t="str">
        <f>IF('6 Numaralar'!B82="","",'6 Numaralar'!B82)</f>
        <v/>
      </c>
      <c r="C480" s="2" t="str">
        <f>IF('6 Numaralar'!C82="","",'6 Numaralar'!C82)</f>
        <v/>
      </c>
      <c r="D480" t="str">
        <f ca="1">IF('6 Numaralar'!D82="","",'6 Numaralar'!D82)</f>
        <v/>
      </c>
      <c r="E480" t="str">
        <f>IF('6 Numaralar'!E82="","",'6 Numaralar'!E82)</f>
        <v>6 Numara</v>
      </c>
      <c r="F480" t="str">
        <f>IF('6 Numaralar'!G82="","",'6 Numaralar'!G82)</f>
        <v/>
      </c>
      <c r="G480" s="2" t="str">
        <f>IF('6 Numaralar'!H82="","",'6 Numaralar'!H82)</f>
        <v/>
      </c>
      <c r="H480" t="str">
        <f>IF('6 Numaralar'!I82="","",'6 Numaralar'!I82)</f>
        <v/>
      </c>
      <c r="I480" t="str">
        <f>IF('6 Numaralar'!A82="","",'6 Numaralar'!J82)</f>
        <v/>
      </c>
      <c r="J480" t="str">
        <f>IF('6 Numaralar'!A82="","",'6 Numaralar'!K82)</f>
        <v/>
      </c>
      <c r="K480" t="str">
        <f>IF('6 Numaralar'!L82="","",'6 Numaralar'!L82)</f>
        <v/>
      </c>
      <c r="L480" t="str">
        <f>IF('6 Numaralar'!M82="","",'6 Numaralar'!M82)</f>
        <v/>
      </c>
      <c r="M480" t="str">
        <f>IF('6 Numaralar'!N82="","",'6 Numaralar'!N82)</f>
        <v/>
      </c>
      <c r="N480" t="str">
        <f>IF('6 Numaralar'!O82="","",'6 Numaralar'!O82)</f>
        <v/>
      </c>
      <c r="O480" t="str">
        <f>IF('6 Numaralar'!P82="","",'6 Numaralar'!P82)</f>
        <v/>
      </c>
      <c r="P480" t="str">
        <f>IF('6 Numaralar'!Q82="","",'6 Numaralar'!Q82)</f>
        <v/>
      </c>
      <c r="Q480" t="str">
        <f>IF('6 Numaralar'!R82="","",'6 Numaralar'!R82)</f>
        <v/>
      </c>
      <c r="R480" t="str">
        <f>IF('6 Numaralar'!S82="","",'6 Numaralar'!S82)</f>
        <v/>
      </c>
      <c r="S480" t="str">
        <f>IF('6 Numaralar'!T82="","",'6 Numaralar'!T82)</f>
        <v/>
      </c>
      <c r="T480" s="2" t="str">
        <f>IF('6 Numaralar'!U82="","",'6 Numaralar'!U82)</f>
        <v/>
      </c>
      <c r="U480" t="s">
        <v>930</v>
      </c>
      <c r="V480">
        <v>82</v>
      </c>
      <c r="W480" t="str">
        <f ca="1">IF(AND($A480&lt;&gt;"",ISNUMBER($G480),$G480&gt;=TODAY(),$G480&lt;=EDATE(TODAY(),12)),COUNTIFS($G$2:$G$1001,"&gt;="&amp;TODAY(),$G$2:$G$1001,"&lt;"&amp;$G480,$A$2:$A$1001,"&lt;&gt;")+COUNTIFS($G$2:$G480,$G480,$A$2:$A480,"&lt;&gt;"),"")</f>
        <v/>
      </c>
      <c r="X480" t="str">
        <f>IF(AND($A480&lt;&gt;"",ISNUMBER($C480),$C480&gt;=DATE(2003,1,1)),COUNTIFS($C$2:$C480,"&gt;="&amp;DATE(2003,1,1),$A$2:$A480,"&lt;&gt;"),"")</f>
        <v/>
      </c>
    </row>
    <row r="481" spans="1:24">
      <c r="A481" t="str">
        <f>IF('6 Numaralar'!A83="","",'6 Numaralar'!A83)</f>
        <v/>
      </c>
      <c r="B481" t="str">
        <f>IF('6 Numaralar'!B83="","",'6 Numaralar'!B83)</f>
        <v/>
      </c>
      <c r="C481" s="2" t="str">
        <f>IF('6 Numaralar'!C83="","",'6 Numaralar'!C83)</f>
        <v/>
      </c>
      <c r="D481" t="str">
        <f ca="1">IF('6 Numaralar'!D83="","",'6 Numaralar'!D83)</f>
        <v/>
      </c>
      <c r="E481" t="str">
        <f>IF('6 Numaralar'!E83="","",'6 Numaralar'!E83)</f>
        <v>6 Numara</v>
      </c>
      <c r="F481" t="str">
        <f>IF('6 Numaralar'!G83="","",'6 Numaralar'!G83)</f>
        <v/>
      </c>
      <c r="G481" s="2" t="str">
        <f>IF('6 Numaralar'!H83="","",'6 Numaralar'!H83)</f>
        <v/>
      </c>
      <c r="H481" t="str">
        <f>IF('6 Numaralar'!I83="","",'6 Numaralar'!I83)</f>
        <v/>
      </c>
      <c r="I481" t="str">
        <f>IF('6 Numaralar'!A83="","",'6 Numaralar'!J83)</f>
        <v/>
      </c>
      <c r="J481" t="str">
        <f>IF('6 Numaralar'!A83="","",'6 Numaralar'!K83)</f>
        <v/>
      </c>
      <c r="K481" t="str">
        <f>IF('6 Numaralar'!L83="","",'6 Numaralar'!L83)</f>
        <v/>
      </c>
      <c r="L481" t="str">
        <f>IF('6 Numaralar'!M83="","",'6 Numaralar'!M83)</f>
        <v/>
      </c>
      <c r="M481" t="str">
        <f>IF('6 Numaralar'!N83="","",'6 Numaralar'!N83)</f>
        <v/>
      </c>
      <c r="N481" t="str">
        <f>IF('6 Numaralar'!O83="","",'6 Numaralar'!O83)</f>
        <v/>
      </c>
      <c r="O481" t="str">
        <f>IF('6 Numaralar'!P83="","",'6 Numaralar'!P83)</f>
        <v/>
      </c>
      <c r="P481" t="str">
        <f>IF('6 Numaralar'!Q83="","",'6 Numaralar'!Q83)</f>
        <v/>
      </c>
      <c r="Q481" t="str">
        <f>IF('6 Numaralar'!R83="","",'6 Numaralar'!R83)</f>
        <v/>
      </c>
      <c r="R481" t="str">
        <f>IF('6 Numaralar'!S83="","",'6 Numaralar'!S83)</f>
        <v/>
      </c>
      <c r="S481" t="str">
        <f>IF('6 Numaralar'!T83="","",'6 Numaralar'!T83)</f>
        <v/>
      </c>
      <c r="T481" s="2" t="str">
        <f>IF('6 Numaralar'!U83="","",'6 Numaralar'!U83)</f>
        <v/>
      </c>
      <c r="U481" t="s">
        <v>930</v>
      </c>
      <c r="V481">
        <v>83</v>
      </c>
      <c r="W481" t="str">
        <f ca="1">IF(AND($A481&lt;&gt;"",ISNUMBER($G481),$G481&gt;=TODAY(),$G481&lt;=EDATE(TODAY(),12)),COUNTIFS($G$2:$G$1001,"&gt;="&amp;TODAY(),$G$2:$G$1001,"&lt;"&amp;$G481,$A$2:$A$1001,"&lt;&gt;")+COUNTIFS($G$2:$G481,$G481,$A$2:$A481,"&lt;&gt;"),"")</f>
        <v/>
      </c>
      <c r="X481" t="str">
        <f>IF(AND($A481&lt;&gt;"",ISNUMBER($C481),$C481&gt;=DATE(2003,1,1)),COUNTIFS($C$2:$C481,"&gt;="&amp;DATE(2003,1,1),$A$2:$A481,"&lt;&gt;"),"")</f>
        <v/>
      </c>
    </row>
    <row r="482" spans="1:24">
      <c r="A482" t="str">
        <f>IF('6 Numaralar'!A84="","",'6 Numaralar'!A84)</f>
        <v/>
      </c>
      <c r="B482" t="str">
        <f>IF('6 Numaralar'!B84="","",'6 Numaralar'!B84)</f>
        <v/>
      </c>
      <c r="C482" s="2" t="str">
        <f>IF('6 Numaralar'!C84="","",'6 Numaralar'!C84)</f>
        <v/>
      </c>
      <c r="D482" t="str">
        <f ca="1">IF('6 Numaralar'!D84="","",'6 Numaralar'!D84)</f>
        <v/>
      </c>
      <c r="E482" t="str">
        <f>IF('6 Numaralar'!E84="","",'6 Numaralar'!E84)</f>
        <v>6 Numara</v>
      </c>
      <c r="F482" t="str">
        <f>IF('6 Numaralar'!G84="","",'6 Numaralar'!G84)</f>
        <v/>
      </c>
      <c r="G482" s="2" t="str">
        <f>IF('6 Numaralar'!H84="","",'6 Numaralar'!H84)</f>
        <v/>
      </c>
      <c r="H482" t="str">
        <f>IF('6 Numaralar'!I84="","",'6 Numaralar'!I84)</f>
        <v/>
      </c>
      <c r="I482" t="str">
        <f>IF('6 Numaralar'!A84="","",'6 Numaralar'!J84)</f>
        <v/>
      </c>
      <c r="J482" t="str">
        <f>IF('6 Numaralar'!A84="","",'6 Numaralar'!K84)</f>
        <v/>
      </c>
      <c r="K482" t="str">
        <f>IF('6 Numaralar'!L84="","",'6 Numaralar'!L84)</f>
        <v/>
      </c>
      <c r="L482" t="str">
        <f>IF('6 Numaralar'!M84="","",'6 Numaralar'!M84)</f>
        <v/>
      </c>
      <c r="M482" t="str">
        <f>IF('6 Numaralar'!N84="","",'6 Numaralar'!N84)</f>
        <v/>
      </c>
      <c r="N482" t="str">
        <f>IF('6 Numaralar'!O84="","",'6 Numaralar'!O84)</f>
        <v/>
      </c>
      <c r="O482" t="str">
        <f>IF('6 Numaralar'!P84="","",'6 Numaralar'!P84)</f>
        <v/>
      </c>
      <c r="P482" t="str">
        <f>IF('6 Numaralar'!Q84="","",'6 Numaralar'!Q84)</f>
        <v/>
      </c>
      <c r="Q482" t="str">
        <f>IF('6 Numaralar'!R84="","",'6 Numaralar'!R84)</f>
        <v/>
      </c>
      <c r="R482" t="str">
        <f>IF('6 Numaralar'!S84="","",'6 Numaralar'!S84)</f>
        <v/>
      </c>
      <c r="S482" t="str">
        <f>IF('6 Numaralar'!T84="","",'6 Numaralar'!T84)</f>
        <v/>
      </c>
      <c r="T482" s="2" t="str">
        <f>IF('6 Numaralar'!U84="","",'6 Numaralar'!U84)</f>
        <v/>
      </c>
      <c r="U482" t="s">
        <v>930</v>
      </c>
      <c r="V482">
        <v>84</v>
      </c>
      <c r="W482" t="str">
        <f ca="1">IF(AND($A482&lt;&gt;"",ISNUMBER($G482),$G482&gt;=TODAY(),$G482&lt;=EDATE(TODAY(),12)),COUNTIFS($G$2:$G$1001,"&gt;="&amp;TODAY(),$G$2:$G$1001,"&lt;"&amp;$G482,$A$2:$A$1001,"&lt;&gt;")+COUNTIFS($G$2:$G482,$G482,$A$2:$A482,"&lt;&gt;"),"")</f>
        <v/>
      </c>
      <c r="X482" t="str">
        <f>IF(AND($A482&lt;&gt;"",ISNUMBER($C482),$C482&gt;=DATE(2003,1,1)),COUNTIFS($C$2:$C482,"&gt;="&amp;DATE(2003,1,1),$A$2:$A482,"&lt;&gt;"),"")</f>
        <v/>
      </c>
    </row>
    <row r="483" spans="1:24">
      <c r="A483" t="str">
        <f>IF('6 Numaralar'!A85="","",'6 Numaralar'!A85)</f>
        <v/>
      </c>
      <c r="B483" t="str">
        <f>IF('6 Numaralar'!B85="","",'6 Numaralar'!B85)</f>
        <v/>
      </c>
      <c r="C483" s="2" t="str">
        <f>IF('6 Numaralar'!C85="","",'6 Numaralar'!C85)</f>
        <v/>
      </c>
      <c r="D483" t="str">
        <f ca="1">IF('6 Numaralar'!D85="","",'6 Numaralar'!D85)</f>
        <v/>
      </c>
      <c r="E483" t="str">
        <f>IF('6 Numaralar'!E85="","",'6 Numaralar'!E85)</f>
        <v>6 Numara</v>
      </c>
      <c r="F483" t="str">
        <f>IF('6 Numaralar'!G85="","",'6 Numaralar'!G85)</f>
        <v/>
      </c>
      <c r="G483" s="2" t="str">
        <f>IF('6 Numaralar'!H85="","",'6 Numaralar'!H85)</f>
        <v/>
      </c>
      <c r="H483" t="str">
        <f>IF('6 Numaralar'!I85="","",'6 Numaralar'!I85)</f>
        <v/>
      </c>
      <c r="I483" t="str">
        <f>IF('6 Numaralar'!A85="","",'6 Numaralar'!J85)</f>
        <v/>
      </c>
      <c r="J483" t="str">
        <f>IF('6 Numaralar'!A85="","",'6 Numaralar'!K85)</f>
        <v/>
      </c>
      <c r="K483" t="str">
        <f>IF('6 Numaralar'!L85="","",'6 Numaralar'!L85)</f>
        <v/>
      </c>
      <c r="L483" t="str">
        <f>IF('6 Numaralar'!M85="","",'6 Numaralar'!M85)</f>
        <v/>
      </c>
      <c r="M483" t="str">
        <f>IF('6 Numaralar'!N85="","",'6 Numaralar'!N85)</f>
        <v/>
      </c>
      <c r="N483" t="str">
        <f>IF('6 Numaralar'!O85="","",'6 Numaralar'!O85)</f>
        <v/>
      </c>
      <c r="O483" t="str">
        <f>IF('6 Numaralar'!P85="","",'6 Numaralar'!P85)</f>
        <v/>
      </c>
      <c r="P483" t="str">
        <f>IF('6 Numaralar'!Q85="","",'6 Numaralar'!Q85)</f>
        <v/>
      </c>
      <c r="Q483" t="str">
        <f>IF('6 Numaralar'!R85="","",'6 Numaralar'!R85)</f>
        <v/>
      </c>
      <c r="R483" t="str">
        <f>IF('6 Numaralar'!S85="","",'6 Numaralar'!S85)</f>
        <v/>
      </c>
      <c r="S483" t="str">
        <f>IF('6 Numaralar'!T85="","",'6 Numaralar'!T85)</f>
        <v/>
      </c>
      <c r="T483" s="2" t="str">
        <f>IF('6 Numaralar'!U85="","",'6 Numaralar'!U85)</f>
        <v/>
      </c>
      <c r="U483" t="s">
        <v>930</v>
      </c>
      <c r="V483">
        <v>85</v>
      </c>
      <c r="W483" t="str">
        <f ca="1">IF(AND($A483&lt;&gt;"",ISNUMBER($G483),$G483&gt;=TODAY(),$G483&lt;=EDATE(TODAY(),12)),COUNTIFS($G$2:$G$1001,"&gt;="&amp;TODAY(),$G$2:$G$1001,"&lt;"&amp;$G483,$A$2:$A$1001,"&lt;&gt;")+COUNTIFS($G$2:$G483,$G483,$A$2:$A483,"&lt;&gt;"),"")</f>
        <v/>
      </c>
      <c r="X483" t="str">
        <f>IF(AND($A483&lt;&gt;"",ISNUMBER($C483),$C483&gt;=DATE(2003,1,1)),COUNTIFS($C$2:$C483,"&gt;="&amp;DATE(2003,1,1),$A$2:$A483,"&lt;&gt;"),"")</f>
        <v/>
      </c>
    </row>
    <row r="484" spans="1:24">
      <c r="A484" t="str">
        <f>IF('6 Numaralar'!A86="","",'6 Numaralar'!A86)</f>
        <v/>
      </c>
      <c r="B484" t="str">
        <f>IF('6 Numaralar'!B86="","",'6 Numaralar'!B86)</f>
        <v/>
      </c>
      <c r="C484" s="2" t="str">
        <f>IF('6 Numaralar'!C86="","",'6 Numaralar'!C86)</f>
        <v/>
      </c>
      <c r="D484" t="str">
        <f ca="1">IF('6 Numaralar'!D86="","",'6 Numaralar'!D86)</f>
        <v/>
      </c>
      <c r="E484" t="str">
        <f>IF('6 Numaralar'!E86="","",'6 Numaralar'!E86)</f>
        <v>6 Numara</v>
      </c>
      <c r="F484" t="str">
        <f>IF('6 Numaralar'!G86="","",'6 Numaralar'!G86)</f>
        <v/>
      </c>
      <c r="G484" s="2" t="str">
        <f>IF('6 Numaralar'!H86="","",'6 Numaralar'!H86)</f>
        <v/>
      </c>
      <c r="H484" t="str">
        <f>IF('6 Numaralar'!I86="","",'6 Numaralar'!I86)</f>
        <v/>
      </c>
      <c r="I484" t="str">
        <f>IF('6 Numaralar'!A86="","",'6 Numaralar'!J86)</f>
        <v/>
      </c>
      <c r="J484" t="str">
        <f>IF('6 Numaralar'!A86="","",'6 Numaralar'!K86)</f>
        <v/>
      </c>
      <c r="K484" t="str">
        <f>IF('6 Numaralar'!L86="","",'6 Numaralar'!L86)</f>
        <v/>
      </c>
      <c r="L484" t="str">
        <f>IF('6 Numaralar'!M86="","",'6 Numaralar'!M86)</f>
        <v/>
      </c>
      <c r="M484" t="str">
        <f>IF('6 Numaralar'!N86="","",'6 Numaralar'!N86)</f>
        <v/>
      </c>
      <c r="N484" t="str">
        <f>IF('6 Numaralar'!O86="","",'6 Numaralar'!O86)</f>
        <v/>
      </c>
      <c r="O484" t="str">
        <f>IF('6 Numaralar'!P86="","",'6 Numaralar'!P86)</f>
        <v/>
      </c>
      <c r="P484" t="str">
        <f>IF('6 Numaralar'!Q86="","",'6 Numaralar'!Q86)</f>
        <v/>
      </c>
      <c r="Q484" t="str">
        <f>IF('6 Numaralar'!R86="","",'6 Numaralar'!R86)</f>
        <v/>
      </c>
      <c r="R484" t="str">
        <f>IF('6 Numaralar'!S86="","",'6 Numaralar'!S86)</f>
        <v/>
      </c>
      <c r="S484" t="str">
        <f>IF('6 Numaralar'!T86="","",'6 Numaralar'!T86)</f>
        <v/>
      </c>
      <c r="T484" s="2" t="str">
        <f>IF('6 Numaralar'!U86="","",'6 Numaralar'!U86)</f>
        <v/>
      </c>
      <c r="U484" t="s">
        <v>930</v>
      </c>
      <c r="V484">
        <v>86</v>
      </c>
      <c r="W484" t="str">
        <f ca="1">IF(AND($A484&lt;&gt;"",ISNUMBER($G484),$G484&gt;=TODAY(),$G484&lt;=EDATE(TODAY(),12)),COUNTIFS($G$2:$G$1001,"&gt;="&amp;TODAY(),$G$2:$G$1001,"&lt;"&amp;$G484,$A$2:$A$1001,"&lt;&gt;")+COUNTIFS($G$2:$G484,$G484,$A$2:$A484,"&lt;&gt;"),"")</f>
        <v/>
      </c>
      <c r="X484" t="str">
        <f>IF(AND($A484&lt;&gt;"",ISNUMBER($C484),$C484&gt;=DATE(2003,1,1)),COUNTIFS($C$2:$C484,"&gt;="&amp;DATE(2003,1,1),$A$2:$A484,"&lt;&gt;"),"")</f>
        <v/>
      </c>
    </row>
    <row r="485" spans="1:24">
      <c r="A485" t="str">
        <f>IF('6 Numaralar'!A87="","",'6 Numaralar'!A87)</f>
        <v/>
      </c>
      <c r="B485" t="str">
        <f>IF('6 Numaralar'!B87="","",'6 Numaralar'!B87)</f>
        <v/>
      </c>
      <c r="C485" s="2" t="str">
        <f>IF('6 Numaralar'!C87="","",'6 Numaralar'!C87)</f>
        <v/>
      </c>
      <c r="D485" t="str">
        <f ca="1">IF('6 Numaralar'!D87="","",'6 Numaralar'!D87)</f>
        <v/>
      </c>
      <c r="E485" t="str">
        <f>IF('6 Numaralar'!E87="","",'6 Numaralar'!E87)</f>
        <v>6 Numara</v>
      </c>
      <c r="F485" t="str">
        <f>IF('6 Numaralar'!G87="","",'6 Numaralar'!G87)</f>
        <v/>
      </c>
      <c r="G485" s="2" t="str">
        <f>IF('6 Numaralar'!H87="","",'6 Numaralar'!H87)</f>
        <v/>
      </c>
      <c r="H485" t="str">
        <f>IF('6 Numaralar'!I87="","",'6 Numaralar'!I87)</f>
        <v/>
      </c>
      <c r="I485" t="str">
        <f>IF('6 Numaralar'!A87="","",'6 Numaralar'!J87)</f>
        <v/>
      </c>
      <c r="J485" t="str">
        <f>IF('6 Numaralar'!A87="","",'6 Numaralar'!K87)</f>
        <v/>
      </c>
      <c r="K485" t="str">
        <f>IF('6 Numaralar'!L87="","",'6 Numaralar'!L87)</f>
        <v/>
      </c>
      <c r="L485" t="str">
        <f>IF('6 Numaralar'!M87="","",'6 Numaralar'!M87)</f>
        <v/>
      </c>
      <c r="M485" t="str">
        <f>IF('6 Numaralar'!N87="","",'6 Numaralar'!N87)</f>
        <v/>
      </c>
      <c r="N485" t="str">
        <f>IF('6 Numaralar'!O87="","",'6 Numaralar'!O87)</f>
        <v/>
      </c>
      <c r="O485" t="str">
        <f>IF('6 Numaralar'!P87="","",'6 Numaralar'!P87)</f>
        <v/>
      </c>
      <c r="P485" t="str">
        <f>IF('6 Numaralar'!Q87="","",'6 Numaralar'!Q87)</f>
        <v/>
      </c>
      <c r="Q485" t="str">
        <f>IF('6 Numaralar'!R87="","",'6 Numaralar'!R87)</f>
        <v/>
      </c>
      <c r="R485" t="str">
        <f>IF('6 Numaralar'!S87="","",'6 Numaralar'!S87)</f>
        <v/>
      </c>
      <c r="S485" t="str">
        <f>IF('6 Numaralar'!T87="","",'6 Numaralar'!T87)</f>
        <v/>
      </c>
      <c r="T485" s="2" t="str">
        <f>IF('6 Numaralar'!U87="","",'6 Numaralar'!U87)</f>
        <v/>
      </c>
      <c r="U485" t="s">
        <v>930</v>
      </c>
      <c r="V485">
        <v>87</v>
      </c>
      <c r="W485" t="str">
        <f ca="1">IF(AND($A485&lt;&gt;"",ISNUMBER($G485),$G485&gt;=TODAY(),$G485&lt;=EDATE(TODAY(),12)),COUNTIFS($G$2:$G$1001,"&gt;="&amp;TODAY(),$G$2:$G$1001,"&lt;"&amp;$G485,$A$2:$A$1001,"&lt;&gt;")+COUNTIFS($G$2:$G485,$G485,$A$2:$A485,"&lt;&gt;"),"")</f>
        <v/>
      </c>
      <c r="X485" t="str">
        <f>IF(AND($A485&lt;&gt;"",ISNUMBER($C485),$C485&gt;=DATE(2003,1,1)),COUNTIFS($C$2:$C485,"&gt;="&amp;DATE(2003,1,1),$A$2:$A485,"&lt;&gt;"),"")</f>
        <v/>
      </c>
    </row>
    <row r="486" spans="1:24">
      <c r="A486" t="str">
        <f>IF('6 Numaralar'!A88="","",'6 Numaralar'!A88)</f>
        <v/>
      </c>
      <c r="B486" t="str">
        <f>IF('6 Numaralar'!B88="","",'6 Numaralar'!B88)</f>
        <v/>
      </c>
      <c r="C486" s="2" t="str">
        <f>IF('6 Numaralar'!C88="","",'6 Numaralar'!C88)</f>
        <v/>
      </c>
      <c r="D486" t="str">
        <f ca="1">IF('6 Numaralar'!D88="","",'6 Numaralar'!D88)</f>
        <v/>
      </c>
      <c r="E486" t="str">
        <f>IF('6 Numaralar'!E88="","",'6 Numaralar'!E88)</f>
        <v>6 Numara</v>
      </c>
      <c r="F486" t="str">
        <f>IF('6 Numaralar'!G88="","",'6 Numaralar'!G88)</f>
        <v/>
      </c>
      <c r="G486" s="2" t="str">
        <f>IF('6 Numaralar'!H88="","",'6 Numaralar'!H88)</f>
        <v/>
      </c>
      <c r="H486" t="str">
        <f>IF('6 Numaralar'!I88="","",'6 Numaralar'!I88)</f>
        <v/>
      </c>
      <c r="I486" t="str">
        <f>IF('6 Numaralar'!A88="","",'6 Numaralar'!J88)</f>
        <v/>
      </c>
      <c r="J486" t="str">
        <f>IF('6 Numaralar'!A88="","",'6 Numaralar'!K88)</f>
        <v/>
      </c>
      <c r="K486" t="str">
        <f>IF('6 Numaralar'!L88="","",'6 Numaralar'!L88)</f>
        <v/>
      </c>
      <c r="L486" t="str">
        <f>IF('6 Numaralar'!M88="","",'6 Numaralar'!M88)</f>
        <v/>
      </c>
      <c r="M486" t="str">
        <f>IF('6 Numaralar'!N88="","",'6 Numaralar'!N88)</f>
        <v/>
      </c>
      <c r="N486" t="str">
        <f>IF('6 Numaralar'!O88="","",'6 Numaralar'!O88)</f>
        <v/>
      </c>
      <c r="O486" t="str">
        <f>IF('6 Numaralar'!P88="","",'6 Numaralar'!P88)</f>
        <v/>
      </c>
      <c r="P486" t="str">
        <f>IF('6 Numaralar'!Q88="","",'6 Numaralar'!Q88)</f>
        <v/>
      </c>
      <c r="Q486" t="str">
        <f>IF('6 Numaralar'!R88="","",'6 Numaralar'!R88)</f>
        <v/>
      </c>
      <c r="R486" t="str">
        <f>IF('6 Numaralar'!S88="","",'6 Numaralar'!S88)</f>
        <v/>
      </c>
      <c r="S486" t="str">
        <f>IF('6 Numaralar'!T88="","",'6 Numaralar'!T88)</f>
        <v/>
      </c>
      <c r="T486" s="2" t="str">
        <f>IF('6 Numaralar'!U88="","",'6 Numaralar'!U88)</f>
        <v/>
      </c>
      <c r="U486" t="s">
        <v>930</v>
      </c>
      <c r="V486">
        <v>88</v>
      </c>
      <c r="W486" t="str">
        <f ca="1">IF(AND($A486&lt;&gt;"",ISNUMBER($G486),$G486&gt;=TODAY(),$G486&lt;=EDATE(TODAY(),12)),COUNTIFS($G$2:$G$1001,"&gt;="&amp;TODAY(),$G$2:$G$1001,"&lt;"&amp;$G486,$A$2:$A$1001,"&lt;&gt;")+COUNTIFS($G$2:$G486,$G486,$A$2:$A486,"&lt;&gt;"),"")</f>
        <v/>
      </c>
      <c r="X486" t="str">
        <f>IF(AND($A486&lt;&gt;"",ISNUMBER($C486),$C486&gt;=DATE(2003,1,1)),COUNTIFS($C$2:$C486,"&gt;="&amp;DATE(2003,1,1),$A$2:$A486,"&lt;&gt;"),"")</f>
        <v/>
      </c>
    </row>
    <row r="487" spans="1:24">
      <c r="A487" t="str">
        <f>IF('6 Numaralar'!A89="","",'6 Numaralar'!A89)</f>
        <v/>
      </c>
      <c r="B487" t="str">
        <f>IF('6 Numaralar'!B89="","",'6 Numaralar'!B89)</f>
        <v/>
      </c>
      <c r="C487" s="2" t="str">
        <f>IF('6 Numaralar'!C89="","",'6 Numaralar'!C89)</f>
        <v/>
      </c>
      <c r="D487" t="str">
        <f ca="1">IF('6 Numaralar'!D89="","",'6 Numaralar'!D89)</f>
        <v/>
      </c>
      <c r="E487" t="str">
        <f>IF('6 Numaralar'!E89="","",'6 Numaralar'!E89)</f>
        <v>6 Numara</v>
      </c>
      <c r="F487" t="str">
        <f>IF('6 Numaralar'!G89="","",'6 Numaralar'!G89)</f>
        <v/>
      </c>
      <c r="G487" s="2" t="str">
        <f>IF('6 Numaralar'!H89="","",'6 Numaralar'!H89)</f>
        <v/>
      </c>
      <c r="H487" t="str">
        <f>IF('6 Numaralar'!I89="","",'6 Numaralar'!I89)</f>
        <v/>
      </c>
      <c r="I487" t="str">
        <f>IF('6 Numaralar'!A89="","",'6 Numaralar'!J89)</f>
        <v/>
      </c>
      <c r="J487" t="str">
        <f>IF('6 Numaralar'!A89="","",'6 Numaralar'!K89)</f>
        <v/>
      </c>
      <c r="K487" t="str">
        <f>IF('6 Numaralar'!L89="","",'6 Numaralar'!L89)</f>
        <v/>
      </c>
      <c r="L487" t="str">
        <f>IF('6 Numaralar'!M89="","",'6 Numaralar'!M89)</f>
        <v/>
      </c>
      <c r="M487" t="str">
        <f>IF('6 Numaralar'!N89="","",'6 Numaralar'!N89)</f>
        <v/>
      </c>
      <c r="N487" t="str">
        <f>IF('6 Numaralar'!O89="","",'6 Numaralar'!O89)</f>
        <v/>
      </c>
      <c r="O487" t="str">
        <f>IF('6 Numaralar'!P89="","",'6 Numaralar'!P89)</f>
        <v/>
      </c>
      <c r="P487" t="str">
        <f>IF('6 Numaralar'!Q89="","",'6 Numaralar'!Q89)</f>
        <v/>
      </c>
      <c r="Q487" t="str">
        <f>IF('6 Numaralar'!R89="","",'6 Numaralar'!R89)</f>
        <v/>
      </c>
      <c r="R487" t="str">
        <f>IF('6 Numaralar'!S89="","",'6 Numaralar'!S89)</f>
        <v/>
      </c>
      <c r="S487" t="str">
        <f>IF('6 Numaralar'!T89="","",'6 Numaralar'!T89)</f>
        <v/>
      </c>
      <c r="T487" s="2" t="str">
        <f>IF('6 Numaralar'!U89="","",'6 Numaralar'!U89)</f>
        <v/>
      </c>
      <c r="U487" t="s">
        <v>930</v>
      </c>
      <c r="V487">
        <v>89</v>
      </c>
      <c r="W487" t="str">
        <f ca="1">IF(AND($A487&lt;&gt;"",ISNUMBER($G487),$G487&gt;=TODAY(),$G487&lt;=EDATE(TODAY(),12)),COUNTIFS($G$2:$G$1001,"&gt;="&amp;TODAY(),$G$2:$G$1001,"&lt;"&amp;$G487,$A$2:$A$1001,"&lt;&gt;")+COUNTIFS($G$2:$G487,$G487,$A$2:$A487,"&lt;&gt;"),"")</f>
        <v/>
      </c>
      <c r="X487" t="str">
        <f>IF(AND($A487&lt;&gt;"",ISNUMBER($C487),$C487&gt;=DATE(2003,1,1)),COUNTIFS($C$2:$C487,"&gt;="&amp;DATE(2003,1,1),$A$2:$A487,"&lt;&gt;"),"")</f>
        <v/>
      </c>
    </row>
    <row r="488" spans="1:24">
      <c r="A488" t="str">
        <f>IF('6 Numaralar'!A90="","",'6 Numaralar'!A90)</f>
        <v/>
      </c>
      <c r="B488" t="str">
        <f>IF('6 Numaralar'!B90="","",'6 Numaralar'!B90)</f>
        <v/>
      </c>
      <c r="C488" s="2" t="str">
        <f>IF('6 Numaralar'!C90="","",'6 Numaralar'!C90)</f>
        <v/>
      </c>
      <c r="D488" t="str">
        <f ca="1">IF('6 Numaralar'!D90="","",'6 Numaralar'!D90)</f>
        <v/>
      </c>
      <c r="E488" t="str">
        <f>IF('6 Numaralar'!E90="","",'6 Numaralar'!E90)</f>
        <v>6 Numara</v>
      </c>
      <c r="F488" t="str">
        <f>IF('6 Numaralar'!G90="","",'6 Numaralar'!G90)</f>
        <v/>
      </c>
      <c r="G488" s="2" t="str">
        <f>IF('6 Numaralar'!H90="","",'6 Numaralar'!H90)</f>
        <v/>
      </c>
      <c r="H488" t="str">
        <f>IF('6 Numaralar'!I90="","",'6 Numaralar'!I90)</f>
        <v/>
      </c>
      <c r="I488" t="str">
        <f>IF('6 Numaralar'!A90="","",'6 Numaralar'!J90)</f>
        <v/>
      </c>
      <c r="J488" t="str">
        <f>IF('6 Numaralar'!A90="","",'6 Numaralar'!K90)</f>
        <v/>
      </c>
      <c r="K488" t="str">
        <f>IF('6 Numaralar'!L90="","",'6 Numaralar'!L90)</f>
        <v/>
      </c>
      <c r="L488" t="str">
        <f>IF('6 Numaralar'!M90="","",'6 Numaralar'!M90)</f>
        <v/>
      </c>
      <c r="M488" t="str">
        <f>IF('6 Numaralar'!N90="","",'6 Numaralar'!N90)</f>
        <v/>
      </c>
      <c r="N488" t="str">
        <f>IF('6 Numaralar'!O90="","",'6 Numaralar'!O90)</f>
        <v/>
      </c>
      <c r="O488" t="str">
        <f>IF('6 Numaralar'!P90="","",'6 Numaralar'!P90)</f>
        <v/>
      </c>
      <c r="P488" t="str">
        <f>IF('6 Numaralar'!Q90="","",'6 Numaralar'!Q90)</f>
        <v/>
      </c>
      <c r="Q488" t="str">
        <f>IF('6 Numaralar'!R90="","",'6 Numaralar'!R90)</f>
        <v/>
      </c>
      <c r="R488" t="str">
        <f>IF('6 Numaralar'!S90="","",'6 Numaralar'!S90)</f>
        <v/>
      </c>
      <c r="S488" t="str">
        <f>IF('6 Numaralar'!T90="","",'6 Numaralar'!T90)</f>
        <v/>
      </c>
      <c r="T488" s="2" t="str">
        <f>IF('6 Numaralar'!U90="","",'6 Numaralar'!U90)</f>
        <v/>
      </c>
      <c r="U488" t="s">
        <v>930</v>
      </c>
      <c r="V488">
        <v>90</v>
      </c>
      <c r="W488" t="str">
        <f ca="1">IF(AND($A488&lt;&gt;"",ISNUMBER($G488),$G488&gt;=TODAY(),$G488&lt;=EDATE(TODAY(),12)),COUNTIFS($G$2:$G$1001,"&gt;="&amp;TODAY(),$G$2:$G$1001,"&lt;"&amp;$G488,$A$2:$A$1001,"&lt;&gt;")+COUNTIFS($G$2:$G488,$G488,$A$2:$A488,"&lt;&gt;"),"")</f>
        <v/>
      </c>
      <c r="X488" t="str">
        <f>IF(AND($A488&lt;&gt;"",ISNUMBER($C488),$C488&gt;=DATE(2003,1,1)),COUNTIFS($C$2:$C488,"&gt;="&amp;DATE(2003,1,1),$A$2:$A488,"&lt;&gt;"),"")</f>
        <v/>
      </c>
    </row>
    <row r="489" spans="1:24">
      <c r="A489" t="str">
        <f>IF('6 Numaralar'!A91="","",'6 Numaralar'!A91)</f>
        <v/>
      </c>
      <c r="B489" t="str">
        <f>IF('6 Numaralar'!B91="","",'6 Numaralar'!B91)</f>
        <v/>
      </c>
      <c r="C489" s="2" t="str">
        <f>IF('6 Numaralar'!C91="","",'6 Numaralar'!C91)</f>
        <v/>
      </c>
      <c r="D489" t="str">
        <f ca="1">IF('6 Numaralar'!D91="","",'6 Numaralar'!D91)</f>
        <v/>
      </c>
      <c r="E489" t="str">
        <f>IF('6 Numaralar'!E91="","",'6 Numaralar'!E91)</f>
        <v>6 Numara</v>
      </c>
      <c r="F489" t="str">
        <f>IF('6 Numaralar'!G91="","",'6 Numaralar'!G91)</f>
        <v/>
      </c>
      <c r="G489" s="2" t="str">
        <f>IF('6 Numaralar'!H91="","",'6 Numaralar'!H91)</f>
        <v/>
      </c>
      <c r="H489" t="str">
        <f>IF('6 Numaralar'!I91="","",'6 Numaralar'!I91)</f>
        <v/>
      </c>
      <c r="I489" t="str">
        <f>IF('6 Numaralar'!A91="","",'6 Numaralar'!J91)</f>
        <v/>
      </c>
      <c r="J489" t="str">
        <f>IF('6 Numaralar'!A91="","",'6 Numaralar'!K91)</f>
        <v/>
      </c>
      <c r="K489" t="str">
        <f>IF('6 Numaralar'!L91="","",'6 Numaralar'!L91)</f>
        <v/>
      </c>
      <c r="L489" t="str">
        <f>IF('6 Numaralar'!M91="","",'6 Numaralar'!M91)</f>
        <v/>
      </c>
      <c r="M489" t="str">
        <f>IF('6 Numaralar'!N91="","",'6 Numaralar'!N91)</f>
        <v/>
      </c>
      <c r="N489" t="str">
        <f>IF('6 Numaralar'!O91="","",'6 Numaralar'!O91)</f>
        <v/>
      </c>
      <c r="O489" t="str">
        <f>IF('6 Numaralar'!P91="","",'6 Numaralar'!P91)</f>
        <v/>
      </c>
      <c r="P489" t="str">
        <f>IF('6 Numaralar'!Q91="","",'6 Numaralar'!Q91)</f>
        <v/>
      </c>
      <c r="Q489" t="str">
        <f>IF('6 Numaralar'!R91="","",'6 Numaralar'!R91)</f>
        <v/>
      </c>
      <c r="R489" t="str">
        <f>IF('6 Numaralar'!S91="","",'6 Numaralar'!S91)</f>
        <v/>
      </c>
      <c r="S489" t="str">
        <f>IF('6 Numaralar'!T91="","",'6 Numaralar'!T91)</f>
        <v/>
      </c>
      <c r="T489" s="2" t="str">
        <f>IF('6 Numaralar'!U91="","",'6 Numaralar'!U91)</f>
        <v/>
      </c>
      <c r="U489" t="s">
        <v>930</v>
      </c>
      <c r="V489">
        <v>91</v>
      </c>
      <c r="W489" t="str">
        <f ca="1">IF(AND($A489&lt;&gt;"",ISNUMBER($G489),$G489&gt;=TODAY(),$G489&lt;=EDATE(TODAY(),12)),COUNTIFS($G$2:$G$1001,"&gt;="&amp;TODAY(),$G$2:$G$1001,"&lt;"&amp;$G489,$A$2:$A$1001,"&lt;&gt;")+COUNTIFS($G$2:$G489,$G489,$A$2:$A489,"&lt;&gt;"),"")</f>
        <v/>
      </c>
      <c r="X489" t="str">
        <f>IF(AND($A489&lt;&gt;"",ISNUMBER($C489),$C489&gt;=DATE(2003,1,1)),COUNTIFS($C$2:$C489,"&gt;="&amp;DATE(2003,1,1),$A$2:$A489,"&lt;&gt;"),"")</f>
        <v/>
      </c>
    </row>
    <row r="490" spans="1:24">
      <c r="A490" t="str">
        <f>IF('6 Numaralar'!A92="","",'6 Numaralar'!A92)</f>
        <v/>
      </c>
      <c r="B490" t="str">
        <f>IF('6 Numaralar'!B92="","",'6 Numaralar'!B92)</f>
        <v/>
      </c>
      <c r="C490" s="2" t="str">
        <f>IF('6 Numaralar'!C92="","",'6 Numaralar'!C92)</f>
        <v/>
      </c>
      <c r="D490" t="str">
        <f ca="1">IF('6 Numaralar'!D92="","",'6 Numaralar'!D92)</f>
        <v/>
      </c>
      <c r="E490" t="str">
        <f>IF('6 Numaralar'!E92="","",'6 Numaralar'!E92)</f>
        <v>6 Numara</v>
      </c>
      <c r="F490" t="str">
        <f>IF('6 Numaralar'!G92="","",'6 Numaralar'!G92)</f>
        <v/>
      </c>
      <c r="G490" s="2" t="str">
        <f>IF('6 Numaralar'!H92="","",'6 Numaralar'!H92)</f>
        <v/>
      </c>
      <c r="H490" t="str">
        <f>IF('6 Numaralar'!I92="","",'6 Numaralar'!I92)</f>
        <v/>
      </c>
      <c r="I490" t="str">
        <f>IF('6 Numaralar'!A92="","",'6 Numaralar'!J92)</f>
        <v/>
      </c>
      <c r="J490" t="str">
        <f>IF('6 Numaralar'!A92="","",'6 Numaralar'!K92)</f>
        <v/>
      </c>
      <c r="K490" t="str">
        <f>IF('6 Numaralar'!L92="","",'6 Numaralar'!L92)</f>
        <v/>
      </c>
      <c r="L490" t="str">
        <f>IF('6 Numaralar'!M92="","",'6 Numaralar'!M92)</f>
        <v/>
      </c>
      <c r="M490" t="str">
        <f>IF('6 Numaralar'!N92="","",'6 Numaralar'!N92)</f>
        <v/>
      </c>
      <c r="N490" t="str">
        <f>IF('6 Numaralar'!O92="","",'6 Numaralar'!O92)</f>
        <v/>
      </c>
      <c r="O490" t="str">
        <f>IF('6 Numaralar'!P92="","",'6 Numaralar'!P92)</f>
        <v/>
      </c>
      <c r="P490" t="str">
        <f>IF('6 Numaralar'!Q92="","",'6 Numaralar'!Q92)</f>
        <v/>
      </c>
      <c r="Q490" t="str">
        <f>IF('6 Numaralar'!R92="","",'6 Numaralar'!R92)</f>
        <v/>
      </c>
      <c r="R490" t="str">
        <f>IF('6 Numaralar'!S92="","",'6 Numaralar'!S92)</f>
        <v/>
      </c>
      <c r="S490" t="str">
        <f>IF('6 Numaralar'!T92="","",'6 Numaralar'!T92)</f>
        <v/>
      </c>
      <c r="T490" s="2" t="str">
        <f>IF('6 Numaralar'!U92="","",'6 Numaralar'!U92)</f>
        <v/>
      </c>
      <c r="U490" t="s">
        <v>930</v>
      </c>
      <c r="V490">
        <v>92</v>
      </c>
      <c r="W490" t="str">
        <f ca="1">IF(AND($A490&lt;&gt;"",ISNUMBER($G490),$G490&gt;=TODAY(),$G490&lt;=EDATE(TODAY(),12)),COUNTIFS($G$2:$G$1001,"&gt;="&amp;TODAY(),$G$2:$G$1001,"&lt;"&amp;$G490,$A$2:$A$1001,"&lt;&gt;")+COUNTIFS($G$2:$G490,$G490,$A$2:$A490,"&lt;&gt;"),"")</f>
        <v/>
      </c>
      <c r="X490" t="str">
        <f>IF(AND($A490&lt;&gt;"",ISNUMBER($C490),$C490&gt;=DATE(2003,1,1)),COUNTIFS($C$2:$C490,"&gt;="&amp;DATE(2003,1,1),$A$2:$A490,"&lt;&gt;"),"")</f>
        <v/>
      </c>
    </row>
    <row r="491" spans="1:24">
      <c r="A491" t="str">
        <f>IF('6 Numaralar'!A93="","",'6 Numaralar'!A93)</f>
        <v/>
      </c>
      <c r="B491" t="str">
        <f>IF('6 Numaralar'!B93="","",'6 Numaralar'!B93)</f>
        <v/>
      </c>
      <c r="C491" s="2" t="str">
        <f>IF('6 Numaralar'!C93="","",'6 Numaralar'!C93)</f>
        <v/>
      </c>
      <c r="D491" t="str">
        <f ca="1">IF('6 Numaralar'!D93="","",'6 Numaralar'!D93)</f>
        <v/>
      </c>
      <c r="E491" t="str">
        <f>IF('6 Numaralar'!E93="","",'6 Numaralar'!E93)</f>
        <v>6 Numara</v>
      </c>
      <c r="F491" t="str">
        <f>IF('6 Numaralar'!G93="","",'6 Numaralar'!G93)</f>
        <v/>
      </c>
      <c r="G491" s="2" t="str">
        <f>IF('6 Numaralar'!H93="","",'6 Numaralar'!H93)</f>
        <v/>
      </c>
      <c r="H491" t="str">
        <f>IF('6 Numaralar'!I93="","",'6 Numaralar'!I93)</f>
        <v/>
      </c>
      <c r="I491" t="str">
        <f>IF('6 Numaralar'!A93="","",'6 Numaralar'!J93)</f>
        <v/>
      </c>
      <c r="J491" t="str">
        <f>IF('6 Numaralar'!A93="","",'6 Numaralar'!K93)</f>
        <v/>
      </c>
      <c r="K491" t="str">
        <f>IF('6 Numaralar'!L93="","",'6 Numaralar'!L93)</f>
        <v/>
      </c>
      <c r="L491" t="str">
        <f>IF('6 Numaralar'!M93="","",'6 Numaralar'!M93)</f>
        <v/>
      </c>
      <c r="M491" t="str">
        <f>IF('6 Numaralar'!N93="","",'6 Numaralar'!N93)</f>
        <v/>
      </c>
      <c r="N491" t="str">
        <f>IF('6 Numaralar'!O93="","",'6 Numaralar'!O93)</f>
        <v/>
      </c>
      <c r="O491" t="str">
        <f>IF('6 Numaralar'!P93="","",'6 Numaralar'!P93)</f>
        <v/>
      </c>
      <c r="P491" t="str">
        <f>IF('6 Numaralar'!Q93="","",'6 Numaralar'!Q93)</f>
        <v/>
      </c>
      <c r="Q491" t="str">
        <f>IF('6 Numaralar'!R93="","",'6 Numaralar'!R93)</f>
        <v/>
      </c>
      <c r="R491" t="str">
        <f>IF('6 Numaralar'!S93="","",'6 Numaralar'!S93)</f>
        <v/>
      </c>
      <c r="S491" t="str">
        <f>IF('6 Numaralar'!T93="","",'6 Numaralar'!T93)</f>
        <v/>
      </c>
      <c r="T491" s="2" t="str">
        <f>IF('6 Numaralar'!U93="","",'6 Numaralar'!U93)</f>
        <v/>
      </c>
      <c r="U491" t="s">
        <v>930</v>
      </c>
      <c r="V491">
        <v>93</v>
      </c>
      <c r="W491" t="str">
        <f ca="1">IF(AND($A491&lt;&gt;"",ISNUMBER($G491),$G491&gt;=TODAY(),$G491&lt;=EDATE(TODAY(),12)),COUNTIFS($G$2:$G$1001,"&gt;="&amp;TODAY(),$G$2:$G$1001,"&lt;"&amp;$G491,$A$2:$A$1001,"&lt;&gt;")+COUNTIFS($G$2:$G491,$G491,$A$2:$A491,"&lt;&gt;"),"")</f>
        <v/>
      </c>
      <c r="X491" t="str">
        <f>IF(AND($A491&lt;&gt;"",ISNUMBER($C491),$C491&gt;=DATE(2003,1,1)),COUNTIFS($C$2:$C491,"&gt;="&amp;DATE(2003,1,1),$A$2:$A491,"&lt;&gt;"),"")</f>
        <v/>
      </c>
    </row>
    <row r="492" spans="1:24">
      <c r="A492" t="str">
        <f>IF('6 Numaralar'!A94="","",'6 Numaralar'!A94)</f>
        <v/>
      </c>
      <c r="B492" t="str">
        <f>IF('6 Numaralar'!B94="","",'6 Numaralar'!B94)</f>
        <v/>
      </c>
      <c r="C492" s="2" t="str">
        <f>IF('6 Numaralar'!C94="","",'6 Numaralar'!C94)</f>
        <v/>
      </c>
      <c r="D492" t="str">
        <f ca="1">IF('6 Numaralar'!D94="","",'6 Numaralar'!D94)</f>
        <v/>
      </c>
      <c r="E492" t="str">
        <f>IF('6 Numaralar'!E94="","",'6 Numaralar'!E94)</f>
        <v>6 Numara</v>
      </c>
      <c r="F492" t="str">
        <f>IF('6 Numaralar'!G94="","",'6 Numaralar'!G94)</f>
        <v/>
      </c>
      <c r="G492" s="2" t="str">
        <f>IF('6 Numaralar'!H94="","",'6 Numaralar'!H94)</f>
        <v/>
      </c>
      <c r="H492" t="str">
        <f>IF('6 Numaralar'!I94="","",'6 Numaralar'!I94)</f>
        <v/>
      </c>
      <c r="I492" t="str">
        <f>IF('6 Numaralar'!A94="","",'6 Numaralar'!J94)</f>
        <v/>
      </c>
      <c r="J492" t="str">
        <f>IF('6 Numaralar'!A94="","",'6 Numaralar'!K94)</f>
        <v/>
      </c>
      <c r="K492" t="str">
        <f>IF('6 Numaralar'!L94="","",'6 Numaralar'!L94)</f>
        <v/>
      </c>
      <c r="L492" t="str">
        <f>IF('6 Numaralar'!M94="","",'6 Numaralar'!M94)</f>
        <v/>
      </c>
      <c r="M492" t="str">
        <f>IF('6 Numaralar'!N94="","",'6 Numaralar'!N94)</f>
        <v/>
      </c>
      <c r="N492" t="str">
        <f>IF('6 Numaralar'!O94="","",'6 Numaralar'!O94)</f>
        <v/>
      </c>
      <c r="O492" t="str">
        <f>IF('6 Numaralar'!P94="","",'6 Numaralar'!P94)</f>
        <v/>
      </c>
      <c r="P492" t="str">
        <f>IF('6 Numaralar'!Q94="","",'6 Numaralar'!Q94)</f>
        <v/>
      </c>
      <c r="Q492" t="str">
        <f>IF('6 Numaralar'!R94="","",'6 Numaralar'!R94)</f>
        <v/>
      </c>
      <c r="R492" t="str">
        <f>IF('6 Numaralar'!S94="","",'6 Numaralar'!S94)</f>
        <v/>
      </c>
      <c r="S492" t="str">
        <f>IF('6 Numaralar'!T94="","",'6 Numaralar'!T94)</f>
        <v/>
      </c>
      <c r="T492" s="2" t="str">
        <f>IF('6 Numaralar'!U94="","",'6 Numaralar'!U94)</f>
        <v/>
      </c>
      <c r="U492" t="s">
        <v>930</v>
      </c>
      <c r="V492">
        <v>94</v>
      </c>
      <c r="W492" t="str">
        <f ca="1">IF(AND($A492&lt;&gt;"",ISNUMBER($G492),$G492&gt;=TODAY(),$G492&lt;=EDATE(TODAY(),12)),COUNTIFS($G$2:$G$1001,"&gt;="&amp;TODAY(),$G$2:$G$1001,"&lt;"&amp;$G492,$A$2:$A$1001,"&lt;&gt;")+COUNTIFS($G$2:$G492,$G492,$A$2:$A492,"&lt;&gt;"),"")</f>
        <v/>
      </c>
      <c r="X492" t="str">
        <f>IF(AND($A492&lt;&gt;"",ISNUMBER($C492),$C492&gt;=DATE(2003,1,1)),COUNTIFS($C$2:$C492,"&gt;="&amp;DATE(2003,1,1),$A$2:$A492,"&lt;&gt;"),"")</f>
        <v/>
      </c>
    </row>
    <row r="493" spans="1:24">
      <c r="A493" t="str">
        <f>IF('6 Numaralar'!A95="","",'6 Numaralar'!A95)</f>
        <v/>
      </c>
      <c r="B493" t="str">
        <f>IF('6 Numaralar'!B95="","",'6 Numaralar'!B95)</f>
        <v/>
      </c>
      <c r="C493" s="2" t="str">
        <f>IF('6 Numaralar'!C95="","",'6 Numaralar'!C95)</f>
        <v/>
      </c>
      <c r="D493" t="str">
        <f ca="1">IF('6 Numaralar'!D95="","",'6 Numaralar'!D95)</f>
        <v/>
      </c>
      <c r="E493" t="str">
        <f>IF('6 Numaralar'!E95="","",'6 Numaralar'!E95)</f>
        <v>6 Numara</v>
      </c>
      <c r="F493" t="str">
        <f>IF('6 Numaralar'!G95="","",'6 Numaralar'!G95)</f>
        <v/>
      </c>
      <c r="G493" s="2" t="str">
        <f>IF('6 Numaralar'!H95="","",'6 Numaralar'!H95)</f>
        <v/>
      </c>
      <c r="H493" t="str">
        <f>IF('6 Numaralar'!I95="","",'6 Numaralar'!I95)</f>
        <v/>
      </c>
      <c r="I493" t="str">
        <f>IF('6 Numaralar'!A95="","",'6 Numaralar'!J95)</f>
        <v/>
      </c>
      <c r="J493" t="str">
        <f>IF('6 Numaralar'!A95="","",'6 Numaralar'!K95)</f>
        <v/>
      </c>
      <c r="K493" t="str">
        <f>IF('6 Numaralar'!L95="","",'6 Numaralar'!L95)</f>
        <v/>
      </c>
      <c r="L493" t="str">
        <f>IF('6 Numaralar'!M95="","",'6 Numaralar'!M95)</f>
        <v/>
      </c>
      <c r="M493" t="str">
        <f>IF('6 Numaralar'!N95="","",'6 Numaralar'!N95)</f>
        <v/>
      </c>
      <c r="N493" t="str">
        <f>IF('6 Numaralar'!O95="","",'6 Numaralar'!O95)</f>
        <v/>
      </c>
      <c r="O493" t="str">
        <f>IF('6 Numaralar'!P95="","",'6 Numaralar'!P95)</f>
        <v/>
      </c>
      <c r="P493" t="str">
        <f>IF('6 Numaralar'!Q95="","",'6 Numaralar'!Q95)</f>
        <v/>
      </c>
      <c r="Q493" t="str">
        <f>IF('6 Numaralar'!R95="","",'6 Numaralar'!R95)</f>
        <v/>
      </c>
      <c r="R493" t="str">
        <f>IF('6 Numaralar'!S95="","",'6 Numaralar'!S95)</f>
        <v/>
      </c>
      <c r="S493" t="str">
        <f>IF('6 Numaralar'!T95="","",'6 Numaralar'!T95)</f>
        <v/>
      </c>
      <c r="T493" s="2" t="str">
        <f>IF('6 Numaralar'!U95="","",'6 Numaralar'!U95)</f>
        <v/>
      </c>
      <c r="U493" t="s">
        <v>930</v>
      </c>
      <c r="V493">
        <v>95</v>
      </c>
      <c r="W493" t="str">
        <f ca="1">IF(AND($A493&lt;&gt;"",ISNUMBER($G493),$G493&gt;=TODAY(),$G493&lt;=EDATE(TODAY(),12)),COUNTIFS($G$2:$G$1001,"&gt;="&amp;TODAY(),$G$2:$G$1001,"&lt;"&amp;$G493,$A$2:$A$1001,"&lt;&gt;")+COUNTIFS($G$2:$G493,$G493,$A$2:$A493,"&lt;&gt;"),"")</f>
        <v/>
      </c>
      <c r="X493" t="str">
        <f>IF(AND($A493&lt;&gt;"",ISNUMBER($C493),$C493&gt;=DATE(2003,1,1)),COUNTIFS($C$2:$C493,"&gt;="&amp;DATE(2003,1,1),$A$2:$A493,"&lt;&gt;"),"")</f>
        <v/>
      </c>
    </row>
    <row r="494" spans="1:24">
      <c r="A494" t="str">
        <f>IF('6 Numaralar'!A96="","",'6 Numaralar'!A96)</f>
        <v/>
      </c>
      <c r="B494" t="str">
        <f>IF('6 Numaralar'!B96="","",'6 Numaralar'!B96)</f>
        <v/>
      </c>
      <c r="C494" s="2" t="str">
        <f>IF('6 Numaralar'!C96="","",'6 Numaralar'!C96)</f>
        <v/>
      </c>
      <c r="D494" t="str">
        <f ca="1">IF('6 Numaralar'!D96="","",'6 Numaralar'!D96)</f>
        <v/>
      </c>
      <c r="E494" t="str">
        <f>IF('6 Numaralar'!E96="","",'6 Numaralar'!E96)</f>
        <v>6 Numara</v>
      </c>
      <c r="F494" t="str">
        <f>IF('6 Numaralar'!G96="","",'6 Numaralar'!G96)</f>
        <v/>
      </c>
      <c r="G494" s="2" t="str">
        <f>IF('6 Numaralar'!H96="","",'6 Numaralar'!H96)</f>
        <v/>
      </c>
      <c r="H494" t="str">
        <f>IF('6 Numaralar'!I96="","",'6 Numaralar'!I96)</f>
        <v/>
      </c>
      <c r="I494" t="str">
        <f>IF('6 Numaralar'!A96="","",'6 Numaralar'!J96)</f>
        <v/>
      </c>
      <c r="J494" t="str">
        <f>IF('6 Numaralar'!A96="","",'6 Numaralar'!K96)</f>
        <v/>
      </c>
      <c r="K494" t="str">
        <f>IF('6 Numaralar'!L96="","",'6 Numaralar'!L96)</f>
        <v/>
      </c>
      <c r="L494" t="str">
        <f>IF('6 Numaralar'!M96="","",'6 Numaralar'!M96)</f>
        <v/>
      </c>
      <c r="M494" t="str">
        <f>IF('6 Numaralar'!N96="","",'6 Numaralar'!N96)</f>
        <v/>
      </c>
      <c r="N494" t="str">
        <f>IF('6 Numaralar'!O96="","",'6 Numaralar'!O96)</f>
        <v/>
      </c>
      <c r="O494" t="str">
        <f>IF('6 Numaralar'!P96="","",'6 Numaralar'!P96)</f>
        <v/>
      </c>
      <c r="P494" t="str">
        <f>IF('6 Numaralar'!Q96="","",'6 Numaralar'!Q96)</f>
        <v/>
      </c>
      <c r="Q494" t="str">
        <f>IF('6 Numaralar'!R96="","",'6 Numaralar'!R96)</f>
        <v/>
      </c>
      <c r="R494" t="str">
        <f>IF('6 Numaralar'!S96="","",'6 Numaralar'!S96)</f>
        <v/>
      </c>
      <c r="S494" t="str">
        <f>IF('6 Numaralar'!T96="","",'6 Numaralar'!T96)</f>
        <v/>
      </c>
      <c r="T494" s="2" t="str">
        <f>IF('6 Numaralar'!U96="","",'6 Numaralar'!U96)</f>
        <v/>
      </c>
      <c r="U494" t="s">
        <v>930</v>
      </c>
      <c r="V494">
        <v>96</v>
      </c>
      <c r="W494" t="str">
        <f ca="1">IF(AND($A494&lt;&gt;"",ISNUMBER($G494),$G494&gt;=TODAY(),$G494&lt;=EDATE(TODAY(),12)),COUNTIFS($G$2:$G$1001,"&gt;="&amp;TODAY(),$G$2:$G$1001,"&lt;"&amp;$G494,$A$2:$A$1001,"&lt;&gt;")+COUNTIFS($G$2:$G494,$G494,$A$2:$A494,"&lt;&gt;"),"")</f>
        <v/>
      </c>
      <c r="X494" t="str">
        <f>IF(AND($A494&lt;&gt;"",ISNUMBER($C494),$C494&gt;=DATE(2003,1,1)),COUNTIFS($C$2:$C494,"&gt;="&amp;DATE(2003,1,1),$A$2:$A494,"&lt;&gt;"),"")</f>
        <v/>
      </c>
    </row>
    <row r="495" spans="1:24">
      <c r="A495" t="str">
        <f>IF('6 Numaralar'!A97="","",'6 Numaralar'!A97)</f>
        <v/>
      </c>
      <c r="B495" t="str">
        <f>IF('6 Numaralar'!B97="","",'6 Numaralar'!B97)</f>
        <v/>
      </c>
      <c r="C495" s="2" t="str">
        <f>IF('6 Numaralar'!C97="","",'6 Numaralar'!C97)</f>
        <v/>
      </c>
      <c r="D495" t="str">
        <f ca="1">IF('6 Numaralar'!D97="","",'6 Numaralar'!D97)</f>
        <v/>
      </c>
      <c r="E495" t="str">
        <f>IF('6 Numaralar'!E97="","",'6 Numaralar'!E97)</f>
        <v>6 Numara</v>
      </c>
      <c r="F495" t="str">
        <f>IF('6 Numaralar'!G97="","",'6 Numaralar'!G97)</f>
        <v/>
      </c>
      <c r="G495" s="2" t="str">
        <f>IF('6 Numaralar'!H97="","",'6 Numaralar'!H97)</f>
        <v/>
      </c>
      <c r="H495" t="str">
        <f>IF('6 Numaralar'!I97="","",'6 Numaralar'!I97)</f>
        <v/>
      </c>
      <c r="I495" t="str">
        <f>IF('6 Numaralar'!A97="","",'6 Numaralar'!J97)</f>
        <v/>
      </c>
      <c r="J495" t="str">
        <f>IF('6 Numaralar'!A97="","",'6 Numaralar'!K97)</f>
        <v/>
      </c>
      <c r="K495" t="str">
        <f>IF('6 Numaralar'!L97="","",'6 Numaralar'!L97)</f>
        <v/>
      </c>
      <c r="L495" t="str">
        <f>IF('6 Numaralar'!M97="","",'6 Numaralar'!M97)</f>
        <v/>
      </c>
      <c r="M495" t="str">
        <f>IF('6 Numaralar'!N97="","",'6 Numaralar'!N97)</f>
        <v/>
      </c>
      <c r="N495" t="str">
        <f>IF('6 Numaralar'!O97="","",'6 Numaralar'!O97)</f>
        <v/>
      </c>
      <c r="O495" t="str">
        <f>IF('6 Numaralar'!P97="","",'6 Numaralar'!P97)</f>
        <v/>
      </c>
      <c r="P495" t="str">
        <f>IF('6 Numaralar'!Q97="","",'6 Numaralar'!Q97)</f>
        <v/>
      </c>
      <c r="Q495" t="str">
        <f>IF('6 Numaralar'!R97="","",'6 Numaralar'!R97)</f>
        <v/>
      </c>
      <c r="R495" t="str">
        <f>IF('6 Numaralar'!S97="","",'6 Numaralar'!S97)</f>
        <v/>
      </c>
      <c r="S495" t="str">
        <f>IF('6 Numaralar'!T97="","",'6 Numaralar'!T97)</f>
        <v/>
      </c>
      <c r="T495" s="2" t="str">
        <f>IF('6 Numaralar'!U97="","",'6 Numaralar'!U97)</f>
        <v/>
      </c>
      <c r="U495" t="s">
        <v>930</v>
      </c>
      <c r="V495">
        <v>97</v>
      </c>
      <c r="W495" t="str">
        <f ca="1">IF(AND($A495&lt;&gt;"",ISNUMBER($G495),$G495&gt;=TODAY(),$G495&lt;=EDATE(TODAY(),12)),COUNTIFS($G$2:$G$1001,"&gt;="&amp;TODAY(),$G$2:$G$1001,"&lt;"&amp;$G495,$A$2:$A$1001,"&lt;&gt;")+COUNTIFS($G$2:$G495,$G495,$A$2:$A495,"&lt;&gt;"),"")</f>
        <v/>
      </c>
      <c r="X495" t="str">
        <f>IF(AND($A495&lt;&gt;"",ISNUMBER($C495),$C495&gt;=DATE(2003,1,1)),COUNTIFS($C$2:$C495,"&gt;="&amp;DATE(2003,1,1),$A$2:$A495,"&lt;&gt;"),"")</f>
        <v/>
      </c>
    </row>
    <row r="496" spans="1:24">
      <c r="A496" t="str">
        <f>IF('6 Numaralar'!A98="","",'6 Numaralar'!A98)</f>
        <v/>
      </c>
      <c r="B496" t="str">
        <f>IF('6 Numaralar'!B98="","",'6 Numaralar'!B98)</f>
        <v/>
      </c>
      <c r="C496" s="2" t="str">
        <f>IF('6 Numaralar'!C98="","",'6 Numaralar'!C98)</f>
        <v/>
      </c>
      <c r="D496" t="str">
        <f ca="1">IF('6 Numaralar'!D98="","",'6 Numaralar'!D98)</f>
        <v/>
      </c>
      <c r="E496" t="str">
        <f>IF('6 Numaralar'!E98="","",'6 Numaralar'!E98)</f>
        <v>6 Numara</v>
      </c>
      <c r="F496" t="str">
        <f>IF('6 Numaralar'!G98="","",'6 Numaralar'!G98)</f>
        <v/>
      </c>
      <c r="G496" s="2" t="str">
        <f>IF('6 Numaralar'!H98="","",'6 Numaralar'!H98)</f>
        <v/>
      </c>
      <c r="H496" t="str">
        <f>IF('6 Numaralar'!I98="","",'6 Numaralar'!I98)</f>
        <v/>
      </c>
      <c r="I496" t="str">
        <f>IF('6 Numaralar'!A98="","",'6 Numaralar'!J98)</f>
        <v/>
      </c>
      <c r="J496" t="str">
        <f>IF('6 Numaralar'!A98="","",'6 Numaralar'!K98)</f>
        <v/>
      </c>
      <c r="K496" t="str">
        <f>IF('6 Numaralar'!L98="","",'6 Numaralar'!L98)</f>
        <v/>
      </c>
      <c r="L496" t="str">
        <f>IF('6 Numaralar'!M98="","",'6 Numaralar'!M98)</f>
        <v/>
      </c>
      <c r="M496" t="str">
        <f>IF('6 Numaralar'!N98="","",'6 Numaralar'!N98)</f>
        <v/>
      </c>
      <c r="N496" t="str">
        <f>IF('6 Numaralar'!O98="","",'6 Numaralar'!O98)</f>
        <v/>
      </c>
      <c r="O496" t="str">
        <f>IF('6 Numaralar'!P98="","",'6 Numaralar'!P98)</f>
        <v/>
      </c>
      <c r="P496" t="str">
        <f>IF('6 Numaralar'!Q98="","",'6 Numaralar'!Q98)</f>
        <v/>
      </c>
      <c r="Q496" t="str">
        <f>IF('6 Numaralar'!R98="","",'6 Numaralar'!R98)</f>
        <v/>
      </c>
      <c r="R496" t="str">
        <f>IF('6 Numaralar'!S98="","",'6 Numaralar'!S98)</f>
        <v/>
      </c>
      <c r="S496" t="str">
        <f>IF('6 Numaralar'!T98="","",'6 Numaralar'!T98)</f>
        <v/>
      </c>
      <c r="T496" s="2" t="str">
        <f>IF('6 Numaralar'!U98="","",'6 Numaralar'!U98)</f>
        <v/>
      </c>
      <c r="U496" t="s">
        <v>930</v>
      </c>
      <c r="V496">
        <v>98</v>
      </c>
      <c r="W496" t="str">
        <f ca="1">IF(AND($A496&lt;&gt;"",ISNUMBER($G496),$G496&gt;=TODAY(),$G496&lt;=EDATE(TODAY(),12)),COUNTIFS($G$2:$G$1001,"&gt;="&amp;TODAY(),$G$2:$G$1001,"&lt;"&amp;$G496,$A$2:$A$1001,"&lt;&gt;")+COUNTIFS($G$2:$G496,$G496,$A$2:$A496,"&lt;&gt;"),"")</f>
        <v/>
      </c>
      <c r="X496" t="str">
        <f>IF(AND($A496&lt;&gt;"",ISNUMBER($C496),$C496&gt;=DATE(2003,1,1)),COUNTIFS($C$2:$C496,"&gt;="&amp;DATE(2003,1,1),$A$2:$A496,"&lt;&gt;"),"")</f>
        <v/>
      </c>
    </row>
    <row r="497" spans="1:24">
      <c r="A497" t="str">
        <f>IF('6 Numaralar'!A99="","",'6 Numaralar'!A99)</f>
        <v/>
      </c>
      <c r="B497" t="str">
        <f>IF('6 Numaralar'!B99="","",'6 Numaralar'!B99)</f>
        <v/>
      </c>
      <c r="C497" s="2" t="str">
        <f>IF('6 Numaralar'!C99="","",'6 Numaralar'!C99)</f>
        <v/>
      </c>
      <c r="D497" t="str">
        <f ca="1">IF('6 Numaralar'!D99="","",'6 Numaralar'!D99)</f>
        <v/>
      </c>
      <c r="E497" t="str">
        <f>IF('6 Numaralar'!E99="","",'6 Numaralar'!E99)</f>
        <v>6 Numara</v>
      </c>
      <c r="F497" t="str">
        <f>IF('6 Numaralar'!G99="","",'6 Numaralar'!G99)</f>
        <v/>
      </c>
      <c r="G497" s="2" t="str">
        <f>IF('6 Numaralar'!H99="","",'6 Numaralar'!H99)</f>
        <v/>
      </c>
      <c r="H497" t="str">
        <f>IF('6 Numaralar'!I99="","",'6 Numaralar'!I99)</f>
        <v/>
      </c>
      <c r="I497" t="str">
        <f>IF('6 Numaralar'!A99="","",'6 Numaralar'!J99)</f>
        <v/>
      </c>
      <c r="J497" t="str">
        <f>IF('6 Numaralar'!A99="","",'6 Numaralar'!K99)</f>
        <v/>
      </c>
      <c r="K497" t="str">
        <f>IF('6 Numaralar'!L99="","",'6 Numaralar'!L99)</f>
        <v/>
      </c>
      <c r="L497" t="str">
        <f>IF('6 Numaralar'!M99="","",'6 Numaralar'!M99)</f>
        <v/>
      </c>
      <c r="M497" t="str">
        <f>IF('6 Numaralar'!N99="","",'6 Numaralar'!N99)</f>
        <v/>
      </c>
      <c r="N497" t="str">
        <f>IF('6 Numaralar'!O99="","",'6 Numaralar'!O99)</f>
        <v/>
      </c>
      <c r="O497" t="str">
        <f>IF('6 Numaralar'!P99="","",'6 Numaralar'!P99)</f>
        <v/>
      </c>
      <c r="P497" t="str">
        <f>IF('6 Numaralar'!Q99="","",'6 Numaralar'!Q99)</f>
        <v/>
      </c>
      <c r="Q497" t="str">
        <f>IF('6 Numaralar'!R99="","",'6 Numaralar'!R99)</f>
        <v/>
      </c>
      <c r="R497" t="str">
        <f>IF('6 Numaralar'!S99="","",'6 Numaralar'!S99)</f>
        <v/>
      </c>
      <c r="S497" t="str">
        <f>IF('6 Numaralar'!T99="","",'6 Numaralar'!T99)</f>
        <v/>
      </c>
      <c r="T497" s="2" t="str">
        <f>IF('6 Numaralar'!U99="","",'6 Numaralar'!U99)</f>
        <v/>
      </c>
      <c r="U497" t="s">
        <v>930</v>
      </c>
      <c r="V497">
        <v>99</v>
      </c>
      <c r="W497" t="str">
        <f ca="1">IF(AND($A497&lt;&gt;"",ISNUMBER($G497),$G497&gt;=TODAY(),$G497&lt;=EDATE(TODAY(),12)),COUNTIFS($G$2:$G$1001,"&gt;="&amp;TODAY(),$G$2:$G$1001,"&lt;"&amp;$G497,$A$2:$A$1001,"&lt;&gt;")+COUNTIFS($G$2:$G497,$G497,$A$2:$A497,"&lt;&gt;"),"")</f>
        <v/>
      </c>
      <c r="X497" t="str">
        <f>IF(AND($A497&lt;&gt;"",ISNUMBER($C497),$C497&gt;=DATE(2003,1,1)),COUNTIFS($C$2:$C497,"&gt;="&amp;DATE(2003,1,1),$A$2:$A497,"&lt;&gt;"),"")</f>
        <v/>
      </c>
    </row>
    <row r="498" spans="1:24">
      <c r="A498" t="str">
        <f>IF('6 Numaralar'!A100="","",'6 Numaralar'!A100)</f>
        <v/>
      </c>
      <c r="B498" t="str">
        <f>IF('6 Numaralar'!B100="","",'6 Numaralar'!B100)</f>
        <v/>
      </c>
      <c r="C498" s="2" t="str">
        <f>IF('6 Numaralar'!C100="","",'6 Numaralar'!C100)</f>
        <v/>
      </c>
      <c r="D498" t="str">
        <f ca="1">IF('6 Numaralar'!D100="","",'6 Numaralar'!D100)</f>
        <v/>
      </c>
      <c r="E498" t="str">
        <f>IF('6 Numaralar'!E100="","",'6 Numaralar'!E100)</f>
        <v>6 Numara</v>
      </c>
      <c r="F498" t="str">
        <f>IF('6 Numaralar'!G100="","",'6 Numaralar'!G100)</f>
        <v/>
      </c>
      <c r="G498" s="2" t="str">
        <f>IF('6 Numaralar'!H100="","",'6 Numaralar'!H100)</f>
        <v/>
      </c>
      <c r="H498" t="str">
        <f>IF('6 Numaralar'!I100="","",'6 Numaralar'!I100)</f>
        <v/>
      </c>
      <c r="I498" t="str">
        <f>IF('6 Numaralar'!A100="","",'6 Numaralar'!J100)</f>
        <v/>
      </c>
      <c r="J498" t="str">
        <f>IF('6 Numaralar'!A100="","",'6 Numaralar'!K100)</f>
        <v/>
      </c>
      <c r="K498" t="str">
        <f>IF('6 Numaralar'!L100="","",'6 Numaralar'!L100)</f>
        <v/>
      </c>
      <c r="L498" t="str">
        <f>IF('6 Numaralar'!M100="","",'6 Numaralar'!M100)</f>
        <v/>
      </c>
      <c r="M498" t="str">
        <f>IF('6 Numaralar'!N100="","",'6 Numaralar'!N100)</f>
        <v/>
      </c>
      <c r="N498" t="str">
        <f>IF('6 Numaralar'!O100="","",'6 Numaralar'!O100)</f>
        <v/>
      </c>
      <c r="O498" t="str">
        <f>IF('6 Numaralar'!P100="","",'6 Numaralar'!P100)</f>
        <v/>
      </c>
      <c r="P498" t="str">
        <f>IF('6 Numaralar'!Q100="","",'6 Numaralar'!Q100)</f>
        <v/>
      </c>
      <c r="Q498" t="str">
        <f>IF('6 Numaralar'!R100="","",'6 Numaralar'!R100)</f>
        <v/>
      </c>
      <c r="R498" t="str">
        <f>IF('6 Numaralar'!S100="","",'6 Numaralar'!S100)</f>
        <v/>
      </c>
      <c r="S498" t="str">
        <f>IF('6 Numaralar'!T100="","",'6 Numaralar'!T100)</f>
        <v/>
      </c>
      <c r="T498" s="2" t="str">
        <f>IF('6 Numaralar'!U100="","",'6 Numaralar'!U100)</f>
        <v/>
      </c>
      <c r="U498" t="s">
        <v>930</v>
      </c>
      <c r="V498">
        <v>100</v>
      </c>
      <c r="W498" t="str">
        <f ca="1">IF(AND($A498&lt;&gt;"",ISNUMBER($G498),$G498&gt;=TODAY(),$G498&lt;=EDATE(TODAY(),12)),COUNTIFS($G$2:$G$1001,"&gt;="&amp;TODAY(),$G$2:$G$1001,"&lt;"&amp;$G498,$A$2:$A$1001,"&lt;&gt;")+COUNTIFS($G$2:$G498,$G498,$A$2:$A498,"&lt;&gt;"),"")</f>
        <v/>
      </c>
      <c r="X498" t="str">
        <f>IF(AND($A498&lt;&gt;"",ISNUMBER($C498),$C498&gt;=DATE(2003,1,1)),COUNTIFS($C$2:$C498,"&gt;="&amp;DATE(2003,1,1),$A$2:$A498,"&lt;&gt;"),"")</f>
        <v/>
      </c>
    </row>
    <row r="499" spans="1:24">
      <c r="A499" t="str">
        <f>IF('6 Numaralar'!A101="","",'6 Numaralar'!A101)</f>
        <v/>
      </c>
      <c r="B499" t="str">
        <f>IF('6 Numaralar'!B101="","",'6 Numaralar'!B101)</f>
        <v/>
      </c>
      <c r="C499" s="2" t="str">
        <f>IF('6 Numaralar'!C101="","",'6 Numaralar'!C101)</f>
        <v/>
      </c>
      <c r="D499" t="str">
        <f ca="1">IF('6 Numaralar'!D101="","",'6 Numaralar'!D101)</f>
        <v/>
      </c>
      <c r="E499" t="str">
        <f>IF('6 Numaralar'!E101="","",'6 Numaralar'!E101)</f>
        <v>6 Numara</v>
      </c>
      <c r="F499" t="str">
        <f>IF('6 Numaralar'!G101="","",'6 Numaralar'!G101)</f>
        <v/>
      </c>
      <c r="G499" s="2" t="str">
        <f>IF('6 Numaralar'!H101="","",'6 Numaralar'!H101)</f>
        <v/>
      </c>
      <c r="H499" t="str">
        <f>IF('6 Numaralar'!I101="","",'6 Numaralar'!I101)</f>
        <v/>
      </c>
      <c r="I499" t="str">
        <f>IF('6 Numaralar'!A101="","",'6 Numaralar'!J101)</f>
        <v/>
      </c>
      <c r="J499" t="str">
        <f>IF('6 Numaralar'!A101="","",'6 Numaralar'!K101)</f>
        <v/>
      </c>
      <c r="K499" t="str">
        <f>IF('6 Numaralar'!L101="","",'6 Numaralar'!L101)</f>
        <v/>
      </c>
      <c r="L499" t="str">
        <f>IF('6 Numaralar'!M101="","",'6 Numaralar'!M101)</f>
        <v/>
      </c>
      <c r="M499" t="str">
        <f>IF('6 Numaralar'!N101="","",'6 Numaralar'!N101)</f>
        <v/>
      </c>
      <c r="N499" t="str">
        <f>IF('6 Numaralar'!O101="","",'6 Numaralar'!O101)</f>
        <v/>
      </c>
      <c r="O499" t="str">
        <f>IF('6 Numaralar'!P101="","",'6 Numaralar'!P101)</f>
        <v/>
      </c>
      <c r="P499" t="str">
        <f>IF('6 Numaralar'!Q101="","",'6 Numaralar'!Q101)</f>
        <v/>
      </c>
      <c r="Q499" t="str">
        <f>IF('6 Numaralar'!R101="","",'6 Numaralar'!R101)</f>
        <v/>
      </c>
      <c r="R499" t="str">
        <f>IF('6 Numaralar'!S101="","",'6 Numaralar'!S101)</f>
        <v/>
      </c>
      <c r="S499" t="str">
        <f>IF('6 Numaralar'!T101="","",'6 Numaralar'!T101)</f>
        <v/>
      </c>
      <c r="T499" s="2" t="str">
        <f>IF('6 Numaralar'!U101="","",'6 Numaralar'!U101)</f>
        <v/>
      </c>
      <c r="U499" t="s">
        <v>930</v>
      </c>
      <c r="V499">
        <v>101</v>
      </c>
      <c r="W499" t="str">
        <f ca="1">IF(AND($A499&lt;&gt;"",ISNUMBER($G499),$G499&gt;=TODAY(),$G499&lt;=EDATE(TODAY(),12)),COUNTIFS($G$2:$G$1001,"&gt;="&amp;TODAY(),$G$2:$G$1001,"&lt;"&amp;$G499,$A$2:$A$1001,"&lt;&gt;")+COUNTIFS($G$2:$G499,$G499,$A$2:$A499,"&lt;&gt;"),"")</f>
        <v/>
      </c>
      <c r="X499" t="str">
        <f>IF(AND($A499&lt;&gt;"",ISNUMBER($C499),$C499&gt;=DATE(2003,1,1)),COUNTIFS($C$2:$C499,"&gt;="&amp;DATE(2003,1,1),$A$2:$A499,"&lt;&gt;"),"")</f>
        <v/>
      </c>
    </row>
    <row r="500" spans="1:24">
      <c r="A500" t="str">
        <f>IF('6 Numaralar'!A102="","",'6 Numaralar'!A102)</f>
        <v/>
      </c>
      <c r="B500" t="str">
        <f>IF('6 Numaralar'!B102="","",'6 Numaralar'!B102)</f>
        <v/>
      </c>
      <c r="C500" s="2" t="str">
        <f>IF('6 Numaralar'!C102="","",'6 Numaralar'!C102)</f>
        <v/>
      </c>
      <c r="D500" t="str">
        <f ca="1">IF('6 Numaralar'!D102="","",'6 Numaralar'!D102)</f>
        <v/>
      </c>
      <c r="E500" t="str">
        <f>IF('6 Numaralar'!E102="","",'6 Numaralar'!E102)</f>
        <v>6 Numara</v>
      </c>
      <c r="F500" t="str">
        <f>IF('6 Numaralar'!G102="","",'6 Numaralar'!G102)</f>
        <v/>
      </c>
      <c r="G500" s="2" t="str">
        <f>IF('6 Numaralar'!H102="","",'6 Numaralar'!H102)</f>
        <v/>
      </c>
      <c r="H500" t="str">
        <f>IF('6 Numaralar'!I102="","",'6 Numaralar'!I102)</f>
        <v/>
      </c>
      <c r="I500" t="str">
        <f>IF('6 Numaralar'!A102="","",'6 Numaralar'!J102)</f>
        <v/>
      </c>
      <c r="J500" t="str">
        <f>IF('6 Numaralar'!A102="","",'6 Numaralar'!K102)</f>
        <v/>
      </c>
      <c r="K500" t="str">
        <f>IF('6 Numaralar'!L102="","",'6 Numaralar'!L102)</f>
        <v/>
      </c>
      <c r="L500" t="str">
        <f>IF('6 Numaralar'!M102="","",'6 Numaralar'!M102)</f>
        <v/>
      </c>
      <c r="M500" t="str">
        <f>IF('6 Numaralar'!N102="","",'6 Numaralar'!N102)</f>
        <v/>
      </c>
      <c r="N500" t="str">
        <f>IF('6 Numaralar'!O102="","",'6 Numaralar'!O102)</f>
        <v/>
      </c>
      <c r="O500" t="str">
        <f>IF('6 Numaralar'!P102="","",'6 Numaralar'!P102)</f>
        <v/>
      </c>
      <c r="P500" t="str">
        <f>IF('6 Numaralar'!Q102="","",'6 Numaralar'!Q102)</f>
        <v/>
      </c>
      <c r="Q500" t="str">
        <f>IF('6 Numaralar'!R102="","",'6 Numaralar'!R102)</f>
        <v/>
      </c>
      <c r="R500" t="str">
        <f>IF('6 Numaralar'!S102="","",'6 Numaralar'!S102)</f>
        <v/>
      </c>
      <c r="S500" t="str">
        <f>IF('6 Numaralar'!T102="","",'6 Numaralar'!T102)</f>
        <v/>
      </c>
      <c r="T500" s="2" t="str">
        <f>IF('6 Numaralar'!U102="","",'6 Numaralar'!U102)</f>
        <v/>
      </c>
      <c r="U500" t="s">
        <v>930</v>
      </c>
      <c r="V500">
        <v>102</v>
      </c>
      <c r="W500" t="str">
        <f ca="1">IF(AND($A500&lt;&gt;"",ISNUMBER($G500),$G500&gt;=TODAY(),$G500&lt;=EDATE(TODAY(),12)),COUNTIFS($G$2:$G$1001,"&gt;="&amp;TODAY(),$G$2:$G$1001,"&lt;"&amp;$G500,$A$2:$A$1001,"&lt;&gt;")+COUNTIFS($G$2:$G500,$G500,$A$2:$A500,"&lt;&gt;"),"")</f>
        <v/>
      </c>
      <c r="X500" t="str">
        <f>IF(AND($A500&lt;&gt;"",ISNUMBER($C500),$C500&gt;=DATE(2003,1,1)),COUNTIFS($C$2:$C500,"&gt;="&amp;DATE(2003,1,1),$A$2:$A500,"&lt;&gt;"),"")</f>
        <v/>
      </c>
    </row>
    <row r="501" spans="1:24">
      <c r="A501" t="str">
        <f>IF('6 Numaralar'!A103="","",'6 Numaralar'!A103)</f>
        <v/>
      </c>
      <c r="B501" t="str">
        <f>IF('6 Numaralar'!B103="","",'6 Numaralar'!B103)</f>
        <v/>
      </c>
      <c r="C501" s="2" t="str">
        <f>IF('6 Numaralar'!C103="","",'6 Numaralar'!C103)</f>
        <v/>
      </c>
      <c r="D501" t="str">
        <f ca="1">IF('6 Numaralar'!D103="","",'6 Numaralar'!D103)</f>
        <v/>
      </c>
      <c r="E501" t="str">
        <f>IF('6 Numaralar'!E103="","",'6 Numaralar'!E103)</f>
        <v>6 Numara</v>
      </c>
      <c r="F501" t="str">
        <f>IF('6 Numaralar'!G103="","",'6 Numaralar'!G103)</f>
        <v/>
      </c>
      <c r="G501" s="2" t="str">
        <f>IF('6 Numaralar'!H103="","",'6 Numaralar'!H103)</f>
        <v/>
      </c>
      <c r="H501" t="str">
        <f>IF('6 Numaralar'!I103="","",'6 Numaralar'!I103)</f>
        <v/>
      </c>
      <c r="I501" t="str">
        <f>IF('6 Numaralar'!A103="","",'6 Numaralar'!J103)</f>
        <v/>
      </c>
      <c r="J501" t="str">
        <f>IF('6 Numaralar'!A103="","",'6 Numaralar'!K103)</f>
        <v/>
      </c>
      <c r="K501" t="str">
        <f>IF('6 Numaralar'!L103="","",'6 Numaralar'!L103)</f>
        <v/>
      </c>
      <c r="L501" t="str">
        <f>IF('6 Numaralar'!M103="","",'6 Numaralar'!M103)</f>
        <v/>
      </c>
      <c r="M501" t="str">
        <f>IF('6 Numaralar'!N103="","",'6 Numaralar'!N103)</f>
        <v/>
      </c>
      <c r="N501" t="str">
        <f>IF('6 Numaralar'!O103="","",'6 Numaralar'!O103)</f>
        <v/>
      </c>
      <c r="O501" t="str">
        <f>IF('6 Numaralar'!P103="","",'6 Numaralar'!P103)</f>
        <v/>
      </c>
      <c r="P501" t="str">
        <f>IF('6 Numaralar'!Q103="","",'6 Numaralar'!Q103)</f>
        <v/>
      </c>
      <c r="Q501" t="str">
        <f>IF('6 Numaralar'!R103="","",'6 Numaralar'!R103)</f>
        <v/>
      </c>
      <c r="R501" t="str">
        <f>IF('6 Numaralar'!S103="","",'6 Numaralar'!S103)</f>
        <v/>
      </c>
      <c r="S501" t="str">
        <f>IF('6 Numaralar'!T103="","",'6 Numaralar'!T103)</f>
        <v/>
      </c>
      <c r="T501" s="2" t="str">
        <f>IF('6 Numaralar'!U103="","",'6 Numaralar'!U103)</f>
        <v/>
      </c>
      <c r="U501" t="s">
        <v>930</v>
      </c>
      <c r="V501">
        <v>103</v>
      </c>
      <c r="W501" t="str">
        <f ca="1">IF(AND($A501&lt;&gt;"",ISNUMBER($G501),$G501&gt;=TODAY(),$G501&lt;=EDATE(TODAY(),12)),COUNTIFS($G$2:$G$1001,"&gt;="&amp;TODAY(),$G$2:$G$1001,"&lt;"&amp;$G501,$A$2:$A$1001,"&lt;&gt;")+COUNTIFS($G$2:$G501,$G501,$A$2:$A501,"&lt;&gt;"),"")</f>
        <v/>
      </c>
      <c r="X501" t="str">
        <f>IF(AND($A501&lt;&gt;"",ISNUMBER($C501),$C501&gt;=DATE(2003,1,1)),COUNTIFS($C$2:$C501,"&gt;="&amp;DATE(2003,1,1),$A$2:$A501,"&lt;&gt;"),"")</f>
        <v/>
      </c>
    </row>
    <row r="502" spans="1:24">
      <c r="A502" t="str">
        <f>IF('8 Numaralar'!A4="","",'8 Numaralar'!A4)</f>
        <v>JOAN JORDAN</v>
      </c>
      <c r="B502" t="str">
        <f>IF('8 Numaralar'!B4="","",'8 Numaralar'!B4)</f>
        <v>İSPANYA</v>
      </c>
      <c r="C502" s="2">
        <f>IF('8 Numaralar'!C4="","",'8 Numaralar'!C4)</f>
        <v>34521</v>
      </c>
      <c r="D502">
        <f ca="1">IF('8 Numaralar'!D4="","",'8 Numaralar'!D4)</f>
        <v>32</v>
      </c>
      <c r="E502" t="str">
        <f>IF('8 Numaralar'!E4="","",'8 Numaralar'!E4)</f>
        <v>8 Numara</v>
      </c>
      <c r="F502" t="str">
        <f>IF('8 Numaralar'!G4="","",'8 Numaralar'!G4)</f>
        <v>ESTRELA</v>
      </c>
      <c r="G502" s="2">
        <f>IF('8 Numaralar'!H4="","",'8 Numaralar'!H4)</f>
        <v>46934</v>
      </c>
      <c r="H502" t="str">
        <f>IF('8 Numaralar'!I4="","",'8 Numaralar'!I4)</f>
        <v>Kırmızı</v>
      </c>
      <c r="I502">
        <f>IF('8 Numaralar'!A4="","",'8 Numaralar'!J4)</f>
        <v>0</v>
      </c>
      <c r="J502">
        <f>IF('8 Numaralar'!A4="","",'8 Numaralar'!K4)</f>
        <v>0</v>
      </c>
      <c r="K502" t="str">
        <f>IF('8 Numaralar'!L4="","",'8 Numaralar'!L4)</f>
        <v/>
      </c>
      <c r="L502" t="str">
        <f>IF('8 Numaralar'!M4="","",'8 Numaralar'!M4)</f>
        <v/>
      </c>
      <c r="M502" t="str">
        <f>IF('8 Numaralar'!N4="","",'8 Numaralar'!N4)</f>
        <v/>
      </c>
      <c r="N502" t="str">
        <f>IF('8 Numaralar'!O4="","",'8 Numaralar'!O4)</f>
        <v/>
      </c>
      <c r="O502" t="str">
        <f>IF('8 Numaralar'!P4="","",'8 Numaralar'!P4)</f>
        <v/>
      </c>
      <c r="P502" t="str">
        <f>IF('8 Numaralar'!Q4="","",'8 Numaralar'!Q4)</f>
        <v/>
      </c>
      <c r="Q502" t="str">
        <f>IF('8 Numaralar'!R4="","",'8 Numaralar'!R4)</f>
        <v/>
      </c>
      <c r="R502" t="str">
        <f>IF('8 Numaralar'!S4="","",'8 Numaralar'!S4)</f>
        <v/>
      </c>
      <c r="S502" t="str">
        <f>IF('8 Numaralar'!T4="","",'8 Numaralar'!T4)</f>
        <v>Ele</v>
      </c>
      <c r="T502" s="2" t="str">
        <f>IF('8 Numaralar'!U4="","",'8 Numaralar'!U4)</f>
        <v/>
      </c>
      <c r="U502" t="s">
        <v>931</v>
      </c>
      <c r="V502">
        <v>4</v>
      </c>
      <c r="W502" t="str">
        <f ca="1">IF(AND($A502&lt;&gt;"",ISNUMBER($G502),$G502&gt;=TODAY(),$G502&lt;=EDATE(TODAY(),12)),COUNTIFS($G$2:$G$1001,"&gt;="&amp;TODAY(),$G$2:$G$1001,"&lt;"&amp;$G502,$A$2:$A$1001,"&lt;&gt;")+COUNTIFS($G$2:$G502,$G502,$A$2:$A502,"&lt;&gt;"),"")</f>
        <v/>
      </c>
      <c r="X502" t="str">
        <f>IF(AND($A502&lt;&gt;"",ISNUMBER($C502),$C502&gt;=DATE(2003,1,1)),COUNTIFS($C$2:$C502,"&gt;="&amp;DATE(2003,1,1),$A$2:$A502,"&lt;&gt;"),"")</f>
        <v/>
      </c>
    </row>
    <row r="503" spans="1:24">
      <c r="A503" t="str">
        <f>IF('8 Numaralar'!A5="","",'8 Numaralar'!A5)</f>
        <v>STEPHEN EUSTAQUO</v>
      </c>
      <c r="B503" t="str">
        <f>IF('8 Numaralar'!B5="","",'8 Numaralar'!B5)</f>
        <v>KANADA</v>
      </c>
      <c r="C503" s="2">
        <f>IF('8 Numaralar'!C5="","",'8 Numaralar'!C5)</f>
        <v>35411</v>
      </c>
      <c r="D503">
        <f ca="1">IF('8 Numaralar'!D5="","",'8 Numaralar'!D5)</f>
        <v>29</v>
      </c>
      <c r="E503" t="str">
        <f>IF('8 Numaralar'!E5="","",'8 Numaralar'!E5)</f>
        <v>8 Numara</v>
      </c>
      <c r="F503" t="str">
        <f>IF('8 Numaralar'!G5="","",'8 Numaralar'!G5)</f>
        <v>SWANSEA</v>
      </c>
      <c r="G503" s="2">
        <f>IF('8 Numaralar'!H5="","",'8 Numaralar'!H5)</f>
        <v>46934</v>
      </c>
      <c r="H503" t="str">
        <f>IF('8 Numaralar'!I5="","",'8 Numaralar'!I5)</f>
        <v>Yeşil</v>
      </c>
      <c r="I503">
        <f>IF('8 Numaralar'!A5="","",'8 Numaralar'!J5)</f>
        <v>0</v>
      </c>
      <c r="J503">
        <f>IF('8 Numaralar'!A5="","",'8 Numaralar'!K5)</f>
        <v>0</v>
      </c>
      <c r="K503" t="str">
        <f>IF('8 Numaralar'!L5="","",'8 Numaralar'!L5)</f>
        <v/>
      </c>
      <c r="L503" t="str">
        <f>IF('8 Numaralar'!M5="","",'8 Numaralar'!M5)</f>
        <v/>
      </c>
      <c r="M503" t="str">
        <f>IF('8 Numaralar'!N5="","",'8 Numaralar'!N5)</f>
        <v/>
      </c>
      <c r="N503" t="str">
        <f>IF('8 Numaralar'!O5="","",'8 Numaralar'!O5)</f>
        <v/>
      </c>
      <c r="O503" t="str">
        <f>IF('8 Numaralar'!P5="","",'8 Numaralar'!P5)</f>
        <v/>
      </c>
      <c r="P503" t="str">
        <f>IF('8 Numaralar'!Q5="","",'8 Numaralar'!Q5)</f>
        <v/>
      </c>
      <c r="Q503" t="str">
        <f>IF('8 Numaralar'!R5="","",'8 Numaralar'!R5)</f>
        <v/>
      </c>
      <c r="R503" t="str">
        <f>IF('8 Numaralar'!S5="","",'8 Numaralar'!S5)</f>
        <v/>
      </c>
      <c r="S503" t="str">
        <f>IF('8 Numaralar'!T5="","",'8 Numaralar'!T5)</f>
        <v>A Liste</v>
      </c>
      <c r="T503" s="2" t="str">
        <f>IF('8 Numaralar'!U5="","",'8 Numaralar'!U5)</f>
        <v/>
      </c>
      <c r="U503" t="s">
        <v>931</v>
      </c>
      <c r="V503">
        <v>5</v>
      </c>
      <c r="W503" t="str">
        <f ca="1">IF(AND($A503&lt;&gt;"",ISNUMBER($G503),$G503&gt;=TODAY(),$G503&lt;=EDATE(TODAY(),12)),COUNTIFS($G$2:$G$1001,"&gt;="&amp;TODAY(),$G$2:$G$1001,"&lt;"&amp;$G503,$A$2:$A$1001,"&lt;&gt;")+COUNTIFS($G$2:$G503,$G503,$A$2:$A503,"&lt;&gt;"),"")</f>
        <v/>
      </c>
      <c r="X503" t="str">
        <f>IF(AND($A503&lt;&gt;"",ISNUMBER($C503),$C503&gt;=DATE(2003,1,1)),COUNTIFS($C$2:$C503,"&gt;="&amp;DATE(2003,1,1),$A$2:$A503,"&lt;&gt;"),"")</f>
        <v/>
      </c>
    </row>
    <row r="504" spans="1:24">
      <c r="A504" t="str">
        <f>IF('8 Numaralar'!A6="","",'8 Numaralar'!A6)</f>
        <v>URAN BISLIMI</v>
      </c>
      <c r="B504" t="str">
        <f>IF('8 Numaralar'!B6="","",'8 Numaralar'!B6)</f>
        <v>İSVİÇRE</v>
      </c>
      <c r="C504" s="2">
        <f>IF('8 Numaralar'!C6="","",'8 Numaralar'!C6)</f>
        <v>36428</v>
      </c>
      <c r="D504">
        <f ca="1">IF('8 Numaralar'!D6="","",'8 Numaralar'!D6)</f>
        <v>27</v>
      </c>
      <c r="E504" t="str">
        <f>IF('8 Numaralar'!E6="","",'8 Numaralar'!E6)</f>
        <v>8 Numara</v>
      </c>
      <c r="F504" t="str">
        <f>IF('8 Numaralar'!G6="","",'8 Numaralar'!G6)</f>
        <v>LUGANO</v>
      </c>
      <c r="G504" s="2">
        <f>IF('8 Numaralar'!H6="","",'8 Numaralar'!H6)</f>
        <v>46558</v>
      </c>
      <c r="H504" t="str">
        <f>IF('8 Numaralar'!I6="","",'8 Numaralar'!I6)</f>
        <v>Yeşil</v>
      </c>
      <c r="I504">
        <f>IF('8 Numaralar'!A6="","",'8 Numaralar'!J6)</f>
        <v>0</v>
      </c>
      <c r="J504">
        <f>IF('8 Numaralar'!A6="","",'8 Numaralar'!K6)</f>
        <v>0</v>
      </c>
      <c r="K504" t="str">
        <f>IF('8 Numaralar'!L6="","",'8 Numaralar'!L6)</f>
        <v/>
      </c>
      <c r="L504" t="str">
        <f>IF('8 Numaralar'!M6="","",'8 Numaralar'!M6)</f>
        <v/>
      </c>
      <c r="M504" t="str">
        <f>IF('8 Numaralar'!N6="","",'8 Numaralar'!N6)</f>
        <v/>
      </c>
      <c r="N504" t="str">
        <f>IF('8 Numaralar'!O6="","",'8 Numaralar'!O6)</f>
        <v/>
      </c>
      <c r="O504" t="str">
        <f>IF('8 Numaralar'!P6="","",'8 Numaralar'!P6)</f>
        <v/>
      </c>
      <c r="P504" t="str">
        <f>IF('8 Numaralar'!Q6="","",'8 Numaralar'!Q6)</f>
        <v/>
      </c>
      <c r="Q504" t="str">
        <f>IF('8 Numaralar'!R6="","",'8 Numaralar'!R6)</f>
        <v/>
      </c>
      <c r="R504" t="str">
        <f>IF('8 Numaralar'!S6="","",'8 Numaralar'!S6)</f>
        <v/>
      </c>
      <c r="S504" t="str">
        <f>IF('8 Numaralar'!T6="","",'8 Numaralar'!T6)</f>
        <v>A Liste</v>
      </c>
      <c r="T504" s="2" t="str">
        <f>IF('8 Numaralar'!U6="","",'8 Numaralar'!U6)</f>
        <v/>
      </c>
      <c r="U504" t="s">
        <v>931</v>
      </c>
      <c r="V504">
        <v>6</v>
      </c>
      <c r="W504">
        <f ca="1">IF(AND($A504&lt;&gt;"",ISNUMBER($G504),$G504&gt;=TODAY(),$G504&lt;=EDATE(TODAY(),12)),COUNTIFS($G$2:$G$1001,"&gt;="&amp;TODAY(),$G$2:$G$1001,"&lt;"&amp;$G504,$A$2:$A$1001,"&lt;&gt;")+COUNTIFS($G$2:$G504,$G504,$A$2:$A504,"&lt;&gt;"),"")</f>
        <v>16</v>
      </c>
      <c r="X504" t="str">
        <f>IF(AND($A504&lt;&gt;"",ISNUMBER($C504),$C504&gt;=DATE(2003,1,1)),COUNTIFS($C$2:$C504,"&gt;="&amp;DATE(2003,1,1),$A$2:$A504,"&lt;&gt;"),"")</f>
        <v/>
      </c>
    </row>
    <row r="505" spans="1:24">
      <c r="A505" t="str">
        <f>IF('8 Numaralar'!A7="","",'8 Numaralar'!A7)</f>
        <v>ALPHA TOURE</v>
      </c>
      <c r="B505" t="str">
        <f>IF('8 Numaralar'!B7="","",'8 Numaralar'!B7)</f>
        <v>SENEGAL</v>
      </c>
      <c r="C505" s="2">
        <f>IF('8 Numaralar'!C7="","",'8 Numaralar'!C7)</f>
        <v>38742</v>
      </c>
      <c r="D505">
        <f ca="1">IF('8 Numaralar'!D7="","",'8 Numaralar'!D7)</f>
        <v>20</v>
      </c>
      <c r="E505" t="str">
        <f>IF('8 Numaralar'!E7="","",'8 Numaralar'!E7)</f>
        <v>8 Numara</v>
      </c>
      <c r="F505" t="str">
        <f>IF('8 Numaralar'!G7="","",'8 Numaralar'!G7)</f>
        <v>METZ</v>
      </c>
      <c r="G505" s="2">
        <f>IF('8 Numaralar'!H7="","",'8 Numaralar'!H7)</f>
        <v>46934</v>
      </c>
      <c r="H505" t="str">
        <f>IF('8 Numaralar'!I7="","",'8 Numaralar'!I7)</f>
        <v>Sarı</v>
      </c>
      <c r="I505">
        <f>IF('8 Numaralar'!A7="","",'8 Numaralar'!J7)</f>
        <v>0</v>
      </c>
      <c r="J505">
        <f>IF('8 Numaralar'!A7="","",'8 Numaralar'!K7)</f>
        <v>0</v>
      </c>
      <c r="K505" t="str">
        <f>IF('8 Numaralar'!L7="","",'8 Numaralar'!L7)</f>
        <v/>
      </c>
      <c r="L505" t="str">
        <f>IF('8 Numaralar'!M7="","",'8 Numaralar'!M7)</f>
        <v/>
      </c>
      <c r="M505" t="str">
        <f>IF('8 Numaralar'!N7="","",'8 Numaralar'!N7)</f>
        <v/>
      </c>
      <c r="N505" t="str">
        <f>IF('8 Numaralar'!O7="","",'8 Numaralar'!O7)</f>
        <v/>
      </c>
      <c r="O505" t="str">
        <f>IF('8 Numaralar'!P7="","",'8 Numaralar'!P7)</f>
        <v/>
      </c>
      <c r="P505" t="str">
        <f>IF('8 Numaralar'!Q7="","",'8 Numaralar'!Q7)</f>
        <v/>
      </c>
      <c r="Q505" t="str">
        <f>IF('8 Numaralar'!R7="","",'8 Numaralar'!R7)</f>
        <v/>
      </c>
      <c r="R505" t="str">
        <f>IF('8 Numaralar'!S7="","",'8 Numaralar'!S7)</f>
        <v/>
      </c>
      <c r="S505" t="str">
        <f>IF('8 Numaralar'!T7="","",'8 Numaralar'!T7)</f>
        <v>B Liste</v>
      </c>
      <c r="T505" s="2" t="str">
        <f>IF('8 Numaralar'!U7="","",'8 Numaralar'!U7)</f>
        <v/>
      </c>
      <c r="U505" t="s">
        <v>931</v>
      </c>
      <c r="V505">
        <v>7</v>
      </c>
      <c r="W505" t="str">
        <f ca="1">IF(AND($A505&lt;&gt;"",ISNUMBER($G505),$G505&gt;=TODAY(),$G505&lt;=EDATE(TODAY(),12)),COUNTIFS($G$2:$G$1001,"&gt;="&amp;TODAY(),$G$2:$G$1001,"&lt;"&amp;$G505,$A$2:$A$1001,"&lt;&gt;")+COUNTIFS($G$2:$G505,$G505,$A$2:$A505,"&lt;&gt;"),"")</f>
        <v/>
      </c>
      <c r="X505">
        <f>IF(AND($A505&lt;&gt;"",ISNUMBER($C505),$C505&gt;=DATE(2003,1,1)),COUNTIFS($C$2:$C505,"&gt;="&amp;DATE(2003,1,1),$A$2:$A505,"&lt;&gt;"),"")</f>
        <v>15</v>
      </c>
    </row>
    <row r="506" spans="1:24">
      <c r="A506" t="str">
        <f>IF('8 Numaralar'!A8="","",'8 Numaralar'!A8)</f>
        <v>JEAN LUCAS DE SOUZA</v>
      </c>
      <c r="B506" t="str">
        <f>IF('8 Numaralar'!B8="","",'8 Numaralar'!B8)</f>
        <v>BREZİLYA</v>
      </c>
      <c r="C506" s="2">
        <f>IF('8 Numaralar'!C8="","",'8 Numaralar'!C8)</f>
        <v>35968</v>
      </c>
      <c r="D506">
        <f ca="1">IF('8 Numaralar'!D8="","",'8 Numaralar'!D8)</f>
        <v>28</v>
      </c>
      <c r="E506" t="str">
        <f>IF('8 Numaralar'!E8="","",'8 Numaralar'!E8)</f>
        <v>8 Numara</v>
      </c>
      <c r="F506" t="str">
        <f>IF('8 Numaralar'!G8="","",'8 Numaralar'!G8)</f>
        <v>BAHIA</v>
      </c>
      <c r="G506" s="2">
        <f>IF('8 Numaralar'!H8="","",'8 Numaralar'!H8)</f>
        <v>47118</v>
      </c>
      <c r="H506" t="str">
        <f>IF('8 Numaralar'!I8="","",'8 Numaralar'!I8)</f>
        <v>Yeşil</v>
      </c>
      <c r="I506">
        <f>IF('8 Numaralar'!A8="","",'8 Numaralar'!J8)</f>
        <v>0</v>
      </c>
      <c r="J506" t="str">
        <f>IF('8 Numaralar'!A8="","",'8 Numaralar'!K8)</f>
        <v>https://www.transfermarkt.com.tr/jean-lucas/profil/spieler/578872</v>
      </c>
      <c r="K506" t="str">
        <f>IF('8 Numaralar'!L8="","",'8 Numaralar'!L8)</f>
        <v/>
      </c>
      <c r="L506" t="str">
        <f>IF('8 Numaralar'!M8="","",'8 Numaralar'!M8)</f>
        <v/>
      </c>
      <c r="M506" t="str">
        <f>IF('8 Numaralar'!N8="","",'8 Numaralar'!N8)</f>
        <v/>
      </c>
      <c r="N506" t="str">
        <f>IF('8 Numaralar'!O8="","",'8 Numaralar'!O8)</f>
        <v/>
      </c>
      <c r="O506" t="str">
        <f>IF('8 Numaralar'!P8="","",'8 Numaralar'!P8)</f>
        <v/>
      </c>
      <c r="P506" t="str">
        <f>IF('8 Numaralar'!Q8="","",'8 Numaralar'!Q8)</f>
        <v/>
      </c>
      <c r="Q506" t="str">
        <f>IF('8 Numaralar'!R8="","",'8 Numaralar'!R8)</f>
        <v/>
      </c>
      <c r="R506" t="str">
        <f>IF('8 Numaralar'!S8="","",'8 Numaralar'!S8)</f>
        <v/>
      </c>
      <c r="S506" t="str">
        <f>IF('8 Numaralar'!T8="","",'8 Numaralar'!T8)</f>
        <v>A Liste</v>
      </c>
      <c r="T506" s="2" t="str">
        <f>IF('8 Numaralar'!U8="","",'8 Numaralar'!U8)</f>
        <v/>
      </c>
      <c r="U506" t="s">
        <v>931</v>
      </c>
      <c r="V506">
        <v>8</v>
      </c>
      <c r="W506" t="str">
        <f ca="1">IF(AND($A506&lt;&gt;"",ISNUMBER($G506),$G506&gt;=TODAY(),$G506&lt;=EDATE(TODAY(),12)),COUNTIFS($G$2:$G$1001,"&gt;="&amp;TODAY(),$G$2:$G$1001,"&lt;"&amp;$G506,$A$2:$A$1001,"&lt;&gt;")+COUNTIFS($G$2:$G506,$G506,$A$2:$A506,"&lt;&gt;"),"")</f>
        <v/>
      </c>
      <c r="X506" t="str">
        <f>IF(AND($A506&lt;&gt;"",ISNUMBER($C506),$C506&gt;=DATE(2003,1,1)),COUNTIFS($C$2:$C506,"&gt;="&amp;DATE(2003,1,1),$A$2:$A506,"&lt;&gt;"),"")</f>
        <v/>
      </c>
    </row>
    <row r="507" spans="1:24">
      <c r="A507" t="str">
        <f>IF('8 Numaralar'!A9="","",'8 Numaralar'!A9)</f>
        <v>MONCHU</v>
      </c>
      <c r="B507" t="str">
        <f>IF('8 Numaralar'!B9="","",'8 Numaralar'!B9)</f>
        <v>İSPANYA</v>
      </c>
      <c r="C507" s="2">
        <f>IF('8 Numaralar'!C9="","",'8 Numaralar'!C9)</f>
        <v>36416</v>
      </c>
      <c r="D507">
        <f ca="1">IF('8 Numaralar'!D9="","",'8 Numaralar'!D9)</f>
        <v>27</v>
      </c>
      <c r="E507" t="str">
        <f>IF('8 Numaralar'!E9="","",'8 Numaralar'!E9)</f>
        <v>8 Numara</v>
      </c>
      <c r="F507" t="str">
        <f>IF('8 Numaralar'!G9="","",'8 Numaralar'!G9)</f>
        <v>FC JUAREZ</v>
      </c>
      <c r="G507" s="2">
        <f>IF('8 Numaralar'!H9="","",'8 Numaralar'!H9)</f>
        <v>46387</v>
      </c>
      <c r="H507" t="str">
        <f>IF('8 Numaralar'!I9="","",'8 Numaralar'!I9)</f>
        <v>Yeşil</v>
      </c>
      <c r="I507">
        <f>IF('8 Numaralar'!A9="","",'8 Numaralar'!J9)</f>
        <v>0</v>
      </c>
      <c r="J507" t="str">
        <f>IF('8 Numaralar'!A9="","",'8 Numaralar'!K9)</f>
        <v>https://www.transfermarkt.com.tr/monchu/profil/spieler/282727</v>
      </c>
      <c r="K507" t="str">
        <f>IF('8 Numaralar'!L9="","",'8 Numaralar'!L9)</f>
        <v/>
      </c>
      <c r="L507" t="str">
        <f>IF('8 Numaralar'!M9="","",'8 Numaralar'!M9)</f>
        <v/>
      </c>
      <c r="M507" t="str">
        <f>IF('8 Numaralar'!N9="","",'8 Numaralar'!N9)</f>
        <v/>
      </c>
      <c r="N507" t="str">
        <f>IF('8 Numaralar'!O9="","",'8 Numaralar'!O9)</f>
        <v/>
      </c>
      <c r="O507" t="str">
        <f>IF('8 Numaralar'!P9="","",'8 Numaralar'!P9)</f>
        <v/>
      </c>
      <c r="P507" t="str">
        <f>IF('8 Numaralar'!Q9="","",'8 Numaralar'!Q9)</f>
        <v/>
      </c>
      <c r="Q507" t="str">
        <f>IF('8 Numaralar'!R9="","",'8 Numaralar'!R9)</f>
        <v/>
      </c>
      <c r="R507" t="str">
        <f>IF('8 Numaralar'!S9="","",'8 Numaralar'!S9)</f>
        <v/>
      </c>
      <c r="S507" t="str">
        <f>IF('8 Numaralar'!T9="","",'8 Numaralar'!T9)</f>
        <v>A Liste</v>
      </c>
      <c r="T507" s="2" t="str">
        <f>IF('8 Numaralar'!U9="","",'8 Numaralar'!U9)</f>
        <v/>
      </c>
      <c r="U507" t="s">
        <v>931</v>
      </c>
      <c r="V507">
        <v>9</v>
      </c>
      <c r="W507">
        <f ca="1">IF(AND($A507&lt;&gt;"",ISNUMBER($G507),$G507&gt;=TODAY(),$G507&lt;=EDATE(TODAY(),12)),COUNTIFS($G$2:$G$1001,"&gt;="&amp;TODAY(),$G$2:$G$1001,"&lt;"&amp;$G507,$A$2:$A$1001,"&lt;&gt;")+COUNTIFS($G$2:$G507,$G507,$A$2:$A507,"&lt;&gt;"),"")</f>
        <v>6</v>
      </c>
      <c r="X507" t="str">
        <f>IF(AND($A507&lt;&gt;"",ISNUMBER($C507),$C507&gt;=DATE(2003,1,1)),COUNTIFS($C$2:$C507,"&gt;="&amp;DATE(2003,1,1),$A$2:$A507,"&lt;&gt;"),"")</f>
        <v/>
      </c>
    </row>
    <row r="508" spans="1:24">
      <c r="A508" t="str">
        <f>IF('8 Numaralar'!A10="","",'8 Numaralar'!A10)</f>
        <v>MATIAS GALARZA</v>
      </c>
      <c r="B508" t="str">
        <f>IF('8 Numaralar'!B10="","",'8 Numaralar'!B10)</f>
        <v>PARAGUAY</v>
      </c>
      <c r="C508" s="2">
        <f>IF('8 Numaralar'!C10="","",'8 Numaralar'!C10)</f>
        <v>37298</v>
      </c>
      <c r="D508">
        <f ca="1">IF('8 Numaralar'!D10="","",'8 Numaralar'!D10)</f>
        <v>24</v>
      </c>
      <c r="E508" t="str">
        <f>IF('8 Numaralar'!E10="","",'8 Numaralar'!E10)</f>
        <v>8 Numara</v>
      </c>
      <c r="F508" t="str">
        <f>IF('8 Numaralar'!G10="","",'8 Numaralar'!G10)</f>
        <v>RIVER PLATE</v>
      </c>
      <c r="G508" s="2">
        <f>IF('8 Numaralar'!H10="","",'8 Numaralar'!H10)</f>
        <v>47118</v>
      </c>
      <c r="H508" t="str">
        <f>IF('8 Numaralar'!I10="","",'8 Numaralar'!I10)</f>
        <v>Sarı</v>
      </c>
      <c r="I508">
        <f>IF('8 Numaralar'!A10="","",'8 Numaralar'!J10)</f>
        <v>0</v>
      </c>
      <c r="J508" t="str">
        <f>IF('8 Numaralar'!A10="","",'8 Numaralar'!K10)</f>
        <v>https://www.transfermarkt.com.tr/matias-galarza/profil/spieler/661269</v>
      </c>
      <c r="K508" t="str">
        <f>IF('8 Numaralar'!L10="","",'8 Numaralar'!L10)</f>
        <v/>
      </c>
      <c r="L508" t="str">
        <f>IF('8 Numaralar'!M10="","",'8 Numaralar'!M10)</f>
        <v/>
      </c>
      <c r="M508" t="str">
        <f>IF('8 Numaralar'!N10="","",'8 Numaralar'!N10)</f>
        <v/>
      </c>
      <c r="N508" t="str">
        <f>IF('8 Numaralar'!O10="","",'8 Numaralar'!O10)</f>
        <v/>
      </c>
      <c r="O508" t="str">
        <f>IF('8 Numaralar'!P10="","",'8 Numaralar'!P10)</f>
        <v/>
      </c>
      <c r="P508" t="str">
        <f>IF('8 Numaralar'!Q10="","",'8 Numaralar'!Q10)</f>
        <v/>
      </c>
      <c r="Q508" t="str">
        <f>IF('8 Numaralar'!R10="","",'8 Numaralar'!R10)</f>
        <v/>
      </c>
      <c r="R508" t="str">
        <f>IF('8 Numaralar'!S10="","",'8 Numaralar'!S10)</f>
        <v/>
      </c>
      <c r="S508" t="str">
        <f>IF('8 Numaralar'!T10="","",'8 Numaralar'!T10)</f>
        <v>B Liste</v>
      </c>
      <c r="T508" s="2" t="str">
        <f>IF('8 Numaralar'!U10="","",'8 Numaralar'!U10)</f>
        <v/>
      </c>
      <c r="U508" t="s">
        <v>931</v>
      </c>
      <c r="V508">
        <v>10</v>
      </c>
      <c r="W508" t="str">
        <f ca="1">IF(AND($A508&lt;&gt;"",ISNUMBER($G508),$G508&gt;=TODAY(),$G508&lt;=EDATE(TODAY(),12)),COUNTIFS($G$2:$G$1001,"&gt;="&amp;TODAY(),$G$2:$G$1001,"&lt;"&amp;$G508,$A$2:$A$1001,"&lt;&gt;")+COUNTIFS($G$2:$G508,$G508,$A$2:$A508,"&lt;&gt;"),"")</f>
        <v/>
      </c>
      <c r="X508" t="str">
        <f>IF(AND($A508&lt;&gt;"",ISNUMBER($C508),$C508&gt;=DATE(2003,1,1)),COUNTIFS($C$2:$C508,"&gt;="&amp;DATE(2003,1,1),$A$2:$A508,"&lt;&gt;"),"")</f>
        <v/>
      </c>
    </row>
    <row r="509" spans="1:24">
      <c r="A509" t="str">
        <f>IF('8 Numaralar'!A11="","",'8 Numaralar'!A11)</f>
        <v>YARI VERSHAEREN</v>
      </c>
      <c r="B509" t="str">
        <f>IF('8 Numaralar'!B11="","",'8 Numaralar'!B11)</f>
        <v>BELÇİKA</v>
      </c>
      <c r="C509" s="2">
        <f>IF('8 Numaralar'!C11="","",'8 Numaralar'!C11)</f>
        <v>37084</v>
      </c>
      <c r="D509">
        <f ca="1">IF('8 Numaralar'!D11="","",'8 Numaralar'!D11)</f>
        <v>25</v>
      </c>
      <c r="E509" t="str">
        <f>IF('8 Numaralar'!E11="","",'8 Numaralar'!E11)</f>
        <v>8 Numara</v>
      </c>
      <c r="F509" t="str">
        <f>IF('8 Numaralar'!G11="","",'8 Numaralar'!G11)</f>
        <v>SAMPDORIA</v>
      </c>
      <c r="G509" s="2">
        <f>IF('8 Numaralar'!H11="","",'8 Numaralar'!H11)</f>
        <v>47299</v>
      </c>
      <c r="H509" t="str">
        <f>IF('8 Numaralar'!I11="","",'8 Numaralar'!I11)</f>
        <v>Yeşil</v>
      </c>
      <c r="I509">
        <f>IF('8 Numaralar'!A11="","",'8 Numaralar'!J11)</f>
        <v>0</v>
      </c>
      <c r="J509" t="str">
        <f>IF('8 Numaralar'!A11="","",'8 Numaralar'!K11)</f>
        <v>https://www.transfermarkt.com.tr/yari-verschaeren/profil/spieler/502302</v>
      </c>
      <c r="K509" t="str">
        <f>IF('8 Numaralar'!L11="","",'8 Numaralar'!L11)</f>
        <v/>
      </c>
      <c r="L509" t="str">
        <f>IF('8 Numaralar'!M11="","",'8 Numaralar'!M11)</f>
        <v/>
      </c>
      <c r="M509" t="str">
        <f>IF('8 Numaralar'!N11="","",'8 Numaralar'!N11)</f>
        <v/>
      </c>
      <c r="N509" t="str">
        <f>IF('8 Numaralar'!O11="","",'8 Numaralar'!O11)</f>
        <v/>
      </c>
      <c r="O509" t="str">
        <f>IF('8 Numaralar'!P11="","",'8 Numaralar'!P11)</f>
        <v/>
      </c>
      <c r="P509" t="str">
        <f>IF('8 Numaralar'!Q11="","",'8 Numaralar'!Q11)</f>
        <v/>
      </c>
      <c r="Q509" t="str">
        <f>IF('8 Numaralar'!R11="","",'8 Numaralar'!R11)</f>
        <v/>
      </c>
      <c r="R509" t="str">
        <f>IF('8 Numaralar'!S11="","",'8 Numaralar'!S11)</f>
        <v/>
      </c>
      <c r="S509" t="str">
        <f>IF('8 Numaralar'!T11="","",'8 Numaralar'!T11)</f>
        <v>Takip</v>
      </c>
      <c r="T509" s="2" t="str">
        <f>IF('8 Numaralar'!U11="","",'8 Numaralar'!U11)</f>
        <v/>
      </c>
      <c r="U509" t="s">
        <v>931</v>
      </c>
      <c r="V509">
        <v>11</v>
      </c>
      <c r="W509" t="str">
        <f ca="1">IF(AND($A509&lt;&gt;"",ISNUMBER($G509),$G509&gt;=TODAY(),$G509&lt;=EDATE(TODAY(),12)),COUNTIFS($G$2:$G$1001,"&gt;="&amp;TODAY(),$G$2:$G$1001,"&lt;"&amp;$G509,$A$2:$A$1001,"&lt;&gt;")+COUNTIFS($G$2:$G509,$G509,$A$2:$A509,"&lt;&gt;"),"")</f>
        <v/>
      </c>
      <c r="X509" t="str">
        <f>IF(AND($A509&lt;&gt;"",ISNUMBER($C509),$C509&gt;=DATE(2003,1,1)),COUNTIFS($C$2:$C509,"&gt;="&amp;DATE(2003,1,1),$A$2:$A509,"&lt;&gt;"),"")</f>
        <v/>
      </c>
    </row>
    <row r="510" spans="1:24">
      <c r="A510" t="str">
        <f>IF('8 Numaralar'!A12="","",'8 Numaralar'!A12)</f>
        <v>SANDI LOVRIC</v>
      </c>
      <c r="B510" t="str">
        <f>IF('8 Numaralar'!B12="","",'8 Numaralar'!B12)</f>
        <v>SLOVENYA</v>
      </c>
      <c r="C510" s="2">
        <f>IF('8 Numaralar'!C12="","",'8 Numaralar'!C12)</f>
        <v>35882</v>
      </c>
      <c r="D510">
        <f ca="1">IF('8 Numaralar'!D12="","",'8 Numaralar'!D12)</f>
        <v>28</v>
      </c>
      <c r="E510" t="str">
        <f>IF('8 Numaralar'!E12="","",'8 Numaralar'!E12)</f>
        <v>8 Numara</v>
      </c>
      <c r="F510" t="str">
        <f>IF('8 Numaralar'!G12="","",'8 Numaralar'!G12)</f>
        <v>UDINESE</v>
      </c>
      <c r="G510" s="2">
        <f>IF('8 Numaralar'!H12="","",'8 Numaralar'!H12)</f>
        <v>46568</v>
      </c>
      <c r="H510" t="str">
        <f>IF('8 Numaralar'!I12="","",'8 Numaralar'!I12)</f>
        <v>Sarı</v>
      </c>
      <c r="I510">
        <f>IF('8 Numaralar'!A12="","",'8 Numaralar'!J12)</f>
        <v>0</v>
      </c>
      <c r="J510" t="str">
        <f>IF('8 Numaralar'!A12="","",'8 Numaralar'!K12)</f>
        <v>https://www.transfermarkt.com.tr/sandi-lovric/profil/spieler/268429</v>
      </c>
      <c r="K510" t="str">
        <f>IF('8 Numaralar'!L12="","",'8 Numaralar'!L12)</f>
        <v/>
      </c>
      <c r="L510" t="str">
        <f>IF('8 Numaralar'!M12="","",'8 Numaralar'!M12)</f>
        <v/>
      </c>
      <c r="M510" t="str">
        <f>IF('8 Numaralar'!N12="","",'8 Numaralar'!N12)</f>
        <v/>
      </c>
      <c r="N510" t="str">
        <f>IF('8 Numaralar'!O12="","",'8 Numaralar'!O12)</f>
        <v/>
      </c>
      <c r="O510" t="str">
        <f>IF('8 Numaralar'!P12="","",'8 Numaralar'!P12)</f>
        <v/>
      </c>
      <c r="P510" t="str">
        <f>IF('8 Numaralar'!Q12="","",'8 Numaralar'!Q12)</f>
        <v/>
      </c>
      <c r="Q510" t="str">
        <f>IF('8 Numaralar'!R12="","",'8 Numaralar'!R12)</f>
        <v/>
      </c>
      <c r="R510" t="str">
        <f>IF('8 Numaralar'!S12="","",'8 Numaralar'!S12)</f>
        <v/>
      </c>
      <c r="S510" t="str">
        <f>IF('8 Numaralar'!T12="","",'8 Numaralar'!T12)</f>
        <v>B Liste</v>
      </c>
      <c r="T510" s="2" t="str">
        <f>IF('8 Numaralar'!U12="","",'8 Numaralar'!U12)</f>
        <v/>
      </c>
      <c r="U510" t="s">
        <v>931</v>
      </c>
      <c r="V510">
        <v>12</v>
      </c>
      <c r="W510">
        <f ca="1">IF(AND($A510&lt;&gt;"",ISNUMBER($G510),$G510&gt;=TODAY(),$G510&lt;=EDATE(TODAY(),12)),COUNTIFS($G$2:$G$1001,"&gt;="&amp;TODAY(),$G$2:$G$1001,"&lt;"&amp;$G510,$A$2:$A$1001,"&lt;&gt;")+COUNTIFS($G$2:$G510,$G510,$A$2:$A510,"&lt;&gt;"),"")</f>
        <v>29</v>
      </c>
      <c r="X510" t="str">
        <f>IF(AND($A510&lt;&gt;"",ISNUMBER($C510),$C510&gt;=DATE(2003,1,1)),COUNTIFS($C$2:$C510,"&gt;="&amp;DATE(2003,1,1),$A$2:$A510,"&lt;&gt;"),"")</f>
        <v/>
      </c>
    </row>
    <row r="511" spans="1:24">
      <c r="A511" t="str">
        <f>IF('8 Numaralar'!A13="","",'8 Numaralar'!A13)</f>
        <v>ALAN DE SOUZA</v>
      </c>
      <c r="B511" t="str">
        <f>IF('8 Numaralar'!B13="","",'8 Numaralar'!B13)</f>
        <v>BREZİLYA</v>
      </c>
      <c r="C511" s="2">
        <f>IF('8 Numaralar'!C13="","",'8 Numaralar'!C13)</f>
        <v>36593</v>
      </c>
      <c r="D511">
        <f ca="1">IF('8 Numaralar'!D13="","",'8 Numaralar'!D13)</f>
        <v>26</v>
      </c>
      <c r="E511" t="str">
        <f>IF('8 Numaralar'!E13="","",'8 Numaralar'!E13)</f>
        <v>8 Numara</v>
      </c>
      <c r="F511" t="str">
        <f>IF('8 Numaralar'!G13="","",'8 Numaralar'!G13)</f>
        <v xml:space="preserve">VITORIA </v>
      </c>
      <c r="G511" s="2">
        <f>IF('8 Numaralar'!H13="","",'8 Numaralar'!H13)</f>
        <v>46934</v>
      </c>
      <c r="H511" t="str">
        <f>IF('8 Numaralar'!I13="","",'8 Numaralar'!I13)</f>
        <v>Yeşil</v>
      </c>
      <c r="I511">
        <f>IF('8 Numaralar'!A13="","",'8 Numaralar'!J13)</f>
        <v>0</v>
      </c>
      <c r="J511" t="str">
        <f>IF('8 Numaralar'!A13="","",'8 Numaralar'!K13)</f>
        <v>https://www.transfermarkt.com.tr/alan/profil/spieler/428786</v>
      </c>
      <c r="K511" t="str">
        <f>IF('8 Numaralar'!L13="","",'8 Numaralar'!L13)</f>
        <v/>
      </c>
      <c r="L511" t="str">
        <f>IF('8 Numaralar'!M13="","",'8 Numaralar'!M13)</f>
        <v/>
      </c>
      <c r="M511" t="str">
        <f>IF('8 Numaralar'!N13="","",'8 Numaralar'!N13)</f>
        <v/>
      </c>
      <c r="N511" t="str">
        <f>IF('8 Numaralar'!O13="","",'8 Numaralar'!O13)</f>
        <v/>
      </c>
      <c r="O511" t="str">
        <f>IF('8 Numaralar'!P13="","",'8 Numaralar'!P13)</f>
        <v/>
      </c>
      <c r="P511" t="str">
        <f>IF('8 Numaralar'!Q13="","",'8 Numaralar'!Q13)</f>
        <v/>
      </c>
      <c r="Q511" t="str">
        <f>IF('8 Numaralar'!R13="","",'8 Numaralar'!R13)</f>
        <v/>
      </c>
      <c r="R511" t="str">
        <f>IF('8 Numaralar'!S13="","",'8 Numaralar'!S13)</f>
        <v/>
      </c>
      <c r="S511" t="str">
        <f>IF('8 Numaralar'!T13="","",'8 Numaralar'!T13)</f>
        <v>B Liste</v>
      </c>
      <c r="T511" s="2" t="str">
        <f>IF('8 Numaralar'!U13="","",'8 Numaralar'!U13)</f>
        <v/>
      </c>
      <c r="U511" t="s">
        <v>931</v>
      </c>
      <c r="V511">
        <v>13</v>
      </c>
      <c r="W511" t="str">
        <f ca="1">IF(AND($A511&lt;&gt;"",ISNUMBER($G511),$G511&gt;=TODAY(),$G511&lt;=EDATE(TODAY(),12)),COUNTIFS($G$2:$G$1001,"&gt;="&amp;TODAY(),$G$2:$G$1001,"&lt;"&amp;$G511,$A$2:$A$1001,"&lt;&gt;")+COUNTIFS($G$2:$G511,$G511,$A$2:$A511,"&lt;&gt;"),"")</f>
        <v/>
      </c>
      <c r="X511" t="str">
        <f>IF(AND($A511&lt;&gt;"",ISNUMBER($C511),$C511&gt;=DATE(2003,1,1)),COUNTIFS($C$2:$C511,"&gt;="&amp;DATE(2003,1,1),$A$2:$A511,"&lt;&gt;"),"")</f>
        <v/>
      </c>
    </row>
    <row r="512" spans="1:24">
      <c r="A512" t="str">
        <f>IF('8 Numaralar'!A14="","",'8 Numaralar'!A14)</f>
        <v>GLEN KAMARA</v>
      </c>
      <c r="B512" t="str">
        <f>IF('8 Numaralar'!B14="","",'8 Numaralar'!B14)</f>
        <v>FİNLANDİYA</v>
      </c>
      <c r="C512" s="2">
        <f>IF('8 Numaralar'!C14="","",'8 Numaralar'!C14)</f>
        <v>34990</v>
      </c>
      <c r="D512">
        <f ca="1">IF('8 Numaralar'!D14="","",'8 Numaralar'!D14)</f>
        <v>30</v>
      </c>
      <c r="E512" t="str">
        <f>IF('8 Numaralar'!E14="","",'8 Numaralar'!E14)</f>
        <v>8 Numara</v>
      </c>
      <c r="F512" t="str">
        <f>IF('8 Numaralar'!G14="","",'8 Numaralar'!G14)</f>
        <v>QPR</v>
      </c>
      <c r="G512" s="2">
        <f>IF('8 Numaralar'!H14="","",'8 Numaralar'!H14)</f>
        <v>46568</v>
      </c>
      <c r="H512" t="str">
        <f>IF('8 Numaralar'!I14="","",'8 Numaralar'!I14)</f>
        <v>Kırmızı</v>
      </c>
      <c r="I512">
        <f>IF('8 Numaralar'!A14="","",'8 Numaralar'!J14)</f>
        <v>0</v>
      </c>
      <c r="J512" t="str">
        <f>IF('8 Numaralar'!A14="","",'8 Numaralar'!K14)</f>
        <v>https://www.transfermarkt.com.tr/glen-kamara/profil/spieler/242632</v>
      </c>
      <c r="K512" t="str">
        <f>IF('8 Numaralar'!L14="","",'8 Numaralar'!L14)</f>
        <v/>
      </c>
      <c r="L512" t="str">
        <f>IF('8 Numaralar'!M14="","",'8 Numaralar'!M14)</f>
        <v/>
      </c>
      <c r="M512" t="str">
        <f>IF('8 Numaralar'!N14="","",'8 Numaralar'!N14)</f>
        <v/>
      </c>
      <c r="N512" t="str">
        <f>IF('8 Numaralar'!O14="","",'8 Numaralar'!O14)</f>
        <v/>
      </c>
      <c r="O512" t="str">
        <f>IF('8 Numaralar'!P14="","",'8 Numaralar'!P14)</f>
        <v/>
      </c>
      <c r="P512" t="str">
        <f>IF('8 Numaralar'!Q14="","",'8 Numaralar'!Q14)</f>
        <v/>
      </c>
      <c r="Q512" t="str">
        <f>IF('8 Numaralar'!R14="","",'8 Numaralar'!R14)</f>
        <v/>
      </c>
      <c r="R512" t="str">
        <f>IF('8 Numaralar'!S14="","",'8 Numaralar'!S14)</f>
        <v/>
      </c>
      <c r="S512" t="str">
        <f>IF('8 Numaralar'!T14="","",'8 Numaralar'!T14)</f>
        <v>Ele</v>
      </c>
      <c r="T512" s="2" t="str">
        <f>IF('8 Numaralar'!U14="","",'8 Numaralar'!U14)</f>
        <v/>
      </c>
      <c r="U512" t="s">
        <v>931</v>
      </c>
      <c r="V512">
        <v>14</v>
      </c>
      <c r="W512">
        <f ca="1">IF(AND($A512&lt;&gt;"",ISNUMBER($G512),$G512&gt;=TODAY(),$G512&lt;=EDATE(TODAY(),12)),COUNTIFS($G$2:$G$1001,"&gt;="&amp;TODAY(),$G$2:$G$1001,"&lt;"&amp;$G512,$A$2:$A$1001,"&lt;&gt;")+COUNTIFS($G$2:$G512,$G512,$A$2:$A512,"&lt;&gt;"),"")</f>
        <v>30</v>
      </c>
      <c r="X512" t="str">
        <f>IF(AND($A512&lt;&gt;"",ISNUMBER($C512),$C512&gt;=DATE(2003,1,1)),COUNTIFS($C$2:$C512,"&gt;="&amp;DATE(2003,1,1),$A$2:$A512,"&lt;&gt;"),"")</f>
        <v/>
      </c>
    </row>
    <row r="513" spans="1:24">
      <c r="A513" t="str">
        <f>IF('8 Numaralar'!A15="","",'8 Numaralar'!A15)</f>
        <v>JOVAN SLJIVIC</v>
      </c>
      <c r="B513" t="str">
        <f>IF('8 Numaralar'!B15="","",'8 Numaralar'!B15)</f>
        <v>SIRBİSTAN</v>
      </c>
      <c r="C513" s="2">
        <f>IF('8 Numaralar'!C15="","",'8 Numaralar'!C15)</f>
        <v>38609</v>
      </c>
      <c r="D513">
        <f ca="1">IF('8 Numaralar'!D15="","",'8 Numaralar'!D15)</f>
        <v>21</v>
      </c>
      <c r="E513" t="str">
        <f>IF('8 Numaralar'!E15="","",'8 Numaralar'!E15)</f>
        <v>8 Numara</v>
      </c>
      <c r="F513" t="str">
        <f>IF('8 Numaralar'!G15="","",'8 Numaralar'!G15)</f>
        <v>OFK BEOGRAD</v>
      </c>
      <c r="G513" s="2">
        <f>IF('8 Numaralar'!H15="","",'8 Numaralar'!H15)</f>
        <v>46568</v>
      </c>
      <c r="H513" t="str">
        <f>IF('8 Numaralar'!I15="","",'8 Numaralar'!I15)</f>
        <v>Sarı</v>
      </c>
      <c r="I513">
        <f>IF('8 Numaralar'!A15="","",'8 Numaralar'!J15)</f>
        <v>0</v>
      </c>
      <c r="J513" t="str">
        <f>IF('8 Numaralar'!A15="","",'8 Numaralar'!K15)</f>
        <v>https://www.transfermarkt.com.tr/jovan-sljivic/profil/spieler/673436</v>
      </c>
      <c r="K513" t="str">
        <f>IF('8 Numaralar'!L15="","",'8 Numaralar'!L15)</f>
        <v/>
      </c>
      <c r="L513" t="str">
        <f>IF('8 Numaralar'!M15="","",'8 Numaralar'!M15)</f>
        <v/>
      </c>
      <c r="M513" t="str">
        <f>IF('8 Numaralar'!N15="","",'8 Numaralar'!N15)</f>
        <v/>
      </c>
      <c r="N513" t="str">
        <f>IF('8 Numaralar'!O15="","",'8 Numaralar'!O15)</f>
        <v/>
      </c>
      <c r="O513" t="str">
        <f>IF('8 Numaralar'!P15="","",'8 Numaralar'!P15)</f>
        <v/>
      </c>
      <c r="P513" t="str">
        <f>IF('8 Numaralar'!Q15="","",'8 Numaralar'!Q15)</f>
        <v/>
      </c>
      <c r="Q513" t="str">
        <f>IF('8 Numaralar'!R15="","",'8 Numaralar'!R15)</f>
        <v/>
      </c>
      <c r="R513" t="str">
        <f>IF('8 Numaralar'!S15="","",'8 Numaralar'!S15)</f>
        <v/>
      </c>
      <c r="S513" t="str">
        <f>IF('8 Numaralar'!T15="","",'8 Numaralar'!T15)</f>
        <v>Takip</v>
      </c>
      <c r="T513" s="2" t="str">
        <f>IF('8 Numaralar'!U15="","",'8 Numaralar'!U15)</f>
        <v/>
      </c>
      <c r="U513" t="s">
        <v>931</v>
      </c>
      <c r="V513">
        <v>15</v>
      </c>
      <c r="W513">
        <f ca="1">IF(AND($A513&lt;&gt;"",ISNUMBER($G513),$G513&gt;=TODAY(),$G513&lt;=EDATE(TODAY(),12)),COUNTIFS($G$2:$G$1001,"&gt;="&amp;TODAY(),$G$2:$G$1001,"&lt;"&amp;$G513,$A$2:$A$1001,"&lt;&gt;")+COUNTIFS($G$2:$G513,$G513,$A$2:$A513,"&lt;&gt;"),"")</f>
        <v>31</v>
      </c>
      <c r="X513">
        <f>IF(AND($A513&lt;&gt;"",ISNUMBER($C513),$C513&gt;=DATE(2003,1,1)),COUNTIFS($C$2:$C513,"&gt;="&amp;DATE(2003,1,1),$A$2:$A513,"&lt;&gt;"),"")</f>
        <v>16</v>
      </c>
    </row>
    <row r="514" spans="1:24">
      <c r="A514" t="str">
        <f>IF('8 Numaralar'!A16="","",'8 Numaralar'!A16)</f>
        <v>NOAH CADİO</v>
      </c>
      <c r="B514" t="str">
        <f>IF('8 Numaralar'!B16="","",'8 Numaralar'!B16)</f>
        <v>GUADELOUPE</v>
      </c>
      <c r="C514" s="2">
        <f>IF('8 Numaralar'!C16="","",'8 Numaralar'!C16)</f>
        <v>36094</v>
      </c>
      <c r="D514">
        <f ca="1">IF('8 Numaralar'!D16="","",'8 Numaralar'!D16)</f>
        <v>27</v>
      </c>
      <c r="E514" t="str">
        <f>IF('8 Numaralar'!E16="","",'8 Numaralar'!E16)</f>
        <v>8 Numara</v>
      </c>
      <c r="F514" t="str">
        <f>IF('8 Numaralar'!G16="","",'8 Numaralar'!G16)</f>
        <v>LORIENT</v>
      </c>
      <c r="G514" s="2">
        <f>IF('8 Numaralar'!H16="","",'8 Numaralar'!H16)</f>
        <v>47299</v>
      </c>
      <c r="H514" t="str">
        <f>IF('8 Numaralar'!I16="","",'8 Numaralar'!I16)</f>
        <v>Sarı</v>
      </c>
      <c r="I514">
        <f>IF('8 Numaralar'!A16="","",'8 Numaralar'!J16)</f>
        <v>0</v>
      </c>
      <c r="J514" t="str">
        <f>IF('8 Numaralar'!A16="","",'8 Numaralar'!K16)</f>
        <v>https://www.transfermarkt.com.tr/noah-cadiou/profil/spieler/691958</v>
      </c>
      <c r="K514" t="str">
        <f>IF('8 Numaralar'!L16="","",'8 Numaralar'!L16)</f>
        <v/>
      </c>
      <c r="L514" t="str">
        <f>IF('8 Numaralar'!M16="","",'8 Numaralar'!M16)</f>
        <v/>
      </c>
      <c r="M514" t="str">
        <f>IF('8 Numaralar'!N16="","",'8 Numaralar'!N16)</f>
        <v/>
      </c>
      <c r="N514" t="str">
        <f>IF('8 Numaralar'!O16="","",'8 Numaralar'!O16)</f>
        <v/>
      </c>
      <c r="O514" t="str">
        <f>IF('8 Numaralar'!P16="","",'8 Numaralar'!P16)</f>
        <v/>
      </c>
      <c r="P514" t="str">
        <f>IF('8 Numaralar'!Q16="","",'8 Numaralar'!Q16)</f>
        <v/>
      </c>
      <c r="Q514" t="str">
        <f>IF('8 Numaralar'!R16="","",'8 Numaralar'!R16)</f>
        <v/>
      </c>
      <c r="R514" t="str">
        <f>IF('8 Numaralar'!S16="","",'8 Numaralar'!S16)</f>
        <v/>
      </c>
      <c r="S514" t="str">
        <f>IF('8 Numaralar'!T16="","",'8 Numaralar'!T16)</f>
        <v>Tekrar İzle</v>
      </c>
      <c r="T514" s="2" t="str">
        <f>IF('8 Numaralar'!U16="","",'8 Numaralar'!U16)</f>
        <v/>
      </c>
      <c r="U514" t="s">
        <v>931</v>
      </c>
      <c r="V514">
        <v>16</v>
      </c>
      <c r="W514" t="str">
        <f ca="1">IF(AND($A514&lt;&gt;"",ISNUMBER($G514),$G514&gt;=TODAY(),$G514&lt;=EDATE(TODAY(),12)),COUNTIFS($G$2:$G$1001,"&gt;="&amp;TODAY(),$G$2:$G$1001,"&lt;"&amp;$G514,$A$2:$A$1001,"&lt;&gt;")+COUNTIFS($G$2:$G514,$G514,$A$2:$A514,"&lt;&gt;"),"")</f>
        <v/>
      </c>
      <c r="X514" t="str">
        <f>IF(AND($A514&lt;&gt;"",ISNUMBER($C514),$C514&gt;=DATE(2003,1,1)),COUNTIFS($C$2:$C514,"&gt;="&amp;DATE(2003,1,1),$A$2:$A514,"&lt;&gt;"),"")</f>
        <v/>
      </c>
    </row>
    <row r="515" spans="1:24">
      <c r="A515" t="str">
        <f>IF('8 Numaralar'!A17="","",'8 Numaralar'!A17)</f>
        <v>IVAN ILIC</v>
      </c>
      <c r="B515" t="str">
        <f>IF('8 Numaralar'!B17="","",'8 Numaralar'!B17)</f>
        <v>SIRBİSTAN</v>
      </c>
      <c r="C515" s="2">
        <f>IF('8 Numaralar'!C17="","",'8 Numaralar'!C17)</f>
        <v>36967</v>
      </c>
      <c r="D515">
        <f ca="1">IF('8 Numaralar'!D17="","",'8 Numaralar'!D17)</f>
        <v>25</v>
      </c>
      <c r="E515" t="str">
        <f>IF('8 Numaralar'!E17="","",'8 Numaralar'!E17)</f>
        <v>8 Numara</v>
      </c>
      <c r="F515" t="str">
        <f>IF('8 Numaralar'!G17="","",'8 Numaralar'!G17)</f>
        <v>LECCE</v>
      </c>
      <c r="G515" s="2">
        <f>IF('8 Numaralar'!H17="","",'8 Numaralar'!H17)</f>
        <v>46568</v>
      </c>
      <c r="H515" t="str">
        <f>IF('8 Numaralar'!I17="","",'8 Numaralar'!I17)</f>
        <v>Yeşil</v>
      </c>
      <c r="I515">
        <f>IF('8 Numaralar'!A17="","",'8 Numaralar'!J17)</f>
        <v>0</v>
      </c>
      <c r="J515" t="str">
        <f>IF('8 Numaralar'!A17="","",'8 Numaralar'!K17)</f>
        <v>https://www.transfermarkt.com.tr/ivan-ilic/profil/spieler/470794</v>
      </c>
      <c r="K515" t="str">
        <f>IF('8 Numaralar'!L17="","",'8 Numaralar'!L17)</f>
        <v/>
      </c>
      <c r="L515" t="str">
        <f>IF('8 Numaralar'!M17="","",'8 Numaralar'!M17)</f>
        <v/>
      </c>
      <c r="M515" t="str">
        <f>IF('8 Numaralar'!N17="","",'8 Numaralar'!N17)</f>
        <v/>
      </c>
      <c r="N515" t="str">
        <f>IF('8 Numaralar'!O17="","",'8 Numaralar'!O17)</f>
        <v/>
      </c>
      <c r="O515" t="str">
        <f>IF('8 Numaralar'!P17="","",'8 Numaralar'!P17)</f>
        <v/>
      </c>
      <c r="P515" t="str">
        <f>IF('8 Numaralar'!Q17="","",'8 Numaralar'!Q17)</f>
        <v/>
      </c>
      <c r="Q515" t="str">
        <f>IF('8 Numaralar'!R17="","",'8 Numaralar'!R17)</f>
        <v/>
      </c>
      <c r="R515" t="str">
        <f>IF('8 Numaralar'!S17="","",'8 Numaralar'!S17)</f>
        <v/>
      </c>
      <c r="S515" t="str">
        <f>IF('8 Numaralar'!T17="","",'8 Numaralar'!T17)</f>
        <v>A Liste</v>
      </c>
      <c r="T515" s="2" t="str">
        <f>IF('8 Numaralar'!U17="","",'8 Numaralar'!U17)</f>
        <v/>
      </c>
      <c r="U515" t="s">
        <v>931</v>
      </c>
      <c r="V515">
        <v>17</v>
      </c>
      <c r="W515">
        <f ca="1">IF(AND($A515&lt;&gt;"",ISNUMBER($G515),$G515&gt;=TODAY(),$G515&lt;=EDATE(TODAY(),12)),COUNTIFS($G$2:$G$1001,"&gt;="&amp;TODAY(),$G$2:$G$1001,"&lt;"&amp;$G515,$A$2:$A$1001,"&lt;&gt;")+COUNTIFS($G$2:$G515,$G515,$A$2:$A515,"&lt;&gt;"),"")</f>
        <v>32</v>
      </c>
      <c r="X515" t="str">
        <f>IF(AND($A515&lt;&gt;"",ISNUMBER($C515),$C515&gt;=DATE(2003,1,1)),COUNTIFS($C$2:$C515,"&gt;="&amp;DATE(2003,1,1),$A$2:$A515,"&lt;&gt;"),"")</f>
        <v/>
      </c>
    </row>
    <row r="516" spans="1:24">
      <c r="A516" t="str">
        <f>IF('8 Numaralar'!A18="","",'8 Numaralar'!A18)</f>
        <v>EBENEZER AKSİNSANMİRO</v>
      </c>
      <c r="B516" t="str">
        <f>IF('8 Numaralar'!B18="","",'8 Numaralar'!B18)</f>
        <v>NİJERYA</v>
      </c>
      <c r="C516" s="2">
        <f>IF('8 Numaralar'!C18="","",'8 Numaralar'!C18)</f>
        <v>38316</v>
      </c>
      <c r="D516">
        <f ca="1">IF('8 Numaralar'!D18="","",'8 Numaralar'!D18)</f>
        <v>21</v>
      </c>
      <c r="E516" t="str">
        <f>IF('8 Numaralar'!E18="","",'8 Numaralar'!E18)</f>
        <v>8 Numara</v>
      </c>
      <c r="F516" t="str">
        <f>IF('8 Numaralar'!G18="","",'8 Numaralar'!G18)</f>
        <v>MONZA</v>
      </c>
      <c r="G516" s="2">
        <f>IF('8 Numaralar'!H18="","",'8 Numaralar'!H18)</f>
        <v>46568</v>
      </c>
      <c r="H516" t="str">
        <f>IF('8 Numaralar'!I18="","",'8 Numaralar'!I18)</f>
        <v>Yeşil</v>
      </c>
      <c r="I516">
        <f>IF('8 Numaralar'!A18="","",'8 Numaralar'!J18)</f>
        <v>0</v>
      </c>
      <c r="J516" t="str">
        <f>IF('8 Numaralar'!A18="","",'8 Numaralar'!K18)</f>
        <v>https://www.transfermarkt.com.tr/ebenezer-akinsanmiro/profil/spieler/969192</v>
      </c>
      <c r="K516" t="str">
        <f>IF('8 Numaralar'!L18="","",'8 Numaralar'!L18)</f>
        <v/>
      </c>
      <c r="L516" t="str">
        <f>IF('8 Numaralar'!M18="","",'8 Numaralar'!M18)</f>
        <v/>
      </c>
      <c r="M516" t="str">
        <f>IF('8 Numaralar'!N18="","",'8 Numaralar'!N18)</f>
        <v/>
      </c>
      <c r="N516" t="str">
        <f>IF('8 Numaralar'!O18="","",'8 Numaralar'!O18)</f>
        <v/>
      </c>
      <c r="O516" t="str">
        <f>IF('8 Numaralar'!P18="","",'8 Numaralar'!P18)</f>
        <v/>
      </c>
      <c r="P516" t="str">
        <f>IF('8 Numaralar'!Q18="","",'8 Numaralar'!Q18)</f>
        <v/>
      </c>
      <c r="Q516" t="str">
        <f>IF('8 Numaralar'!R18="","",'8 Numaralar'!R18)</f>
        <v/>
      </c>
      <c r="R516" t="str">
        <f>IF('8 Numaralar'!S18="","",'8 Numaralar'!S18)</f>
        <v/>
      </c>
      <c r="S516" t="str">
        <f>IF('8 Numaralar'!T18="","",'8 Numaralar'!T18)</f>
        <v>A Liste</v>
      </c>
      <c r="T516" s="2" t="str">
        <f>IF('8 Numaralar'!U18="","",'8 Numaralar'!U18)</f>
        <v/>
      </c>
      <c r="U516" t="s">
        <v>931</v>
      </c>
      <c r="V516">
        <v>18</v>
      </c>
      <c r="W516">
        <f ca="1">IF(AND($A516&lt;&gt;"",ISNUMBER($G516),$G516&gt;=TODAY(),$G516&lt;=EDATE(TODAY(),12)),COUNTIFS($G$2:$G$1001,"&gt;="&amp;TODAY(),$G$2:$G$1001,"&lt;"&amp;$G516,$A$2:$A$1001,"&lt;&gt;")+COUNTIFS($G$2:$G516,$G516,$A$2:$A516,"&lt;&gt;"),"")</f>
        <v>33</v>
      </c>
      <c r="X516">
        <f>IF(AND($A516&lt;&gt;"",ISNUMBER($C516),$C516&gt;=DATE(2003,1,1)),COUNTIFS($C$2:$C516,"&gt;="&amp;DATE(2003,1,1),$A$2:$A516,"&lt;&gt;"),"")</f>
        <v>17</v>
      </c>
    </row>
    <row r="517" spans="1:24">
      <c r="A517" t="str">
        <f>IF('8 Numaralar'!A19="","",'8 Numaralar'!A19)</f>
        <v>ABDELLAH BAALLAL</v>
      </c>
      <c r="B517" t="str">
        <f>IF('8 Numaralar'!B19="","",'8 Numaralar'!B19)</f>
        <v>FAS</v>
      </c>
      <c r="C517" s="2">
        <f>IF('8 Numaralar'!C19="","",'8 Numaralar'!C19)</f>
        <v>38298</v>
      </c>
      <c r="D517">
        <f ca="1">IF('8 Numaralar'!D19="","",'8 Numaralar'!D19)</f>
        <v>21</v>
      </c>
      <c r="E517" t="str">
        <f>IF('8 Numaralar'!E19="","",'8 Numaralar'!E19)</f>
        <v>8 Numara</v>
      </c>
      <c r="F517" t="str">
        <f>IF('8 Numaralar'!G19="","",'8 Numaralar'!G19)</f>
        <v>CLERMONT FOOT 63</v>
      </c>
      <c r="G517" s="2">
        <f>IF('8 Numaralar'!H19="","",'8 Numaralar'!H19)</f>
        <v>46568</v>
      </c>
      <c r="H517" t="str">
        <f>IF('8 Numaralar'!I19="","",'8 Numaralar'!I19)</f>
        <v/>
      </c>
      <c r="I517">
        <f>IF('8 Numaralar'!A19="","",'8 Numaralar'!J19)</f>
        <v>0</v>
      </c>
      <c r="J517" t="str">
        <f>IF('8 Numaralar'!A19="","",'8 Numaralar'!K19)</f>
        <v>https://www.transfermarkt.com.tr/abdellah-baallal/profil/spieler/1028125</v>
      </c>
      <c r="K517" t="str">
        <f>IF('8 Numaralar'!L19="","",'8 Numaralar'!L19)</f>
        <v/>
      </c>
      <c r="L517" t="str">
        <f>IF('8 Numaralar'!M19="","",'8 Numaralar'!M19)</f>
        <v/>
      </c>
      <c r="M517" t="str">
        <f>IF('8 Numaralar'!N19="","",'8 Numaralar'!N19)</f>
        <v/>
      </c>
      <c r="N517" t="str">
        <f>IF('8 Numaralar'!O19="","",'8 Numaralar'!O19)</f>
        <v/>
      </c>
      <c r="O517" t="str">
        <f>IF('8 Numaralar'!P19="","",'8 Numaralar'!P19)</f>
        <v/>
      </c>
      <c r="P517" t="str">
        <f>IF('8 Numaralar'!Q19="","",'8 Numaralar'!Q19)</f>
        <v/>
      </c>
      <c r="Q517" t="str">
        <f>IF('8 Numaralar'!R19="","",'8 Numaralar'!R19)</f>
        <v/>
      </c>
      <c r="R517" t="str">
        <f>IF('8 Numaralar'!S19="","",'8 Numaralar'!S19)</f>
        <v/>
      </c>
      <c r="S517" t="str">
        <f>IF('8 Numaralar'!T19="","",'8 Numaralar'!T19)</f>
        <v/>
      </c>
      <c r="T517" s="2" t="str">
        <f>IF('8 Numaralar'!U19="","",'8 Numaralar'!U19)</f>
        <v/>
      </c>
      <c r="U517" t="s">
        <v>931</v>
      </c>
      <c r="V517">
        <v>19</v>
      </c>
      <c r="W517">
        <f ca="1">IF(AND($A517&lt;&gt;"",ISNUMBER($G517),$G517&gt;=TODAY(),$G517&lt;=EDATE(TODAY(),12)),COUNTIFS($G$2:$G$1001,"&gt;="&amp;TODAY(),$G$2:$G$1001,"&lt;"&amp;$G517,$A$2:$A$1001,"&lt;&gt;")+COUNTIFS($G$2:$G517,$G517,$A$2:$A517,"&lt;&gt;"),"")</f>
        <v>34</v>
      </c>
      <c r="X517">
        <f>IF(AND($A517&lt;&gt;"",ISNUMBER($C517),$C517&gt;=DATE(2003,1,1)),COUNTIFS($C$2:$C517,"&gt;="&amp;DATE(2003,1,1),$A$2:$A517,"&lt;&gt;"),"")</f>
        <v>18</v>
      </c>
    </row>
    <row r="518" spans="1:24">
      <c r="A518" t="str">
        <f>IF('8 Numaralar'!A20="","",'8 Numaralar'!A20)</f>
        <v>JEAN LUCAS</v>
      </c>
      <c r="B518" t="str">
        <f>IF('8 Numaralar'!B20="","",'8 Numaralar'!B20)</f>
        <v>BREZİLYA</v>
      </c>
      <c r="C518" s="2">
        <f>IF('8 Numaralar'!C20="","",'8 Numaralar'!C20)</f>
        <v>35968</v>
      </c>
      <c r="D518">
        <f ca="1">IF('8 Numaralar'!D20="","",'8 Numaralar'!D20)</f>
        <v>28</v>
      </c>
      <c r="E518" t="str">
        <f>IF('8 Numaralar'!E20="","",'8 Numaralar'!E20)</f>
        <v>8 Numara</v>
      </c>
      <c r="F518" t="str">
        <f>IF('8 Numaralar'!G20="","",'8 Numaralar'!G20)</f>
        <v>EC BAHIA</v>
      </c>
      <c r="G518" s="2">
        <f>IF('8 Numaralar'!H20="","",'8 Numaralar'!H20)</f>
        <v>47118</v>
      </c>
      <c r="H518" t="str">
        <f>IF('8 Numaralar'!I20="","",'8 Numaralar'!I20)</f>
        <v/>
      </c>
      <c r="I518">
        <f>IF('8 Numaralar'!A20="","",'8 Numaralar'!J20)</f>
        <v>0</v>
      </c>
      <c r="J518" t="str">
        <f>IF('8 Numaralar'!A20="","",'8 Numaralar'!K20)</f>
        <v>https://www.transfermarkt.com.tr/jean-lucas/profil/spieler/578872</v>
      </c>
      <c r="K518" t="str">
        <f>IF('8 Numaralar'!L20="","",'8 Numaralar'!L20)</f>
        <v/>
      </c>
      <c r="L518" t="str">
        <f>IF('8 Numaralar'!M20="","",'8 Numaralar'!M20)</f>
        <v/>
      </c>
      <c r="M518" t="str">
        <f>IF('8 Numaralar'!N20="","",'8 Numaralar'!N20)</f>
        <v/>
      </c>
      <c r="N518" t="str">
        <f>IF('8 Numaralar'!O20="","",'8 Numaralar'!O20)</f>
        <v/>
      </c>
      <c r="O518" t="str">
        <f>IF('8 Numaralar'!P20="","",'8 Numaralar'!P20)</f>
        <v/>
      </c>
      <c r="P518" t="str">
        <f>IF('8 Numaralar'!Q20="","",'8 Numaralar'!Q20)</f>
        <v/>
      </c>
      <c r="Q518" t="str">
        <f>IF('8 Numaralar'!R20="","",'8 Numaralar'!R20)</f>
        <v/>
      </c>
      <c r="R518" t="str">
        <f>IF('8 Numaralar'!S20="","",'8 Numaralar'!S20)</f>
        <v/>
      </c>
      <c r="S518" t="str">
        <f>IF('8 Numaralar'!T20="","",'8 Numaralar'!T20)</f>
        <v/>
      </c>
      <c r="T518" s="2" t="str">
        <f>IF('8 Numaralar'!U20="","",'8 Numaralar'!U20)</f>
        <v/>
      </c>
      <c r="U518" t="s">
        <v>931</v>
      </c>
      <c r="V518">
        <v>20</v>
      </c>
      <c r="W518" t="str">
        <f ca="1">IF(AND($A518&lt;&gt;"",ISNUMBER($G518),$G518&gt;=TODAY(),$G518&lt;=EDATE(TODAY(),12)),COUNTIFS($G$2:$G$1001,"&gt;="&amp;TODAY(),$G$2:$G$1001,"&lt;"&amp;$G518,$A$2:$A$1001,"&lt;&gt;")+COUNTIFS($G$2:$G518,$G518,$A$2:$A518,"&lt;&gt;"),"")</f>
        <v/>
      </c>
      <c r="X518" t="str">
        <f>IF(AND($A518&lt;&gt;"",ISNUMBER($C518),$C518&gt;=DATE(2003,1,1)),COUNTIFS($C$2:$C518,"&gt;="&amp;DATE(2003,1,1),$A$2:$A518,"&lt;&gt;"),"")</f>
        <v/>
      </c>
    </row>
    <row r="519" spans="1:24">
      <c r="A519" t="str">
        <f>IF('8 Numaralar'!A21="","",'8 Numaralar'!A21)</f>
        <v>ADAM GNEZDA CERIN</v>
      </c>
      <c r="B519" t="str">
        <f>IF('8 Numaralar'!B21="","",'8 Numaralar'!B21)</f>
        <v>SLOVENYA</v>
      </c>
      <c r="C519" s="2">
        <f>IF('8 Numaralar'!C21="","",'8 Numaralar'!C21)</f>
        <v>36357</v>
      </c>
      <c r="D519">
        <f ca="1">IF('8 Numaralar'!D21="","",'8 Numaralar'!D21)</f>
        <v>27</v>
      </c>
      <c r="E519" t="str">
        <f>IF('8 Numaralar'!E21="","",'8 Numaralar'!E21)</f>
        <v>8 Numara</v>
      </c>
      <c r="F519" t="str">
        <f>IF('8 Numaralar'!G21="","",'8 Numaralar'!G21)</f>
        <v>PANATHINAIKOS</v>
      </c>
      <c r="G519" s="2">
        <f>IF('8 Numaralar'!H21="","",'8 Numaralar'!H21)</f>
        <v>46934</v>
      </c>
      <c r="H519" t="str">
        <f>IF('8 Numaralar'!I21="","",'8 Numaralar'!I21)</f>
        <v/>
      </c>
      <c r="I519">
        <f>IF('8 Numaralar'!A21="","",'8 Numaralar'!J21)</f>
        <v>0</v>
      </c>
      <c r="J519" t="str">
        <f>IF('8 Numaralar'!A21="","",'8 Numaralar'!K21)</f>
        <v>https://www.transfermarkt.com.tr/adam-gnezda-cerin/profil/spieler/401394</v>
      </c>
      <c r="K519" t="str">
        <f>IF('8 Numaralar'!L21="","",'8 Numaralar'!L21)</f>
        <v/>
      </c>
      <c r="L519" t="str">
        <f>IF('8 Numaralar'!M21="","",'8 Numaralar'!M21)</f>
        <v/>
      </c>
      <c r="M519" t="str">
        <f>IF('8 Numaralar'!N21="","",'8 Numaralar'!N21)</f>
        <v/>
      </c>
      <c r="N519" t="str">
        <f>IF('8 Numaralar'!O21="","",'8 Numaralar'!O21)</f>
        <v/>
      </c>
      <c r="O519" t="str">
        <f>IF('8 Numaralar'!P21="","",'8 Numaralar'!P21)</f>
        <v/>
      </c>
      <c r="P519" t="str">
        <f>IF('8 Numaralar'!Q21="","",'8 Numaralar'!Q21)</f>
        <v/>
      </c>
      <c r="Q519" t="str">
        <f>IF('8 Numaralar'!R21="","",'8 Numaralar'!R21)</f>
        <v/>
      </c>
      <c r="R519" t="str">
        <f>IF('8 Numaralar'!S21="","",'8 Numaralar'!S21)</f>
        <v/>
      </c>
      <c r="S519" t="str">
        <f>IF('8 Numaralar'!T21="","",'8 Numaralar'!T21)</f>
        <v/>
      </c>
      <c r="T519" s="2" t="str">
        <f>IF('8 Numaralar'!U21="","",'8 Numaralar'!U21)</f>
        <v/>
      </c>
      <c r="U519" t="s">
        <v>931</v>
      </c>
      <c r="V519">
        <v>21</v>
      </c>
      <c r="W519" t="str">
        <f ca="1">IF(AND($A519&lt;&gt;"",ISNUMBER($G519),$G519&gt;=TODAY(),$G519&lt;=EDATE(TODAY(),12)),COUNTIFS($G$2:$G$1001,"&gt;="&amp;TODAY(),$G$2:$G$1001,"&lt;"&amp;$G519,$A$2:$A$1001,"&lt;&gt;")+COUNTIFS($G$2:$G519,$G519,$A$2:$A519,"&lt;&gt;"),"")</f>
        <v/>
      </c>
      <c r="X519" t="str">
        <f>IF(AND($A519&lt;&gt;"",ISNUMBER($C519),$C519&gt;=DATE(2003,1,1)),COUNTIFS($C$2:$C519,"&gt;="&amp;DATE(2003,1,1),$A$2:$A519,"&lt;&gt;"),"")</f>
        <v/>
      </c>
    </row>
    <row r="520" spans="1:24">
      <c r="A520" t="str">
        <f>IF('8 Numaralar'!A22="","",'8 Numaralar'!A22)</f>
        <v>MADY CAMARA</v>
      </c>
      <c r="B520" t="str">
        <f>IF('8 Numaralar'!B22="","",'8 Numaralar'!B22)</f>
        <v>GİNE</v>
      </c>
      <c r="C520" s="2">
        <f>IF('8 Numaralar'!C22="","",'8 Numaralar'!C22)</f>
        <v>35489</v>
      </c>
      <c r="D520">
        <f ca="1">IF('8 Numaralar'!D22="","",'8 Numaralar'!D22)</f>
        <v>29</v>
      </c>
      <c r="E520" t="str">
        <f>IF('8 Numaralar'!E22="","",'8 Numaralar'!E22)</f>
        <v>8 Numara</v>
      </c>
      <c r="F520" t="str">
        <f>IF('8 Numaralar'!G22="","",'8 Numaralar'!G22)</f>
        <v>PAOK</v>
      </c>
      <c r="G520" s="2">
        <f>IF('8 Numaralar'!H22="","",'8 Numaralar'!H22)</f>
        <v>46568</v>
      </c>
      <c r="H520" t="str">
        <f>IF('8 Numaralar'!I22="","",'8 Numaralar'!I22)</f>
        <v/>
      </c>
      <c r="I520">
        <f>IF('8 Numaralar'!A22="","",'8 Numaralar'!J22)</f>
        <v>0</v>
      </c>
      <c r="J520" t="str">
        <f>IF('8 Numaralar'!A22="","",'8 Numaralar'!K22)</f>
        <v>https://www.transfermarkt.com.tr/mady-camara/profil/spieler/481173</v>
      </c>
      <c r="K520" t="str">
        <f>IF('8 Numaralar'!L22="","",'8 Numaralar'!L22)</f>
        <v/>
      </c>
      <c r="L520" t="str">
        <f>IF('8 Numaralar'!M22="","",'8 Numaralar'!M22)</f>
        <v/>
      </c>
      <c r="M520" t="str">
        <f>IF('8 Numaralar'!N22="","",'8 Numaralar'!N22)</f>
        <v/>
      </c>
      <c r="N520" t="str">
        <f>IF('8 Numaralar'!O22="","",'8 Numaralar'!O22)</f>
        <v/>
      </c>
      <c r="O520" t="str">
        <f>IF('8 Numaralar'!P22="","",'8 Numaralar'!P22)</f>
        <v/>
      </c>
      <c r="P520" t="str">
        <f>IF('8 Numaralar'!Q22="","",'8 Numaralar'!Q22)</f>
        <v/>
      </c>
      <c r="Q520" t="str">
        <f>IF('8 Numaralar'!R22="","",'8 Numaralar'!R22)</f>
        <v/>
      </c>
      <c r="R520" t="str">
        <f>IF('8 Numaralar'!S22="","",'8 Numaralar'!S22)</f>
        <v/>
      </c>
      <c r="S520" t="str">
        <f>IF('8 Numaralar'!T22="","",'8 Numaralar'!T22)</f>
        <v/>
      </c>
      <c r="T520" s="2" t="str">
        <f>IF('8 Numaralar'!U22="","",'8 Numaralar'!U22)</f>
        <v/>
      </c>
      <c r="U520" t="s">
        <v>931</v>
      </c>
      <c r="V520">
        <v>22</v>
      </c>
      <c r="W520">
        <f ca="1">IF(AND($A520&lt;&gt;"",ISNUMBER($G520),$G520&gt;=TODAY(),$G520&lt;=EDATE(TODAY(),12)),COUNTIFS($G$2:$G$1001,"&gt;="&amp;TODAY(),$G$2:$G$1001,"&lt;"&amp;$G520,$A$2:$A$1001,"&lt;&gt;")+COUNTIFS($G$2:$G520,$G520,$A$2:$A520,"&lt;&gt;"),"")</f>
        <v>35</v>
      </c>
      <c r="X520" t="str">
        <f>IF(AND($A520&lt;&gt;"",ISNUMBER($C520),$C520&gt;=DATE(2003,1,1)),COUNTIFS($C$2:$C520,"&gt;="&amp;DATE(2003,1,1),$A$2:$A520,"&lt;&gt;"),"")</f>
        <v/>
      </c>
    </row>
    <row r="521" spans="1:24">
      <c r="A521" t="str">
        <f>IF('8 Numaralar'!A23="","",'8 Numaralar'!A23)</f>
        <v>CATALIN CIRJAN</v>
      </c>
      <c r="B521" t="str">
        <f>IF('8 Numaralar'!B23="","",'8 Numaralar'!B23)</f>
        <v>ROMANYA</v>
      </c>
      <c r="C521" s="2">
        <f>IF('8 Numaralar'!C23="","",'8 Numaralar'!C23)</f>
        <v>37591</v>
      </c>
      <c r="D521">
        <f ca="1">IF('8 Numaralar'!D23="","",'8 Numaralar'!D23)</f>
        <v>23</v>
      </c>
      <c r="E521" t="str">
        <f>IF('8 Numaralar'!E23="","",'8 Numaralar'!E23)</f>
        <v>8 Numara</v>
      </c>
      <c r="F521" t="str">
        <f>IF('8 Numaralar'!G23="","",'8 Numaralar'!G23)</f>
        <v>DINAMO BÜKREŞ</v>
      </c>
      <c r="G521" s="2">
        <f>IF('8 Numaralar'!H23="","",'8 Numaralar'!H23)</f>
        <v>47299</v>
      </c>
      <c r="H521" t="str">
        <f>IF('8 Numaralar'!I23="","",'8 Numaralar'!I23)</f>
        <v/>
      </c>
      <c r="I521">
        <f>IF('8 Numaralar'!A23="","",'8 Numaralar'!J23)</f>
        <v>0</v>
      </c>
      <c r="J521" t="str">
        <f>IF('8 Numaralar'!A23="","",'8 Numaralar'!K23)</f>
        <v>https://www.transfermarkt.com/catalin-cirjan/profil/spieler/575219</v>
      </c>
      <c r="K521" t="str">
        <f>IF('8 Numaralar'!L23="","",'8 Numaralar'!L23)</f>
        <v/>
      </c>
      <c r="L521" t="str">
        <f>IF('8 Numaralar'!M23="","",'8 Numaralar'!M23)</f>
        <v/>
      </c>
      <c r="M521" t="str">
        <f>IF('8 Numaralar'!N23="","",'8 Numaralar'!N23)</f>
        <v/>
      </c>
      <c r="N521" t="str">
        <f>IF('8 Numaralar'!O23="","",'8 Numaralar'!O23)</f>
        <v/>
      </c>
      <c r="O521" t="str">
        <f>IF('8 Numaralar'!P23="","",'8 Numaralar'!P23)</f>
        <v/>
      </c>
      <c r="P521" t="str">
        <f>IF('8 Numaralar'!Q23="","",'8 Numaralar'!Q23)</f>
        <v/>
      </c>
      <c r="Q521" t="str">
        <f>IF('8 Numaralar'!R23="","",'8 Numaralar'!R23)</f>
        <v/>
      </c>
      <c r="R521" t="str">
        <f>IF('8 Numaralar'!S23="","",'8 Numaralar'!S23)</f>
        <v/>
      </c>
      <c r="S521" t="str">
        <f>IF('8 Numaralar'!T23="","",'8 Numaralar'!T23)</f>
        <v/>
      </c>
      <c r="T521" s="2" t="str">
        <f>IF('8 Numaralar'!U23="","",'8 Numaralar'!U23)</f>
        <v/>
      </c>
      <c r="U521" t="s">
        <v>931</v>
      </c>
      <c r="V521">
        <v>23</v>
      </c>
      <c r="W521" t="str">
        <f ca="1">IF(AND($A521&lt;&gt;"",ISNUMBER($G521),$G521&gt;=TODAY(),$G521&lt;=EDATE(TODAY(),12)),COUNTIFS($G$2:$G$1001,"&gt;="&amp;TODAY(),$G$2:$G$1001,"&lt;"&amp;$G521,$A$2:$A$1001,"&lt;&gt;")+COUNTIFS($G$2:$G521,$G521,$A$2:$A521,"&lt;&gt;"),"")</f>
        <v/>
      </c>
      <c r="X521" t="str">
        <f>IF(AND($A521&lt;&gt;"",ISNUMBER($C521),$C521&gt;=DATE(2003,1,1)),COUNTIFS($C$2:$C521,"&gt;="&amp;DATE(2003,1,1),$A$2:$A521,"&lt;&gt;"),"")</f>
        <v/>
      </c>
    </row>
    <row r="522" spans="1:24">
      <c r="A522" t="str">
        <f>IF('8 Numaralar'!A24="","",'8 Numaralar'!A24)</f>
        <v>MARTIN PAYERO</v>
      </c>
      <c r="B522" t="str">
        <f>IF('8 Numaralar'!B24="","",'8 Numaralar'!B24)</f>
        <v>ARJANTİN / İTALYA</v>
      </c>
      <c r="C522" s="2">
        <f>IF('8 Numaralar'!C24="","",'8 Numaralar'!C24)</f>
        <v>36049</v>
      </c>
      <c r="D522">
        <f ca="1">IF('8 Numaralar'!D24="","",'8 Numaralar'!D24)</f>
        <v>28</v>
      </c>
      <c r="E522" t="str">
        <f>IF('8 Numaralar'!E24="","",'8 Numaralar'!E24)</f>
        <v>8 Numara</v>
      </c>
      <c r="F522" t="str">
        <f>IF('8 Numaralar'!G24="","",'8 Numaralar'!G24)</f>
        <v>WATFORD FC</v>
      </c>
      <c r="G522" s="2" t="str">
        <f>IF('8 Numaralar'!H24="","",'8 Numaralar'!H24)</f>
        <v>-</v>
      </c>
      <c r="H522" t="str">
        <f>IF('8 Numaralar'!I24="","",'8 Numaralar'!I24)</f>
        <v/>
      </c>
      <c r="I522">
        <f>IF('8 Numaralar'!A24="","",'8 Numaralar'!J24)</f>
        <v>0</v>
      </c>
      <c r="J522" t="str">
        <f>IF('8 Numaralar'!A24="","",'8 Numaralar'!K24)</f>
        <v>https://www.transfermarkt.com.tr/martin-payero/profil/spieler/555820</v>
      </c>
      <c r="K522" t="str">
        <f>IF('8 Numaralar'!L24="","",'8 Numaralar'!L24)</f>
        <v/>
      </c>
      <c r="L522" t="str">
        <f>IF('8 Numaralar'!M24="","",'8 Numaralar'!M24)</f>
        <v/>
      </c>
      <c r="M522" t="str">
        <f>IF('8 Numaralar'!N24="","",'8 Numaralar'!N24)</f>
        <v/>
      </c>
      <c r="N522" t="str">
        <f>IF('8 Numaralar'!O24="","",'8 Numaralar'!O24)</f>
        <v/>
      </c>
      <c r="O522" t="str">
        <f>IF('8 Numaralar'!P24="","",'8 Numaralar'!P24)</f>
        <v/>
      </c>
      <c r="P522" t="str">
        <f>IF('8 Numaralar'!Q24="","",'8 Numaralar'!Q24)</f>
        <v/>
      </c>
      <c r="Q522" t="str">
        <f>IF('8 Numaralar'!R24="","",'8 Numaralar'!R24)</f>
        <v/>
      </c>
      <c r="R522" t="str">
        <f>IF('8 Numaralar'!S24="","",'8 Numaralar'!S24)</f>
        <v/>
      </c>
      <c r="S522" t="str">
        <f>IF('8 Numaralar'!T24="","",'8 Numaralar'!T24)</f>
        <v/>
      </c>
      <c r="T522" s="2" t="str">
        <f>IF('8 Numaralar'!U24="","",'8 Numaralar'!U24)</f>
        <v/>
      </c>
      <c r="U522" t="s">
        <v>931</v>
      </c>
      <c r="V522">
        <v>24</v>
      </c>
      <c r="W522" t="str">
        <f ca="1">IF(AND($A522&lt;&gt;"",ISNUMBER($G522),$G522&gt;=TODAY(),$G522&lt;=EDATE(TODAY(),12)),COUNTIFS($G$2:$G$1001,"&gt;="&amp;TODAY(),$G$2:$G$1001,"&lt;"&amp;$G522,$A$2:$A$1001,"&lt;&gt;")+COUNTIFS($G$2:$G522,$G522,$A$2:$A522,"&lt;&gt;"),"")</f>
        <v/>
      </c>
      <c r="X522" t="str">
        <f>IF(AND($A522&lt;&gt;"",ISNUMBER($C522),$C522&gt;=DATE(2003,1,1)),COUNTIFS($C$2:$C522,"&gt;="&amp;DATE(2003,1,1),$A$2:$A522,"&lt;&gt;"),"")</f>
        <v/>
      </c>
    </row>
    <row r="523" spans="1:24">
      <c r="A523" t="str">
        <f>IF('8 Numaralar'!A25="","",'8 Numaralar'!A25)</f>
        <v>JIN-GYU KIM</v>
      </c>
      <c r="B523" t="str">
        <f>IF('8 Numaralar'!B25="","",'8 Numaralar'!B25)</f>
        <v>GÜNEY KORE</v>
      </c>
      <c r="C523" s="2">
        <f>IF('8 Numaralar'!C25="","",'8 Numaralar'!C25)</f>
        <v>35485</v>
      </c>
      <c r="D523">
        <f ca="1">IF('8 Numaralar'!D25="","",'8 Numaralar'!D25)</f>
        <v>29</v>
      </c>
      <c r="E523" t="str">
        <f>IF('8 Numaralar'!E25="","",'8 Numaralar'!E25)</f>
        <v>8 Numara</v>
      </c>
      <c r="F523" t="str">
        <f>IF('8 Numaralar'!G25="","",'8 Numaralar'!G25)</f>
        <v>JEONBUK HYUNDAI</v>
      </c>
      <c r="G523" s="2">
        <f>IF('8 Numaralar'!H25="","",'8 Numaralar'!H25)</f>
        <v>46387</v>
      </c>
      <c r="H523" t="str">
        <f>IF('8 Numaralar'!I25="","",'8 Numaralar'!I25)</f>
        <v/>
      </c>
      <c r="I523">
        <f>IF('8 Numaralar'!A25="","",'8 Numaralar'!J25)</f>
        <v>0</v>
      </c>
      <c r="J523" t="str">
        <f>IF('8 Numaralar'!A25="","",'8 Numaralar'!K25)</f>
        <v>https://www.transfermarkt.com.tr/jin-gyu-kim/profil/spieler/365377</v>
      </c>
      <c r="K523" t="str">
        <f>IF('8 Numaralar'!L25="","",'8 Numaralar'!L25)</f>
        <v/>
      </c>
      <c r="L523" t="str">
        <f>IF('8 Numaralar'!M25="","",'8 Numaralar'!M25)</f>
        <v/>
      </c>
      <c r="M523" t="str">
        <f>IF('8 Numaralar'!N25="","",'8 Numaralar'!N25)</f>
        <v/>
      </c>
      <c r="N523" t="str">
        <f>IF('8 Numaralar'!O25="","",'8 Numaralar'!O25)</f>
        <v/>
      </c>
      <c r="O523" t="str">
        <f>IF('8 Numaralar'!P25="","",'8 Numaralar'!P25)</f>
        <v/>
      </c>
      <c r="P523" t="str">
        <f>IF('8 Numaralar'!Q25="","",'8 Numaralar'!Q25)</f>
        <v/>
      </c>
      <c r="Q523" t="str">
        <f>IF('8 Numaralar'!R25="","",'8 Numaralar'!R25)</f>
        <v/>
      </c>
      <c r="R523" t="str">
        <f>IF('8 Numaralar'!S25="","",'8 Numaralar'!S25)</f>
        <v/>
      </c>
      <c r="S523" t="str">
        <f>IF('8 Numaralar'!T25="","",'8 Numaralar'!T25)</f>
        <v/>
      </c>
      <c r="T523" s="2" t="str">
        <f>IF('8 Numaralar'!U25="","",'8 Numaralar'!U25)</f>
        <v/>
      </c>
      <c r="U523" t="s">
        <v>931</v>
      </c>
      <c r="V523">
        <v>25</v>
      </c>
      <c r="W523">
        <f ca="1">IF(AND($A523&lt;&gt;"",ISNUMBER($G523),$G523&gt;=TODAY(),$G523&lt;=EDATE(TODAY(),12)),COUNTIFS($G$2:$G$1001,"&gt;="&amp;TODAY(),$G$2:$G$1001,"&lt;"&amp;$G523,$A$2:$A$1001,"&lt;&gt;")+COUNTIFS($G$2:$G523,$G523,$A$2:$A523,"&lt;&gt;"),"")</f>
        <v>7</v>
      </c>
      <c r="X523" t="str">
        <f>IF(AND($A523&lt;&gt;"",ISNUMBER($C523),$C523&gt;=DATE(2003,1,1)),COUNTIFS($C$2:$C523,"&gt;="&amp;DATE(2003,1,1),$A$2:$A523,"&lt;&gt;"),"")</f>
        <v/>
      </c>
    </row>
    <row r="524" spans="1:24">
      <c r="A524" t="str">
        <f>IF('8 Numaralar'!A26="","",'8 Numaralar'!A26)</f>
        <v>PABLO MARTINEZ</v>
      </c>
      <c r="B524" t="str">
        <f>IF('8 Numaralar'!B26="","",'8 Numaralar'!B26)</f>
        <v>İSPANYA</v>
      </c>
      <c r="C524" s="2">
        <f>IF('8 Numaralar'!C26="","",'8 Numaralar'!C26)</f>
        <v>35848</v>
      </c>
      <c r="D524">
        <f ca="1">IF('8 Numaralar'!D26="","",'8 Numaralar'!D26)</f>
        <v>28</v>
      </c>
      <c r="E524" t="str">
        <f>IF('8 Numaralar'!E26="","",'8 Numaralar'!E26)</f>
        <v>8 Numara</v>
      </c>
      <c r="F524" t="str">
        <f>IF('8 Numaralar'!G26="","",'8 Numaralar'!G26)</f>
        <v>KULÜPSÜZ</v>
      </c>
      <c r="G524" s="2" t="str">
        <f>IF('8 Numaralar'!H26="","",'8 Numaralar'!H26)</f>
        <v>-</v>
      </c>
      <c r="H524" t="str">
        <f>IF('8 Numaralar'!I26="","",'8 Numaralar'!I26)</f>
        <v/>
      </c>
      <c r="I524">
        <f>IF('8 Numaralar'!A26="","",'8 Numaralar'!J26)</f>
        <v>0</v>
      </c>
      <c r="J524" t="str">
        <f>IF('8 Numaralar'!A26="","",'8 Numaralar'!K26)</f>
        <v>https://www.transfermarkt.com.tr/pablo-martinez/profil/spieler/568835</v>
      </c>
      <c r="K524" t="str">
        <f>IF('8 Numaralar'!L26="","",'8 Numaralar'!L26)</f>
        <v/>
      </c>
      <c r="L524" t="str">
        <f>IF('8 Numaralar'!M26="","",'8 Numaralar'!M26)</f>
        <v/>
      </c>
      <c r="M524" t="str">
        <f>IF('8 Numaralar'!N26="","",'8 Numaralar'!N26)</f>
        <v/>
      </c>
      <c r="N524" t="str">
        <f>IF('8 Numaralar'!O26="","",'8 Numaralar'!O26)</f>
        <v/>
      </c>
      <c r="O524" t="str">
        <f>IF('8 Numaralar'!P26="","",'8 Numaralar'!P26)</f>
        <v/>
      </c>
      <c r="P524" t="str">
        <f>IF('8 Numaralar'!Q26="","",'8 Numaralar'!Q26)</f>
        <v/>
      </c>
      <c r="Q524" t="str">
        <f>IF('8 Numaralar'!R26="","",'8 Numaralar'!R26)</f>
        <v/>
      </c>
      <c r="R524" t="str">
        <f>IF('8 Numaralar'!S26="","",'8 Numaralar'!S26)</f>
        <v/>
      </c>
      <c r="S524" t="str">
        <f>IF('8 Numaralar'!T26="","",'8 Numaralar'!T26)</f>
        <v/>
      </c>
      <c r="T524" s="2" t="str">
        <f>IF('8 Numaralar'!U26="","",'8 Numaralar'!U26)</f>
        <v/>
      </c>
      <c r="U524" t="s">
        <v>931</v>
      </c>
      <c r="V524">
        <v>26</v>
      </c>
      <c r="W524" t="str">
        <f ca="1">IF(AND($A524&lt;&gt;"",ISNUMBER($G524),$G524&gt;=TODAY(),$G524&lt;=EDATE(TODAY(),12)),COUNTIFS($G$2:$G$1001,"&gt;="&amp;TODAY(),$G$2:$G$1001,"&lt;"&amp;$G524,$A$2:$A$1001,"&lt;&gt;")+COUNTIFS($G$2:$G524,$G524,$A$2:$A524,"&lt;&gt;"),"")</f>
        <v/>
      </c>
      <c r="X524" t="str">
        <f>IF(AND($A524&lt;&gt;"",ISNUMBER($C524),$C524&gt;=DATE(2003,1,1)),COUNTIFS($C$2:$C524,"&gt;="&amp;DATE(2003,1,1),$A$2:$A524,"&lt;&gt;"),"")</f>
        <v/>
      </c>
    </row>
    <row r="525" spans="1:24">
      <c r="A525" t="str">
        <f>IF('8 Numaralar'!A27="","",'8 Numaralar'!A27)</f>
        <v>NOAH CADIOU</v>
      </c>
      <c r="B525" t="str">
        <f>IF('8 Numaralar'!B27="","",'8 Numaralar'!B27)</f>
        <v>GUADELOUPE / FRANSA</v>
      </c>
      <c r="C525" s="2">
        <f>IF('8 Numaralar'!C27="","",'8 Numaralar'!C27)</f>
        <v>36094</v>
      </c>
      <c r="D525">
        <f ca="1">IF('8 Numaralar'!D27="","",'8 Numaralar'!D27)</f>
        <v>27</v>
      </c>
      <c r="E525" t="str">
        <f>IF('8 Numaralar'!E27="","",'8 Numaralar'!E27)</f>
        <v>8 Numara</v>
      </c>
      <c r="F525" t="str">
        <f>IF('8 Numaralar'!G27="","",'8 Numaralar'!G27)</f>
        <v>FC LORIENT</v>
      </c>
      <c r="G525" s="2">
        <f>IF('8 Numaralar'!H27="","",'8 Numaralar'!H27)</f>
        <v>47299</v>
      </c>
      <c r="H525" t="str">
        <f>IF('8 Numaralar'!I27="","",'8 Numaralar'!I27)</f>
        <v/>
      </c>
      <c r="I525">
        <f>IF('8 Numaralar'!A27="","",'8 Numaralar'!J27)</f>
        <v>0</v>
      </c>
      <c r="J525" t="str">
        <f>IF('8 Numaralar'!A27="","",'8 Numaralar'!K27)</f>
        <v>https://www.transfermarkt.com.tr/noah-cadiou/profil/spieler/691958</v>
      </c>
      <c r="K525" t="str">
        <f>IF('8 Numaralar'!L27="","",'8 Numaralar'!L27)</f>
        <v/>
      </c>
      <c r="L525" t="str">
        <f>IF('8 Numaralar'!M27="","",'8 Numaralar'!M27)</f>
        <v/>
      </c>
      <c r="M525" t="str">
        <f>IF('8 Numaralar'!N27="","",'8 Numaralar'!N27)</f>
        <v/>
      </c>
      <c r="N525" t="str">
        <f>IF('8 Numaralar'!O27="","",'8 Numaralar'!O27)</f>
        <v/>
      </c>
      <c r="O525" t="str">
        <f>IF('8 Numaralar'!P27="","",'8 Numaralar'!P27)</f>
        <v/>
      </c>
      <c r="P525" t="str">
        <f>IF('8 Numaralar'!Q27="","",'8 Numaralar'!Q27)</f>
        <v/>
      </c>
      <c r="Q525" t="str">
        <f>IF('8 Numaralar'!R27="","",'8 Numaralar'!R27)</f>
        <v/>
      </c>
      <c r="R525" t="str">
        <f>IF('8 Numaralar'!S27="","",'8 Numaralar'!S27)</f>
        <v/>
      </c>
      <c r="S525" t="str">
        <f>IF('8 Numaralar'!T27="","",'8 Numaralar'!T27)</f>
        <v/>
      </c>
      <c r="T525" s="2" t="str">
        <f>IF('8 Numaralar'!U27="","",'8 Numaralar'!U27)</f>
        <v/>
      </c>
      <c r="U525" t="s">
        <v>931</v>
      </c>
      <c r="V525">
        <v>27</v>
      </c>
      <c r="W525" t="str">
        <f ca="1">IF(AND($A525&lt;&gt;"",ISNUMBER($G525),$G525&gt;=TODAY(),$G525&lt;=EDATE(TODAY(),12)),COUNTIFS($G$2:$G$1001,"&gt;="&amp;TODAY(),$G$2:$G$1001,"&lt;"&amp;$G525,$A$2:$A$1001,"&lt;&gt;")+COUNTIFS($G$2:$G525,$G525,$A$2:$A525,"&lt;&gt;"),"")</f>
        <v/>
      </c>
      <c r="X525" t="str">
        <f>IF(AND($A525&lt;&gt;"",ISNUMBER($C525),$C525&gt;=DATE(2003,1,1)),COUNTIFS($C$2:$C525,"&gt;="&amp;DATE(2003,1,1),$A$2:$A525,"&lt;&gt;"),"")</f>
        <v/>
      </c>
    </row>
    <row r="526" spans="1:24">
      <c r="A526" t="str">
        <f>IF('8 Numaralar'!A28="","",'8 Numaralar'!A28)</f>
        <v>EBENEZER AKINSANMIRO</v>
      </c>
      <c r="B526" t="str">
        <f>IF('8 Numaralar'!B28="","",'8 Numaralar'!B28)</f>
        <v>NİJERYA</v>
      </c>
      <c r="C526" s="2">
        <f>IF('8 Numaralar'!C28="","",'8 Numaralar'!C28)</f>
        <v>38316</v>
      </c>
      <c r="D526">
        <f ca="1">IF('8 Numaralar'!D28="","",'8 Numaralar'!D28)</f>
        <v>21</v>
      </c>
      <c r="E526" t="str">
        <f>IF('8 Numaralar'!E28="","",'8 Numaralar'!E28)</f>
        <v>8 Numara</v>
      </c>
      <c r="F526" t="str">
        <f>IF('8 Numaralar'!G28="","",'8 Numaralar'!G28)</f>
        <v>INTER MILAN</v>
      </c>
      <c r="G526" s="2" t="str">
        <f>IF('8 Numaralar'!H28="","",'8 Numaralar'!H28)</f>
        <v>-</v>
      </c>
      <c r="H526" t="str">
        <f>IF('8 Numaralar'!I28="","",'8 Numaralar'!I28)</f>
        <v/>
      </c>
      <c r="I526">
        <f>IF('8 Numaralar'!A28="","",'8 Numaralar'!J28)</f>
        <v>0</v>
      </c>
      <c r="J526" t="str">
        <f>IF('8 Numaralar'!A28="","",'8 Numaralar'!K28)</f>
        <v>https://www.transfermarkt.de/ebenezer-akinsanmiro/profil/spieler/969192</v>
      </c>
      <c r="K526" t="str">
        <f>IF('8 Numaralar'!L28="","",'8 Numaralar'!L28)</f>
        <v/>
      </c>
      <c r="L526" t="str">
        <f>IF('8 Numaralar'!M28="","",'8 Numaralar'!M28)</f>
        <v/>
      </c>
      <c r="M526" t="str">
        <f>IF('8 Numaralar'!N28="","",'8 Numaralar'!N28)</f>
        <v/>
      </c>
      <c r="N526" t="str">
        <f>IF('8 Numaralar'!O28="","",'8 Numaralar'!O28)</f>
        <v/>
      </c>
      <c r="O526" t="str">
        <f>IF('8 Numaralar'!P28="","",'8 Numaralar'!P28)</f>
        <v/>
      </c>
      <c r="P526" t="str">
        <f>IF('8 Numaralar'!Q28="","",'8 Numaralar'!Q28)</f>
        <v/>
      </c>
      <c r="Q526" t="str">
        <f>IF('8 Numaralar'!R28="","",'8 Numaralar'!R28)</f>
        <v/>
      </c>
      <c r="R526" t="str">
        <f>IF('8 Numaralar'!S28="","",'8 Numaralar'!S28)</f>
        <v/>
      </c>
      <c r="S526" t="str">
        <f>IF('8 Numaralar'!T28="","",'8 Numaralar'!T28)</f>
        <v/>
      </c>
      <c r="T526" s="2" t="str">
        <f>IF('8 Numaralar'!U28="","",'8 Numaralar'!U28)</f>
        <v/>
      </c>
      <c r="U526" t="s">
        <v>931</v>
      </c>
      <c r="V526">
        <v>28</v>
      </c>
      <c r="W526" t="str">
        <f ca="1">IF(AND($A526&lt;&gt;"",ISNUMBER($G526),$G526&gt;=TODAY(),$G526&lt;=EDATE(TODAY(),12)),COUNTIFS($G$2:$G$1001,"&gt;="&amp;TODAY(),$G$2:$G$1001,"&lt;"&amp;$G526,$A$2:$A$1001,"&lt;&gt;")+COUNTIFS($G$2:$G526,$G526,$A$2:$A526,"&lt;&gt;"),"")</f>
        <v/>
      </c>
      <c r="X526">
        <f>IF(AND($A526&lt;&gt;"",ISNUMBER($C526),$C526&gt;=DATE(2003,1,1)),COUNTIFS($C$2:$C526,"&gt;="&amp;DATE(2003,1,1),$A$2:$A526,"&lt;&gt;"),"")</f>
        <v>19</v>
      </c>
    </row>
    <row r="527" spans="1:24">
      <c r="A527" t="str">
        <f>IF('8 Numaralar'!A29="","",'8 Numaralar'!A29)</f>
        <v>WARREN BONDO</v>
      </c>
      <c r="B527" t="str">
        <f>IF('8 Numaralar'!B29="","",'8 Numaralar'!B29)</f>
        <v>FRANSA / DR KONGO</v>
      </c>
      <c r="C527" s="2">
        <f>IF('8 Numaralar'!C29="","",'8 Numaralar'!C29)</f>
        <v>37879</v>
      </c>
      <c r="D527">
        <f ca="1">IF('8 Numaralar'!D29="","",'8 Numaralar'!D29)</f>
        <v>23</v>
      </c>
      <c r="E527" t="str">
        <f>IF('8 Numaralar'!E29="","",'8 Numaralar'!E29)</f>
        <v>8 Numara</v>
      </c>
      <c r="F527" t="str">
        <f>IF('8 Numaralar'!G29="","",'8 Numaralar'!G29)</f>
        <v>AC MILAN</v>
      </c>
      <c r="G527" s="2">
        <f>IF('8 Numaralar'!H29="","",'8 Numaralar'!H29)</f>
        <v>47299</v>
      </c>
      <c r="H527" t="str">
        <f>IF('8 Numaralar'!I29="","",'8 Numaralar'!I29)</f>
        <v/>
      </c>
      <c r="I527">
        <f>IF('8 Numaralar'!A29="","",'8 Numaralar'!J29)</f>
        <v>0</v>
      </c>
      <c r="J527" t="str">
        <f>IF('8 Numaralar'!A29="","",'8 Numaralar'!K29)</f>
        <v>Transfermarkt Profili</v>
      </c>
      <c r="K527" t="str">
        <f>IF('8 Numaralar'!L29="","",'8 Numaralar'!L29)</f>
        <v/>
      </c>
      <c r="L527" t="str">
        <f>IF('8 Numaralar'!M29="","",'8 Numaralar'!M29)</f>
        <v/>
      </c>
      <c r="M527" t="str">
        <f>IF('8 Numaralar'!N29="","",'8 Numaralar'!N29)</f>
        <v/>
      </c>
      <c r="N527" t="str">
        <f>IF('8 Numaralar'!O29="","",'8 Numaralar'!O29)</f>
        <v/>
      </c>
      <c r="O527" t="str">
        <f>IF('8 Numaralar'!P29="","",'8 Numaralar'!P29)</f>
        <v/>
      </c>
      <c r="P527" t="str">
        <f>IF('8 Numaralar'!Q29="","",'8 Numaralar'!Q29)</f>
        <v/>
      </c>
      <c r="Q527" t="str">
        <f>IF('8 Numaralar'!R29="","",'8 Numaralar'!R29)</f>
        <v/>
      </c>
      <c r="R527" t="str">
        <f>IF('8 Numaralar'!S29="","",'8 Numaralar'!S29)</f>
        <v/>
      </c>
      <c r="S527" t="str">
        <f>IF('8 Numaralar'!T29="","",'8 Numaralar'!T29)</f>
        <v/>
      </c>
      <c r="T527" s="2" t="str">
        <f>IF('8 Numaralar'!U29="","",'8 Numaralar'!U29)</f>
        <v/>
      </c>
      <c r="U527" t="s">
        <v>931</v>
      </c>
      <c r="V527">
        <v>29</v>
      </c>
      <c r="W527" t="str">
        <f ca="1">IF(AND($A527&lt;&gt;"",ISNUMBER($G527),$G527&gt;=TODAY(),$G527&lt;=EDATE(TODAY(),12)),COUNTIFS($G$2:$G$1001,"&gt;="&amp;TODAY(),$G$2:$G$1001,"&lt;"&amp;$G527,$A$2:$A$1001,"&lt;&gt;")+COUNTIFS($G$2:$G527,$G527,$A$2:$A527,"&lt;&gt;"),"")</f>
        <v/>
      </c>
      <c r="X527">
        <f>IF(AND($A527&lt;&gt;"",ISNUMBER($C527),$C527&gt;=DATE(2003,1,1)),COUNTIFS($C$2:$C527,"&gt;="&amp;DATE(2003,1,1),$A$2:$A527,"&lt;&gt;"),"")</f>
        <v>20</v>
      </c>
    </row>
    <row r="528" spans="1:24">
      <c r="A528" t="str">
        <f>IF('8 Numaralar'!A30="","",'8 Numaralar'!A30)</f>
        <v>ISAAC SOLET</v>
      </c>
      <c r="B528" t="str">
        <f>IF('8 Numaralar'!B30="","",'8 Numaralar'!B30)</f>
        <v>ORTA AFRİKA CUMHURİYETİ / FRANSA</v>
      </c>
      <c r="C528" s="2">
        <f>IF('8 Numaralar'!C30="","",'8 Numaralar'!C30)</f>
        <v>37058</v>
      </c>
      <c r="D528">
        <f ca="1">IF('8 Numaralar'!D30="","",'8 Numaralar'!D30)</f>
        <v>25</v>
      </c>
      <c r="E528" t="str">
        <f>IF('8 Numaralar'!E30="","",'8 Numaralar'!E30)</f>
        <v>8 Numara</v>
      </c>
      <c r="F528" t="str">
        <f>IF('8 Numaralar'!G30="","",'8 Numaralar'!G30)</f>
        <v>CSKA SOFIA</v>
      </c>
      <c r="G528" s="2">
        <f>IF('8 Numaralar'!H30="","",'8 Numaralar'!H30)</f>
        <v>47118</v>
      </c>
      <c r="H528" t="str">
        <f>IF('8 Numaralar'!I30="","",'8 Numaralar'!I30)</f>
        <v/>
      </c>
      <c r="I528">
        <f>IF('8 Numaralar'!A30="","",'8 Numaralar'!J30)</f>
        <v>0</v>
      </c>
      <c r="J528" t="str">
        <f>IF('8 Numaralar'!A30="","",'8 Numaralar'!K30)</f>
        <v>Transfermarkt Profili</v>
      </c>
      <c r="K528" t="str">
        <f>IF('8 Numaralar'!L30="","",'8 Numaralar'!L30)</f>
        <v/>
      </c>
      <c r="L528" t="str">
        <f>IF('8 Numaralar'!M30="","",'8 Numaralar'!M30)</f>
        <v/>
      </c>
      <c r="M528" t="str">
        <f>IF('8 Numaralar'!N30="","",'8 Numaralar'!N30)</f>
        <v/>
      </c>
      <c r="N528" t="str">
        <f>IF('8 Numaralar'!O30="","",'8 Numaralar'!O30)</f>
        <v/>
      </c>
      <c r="O528" t="str">
        <f>IF('8 Numaralar'!P30="","",'8 Numaralar'!P30)</f>
        <v/>
      </c>
      <c r="P528" t="str">
        <f>IF('8 Numaralar'!Q30="","",'8 Numaralar'!Q30)</f>
        <v/>
      </c>
      <c r="Q528" t="str">
        <f>IF('8 Numaralar'!R30="","",'8 Numaralar'!R30)</f>
        <v/>
      </c>
      <c r="R528" t="str">
        <f>IF('8 Numaralar'!S30="","",'8 Numaralar'!S30)</f>
        <v/>
      </c>
      <c r="S528" t="str">
        <f>IF('8 Numaralar'!T30="","",'8 Numaralar'!T30)</f>
        <v/>
      </c>
      <c r="T528" s="2" t="str">
        <f>IF('8 Numaralar'!U30="","",'8 Numaralar'!U30)</f>
        <v/>
      </c>
      <c r="U528" t="s">
        <v>931</v>
      </c>
      <c r="V528">
        <v>30</v>
      </c>
      <c r="W528" t="str">
        <f ca="1">IF(AND($A528&lt;&gt;"",ISNUMBER($G528),$G528&gt;=TODAY(),$G528&lt;=EDATE(TODAY(),12)),COUNTIFS($G$2:$G$1001,"&gt;="&amp;TODAY(),$G$2:$G$1001,"&lt;"&amp;$G528,$A$2:$A$1001,"&lt;&gt;")+COUNTIFS($G$2:$G528,$G528,$A$2:$A528,"&lt;&gt;"),"")</f>
        <v/>
      </c>
      <c r="X528" t="str">
        <f>IF(AND($A528&lt;&gt;"",ISNUMBER($C528),$C528&gt;=DATE(2003,1,1)),COUNTIFS($C$2:$C528,"&gt;="&amp;DATE(2003,1,1),$A$2:$A528,"&lt;&gt;"),"")</f>
        <v/>
      </c>
    </row>
    <row r="529" spans="1:24">
      <c r="A529" t="str">
        <f>IF('8 Numaralar'!A31="","",'8 Numaralar'!A31)</f>
        <v>JOÃO CRUZ</v>
      </c>
      <c r="B529" t="str">
        <f>IF('8 Numaralar'!B31="","",'8 Numaralar'!B31)</f>
        <v>BREZİLYA</v>
      </c>
      <c r="C529" s="2">
        <f>IF('8 Numaralar'!C31="","",'8 Numaralar'!C31)</f>
        <v>38849</v>
      </c>
      <c r="D529">
        <f ca="1">IF('8 Numaralar'!D31="","",'8 Numaralar'!D31)</f>
        <v>20</v>
      </c>
      <c r="E529" t="str">
        <f>IF('8 Numaralar'!E31="","",'8 Numaralar'!E31)</f>
        <v>8 Numara</v>
      </c>
      <c r="F529" t="str">
        <f>IF('8 Numaralar'!G31="","",'8 Numaralar'!G31)</f>
        <v>ATHLETICO PARANAENSE</v>
      </c>
      <c r="G529" s="2">
        <f>IF('8 Numaralar'!H31="","",'8 Numaralar'!H31)</f>
        <v>46812</v>
      </c>
      <c r="H529" t="str">
        <f>IF('8 Numaralar'!I31="","",'8 Numaralar'!I31)</f>
        <v/>
      </c>
      <c r="I529">
        <f>IF('8 Numaralar'!A31="","",'8 Numaralar'!J31)</f>
        <v>0</v>
      </c>
      <c r="J529" t="str">
        <f>IF('8 Numaralar'!A31="","",'8 Numaralar'!K31)</f>
        <v>Transfermarkt Profili</v>
      </c>
      <c r="K529" t="str">
        <f>IF('8 Numaralar'!L31="","",'8 Numaralar'!L31)</f>
        <v/>
      </c>
      <c r="L529" t="str">
        <f>IF('8 Numaralar'!M31="","",'8 Numaralar'!M31)</f>
        <v/>
      </c>
      <c r="M529" t="str">
        <f>IF('8 Numaralar'!N31="","",'8 Numaralar'!N31)</f>
        <v/>
      </c>
      <c r="N529" t="str">
        <f>IF('8 Numaralar'!O31="","",'8 Numaralar'!O31)</f>
        <v/>
      </c>
      <c r="O529" t="str">
        <f>IF('8 Numaralar'!P31="","",'8 Numaralar'!P31)</f>
        <v/>
      </c>
      <c r="P529" t="str">
        <f>IF('8 Numaralar'!Q31="","",'8 Numaralar'!Q31)</f>
        <v/>
      </c>
      <c r="Q529" t="str">
        <f>IF('8 Numaralar'!R31="","",'8 Numaralar'!R31)</f>
        <v/>
      </c>
      <c r="R529" t="str">
        <f>IF('8 Numaralar'!S31="","",'8 Numaralar'!S31)</f>
        <v/>
      </c>
      <c r="S529" t="str">
        <f>IF('8 Numaralar'!T31="","",'8 Numaralar'!T31)</f>
        <v/>
      </c>
      <c r="T529" s="2" t="str">
        <f>IF('8 Numaralar'!U31="","",'8 Numaralar'!U31)</f>
        <v/>
      </c>
      <c r="U529" t="s">
        <v>931</v>
      </c>
      <c r="V529">
        <v>31</v>
      </c>
      <c r="W529" t="str">
        <f ca="1">IF(AND($A529&lt;&gt;"",ISNUMBER($G529),$G529&gt;=TODAY(),$G529&lt;=EDATE(TODAY(),12)),COUNTIFS($G$2:$G$1001,"&gt;="&amp;TODAY(),$G$2:$G$1001,"&lt;"&amp;$G529,$A$2:$A$1001,"&lt;&gt;")+COUNTIFS($G$2:$G529,$G529,$A$2:$A529,"&lt;&gt;"),"")</f>
        <v/>
      </c>
      <c r="X529">
        <f>IF(AND($A529&lt;&gt;"",ISNUMBER($C529),$C529&gt;=DATE(2003,1,1)),COUNTIFS($C$2:$C529,"&gt;="&amp;DATE(2003,1,1),$A$2:$A529,"&lt;&gt;"),"")</f>
        <v>21</v>
      </c>
    </row>
    <row r="530" spans="1:24">
      <c r="A530" t="str">
        <f>IF('8 Numaralar'!A32="","",'8 Numaralar'!A32)</f>
        <v>DAVY GUI</v>
      </c>
      <c r="B530" t="str">
        <f>IF('8 Numaralar'!B32="","",'8 Numaralar'!B32)</f>
        <v>FİLDİŞİ SAHİLİ / FRANSA</v>
      </c>
      <c r="C530" s="2">
        <f>IF('8 Numaralar'!C32="","",'8 Numaralar'!C32)</f>
        <v>38883</v>
      </c>
      <c r="D530">
        <f ca="1">IF('8 Numaralar'!D32="","",'8 Numaralar'!D32)</f>
        <v>20</v>
      </c>
      <c r="E530" t="str">
        <f>IF('8 Numaralar'!E32="","",'8 Numaralar'!E32)</f>
        <v>8 Numara</v>
      </c>
      <c r="F530" t="str">
        <f>IF('8 Numaralar'!G32="","",'8 Numaralar'!G32)</f>
        <v>FC ALVERCA</v>
      </c>
      <c r="G530" s="2">
        <f>IF('8 Numaralar'!H32="","",'8 Numaralar'!H32)</f>
        <v>46934</v>
      </c>
      <c r="H530" t="str">
        <f>IF('8 Numaralar'!I32="","",'8 Numaralar'!I32)</f>
        <v/>
      </c>
      <c r="I530">
        <f>IF('8 Numaralar'!A32="","",'8 Numaralar'!J32)</f>
        <v>0</v>
      </c>
      <c r="J530" t="str">
        <f>IF('8 Numaralar'!A32="","",'8 Numaralar'!K32)</f>
        <v>https://www.transfermarkt.com.tr/davy-gui/profil/spieler/1321322</v>
      </c>
      <c r="K530" t="str">
        <f>IF('8 Numaralar'!L32="","",'8 Numaralar'!L32)</f>
        <v/>
      </c>
      <c r="L530" t="str">
        <f>IF('8 Numaralar'!M32="","",'8 Numaralar'!M32)</f>
        <v/>
      </c>
      <c r="M530" t="str">
        <f>IF('8 Numaralar'!N32="","",'8 Numaralar'!N32)</f>
        <v/>
      </c>
      <c r="N530" t="str">
        <f>IF('8 Numaralar'!O32="","",'8 Numaralar'!O32)</f>
        <v/>
      </c>
      <c r="O530" t="str">
        <f>IF('8 Numaralar'!P32="","",'8 Numaralar'!P32)</f>
        <v/>
      </c>
      <c r="P530" t="str">
        <f>IF('8 Numaralar'!Q32="","",'8 Numaralar'!Q32)</f>
        <v/>
      </c>
      <c r="Q530" t="str">
        <f>IF('8 Numaralar'!R32="","",'8 Numaralar'!R32)</f>
        <v/>
      </c>
      <c r="R530" t="str">
        <f>IF('8 Numaralar'!S32="","",'8 Numaralar'!S32)</f>
        <v/>
      </c>
      <c r="S530" t="str">
        <f>IF('8 Numaralar'!T32="","",'8 Numaralar'!T32)</f>
        <v/>
      </c>
      <c r="T530" s="2" t="str">
        <f>IF('8 Numaralar'!U32="","",'8 Numaralar'!U32)</f>
        <v/>
      </c>
      <c r="U530" t="s">
        <v>931</v>
      </c>
      <c r="V530">
        <v>32</v>
      </c>
      <c r="W530" t="str">
        <f ca="1">IF(AND($A530&lt;&gt;"",ISNUMBER($G530),$G530&gt;=TODAY(),$G530&lt;=EDATE(TODAY(),12)),COUNTIFS($G$2:$G$1001,"&gt;="&amp;TODAY(),$G$2:$G$1001,"&lt;"&amp;$G530,$A$2:$A$1001,"&lt;&gt;")+COUNTIFS($G$2:$G530,$G530,$A$2:$A530,"&lt;&gt;"),"")</f>
        <v/>
      </c>
      <c r="X530">
        <f>IF(AND($A530&lt;&gt;"",ISNUMBER($C530),$C530&gt;=DATE(2003,1,1)),COUNTIFS($C$2:$C530,"&gt;="&amp;DATE(2003,1,1),$A$2:$A530,"&lt;&gt;"),"")</f>
        <v>22</v>
      </c>
    </row>
    <row r="531" spans="1:24">
      <c r="A531" t="str">
        <f>IF('8 Numaralar'!A33="","",'8 Numaralar'!A33)</f>
        <v>MATHIAS DELORGE</v>
      </c>
      <c r="B531" t="str">
        <f>IF('8 Numaralar'!B33="","",'8 Numaralar'!B33)</f>
        <v>BELÇİKA</v>
      </c>
      <c r="C531" s="2">
        <f>IF('8 Numaralar'!C33="","",'8 Numaralar'!C33)</f>
        <v>38199</v>
      </c>
      <c r="D531">
        <f ca="1">IF('8 Numaralar'!D33="","",'8 Numaralar'!D33)</f>
        <v>22</v>
      </c>
      <c r="E531" t="str">
        <f>IF('8 Numaralar'!E33="","",'8 Numaralar'!E33)</f>
        <v>8 Numara</v>
      </c>
      <c r="F531" t="str">
        <f>IF('8 Numaralar'!G33="","",'8 Numaralar'!G33)</f>
        <v>KAA GENT</v>
      </c>
      <c r="G531" s="2">
        <f>IF('8 Numaralar'!H33="","",'8 Numaralar'!H33)</f>
        <v>46934</v>
      </c>
      <c r="H531" t="str">
        <f>IF('8 Numaralar'!I33="","",'8 Numaralar'!I33)</f>
        <v/>
      </c>
      <c r="I531">
        <f>IF('8 Numaralar'!A33="","",'8 Numaralar'!J33)</f>
        <v>0</v>
      </c>
      <c r="J531" t="str">
        <f>IF('8 Numaralar'!A33="","",'8 Numaralar'!K33)</f>
        <v>https://www.transfermarkt.de/mathias-delorge/profil/spieler/723487</v>
      </c>
      <c r="K531" t="str">
        <f>IF('8 Numaralar'!L33="","",'8 Numaralar'!L33)</f>
        <v/>
      </c>
      <c r="L531" t="str">
        <f>IF('8 Numaralar'!M33="","",'8 Numaralar'!M33)</f>
        <v/>
      </c>
      <c r="M531" t="str">
        <f>IF('8 Numaralar'!N33="","",'8 Numaralar'!N33)</f>
        <v/>
      </c>
      <c r="N531" t="str">
        <f>IF('8 Numaralar'!O33="","",'8 Numaralar'!O33)</f>
        <v/>
      </c>
      <c r="O531" t="str">
        <f>IF('8 Numaralar'!P33="","",'8 Numaralar'!P33)</f>
        <v/>
      </c>
      <c r="P531" t="str">
        <f>IF('8 Numaralar'!Q33="","",'8 Numaralar'!Q33)</f>
        <v/>
      </c>
      <c r="Q531" t="str">
        <f>IF('8 Numaralar'!R33="","",'8 Numaralar'!R33)</f>
        <v/>
      </c>
      <c r="R531" t="str">
        <f>IF('8 Numaralar'!S33="","",'8 Numaralar'!S33)</f>
        <v/>
      </c>
      <c r="S531" t="str">
        <f>IF('8 Numaralar'!T33="","",'8 Numaralar'!T33)</f>
        <v/>
      </c>
      <c r="T531" s="2" t="str">
        <f>IF('8 Numaralar'!U33="","",'8 Numaralar'!U33)</f>
        <v/>
      </c>
      <c r="U531" t="s">
        <v>931</v>
      </c>
      <c r="V531">
        <v>33</v>
      </c>
      <c r="W531" t="str">
        <f ca="1">IF(AND($A531&lt;&gt;"",ISNUMBER($G531),$G531&gt;=TODAY(),$G531&lt;=EDATE(TODAY(),12)),COUNTIFS($G$2:$G$1001,"&gt;="&amp;TODAY(),$G$2:$G$1001,"&lt;"&amp;$G531,$A$2:$A$1001,"&lt;&gt;")+COUNTIFS($G$2:$G531,$G531,$A$2:$A531,"&lt;&gt;"),"")</f>
        <v/>
      </c>
      <c r="X531">
        <f>IF(AND($A531&lt;&gt;"",ISNUMBER($C531),$C531&gt;=DATE(2003,1,1)),COUNTIFS($C$2:$C531,"&gt;="&amp;DATE(2003,1,1),$A$2:$A531,"&lt;&gt;"),"")</f>
        <v>23</v>
      </c>
    </row>
    <row r="532" spans="1:24">
      <c r="A532" t="str">
        <f>IF('8 Numaralar'!A34="","",'8 Numaralar'!A34)</f>
        <v>KOBA KOINDREDI</v>
      </c>
      <c r="B532" t="str">
        <f>IF('8 Numaralar'!B34="","",'8 Numaralar'!B34)</f>
        <v>FRANSA</v>
      </c>
      <c r="C532" s="2">
        <f>IF('8 Numaralar'!C34="","",'8 Numaralar'!C34)</f>
        <v>37191</v>
      </c>
      <c r="D532">
        <f ca="1">IF('8 Numaralar'!D34="","",'8 Numaralar'!D34)</f>
        <v>24</v>
      </c>
      <c r="E532" t="str">
        <f>IF('8 Numaralar'!E34="","",'8 Numaralar'!E34)</f>
        <v>8 Numara</v>
      </c>
      <c r="F532" t="str">
        <f>IF('8 Numaralar'!G34="","",'8 Numaralar'!G34)</f>
        <v>SPORTING CP</v>
      </c>
      <c r="G532" s="2">
        <f>IF('8 Numaralar'!H34="","",'8 Numaralar'!H34)</f>
        <v>46934</v>
      </c>
      <c r="H532" t="str">
        <f>IF('8 Numaralar'!I34="","",'8 Numaralar'!I34)</f>
        <v/>
      </c>
      <c r="I532">
        <f>IF('8 Numaralar'!A34="","",'8 Numaralar'!J34)</f>
        <v>0</v>
      </c>
      <c r="J532" t="str">
        <f>IF('8 Numaralar'!A34="","",'8 Numaralar'!K34)</f>
        <v>https://www.transfermarkt.co.uk/koba-koindredi/profil/spieler/569375</v>
      </c>
      <c r="K532" t="str">
        <f>IF('8 Numaralar'!L34="","",'8 Numaralar'!L34)</f>
        <v/>
      </c>
      <c r="L532" t="str">
        <f>IF('8 Numaralar'!M34="","",'8 Numaralar'!M34)</f>
        <v/>
      </c>
      <c r="M532" t="str">
        <f>IF('8 Numaralar'!N34="","",'8 Numaralar'!N34)</f>
        <v/>
      </c>
      <c r="N532" t="str">
        <f>IF('8 Numaralar'!O34="","",'8 Numaralar'!O34)</f>
        <v/>
      </c>
      <c r="O532" t="str">
        <f>IF('8 Numaralar'!P34="","",'8 Numaralar'!P34)</f>
        <v/>
      </c>
      <c r="P532" t="str">
        <f>IF('8 Numaralar'!Q34="","",'8 Numaralar'!Q34)</f>
        <v/>
      </c>
      <c r="Q532" t="str">
        <f>IF('8 Numaralar'!R34="","",'8 Numaralar'!R34)</f>
        <v/>
      </c>
      <c r="R532" t="str">
        <f>IF('8 Numaralar'!S34="","",'8 Numaralar'!S34)</f>
        <v/>
      </c>
      <c r="S532" t="str">
        <f>IF('8 Numaralar'!T34="","",'8 Numaralar'!T34)</f>
        <v/>
      </c>
      <c r="T532" s="2" t="str">
        <f>IF('8 Numaralar'!U34="","",'8 Numaralar'!U34)</f>
        <v/>
      </c>
      <c r="U532" t="s">
        <v>931</v>
      </c>
      <c r="V532">
        <v>34</v>
      </c>
      <c r="W532" t="str">
        <f ca="1">IF(AND($A532&lt;&gt;"",ISNUMBER($G532),$G532&gt;=TODAY(),$G532&lt;=EDATE(TODAY(),12)),COUNTIFS($G$2:$G$1001,"&gt;="&amp;TODAY(),$G$2:$G$1001,"&lt;"&amp;$G532,$A$2:$A$1001,"&lt;&gt;")+COUNTIFS($G$2:$G532,$G532,$A$2:$A532,"&lt;&gt;"),"")</f>
        <v/>
      </c>
      <c r="X532" t="str">
        <f>IF(AND($A532&lt;&gt;"",ISNUMBER($C532),$C532&gt;=DATE(2003,1,1)),COUNTIFS($C$2:$C532,"&gt;="&amp;DATE(2003,1,1),$A$2:$A532,"&lt;&gt;"),"")</f>
        <v/>
      </c>
    </row>
    <row r="533" spans="1:24">
      <c r="A533" t="str">
        <f>IF('8 Numaralar'!A35="","",'8 Numaralar'!A35)</f>
        <v>MAHAMADOU DIAWARA</v>
      </c>
      <c r="B533" t="str">
        <f>IF('8 Numaralar'!B35="","",'8 Numaralar'!B35)</f>
        <v>FRANSA / MALİ</v>
      </c>
      <c r="C533" s="2">
        <f>IF('8 Numaralar'!C35="","",'8 Numaralar'!C35)</f>
        <v>38400</v>
      </c>
      <c r="D533">
        <f ca="1">IF('8 Numaralar'!D35="","",'8 Numaralar'!D35)</f>
        <v>21</v>
      </c>
      <c r="E533" t="str">
        <f>IF('8 Numaralar'!E35="","",'8 Numaralar'!E35)</f>
        <v>8 Numara</v>
      </c>
      <c r="F533" t="str">
        <f>IF('8 Numaralar'!G35="","",'8 Numaralar'!G35)</f>
        <v>OLYMPIQUE LYON</v>
      </c>
      <c r="G533" s="2">
        <f>IF('8 Numaralar'!H35="","",'8 Numaralar'!H35)</f>
        <v>46934</v>
      </c>
      <c r="H533" t="str">
        <f>IF('8 Numaralar'!I35="","",'8 Numaralar'!I35)</f>
        <v/>
      </c>
      <c r="I533">
        <f>IF('8 Numaralar'!A35="","",'8 Numaralar'!J35)</f>
        <v>0</v>
      </c>
      <c r="J533" t="str">
        <f>IF('8 Numaralar'!A35="","",'8 Numaralar'!K35)</f>
        <v>https://www.transfermarkt.com.tr/mahamadou-diawara/profil/spieler/1053147</v>
      </c>
      <c r="K533" t="str">
        <f>IF('8 Numaralar'!L35="","",'8 Numaralar'!L35)</f>
        <v/>
      </c>
      <c r="L533" t="str">
        <f>IF('8 Numaralar'!M35="","",'8 Numaralar'!M35)</f>
        <v/>
      </c>
      <c r="M533" t="str">
        <f>IF('8 Numaralar'!N35="","",'8 Numaralar'!N35)</f>
        <v/>
      </c>
      <c r="N533" t="str">
        <f>IF('8 Numaralar'!O35="","",'8 Numaralar'!O35)</f>
        <v/>
      </c>
      <c r="O533" t="str">
        <f>IF('8 Numaralar'!P35="","",'8 Numaralar'!P35)</f>
        <v/>
      </c>
      <c r="P533" t="str">
        <f>IF('8 Numaralar'!Q35="","",'8 Numaralar'!Q35)</f>
        <v/>
      </c>
      <c r="Q533" t="str">
        <f>IF('8 Numaralar'!R35="","",'8 Numaralar'!R35)</f>
        <v/>
      </c>
      <c r="R533" t="str">
        <f>IF('8 Numaralar'!S35="","",'8 Numaralar'!S35)</f>
        <v/>
      </c>
      <c r="S533" t="str">
        <f>IF('8 Numaralar'!T35="","",'8 Numaralar'!T35)</f>
        <v/>
      </c>
      <c r="T533" s="2" t="str">
        <f>IF('8 Numaralar'!U35="","",'8 Numaralar'!U35)</f>
        <v/>
      </c>
      <c r="U533" t="s">
        <v>931</v>
      </c>
      <c r="V533">
        <v>35</v>
      </c>
      <c r="W533" t="str">
        <f ca="1">IF(AND($A533&lt;&gt;"",ISNUMBER($G533),$G533&gt;=TODAY(),$G533&lt;=EDATE(TODAY(),12)),COUNTIFS($G$2:$G$1001,"&gt;="&amp;TODAY(),$G$2:$G$1001,"&lt;"&amp;$G533,$A$2:$A$1001,"&lt;&gt;")+COUNTIFS($G$2:$G533,$G533,$A$2:$A533,"&lt;&gt;"),"")</f>
        <v/>
      </c>
      <c r="X533">
        <f>IF(AND($A533&lt;&gt;"",ISNUMBER($C533),$C533&gt;=DATE(2003,1,1)),COUNTIFS($C$2:$C533,"&gt;="&amp;DATE(2003,1,1),$A$2:$A533,"&lt;&gt;"),"")</f>
        <v>24</v>
      </c>
    </row>
    <row r="534" spans="1:24">
      <c r="A534" t="str">
        <f>IF('8 Numaralar'!A36="","",'8 Numaralar'!A36)</f>
        <v>DU QUEIROZ</v>
      </c>
      <c r="B534" t="str">
        <f>IF('8 Numaralar'!B36="","",'8 Numaralar'!B36)</f>
        <v>BREZİLYA</v>
      </c>
      <c r="C534" s="2">
        <f>IF('8 Numaralar'!C36="","",'8 Numaralar'!C36)</f>
        <v>36532</v>
      </c>
      <c r="D534">
        <f ca="1">IF('8 Numaralar'!D36="","",'8 Numaralar'!D36)</f>
        <v>26</v>
      </c>
      <c r="E534" t="str">
        <f>IF('8 Numaralar'!E36="","",'8 Numaralar'!E36)</f>
        <v>8 Numara</v>
      </c>
      <c r="F534" t="str">
        <f>IF('8 Numaralar'!G36="","",'8 Numaralar'!G36)</f>
        <v>ZENIT ST. PETERSBURG</v>
      </c>
      <c r="G534" s="2">
        <f>IF('8 Numaralar'!H36="","",'8 Numaralar'!H36)</f>
        <v>46934</v>
      </c>
      <c r="H534" t="str">
        <f>IF('8 Numaralar'!I36="","",'8 Numaralar'!I36)</f>
        <v/>
      </c>
      <c r="I534">
        <f>IF('8 Numaralar'!A36="","",'8 Numaralar'!J36)</f>
        <v>0</v>
      </c>
      <c r="J534" t="str">
        <f>IF('8 Numaralar'!A36="","",'8 Numaralar'!K36)</f>
        <v>https://www.transfermarkt.com/du-queiroz/profil/spieler/906774</v>
      </c>
      <c r="K534" t="str">
        <f>IF('8 Numaralar'!L36="","",'8 Numaralar'!L36)</f>
        <v/>
      </c>
      <c r="L534" t="str">
        <f>IF('8 Numaralar'!M36="","",'8 Numaralar'!M36)</f>
        <v/>
      </c>
      <c r="M534" t="str">
        <f>IF('8 Numaralar'!N36="","",'8 Numaralar'!N36)</f>
        <v/>
      </c>
      <c r="N534" t="str">
        <f>IF('8 Numaralar'!O36="","",'8 Numaralar'!O36)</f>
        <v/>
      </c>
      <c r="O534" t="str">
        <f>IF('8 Numaralar'!P36="","",'8 Numaralar'!P36)</f>
        <v/>
      </c>
      <c r="P534" t="str">
        <f>IF('8 Numaralar'!Q36="","",'8 Numaralar'!Q36)</f>
        <v/>
      </c>
      <c r="Q534" t="str">
        <f>IF('8 Numaralar'!R36="","",'8 Numaralar'!R36)</f>
        <v/>
      </c>
      <c r="R534" t="str">
        <f>IF('8 Numaralar'!S36="","",'8 Numaralar'!S36)</f>
        <v/>
      </c>
      <c r="S534" t="str">
        <f>IF('8 Numaralar'!T36="","",'8 Numaralar'!T36)</f>
        <v/>
      </c>
      <c r="T534" s="2" t="str">
        <f>IF('8 Numaralar'!U36="","",'8 Numaralar'!U36)</f>
        <v/>
      </c>
      <c r="U534" t="s">
        <v>931</v>
      </c>
      <c r="V534">
        <v>36</v>
      </c>
      <c r="W534" t="str">
        <f ca="1">IF(AND($A534&lt;&gt;"",ISNUMBER($G534),$G534&gt;=TODAY(),$G534&lt;=EDATE(TODAY(),12)),COUNTIFS($G$2:$G$1001,"&gt;="&amp;TODAY(),$G$2:$G$1001,"&lt;"&amp;$G534,$A$2:$A$1001,"&lt;&gt;")+COUNTIFS($G$2:$G534,$G534,$A$2:$A534,"&lt;&gt;"),"")</f>
        <v/>
      </c>
      <c r="X534" t="str">
        <f>IF(AND($A534&lt;&gt;"",ISNUMBER($C534),$C534&gt;=DATE(2003,1,1)),COUNTIFS($C$2:$C534,"&gt;="&amp;DATE(2003,1,1),$A$2:$A534,"&lt;&gt;"),"")</f>
        <v/>
      </c>
    </row>
    <row r="535" spans="1:24">
      <c r="A535" t="str">
        <f>IF('8 Numaralar'!A37="","",'8 Numaralar'!A37)</f>
        <v>JOSH BROWNHILL</v>
      </c>
      <c r="B535" t="str">
        <f>IF('8 Numaralar'!B37="","",'8 Numaralar'!B37)</f>
        <v>İNGİLTERE</v>
      </c>
      <c r="C535" s="2">
        <f>IF('8 Numaralar'!C37="","",'8 Numaralar'!C37)</f>
        <v>35052</v>
      </c>
      <c r="D535">
        <f ca="1">IF('8 Numaralar'!D37="","",'8 Numaralar'!D37)</f>
        <v>30</v>
      </c>
      <c r="E535" t="str">
        <f>IF('8 Numaralar'!E37="","",'8 Numaralar'!E37)</f>
        <v>8 Numara</v>
      </c>
      <c r="F535" t="str">
        <f>IF('8 Numaralar'!G37="","",'8 Numaralar'!G37)</f>
        <v>AL-SHABAB FC</v>
      </c>
      <c r="G535" s="2">
        <f>IF('8 Numaralar'!H37="","",'8 Numaralar'!H37)</f>
        <v>46568</v>
      </c>
      <c r="H535" t="str">
        <f>IF('8 Numaralar'!I37="","",'8 Numaralar'!I37)</f>
        <v/>
      </c>
      <c r="I535">
        <f>IF('8 Numaralar'!A37="","",'8 Numaralar'!J37)</f>
        <v>0</v>
      </c>
      <c r="J535" t="str">
        <f>IF('8 Numaralar'!A37="","",'8 Numaralar'!K37)</f>
        <v>https://www.transfermarkt.com.tr/josh-brownhill/profil/spieler/293569</v>
      </c>
      <c r="K535" t="str">
        <f>IF('8 Numaralar'!L37="","",'8 Numaralar'!L37)</f>
        <v/>
      </c>
      <c r="L535" t="str">
        <f>IF('8 Numaralar'!M37="","",'8 Numaralar'!M37)</f>
        <v/>
      </c>
      <c r="M535" t="str">
        <f>IF('8 Numaralar'!N37="","",'8 Numaralar'!N37)</f>
        <v/>
      </c>
      <c r="N535" t="str">
        <f>IF('8 Numaralar'!O37="","",'8 Numaralar'!O37)</f>
        <v/>
      </c>
      <c r="O535" t="str">
        <f>IF('8 Numaralar'!P37="","",'8 Numaralar'!P37)</f>
        <v/>
      </c>
      <c r="P535" t="str">
        <f>IF('8 Numaralar'!Q37="","",'8 Numaralar'!Q37)</f>
        <v/>
      </c>
      <c r="Q535" t="str">
        <f>IF('8 Numaralar'!R37="","",'8 Numaralar'!R37)</f>
        <v/>
      </c>
      <c r="R535" t="str">
        <f>IF('8 Numaralar'!S37="","",'8 Numaralar'!S37)</f>
        <v/>
      </c>
      <c r="S535" t="str">
        <f>IF('8 Numaralar'!T37="","",'8 Numaralar'!T37)</f>
        <v/>
      </c>
      <c r="T535" s="2" t="str">
        <f>IF('8 Numaralar'!U37="","",'8 Numaralar'!U37)</f>
        <v/>
      </c>
      <c r="U535" t="s">
        <v>931</v>
      </c>
      <c r="V535">
        <v>37</v>
      </c>
      <c r="W535">
        <f ca="1">IF(AND($A535&lt;&gt;"",ISNUMBER($G535),$G535&gt;=TODAY(),$G535&lt;=EDATE(TODAY(),12)),COUNTIFS($G$2:$G$1001,"&gt;="&amp;TODAY(),$G$2:$G$1001,"&lt;"&amp;$G535,$A$2:$A$1001,"&lt;&gt;")+COUNTIFS($G$2:$G535,$G535,$A$2:$A535,"&lt;&gt;"),"")</f>
        <v>36</v>
      </c>
      <c r="X535" t="str">
        <f>IF(AND($A535&lt;&gt;"",ISNUMBER($C535),$C535&gt;=DATE(2003,1,1)),COUNTIFS($C$2:$C535,"&gt;="&amp;DATE(2003,1,1),$A$2:$A535,"&lt;&gt;"),"")</f>
        <v/>
      </c>
    </row>
    <row r="536" spans="1:24">
      <c r="A536" t="str">
        <f>IF('8 Numaralar'!A38="","",'8 Numaralar'!A38)</f>
        <v>EMRE AYTUN</v>
      </c>
      <c r="B536" t="str">
        <f>IF('8 Numaralar'!B38="","",'8 Numaralar'!B38)</f>
        <v>TÜRKİYE</v>
      </c>
      <c r="C536" s="2" t="str">
        <f>IF('8 Numaralar'!C38="","",'8 Numaralar'!C38)</f>
        <v/>
      </c>
      <c r="D536" t="str">
        <f ca="1">IF('8 Numaralar'!D38="","",'8 Numaralar'!D38)</f>
        <v/>
      </c>
      <c r="E536" t="str">
        <f>IF('8 Numaralar'!E38="","",'8 Numaralar'!E38)</f>
        <v>8 Numara</v>
      </c>
      <c r="F536" t="str">
        <f>IF('8 Numaralar'!G38="","",'8 Numaralar'!G38)</f>
        <v/>
      </c>
      <c r="G536" s="2" t="str">
        <f>IF('8 Numaralar'!H38="","",'8 Numaralar'!H38)</f>
        <v>-</v>
      </c>
      <c r="H536" t="str">
        <f>IF('8 Numaralar'!I38="","",'8 Numaralar'!I38)</f>
        <v/>
      </c>
      <c r="I536">
        <f>IF('8 Numaralar'!A38="","",'8 Numaralar'!J38)</f>
        <v>0</v>
      </c>
      <c r="J536" t="str">
        <f>IF('8 Numaralar'!A38="","",'8 Numaralar'!K38)</f>
        <v>https://www.transfermarkt.com/emre-aytun/profil/spieler/459686</v>
      </c>
      <c r="K536" t="str">
        <f>IF('8 Numaralar'!L38="","",'8 Numaralar'!L38)</f>
        <v/>
      </c>
      <c r="L536" t="str">
        <f>IF('8 Numaralar'!M38="","",'8 Numaralar'!M38)</f>
        <v/>
      </c>
      <c r="M536" t="str">
        <f>IF('8 Numaralar'!N38="","",'8 Numaralar'!N38)</f>
        <v/>
      </c>
      <c r="N536" t="str">
        <f>IF('8 Numaralar'!O38="","",'8 Numaralar'!O38)</f>
        <v/>
      </c>
      <c r="O536" t="str">
        <f>IF('8 Numaralar'!P38="","",'8 Numaralar'!P38)</f>
        <v/>
      </c>
      <c r="P536" t="str">
        <f>IF('8 Numaralar'!Q38="","",'8 Numaralar'!Q38)</f>
        <v/>
      </c>
      <c r="Q536" t="str">
        <f>IF('8 Numaralar'!R38="","",'8 Numaralar'!R38)</f>
        <v/>
      </c>
      <c r="R536" t="str">
        <f>IF('8 Numaralar'!S38="","",'8 Numaralar'!S38)</f>
        <v/>
      </c>
      <c r="S536" t="str">
        <f>IF('8 Numaralar'!T38="","",'8 Numaralar'!T38)</f>
        <v/>
      </c>
      <c r="T536" s="2" t="str">
        <f>IF('8 Numaralar'!U38="","",'8 Numaralar'!U38)</f>
        <v/>
      </c>
      <c r="U536" t="s">
        <v>931</v>
      </c>
      <c r="V536">
        <v>38</v>
      </c>
      <c r="W536" t="str">
        <f ca="1">IF(AND($A536&lt;&gt;"",ISNUMBER($G536),$G536&gt;=TODAY(),$G536&lt;=EDATE(TODAY(),12)),COUNTIFS($G$2:$G$1001,"&gt;="&amp;TODAY(),$G$2:$G$1001,"&lt;"&amp;$G536,$A$2:$A$1001,"&lt;&gt;")+COUNTIFS($G$2:$G536,$G536,$A$2:$A536,"&lt;&gt;"),"")</f>
        <v/>
      </c>
      <c r="X536" t="str">
        <f>IF(AND($A536&lt;&gt;"",ISNUMBER($C536),$C536&gt;=DATE(2003,1,1)),COUNTIFS($C$2:$C536,"&gt;="&amp;DATE(2003,1,1),$A$2:$A536,"&lt;&gt;"),"")</f>
        <v/>
      </c>
    </row>
    <row r="537" spans="1:24">
      <c r="A537" t="str">
        <f>IF('8 Numaralar'!A39="","",'8 Numaralar'!A39)</f>
        <v/>
      </c>
      <c r="B537" t="str">
        <f>IF('8 Numaralar'!B39="","",'8 Numaralar'!B39)</f>
        <v/>
      </c>
      <c r="C537" s="2" t="str">
        <f>IF('8 Numaralar'!C39="","",'8 Numaralar'!C39)</f>
        <v/>
      </c>
      <c r="D537" t="str">
        <f ca="1">IF('8 Numaralar'!D39="","",'8 Numaralar'!D39)</f>
        <v/>
      </c>
      <c r="E537" t="str">
        <f>IF('8 Numaralar'!E39="","",'8 Numaralar'!E39)</f>
        <v>8 Numara</v>
      </c>
      <c r="F537" t="str">
        <f>IF('8 Numaralar'!G39="","",'8 Numaralar'!G39)</f>
        <v/>
      </c>
      <c r="G537" s="2" t="str">
        <f>IF('8 Numaralar'!H39="","",'8 Numaralar'!H39)</f>
        <v/>
      </c>
      <c r="H537" t="str">
        <f>IF('8 Numaralar'!I39="","",'8 Numaralar'!I39)</f>
        <v/>
      </c>
      <c r="I537" t="str">
        <f>IF('8 Numaralar'!A39="","",'8 Numaralar'!J39)</f>
        <v/>
      </c>
      <c r="J537" t="str">
        <f>IF('8 Numaralar'!A39="","",'8 Numaralar'!K39)</f>
        <v/>
      </c>
      <c r="K537" t="str">
        <f>IF('8 Numaralar'!L39="","",'8 Numaralar'!L39)</f>
        <v/>
      </c>
      <c r="L537" t="str">
        <f>IF('8 Numaralar'!M39="","",'8 Numaralar'!M39)</f>
        <v/>
      </c>
      <c r="M537" t="str">
        <f>IF('8 Numaralar'!N39="","",'8 Numaralar'!N39)</f>
        <v/>
      </c>
      <c r="N537" t="str">
        <f>IF('8 Numaralar'!O39="","",'8 Numaralar'!O39)</f>
        <v/>
      </c>
      <c r="O537" t="str">
        <f>IF('8 Numaralar'!P39="","",'8 Numaralar'!P39)</f>
        <v/>
      </c>
      <c r="P537" t="str">
        <f>IF('8 Numaralar'!Q39="","",'8 Numaralar'!Q39)</f>
        <v/>
      </c>
      <c r="Q537" t="str">
        <f>IF('8 Numaralar'!R39="","",'8 Numaralar'!R39)</f>
        <v/>
      </c>
      <c r="R537" t="str">
        <f>IF('8 Numaralar'!S39="","",'8 Numaralar'!S39)</f>
        <v/>
      </c>
      <c r="S537" t="str">
        <f>IF('8 Numaralar'!T39="","",'8 Numaralar'!T39)</f>
        <v/>
      </c>
      <c r="T537" s="2" t="str">
        <f>IF('8 Numaralar'!U39="","",'8 Numaralar'!U39)</f>
        <v/>
      </c>
      <c r="U537" t="s">
        <v>931</v>
      </c>
      <c r="V537">
        <v>39</v>
      </c>
      <c r="W537" t="str">
        <f ca="1">IF(AND($A537&lt;&gt;"",ISNUMBER($G537),$G537&gt;=TODAY(),$G537&lt;=EDATE(TODAY(),12)),COUNTIFS($G$2:$G$1001,"&gt;="&amp;TODAY(),$G$2:$G$1001,"&lt;"&amp;$G537,$A$2:$A$1001,"&lt;&gt;")+COUNTIFS($G$2:$G537,$G537,$A$2:$A537,"&lt;&gt;"),"")</f>
        <v/>
      </c>
      <c r="X537" t="str">
        <f>IF(AND($A537&lt;&gt;"",ISNUMBER($C537),$C537&gt;=DATE(2003,1,1)),COUNTIFS($C$2:$C537,"&gt;="&amp;DATE(2003,1,1),$A$2:$A537,"&lt;&gt;"),"")</f>
        <v/>
      </c>
    </row>
    <row r="538" spans="1:24">
      <c r="A538" t="str">
        <f>IF('8 Numaralar'!A40="","",'8 Numaralar'!A40)</f>
        <v/>
      </c>
      <c r="B538" t="str">
        <f>IF('8 Numaralar'!B40="","",'8 Numaralar'!B40)</f>
        <v/>
      </c>
      <c r="C538" s="2" t="str">
        <f>IF('8 Numaralar'!C40="","",'8 Numaralar'!C40)</f>
        <v/>
      </c>
      <c r="D538" t="str">
        <f ca="1">IF('8 Numaralar'!D40="","",'8 Numaralar'!D40)</f>
        <v/>
      </c>
      <c r="E538" t="str">
        <f>IF('8 Numaralar'!E40="","",'8 Numaralar'!E40)</f>
        <v>8 Numara</v>
      </c>
      <c r="F538" t="str">
        <f>IF('8 Numaralar'!G40="","",'8 Numaralar'!G40)</f>
        <v/>
      </c>
      <c r="G538" s="2" t="str">
        <f>IF('8 Numaralar'!H40="","",'8 Numaralar'!H40)</f>
        <v/>
      </c>
      <c r="H538" t="str">
        <f>IF('8 Numaralar'!I40="","",'8 Numaralar'!I40)</f>
        <v/>
      </c>
      <c r="I538" t="str">
        <f>IF('8 Numaralar'!A40="","",'8 Numaralar'!J40)</f>
        <v/>
      </c>
      <c r="J538" t="str">
        <f>IF('8 Numaralar'!A40="","",'8 Numaralar'!K40)</f>
        <v/>
      </c>
      <c r="K538" t="str">
        <f>IF('8 Numaralar'!L40="","",'8 Numaralar'!L40)</f>
        <v/>
      </c>
      <c r="L538" t="str">
        <f>IF('8 Numaralar'!M40="","",'8 Numaralar'!M40)</f>
        <v/>
      </c>
      <c r="M538" t="str">
        <f>IF('8 Numaralar'!N40="","",'8 Numaralar'!N40)</f>
        <v/>
      </c>
      <c r="N538" t="str">
        <f>IF('8 Numaralar'!O40="","",'8 Numaralar'!O40)</f>
        <v/>
      </c>
      <c r="O538" t="str">
        <f>IF('8 Numaralar'!P40="","",'8 Numaralar'!P40)</f>
        <v/>
      </c>
      <c r="P538" t="str">
        <f>IF('8 Numaralar'!Q40="","",'8 Numaralar'!Q40)</f>
        <v/>
      </c>
      <c r="Q538" t="str">
        <f>IF('8 Numaralar'!R40="","",'8 Numaralar'!R40)</f>
        <v/>
      </c>
      <c r="R538" t="str">
        <f>IF('8 Numaralar'!S40="","",'8 Numaralar'!S40)</f>
        <v/>
      </c>
      <c r="S538" t="str">
        <f>IF('8 Numaralar'!T40="","",'8 Numaralar'!T40)</f>
        <v/>
      </c>
      <c r="T538" s="2" t="str">
        <f>IF('8 Numaralar'!U40="","",'8 Numaralar'!U40)</f>
        <v/>
      </c>
      <c r="U538" t="s">
        <v>931</v>
      </c>
      <c r="V538">
        <v>40</v>
      </c>
      <c r="W538" t="str">
        <f ca="1">IF(AND($A538&lt;&gt;"",ISNUMBER($G538),$G538&gt;=TODAY(),$G538&lt;=EDATE(TODAY(),12)),COUNTIFS($G$2:$G$1001,"&gt;="&amp;TODAY(),$G$2:$G$1001,"&lt;"&amp;$G538,$A$2:$A$1001,"&lt;&gt;")+COUNTIFS($G$2:$G538,$G538,$A$2:$A538,"&lt;&gt;"),"")</f>
        <v/>
      </c>
      <c r="X538" t="str">
        <f>IF(AND($A538&lt;&gt;"",ISNUMBER($C538),$C538&gt;=DATE(2003,1,1)),COUNTIFS($C$2:$C538,"&gt;="&amp;DATE(2003,1,1),$A$2:$A538,"&lt;&gt;"),"")</f>
        <v/>
      </c>
    </row>
    <row r="539" spans="1:24">
      <c r="A539" t="str">
        <f>IF('8 Numaralar'!A41="","",'8 Numaralar'!A41)</f>
        <v/>
      </c>
      <c r="B539" t="str">
        <f>IF('8 Numaralar'!B41="","",'8 Numaralar'!B41)</f>
        <v/>
      </c>
      <c r="C539" s="2" t="str">
        <f>IF('8 Numaralar'!C41="","",'8 Numaralar'!C41)</f>
        <v/>
      </c>
      <c r="D539" t="str">
        <f ca="1">IF('8 Numaralar'!D41="","",'8 Numaralar'!D41)</f>
        <v/>
      </c>
      <c r="E539" t="str">
        <f>IF('8 Numaralar'!E41="","",'8 Numaralar'!E41)</f>
        <v>8 Numara</v>
      </c>
      <c r="F539" t="str">
        <f>IF('8 Numaralar'!G41="","",'8 Numaralar'!G41)</f>
        <v/>
      </c>
      <c r="G539" s="2" t="str">
        <f>IF('8 Numaralar'!H41="","",'8 Numaralar'!H41)</f>
        <v/>
      </c>
      <c r="H539" t="str">
        <f>IF('8 Numaralar'!I41="","",'8 Numaralar'!I41)</f>
        <v/>
      </c>
      <c r="I539" t="str">
        <f>IF('8 Numaralar'!A41="","",'8 Numaralar'!J41)</f>
        <v/>
      </c>
      <c r="J539" t="str">
        <f>IF('8 Numaralar'!A41="","",'8 Numaralar'!K41)</f>
        <v/>
      </c>
      <c r="K539" t="str">
        <f>IF('8 Numaralar'!L41="","",'8 Numaralar'!L41)</f>
        <v/>
      </c>
      <c r="L539" t="str">
        <f>IF('8 Numaralar'!M41="","",'8 Numaralar'!M41)</f>
        <v/>
      </c>
      <c r="M539" t="str">
        <f>IF('8 Numaralar'!N41="","",'8 Numaralar'!N41)</f>
        <v/>
      </c>
      <c r="N539" t="str">
        <f>IF('8 Numaralar'!O41="","",'8 Numaralar'!O41)</f>
        <v/>
      </c>
      <c r="O539" t="str">
        <f>IF('8 Numaralar'!P41="","",'8 Numaralar'!P41)</f>
        <v/>
      </c>
      <c r="P539" t="str">
        <f>IF('8 Numaralar'!Q41="","",'8 Numaralar'!Q41)</f>
        <v/>
      </c>
      <c r="Q539" t="str">
        <f>IF('8 Numaralar'!R41="","",'8 Numaralar'!R41)</f>
        <v/>
      </c>
      <c r="R539" t="str">
        <f>IF('8 Numaralar'!S41="","",'8 Numaralar'!S41)</f>
        <v/>
      </c>
      <c r="S539" t="str">
        <f>IF('8 Numaralar'!T41="","",'8 Numaralar'!T41)</f>
        <v/>
      </c>
      <c r="T539" s="2" t="str">
        <f>IF('8 Numaralar'!U41="","",'8 Numaralar'!U41)</f>
        <v/>
      </c>
      <c r="U539" t="s">
        <v>931</v>
      </c>
      <c r="V539">
        <v>41</v>
      </c>
      <c r="W539" t="str">
        <f ca="1">IF(AND($A539&lt;&gt;"",ISNUMBER($G539),$G539&gt;=TODAY(),$G539&lt;=EDATE(TODAY(),12)),COUNTIFS($G$2:$G$1001,"&gt;="&amp;TODAY(),$G$2:$G$1001,"&lt;"&amp;$G539,$A$2:$A$1001,"&lt;&gt;")+COUNTIFS($G$2:$G539,$G539,$A$2:$A539,"&lt;&gt;"),"")</f>
        <v/>
      </c>
      <c r="X539" t="str">
        <f>IF(AND($A539&lt;&gt;"",ISNUMBER($C539),$C539&gt;=DATE(2003,1,1)),COUNTIFS($C$2:$C539,"&gt;="&amp;DATE(2003,1,1),$A$2:$A539,"&lt;&gt;"),"")</f>
        <v/>
      </c>
    </row>
    <row r="540" spans="1:24">
      <c r="A540" t="str">
        <f>IF('8 Numaralar'!A42="","",'8 Numaralar'!A42)</f>
        <v/>
      </c>
      <c r="B540" t="str">
        <f>IF('8 Numaralar'!B42="","",'8 Numaralar'!B42)</f>
        <v/>
      </c>
      <c r="C540" s="2" t="str">
        <f>IF('8 Numaralar'!C42="","",'8 Numaralar'!C42)</f>
        <v/>
      </c>
      <c r="D540" t="str">
        <f ca="1">IF('8 Numaralar'!D42="","",'8 Numaralar'!D42)</f>
        <v/>
      </c>
      <c r="E540" t="str">
        <f>IF('8 Numaralar'!E42="","",'8 Numaralar'!E42)</f>
        <v>8 Numara</v>
      </c>
      <c r="F540" t="str">
        <f>IF('8 Numaralar'!G42="","",'8 Numaralar'!G42)</f>
        <v/>
      </c>
      <c r="G540" s="2" t="str">
        <f>IF('8 Numaralar'!H42="","",'8 Numaralar'!H42)</f>
        <v/>
      </c>
      <c r="H540" t="str">
        <f>IF('8 Numaralar'!I42="","",'8 Numaralar'!I42)</f>
        <v/>
      </c>
      <c r="I540" t="str">
        <f>IF('8 Numaralar'!A42="","",'8 Numaralar'!J42)</f>
        <v/>
      </c>
      <c r="J540" t="str">
        <f>IF('8 Numaralar'!A42="","",'8 Numaralar'!K42)</f>
        <v/>
      </c>
      <c r="K540" t="str">
        <f>IF('8 Numaralar'!L42="","",'8 Numaralar'!L42)</f>
        <v/>
      </c>
      <c r="L540" t="str">
        <f>IF('8 Numaralar'!M42="","",'8 Numaralar'!M42)</f>
        <v/>
      </c>
      <c r="M540" t="str">
        <f>IF('8 Numaralar'!N42="","",'8 Numaralar'!N42)</f>
        <v/>
      </c>
      <c r="N540" t="str">
        <f>IF('8 Numaralar'!O42="","",'8 Numaralar'!O42)</f>
        <v/>
      </c>
      <c r="O540" t="str">
        <f>IF('8 Numaralar'!P42="","",'8 Numaralar'!P42)</f>
        <v/>
      </c>
      <c r="P540" t="str">
        <f>IF('8 Numaralar'!Q42="","",'8 Numaralar'!Q42)</f>
        <v/>
      </c>
      <c r="Q540" t="str">
        <f>IF('8 Numaralar'!R42="","",'8 Numaralar'!R42)</f>
        <v/>
      </c>
      <c r="R540" t="str">
        <f>IF('8 Numaralar'!S42="","",'8 Numaralar'!S42)</f>
        <v/>
      </c>
      <c r="S540" t="str">
        <f>IF('8 Numaralar'!T42="","",'8 Numaralar'!T42)</f>
        <v/>
      </c>
      <c r="T540" s="2" t="str">
        <f>IF('8 Numaralar'!U42="","",'8 Numaralar'!U42)</f>
        <v/>
      </c>
      <c r="U540" t="s">
        <v>931</v>
      </c>
      <c r="V540">
        <v>42</v>
      </c>
      <c r="W540" t="str">
        <f ca="1">IF(AND($A540&lt;&gt;"",ISNUMBER($G540),$G540&gt;=TODAY(),$G540&lt;=EDATE(TODAY(),12)),COUNTIFS($G$2:$G$1001,"&gt;="&amp;TODAY(),$G$2:$G$1001,"&lt;"&amp;$G540,$A$2:$A$1001,"&lt;&gt;")+COUNTIFS($G$2:$G540,$G540,$A$2:$A540,"&lt;&gt;"),"")</f>
        <v/>
      </c>
      <c r="X540" t="str">
        <f>IF(AND($A540&lt;&gt;"",ISNUMBER($C540),$C540&gt;=DATE(2003,1,1)),COUNTIFS($C$2:$C540,"&gt;="&amp;DATE(2003,1,1),$A$2:$A540,"&lt;&gt;"),"")</f>
        <v/>
      </c>
    </row>
    <row r="541" spans="1:24">
      <c r="A541" t="str">
        <f>IF('8 Numaralar'!A43="","",'8 Numaralar'!A43)</f>
        <v/>
      </c>
      <c r="B541" t="str">
        <f>IF('8 Numaralar'!B43="","",'8 Numaralar'!B43)</f>
        <v/>
      </c>
      <c r="C541" s="2" t="str">
        <f>IF('8 Numaralar'!C43="","",'8 Numaralar'!C43)</f>
        <v/>
      </c>
      <c r="D541" t="str">
        <f ca="1">IF('8 Numaralar'!D43="","",'8 Numaralar'!D43)</f>
        <v/>
      </c>
      <c r="E541" t="str">
        <f>IF('8 Numaralar'!E43="","",'8 Numaralar'!E43)</f>
        <v>8 Numara</v>
      </c>
      <c r="F541" t="str">
        <f>IF('8 Numaralar'!G43="","",'8 Numaralar'!G43)</f>
        <v/>
      </c>
      <c r="G541" s="2" t="str">
        <f>IF('8 Numaralar'!H43="","",'8 Numaralar'!H43)</f>
        <v/>
      </c>
      <c r="H541" t="str">
        <f>IF('8 Numaralar'!I43="","",'8 Numaralar'!I43)</f>
        <v/>
      </c>
      <c r="I541" t="str">
        <f>IF('8 Numaralar'!A43="","",'8 Numaralar'!J43)</f>
        <v/>
      </c>
      <c r="J541" t="str">
        <f>IF('8 Numaralar'!A43="","",'8 Numaralar'!K43)</f>
        <v/>
      </c>
      <c r="K541" t="str">
        <f>IF('8 Numaralar'!L43="","",'8 Numaralar'!L43)</f>
        <v/>
      </c>
      <c r="L541" t="str">
        <f>IF('8 Numaralar'!M43="","",'8 Numaralar'!M43)</f>
        <v/>
      </c>
      <c r="M541" t="str">
        <f>IF('8 Numaralar'!N43="","",'8 Numaralar'!N43)</f>
        <v/>
      </c>
      <c r="N541" t="str">
        <f>IF('8 Numaralar'!O43="","",'8 Numaralar'!O43)</f>
        <v/>
      </c>
      <c r="O541" t="str">
        <f>IF('8 Numaralar'!P43="","",'8 Numaralar'!P43)</f>
        <v/>
      </c>
      <c r="P541" t="str">
        <f>IF('8 Numaralar'!Q43="","",'8 Numaralar'!Q43)</f>
        <v/>
      </c>
      <c r="Q541" t="str">
        <f>IF('8 Numaralar'!R43="","",'8 Numaralar'!R43)</f>
        <v/>
      </c>
      <c r="R541" t="str">
        <f>IF('8 Numaralar'!S43="","",'8 Numaralar'!S43)</f>
        <v/>
      </c>
      <c r="S541" t="str">
        <f>IF('8 Numaralar'!T43="","",'8 Numaralar'!T43)</f>
        <v/>
      </c>
      <c r="T541" s="2" t="str">
        <f>IF('8 Numaralar'!U43="","",'8 Numaralar'!U43)</f>
        <v/>
      </c>
      <c r="U541" t="s">
        <v>931</v>
      </c>
      <c r="V541">
        <v>43</v>
      </c>
      <c r="W541" t="str">
        <f ca="1">IF(AND($A541&lt;&gt;"",ISNUMBER($G541),$G541&gt;=TODAY(),$G541&lt;=EDATE(TODAY(),12)),COUNTIFS($G$2:$G$1001,"&gt;="&amp;TODAY(),$G$2:$G$1001,"&lt;"&amp;$G541,$A$2:$A$1001,"&lt;&gt;")+COUNTIFS($G$2:$G541,$G541,$A$2:$A541,"&lt;&gt;"),"")</f>
        <v/>
      </c>
      <c r="X541" t="str">
        <f>IF(AND($A541&lt;&gt;"",ISNUMBER($C541),$C541&gt;=DATE(2003,1,1)),COUNTIFS($C$2:$C541,"&gt;="&amp;DATE(2003,1,1),$A$2:$A541,"&lt;&gt;"),"")</f>
        <v/>
      </c>
    </row>
    <row r="542" spans="1:24">
      <c r="A542" t="str">
        <f>IF('8 Numaralar'!A44="","",'8 Numaralar'!A44)</f>
        <v/>
      </c>
      <c r="B542" t="str">
        <f>IF('8 Numaralar'!B44="","",'8 Numaralar'!B44)</f>
        <v/>
      </c>
      <c r="C542" s="2" t="str">
        <f>IF('8 Numaralar'!C44="","",'8 Numaralar'!C44)</f>
        <v/>
      </c>
      <c r="D542" t="str">
        <f ca="1">IF('8 Numaralar'!D44="","",'8 Numaralar'!D44)</f>
        <v/>
      </c>
      <c r="E542" t="str">
        <f>IF('8 Numaralar'!E44="","",'8 Numaralar'!E44)</f>
        <v>8 Numara</v>
      </c>
      <c r="F542" t="str">
        <f>IF('8 Numaralar'!G44="","",'8 Numaralar'!G44)</f>
        <v/>
      </c>
      <c r="G542" s="2" t="str">
        <f>IF('8 Numaralar'!H44="","",'8 Numaralar'!H44)</f>
        <v/>
      </c>
      <c r="H542" t="str">
        <f>IF('8 Numaralar'!I44="","",'8 Numaralar'!I44)</f>
        <v/>
      </c>
      <c r="I542" t="str">
        <f>IF('8 Numaralar'!A44="","",'8 Numaralar'!J44)</f>
        <v/>
      </c>
      <c r="J542" t="str">
        <f>IF('8 Numaralar'!A44="","",'8 Numaralar'!K44)</f>
        <v/>
      </c>
      <c r="K542" t="str">
        <f>IF('8 Numaralar'!L44="","",'8 Numaralar'!L44)</f>
        <v/>
      </c>
      <c r="L542" t="str">
        <f>IF('8 Numaralar'!M44="","",'8 Numaralar'!M44)</f>
        <v/>
      </c>
      <c r="M542" t="str">
        <f>IF('8 Numaralar'!N44="","",'8 Numaralar'!N44)</f>
        <v/>
      </c>
      <c r="N542" t="str">
        <f>IF('8 Numaralar'!O44="","",'8 Numaralar'!O44)</f>
        <v/>
      </c>
      <c r="O542" t="str">
        <f>IF('8 Numaralar'!P44="","",'8 Numaralar'!P44)</f>
        <v/>
      </c>
      <c r="P542" t="str">
        <f>IF('8 Numaralar'!Q44="","",'8 Numaralar'!Q44)</f>
        <v/>
      </c>
      <c r="Q542" t="str">
        <f>IF('8 Numaralar'!R44="","",'8 Numaralar'!R44)</f>
        <v/>
      </c>
      <c r="R542" t="str">
        <f>IF('8 Numaralar'!S44="","",'8 Numaralar'!S44)</f>
        <v/>
      </c>
      <c r="S542" t="str">
        <f>IF('8 Numaralar'!T44="","",'8 Numaralar'!T44)</f>
        <v/>
      </c>
      <c r="T542" s="2" t="str">
        <f>IF('8 Numaralar'!U44="","",'8 Numaralar'!U44)</f>
        <v/>
      </c>
      <c r="U542" t="s">
        <v>931</v>
      </c>
      <c r="V542">
        <v>44</v>
      </c>
      <c r="W542" t="str">
        <f ca="1">IF(AND($A542&lt;&gt;"",ISNUMBER($G542),$G542&gt;=TODAY(),$G542&lt;=EDATE(TODAY(),12)),COUNTIFS($G$2:$G$1001,"&gt;="&amp;TODAY(),$G$2:$G$1001,"&lt;"&amp;$G542,$A$2:$A$1001,"&lt;&gt;")+COUNTIFS($G$2:$G542,$G542,$A$2:$A542,"&lt;&gt;"),"")</f>
        <v/>
      </c>
      <c r="X542" t="str">
        <f>IF(AND($A542&lt;&gt;"",ISNUMBER($C542),$C542&gt;=DATE(2003,1,1)),COUNTIFS($C$2:$C542,"&gt;="&amp;DATE(2003,1,1),$A$2:$A542,"&lt;&gt;"),"")</f>
        <v/>
      </c>
    </row>
    <row r="543" spans="1:24">
      <c r="A543" t="str">
        <f>IF('8 Numaralar'!A45="","",'8 Numaralar'!A45)</f>
        <v/>
      </c>
      <c r="B543" t="str">
        <f>IF('8 Numaralar'!B45="","",'8 Numaralar'!B45)</f>
        <v/>
      </c>
      <c r="C543" s="2" t="str">
        <f>IF('8 Numaralar'!C45="","",'8 Numaralar'!C45)</f>
        <v/>
      </c>
      <c r="D543" t="str">
        <f ca="1">IF('8 Numaralar'!D45="","",'8 Numaralar'!D45)</f>
        <v/>
      </c>
      <c r="E543" t="str">
        <f>IF('8 Numaralar'!E45="","",'8 Numaralar'!E45)</f>
        <v>8 Numara</v>
      </c>
      <c r="F543" t="str">
        <f>IF('8 Numaralar'!G45="","",'8 Numaralar'!G45)</f>
        <v/>
      </c>
      <c r="G543" s="2" t="str">
        <f>IF('8 Numaralar'!H45="","",'8 Numaralar'!H45)</f>
        <v/>
      </c>
      <c r="H543" t="str">
        <f>IF('8 Numaralar'!I45="","",'8 Numaralar'!I45)</f>
        <v/>
      </c>
      <c r="I543" t="str">
        <f>IF('8 Numaralar'!A45="","",'8 Numaralar'!J45)</f>
        <v/>
      </c>
      <c r="J543" t="str">
        <f>IF('8 Numaralar'!A45="","",'8 Numaralar'!K45)</f>
        <v/>
      </c>
      <c r="K543" t="str">
        <f>IF('8 Numaralar'!L45="","",'8 Numaralar'!L45)</f>
        <v/>
      </c>
      <c r="L543" t="str">
        <f>IF('8 Numaralar'!M45="","",'8 Numaralar'!M45)</f>
        <v/>
      </c>
      <c r="M543" t="str">
        <f>IF('8 Numaralar'!N45="","",'8 Numaralar'!N45)</f>
        <v/>
      </c>
      <c r="N543" t="str">
        <f>IF('8 Numaralar'!O45="","",'8 Numaralar'!O45)</f>
        <v/>
      </c>
      <c r="O543" t="str">
        <f>IF('8 Numaralar'!P45="","",'8 Numaralar'!P45)</f>
        <v/>
      </c>
      <c r="P543" t="str">
        <f>IF('8 Numaralar'!Q45="","",'8 Numaralar'!Q45)</f>
        <v/>
      </c>
      <c r="Q543" t="str">
        <f>IF('8 Numaralar'!R45="","",'8 Numaralar'!R45)</f>
        <v/>
      </c>
      <c r="R543" t="str">
        <f>IF('8 Numaralar'!S45="","",'8 Numaralar'!S45)</f>
        <v/>
      </c>
      <c r="S543" t="str">
        <f>IF('8 Numaralar'!T45="","",'8 Numaralar'!T45)</f>
        <v/>
      </c>
      <c r="T543" s="2" t="str">
        <f>IF('8 Numaralar'!U45="","",'8 Numaralar'!U45)</f>
        <v/>
      </c>
      <c r="U543" t="s">
        <v>931</v>
      </c>
      <c r="V543">
        <v>45</v>
      </c>
      <c r="W543" t="str">
        <f ca="1">IF(AND($A543&lt;&gt;"",ISNUMBER($G543),$G543&gt;=TODAY(),$G543&lt;=EDATE(TODAY(),12)),COUNTIFS($G$2:$G$1001,"&gt;="&amp;TODAY(),$G$2:$G$1001,"&lt;"&amp;$G543,$A$2:$A$1001,"&lt;&gt;")+COUNTIFS($G$2:$G543,$G543,$A$2:$A543,"&lt;&gt;"),"")</f>
        <v/>
      </c>
      <c r="X543" t="str">
        <f>IF(AND($A543&lt;&gt;"",ISNUMBER($C543),$C543&gt;=DATE(2003,1,1)),COUNTIFS($C$2:$C543,"&gt;="&amp;DATE(2003,1,1),$A$2:$A543,"&lt;&gt;"),"")</f>
        <v/>
      </c>
    </row>
    <row r="544" spans="1:24">
      <c r="A544" t="str">
        <f>IF('8 Numaralar'!A46="","",'8 Numaralar'!A46)</f>
        <v/>
      </c>
      <c r="B544" t="str">
        <f>IF('8 Numaralar'!B46="","",'8 Numaralar'!B46)</f>
        <v/>
      </c>
      <c r="C544" s="2" t="str">
        <f>IF('8 Numaralar'!C46="","",'8 Numaralar'!C46)</f>
        <v/>
      </c>
      <c r="D544" t="str">
        <f ca="1">IF('8 Numaralar'!D46="","",'8 Numaralar'!D46)</f>
        <v/>
      </c>
      <c r="E544" t="str">
        <f>IF('8 Numaralar'!E46="","",'8 Numaralar'!E46)</f>
        <v>8 Numara</v>
      </c>
      <c r="F544" t="str">
        <f>IF('8 Numaralar'!G46="","",'8 Numaralar'!G46)</f>
        <v/>
      </c>
      <c r="G544" s="2" t="str">
        <f>IF('8 Numaralar'!H46="","",'8 Numaralar'!H46)</f>
        <v/>
      </c>
      <c r="H544" t="str">
        <f>IF('8 Numaralar'!I46="","",'8 Numaralar'!I46)</f>
        <v/>
      </c>
      <c r="I544" t="str">
        <f>IF('8 Numaralar'!A46="","",'8 Numaralar'!J46)</f>
        <v/>
      </c>
      <c r="J544" t="str">
        <f>IF('8 Numaralar'!A46="","",'8 Numaralar'!K46)</f>
        <v/>
      </c>
      <c r="K544" t="str">
        <f>IF('8 Numaralar'!L46="","",'8 Numaralar'!L46)</f>
        <v/>
      </c>
      <c r="L544" t="str">
        <f>IF('8 Numaralar'!M46="","",'8 Numaralar'!M46)</f>
        <v/>
      </c>
      <c r="M544" t="str">
        <f>IF('8 Numaralar'!N46="","",'8 Numaralar'!N46)</f>
        <v/>
      </c>
      <c r="N544" t="str">
        <f>IF('8 Numaralar'!O46="","",'8 Numaralar'!O46)</f>
        <v/>
      </c>
      <c r="O544" t="str">
        <f>IF('8 Numaralar'!P46="","",'8 Numaralar'!P46)</f>
        <v/>
      </c>
      <c r="P544" t="str">
        <f>IF('8 Numaralar'!Q46="","",'8 Numaralar'!Q46)</f>
        <v/>
      </c>
      <c r="Q544" t="str">
        <f>IF('8 Numaralar'!R46="","",'8 Numaralar'!R46)</f>
        <v/>
      </c>
      <c r="R544" t="str">
        <f>IF('8 Numaralar'!S46="","",'8 Numaralar'!S46)</f>
        <v/>
      </c>
      <c r="S544" t="str">
        <f>IF('8 Numaralar'!T46="","",'8 Numaralar'!T46)</f>
        <v/>
      </c>
      <c r="T544" s="2" t="str">
        <f>IF('8 Numaralar'!U46="","",'8 Numaralar'!U46)</f>
        <v/>
      </c>
      <c r="U544" t="s">
        <v>931</v>
      </c>
      <c r="V544">
        <v>46</v>
      </c>
      <c r="W544" t="str">
        <f ca="1">IF(AND($A544&lt;&gt;"",ISNUMBER($G544),$G544&gt;=TODAY(),$G544&lt;=EDATE(TODAY(),12)),COUNTIFS($G$2:$G$1001,"&gt;="&amp;TODAY(),$G$2:$G$1001,"&lt;"&amp;$G544,$A$2:$A$1001,"&lt;&gt;")+COUNTIFS($G$2:$G544,$G544,$A$2:$A544,"&lt;&gt;"),"")</f>
        <v/>
      </c>
      <c r="X544" t="str">
        <f>IF(AND($A544&lt;&gt;"",ISNUMBER($C544),$C544&gt;=DATE(2003,1,1)),COUNTIFS($C$2:$C544,"&gt;="&amp;DATE(2003,1,1),$A$2:$A544,"&lt;&gt;"),"")</f>
        <v/>
      </c>
    </row>
    <row r="545" spans="1:24">
      <c r="A545" t="str">
        <f>IF('8 Numaralar'!A47="","",'8 Numaralar'!A47)</f>
        <v/>
      </c>
      <c r="B545" t="str">
        <f>IF('8 Numaralar'!B47="","",'8 Numaralar'!B47)</f>
        <v/>
      </c>
      <c r="C545" s="2" t="str">
        <f>IF('8 Numaralar'!C47="","",'8 Numaralar'!C47)</f>
        <v/>
      </c>
      <c r="D545" t="str">
        <f ca="1">IF('8 Numaralar'!D47="","",'8 Numaralar'!D47)</f>
        <v/>
      </c>
      <c r="E545" t="str">
        <f>IF('8 Numaralar'!E47="","",'8 Numaralar'!E47)</f>
        <v>8 Numara</v>
      </c>
      <c r="F545" t="str">
        <f>IF('8 Numaralar'!G47="","",'8 Numaralar'!G47)</f>
        <v/>
      </c>
      <c r="G545" s="2" t="str">
        <f>IF('8 Numaralar'!H47="","",'8 Numaralar'!H47)</f>
        <v/>
      </c>
      <c r="H545" t="str">
        <f>IF('8 Numaralar'!I47="","",'8 Numaralar'!I47)</f>
        <v/>
      </c>
      <c r="I545" t="str">
        <f>IF('8 Numaralar'!A47="","",'8 Numaralar'!J47)</f>
        <v/>
      </c>
      <c r="J545" t="str">
        <f>IF('8 Numaralar'!A47="","",'8 Numaralar'!K47)</f>
        <v/>
      </c>
      <c r="K545" t="str">
        <f>IF('8 Numaralar'!L47="","",'8 Numaralar'!L47)</f>
        <v/>
      </c>
      <c r="L545" t="str">
        <f>IF('8 Numaralar'!M47="","",'8 Numaralar'!M47)</f>
        <v/>
      </c>
      <c r="M545" t="str">
        <f>IF('8 Numaralar'!N47="","",'8 Numaralar'!N47)</f>
        <v/>
      </c>
      <c r="N545" t="str">
        <f>IF('8 Numaralar'!O47="","",'8 Numaralar'!O47)</f>
        <v/>
      </c>
      <c r="O545" t="str">
        <f>IF('8 Numaralar'!P47="","",'8 Numaralar'!P47)</f>
        <v/>
      </c>
      <c r="P545" t="str">
        <f>IF('8 Numaralar'!Q47="","",'8 Numaralar'!Q47)</f>
        <v/>
      </c>
      <c r="Q545" t="str">
        <f>IF('8 Numaralar'!R47="","",'8 Numaralar'!R47)</f>
        <v/>
      </c>
      <c r="R545" t="str">
        <f>IF('8 Numaralar'!S47="","",'8 Numaralar'!S47)</f>
        <v/>
      </c>
      <c r="S545" t="str">
        <f>IF('8 Numaralar'!T47="","",'8 Numaralar'!T47)</f>
        <v/>
      </c>
      <c r="T545" s="2" t="str">
        <f>IF('8 Numaralar'!U47="","",'8 Numaralar'!U47)</f>
        <v/>
      </c>
      <c r="U545" t="s">
        <v>931</v>
      </c>
      <c r="V545">
        <v>47</v>
      </c>
      <c r="W545" t="str">
        <f ca="1">IF(AND($A545&lt;&gt;"",ISNUMBER($G545),$G545&gt;=TODAY(),$G545&lt;=EDATE(TODAY(),12)),COUNTIFS($G$2:$G$1001,"&gt;="&amp;TODAY(),$G$2:$G$1001,"&lt;"&amp;$G545,$A$2:$A$1001,"&lt;&gt;")+COUNTIFS($G$2:$G545,$G545,$A$2:$A545,"&lt;&gt;"),"")</f>
        <v/>
      </c>
      <c r="X545" t="str">
        <f>IF(AND($A545&lt;&gt;"",ISNUMBER($C545),$C545&gt;=DATE(2003,1,1)),COUNTIFS($C$2:$C545,"&gt;="&amp;DATE(2003,1,1),$A$2:$A545,"&lt;&gt;"),"")</f>
        <v/>
      </c>
    </row>
    <row r="546" spans="1:24">
      <c r="A546" t="str">
        <f>IF('8 Numaralar'!A48="","",'8 Numaralar'!A48)</f>
        <v/>
      </c>
      <c r="B546" t="str">
        <f>IF('8 Numaralar'!B48="","",'8 Numaralar'!B48)</f>
        <v/>
      </c>
      <c r="C546" s="2" t="str">
        <f>IF('8 Numaralar'!C48="","",'8 Numaralar'!C48)</f>
        <v/>
      </c>
      <c r="D546" t="str">
        <f ca="1">IF('8 Numaralar'!D48="","",'8 Numaralar'!D48)</f>
        <v/>
      </c>
      <c r="E546" t="str">
        <f>IF('8 Numaralar'!E48="","",'8 Numaralar'!E48)</f>
        <v>8 Numara</v>
      </c>
      <c r="F546" t="str">
        <f>IF('8 Numaralar'!G48="","",'8 Numaralar'!G48)</f>
        <v/>
      </c>
      <c r="G546" s="2" t="str">
        <f>IF('8 Numaralar'!H48="","",'8 Numaralar'!H48)</f>
        <v/>
      </c>
      <c r="H546" t="str">
        <f>IF('8 Numaralar'!I48="","",'8 Numaralar'!I48)</f>
        <v/>
      </c>
      <c r="I546" t="str">
        <f>IF('8 Numaralar'!A48="","",'8 Numaralar'!J48)</f>
        <v/>
      </c>
      <c r="J546" t="str">
        <f>IF('8 Numaralar'!A48="","",'8 Numaralar'!K48)</f>
        <v/>
      </c>
      <c r="K546" t="str">
        <f>IF('8 Numaralar'!L48="","",'8 Numaralar'!L48)</f>
        <v/>
      </c>
      <c r="L546" t="str">
        <f>IF('8 Numaralar'!M48="","",'8 Numaralar'!M48)</f>
        <v/>
      </c>
      <c r="M546" t="str">
        <f>IF('8 Numaralar'!N48="","",'8 Numaralar'!N48)</f>
        <v/>
      </c>
      <c r="N546" t="str">
        <f>IF('8 Numaralar'!O48="","",'8 Numaralar'!O48)</f>
        <v/>
      </c>
      <c r="O546" t="str">
        <f>IF('8 Numaralar'!P48="","",'8 Numaralar'!P48)</f>
        <v/>
      </c>
      <c r="P546" t="str">
        <f>IF('8 Numaralar'!Q48="","",'8 Numaralar'!Q48)</f>
        <v/>
      </c>
      <c r="Q546" t="str">
        <f>IF('8 Numaralar'!R48="","",'8 Numaralar'!R48)</f>
        <v/>
      </c>
      <c r="R546" t="str">
        <f>IF('8 Numaralar'!S48="","",'8 Numaralar'!S48)</f>
        <v/>
      </c>
      <c r="S546" t="str">
        <f>IF('8 Numaralar'!T48="","",'8 Numaralar'!T48)</f>
        <v/>
      </c>
      <c r="T546" s="2" t="str">
        <f>IF('8 Numaralar'!U48="","",'8 Numaralar'!U48)</f>
        <v/>
      </c>
      <c r="U546" t="s">
        <v>931</v>
      </c>
      <c r="V546">
        <v>48</v>
      </c>
      <c r="W546" t="str">
        <f ca="1">IF(AND($A546&lt;&gt;"",ISNUMBER($G546),$G546&gt;=TODAY(),$G546&lt;=EDATE(TODAY(),12)),COUNTIFS($G$2:$G$1001,"&gt;="&amp;TODAY(),$G$2:$G$1001,"&lt;"&amp;$G546,$A$2:$A$1001,"&lt;&gt;")+COUNTIFS($G$2:$G546,$G546,$A$2:$A546,"&lt;&gt;"),"")</f>
        <v/>
      </c>
      <c r="X546" t="str">
        <f>IF(AND($A546&lt;&gt;"",ISNUMBER($C546),$C546&gt;=DATE(2003,1,1)),COUNTIFS($C$2:$C546,"&gt;="&amp;DATE(2003,1,1),$A$2:$A546,"&lt;&gt;"),"")</f>
        <v/>
      </c>
    </row>
    <row r="547" spans="1:24">
      <c r="A547" t="str">
        <f>IF('8 Numaralar'!A49="","",'8 Numaralar'!A49)</f>
        <v/>
      </c>
      <c r="B547" t="str">
        <f>IF('8 Numaralar'!B49="","",'8 Numaralar'!B49)</f>
        <v/>
      </c>
      <c r="C547" s="2" t="str">
        <f>IF('8 Numaralar'!C49="","",'8 Numaralar'!C49)</f>
        <v/>
      </c>
      <c r="D547" t="str">
        <f ca="1">IF('8 Numaralar'!D49="","",'8 Numaralar'!D49)</f>
        <v/>
      </c>
      <c r="E547" t="str">
        <f>IF('8 Numaralar'!E49="","",'8 Numaralar'!E49)</f>
        <v>8 Numara</v>
      </c>
      <c r="F547" t="str">
        <f>IF('8 Numaralar'!G49="","",'8 Numaralar'!G49)</f>
        <v/>
      </c>
      <c r="G547" s="2" t="str">
        <f>IF('8 Numaralar'!H49="","",'8 Numaralar'!H49)</f>
        <v/>
      </c>
      <c r="H547" t="str">
        <f>IF('8 Numaralar'!I49="","",'8 Numaralar'!I49)</f>
        <v/>
      </c>
      <c r="I547" t="str">
        <f>IF('8 Numaralar'!A49="","",'8 Numaralar'!J49)</f>
        <v/>
      </c>
      <c r="J547" t="str">
        <f>IF('8 Numaralar'!A49="","",'8 Numaralar'!K49)</f>
        <v/>
      </c>
      <c r="K547" t="str">
        <f>IF('8 Numaralar'!L49="","",'8 Numaralar'!L49)</f>
        <v/>
      </c>
      <c r="L547" t="str">
        <f>IF('8 Numaralar'!M49="","",'8 Numaralar'!M49)</f>
        <v/>
      </c>
      <c r="M547" t="str">
        <f>IF('8 Numaralar'!N49="","",'8 Numaralar'!N49)</f>
        <v/>
      </c>
      <c r="N547" t="str">
        <f>IF('8 Numaralar'!O49="","",'8 Numaralar'!O49)</f>
        <v/>
      </c>
      <c r="O547" t="str">
        <f>IF('8 Numaralar'!P49="","",'8 Numaralar'!P49)</f>
        <v/>
      </c>
      <c r="P547" t="str">
        <f>IF('8 Numaralar'!Q49="","",'8 Numaralar'!Q49)</f>
        <v/>
      </c>
      <c r="Q547" t="str">
        <f>IF('8 Numaralar'!R49="","",'8 Numaralar'!R49)</f>
        <v/>
      </c>
      <c r="R547" t="str">
        <f>IF('8 Numaralar'!S49="","",'8 Numaralar'!S49)</f>
        <v/>
      </c>
      <c r="S547" t="str">
        <f>IF('8 Numaralar'!T49="","",'8 Numaralar'!T49)</f>
        <v/>
      </c>
      <c r="T547" s="2" t="str">
        <f>IF('8 Numaralar'!U49="","",'8 Numaralar'!U49)</f>
        <v/>
      </c>
      <c r="U547" t="s">
        <v>931</v>
      </c>
      <c r="V547">
        <v>49</v>
      </c>
      <c r="W547" t="str">
        <f ca="1">IF(AND($A547&lt;&gt;"",ISNUMBER($G547),$G547&gt;=TODAY(),$G547&lt;=EDATE(TODAY(),12)),COUNTIFS($G$2:$G$1001,"&gt;="&amp;TODAY(),$G$2:$G$1001,"&lt;"&amp;$G547,$A$2:$A$1001,"&lt;&gt;")+COUNTIFS($G$2:$G547,$G547,$A$2:$A547,"&lt;&gt;"),"")</f>
        <v/>
      </c>
      <c r="X547" t="str">
        <f>IF(AND($A547&lt;&gt;"",ISNUMBER($C547),$C547&gt;=DATE(2003,1,1)),COUNTIFS($C$2:$C547,"&gt;="&amp;DATE(2003,1,1),$A$2:$A547,"&lt;&gt;"),"")</f>
        <v/>
      </c>
    </row>
    <row r="548" spans="1:24">
      <c r="A548" t="str">
        <f>IF('8 Numaralar'!A50="","",'8 Numaralar'!A50)</f>
        <v/>
      </c>
      <c r="B548" t="str">
        <f>IF('8 Numaralar'!B50="","",'8 Numaralar'!B50)</f>
        <v/>
      </c>
      <c r="C548" s="2" t="str">
        <f>IF('8 Numaralar'!C50="","",'8 Numaralar'!C50)</f>
        <v/>
      </c>
      <c r="D548" t="str">
        <f ca="1">IF('8 Numaralar'!D50="","",'8 Numaralar'!D50)</f>
        <v/>
      </c>
      <c r="E548" t="str">
        <f>IF('8 Numaralar'!E50="","",'8 Numaralar'!E50)</f>
        <v>8 Numara</v>
      </c>
      <c r="F548" t="str">
        <f>IF('8 Numaralar'!G50="","",'8 Numaralar'!G50)</f>
        <v/>
      </c>
      <c r="G548" s="2" t="str">
        <f>IF('8 Numaralar'!H50="","",'8 Numaralar'!H50)</f>
        <v/>
      </c>
      <c r="H548" t="str">
        <f>IF('8 Numaralar'!I50="","",'8 Numaralar'!I50)</f>
        <v/>
      </c>
      <c r="I548" t="str">
        <f>IF('8 Numaralar'!A50="","",'8 Numaralar'!J50)</f>
        <v/>
      </c>
      <c r="J548" t="str">
        <f>IF('8 Numaralar'!A50="","",'8 Numaralar'!K50)</f>
        <v/>
      </c>
      <c r="K548" t="str">
        <f>IF('8 Numaralar'!L50="","",'8 Numaralar'!L50)</f>
        <v/>
      </c>
      <c r="L548" t="str">
        <f>IF('8 Numaralar'!M50="","",'8 Numaralar'!M50)</f>
        <v/>
      </c>
      <c r="M548" t="str">
        <f>IF('8 Numaralar'!N50="","",'8 Numaralar'!N50)</f>
        <v/>
      </c>
      <c r="N548" t="str">
        <f>IF('8 Numaralar'!O50="","",'8 Numaralar'!O50)</f>
        <v/>
      </c>
      <c r="O548" t="str">
        <f>IF('8 Numaralar'!P50="","",'8 Numaralar'!P50)</f>
        <v/>
      </c>
      <c r="P548" t="str">
        <f>IF('8 Numaralar'!Q50="","",'8 Numaralar'!Q50)</f>
        <v/>
      </c>
      <c r="Q548" t="str">
        <f>IF('8 Numaralar'!R50="","",'8 Numaralar'!R50)</f>
        <v/>
      </c>
      <c r="R548" t="str">
        <f>IF('8 Numaralar'!S50="","",'8 Numaralar'!S50)</f>
        <v/>
      </c>
      <c r="S548" t="str">
        <f>IF('8 Numaralar'!T50="","",'8 Numaralar'!T50)</f>
        <v/>
      </c>
      <c r="T548" s="2" t="str">
        <f>IF('8 Numaralar'!U50="","",'8 Numaralar'!U50)</f>
        <v/>
      </c>
      <c r="U548" t="s">
        <v>931</v>
      </c>
      <c r="V548">
        <v>50</v>
      </c>
      <c r="W548" t="str">
        <f ca="1">IF(AND($A548&lt;&gt;"",ISNUMBER($G548),$G548&gt;=TODAY(),$G548&lt;=EDATE(TODAY(),12)),COUNTIFS($G$2:$G$1001,"&gt;="&amp;TODAY(),$G$2:$G$1001,"&lt;"&amp;$G548,$A$2:$A$1001,"&lt;&gt;")+COUNTIFS($G$2:$G548,$G548,$A$2:$A548,"&lt;&gt;"),"")</f>
        <v/>
      </c>
      <c r="X548" t="str">
        <f>IF(AND($A548&lt;&gt;"",ISNUMBER($C548),$C548&gt;=DATE(2003,1,1)),COUNTIFS($C$2:$C548,"&gt;="&amp;DATE(2003,1,1),$A$2:$A548,"&lt;&gt;"),"")</f>
        <v/>
      </c>
    </row>
    <row r="549" spans="1:24">
      <c r="A549" t="str">
        <f>IF('8 Numaralar'!A51="","",'8 Numaralar'!A51)</f>
        <v/>
      </c>
      <c r="B549" t="str">
        <f>IF('8 Numaralar'!B51="","",'8 Numaralar'!B51)</f>
        <v/>
      </c>
      <c r="C549" s="2" t="str">
        <f>IF('8 Numaralar'!C51="","",'8 Numaralar'!C51)</f>
        <v/>
      </c>
      <c r="D549" t="str">
        <f ca="1">IF('8 Numaralar'!D51="","",'8 Numaralar'!D51)</f>
        <v/>
      </c>
      <c r="E549" t="str">
        <f>IF('8 Numaralar'!E51="","",'8 Numaralar'!E51)</f>
        <v>8 Numara</v>
      </c>
      <c r="F549" t="str">
        <f>IF('8 Numaralar'!G51="","",'8 Numaralar'!G51)</f>
        <v/>
      </c>
      <c r="G549" s="2" t="str">
        <f>IF('8 Numaralar'!H51="","",'8 Numaralar'!H51)</f>
        <v/>
      </c>
      <c r="H549" t="str">
        <f>IF('8 Numaralar'!I51="","",'8 Numaralar'!I51)</f>
        <v/>
      </c>
      <c r="I549" t="str">
        <f>IF('8 Numaralar'!A51="","",'8 Numaralar'!J51)</f>
        <v/>
      </c>
      <c r="J549" t="str">
        <f>IF('8 Numaralar'!A51="","",'8 Numaralar'!K51)</f>
        <v/>
      </c>
      <c r="K549" t="str">
        <f>IF('8 Numaralar'!L51="","",'8 Numaralar'!L51)</f>
        <v/>
      </c>
      <c r="L549" t="str">
        <f>IF('8 Numaralar'!M51="","",'8 Numaralar'!M51)</f>
        <v/>
      </c>
      <c r="M549" t="str">
        <f>IF('8 Numaralar'!N51="","",'8 Numaralar'!N51)</f>
        <v/>
      </c>
      <c r="N549" t="str">
        <f>IF('8 Numaralar'!O51="","",'8 Numaralar'!O51)</f>
        <v/>
      </c>
      <c r="O549" t="str">
        <f>IF('8 Numaralar'!P51="","",'8 Numaralar'!P51)</f>
        <v/>
      </c>
      <c r="P549" t="str">
        <f>IF('8 Numaralar'!Q51="","",'8 Numaralar'!Q51)</f>
        <v/>
      </c>
      <c r="Q549" t="str">
        <f>IF('8 Numaralar'!R51="","",'8 Numaralar'!R51)</f>
        <v/>
      </c>
      <c r="R549" t="str">
        <f>IF('8 Numaralar'!S51="","",'8 Numaralar'!S51)</f>
        <v/>
      </c>
      <c r="S549" t="str">
        <f>IF('8 Numaralar'!T51="","",'8 Numaralar'!T51)</f>
        <v/>
      </c>
      <c r="T549" s="2" t="str">
        <f>IF('8 Numaralar'!U51="","",'8 Numaralar'!U51)</f>
        <v/>
      </c>
      <c r="U549" t="s">
        <v>931</v>
      </c>
      <c r="V549">
        <v>51</v>
      </c>
      <c r="W549" t="str">
        <f ca="1">IF(AND($A549&lt;&gt;"",ISNUMBER($G549),$G549&gt;=TODAY(),$G549&lt;=EDATE(TODAY(),12)),COUNTIFS($G$2:$G$1001,"&gt;="&amp;TODAY(),$G$2:$G$1001,"&lt;"&amp;$G549,$A$2:$A$1001,"&lt;&gt;")+COUNTIFS($G$2:$G549,$G549,$A$2:$A549,"&lt;&gt;"),"")</f>
        <v/>
      </c>
      <c r="X549" t="str">
        <f>IF(AND($A549&lt;&gt;"",ISNUMBER($C549),$C549&gt;=DATE(2003,1,1)),COUNTIFS($C$2:$C549,"&gt;="&amp;DATE(2003,1,1),$A$2:$A549,"&lt;&gt;"),"")</f>
        <v/>
      </c>
    </row>
    <row r="550" spans="1:24">
      <c r="A550" t="str">
        <f>IF('8 Numaralar'!A52="","",'8 Numaralar'!A52)</f>
        <v/>
      </c>
      <c r="B550" t="str">
        <f>IF('8 Numaralar'!B52="","",'8 Numaralar'!B52)</f>
        <v/>
      </c>
      <c r="C550" s="2" t="str">
        <f>IF('8 Numaralar'!C52="","",'8 Numaralar'!C52)</f>
        <v/>
      </c>
      <c r="D550" t="str">
        <f ca="1">IF('8 Numaralar'!D52="","",'8 Numaralar'!D52)</f>
        <v/>
      </c>
      <c r="E550" t="str">
        <f>IF('8 Numaralar'!E52="","",'8 Numaralar'!E52)</f>
        <v>8 Numara</v>
      </c>
      <c r="F550" t="str">
        <f>IF('8 Numaralar'!G52="","",'8 Numaralar'!G52)</f>
        <v/>
      </c>
      <c r="G550" s="2" t="str">
        <f>IF('8 Numaralar'!H52="","",'8 Numaralar'!H52)</f>
        <v/>
      </c>
      <c r="H550" t="str">
        <f>IF('8 Numaralar'!I52="","",'8 Numaralar'!I52)</f>
        <v/>
      </c>
      <c r="I550" t="str">
        <f>IF('8 Numaralar'!A52="","",'8 Numaralar'!J52)</f>
        <v/>
      </c>
      <c r="J550" t="str">
        <f>IF('8 Numaralar'!A52="","",'8 Numaralar'!K52)</f>
        <v/>
      </c>
      <c r="K550" t="str">
        <f>IF('8 Numaralar'!L52="","",'8 Numaralar'!L52)</f>
        <v/>
      </c>
      <c r="L550" t="str">
        <f>IF('8 Numaralar'!M52="","",'8 Numaralar'!M52)</f>
        <v/>
      </c>
      <c r="M550" t="str">
        <f>IF('8 Numaralar'!N52="","",'8 Numaralar'!N52)</f>
        <v/>
      </c>
      <c r="N550" t="str">
        <f>IF('8 Numaralar'!O52="","",'8 Numaralar'!O52)</f>
        <v/>
      </c>
      <c r="O550" t="str">
        <f>IF('8 Numaralar'!P52="","",'8 Numaralar'!P52)</f>
        <v/>
      </c>
      <c r="P550" t="str">
        <f>IF('8 Numaralar'!Q52="","",'8 Numaralar'!Q52)</f>
        <v/>
      </c>
      <c r="Q550" t="str">
        <f>IF('8 Numaralar'!R52="","",'8 Numaralar'!R52)</f>
        <v/>
      </c>
      <c r="R550" t="str">
        <f>IF('8 Numaralar'!S52="","",'8 Numaralar'!S52)</f>
        <v/>
      </c>
      <c r="S550" t="str">
        <f>IF('8 Numaralar'!T52="","",'8 Numaralar'!T52)</f>
        <v/>
      </c>
      <c r="T550" s="2" t="str">
        <f>IF('8 Numaralar'!U52="","",'8 Numaralar'!U52)</f>
        <v/>
      </c>
      <c r="U550" t="s">
        <v>931</v>
      </c>
      <c r="V550">
        <v>52</v>
      </c>
      <c r="W550" t="str">
        <f ca="1">IF(AND($A550&lt;&gt;"",ISNUMBER($G550),$G550&gt;=TODAY(),$G550&lt;=EDATE(TODAY(),12)),COUNTIFS($G$2:$G$1001,"&gt;="&amp;TODAY(),$G$2:$G$1001,"&lt;"&amp;$G550,$A$2:$A$1001,"&lt;&gt;")+COUNTIFS($G$2:$G550,$G550,$A$2:$A550,"&lt;&gt;"),"")</f>
        <v/>
      </c>
      <c r="X550" t="str">
        <f>IF(AND($A550&lt;&gt;"",ISNUMBER($C550),$C550&gt;=DATE(2003,1,1)),COUNTIFS($C$2:$C550,"&gt;="&amp;DATE(2003,1,1),$A$2:$A550,"&lt;&gt;"),"")</f>
        <v/>
      </c>
    </row>
    <row r="551" spans="1:24">
      <c r="A551" t="str">
        <f>IF('8 Numaralar'!A53="","",'8 Numaralar'!A53)</f>
        <v/>
      </c>
      <c r="B551" t="str">
        <f>IF('8 Numaralar'!B53="","",'8 Numaralar'!B53)</f>
        <v/>
      </c>
      <c r="C551" s="2" t="str">
        <f>IF('8 Numaralar'!C53="","",'8 Numaralar'!C53)</f>
        <v/>
      </c>
      <c r="D551" t="str">
        <f ca="1">IF('8 Numaralar'!D53="","",'8 Numaralar'!D53)</f>
        <v/>
      </c>
      <c r="E551" t="str">
        <f>IF('8 Numaralar'!E53="","",'8 Numaralar'!E53)</f>
        <v>8 Numara</v>
      </c>
      <c r="F551" t="str">
        <f>IF('8 Numaralar'!G53="","",'8 Numaralar'!G53)</f>
        <v/>
      </c>
      <c r="G551" s="2" t="str">
        <f>IF('8 Numaralar'!H53="","",'8 Numaralar'!H53)</f>
        <v/>
      </c>
      <c r="H551" t="str">
        <f>IF('8 Numaralar'!I53="","",'8 Numaralar'!I53)</f>
        <v/>
      </c>
      <c r="I551" t="str">
        <f>IF('8 Numaralar'!A53="","",'8 Numaralar'!J53)</f>
        <v/>
      </c>
      <c r="J551" t="str">
        <f>IF('8 Numaralar'!A53="","",'8 Numaralar'!K53)</f>
        <v/>
      </c>
      <c r="K551" t="str">
        <f>IF('8 Numaralar'!L53="","",'8 Numaralar'!L53)</f>
        <v/>
      </c>
      <c r="L551" t="str">
        <f>IF('8 Numaralar'!M53="","",'8 Numaralar'!M53)</f>
        <v/>
      </c>
      <c r="M551" t="str">
        <f>IF('8 Numaralar'!N53="","",'8 Numaralar'!N53)</f>
        <v/>
      </c>
      <c r="N551" t="str">
        <f>IF('8 Numaralar'!O53="","",'8 Numaralar'!O53)</f>
        <v/>
      </c>
      <c r="O551" t="str">
        <f>IF('8 Numaralar'!P53="","",'8 Numaralar'!P53)</f>
        <v/>
      </c>
      <c r="P551" t="str">
        <f>IF('8 Numaralar'!Q53="","",'8 Numaralar'!Q53)</f>
        <v/>
      </c>
      <c r="Q551" t="str">
        <f>IF('8 Numaralar'!R53="","",'8 Numaralar'!R53)</f>
        <v/>
      </c>
      <c r="R551" t="str">
        <f>IF('8 Numaralar'!S53="","",'8 Numaralar'!S53)</f>
        <v/>
      </c>
      <c r="S551" t="str">
        <f>IF('8 Numaralar'!T53="","",'8 Numaralar'!T53)</f>
        <v/>
      </c>
      <c r="T551" s="2" t="str">
        <f>IF('8 Numaralar'!U53="","",'8 Numaralar'!U53)</f>
        <v/>
      </c>
      <c r="U551" t="s">
        <v>931</v>
      </c>
      <c r="V551">
        <v>53</v>
      </c>
      <c r="W551" t="str">
        <f ca="1">IF(AND($A551&lt;&gt;"",ISNUMBER($G551),$G551&gt;=TODAY(),$G551&lt;=EDATE(TODAY(),12)),COUNTIFS($G$2:$G$1001,"&gt;="&amp;TODAY(),$G$2:$G$1001,"&lt;"&amp;$G551,$A$2:$A$1001,"&lt;&gt;")+COUNTIFS($G$2:$G551,$G551,$A$2:$A551,"&lt;&gt;"),"")</f>
        <v/>
      </c>
      <c r="X551" t="str">
        <f>IF(AND($A551&lt;&gt;"",ISNUMBER($C551),$C551&gt;=DATE(2003,1,1)),COUNTIFS($C$2:$C551,"&gt;="&amp;DATE(2003,1,1),$A$2:$A551,"&lt;&gt;"),"")</f>
        <v/>
      </c>
    </row>
    <row r="552" spans="1:24">
      <c r="A552" t="str">
        <f>IF('8 Numaralar'!A54="","",'8 Numaralar'!A54)</f>
        <v/>
      </c>
      <c r="B552" t="str">
        <f>IF('8 Numaralar'!B54="","",'8 Numaralar'!B54)</f>
        <v/>
      </c>
      <c r="C552" s="2" t="str">
        <f>IF('8 Numaralar'!C54="","",'8 Numaralar'!C54)</f>
        <v/>
      </c>
      <c r="D552" t="str">
        <f ca="1">IF('8 Numaralar'!D54="","",'8 Numaralar'!D54)</f>
        <v/>
      </c>
      <c r="E552" t="str">
        <f>IF('8 Numaralar'!E54="","",'8 Numaralar'!E54)</f>
        <v>8 Numara</v>
      </c>
      <c r="F552" t="str">
        <f>IF('8 Numaralar'!G54="","",'8 Numaralar'!G54)</f>
        <v/>
      </c>
      <c r="G552" s="2" t="str">
        <f>IF('8 Numaralar'!H54="","",'8 Numaralar'!H54)</f>
        <v/>
      </c>
      <c r="H552" t="str">
        <f>IF('8 Numaralar'!I54="","",'8 Numaralar'!I54)</f>
        <v/>
      </c>
      <c r="I552" t="str">
        <f>IF('8 Numaralar'!A54="","",'8 Numaralar'!J54)</f>
        <v/>
      </c>
      <c r="J552" t="str">
        <f>IF('8 Numaralar'!A54="","",'8 Numaralar'!K54)</f>
        <v/>
      </c>
      <c r="K552" t="str">
        <f>IF('8 Numaralar'!L54="","",'8 Numaralar'!L54)</f>
        <v/>
      </c>
      <c r="L552" t="str">
        <f>IF('8 Numaralar'!M54="","",'8 Numaralar'!M54)</f>
        <v/>
      </c>
      <c r="M552" t="str">
        <f>IF('8 Numaralar'!N54="","",'8 Numaralar'!N54)</f>
        <v/>
      </c>
      <c r="N552" t="str">
        <f>IF('8 Numaralar'!O54="","",'8 Numaralar'!O54)</f>
        <v/>
      </c>
      <c r="O552" t="str">
        <f>IF('8 Numaralar'!P54="","",'8 Numaralar'!P54)</f>
        <v/>
      </c>
      <c r="P552" t="str">
        <f>IF('8 Numaralar'!Q54="","",'8 Numaralar'!Q54)</f>
        <v/>
      </c>
      <c r="Q552" t="str">
        <f>IF('8 Numaralar'!R54="","",'8 Numaralar'!R54)</f>
        <v/>
      </c>
      <c r="R552" t="str">
        <f>IF('8 Numaralar'!S54="","",'8 Numaralar'!S54)</f>
        <v/>
      </c>
      <c r="S552" t="str">
        <f>IF('8 Numaralar'!T54="","",'8 Numaralar'!T54)</f>
        <v/>
      </c>
      <c r="T552" s="2" t="str">
        <f>IF('8 Numaralar'!U54="","",'8 Numaralar'!U54)</f>
        <v/>
      </c>
      <c r="U552" t="s">
        <v>931</v>
      </c>
      <c r="V552">
        <v>54</v>
      </c>
      <c r="W552" t="str">
        <f ca="1">IF(AND($A552&lt;&gt;"",ISNUMBER($G552),$G552&gt;=TODAY(),$G552&lt;=EDATE(TODAY(),12)),COUNTIFS($G$2:$G$1001,"&gt;="&amp;TODAY(),$G$2:$G$1001,"&lt;"&amp;$G552,$A$2:$A$1001,"&lt;&gt;")+COUNTIFS($G$2:$G552,$G552,$A$2:$A552,"&lt;&gt;"),"")</f>
        <v/>
      </c>
      <c r="X552" t="str">
        <f>IF(AND($A552&lt;&gt;"",ISNUMBER($C552),$C552&gt;=DATE(2003,1,1)),COUNTIFS($C$2:$C552,"&gt;="&amp;DATE(2003,1,1),$A$2:$A552,"&lt;&gt;"),"")</f>
        <v/>
      </c>
    </row>
    <row r="553" spans="1:24">
      <c r="A553" t="str">
        <f>IF('8 Numaralar'!A55="","",'8 Numaralar'!A55)</f>
        <v/>
      </c>
      <c r="B553" t="str">
        <f>IF('8 Numaralar'!B55="","",'8 Numaralar'!B55)</f>
        <v/>
      </c>
      <c r="C553" s="2" t="str">
        <f>IF('8 Numaralar'!C55="","",'8 Numaralar'!C55)</f>
        <v/>
      </c>
      <c r="D553" t="str">
        <f ca="1">IF('8 Numaralar'!D55="","",'8 Numaralar'!D55)</f>
        <v/>
      </c>
      <c r="E553" t="str">
        <f>IF('8 Numaralar'!E55="","",'8 Numaralar'!E55)</f>
        <v>8 Numara</v>
      </c>
      <c r="F553" t="str">
        <f>IF('8 Numaralar'!G55="","",'8 Numaralar'!G55)</f>
        <v/>
      </c>
      <c r="G553" s="2" t="str">
        <f>IF('8 Numaralar'!H55="","",'8 Numaralar'!H55)</f>
        <v/>
      </c>
      <c r="H553" t="str">
        <f>IF('8 Numaralar'!I55="","",'8 Numaralar'!I55)</f>
        <v/>
      </c>
      <c r="I553" t="str">
        <f>IF('8 Numaralar'!A55="","",'8 Numaralar'!J55)</f>
        <v/>
      </c>
      <c r="J553" t="str">
        <f>IF('8 Numaralar'!A55="","",'8 Numaralar'!K55)</f>
        <v/>
      </c>
      <c r="K553" t="str">
        <f>IF('8 Numaralar'!L55="","",'8 Numaralar'!L55)</f>
        <v/>
      </c>
      <c r="L553" t="str">
        <f>IF('8 Numaralar'!M55="","",'8 Numaralar'!M55)</f>
        <v/>
      </c>
      <c r="M553" t="str">
        <f>IF('8 Numaralar'!N55="","",'8 Numaralar'!N55)</f>
        <v/>
      </c>
      <c r="N553" t="str">
        <f>IF('8 Numaralar'!O55="","",'8 Numaralar'!O55)</f>
        <v/>
      </c>
      <c r="O553" t="str">
        <f>IF('8 Numaralar'!P55="","",'8 Numaralar'!P55)</f>
        <v/>
      </c>
      <c r="P553" t="str">
        <f>IF('8 Numaralar'!Q55="","",'8 Numaralar'!Q55)</f>
        <v/>
      </c>
      <c r="Q553" t="str">
        <f>IF('8 Numaralar'!R55="","",'8 Numaralar'!R55)</f>
        <v/>
      </c>
      <c r="R553" t="str">
        <f>IF('8 Numaralar'!S55="","",'8 Numaralar'!S55)</f>
        <v/>
      </c>
      <c r="S553" t="str">
        <f>IF('8 Numaralar'!T55="","",'8 Numaralar'!T55)</f>
        <v/>
      </c>
      <c r="T553" s="2" t="str">
        <f>IF('8 Numaralar'!U55="","",'8 Numaralar'!U55)</f>
        <v/>
      </c>
      <c r="U553" t="s">
        <v>931</v>
      </c>
      <c r="V553">
        <v>55</v>
      </c>
      <c r="W553" t="str">
        <f ca="1">IF(AND($A553&lt;&gt;"",ISNUMBER($G553),$G553&gt;=TODAY(),$G553&lt;=EDATE(TODAY(),12)),COUNTIFS($G$2:$G$1001,"&gt;="&amp;TODAY(),$G$2:$G$1001,"&lt;"&amp;$G553,$A$2:$A$1001,"&lt;&gt;")+COUNTIFS($G$2:$G553,$G553,$A$2:$A553,"&lt;&gt;"),"")</f>
        <v/>
      </c>
      <c r="X553" t="str">
        <f>IF(AND($A553&lt;&gt;"",ISNUMBER($C553),$C553&gt;=DATE(2003,1,1)),COUNTIFS($C$2:$C553,"&gt;="&amp;DATE(2003,1,1),$A$2:$A553,"&lt;&gt;"),"")</f>
        <v/>
      </c>
    </row>
    <row r="554" spans="1:24">
      <c r="A554" t="str">
        <f>IF('8 Numaralar'!A56="","",'8 Numaralar'!A56)</f>
        <v/>
      </c>
      <c r="B554" t="str">
        <f>IF('8 Numaralar'!B56="","",'8 Numaralar'!B56)</f>
        <v/>
      </c>
      <c r="C554" s="2" t="str">
        <f>IF('8 Numaralar'!C56="","",'8 Numaralar'!C56)</f>
        <v/>
      </c>
      <c r="D554" t="str">
        <f ca="1">IF('8 Numaralar'!D56="","",'8 Numaralar'!D56)</f>
        <v/>
      </c>
      <c r="E554" t="str">
        <f>IF('8 Numaralar'!E56="","",'8 Numaralar'!E56)</f>
        <v>8 Numara</v>
      </c>
      <c r="F554" t="str">
        <f>IF('8 Numaralar'!G56="","",'8 Numaralar'!G56)</f>
        <v/>
      </c>
      <c r="G554" s="2" t="str">
        <f>IF('8 Numaralar'!H56="","",'8 Numaralar'!H56)</f>
        <v/>
      </c>
      <c r="H554" t="str">
        <f>IF('8 Numaralar'!I56="","",'8 Numaralar'!I56)</f>
        <v/>
      </c>
      <c r="I554" t="str">
        <f>IF('8 Numaralar'!A56="","",'8 Numaralar'!J56)</f>
        <v/>
      </c>
      <c r="J554" t="str">
        <f>IF('8 Numaralar'!A56="","",'8 Numaralar'!K56)</f>
        <v/>
      </c>
      <c r="K554" t="str">
        <f>IF('8 Numaralar'!L56="","",'8 Numaralar'!L56)</f>
        <v/>
      </c>
      <c r="L554" t="str">
        <f>IF('8 Numaralar'!M56="","",'8 Numaralar'!M56)</f>
        <v/>
      </c>
      <c r="M554" t="str">
        <f>IF('8 Numaralar'!N56="","",'8 Numaralar'!N56)</f>
        <v/>
      </c>
      <c r="N554" t="str">
        <f>IF('8 Numaralar'!O56="","",'8 Numaralar'!O56)</f>
        <v/>
      </c>
      <c r="O554" t="str">
        <f>IF('8 Numaralar'!P56="","",'8 Numaralar'!P56)</f>
        <v/>
      </c>
      <c r="P554" t="str">
        <f>IF('8 Numaralar'!Q56="","",'8 Numaralar'!Q56)</f>
        <v/>
      </c>
      <c r="Q554" t="str">
        <f>IF('8 Numaralar'!R56="","",'8 Numaralar'!R56)</f>
        <v/>
      </c>
      <c r="R554" t="str">
        <f>IF('8 Numaralar'!S56="","",'8 Numaralar'!S56)</f>
        <v/>
      </c>
      <c r="S554" t="str">
        <f>IF('8 Numaralar'!T56="","",'8 Numaralar'!T56)</f>
        <v/>
      </c>
      <c r="T554" s="2" t="str">
        <f>IF('8 Numaralar'!U56="","",'8 Numaralar'!U56)</f>
        <v/>
      </c>
      <c r="U554" t="s">
        <v>931</v>
      </c>
      <c r="V554">
        <v>56</v>
      </c>
      <c r="W554" t="str">
        <f ca="1">IF(AND($A554&lt;&gt;"",ISNUMBER($G554),$G554&gt;=TODAY(),$G554&lt;=EDATE(TODAY(),12)),COUNTIFS($G$2:$G$1001,"&gt;="&amp;TODAY(),$G$2:$G$1001,"&lt;"&amp;$G554,$A$2:$A$1001,"&lt;&gt;")+COUNTIFS($G$2:$G554,$G554,$A$2:$A554,"&lt;&gt;"),"")</f>
        <v/>
      </c>
      <c r="X554" t="str">
        <f>IF(AND($A554&lt;&gt;"",ISNUMBER($C554),$C554&gt;=DATE(2003,1,1)),COUNTIFS($C$2:$C554,"&gt;="&amp;DATE(2003,1,1),$A$2:$A554,"&lt;&gt;"),"")</f>
        <v/>
      </c>
    </row>
    <row r="555" spans="1:24">
      <c r="A555" t="str">
        <f>IF('8 Numaralar'!A57="","",'8 Numaralar'!A57)</f>
        <v/>
      </c>
      <c r="B555" t="str">
        <f>IF('8 Numaralar'!B57="","",'8 Numaralar'!B57)</f>
        <v/>
      </c>
      <c r="C555" s="2" t="str">
        <f>IF('8 Numaralar'!C57="","",'8 Numaralar'!C57)</f>
        <v/>
      </c>
      <c r="D555" t="str">
        <f ca="1">IF('8 Numaralar'!D57="","",'8 Numaralar'!D57)</f>
        <v/>
      </c>
      <c r="E555" t="str">
        <f>IF('8 Numaralar'!E57="","",'8 Numaralar'!E57)</f>
        <v>8 Numara</v>
      </c>
      <c r="F555" t="str">
        <f>IF('8 Numaralar'!G57="","",'8 Numaralar'!G57)</f>
        <v/>
      </c>
      <c r="G555" s="2" t="str">
        <f>IF('8 Numaralar'!H57="","",'8 Numaralar'!H57)</f>
        <v/>
      </c>
      <c r="H555" t="str">
        <f>IF('8 Numaralar'!I57="","",'8 Numaralar'!I57)</f>
        <v/>
      </c>
      <c r="I555" t="str">
        <f>IF('8 Numaralar'!A57="","",'8 Numaralar'!J57)</f>
        <v/>
      </c>
      <c r="J555" t="str">
        <f>IF('8 Numaralar'!A57="","",'8 Numaralar'!K57)</f>
        <v/>
      </c>
      <c r="K555" t="str">
        <f>IF('8 Numaralar'!L57="","",'8 Numaralar'!L57)</f>
        <v/>
      </c>
      <c r="L555" t="str">
        <f>IF('8 Numaralar'!M57="","",'8 Numaralar'!M57)</f>
        <v/>
      </c>
      <c r="M555" t="str">
        <f>IF('8 Numaralar'!N57="","",'8 Numaralar'!N57)</f>
        <v/>
      </c>
      <c r="N555" t="str">
        <f>IF('8 Numaralar'!O57="","",'8 Numaralar'!O57)</f>
        <v/>
      </c>
      <c r="O555" t="str">
        <f>IF('8 Numaralar'!P57="","",'8 Numaralar'!P57)</f>
        <v/>
      </c>
      <c r="P555" t="str">
        <f>IF('8 Numaralar'!Q57="","",'8 Numaralar'!Q57)</f>
        <v/>
      </c>
      <c r="Q555" t="str">
        <f>IF('8 Numaralar'!R57="","",'8 Numaralar'!R57)</f>
        <v/>
      </c>
      <c r="R555" t="str">
        <f>IF('8 Numaralar'!S57="","",'8 Numaralar'!S57)</f>
        <v/>
      </c>
      <c r="S555" t="str">
        <f>IF('8 Numaralar'!T57="","",'8 Numaralar'!T57)</f>
        <v/>
      </c>
      <c r="T555" s="2" t="str">
        <f>IF('8 Numaralar'!U57="","",'8 Numaralar'!U57)</f>
        <v/>
      </c>
      <c r="U555" t="s">
        <v>931</v>
      </c>
      <c r="V555">
        <v>57</v>
      </c>
      <c r="W555" t="str">
        <f ca="1">IF(AND($A555&lt;&gt;"",ISNUMBER($G555),$G555&gt;=TODAY(),$G555&lt;=EDATE(TODAY(),12)),COUNTIFS($G$2:$G$1001,"&gt;="&amp;TODAY(),$G$2:$G$1001,"&lt;"&amp;$G555,$A$2:$A$1001,"&lt;&gt;")+COUNTIFS($G$2:$G555,$G555,$A$2:$A555,"&lt;&gt;"),"")</f>
        <v/>
      </c>
      <c r="X555" t="str">
        <f>IF(AND($A555&lt;&gt;"",ISNUMBER($C555),$C555&gt;=DATE(2003,1,1)),COUNTIFS($C$2:$C555,"&gt;="&amp;DATE(2003,1,1),$A$2:$A555,"&lt;&gt;"),"")</f>
        <v/>
      </c>
    </row>
    <row r="556" spans="1:24">
      <c r="A556" t="str">
        <f>IF('8 Numaralar'!A58="","",'8 Numaralar'!A58)</f>
        <v/>
      </c>
      <c r="B556" t="str">
        <f>IF('8 Numaralar'!B58="","",'8 Numaralar'!B58)</f>
        <v/>
      </c>
      <c r="C556" s="2" t="str">
        <f>IF('8 Numaralar'!C58="","",'8 Numaralar'!C58)</f>
        <v/>
      </c>
      <c r="D556" t="str">
        <f ca="1">IF('8 Numaralar'!D58="","",'8 Numaralar'!D58)</f>
        <v/>
      </c>
      <c r="E556" t="str">
        <f>IF('8 Numaralar'!E58="","",'8 Numaralar'!E58)</f>
        <v>8 Numara</v>
      </c>
      <c r="F556" t="str">
        <f>IF('8 Numaralar'!G58="","",'8 Numaralar'!G58)</f>
        <v/>
      </c>
      <c r="G556" s="2" t="str">
        <f>IF('8 Numaralar'!H58="","",'8 Numaralar'!H58)</f>
        <v/>
      </c>
      <c r="H556" t="str">
        <f>IF('8 Numaralar'!I58="","",'8 Numaralar'!I58)</f>
        <v/>
      </c>
      <c r="I556" t="str">
        <f>IF('8 Numaralar'!A58="","",'8 Numaralar'!J58)</f>
        <v/>
      </c>
      <c r="J556" t="str">
        <f>IF('8 Numaralar'!A58="","",'8 Numaralar'!K58)</f>
        <v/>
      </c>
      <c r="K556" t="str">
        <f>IF('8 Numaralar'!L58="","",'8 Numaralar'!L58)</f>
        <v/>
      </c>
      <c r="L556" t="str">
        <f>IF('8 Numaralar'!M58="","",'8 Numaralar'!M58)</f>
        <v/>
      </c>
      <c r="M556" t="str">
        <f>IF('8 Numaralar'!N58="","",'8 Numaralar'!N58)</f>
        <v/>
      </c>
      <c r="N556" t="str">
        <f>IF('8 Numaralar'!O58="","",'8 Numaralar'!O58)</f>
        <v/>
      </c>
      <c r="O556" t="str">
        <f>IF('8 Numaralar'!P58="","",'8 Numaralar'!P58)</f>
        <v/>
      </c>
      <c r="P556" t="str">
        <f>IF('8 Numaralar'!Q58="","",'8 Numaralar'!Q58)</f>
        <v/>
      </c>
      <c r="Q556" t="str">
        <f>IF('8 Numaralar'!R58="","",'8 Numaralar'!R58)</f>
        <v/>
      </c>
      <c r="R556" t="str">
        <f>IF('8 Numaralar'!S58="","",'8 Numaralar'!S58)</f>
        <v/>
      </c>
      <c r="S556" t="str">
        <f>IF('8 Numaralar'!T58="","",'8 Numaralar'!T58)</f>
        <v/>
      </c>
      <c r="T556" s="2" t="str">
        <f>IF('8 Numaralar'!U58="","",'8 Numaralar'!U58)</f>
        <v/>
      </c>
      <c r="U556" t="s">
        <v>931</v>
      </c>
      <c r="V556">
        <v>58</v>
      </c>
      <c r="W556" t="str">
        <f ca="1">IF(AND($A556&lt;&gt;"",ISNUMBER($G556),$G556&gt;=TODAY(),$G556&lt;=EDATE(TODAY(),12)),COUNTIFS($G$2:$G$1001,"&gt;="&amp;TODAY(),$G$2:$G$1001,"&lt;"&amp;$G556,$A$2:$A$1001,"&lt;&gt;")+COUNTIFS($G$2:$G556,$G556,$A$2:$A556,"&lt;&gt;"),"")</f>
        <v/>
      </c>
      <c r="X556" t="str">
        <f>IF(AND($A556&lt;&gt;"",ISNUMBER($C556),$C556&gt;=DATE(2003,1,1)),COUNTIFS($C$2:$C556,"&gt;="&amp;DATE(2003,1,1),$A$2:$A556,"&lt;&gt;"),"")</f>
        <v/>
      </c>
    </row>
    <row r="557" spans="1:24">
      <c r="A557" t="str">
        <f>IF('8 Numaralar'!A59="","",'8 Numaralar'!A59)</f>
        <v/>
      </c>
      <c r="B557" t="str">
        <f>IF('8 Numaralar'!B59="","",'8 Numaralar'!B59)</f>
        <v/>
      </c>
      <c r="C557" s="2" t="str">
        <f>IF('8 Numaralar'!C59="","",'8 Numaralar'!C59)</f>
        <v/>
      </c>
      <c r="D557" t="str">
        <f ca="1">IF('8 Numaralar'!D59="","",'8 Numaralar'!D59)</f>
        <v/>
      </c>
      <c r="E557" t="str">
        <f>IF('8 Numaralar'!E59="","",'8 Numaralar'!E59)</f>
        <v>8 Numara</v>
      </c>
      <c r="F557" t="str">
        <f>IF('8 Numaralar'!G59="","",'8 Numaralar'!G59)</f>
        <v/>
      </c>
      <c r="G557" s="2" t="str">
        <f>IF('8 Numaralar'!H59="","",'8 Numaralar'!H59)</f>
        <v/>
      </c>
      <c r="H557" t="str">
        <f>IF('8 Numaralar'!I59="","",'8 Numaralar'!I59)</f>
        <v/>
      </c>
      <c r="I557" t="str">
        <f>IF('8 Numaralar'!A59="","",'8 Numaralar'!J59)</f>
        <v/>
      </c>
      <c r="J557" t="str">
        <f>IF('8 Numaralar'!A59="","",'8 Numaralar'!K59)</f>
        <v/>
      </c>
      <c r="K557" t="str">
        <f>IF('8 Numaralar'!L59="","",'8 Numaralar'!L59)</f>
        <v/>
      </c>
      <c r="L557" t="str">
        <f>IF('8 Numaralar'!M59="","",'8 Numaralar'!M59)</f>
        <v/>
      </c>
      <c r="M557" t="str">
        <f>IF('8 Numaralar'!N59="","",'8 Numaralar'!N59)</f>
        <v/>
      </c>
      <c r="N557" t="str">
        <f>IF('8 Numaralar'!O59="","",'8 Numaralar'!O59)</f>
        <v/>
      </c>
      <c r="O557" t="str">
        <f>IF('8 Numaralar'!P59="","",'8 Numaralar'!P59)</f>
        <v/>
      </c>
      <c r="P557" t="str">
        <f>IF('8 Numaralar'!Q59="","",'8 Numaralar'!Q59)</f>
        <v/>
      </c>
      <c r="Q557" t="str">
        <f>IF('8 Numaralar'!R59="","",'8 Numaralar'!R59)</f>
        <v/>
      </c>
      <c r="R557" t="str">
        <f>IF('8 Numaralar'!S59="","",'8 Numaralar'!S59)</f>
        <v/>
      </c>
      <c r="S557" t="str">
        <f>IF('8 Numaralar'!T59="","",'8 Numaralar'!T59)</f>
        <v/>
      </c>
      <c r="T557" s="2" t="str">
        <f>IF('8 Numaralar'!U59="","",'8 Numaralar'!U59)</f>
        <v/>
      </c>
      <c r="U557" t="s">
        <v>931</v>
      </c>
      <c r="V557">
        <v>59</v>
      </c>
      <c r="W557" t="str">
        <f ca="1">IF(AND($A557&lt;&gt;"",ISNUMBER($G557),$G557&gt;=TODAY(),$G557&lt;=EDATE(TODAY(),12)),COUNTIFS($G$2:$G$1001,"&gt;="&amp;TODAY(),$G$2:$G$1001,"&lt;"&amp;$G557,$A$2:$A$1001,"&lt;&gt;")+COUNTIFS($G$2:$G557,$G557,$A$2:$A557,"&lt;&gt;"),"")</f>
        <v/>
      </c>
      <c r="X557" t="str">
        <f>IF(AND($A557&lt;&gt;"",ISNUMBER($C557),$C557&gt;=DATE(2003,1,1)),COUNTIFS($C$2:$C557,"&gt;="&amp;DATE(2003,1,1),$A$2:$A557,"&lt;&gt;"),"")</f>
        <v/>
      </c>
    </row>
    <row r="558" spans="1:24">
      <c r="A558" t="str">
        <f>IF('8 Numaralar'!A60="","",'8 Numaralar'!A60)</f>
        <v/>
      </c>
      <c r="B558" t="str">
        <f>IF('8 Numaralar'!B60="","",'8 Numaralar'!B60)</f>
        <v/>
      </c>
      <c r="C558" s="2" t="str">
        <f>IF('8 Numaralar'!C60="","",'8 Numaralar'!C60)</f>
        <v/>
      </c>
      <c r="D558" t="str">
        <f ca="1">IF('8 Numaralar'!D60="","",'8 Numaralar'!D60)</f>
        <v/>
      </c>
      <c r="E558" t="str">
        <f>IF('8 Numaralar'!E60="","",'8 Numaralar'!E60)</f>
        <v>8 Numara</v>
      </c>
      <c r="F558" t="str">
        <f>IF('8 Numaralar'!G60="","",'8 Numaralar'!G60)</f>
        <v/>
      </c>
      <c r="G558" s="2" t="str">
        <f>IF('8 Numaralar'!H60="","",'8 Numaralar'!H60)</f>
        <v/>
      </c>
      <c r="H558" t="str">
        <f>IF('8 Numaralar'!I60="","",'8 Numaralar'!I60)</f>
        <v/>
      </c>
      <c r="I558" t="str">
        <f>IF('8 Numaralar'!A60="","",'8 Numaralar'!J60)</f>
        <v/>
      </c>
      <c r="J558" t="str">
        <f>IF('8 Numaralar'!A60="","",'8 Numaralar'!K60)</f>
        <v/>
      </c>
      <c r="K558" t="str">
        <f>IF('8 Numaralar'!L60="","",'8 Numaralar'!L60)</f>
        <v/>
      </c>
      <c r="L558" t="str">
        <f>IF('8 Numaralar'!M60="","",'8 Numaralar'!M60)</f>
        <v/>
      </c>
      <c r="M558" t="str">
        <f>IF('8 Numaralar'!N60="","",'8 Numaralar'!N60)</f>
        <v/>
      </c>
      <c r="N558" t="str">
        <f>IF('8 Numaralar'!O60="","",'8 Numaralar'!O60)</f>
        <v/>
      </c>
      <c r="O558" t="str">
        <f>IF('8 Numaralar'!P60="","",'8 Numaralar'!P60)</f>
        <v/>
      </c>
      <c r="P558" t="str">
        <f>IF('8 Numaralar'!Q60="","",'8 Numaralar'!Q60)</f>
        <v/>
      </c>
      <c r="Q558" t="str">
        <f>IF('8 Numaralar'!R60="","",'8 Numaralar'!R60)</f>
        <v/>
      </c>
      <c r="R558" t="str">
        <f>IF('8 Numaralar'!S60="","",'8 Numaralar'!S60)</f>
        <v/>
      </c>
      <c r="S558" t="str">
        <f>IF('8 Numaralar'!T60="","",'8 Numaralar'!T60)</f>
        <v/>
      </c>
      <c r="T558" s="2" t="str">
        <f>IF('8 Numaralar'!U60="","",'8 Numaralar'!U60)</f>
        <v/>
      </c>
      <c r="U558" t="s">
        <v>931</v>
      </c>
      <c r="V558">
        <v>60</v>
      </c>
      <c r="W558" t="str">
        <f ca="1">IF(AND($A558&lt;&gt;"",ISNUMBER($G558),$G558&gt;=TODAY(),$G558&lt;=EDATE(TODAY(),12)),COUNTIFS($G$2:$G$1001,"&gt;="&amp;TODAY(),$G$2:$G$1001,"&lt;"&amp;$G558,$A$2:$A$1001,"&lt;&gt;")+COUNTIFS($G$2:$G558,$G558,$A$2:$A558,"&lt;&gt;"),"")</f>
        <v/>
      </c>
      <c r="X558" t="str">
        <f>IF(AND($A558&lt;&gt;"",ISNUMBER($C558),$C558&gt;=DATE(2003,1,1)),COUNTIFS($C$2:$C558,"&gt;="&amp;DATE(2003,1,1),$A$2:$A558,"&lt;&gt;"),"")</f>
        <v/>
      </c>
    </row>
    <row r="559" spans="1:24">
      <c r="A559" t="str">
        <f>IF('8 Numaralar'!A61="","",'8 Numaralar'!A61)</f>
        <v/>
      </c>
      <c r="B559" t="str">
        <f>IF('8 Numaralar'!B61="","",'8 Numaralar'!B61)</f>
        <v/>
      </c>
      <c r="C559" s="2" t="str">
        <f>IF('8 Numaralar'!C61="","",'8 Numaralar'!C61)</f>
        <v/>
      </c>
      <c r="D559" t="str">
        <f ca="1">IF('8 Numaralar'!D61="","",'8 Numaralar'!D61)</f>
        <v/>
      </c>
      <c r="E559" t="str">
        <f>IF('8 Numaralar'!E61="","",'8 Numaralar'!E61)</f>
        <v>8 Numara</v>
      </c>
      <c r="F559" t="str">
        <f>IF('8 Numaralar'!G61="","",'8 Numaralar'!G61)</f>
        <v/>
      </c>
      <c r="G559" s="2" t="str">
        <f>IF('8 Numaralar'!H61="","",'8 Numaralar'!H61)</f>
        <v/>
      </c>
      <c r="H559" t="str">
        <f>IF('8 Numaralar'!I61="","",'8 Numaralar'!I61)</f>
        <v/>
      </c>
      <c r="I559" t="str">
        <f>IF('8 Numaralar'!A61="","",'8 Numaralar'!J61)</f>
        <v/>
      </c>
      <c r="J559" t="str">
        <f>IF('8 Numaralar'!A61="","",'8 Numaralar'!K61)</f>
        <v/>
      </c>
      <c r="K559" t="str">
        <f>IF('8 Numaralar'!L61="","",'8 Numaralar'!L61)</f>
        <v/>
      </c>
      <c r="L559" t="str">
        <f>IF('8 Numaralar'!M61="","",'8 Numaralar'!M61)</f>
        <v/>
      </c>
      <c r="M559" t="str">
        <f>IF('8 Numaralar'!N61="","",'8 Numaralar'!N61)</f>
        <v/>
      </c>
      <c r="N559" t="str">
        <f>IF('8 Numaralar'!O61="","",'8 Numaralar'!O61)</f>
        <v/>
      </c>
      <c r="O559" t="str">
        <f>IF('8 Numaralar'!P61="","",'8 Numaralar'!P61)</f>
        <v/>
      </c>
      <c r="P559" t="str">
        <f>IF('8 Numaralar'!Q61="","",'8 Numaralar'!Q61)</f>
        <v/>
      </c>
      <c r="Q559" t="str">
        <f>IF('8 Numaralar'!R61="","",'8 Numaralar'!R61)</f>
        <v/>
      </c>
      <c r="R559" t="str">
        <f>IF('8 Numaralar'!S61="","",'8 Numaralar'!S61)</f>
        <v/>
      </c>
      <c r="S559" t="str">
        <f>IF('8 Numaralar'!T61="","",'8 Numaralar'!T61)</f>
        <v/>
      </c>
      <c r="T559" s="2" t="str">
        <f>IF('8 Numaralar'!U61="","",'8 Numaralar'!U61)</f>
        <v/>
      </c>
      <c r="U559" t="s">
        <v>931</v>
      </c>
      <c r="V559">
        <v>61</v>
      </c>
      <c r="W559" t="str">
        <f ca="1">IF(AND($A559&lt;&gt;"",ISNUMBER($G559),$G559&gt;=TODAY(),$G559&lt;=EDATE(TODAY(),12)),COUNTIFS($G$2:$G$1001,"&gt;="&amp;TODAY(),$G$2:$G$1001,"&lt;"&amp;$G559,$A$2:$A$1001,"&lt;&gt;")+COUNTIFS($G$2:$G559,$G559,$A$2:$A559,"&lt;&gt;"),"")</f>
        <v/>
      </c>
      <c r="X559" t="str">
        <f>IF(AND($A559&lt;&gt;"",ISNUMBER($C559),$C559&gt;=DATE(2003,1,1)),COUNTIFS($C$2:$C559,"&gt;="&amp;DATE(2003,1,1),$A$2:$A559,"&lt;&gt;"),"")</f>
        <v/>
      </c>
    </row>
    <row r="560" spans="1:24">
      <c r="A560" t="str">
        <f>IF('8 Numaralar'!A62="","",'8 Numaralar'!A62)</f>
        <v/>
      </c>
      <c r="B560" t="str">
        <f>IF('8 Numaralar'!B62="","",'8 Numaralar'!B62)</f>
        <v/>
      </c>
      <c r="C560" s="2" t="str">
        <f>IF('8 Numaralar'!C62="","",'8 Numaralar'!C62)</f>
        <v/>
      </c>
      <c r="D560" t="str">
        <f ca="1">IF('8 Numaralar'!D62="","",'8 Numaralar'!D62)</f>
        <v/>
      </c>
      <c r="E560" t="str">
        <f>IF('8 Numaralar'!E62="","",'8 Numaralar'!E62)</f>
        <v>8 Numara</v>
      </c>
      <c r="F560" t="str">
        <f>IF('8 Numaralar'!G62="","",'8 Numaralar'!G62)</f>
        <v/>
      </c>
      <c r="G560" s="2" t="str">
        <f>IF('8 Numaralar'!H62="","",'8 Numaralar'!H62)</f>
        <v/>
      </c>
      <c r="H560" t="str">
        <f>IF('8 Numaralar'!I62="","",'8 Numaralar'!I62)</f>
        <v/>
      </c>
      <c r="I560" t="str">
        <f>IF('8 Numaralar'!A62="","",'8 Numaralar'!J62)</f>
        <v/>
      </c>
      <c r="J560" t="str">
        <f>IF('8 Numaralar'!A62="","",'8 Numaralar'!K62)</f>
        <v/>
      </c>
      <c r="K560" t="str">
        <f>IF('8 Numaralar'!L62="","",'8 Numaralar'!L62)</f>
        <v/>
      </c>
      <c r="L560" t="str">
        <f>IF('8 Numaralar'!M62="","",'8 Numaralar'!M62)</f>
        <v/>
      </c>
      <c r="M560" t="str">
        <f>IF('8 Numaralar'!N62="","",'8 Numaralar'!N62)</f>
        <v/>
      </c>
      <c r="N560" t="str">
        <f>IF('8 Numaralar'!O62="","",'8 Numaralar'!O62)</f>
        <v/>
      </c>
      <c r="O560" t="str">
        <f>IF('8 Numaralar'!P62="","",'8 Numaralar'!P62)</f>
        <v/>
      </c>
      <c r="P560" t="str">
        <f>IF('8 Numaralar'!Q62="","",'8 Numaralar'!Q62)</f>
        <v/>
      </c>
      <c r="Q560" t="str">
        <f>IF('8 Numaralar'!R62="","",'8 Numaralar'!R62)</f>
        <v/>
      </c>
      <c r="R560" t="str">
        <f>IF('8 Numaralar'!S62="","",'8 Numaralar'!S62)</f>
        <v/>
      </c>
      <c r="S560" t="str">
        <f>IF('8 Numaralar'!T62="","",'8 Numaralar'!T62)</f>
        <v/>
      </c>
      <c r="T560" s="2" t="str">
        <f>IF('8 Numaralar'!U62="","",'8 Numaralar'!U62)</f>
        <v/>
      </c>
      <c r="U560" t="s">
        <v>931</v>
      </c>
      <c r="V560">
        <v>62</v>
      </c>
      <c r="W560" t="str">
        <f ca="1">IF(AND($A560&lt;&gt;"",ISNUMBER($G560),$G560&gt;=TODAY(),$G560&lt;=EDATE(TODAY(),12)),COUNTIFS($G$2:$G$1001,"&gt;="&amp;TODAY(),$G$2:$G$1001,"&lt;"&amp;$G560,$A$2:$A$1001,"&lt;&gt;")+COUNTIFS($G$2:$G560,$G560,$A$2:$A560,"&lt;&gt;"),"")</f>
        <v/>
      </c>
      <c r="X560" t="str">
        <f>IF(AND($A560&lt;&gt;"",ISNUMBER($C560),$C560&gt;=DATE(2003,1,1)),COUNTIFS($C$2:$C560,"&gt;="&amp;DATE(2003,1,1),$A$2:$A560,"&lt;&gt;"),"")</f>
        <v/>
      </c>
    </row>
    <row r="561" spans="1:24">
      <c r="A561" t="str">
        <f>IF('8 Numaralar'!A63="","",'8 Numaralar'!A63)</f>
        <v/>
      </c>
      <c r="B561" t="str">
        <f>IF('8 Numaralar'!B63="","",'8 Numaralar'!B63)</f>
        <v/>
      </c>
      <c r="C561" s="2" t="str">
        <f>IF('8 Numaralar'!C63="","",'8 Numaralar'!C63)</f>
        <v/>
      </c>
      <c r="D561" t="str">
        <f ca="1">IF('8 Numaralar'!D63="","",'8 Numaralar'!D63)</f>
        <v/>
      </c>
      <c r="E561" t="str">
        <f>IF('8 Numaralar'!E63="","",'8 Numaralar'!E63)</f>
        <v>8 Numara</v>
      </c>
      <c r="F561" t="str">
        <f>IF('8 Numaralar'!G63="","",'8 Numaralar'!G63)</f>
        <v/>
      </c>
      <c r="G561" s="2" t="str">
        <f>IF('8 Numaralar'!H63="","",'8 Numaralar'!H63)</f>
        <v/>
      </c>
      <c r="H561" t="str">
        <f>IF('8 Numaralar'!I63="","",'8 Numaralar'!I63)</f>
        <v/>
      </c>
      <c r="I561" t="str">
        <f>IF('8 Numaralar'!A63="","",'8 Numaralar'!J63)</f>
        <v/>
      </c>
      <c r="J561" t="str">
        <f>IF('8 Numaralar'!A63="","",'8 Numaralar'!K63)</f>
        <v/>
      </c>
      <c r="K561" t="str">
        <f>IF('8 Numaralar'!L63="","",'8 Numaralar'!L63)</f>
        <v/>
      </c>
      <c r="L561" t="str">
        <f>IF('8 Numaralar'!M63="","",'8 Numaralar'!M63)</f>
        <v/>
      </c>
      <c r="M561" t="str">
        <f>IF('8 Numaralar'!N63="","",'8 Numaralar'!N63)</f>
        <v/>
      </c>
      <c r="N561" t="str">
        <f>IF('8 Numaralar'!O63="","",'8 Numaralar'!O63)</f>
        <v/>
      </c>
      <c r="O561" t="str">
        <f>IF('8 Numaralar'!P63="","",'8 Numaralar'!P63)</f>
        <v/>
      </c>
      <c r="P561" t="str">
        <f>IF('8 Numaralar'!Q63="","",'8 Numaralar'!Q63)</f>
        <v/>
      </c>
      <c r="Q561" t="str">
        <f>IF('8 Numaralar'!R63="","",'8 Numaralar'!R63)</f>
        <v/>
      </c>
      <c r="R561" t="str">
        <f>IF('8 Numaralar'!S63="","",'8 Numaralar'!S63)</f>
        <v/>
      </c>
      <c r="S561" t="str">
        <f>IF('8 Numaralar'!T63="","",'8 Numaralar'!T63)</f>
        <v/>
      </c>
      <c r="T561" s="2" t="str">
        <f>IF('8 Numaralar'!U63="","",'8 Numaralar'!U63)</f>
        <v/>
      </c>
      <c r="U561" t="s">
        <v>931</v>
      </c>
      <c r="V561">
        <v>63</v>
      </c>
      <c r="W561" t="str">
        <f ca="1">IF(AND($A561&lt;&gt;"",ISNUMBER($G561),$G561&gt;=TODAY(),$G561&lt;=EDATE(TODAY(),12)),COUNTIFS($G$2:$G$1001,"&gt;="&amp;TODAY(),$G$2:$G$1001,"&lt;"&amp;$G561,$A$2:$A$1001,"&lt;&gt;")+COUNTIFS($G$2:$G561,$G561,$A$2:$A561,"&lt;&gt;"),"")</f>
        <v/>
      </c>
      <c r="X561" t="str">
        <f>IF(AND($A561&lt;&gt;"",ISNUMBER($C561),$C561&gt;=DATE(2003,1,1)),COUNTIFS($C$2:$C561,"&gt;="&amp;DATE(2003,1,1),$A$2:$A561,"&lt;&gt;"),"")</f>
        <v/>
      </c>
    </row>
    <row r="562" spans="1:24">
      <c r="A562" t="str">
        <f>IF('8 Numaralar'!A64="","",'8 Numaralar'!A64)</f>
        <v/>
      </c>
      <c r="B562" t="str">
        <f>IF('8 Numaralar'!B64="","",'8 Numaralar'!B64)</f>
        <v/>
      </c>
      <c r="C562" s="2" t="str">
        <f>IF('8 Numaralar'!C64="","",'8 Numaralar'!C64)</f>
        <v/>
      </c>
      <c r="D562" t="str">
        <f ca="1">IF('8 Numaralar'!D64="","",'8 Numaralar'!D64)</f>
        <v/>
      </c>
      <c r="E562" t="str">
        <f>IF('8 Numaralar'!E64="","",'8 Numaralar'!E64)</f>
        <v>8 Numara</v>
      </c>
      <c r="F562" t="str">
        <f>IF('8 Numaralar'!G64="","",'8 Numaralar'!G64)</f>
        <v/>
      </c>
      <c r="G562" s="2" t="str">
        <f>IF('8 Numaralar'!H64="","",'8 Numaralar'!H64)</f>
        <v/>
      </c>
      <c r="H562" t="str">
        <f>IF('8 Numaralar'!I64="","",'8 Numaralar'!I64)</f>
        <v/>
      </c>
      <c r="I562" t="str">
        <f>IF('8 Numaralar'!A64="","",'8 Numaralar'!J64)</f>
        <v/>
      </c>
      <c r="J562" t="str">
        <f>IF('8 Numaralar'!A64="","",'8 Numaralar'!K64)</f>
        <v/>
      </c>
      <c r="K562" t="str">
        <f>IF('8 Numaralar'!L64="","",'8 Numaralar'!L64)</f>
        <v/>
      </c>
      <c r="L562" t="str">
        <f>IF('8 Numaralar'!M64="","",'8 Numaralar'!M64)</f>
        <v/>
      </c>
      <c r="M562" t="str">
        <f>IF('8 Numaralar'!N64="","",'8 Numaralar'!N64)</f>
        <v/>
      </c>
      <c r="N562" t="str">
        <f>IF('8 Numaralar'!O64="","",'8 Numaralar'!O64)</f>
        <v/>
      </c>
      <c r="O562" t="str">
        <f>IF('8 Numaralar'!P64="","",'8 Numaralar'!P64)</f>
        <v/>
      </c>
      <c r="P562" t="str">
        <f>IF('8 Numaralar'!Q64="","",'8 Numaralar'!Q64)</f>
        <v/>
      </c>
      <c r="Q562" t="str">
        <f>IF('8 Numaralar'!R64="","",'8 Numaralar'!R64)</f>
        <v/>
      </c>
      <c r="R562" t="str">
        <f>IF('8 Numaralar'!S64="","",'8 Numaralar'!S64)</f>
        <v/>
      </c>
      <c r="S562" t="str">
        <f>IF('8 Numaralar'!T64="","",'8 Numaralar'!T64)</f>
        <v/>
      </c>
      <c r="T562" s="2" t="str">
        <f>IF('8 Numaralar'!U64="","",'8 Numaralar'!U64)</f>
        <v/>
      </c>
      <c r="U562" t="s">
        <v>931</v>
      </c>
      <c r="V562">
        <v>64</v>
      </c>
      <c r="W562" t="str">
        <f ca="1">IF(AND($A562&lt;&gt;"",ISNUMBER($G562),$G562&gt;=TODAY(),$G562&lt;=EDATE(TODAY(),12)),COUNTIFS($G$2:$G$1001,"&gt;="&amp;TODAY(),$G$2:$G$1001,"&lt;"&amp;$G562,$A$2:$A$1001,"&lt;&gt;")+COUNTIFS($G$2:$G562,$G562,$A$2:$A562,"&lt;&gt;"),"")</f>
        <v/>
      </c>
      <c r="X562" t="str">
        <f>IF(AND($A562&lt;&gt;"",ISNUMBER($C562),$C562&gt;=DATE(2003,1,1)),COUNTIFS($C$2:$C562,"&gt;="&amp;DATE(2003,1,1),$A$2:$A562,"&lt;&gt;"),"")</f>
        <v/>
      </c>
    </row>
    <row r="563" spans="1:24">
      <c r="A563" t="str">
        <f>IF('8 Numaralar'!A65="","",'8 Numaralar'!A65)</f>
        <v/>
      </c>
      <c r="B563" t="str">
        <f>IF('8 Numaralar'!B65="","",'8 Numaralar'!B65)</f>
        <v/>
      </c>
      <c r="C563" s="2" t="str">
        <f>IF('8 Numaralar'!C65="","",'8 Numaralar'!C65)</f>
        <v/>
      </c>
      <c r="D563" t="str">
        <f ca="1">IF('8 Numaralar'!D65="","",'8 Numaralar'!D65)</f>
        <v/>
      </c>
      <c r="E563" t="str">
        <f>IF('8 Numaralar'!E65="","",'8 Numaralar'!E65)</f>
        <v>8 Numara</v>
      </c>
      <c r="F563" t="str">
        <f>IF('8 Numaralar'!G65="","",'8 Numaralar'!G65)</f>
        <v/>
      </c>
      <c r="G563" s="2" t="str">
        <f>IF('8 Numaralar'!H65="","",'8 Numaralar'!H65)</f>
        <v/>
      </c>
      <c r="H563" t="str">
        <f>IF('8 Numaralar'!I65="","",'8 Numaralar'!I65)</f>
        <v/>
      </c>
      <c r="I563" t="str">
        <f>IF('8 Numaralar'!A65="","",'8 Numaralar'!J65)</f>
        <v/>
      </c>
      <c r="J563" t="str">
        <f>IF('8 Numaralar'!A65="","",'8 Numaralar'!K65)</f>
        <v/>
      </c>
      <c r="K563" t="str">
        <f>IF('8 Numaralar'!L65="","",'8 Numaralar'!L65)</f>
        <v/>
      </c>
      <c r="L563" t="str">
        <f>IF('8 Numaralar'!M65="","",'8 Numaralar'!M65)</f>
        <v/>
      </c>
      <c r="M563" t="str">
        <f>IF('8 Numaralar'!N65="","",'8 Numaralar'!N65)</f>
        <v/>
      </c>
      <c r="N563" t="str">
        <f>IF('8 Numaralar'!O65="","",'8 Numaralar'!O65)</f>
        <v/>
      </c>
      <c r="O563" t="str">
        <f>IF('8 Numaralar'!P65="","",'8 Numaralar'!P65)</f>
        <v/>
      </c>
      <c r="P563" t="str">
        <f>IF('8 Numaralar'!Q65="","",'8 Numaralar'!Q65)</f>
        <v/>
      </c>
      <c r="Q563" t="str">
        <f>IF('8 Numaralar'!R65="","",'8 Numaralar'!R65)</f>
        <v/>
      </c>
      <c r="R563" t="str">
        <f>IF('8 Numaralar'!S65="","",'8 Numaralar'!S65)</f>
        <v/>
      </c>
      <c r="S563" t="str">
        <f>IF('8 Numaralar'!T65="","",'8 Numaralar'!T65)</f>
        <v/>
      </c>
      <c r="T563" s="2" t="str">
        <f>IF('8 Numaralar'!U65="","",'8 Numaralar'!U65)</f>
        <v/>
      </c>
      <c r="U563" t="s">
        <v>931</v>
      </c>
      <c r="V563">
        <v>65</v>
      </c>
      <c r="W563" t="str">
        <f ca="1">IF(AND($A563&lt;&gt;"",ISNUMBER($G563),$G563&gt;=TODAY(),$G563&lt;=EDATE(TODAY(),12)),COUNTIFS($G$2:$G$1001,"&gt;="&amp;TODAY(),$G$2:$G$1001,"&lt;"&amp;$G563,$A$2:$A$1001,"&lt;&gt;")+COUNTIFS($G$2:$G563,$G563,$A$2:$A563,"&lt;&gt;"),"")</f>
        <v/>
      </c>
      <c r="X563" t="str">
        <f>IF(AND($A563&lt;&gt;"",ISNUMBER($C563),$C563&gt;=DATE(2003,1,1)),COUNTIFS($C$2:$C563,"&gt;="&amp;DATE(2003,1,1),$A$2:$A563,"&lt;&gt;"),"")</f>
        <v/>
      </c>
    </row>
    <row r="564" spans="1:24">
      <c r="A564" t="str">
        <f>IF('8 Numaralar'!A66="","",'8 Numaralar'!A66)</f>
        <v/>
      </c>
      <c r="B564" t="str">
        <f>IF('8 Numaralar'!B66="","",'8 Numaralar'!B66)</f>
        <v/>
      </c>
      <c r="C564" s="2" t="str">
        <f>IF('8 Numaralar'!C66="","",'8 Numaralar'!C66)</f>
        <v/>
      </c>
      <c r="D564" t="str">
        <f ca="1">IF('8 Numaralar'!D66="","",'8 Numaralar'!D66)</f>
        <v/>
      </c>
      <c r="E564" t="str">
        <f>IF('8 Numaralar'!E66="","",'8 Numaralar'!E66)</f>
        <v>8 Numara</v>
      </c>
      <c r="F564" t="str">
        <f>IF('8 Numaralar'!G66="","",'8 Numaralar'!G66)</f>
        <v/>
      </c>
      <c r="G564" s="2" t="str">
        <f>IF('8 Numaralar'!H66="","",'8 Numaralar'!H66)</f>
        <v/>
      </c>
      <c r="H564" t="str">
        <f>IF('8 Numaralar'!I66="","",'8 Numaralar'!I66)</f>
        <v/>
      </c>
      <c r="I564" t="str">
        <f>IF('8 Numaralar'!A66="","",'8 Numaralar'!J66)</f>
        <v/>
      </c>
      <c r="J564" t="str">
        <f>IF('8 Numaralar'!A66="","",'8 Numaralar'!K66)</f>
        <v/>
      </c>
      <c r="K564" t="str">
        <f>IF('8 Numaralar'!L66="","",'8 Numaralar'!L66)</f>
        <v/>
      </c>
      <c r="L564" t="str">
        <f>IF('8 Numaralar'!M66="","",'8 Numaralar'!M66)</f>
        <v/>
      </c>
      <c r="M564" t="str">
        <f>IF('8 Numaralar'!N66="","",'8 Numaralar'!N66)</f>
        <v/>
      </c>
      <c r="N564" t="str">
        <f>IF('8 Numaralar'!O66="","",'8 Numaralar'!O66)</f>
        <v/>
      </c>
      <c r="O564" t="str">
        <f>IF('8 Numaralar'!P66="","",'8 Numaralar'!P66)</f>
        <v/>
      </c>
      <c r="P564" t="str">
        <f>IF('8 Numaralar'!Q66="","",'8 Numaralar'!Q66)</f>
        <v/>
      </c>
      <c r="Q564" t="str">
        <f>IF('8 Numaralar'!R66="","",'8 Numaralar'!R66)</f>
        <v/>
      </c>
      <c r="R564" t="str">
        <f>IF('8 Numaralar'!S66="","",'8 Numaralar'!S66)</f>
        <v/>
      </c>
      <c r="S564" t="str">
        <f>IF('8 Numaralar'!T66="","",'8 Numaralar'!T66)</f>
        <v/>
      </c>
      <c r="T564" s="2" t="str">
        <f>IF('8 Numaralar'!U66="","",'8 Numaralar'!U66)</f>
        <v/>
      </c>
      <c r="U564" t="s">
        <v>931</v>
      </c>
      <c r="V564">
        <v>66</v>
      </c>
      <c r="W564" t="str">
        <f ca="1">IF(AND($A564&lt;&gt;"",ISNUMBER($G564),$G564&gt;=TODAY(),$G564&lt;=EDATE(TODAY(),12)),COUNTIFS($G$2:$G$1001,"&gt;="&amp;TODAY(),$G$2:$G$1001,"&lt;"&amp;$G564,$A$2:$A$1001,"&lt;&gt;")+COUNTIFS($G$2:$G564,$G564,$A$2:$A564,"&lt;&gt;"),"")</f>
        <v/>
      </c>
      <c r="X564" t="str">
        <f>IF(AND($A564&lt;&gt;"",ISNUMBER($C564),$C564&gt;=DATE(2003,1,1)),COUNTIFS($C$2:$C564,"&gt;="&amp;DATE(2003,1,1),$A$2:$A564,"&lt;&gt;"),"")</f>
        <v/>
      </c>
    </row>
    <row r="565" spans="1:24">
      <c r="A565" t="str">
        <f>IF('8 Numaralar'!A67="","",'8 Numaralar'!A67)</f>
        <v/>
      </c>
      <c r="B565" t="str">
        <f>IF('8 Numaralar'!B67="","",'8 Numaralar'!B67)</f>
        <v/>
      </c>
      <c r="C565" s="2" t="str">
        <f>IF('8 Numaralar'!C67="","",'8 Numaralar'!C67)</f>
        <v/>
      </c>
      <c r="D565" t="str">
        <f ca="1">IF('8 Numaralar'!D67="","",'8 Numaralar'!D67)</f>
        <v/>
      </c>
      <c r="E565" t="str">
        <f>IF('8 Numaralar'!E67="","",'8 Numaralar'!E67)</f>
        <v>8 Numara</v>
      </c>
      <c r="F565" t="str">
        <f>IF('8 Numaralar'!G67="","",'8 Numaralar'!G67)</f>
        <v/>
      </c>
      <c r="G565" s="2" t="str">
        <f>IF('8 Numaralar'!H67="","",'8 Numaralar'!H67)</f>
        <v/>
      </c>
      <c r="H565" t="str">
        <f>IF('8 Numaralar'!I67="","",'8 Numaralar'!I67)</f>
        <v/>
      </c>
      <c r="I565" t="str">
        <f>IF('8 Numaralar'!A67="","",'8 Numaralar'!J67)</f>
        <v/>
      </c>
      <c r="J565" t="str">
        <f>IF('8 Numaralar'!A67="","",'8 Numaralar'!K67)</f>
        <v/>
      </c>
      <c r="K565" t="str">
        <f>IF('8 Numaralar'!L67="","",'8 Numaralar'!L67)</f>
        <v/>
      </c>
      <c r="L565" t="str">
        <f>IF('8 Numaralar'!M67="","",'8 Numaralar'!M67)</f>
        <v/>
      </c>
      <c r="M565" t="str">
        <f>IF('8 Numaralar'!N67="","",'8 Numaralar'!N67)</f>
        <v/>
      </c>
      <c r="N565" t="str">
        <f>IF('8 Numaralar'!O67="","",'8 Numaralar'!O67)</f>
        <v/>
      </c>
      <c r="O565" t="str">
        <f>IF('8 Numaralar'!P67="","",'8 Numaralar'!P67)</f>
        <v/>
      </c>
      <c r="P565" t="str">
        <f>IF('8 Numaralar'!Q67="","",'8 Numaralar'!Q67)</f>
        <v/>
      </c>
      <c r="Q565" t="str">
        <f>IF('8 Numaralar'!R67="","",'8 Numaralar'!R67)</f>
        <v/>
      </c>
      <c r="R565" t="str">
        <f>IF('8 Numaralar'!S67="","",'8 Numaralar'!S67)</f>
        <v/>
      </c>
      <c r="S565" t="str">
        <f>IF('8 Numaralar'!T67="","",'8 Numaralar'!T67)</f>
        <v/>
      </c>
      <c r="T565" s="2" t="str">
        <f>IF('8 Numaralar'!U67="","",'8 Numaralar'!U67)</f>
        <v/>
      </c>
      <c r="U565" t="s">
        <v>931</v>
      </c>
      <c r="V565">
        <v>67</v>
      </c>
      <c r="W565" t="str">
        <f ca="1">IF(AND($A565&lt;&gt;"",ISNUMBER($G565),$G565&gt;=TODAY(),$G565&lt;=EDATE(TODAY(),12)),COUNTIFS($G$2:$G$1001,"&gt;="&amp;TODAY(),$G$2:$G$1001,"&lt;"&amp;$G565,$A$2:$A$1001,"&lt;&gt;")+COUNTIFS($G$2:$G565,$G565,$A$2:$A565,"&lt;&gt;"),"")</f>
        <v/>
      </c>
      <c r="X565" t="str">
        <f>IF(AND($A565&lt;&gt;"",ISNUMBER($C565),$C565&gt;=DATE(2003,1,1)),COUNTIFS($C$2:$C565,"&gt;="&amp;DATE(2003,1,1),$A$2:$A565,"&lt;&gt;"),"")</f>
        <v/>
      </c>
    </row>
    <row r="566" spans="1:24">
      <c r="A566" t="str">
        <f>IF('8 Numaralar'!A68="","",'8 Numaralar'!A68)</f>
        <v/>
      </c>
      <c r="B566" t="str">
        <f>IF('8 Numaralar'!B68="","",'8 Numaralar'!B68)</f>
        <v/>
      </c>
      <c r="C566" s="2" t="str">
        <f>IF('8 Numaralar'!C68="","",'8 Numaralar'!C68)</f>
        <v/>
      </c>
      <c r="D566" t="str">
        <f ca="1">IF('8 Numaralar'!D68="","",'8 Numaralar'!D68)</f>
        <v/>
      </c>
      <c r="E566" t="str">
        <f>IF('8 Numaralar'!E68="","",'8 Numaralar'!E68)</f>
        <v>8 Numara</v>
      </c>
      <c r="F566" t="str">
        <f>IF('8 Numaralar'!G68="","",'8 Numaralar'!G68)</f>
        <v/>
      </c>
      <c r="G566" s="2" t="str">
        <f>IF('8 Numaralar'!H68="","",'8 Numaralar'!H68)</f>
        <v/>
      </c>
      <c r="H566" t="str">
        <f>IF('8 Numaralar'!I68="","",'8 Numaralar'!I68)</f>
        <v/>
      </c>
      <c r="I566" t="str">
        <f>IF('8 Numaralar'!A68="","",'8 Numaralar'!J68)</f>
        <v/>
      </c>
      <c r="J566" t="str">
        <f>IF('8 Numaralar'!A68="","",'8 Numaralar'!K68)</f>
        <v/>
      </c>
      <c r="K566" t="str">
        <f>IF('8 Numaralar'!L68="","",'8 Numaralar'!L68)</f>
        <v/>
      </c>
      <c r="L566" t="str">
        <f>IF('8 Numaralar'!M68="","",'8 Numaralar'!M68)</f>
        <v/>
      </c>
      <c r="M566" t="str">
        <f>IF('8 Numaralar'!N68="","",'8 Numaralar'!N68)</f>
        <v/>
      </c>
      <c r="N566" t="str">
        <f>IF('8 Numaralar'!O68="","",'8 Numaralar'!O68)</f>
        <v/>
      </c>
      <c r="O566" t="str">
        <f>IF('8 Numaralar'!P68="","",'8 Numaralar'!P68)</f>
        <v/>
      </c>
      <c r="P566" t="str">
        <f>IF('8 Numaralar'!Q68="","",'8 Numaralar'!Q68)</f>
        <v/>
      </c>
      <c r="Q566" t="str">
        <f>IF('8 Numaralar'!R68="","",'8 Numaralar'!R68)</f>
        <v/>
      </c>
      <c r="R566" t="str">
        <f>IF('8 Numaralar'!S68="","",'8 Numaralar'!S68)</f>
        <v/>
      </c>
      <c r="S566" t="str">
        <f>IF('8 Numaralar'!T68="","",'8 Numaralar'!T68)</f>
        <v/>
      </c>
      <c r="T566" s="2" t="str">
        <f>IF('8 Numaralar'!U68="","",'8 Numaralar'!U68)</f>
        <v/>
      </c>
      <c r="U566" t="s">
        <v>931</v>
      </c>
      <c r="V566">
        <v>68</v>
      </c>
      <c r="W566" t="str">
        <f ca="1">IF(AND($A566&lt;&gt;"",ISNUMBER($G566),$G566&gt;=TODAY(),$G566&lt;=EDATE(TODAY(),12)),COUNTIFS($G$2:$G$1001,"&gt;="&amp;TODAY(),$G$2:$G$1001,"&lt;"&amp;$G566,$A$2:$A$1001,"&lt;&gt;")+COUNTIFS($G$2:$G566,$G566,$A$2:$A566,"&lt;&gt;"),"")</f>
        <v/>
      </c>
      <c r="X566" t="str">
        <f>IF(AND($A566&lt;&gt;"",ISNUMBER($C566),$C566&gt;=DATE(2003,1,1)),COUNTIFS($C$2:$C566,"&gt;="&amp;DATE(2003,1,1),$A$2:$A566,"&lt;&gt;"),"")</f>
        <v/>
      </c>
    </row>
    <row r="567" spans="1:24">
      <c r="A567" t="str">
        <f>IF('8 Numaralar'!A69="","",'8 Numaralar'!A69)</f>
        <v/>
      </c>
      <c r="B567" t="str">
        <f>IF('8 Numaralar'!B69="","",'8 Numaralar'!B69)</f>
        <v/>
      </c>
      <c r="C567" s="2" t="str">
        <f>IF('8 Numaralar'!C69="","",'8 Numaralar'!C69)</f>
        <v/>
      </c>
      <c r="D567" t="str">
        <f ca="1">IF('8 Numaralar'!D69="","",'8 Numaralar'!D69)</f>
        <v/>
      </c>
      <c r="E567" t="str">
        <f>IF('8 Numaralar'!E69="","",'8 Numaralar'!E69)</f>
        <v>8 Numara</v>
      </c>
      <c r="F567" t="str">
        <f>IF('8 Numaralar'!G69="","",'8 Numaralar'!G69)</f>
        <v/>
      </c>
      <c r="G567" s="2" t="str">
        <f>IF('8 Numaralar'!H69="","",'8 Numaralar'!H69)</f>
        <v/>
      </c>
      <c r="H567" t="str">
        <f>IF('8 Numaralar'!I69="","",'8 Numaralar'!I69)</f>
        <v/>
      </c>
      <c r="I567" t="str">
        <f>IF('8 Numaralar'!A69="","",'8 Numaralar'!J69)</f>
        <v/>
      </c>
      <c r="J567" t="str">
        <f>IF('8 Numaralar'!A69="","",'8 Numaralar'!K69)</f>
        <v/>
      </c>
      <c r="K567" t="str">
        <f>IF('8 Numaralar'!L69="","",'8 Numaralar'!L69)</f>
        <v/>
      </c>
      <c r="L567" t="str">
        <f>IF('8 Numaralar'!M69="","",'8 Numaralar'!M69)</f>
        <v/>
      </c>
      <c r="M567" t="str">
        <f>IF('8 Numaralar'!N69="","",'8 Numaralar'!N69)</f>
        <v/>
      </c>
      <c r="N567" t="str">
        <f>IF('8 Numaralar'!O69="","",'8 Numaralar'!O69)</f>
        <v/>
      </c>
      <c r="O567" t="str">
        <f>IF('8 Numaralar'!P69="","",'8 Numaralar'!P69)</f>
        <v/>
      </c>
      <c r="P567" t="str">
        <f>IF('8 Numaralar'!Q69="","",'8 Numaralar'!Q69)</f>
        <v/>
      </c>
      <c r="Q567" t="str">
        <f>IF('8 Numaralar'!R69="","",'8 Numaralar'!R69)</f>
        <v/>
      </c>
      <c r="R567" t="str">
        <f>IF('8 Numaralar'!S69="","",'8 Numaralar'!S69)</f>
        <v/>
      </c>
      <c r="S567" t="str">
        <f>IF('8 Numaralar'!T69="","",'8 Numaralar'!T69)</f>
        <v/>
      </c>
      <c r="T567" s="2" t="str">
        <f>IF('8 Numaralar'!U69="","",'8 Numaralar'!U69)</f>
        <v/>
      </c>
      <c r="U567" t="s">
        <v>931</v>
      </c>
      <c r="V567">
        <v>69</v>
      </c>
      <c r="W567" t="str">
        <f ca="1">IF(AND($A567&lt;&gt;"",ISNUMBER($G567),$G567&gt;=TODAY(),$G567&lt;=EDATE(TODAY(),12)),COUNTIFS($G$2:$G$1001,"&gt;="&amp;TODAY(),$G$2:$G$1001,"&lt;"&amp;$G567,$A$2:$A$1001,"&lt;&gt;")+COUNTIFS($G$2:$G567,$G567,$A$2:$A567,"&lt;&gt;"),"")</f>
        <v/>
      </c>
      <c r="X567" t="str">
        <f>IF(AND($A567&lt;&gt;"",ISNUMBER($C567),$C567&gt;=DATE(2003,1,1)),COUNTIFS($C$2:$C567,"&gt;="&amp;DATE(2003,1,1),$A$2:$A567,"&lt;&gt;"),"")</f>
        <v/>
      </c>
    </row>
    <row r="568" spans="1:24">
      <c r="A568" t="str">
        <f>IF('8 Numaralar'!A70="","",'8 Numaralar'!A70)</f>
        <v/>
      </c>
      <c r="B568" t="str">
        <f>IF('8 Numaralar'!B70="","",'8 Numaralar'!B70)</f>
        <v/>
      </c>
      <c r="C568" s="2" t="str">
        <f>IF('8 Numaralar'!C70="","",'8 Numaralar'!C70)</f>
        <v/>
      </c>
      <c r="D568" t="str">
        <f ca="1">IF('8 Numaralar'!D70="","",'8 Numaralar'!D70)</f>
        <v/>
      </c>
      <c r="E568" t="str">
        <f>IF('8 Numaralar'!E70="","",'8 Numaralar'!E70)</f>
        <v>8 Numara</v>
      </c>
      <c r="F568" t="str">
        <f>IF('8 Numaralar'!G70="","",'8 Numaralar'!G70)</f>
        <v/>
      </c>
      <c r="G568" s="2" t="str">
        <f>IF('8 Numaralar'!H70="","",'8 Numaralar'!H70)</f>
        <v/>
      </c>
      <c r="H568" t="str">
        <f>IF('8 Numaralar'!I70="","",'8 Numaralar'!I70)</f>
        <v/>
      </c>
      <c r="I568" t="str">
        <f>IF('8 Numaralar'!A70="","",'8 Numaralar'!J70)</f>
        <v/>
      </c>
      <c r="J568" t="str">
        <f>IF('8 Numaralar'!A70="","",'8 Numaralar'!K70)</f>
        <v/>
      </c>
      <c r="K568" t="str">
        <f>IF('8 Numaralar'!L70="","",'8 Numaralar'!L70)</f>
        <v/>
      </c>
      <c r="L568" t="str">
        <f>IF('8 Numaralar'!M70="","",'8 Numaralar'!M70)</f>
        <v/>
      </c>
      <c r="M568" t="str">
        <f>IF('8 Numaralar'!N70="","",'8 Numaralar'!N70)</f>
        <v/>
      </c>
      <c r="N568" t="str">
        <f>IF('8 Numaralar'!O70="","",'8 Numaralar'!O70)</f>
        <v/>
      </c>
      <c r="O568" t="str">
        <f>IF('8 Numaralar'!P70="","",'8 Numaralar'!P70)</f>
        <v/>
      </c>
      <c r="P568" t="str">
        <f>IF('8 Numaralar'!Q70="","",'8 Numaralar'!Q70)</f>
        <v/>
      </c>
      <c r="Q568" t="str">
        <f>IF('8 Numaralar'!R70="","",'8 Numaralar'!R70)</f>
        <v/>
      </c>
      <c r="R568" t="str">
        <f>IF('8 Numaralar'!S70="","",'8 Numaralar'!S70)</f>
        <v/>
      </c>
      <c r="S568" t="str">
        <f>IF('8 Numaralar'!T70="","",'8 Numaralar'!T70)</f>
        <v/>
      </c>
      <c r="T568" s="2" t="str">
        <f>IF('8 Numaralar'!U70="","",'8 Numaralar'!U70)</f>
        <v/>
      </c>
      <c r="U568" t="s">
        <v>931</v>
      </c>
      <c r="V568">
        <v>70</v>
      </c>
      <c r="W568" t="str">
        <f ca="1">IF(AND($A568&lt;&gt;"",ISNUMBER($G568),$G568&gt;=TODAY(),$G568&lt;=EDATE(TODAY(),12)),COUNTIFS($G$2:$G$1001,"&gt;="&amp;TODAY(),$G$2:$G$1001,"&lt;"&amp;$G568,$A$2:$A$1001,"&lt;&gt;")+COUNTIFS($G$2:$G568,$G568,$A$2:$A568,"&lt;&gt;"),"")</f>
        <v/>
      </c>
      <c r="X568" t="str">
        <f>IF(AND($A568&lt;&gt;"",ISNUMBER($C568),$C568&gt;=DATE(2003,1,1)),COUNTIFS($C$2:$C568,"&gt;="&amp;DATE(2003,1,1),$A$2:$A568,"&lt;&gt;"),"")</f>
        <v/>
      </c>
    </row>
    <row r="569" spans="1:24">
      <c r="A569" t="str">
        <f>IF('8 Numaralar'!A71="","",'8 Numaralar'!A71)</f>
        <v/>
      </c>
      <c r="B569" t="str">
        <f>IF('8 Numaralar'!B71="","",'8 Numaralar'!B71)</f>
        <v/>
      </c>
      <c r="C569" s="2" t="str">
        <f>IF('8 Numaralar'!C71="","",'8 Numaralar'!C71)</f>
        <v/>
      </c>
      <c r="D569" t="str">
        <f ca="1">IF('8 Numaralar'!D71="","",'8 Numaralar'!D71)</f>
        <v/>
      </c>
      <c r="E569" t="str">
        <f>IF('8 Numaralar'!E71="","",'8 Numaralar'!E71)</f>
        <v>8 Numara</v>
      </c>
      <c r="F569" t="str">
        <f>IF('8 Numaralar'!G71="","",'8 Numaralar'!G71)</f>
        <v/>
      </c>
      <c r="G569" s="2" t="str">
        <f>IF('8 Numaralar'!H71="","",'8 Numaralar'!H71)</f>
        <v/>
      </c>
      <c r="H569" t="str">
        <f>IF('8 Numaralar'!I71="","",'8 Numaralar'!I71)</f>
        <v/>
      </c>
      <c r="I569" t="str">
        <f>IF('8 Numaralar'!A71="","",'8 Numaralar'!J71)</f>
        <v/>
      </c>
      <c r="J569" t="str">
        <f>IF('8 Numaralar'!A71="","",'8 Numaralar'!K71)</f>
        <v/>
      </c>
      <c r="K569" t="str">
        <f>IF('8 Numaralar'!L71="","",'8 Numaralar'!L71)</f>
        <v/>
      </c>
      <c r="L569" t="str">
        <f>IF('8 Numaralar'!M71="","",'8 Numaralar'!M71)</f>
        <v/>
      </c>
      <c r="M569" t="str">
        <f>IF('8 Numaralar'!N71="","",'8 Numaralar'!N71)</f>
        <v/>
      </c>
      <c r="N569" t="str">
        <f>IF('8 Numaralar'!O71="","",'8 Numaralar'!O71)</f>
        <v/>
      </c>
      <c r="O569" t="str">
        <f>IF('8 Numaralar'!P71="","",'8 Numaralar'!P71)</f>
        <v/>
      </c>
      <c r="P569" t="str">
        <f>IF('8 Numaralar'!Q71="","",'8 Numaralar'!Q71)</f>
        <v/>
      </c>
      <c r="Q569" t="str">
        <f>IF('8 Numaralar'!R71="","",'8 Numaralar'!R71)</f>
        <v/>
      </c>
      <c r="R569" t="str">
        <f>IF('8 Numaralar'!S71="","",'8 Numaralar'!S71)</f>
        <v/>
      </c>
      <c r="S569" t="str">
        <f>IF('8 Numaralar'!T71="","",'8 Numaralar'!T71)</f>
        <v/>
      </c>
      <c r="T569" s="2" t="str">
        <f>IF('8 Numaralar'!U71="","",'8 Numaralar'!U71)</f>
        <v/>
      </c>
      <c r="U569" t="s">
        <v>931</v>
      </c>
      <c r="V569">
        <v>71</v>
      </c>
      <c r="W569" t="str">
        <f ca="1">IF(AND($A569&lt;&gt;"",ISNUMBER($G569),$G569&gt;=TODAY(),$G569&lt;=EDATE(TODAY(),12)),COUNTIFS($G$2:$G$1001,"&gt;="&amp;TODAY(),$G$2:$G$1001,"&lt;"&amp;$G569,$A$2:$A$1001,"&lt;&gt;")+COUNTIFS($G$2:$G569,$G569,$A$2:$A569,"&lt;&gt;"),"")</f>
        <v/>
      </c>
      <c r="X569" t="str">
        <f>IF(AND($A569&lt;&gt;"",ISNUMBER($C569),$C569&gt;=DATE(2003,1,1)),COUNTIFS($C$2:$C569,"&gt;="&amp;DATE(2003,1,1),$A$2:$A569,"&lt;&gt;"),"")</f>
        <v/>
      </c>
    </row>
    <row r="570" spans="1:24">
      <c r="A570" t="str">
        <f>IF('8 Numaralar'!A72="","",'8 Numaralar'!A72)</f>
        <v/>
      </c>
      <c r="B570" t="str">
        <f>IF('8 Numaralar'!B72="","",'8 Numaralar'!B72)</f>
        <v/>
      </c>
      <c r="C570" s="2" t="str">
        <f>IF('8 Numaralar'!C72="","",'8 Numaralar'!C72)</f>
        <v/>
      </c>
      <c r="D570" t="str">
        <f ca="1">IF('8 Numaralar'!D72="","",'8 Numaralar'!D72)</f>
        <v/>
      </c>
      <c r="E570" t="str">
        <f>IF('8 Numaralar'!E72="","",'8 Numaralar'!E72)</f>
        <v>8 Numara</v>
      </c>
      <c r="F570" t="str">
        <f>IF('8 Numaralar'!G72="","",'8 Numaralar'!G72)</f>
        <v/>
      </c>
      <c r="G570" s="2" t="str">
        <f>IF('8 Numaralar'!H72="","",'8 Numaralar'!H72)</f>
        <v/>
      </c>
      <c r="H570" t="str">
        <f>IF('8 Numaralar'!I72="","",'8 Numaralar'!I72)</f>
        <v/>
      </c>
      <c r="I570" t="str">
        <f>IF('8 Numaralar'!A72="","",'8 Numaralar'!J72)</f>
        <v/>
      </c>
      <c r="J570" t="str">
        <f>IF('8 Numaralar'!A72="","",'8 Numaralar'!K72)</f>
        <v/>
      </c>
      <c r="K570" t="str">
        <f>IF('8 Numaralar'!L72="","",'8 Numaralar'!L72)</f>
        <v/>
      </c>
      <c r="L570" t="str">
        <f>IF('8 Numaralar'!M72="","",'8 Numaralar'!M72)</f>
        <v/>
      </c>
      <c r="M570" t="str">
        <f>IF('8 Numaralar'!N72="","",'8 Numaralar'!N72)</f>
        <v/>
      </c>
      <c r="N570" t="str">
        <f>IF('8 Numaralar'!O72="","",'8 Numaralar'!O72)</f>
        <v/>
      </c>
      <c r="O570" t="str">
        <f>IF('8 Numaralar'!P72="","",'8 Numaralar'!P72)</f>
        <v/>
      </c>
      <c r="P570" t="str">
        <f>IF('8 Numaralar'!Q72="","",'8 Numaralar'!Q72)</f>
        <v/>
      </c>
      <c r="Q570" t="str">
        <f>IF('8 Numaralar'!R72="","",'8 Numaralar'!R72)</f>
        <v/>
      </c>
      <c r="R570" t="str">
        <f>IF('8 Numaralar'!S72="","",'8 Numaralar'!S72)</f>
        <v/>
      </c>
      <c r="S570" t="str">
        <f>IF('8 Numaralar'!T72="","",'8 Numaralar'!T72)</f>
        <v/>
      </c>
      <c r="T570" s="2" t="str">
        <f>IF('8 Numaralar'!U72="","",'8 Numaralar'!U72)</f>
        <v/>
      </c>
      <c r="U570" t="s">
        <v>931</v>
      </c>
      <c r="V570">
        <v>72</v>
      </c>
      <c r="W570" t="str">
        <f ca="1">IF(AND($A570&lt;&gt;"",ISNUMBER($G570),$G570&gt;=TODAY(),$G570&lt;=EDATE(TODAY(),12)),COUNTIFS($G$2:$G$1001,"&gt;="&amp;TODAY(),$G$2:$G$1001,"&lt;"&amp;$G570,$A$2:$A$1001,"&lt;&gt;")+COUNTIFS($G$2:$G570,$G570,$A$2:$A570,"&lt;&gt;"),"")</f>
        <v/>
      </c>
      <c r="X570" t="str">
        <f>IF(AND($A570&lt;&gt;"",ISNUMBER($C570),$C570&gt;=DATE(2003,1,1)),COUNTIFS($C$2:$C570,"&gt;="&amp;DATE(2003,1,1),$A$2:$A570,"&lt;&gt;"),"")</f>
        <v/>
      </c>
    </row>
    <row r="571" spans="1:24">
      <c r="A571" t="str">
        <f>IF('8 Numaralar'!A73="","",'8 Numaralar'!A73)</f>
        <v/>
      </c>
      <c r="B571" t="str">
        <f>IF('8 Numaralar'!B73="","",'8 Numaralar'!B73)</f>
        <v/>
      </c>
      <c r="C571" s="2" t="str">
        <f>IF('8 Numaralar'!C73="","",'8 Numaralar'!C73)</f>
        <v/>
      </c>
      <c r="D571" t="str">
        <f ca="1">IF('8 Numaralar'!D73="","",'8 Numaralar'!D73)</f>
        <v/>
      </c>
      <c r="E571" t="str">
        <f>IF('8 Numaralar'!E73="","",'8 Numaralar'!E73)</f>
        <v>8 Numara</v>
      </c>
      <c r="F571" t="str">
        <f>IF('8 Numaralar'!G73="","",'8 Numaralar'!G73)</f>
        <v/>
      </c>
      <c r="G571" s="2" t="str">
        <f>IF('8 Numaralar'!H73="","",'8 Numaralar'!H73)</f>
        <v/>
      </c>
      <c r="H571" t="str">
        <f>IF('8 Numaralar'!I73="","",'8 Numaralar'!I73)</f>
        <v/>
      </c>
      <c r="I571" t="str">
        <f>IF('8 Numaralar'!A73="","",'8 Numaralar'!J73)</f>
        <v/>
      </c>
      <c r="J571" t="str">
        <f>IF('8 Numaralar'!A73="","",'8 Numaralar'!K73)</f>
        <v/>
      </c>
      <c r="K571" t="str">
        <f>IF('8 Numaralar'!L73="","",'8 Numaralar'!L73)</f>
        <v/>
      </c>
      <c r="L571" t="str">
        <f>IF('8 Numaralar'!M73="","",'8 Numaralar'!M73)</f>
        <v/>
      </c>
      <c r="M571" t="str">
        <f>IF('8 Numaralar'!N73="","",'8 Numaralar'!N73)</f>
        <v/>
      </c>
      <c r="N571" t="str">
        <f>IF('8 Numaralar'!O73="","",'8 Numaralar'!O73)</f>
        <v/>
      </c>
      <c r="O571" t="str">
        <f>IF('8 Numaralar'!P73="","",'8 Numaralar'!P73)</f>
        <v/>
      </c>
      <c r="P571" t="str">
        <f>IF('8 Numaralar'!Q73="","",'8 Numaralar'!Q73)</f>
        <v/>
      </c>
      <c r="Q571" t="str">
        <f>IF('8 Numaralar'!R73="","",'8 Numaralar'!R73)</f>
        <v/>
      </c>
      <c r="R571" t="str">
        <f>IF('8 Numaralar'!S73="","",'8 Numaralar'!S73)</f>
        <v/>
      </c>
      <c r="S571" t="str">
        <f>IF('8 Numaralar'!T73="","",'8 Numaralar'!T73)</f>
        <v/>
      </c>
      <c r="T571" s="2" t="str">
        <f>IF('8 Numaralar'!U73="","",'8 Numaralar'!U73)</f>
        <v/>
      </c>
      <c r="U571" t="s">
        <v>931</v>
      </c>
      <c r="V571">
        <v>73</v>
      </c>
      <c r="W571" t="str">
        <f ca="1">IF(AND($A571&lt;&gt;"",ISNUMBER($G571),$G571&gt;=TODAY(),$G571&lt;=EDATE(TODAY(),12)),COUNTIFS($G$2:$G$1001,"&gt;="&amp;TODAY(),$G$2:$G$1001,"&lt;"&amp;$G571,$A$2:$A$1001,"&lt;&gt;")+COUNTIFS($G$2:$G571,$G571,$A$2:$A571,"&lt;&gt;"),"")</f>
        <v/>
      </c>
      <c r="X571" t="str">
        <f>IF(AND($A571&lt;&gt;"",ISNUMBER($C571),$C571&gt;=DATE(2003,1,1)),COUNTIFS($C$2:$C571,"&gt;="&amp;DATE(2003,1,1),$A$2:$A571,"&lt;&gt;"),"")</f>
        <v/>
      </c>
    </row>
    <row r="572" spans="1:24">
      <c r="A572" t="str">
        <f>IF('8 Numaralar'!A74="","",'8 Numaralar'!A74)</f>
        <v/>
      </c>
      <c r="B572" t="str">
        <f>IF('8 Numaralar'!B74="","",'8 Numaralar'!B74)</f>
        <v/>
      </c>
      <c r="C572" s="2" t="str">
        <f>IF('8 Numaralar'!C74="","",'8 Numaralar'!C74)</f>
        <v/>
      </c>
      <c r="D572" t="str">
        <f ca="1">IF('8 Numaralar'!D74="","",'8 Numaralar'!D74)</f>
        <v/>
      </c>
      <c r="E572" t="str">
        <f>IF('8 Numaralar'!E74="","",'8 Numaralar'!E74)</f>
        <v>8 Numara</v>
      </c>
      <c r="F572" t="str">
        <f>IF('8 Numaralar'!G74="","",'8 Numaralar'!G74)</f>
        <v/>
      </c>
      <c r="G572" s="2" t="str">
        <f>IF('8 Numaralar'!H74="","",'8 Numaralar'!H74)</f>
        <v/>
      </c>
      <c r="H572" t="str">
        <f>IF('8 Numaralar'!I74="","",'8 Numaralar'!I74)</f>
        <v/>
      </c>
      <c r="I572" t="str">
        <f>IF('8 Numaralar'!A74="","",'8 Numaralar'!J74)</f>
        <v/>
      </c>
      <c r="J572" t="str">
        <f>IF('8 Numaralar'!A74="","",'8 Numaralar'!K74)</f>
        <v/>
      </c>
      <c r="K572" t="str">
        <f>IF('8 Numaralar'!L74="","",'8 Numaralar'!L74)</f>
        <v/>
      </c>
      <c r="L572" t="str">
        <f>IF('8 Numaralar'!M74="","",'8 Numaralar'!M74)</f>
        <v/>
      </c>
      <c r="M572" t="str">
        <f>IF('8 Numaralar'!N74="","",'8 Numaralar'!N74)</f>
        <v/>
      </c>
      <c r="N572" t="str">
        <f>IF('8 Numaralar'!O74="","",'8 Numaralar'!O74)</f>
        <v/>
      </c>
      <c r="O572" t="str">
        <f>IF('8 Numaralar'!P74="","",'8 Numaralar'!P74)</f>
        <v/>
      </c>
      <c r="P572" t="str">
        <f>IF('8 Numaralar'!Q74="","",'8 Numaralar'!Q74)</f>
        <v/>
      </c>
      <c r="Q572" t="str">
        <f>IF('8 Numaralar'!R74="","",'8 Numaralar'!R74)</f>
        <v/>
      </c>
      <c r="R572" t="str">
        <f>IF('8 Numaralar'!S74="","",'8 Numaralar'!S74)</f>
        <v/>
      </c>
      <c r="S572" t="str">
        <f>IF('8 Numaralar'!T74="","",'8 Numaralar'!T74)</f>
        <v/>
      </c>
      <c r="T572" s="2" t="str">
        <f>IF('8 Numaralar'!U74="","",'8 Numaralar'!U74)</f>
        <v/>
      </c>
      <c r="U572" t="s">
        <v>931</v>
      </c>
      <c r="V572">
        <v>74</v>
      </c>
      <c r="W572" t="str">
        <f ca="1">IF(AND($A572&lt;&gt;"",ISNUMBER($G572),$G572&gt;=TODAY(),$G572&lt;=EDATE(TODAY(),12)),COUNTIFS($G$2:$G$1001,"&gt;="&amp;TODAY(),$G$2:$G$1001,"&lt;"&amp;$G572,$A$2:$A$1001,"&lt;&gt;")+COUNTIFS($G$2:$G572,$G572,$A$2:$A572,"&lt;&gt;"),"")</f>
        <v/>
      </c>
      <c r="X572" t="str">
        <f>IF(AND($A572&lt;&gt;"",ISNUMBER($C572),$C572&gt;=DATE(2003,1,1)),COUNTIFS($C$2:$C572,"&gt;="&amp;DATE(2003,1,1),$A$2:$A572,"&lt;&gt;"),"")</f>
        <v/>
      </c>
    </row>
    <row r="573" spans="1:24">
      <c r="A573" t="str">
        <f>IF('8 Numaralar'!A75="","",'8 Numaralar'!A75)</f>
        <v/>
      </c>
      <c r="B573" t="str">
        <f>IF('8 Numaralar'!B75="","",'8 Numaralar'!B75)</f>
        <v/>
      </c>
      <c r="C573" s="2" t="str">
        <f>IF('8 Numaralar'!C75="","",'8 Numaralar'!C75)</f>
        <v/>
      </c>
      <c r="D573" t="str">
        <f ca="1">IF('8 Numaralar'!D75="","",'8 Numaralar'!D75)</f>
        <v/>
      </c>
      <c r="E573" t="str">
        <f>IF('8 Numaralar'!E75="","",'8 Numaralar'!E75)</f>
        <v>8 Numara</v>
      </c>
      <c r="F573" t="str">
        <f>IF('8 Numaralar'!G75="","",'8 Numaralar'!G75)</f>
        <v/>
      </c>
      <c r="G573" s="2" t="str">
        <f>IF('8 Numaralar'!H75="","",'8 Numaralar'!H75)</f>
        <v/>
      </c>
      <c r="H573" t="str">
        <f>IF('8 Numaralar'!I75="","",'8 Numaralar'!I75)</f>
        <v/>
      </c>
      <c r="I573" t="str">
        <f>IF('8 Numaralar'!A75="","",'8 Numaralar'!J75)</f>
        <v/>
      </c>
      <c r="J573" t="str">
        <f>IF('8 Numaralar'!A75="","",'8 Numaralar'!K75)</f>
        <v/>
      </c>
      <c r="K573" t="str">
        <f>IF('8 Numaralar'!L75="","",'8 Numaralar'!L75)</f>
        <v/>
      </c>
      <c r="L573" t="str">
        <f>IF('8 Numaralar'!M75="","",'8 Numaralar'!M75)</f>
        <v/>
      </c>
      <c r="M573" t="str">
        <f>IF('8 Numaralar'!N75="","",'8 Numaralar'!N75)</f>
        <v/>
      </c>
      <c r="N573" t="str">
        <f>IF('8 Numaralar'!O75="","",'8 Numaralar'!O75)</f>
        <v/>
      </c>
      <c r="O573" t="str">
        <f>IF('8 Numaralar'!P75="","",'8 Numaralar'!P75)</f>
        <v/>
      </c>
      <c r="P573" t="str">
        <f>IF('8 Numaralar'!Q75="","",'8 Numaralar'!Q75)</f>
        <v/>
      </c>
      <c r="Q573" t="str">
        <f>IF('8 Numaralar'!R75="","",'8 Numaralar'!R75)</f>
        <v/>
      </c>
      <c r="R573" t="str">
        <f>IF('8 Numaralar'!S75="","",'8 Numaralar'!S75)</f>
        <v/>
      </c>
      <c r="S573" t="str">
        <f>IF('8 Numaralar'!T75="","",'8 Numaralar'!T75)</f>
        <v/>
      </c>
      <c r="T573" s="2" t="str">
        <f>IF('8 Numaralar'!U75="","",'8 Numaralar'!U75)</f>
        <v/>
      </c>
      <c r="U573" t="s">
        <v>931</v>
      </c>
      <c r="V573">
        <v>75</v>
      </c>
      <c r="W573" t="str">
        <f ca="1">IF(AND($A573&lt;&gt;"",ISNUMBER($G573),$G573&gt;=TODAY(),$G573&lt;=EDATE(TODAY(),12)),COUNTIFS($G$2:$G$1001,"&gt;="&amp;TODAY(),$G$2:$G$1001,"&lt;"&amp;$G573,$A$2:$A$1001,"&lt;&gt;")+COUNTIFS($G$2:$G573,$G573,$A$2:$A573,"&lt;&gt;"),"")</f>
        <v/>
      </c>
      <c r="X573" t="str">
        <f>IF(AND($A573&lt;&gt;"",ISNUMBER($C573),$C573&gt;=DATE(2003,1,1)),COUNTIFS($C$2:$C573,"&gt;="&amp;DATE(2003,1,1),$A$2:$A573,"&lt;&gt;"),"")</f>
        <v/>
      </c>
    </row>
    <row r="574" spans="1:24">
      <c r="A574" t="str">
        <f>IF('8 Numaralar'!A76="","",'8 Numaralar'!A76)</f>
        <v/>
      </c>
      <c r="B574" t="str">
        <f>IF('8 Numaralar'!B76="","",'8 Numaralar'!B76)</f>
        <v/>
      </c>
      <c r="C574" s="2" t="str">
        <f>IF('8 Numaralar'!C76="","",'8 Numaralar'!C76)</f>
        <v/>
      </c>
      <c r="D574" t="str">
        <f ca="1">IF('8 Numaralar'!D76="","",'8 Numaralar'!D76)</f>
        <v/>
      </c>
      <c r="E574" t="str">
        <f>IF('8 Numaralar'!E76="","",'8 Numaralar'!E76)</f>
        <v>8 Numara</v>
      </c>
      <c r="F574" t="str">
        <f>IF('8 Numaralar'!G76="","",'8 Numaralar'!G76)</f>
        <v/>
      </c>
      <c r="G574" s="2" t="str">
        <f>IF('8 Numaralar'!H76="","",'8 Numaralar'!H76)</f>
        <v/>
      </c>
      <c r="H574" t="str">
        <f>IF('8 Numaralar'!I76="","",'8 Numaralar'!I76)</f>
        <v/>
      </c>
      <c r="I574" t="str">
        <f>IF('8 Numaralar'!A76="","",'8 Numaralar'!J76)</f>
        <v/>
      </c>
      <c r="J574" t="str">
        <f>IF('8 Numaralar'!A76="","",'8 Numaralar'!K76)</f>
        <v/>
      </c>
      <c r="K574" t="str">
        <f>IF('8 Numaralar'!L76="","",'8 Numaralar'!L76)</f>
        <v/>
      </c>
      <c r="L574" t="str">
        <f>IF('8 Numaralar'!M76="","",'8 Numaralar'!M76)</f>
        <v/>
      </c>
      <c r="M574" t="str">
        <f>IF('8 Numaralar'!N76="","",'8 Numaralar'!N76)</f>
        <v/>
      </c>
      <c r="N574" t="str">
        <f>IF('8 Numaralar'!O76="","",'8 Numaralar'!O76)</f>
        <v/>
      </c>
      <c r="O574" t="str">
        <f>IF('8 Numaralar'!P76="","",'8 Numaralar'!P76)</f>
        <v/>
      </c>
      <c r="P574" t="str">
        <f>IF('8 Numaralar'!Q76="","",'8 Numaralar'!Q76)</f>
        <v/>
      </c>
      <c r="Q574" t="str">
        <f>IF('8 Numaralar'!R76="","",'8 Numaralar'!R76)</f>
        <v/>
      </c>
      <c r="R574" t="str">
        <f>IF('8 Numaralar'!S76="","",'8 Numaralar'!S76)</f>
        <v/>
      </c>
      <c r="S574" t="str">
        <f>IF('8 Numaralar'!T76="","",'8 Numaralar'!T76)</f>
        <v/>
      </c>
      <c r="T574" s="2" t="str">
        <f>IF('8 Numaralar'!U76="","",'8 Numaralar'!U76)</f>
        <v/>
      </c>
      <c r="U574" t="s">
        <v>931</v>
      </c>
      <c r="V574">
        <v>76</v>
      </c>
      <c r="W574" t="str">
        <f ca="1">IF(AND($A574&lt;&gt;"",ISNUMBER($G574),$G574&gt;=TODAY(),$G574&lt;=EDATE(TODAY(),12)),COUNTIFS($G$2:$G$1001,"&gt;="&amp;TODAY(),$G$2:$G$1001,"&lt;"&amp;$G574,$A$2:$A$1001,"&lt;&gt;")+COUNTIFS($G$2:$G574,$G574,$A$2:$A574,"&lt;&gt;"),"")</f>
        <v/>
      </c>
      <c r="X574" t="str">
        <f>IF(AND($A574&lt;&gt;"",ISNUMBER($C574),$C574&gt;=DATE(2003,1,1)),COUNTIFS($C$2:$C574,"&gt;="&amp;DATE(2003,1,1),$A$2:$A574,"&lt;&gt;"),"")</f>
        <v/>
      </c>
    </row>
    <row r="575" spans="1:24">
      <c r="A575" t="str">
        <f>IF('8 Numaralar'!A77="","",'8 Numaralar'!A77)</f>
        <v/>
      </c>
      <c r="B575" t="str">
        <f>IF('8 Numaralar'!B77="","",'8 Numaralar'!B77)</f>
        <v/>
      </c>
      <c r="C575" s="2" t="str">
        <f>IF('8 Numaralar'!C77="","",'8 Numaralar'!C77)</f>
        <v/>
      </c>
      <c r="D575" t="str">
        <f ca="1">IF('8 Numaralar'!D77="","",'8 Numaralar'!D77)</f>
        <v/>
      </c>
      <c r="E575" t="str">
        <f>IF('8 Numaralar'!E77="","",'8 Numaralar'!E77)</f>
        <v>8 Numara</v>
      </c>
      <c r="F575" t="str">
        <f>IF('8 Numaralar'!G77="","",'8 Numaralar'!G77)</f>
        <v/>
      </c>
      <c r="G575" s="2" t="str">
        <f>IF('8 Numaralar'!H77="","",'8 Numaralar'!H77)</f>
        <v/>
      </c>
      <c r="H575" t="str">
        <f>IF('8 Numaralar'!I77="","",'8 Numaralar'!I77)</f>
        <v/>
      </c>
      <c r="I575" t="str">
        <f>IF('8 Numaralar'!A77="","",'8 Numaralar'!J77)</f>
        <v/>
      </c>
      <c r="J575" t="str">
        <f>IF('8 Numaralar'!A77="","",'8 Numaralar'!K77)</f>
        <v/>
      </c>
      <c r="K575" t="str">
        <f>IF('8 Numaralar'!L77="","",'8 Numaralar'!L77)</f>
        <v/>
      </c>
      <c r="L575" t="str">
        <f>IF('8 Numaralar'!M77="","",'8 Numaralar'!M77)</f>
        <v/>
      </c>
      <c r="M575" t="str">
        <f>IF('8 Numaralar'!N77="","",'8 Numaralar'!N77)</f>
        <v/>
      </c>
      <c r="N575" t="str">
        <f>IF('8 Numaralar'!O77="","",'8 Numaralar'!O77)</f>
        <v/>
      </c>
      <c r="O575" t="str">
        <f>IF('8 Numaralar'!P77="","",'8 Numaralar'!P77)</f>
        <v/>
      </c>
      <c r="P575" t="str">
        <f>IF('8 Numaralar'!Q77="","",'8 Numaralar'!Q77)</f>
        <v/>
      </c>
      <c r="Q575" t="str">
        <f>IF('8 Numaralar'!R77="","",'8 Numaralar'!R77)</f>
        <v/>
      </c>
      <c r="R575" t="str">
        <f>IF('8 Numaralar'!S77="","",'8 Numaralar'!S77)</f>
        <v/>
      </c>
      <c r="S575" t="str">
        <f>IF('8 Numaralar'!T77="","",'8 Numaralar'!T77)</f>
        <v/>
      </c>
      <c r="T575" s="2" t="str">
        <f>IF('8 Numaralar'!U77="","",'8 Numaralar'!U77)</f>
        <v/>
      </c>
      <c r="U575" t="s">
        <v>931</v>
      </c>
      <c r="V575">
        <v>77</v>
      </c>
      <c r="W575" t="str">
        <f ca="1">IF(AND($A575&lt;&gt;"",ISNUMBER($G575),$G575&gt;=TODAY(),$G575&lt;=EDATE(TODAY(),12)),COUNTIFS($G$2:$G$1001,"&gt;="&amp;TODAY(),$G$2:$G$1001,"&lt;"&amp;$G575,$A$2:$A$1001,"&lt;&gt;")+COUNTIFS($G$2:$G575,$G575,$A$2:$A575,"&lt;&gt;"),"")</f>
        <v/>
      </c>
      <c r="X575" t="str">
        <f>IF(AND($A575&lt;&gt;"",ISNUMBER($C575),$C575&gt;=DATE(2003,1,1)),COUNTIFS($C$2:$C575,"&gt;="&amp;DATE(2003,1,1),$A$2:$A575,"&lt;&gt;"),"")</f>
        <v/>
      </c>
    </row>
    <row r="576" spans="1:24">
      <c r="A576" t="str">
        <f>IF('8 Numaralar'!A78="","",'8 Numaralar'!A78)</f>
        <v/>
      </c>
      <c r="B576" t="str">
        <f>IF('8 Numaralar'!B78="","",'8 Numaralar'!B78)</f>
        <v/>
      </c>
      <c r="C576" s="2" t="str">
        <f>IF('8 Numaralar'!C78="","",'8 Numaralar'!C78)</f>
        <v/>
      </c>
      <c r="D576" t="str">
        <f ca="1">IF('8 Numaralar'!D78="","",'8 Numaralar'!D78)</f>
        <v/>
      </c>
      <c r="E576" t="str">
        <f>IF('8 Numaralar'!E78="","",'8 Numaralar'!E78)</f>
        <v>8 Numara</v>
      </c>
      <c r="F576" t="str">
        <f>IF('8 Numaralar'!G78="","",'8 Numaralar'!G78)</f>
        <v/>
      </c>
      <c r="G576" s="2" t="str">
        <f>IF('8 Numaralar'!H78="","",'8 Numaralar'!H78)</f>
        <v/>
      </c>
      <c r="H576" t="str">
        <f>IF('8 Numaralar'!I78="","",'8 Numaralar'!I78)</f>
        <v/>
      </c>
      <c r="I576" t="str">
        <f>IF('8 Numaralar'!A78="","",'8 Numaralar'!J78)</f>
        <v/>
      </c>
      <c r="J576" t="str">
        <f>IF('8 Numaralar'!A78="","",'8 Numaralar'!K78)</f>
        <v/>
      </c>
      <c r="K576" t="str">
        <f>IF('8 Numaralar'!L78="","",'8 Numaralar'!L78)</f>
        <v/>
      </c>
      <c r="L576" t="str">
        <f>IF('8 Numaralar'!M78="","",'8 Numaralar'!M78)</f>
        <v/>
      </c>
      <c r="M576" t="str">
        <f>IF('8 Numaralar'!N78="","",'8 Numaralar'!N78)</f>
        <v/>
      </c>
      <c r="N576" t="str">
        <f>IF('8 Numaralar'!O78="","",'8 Numaralar'!O78)</f>
        <v/>
      </c>
      <c r="O576" t="str">
        <f>IF('8 Numaralar'!P78="","",'8 Numaralar'!P78)</f>
        <v/>
      </c>
      <c r="P576" t="str">
        <f>IF('8 Numaralar'!Q78="","",'8 Numaralar'!Q78)</f>
        <v/>
      </c>
      <c r="Q576" t="str">
        <f>IF('8 Numaralar'!R78="","",'8 Numaralar'!R78)</f>
        <v/>
      </c>
      <c r="R576" t="str">
        <f>IF('8 Numaralar'!S78="","",'8 Numaralar'!S78)</f>
        <v/>
      </c>
      <c r="S576" t="str">
        <f>IF('8 Numaralar'!T78="","",'8 Numaralar'!T78)</f>
        <v/>
      </c>
      <c r="T576" s="2" t="str">
        <f>IF('8 Numaralar'!U78="","",'8 Numaralar'!U78)</f>
        <v/>
      </c>
      <c r="U576" t="s">
        <v>931</v>
      </c>
      <c r="V576">
        <v>78</v>
      </c>
      <c r="W576" t="str">
        <f ca="1">IF(AND($A576&lt;&gt;"",ISNUMBER($G576),$G576&gt;=TODAY(),$G576&lt;=EDATE(TODAY(),12)),COUNTIFS($G$2:$G$1001,"&gt;="&amp;TODAY(),$G$2:$G$1001,"&lt;"&amp;$G576,$A$2:$A$1001,"&lt;&gt;")+COUNTIFS($G$2:$G576,$G576,$A$2:$A576,"&lt;&gt;"),"")</f>
        <v/>
      </c>
      <c r="X576" t="str">
        <f>IF(AND($A576&lt;&gt;"",ISNUMBER($C576),$C576&gt;=DATE(2003,1,1)),COUNTIFS($C$2:$C576,"&gt;="&amp;DATE(2003,1,1),$A$2:$A576,"&lt;&gt;"),"")</f>
        <v/>
      </c>
    </row>
    <row r="577" spans="1:24">
      <c r="A577" t="str">
        <f>IF('8 Numaralar'!A79="","",'8 Numaralar'!A79)</f>
        <v/>
      </c>
      <c r="B577" t="str">
        <f>IF('8 Numaralar'!B79="","",'8 Numaralar'!B79)</f>
        <v/>
      </c>
      <c r="C577" s="2" t="str">
        <f>IF('8 Numaralar'!C79="","",'8 Numaralar'!C79)</f>
        <v/>
      </c>
      <c r="D577" t="str">
        <f ca="1">IF('8 Numaralar'!D79="","",'8 Numaralar'!D79)</f>
        <v/>
      </c>
      <c r="E577" t="str">
        <f>IF('8 Numaralar'!E79="","",'8 Numaralar'!E79)</f>
        <v>8 Numara</v>
      </c>
      <c r="F577" t="str">
        <f>IF('8 Numaralar'!G79="","",'8 Numaralar'!G79)</f>
        <v/>
      </c>
      <c r="G577" s="2" t="str">
        <f>IF('8 Numaralar'!H79="","",'8 Numaralar'!H79)</f>
        <v/>
      </c>
      <c r="H577" t="str">
        <f>IF('8 Numaralar'!I79="","",'8 Numaralar'!I79)</f>
        <v/>
      </c>
      <c r="I577" t="str">
        <f>IF('8 Numaralar'!A79="","",'8 Numaralar'!J79)</f>
        <v/>
      </c>
      <c r="J577" t="str">
        <f>IF('8 Numaralar'!A79="","",'8 Numaralar'!K79)</f>
        <v/>
      </c>
      <c r="K577" t="str">
        <f>IF('8 Numaralar'!L79="","",'8 Numaralar'!L79)</f>
        <v/>
      </c>
      <c r="L577" t="str">
        <f>IF('8 Numaralar'!M79="","",'8 Numaralar'!M79)</f>
        <v/>
      </c>
      <c r="M577" t="str">
        <f>IF('8 Numaralar'!N79="","",'8 Numaralar'!N79)</f>
        <v/>
      </c>
      <c r="N577" t="str">
        <f>IF('8 Numaralar'!O79="","",'8 Numaralar'!O79)</f>
        <v/>
      </c>
      <c r="O577" t="str">
        <f>IF('8 Numaralar'!P79="","",'8 Numaralar'!P79)</f>
        <v/>
      </c>
      <c r="P577" t="str">
        <f>IF('8 Numaralar'!Q79="","",'8 Numaralar'!Q79)</f>
        <v/>
      </c>
      <c r="Q577" t="str">
        <f>IF('8 Numaralar'!R79="","",'8 Numaralar'!R79)</f>
        <v/>
      </c>
      <c r="R577" t="str">
        <f>IF('8 Numaralar'!S79="","",'8 Numaralar'!S79)</f>
        <v/>
      </c>
      <c r="S577" t="str">
        <f>IF('8 Numaralar'!T79="","",'8 Numaralar'!T79)</f>
        <v/>
      </c>
      <c r="T577" s="2" t="str">
        <f>IF('8 Numaralar'!U79="","",'8 Numaralar'!U79)</f>
        <v/>
      </c>
      <c r="U577" t="s">
        <v>931</v>
      </c>
      <c r="V577">
        <v>79</v>
      </c>
      <c r="W577" t="str">
        <f ca="1">IF(AND($A577&lt;&gt;"",ISNUMBER($G577),$G577&gt;=TODAY(),$G577&lt;=EDATE(TODAY(),12)),COUNTIFS($G$2:$G$1001,"&gt;="&amp;TODAY(),$G$2:$G$1001,"&lt;"&amp;$G577,$A$2:$A$1001,"&lt;&gt;")+COUNTIFS($G$2:$G577,$G577,$A$2:$A577,"&lt;&gt;"),"")</f>
        <v/>
      </c>
      <c r="X577" t="str">
        <f>IF(AND($A577&lt;&gt;"",ISNUMBER($C577),$C577&gt;=DATE(2003,1,1)),COUNTIFS($C$2:$C577,"&gt;="&amp;DATE(2003,1,1),$A$2:$A577,"&lt;&gt;"),"")</f>
        <v/>
      </c>
    </row>
    <row r="578" spans="1:24">
      <c r="A578" t="str">
        <f>IF('8 Numaralar'!A80="","",'8 Numaralar'!A80)</f>
        <v/>
      </c>
      <c r="B578" t="str">
        <f>IF('8 Numaralar'!B80="","",'8 Numaralar'!B80)</f>
        <v/>
      </c>
      <c r="C578" s="2" t="str">
        <f>IF('8 Numaralar'!C80="","",'8 Numaralar'!C80)</f>
        <v/>
      </c>
      <c r="D578" t="str">
        <f ca="1">IF('8 Numaralar'!D80="","",'8 Numaralar'!D80)</f>
        <v/>
      </c>
      <c r="E578" t="str">
        <f>IF('8 Numaralar'!E80="","",'8 Numaralar'!E80)</f>
        <v>8 Numara</v>
      </c>
      <c r="F578" t="str">
        <f>IF('8 Numaralar'!G80="","",'8 Numaralar'!G80)</f>
        <v/>
      </c>
      <c r="G578" s="2" t="str">
        <f>IF('8 Numaralar'!H80="","",'8 Numaralar'!H80)</f>
        <v/>
      </c>
      <c r="H578" t="str">
        <f>IF('8 Numaralar'!I80="","",'8 Numaralar'!I80)</f>
        <v/>
      </c>
      <c r="I578" t="str">
        <f>IF('8 Numaralar'!A80="","",'8 Numaralar'!J80)</f>
        <v/>
      </c>
      <c r="J578" t="str">
        <f>IF('8 Numaralar'!A80="","",'8 Numaralar'!K80)</f>
        <v/>
      </c>
      <c r="K578" t="str">
        <f>IF('8 Numaralar'!L80="","",'8 Numaralar'!L80)</f>
        <v/>
      </c>
      <c r="L578" t="str">
        <f>IF('8 Numaralar'!M80="","",'8 Numaralar'!M80)</f>
        <v/>
      </c>
      <c r="M578" t="str">
        <f>IF('8 Numaralar'!N80="","",'8 Numaralar'!N80)</f>
        <v/>
      </c>
      <c r="N578" t="str">
        <f>IF('8 Numaralar'!O80="","",'8 Numaralar'!O80)</f>
        <v/>
      </c>
      <c r="O578" t="str">
        <f>IF('8 Numaralar'!P80="","",'8 Numaralar'!P80)</f>
        <v/>
      </c>
      <c r="P578" t="str">
        <f>IF('8 Numaralar'!Q80="","",'8 Numaralar'!Q80)</f>
        <v/>
      </c>
      <c r="Q578" t="str">
        <f>IF('8 Numaralar'!R80="","",'8 Numaralar'!R80)</f>
        <v/>
      </c>
      <c r="R578" t="str">
        <f>IF('8 Numaralar'!S80="","",'8 Numaralar'!S80)</f>
        <v/>
      </c>
      <c r="S578" t="str">
        <f>IF('8 Numaralar'!T80="","",'8 Numaralar'!T80)</f>
        <v/>
      </c>
      <c r="T578" s="2" t="str">
        <f>IF('8 Numaralar'!U80="","",'8 Numaralar'!U80)</f>
        <v/>
      </c>
      <c r="U578" t="s">
        <v>931</v>
      </c>
      <c r="V578">
        <v>80</v>
      </c>
      <c r="W578" t="str">
        <f ca="1">IF(AND($A578&lt;&gt;"",ISNUMBER($G578),$G578&gt;=TODAY(),$G578&lt;=EDATE(TODAY(),12)),COUNTIFS($G$2:$G$1001,"&gt;="&amp;TODAY(),$G$2:$G$1001,"&lt;"&amp;$G578,$A$2:$A$1001,"&lt;&gt;")+COUNTIFS($G$2:$G578,$G578,$A$2:$A578,"&lt;&gt;"),"")</f>
        <v/>
      </c>
      <c r="X578" t="str">
        <f>IF(AND($A578&lt;&gt;"",ISNUMBER($C578),$C578&gt;=DATE(2003,1,1)),COUNTIFS($C$2:$C578,"&gt;="&amp;DATE(2003,1,1),$A$2:$A578,"&lt;&gt;"),"")</f>
        <v/>
      </c>
    </row>
    <row r="579" spans="1:24">
      <c r="A579" t="str">
        <f>IF('8 Numaralar'!A81="","",'8 Numaralar'!A81)</f>
        <v/>
      </c>
      <c r="B579" t="str">
        <f>IF('8 Numaralar'!B81="","",'8 Numaralar'!B81)</f>
        <v/>
      </c>
      <c r="C579" s="2" t="str">
        <f>IF('8 Numaralar'!C81="","",'8 Numaralar'!C81)</f>
        <v/>
      </c>
      <c r="D579" t="str">
        <f ca="1">IF('8 Numaralar'!D81="","",'8 Numaralar'!D81)</f>
        <v/>
      </c>
      <c r="E579" t="str">
        <f>IF('8 Numaralar'!E81="","",'8 Numaralar'!E81)</f>
        <v>8 Numara</v>
      </c>
      <c r="F579" t="str">
        <f>IF('8 Numaralar'!G81="","",'8 Numaralar'!G81)</f>
        <v/>
      </c>
      <c r="G579" s="2" t="str">
        <f>IF('8 Numaralar'!H81="","",'8 Numaralar'!H81)</f>
        <v/>
      </c>
      <c r="H579" t="str">
        <f>IF('8 Numaralar'!I81="","",'8 Numaralar'!I81)</f>
        <v/>
      </c>
      <c r="I579" t="str">
        <f>IF('8 Numaralar'!A81="","",'8 Numaralar'!J81)</f>
        <v/>
      </c>
      <c r="J579" t="str">
        <f>IF('8 Numaralar'!A81="","",'8 Numaralar'!K81)</f>
        <v/>
      </c>
      <c r="K579" t="str">
        <f>IF('8 Numaralar'!L81="","",'8 Numaralar'!L81)</f>
        <v/>
      </c>
      <c r="L579" t="str">
        <f>IF('8 Numaralar'!M81="","",'8 Numaralar'!M81)</f>
        <v/>
      </c>
      <c r="M579" t="str">
        <f>IF('8 Numaralar'!N81="","",'8 Numaralar'!N81)</f>
        <v/>
      </c>
      <c r="N579" t="str">
        <f>IF('8 Numaralar'!O81="","",'8 Numaralar'!O81)</f>
        <v/>
      </c>
      <c r="O579" t="str">
        <f>IF('8 Numaralar'!P81="","",'8 Numaralar'!P81)</f>
        <v/>
      </c>
      <c r="P579" t="str">
        <f>IF('8 Numaralar'!Q81="","",'8 Numaralar'!Q81)</f>
        <v/>
      </c>
      <c r="Q579" t="str">
        <f>IF('8 Numaralar'!R81="","",'8 Numaralar'!R81)</f>
        <v/>
      </c>
      <c r="R579" t="str">
        <f>IF('8 Numaralar'!S81="","",'8 Numaralar'!S81)</f>
        <v/>
      </c>
      <c r="S579" t="str">
        <f>IF('8 Numaralar'!T81="","",'8 Numaralar'!T81)</f>
        <v/>
      </c>
      <c r="T579" s="2" t="str">
        <f>IF('8 Numaralar'!U81="","",'8 Numaralar'!U81)</f>
        <v/>
      </c>
      <c r="U579" t="s">
        <v>931</v>
      </c>
      <c r="V579">
        <v>81</v>
      </c>
      <c r="W579" t="str">
        <f ca="1">IF(AND($A579&lt;&gt;"",ISNUMBER($G579),$G579&gt;=TODAY(),$G579&lt;=EDATE(TODAY(),12)),COUNTIFS($G$2:$G$1001,"&gt;="&amp;TODAY(),$G$2:$G$1001,"&lt;"&amp;$G579,$A$2:$A$1001,"&lt;&gt;")+COUNTIFS($G$2:$G579,$G579,$A$2:$A579,"&lt;&gt;"),"")</f>
        <v/>
      </c>
      <c r="X579" t="str">
        <f>IF(AND($A579&lt;&gt;"",ISNUMBER($C579),$C579&gt;=DATE(2003,1,1)),COUNTIFS($C$2:$C579,"&gt;="&amp;DATE(2003,1,1),$A$2:$A579,"&lt;&gt;"),"")</f>
        <v/>
      </c>
    </row>
    <row r="580" spans="1:24">
      <c r="A580" t="str">
        <f>IF('8 Numaralar'!A82="","",'8 Numaralar'!A82)</f>
        <v/>
      </c>
      <c r="B580" t="str">
        <f>IF('8 Numaralar'!B82="","",'8 Numaralar'!B82)</f>
        <v/>
      </c>
      <c r="C580" s="2" t="str">
        <f>IF('8 Numaralar'!C82="","",'8 Numaralar'!C82)</f>
        <v/>
      </c>
      <c r="D580" t="str">
        <f ca="1">IF('8 Numaralar'!D82="","",'8 Numaralar'!D82)</f>
        <v/>
      </c>
      <c r="E580" t="str">
        <f>IF('8 Numaralar'!E82="","",'8 Numaralar'!E82)</f>
        <v>8 Numara</v>
      </c>
      <c r="F580" t="str">
        <f>IF('8 Numaralar'!G82="","",'8 Numaralar'!G82)</f>
        <v/>
      </c>
      <c r="G580" s="2" t="str">
        <f>IF('8 Numaralar'!H82="","",'8 Numaralar'!H82)</f>
        <v/>
      </c>
      <c r="H580" t="str">
        <f>IF('8 Numaralar'!I82="","",'8 Numaralar'!I82)</f>
        <v/>
      </c>
      <c r="I580" t="str">
        <f>IF('8 Numaralar'!A82="","",'8 Numaralar'!J82)</f>
        <v/>
      </c>
      <c r="J580" t="str">
        <f>IF('8 Numaralar'!A82="","",'8 Numaralar'!K82)</f>
        <v/>
      </c>
      <c r="K580" t="str">
        <f>IF('8 Numaralar'!L82="","",'8 Numaralar'!L82)</f>
        <v/>
      </c>
      <c r="L580" t="str">
        <f>IF('8 Numaralar'!M82="","",'8 Numaralar'!M82)</f>
        <v/>
      </c>
      <c r="M580" t="str">
        <f>IF('8 Numaralar'!N82="","",'8 Numaralar'!N82)</f>
        <v/>
      </c>
      <c r="N580" t="str">
        <f>IF('8 Numaralar'!O82="","",'8 Numaralar'!O82)</f>
        <v/>
      </c>
      <c r="O580" t="str">
        <f>IF('8 Numaralar'!P82="","",'8 Numaralar'!P82)</f>
        <v/>
      </c>
      <c r="P580" t="str">
        <f>IF('8 Numaralar'!Q82="","",'8 Numaralar'!Q82)</f>
        <v/>
      </c>
      <c r="Q580" t="str">
        <f>IF('8 Numaralar'!R82="","",'8 Numaralar'!R82)</f>
        <v/>
      </c>
      <c r="R580" t="str">
        <f>IF('8 Numaralar'!S82="","",'8 Numaralar'!S82)</f>
        <v/>
      </c>
      <c r="S580" t="str">
        <f>IF('8 Numaralar'!T82="","",'8 Numaralar'!T82)</f>
        <v/>
      </c>
      <c r="T580" s="2" t="str">
        <f>IF('8 Numaralar'!U82="","",'8 Numaralar'!U82)</f>
        <v/>
      </c>
      <c r="U580" t="s">
        <v>931</v>
      </c>
      <c r="V580">
        <v>82</v>
      </c>
      <c r="W580" t="str">
        <f ca="1">IF(AND($A580&lt;&gt;"",ISNUMBER($G580),$G580&gt;=TODAY(),$G580&lt;=EDATE(TODAY(),12)),COUNTIFS($G$2:$G$1001,"&gt;="&amp;TODAY(),$G$2:$G$1001,"&lt;"&amp;$G580,$A$2:$A$1001,"&lt;&gt;")+COUNTIFS($G$2:$G580,$G580,$A$2:$A580,"&lt;&gt;"),"")</f>
        <v/>
      </c>
      <c r="X580" t="str">
        <f>IF(AND($A580&lt;&gt;"",ISNUMBER($C580),$C580&gt;=DATE(2003,1,1)),COUNTIFS($C$2:$C580,"&gt;="&amp;DATE(2003,1,1),$A$2:$A580,"&lt;&gt;"),"")</f>
        <v/>
      </c>
    </row>
    <row r="581" spans="1:24">
      <c r="A581" t="str">
        <f>IF('8 Numaralar'!A83="","",'8 Numaralar'!A83)</f>
        <v/>
      </c>
      <c r="B581" t="str">
        <f>IF('8 Numaralar'!B83="","",'8 Numaralar'!B83)</f>
        <v/>
      </c>
      <c r="C581" s="2" t="str">
        <f>IF('8 Numaralar'!C83="","",'8 Numaralar'!C83)</f>
        <v/>
      </c>
      <c r="D581" t="str">
        <f ca="1">IF('8 Numaralar'!D83="","",'8 Numaralar'!D83)</f>
        <v/>
      </c>
      <c r="E581" t="str">
        <f>IF('8 Numaralar'!E83="","",'8 Numaralar'!E83)</f>
        <v>8 Numara</v>
      </c>
      <c r="F581" t="str">
        <f>IF('8 Numaralar'!G83="","",'8 Numaralar'!G83)</f>
        <v/>
      </c>
      <c r="G581" s="2" t="str">
        <f>IF('8 Numaralar'!H83="","",'8 Numaralar'!H83)</f>
        <v/>
      </c>
      <c r="H581" t="str">
        <f>IF('8 Numaralar'!I83="","",'8 Numaralar'!I83)</f>
        <v/>
      </c>
      <c r="I581" t="str">
        <f>IF('8 Numaralar'!A83="","",'8 Numaralar'!J83)</f>
        <v/>
      </c>
      <c r="J581" t="str">
        <f>IF('8 Numaralar'!A83="","",'8 Numaralar'!K83)</f>
        <v/>
      </c>
      <c r="K581" t="str">
        <f>IF('8 Numaralar'!L83="","",'8 Numaralar'!L83)</f>
        <v/>
      </c>
      <c r="L581" t="str">
        <f>IF('8 Numaralar'!M83="","",'8 Numaralar'!M83)</f>
        <v/>
      </c>
      <c r="M581" t="str">
        <f>IF('8 Numaralar'!N83="","",'8 Numaralar'!N83)</f>
        <v/>
      </c>
      <c r="N581" t="str">
        <f>IF('8 Numaralar'!O83="","",'8 Numaralar'!O83)</f>
        <v/>
      </c>
      <c r="O581" t="str">
        <f>IF('8 Numaralar'!P83="","",'8 Numaralar'!P83)</f>
        <v/>
      </c>
      <c r="P581" t="str">
        <f>IF('8 Numaralar'!Q83="","",'8 Numaralar'!Q83)</f>
        <v/>
      </c>
      <c r="Q581" t="str">
        <f>IF('8 Numaralar'!R83="","",'8 Numaralar'!R83)</f>
        <v/>
      </c>
      <c r="R581" t="str">
        <f>IF('8 Numaralar'!S83="","",'8 Numaralar'!S83)</f>
        <v/>
      </c>
      <c r="S581" t="str">
        <f>IF('8 Numaralar'!T83="","",'8 Numaralar'!T83)</f>
        <v/>
      </c>
      <c r="T581" s="2" t="str">
        <f>IF('8 Numaralar'!U83="","",'8 Numaralar'!U83)</f>
        <v/>
      </c>
      <c r="U581" t="s">
        <v>931</v>
      </c>
      <c r="V581">
        <v>83</v>
      </c>
      <c r="W581" t="str">
        <f ca="1">IF(AND($A581&lt;&gt;"",ISNUMBER($G581),$G581&gt;=TODAY(),$G581&lt;=EDATE(TODAY(),12)),COUNTIFS($G$2:$G$1001,"&gt;="&amp;TODAY(),$G$2:$G$1001,"&lt;"&amp;$G581,$A$2:$A$1001,"&lt;&gt;")+COUNTIFS($G$2:$G581,$G581,$A$2:$A581,"&lt;&gt;"),"")</f>
        <v/>
      </c>
      <c r="X581" t="str">
        <f>IF(AND($A581&lt;&gt;"",ISNUMBER($C581),$C581&gt;=DATE(2003,1,1)),COUNTIFS($C$2:$C581,"&gt;="&amp;DATE(2003,1,1),$A$2:$A581,"&lt;&gt;"),"")</f>
        <v/>
      </c>
    </row>
    <row r="582" spans="1:24">
      <c r="A582" t="str">
        <f>IF('8 Numaralar'!A84="","",'8 Numaralar'!A84)</f>
        <v/>
      </c>
      <c r="B582" t="str">
        <f>IF('8 Numaralar'!B84="","",'8 Numaralar'!B84)</f>
        <v/>
      </c>
      <c r="C582" s="2" t="str">
        <f>IF('8 Numaralar'!C84="","",'8 Numaralar'!C84)</f>
        <v/>
      </c>
      <c r="D582" t="str">
        <f ca="1">IF('8 Numaralar'!D84="","",'8 Numaralar'!D84)</f>
        <v/>
      </c>
      <c r="E582" t="str">
        <f>IF('8 Numaralar'!E84="","",'8 Numaralar'!E84)</f>
        <v>8 Numara</v>
      </c>
      <c r="F582" t="str">
        <f>IF('8 Numaralar'!G84="","",'8 Numaralar'!G84)</f>
        <v/>
      </c>
      <c r="G582" s="2" t="str">
        <f>IF('8 Numaralar'!H84="","",'8 Numaralar'!H84)</f>
        <v/>
      </c>
      <c r="H582" t="str">
        <f>IF('8 Numaralar'!I84="","",'8 Numaralar'!I84)</f>
        <v/>
      </c>
      <c r="I582" t="str">
        <f>IF('8 Numaralar'!A84="","",'8 Numaralar'!J84)</f>
        <v/>
      </c>
      <c r="J582" t="str">
        <f>IF('8 Numaralar'!A84="","",'8 Numaralar'!K84)</f>
        <v/>
      </c>
      <c r="K582" t="str">
        <f>IF('8 Numaralar'!L84="","",'8 Numaralar'!L84)</f>
        <v/>
      </c>
      <c r="L582" t="str">
        <f>IF('8 Numaralar'!M84="","",'8 Numaralar'!M84)</f>
        <v/>
      </c>
      <c r="M582" t="str">
        <f>IF('8 Numaralar'!N84="","",'8 Numaralar'!N84)</f>
        <v/>
      </c>
      <c r="N582" t="str">
        <f>IF('8 Numaralar'!O84="","",'8 Numaralar'!O84)</f>
        <v/>
      </c>
      <c r="O582" t="str">
        <f>IF('8 Numaralar'!P84="","",'8 Numaralar'!P84)</f>
        <v/>
      </c>
      <c r="P582" t="str">
        <f>IF('8 Numaralar'!Q84="","",'8 Numaralar'!Q84)</f>
        <v/>
      </c>
      <c r="Q582" t="str">
        <f>IF('8 Numaralar'!R84="","",'8 Numaralar'!R84)</f>
        <v/>
      </c>
      <c r="R582" t="str">
        <f>IF('8 Numaralar'!S84="","",'8 Numaralar'!S84)</f>
        <v/>
      </c>
      <c r="S582" t="str">
        <f>IF('8 Numaralar'!T84="","",'8 Numaralar'!T84)</f>
        <v/>
      </c>
      <c r="T582" s="2" t="str">
        <f>IF('8 Numaralar'!U84="","",'8 Numaralar'!U84)</f>
        <v/>
      </c>
      <c r="U582" t="s">
        <v>931</v>
      </c>
      <c r="V582">
        <v>84</v>
      </c>
      <c r="W582" t="str">
        <f ca="1">IF(AND($A582&lt;&gt;"",ISNUMBER($G582),$G582&gt;=TODAY(),$G582&lt;=EDATE(TODAY(),12)),COUNTIFS($G$2:$G$1001,"&gt;="&amp;TODAY(),$G$2:$G$1001,"&lt;"&amp;$G582,$A$2:$A$1001,"&lt;&gt;")+COUNTIFS($G$2:$G582,$G582,$A$2:$A582,"&lt;&gt;"),"")</f>
        <v/>
      </c>
      <c r="X582" t="str">
        <f>IF(AND($A582&lt;&gt;"",ISNUMBER($C582),$C582&gt;=DATE(2003,1,1)),COUNTIFS($C$2:$C582,"&gt;="&amp;DATE(2003,1,1),$A$2:$A582,"&lt;&gt;"),"")</f>
        <v/>
      </c>
    </row>
    <row r="583" spans="1:24">
      <c r="A583" t="str">
        <f>IF('8 Numaralar'!A85="","",'8 Numaralar'!A85)</f>
        <v/>
      </c>
      <c r="B583" t="str">
        <f>IF('8 Numaralar'!B85="","",'8 Numaralar'!B85)</f>
        <v/>
      </c>
      <c r="C583" s="2" t="str">
        <f>IF('8 Numaralar'!C85="","",'8 Numaralar'!C85)</f>
        <v/>
      </c>
      <c r="D583" t="str">
        <f ca="1">IF('8 Numaralar'!D85="","",'8 Numaralar'!D85)</f>
        <v/>
      </c>
      <c r="E583" t="str">
        <f>IF('8 Numaralar'!E85="","",'8 Numaralar'!E85)</f>
        <v>8 Numara</v>
      </c>
      <c r="F583" t="str">
        <f>IF('8 Numaralar'!G85="","",'8 Numaralar'!G85)</f>
        <v/>
      </c>
      <c r="G583" s="2" t="str">
        <f>IF('8 Numaralar'!H85="","",'8 Numaralar'!H85)</f>
        <v/>
      </c>
      <c r="H583" t="str">
        <f>IF('8 Numaralar'!I85="","",'8 Numaralar'!I85)</f>
        <v/>
      </c>
      <c r="I583" t="str">
        <f>IF('8 Numaralar'!A85="","",'8 Numaralar'!J85)</f>
        <v/>
      </c>
      <c r="J583" t="str">
        <f>IF('8 Numaralar'!A85="","",'8 Numaralar'!K85)</f>
        <v/>
      </c>
      <c r="K583" t="str">
        <f>IF('8 Numaralar'!L85="","",'8 Numaralar'!L85)</f>
        <v/>
      </c>
      <c r="L583" t="str">
        <f>IF('8 Numaralar'!M85="","",'8 Numaralar'!M85)</f>
        <v/>
      </c>
      <c r="M583" t="str">
        <f>IF('8 Numaralar'!N85="","",'8 Numaralar'!N85)</f>
        <v/>
      </c>
      <c r="N583" t="str">
        <f>IF('8 Numaralar'!O85="","",'8 Numaralar'!O85)</f>
        <v/>
      </c>
      <c r="O583" t="str">
        <f>IF('8 Numaralar'!P85="","",'8 Numaralar'!P85)</f>
        <v/>
      </c>
      <c r="P583" t="str">
        <f>IF('8 Numaralar'!Q85="","",'8 Numaralar'!Q85)</f>
        <v/>
      </c>
      <c r="Q583" t="str">
        <f>IF('8 Numaralar'!R85="","",'8 Numaralar'!R85)</f>
        <v/>
      </c>
      <c r="R583" t="str">
        <f>IF('8 Numaralar'!S85="","",'8 Numaralar'!S85)</f>
        <v/>
      </c>
      <c r="S583" t="str">
        <f>IF('8 Numaralar'!T85="","",'8 Numaralar'!T85)</f>
        <v/>
      </c>
      <c r="T583" s="2" t="str">
        <f>IF('8 Numaralar'!U85="","",'8 Numaralar'!U85)</f>
        <v/>
      </c>
      <c r="U583" t="s">
        <v>931</v>
      </c>
      <c r="V583">
        <v>85</v>
      </c>
      <c r="W583" t="str">
        <f ca="1">IF(AND($A583&lt;&gt;"",ISNUMBER($G583),$G583&gt;=TODAY(),$G583&lt;=EDATE(TODAY(),12)),COUNTIFS($G$2:$G$1001,"&gt;="&amp;TODAY(),$G$2:$G$1001,"&lt;"&amp;$G583,$A$2:$A$1001,"&lt;&gt;")+COUNTIFS($G$2:$G583,$G583,$A$2:$A583,"&lt;&gt;"),"")</f>
        <v/>
      </c>
      <c r="X583" t="str">
        <f>IF(AND($A583&lt;&gt;"",ISNUMBER($C583),$C583&gt;=DATE(2003,1,1)),COUNTIFS($C$2:$C583,"&gt;="&amp;DATE(2003,1,1),$A$2:$A583,"&lt;&gt;"),"")</f>
        <v/>
      </c>
    </row>
    <row r="584" spans="1:24">
      <c r="A584" t="str">
        <f>IF('8 Numaralar'!A86="","",'8 Numaralar'!A86)</f>
        <v/>
      </c>
      <c r="B584" t="str">
        <f>IF('8 Numaralar'!B86="","",'8 Numaralar'!B86)</f>
        <v/>
      </c>
      <c r="C584" s="2" t="str">
        <f>IF('8 Numaralar'!C86="","",'8 Numaralar'!C86)</f>
        <v/>
      </c>
      <c r="D584" t="str">
        <f ca="1">IF('8 Numaralar'!D86="","",'8 Numaralar'!D86)</f>
        <v/>
      </c>
      <c r="E584" t="str">
        <f>IF('8 Numaralar'!E86="","",'8 Numaralar'!E86)</f>
        <v>8 Numara</v>
      </c>
      <c r="F584" t="str">
        <f>IF('8 Numaralar'!G86="","",'8 Numaralar'!G86)</f>
        <v/>
      </c>
      <c r="G584" s="2" t="str">
        <f>IF('8 Numaralar'!H86="","",'8 Numaralar'!H86)</f>
        <v/>
      </c>
      <c r="H584" t="str">
        <f>IF('8 Numaralar'!I86="","",'8 Numaralar'!I86)</f>
        <v/>
      </c>
      <c r="I584" t="str">
        <f>IF('8 Numaralar'!A86="","",'8 Numaralar'!J86)</f>
        <v/>
      </c>
      <c r="J584" t="str">
        <f>IF('8 Numaralar'!A86="","",'8 Numaralar'!K86)</f>
        <v/>
      </c>
      <c r="K584" t="str">
        <f>IF('8 Numaralar'!L86="","",'8 Numaralar'!L86)</f>
        <v/>
      </c>
      <c r="L584" t="str">
        <f>IF('8 Numaralar'!M86="","",'8 Numaralar'!M86)</f>
        <v/>
      </c>
      <c r="M584" t="str">
        <f>IF('8 Numaralar'!N86="","",'8 Numaralar'!N86)</f>
        <v/>
      </c>
      <c r="N584" t="str">
        <f>IF('8 Numaralar'!O86="","",'8 Numaralar'!O86)</f>
        <v/>
      </c>
      <c r="O584" t="str">
        <f>IF('8 Numaralar'!P86="","",'8 Numaralar'!P86)</f>
        <v/>
      </c>
      <c r="P584" t="str">
        <f>IF('8 Numaralar'!Q86="","",'8 Numaralar'!Q86)</f>
        <v/>
      </c>
      <c r="Q584" t="str">
        <f>IF('8 Numaralar'!R86="","",'8 Numaralar'!R86)</f>
        <v/>
      </c>
      <c r="R584" t="str">
        <f>IF('8 Numaralar'!S86="","",'8 Numaralar'!S86)</f>
        <v/>
      </c>
      <c r="S584" t="str">
        <f>IF('8 Numaralar'!T86="","",'8 Numaralar'!T86)</f>
        <v/>
      </c>
      <c r="T584" s="2" t="str">
        <f>IF('8 Numaralar'!U86="","",'8 Numaralar'!U86)</f>
        <v/>
      </c>
      <c r="U584" t="s">
        <v>931</v>
      </c>
      <c r="V584">
        <v>86</v>
      </c>
      <c r="W584" t="str">
        <f ca="1">IF(AND($A584&lt;&gt;"",ISNUMBER($G584),$G584&gt;=TODAY(),$G584&lt;=EDATE(TODAY(),12)),COUNTIFS($G$2:$G$1001,"&gt;="&amp;TODAY(),$G$2:$G$1001,"&lt;"&amp;$G584,$A$2:$A$1001,"&lt;&gt;")+COUNTIFS($G$2:$G584,$G584,$A$2:$A584,"&lt;&gt;"),"")</f>
        <v/>
      </c>
      <c r="X584" t="str">
        <f>IF(AND($A584&lt;&gt;"",ISNUMBER($C584),$C584&gt;=DATE(2003,1,1)),COUNTIFS($C$2:$C584,"&gt;="&amp;DATE(2003,1,1),$A$2:$A584,"&lt;&gt;"),"")</f>
        <v/>
      </c>
    </row>
    <row r="585" spans="1:24">
      <c r="A585" t="str">
        <f>IF('8 Numaralar'!A87="","",'8 Numaralar'!A87)</f>
        <v/>
      </c>
      <c r="B585" t="str">
        <f>IF('8 Numaralar'!B87="","",'8 Numaralar'!B87)</f>
        <v/>
      </c>
      <c r="C585" s="2" t="str">
        <f>IF('8 Numaralar'!C87="","",'8 Numaralar'!C87)</f>
        <v/>
      </c>
      <c r="D585" t="str">
        <f ca="1">IF('8 Numaralar'!D87="","",'8 Numaralar'!D87)</f>
        <v/>
      </c>
      <c r="E585" t="str">
        <f>IF('8 Numaralar'!E87="","",'8 Numaralar'!E87)</f>
        <v>8 Numara</v>
      </c>
      <c r="F585" t="str">
        <f>IF('8 Numaralar'!G87="","",'8 Numaralar'!G87)</f>
        <v/>
      </c>
      <c r="G585" s="2" t="str">
        <f>IF('8 Numaralar'!H87="","",'8 Numaralar'!H87)</f>
        <v/>
      </c>
      <c r="H585" t="str">
        <f>IF('8 Numaralar'!I87="","",'8 Numaralar'!I87)</f>
        <v/>
      </c>
      <c r="I585" t="str">
        <f>IF('8 Numaralar'!A87="","",'8 Numaralar'!J87)</f>
        <v/>
      </c>
      <c r="J585" t="str">
        <f>IF('8 Numaralar'!A87="","",'8 Numaralar'!K87)</f>
        <v/>
      </c>
      <c r="K585" t="str">
        <f>IF('8 Numaralar'!L87="","",'8 Numaralar'!L87)</f>
        <v/>
      </c>
      <c r="L585" t="str">
        <f>IF('8 Numaralar'!M87="","",'8 Numaralar'!M87)</f>
        <v/>
      </c>
      <c r="M585" t="str">
        <f>IF('8 Numaralar'!N87="","",'8 Numaralar'!N87)</f>
        <v/>
      </c>
      <c r="N585" t="str">
        <f>IF('8 Numaralar'!O87="","",'8 Numaralar'!O87)</f>
        <v/>
      </c>
      <c r="O585" t="str">
        <f>IF('8 Numaralar'!P87="","",'8 Numaralar'!P87)</f>
        <v/>
      </c>
      <c r="P585" t="str">
        <f>IF('8 Numaralar'!Q87="","",'8 Numaralar'!Q87)</f>
        <v/>
      </c>
      <c r="Q585" t="str">
        <f>IF('8 Numaralar'!R87="","",'8 Numaralar'!R87)</f>
        <v/>
      </c>
      <c r="R585" t="str">
        <f>IF('8 Numaralar'!S87="","",'8 Numaralar'!S87)</f>
        <v/>
      </c>
      <c r="S585" t="str">
        <f>IF('8 Numaralar'!T87="","",'8 Numaralar'!T87)</f>
        <v/>
      </c>
      <c r="T585" s="2" t="str">
        <f>IF('8 Numaralar'!U87="","",'8 Numaralar'!U87)</f>
        <v/>
      </c>
      <c r="U585" t="s">
        <v>931</v>
      </c>
      <c r="V585">
        <v>87</v>
      </c>
      <c r="W585" t="str">
        <f ca="1">IF(AND($A585&lt;&gt;"",ISNUMBER($G585),$G585&gt;=TODAY(),$G585&lt;=EDATE(TODAY(),12)),COUNTIFS($G$2:$G$1001,"&gt;="&amp;TODAY(),$G$2:$G$1001,"&lt;"&amp;$G585,$A$2:$A$1001,"&lt;&gt;")+COUNTIFS($G$2:$G585,$G585,$A$2:$A585,"&lt;&gt;"),"")</f>
        <v/>
      </c>
      <c r="X585" t="str">
        <f>IF(AND($A585&lt;&gt;"",ISNUMBER($C585),$C585&gt;=DATE(2003,1,1)),COUNTIFS($C$2:$C585,"&gt;="&amp;DATE(2003,1,1),$A$2:$A585,"&lt;&gt;"),"")</f>
        <v/>
      </c>
    </row>
    <row r="586" spans="1:24">
      <c r="A586" t="str">
        <f>IF('8 Numaralar'!A88="","",'8 Numaralar'!A88)</f>
        <v/>
      </c>
      <c r="B586" t="str">
        <f>IF('8 Numaralar'!B88="","",'8 Numaralar'!B88)</f>
        <v/>
      </c>
      <c r="C586" s="2" t="str">
        <f>IF('8 Numaralar'!C88="","",'8 Numaralar'!C88)</f>
        <v/>
      </c>
      <c r="D586" t="str">
        <f ca="1">IF('8 Numaralar'!D88="","",'8 Numaralar'!D88)</f>
        <v/>
      </c>
      <c r="E586" t="str">
        <f>IF('8 Numaralar'!E88="","",'8 Numaralar'!E88)</f>
        <v>8 Numara</v>
      </c>
      <c r="F586" t="str">
        <f>IF('8 Numaralar'!G88="","",'8 Numaralar'!G88)</f>
        <v/>
      </c>
      <c r="G586" s="2" t="str">
        <f>IF('8 Numaralar'!H88="","",'8 Numaralar'!H88)</f>
        <v/>
      </c>
      <c r="H586" t="str">
        <f>IF('8 Numaralar'!I88="","",'8 Numaralar'!I88)</f>
        <v/>
      </c>
      <c r="I586" t="str">
        <f>IF('8 Numaralar'!A88="","",'8 Numaralar'!J88)</f>
        <v/>
      </c>
      <c r="J586" t="str">
        <f>IF('8 Numaralar'!A88="","",'8 Numaralar'!K88)</f>
        <v/>
      </c>
      <c r="K586" t="str">
        <f>IF('8 Numaralar'!L88="","",'8 Numaralar'!L88)</f>
        <v/>
      </c>
      <c r="L586" t="str">
        <f>IF('8 Numaralar'!M88="","",'8 Numaralar'!M88)</f>
        <v/>
      </c>
      <c r="M586" t="str">
        <f>IF('8 Numaralar'!N88="","",'8 Numaralar'!N88)</f>
        <v/>
      </c>
      <c r="N586" t="str">
        <f>IF('8 Numaralar'!O88="","",'8 Numaralar'!O88)</f>
        <v/>
      </c>
      <c r="O586" t="str">
        <f>IF('8 Numaralar'!P88="","",'8 Numaralar'!P88)</f>
        <v/>
      </c>
      <c r="P586" t="str">
        <f>IF('8 Numaralar'!Q88="","",'8 Numaralar'!Q88)</f>
        <v/>
      </c>
      <c r="Q586" t="str">
        <f>IF('8 Numaralar'!R88="","",'8 Numaralar'!R88)</f>
        <v/>
      </c>
      <c r="R586" t="str">
        <f>IF('8 Numaralar'!S88="","",'8 Numaralar'!S88)</f>
        <v/>
      </c>
      <c r="S586" t="str">
        <f>IF('8 Numaralar'!T88="","",'8 Numaralar'!T88)</f>
        <v/>
      </c>
      <c r="T586" s="2" t="str">
        <f>IF('8 Numaralar'!U88="","",'8 Numaralar'!U88)</f>
        <v/>
      </c>
      <c r="U586" t="s">
        <v>931</v>
      </c>
      <c r="V586">
        <v>88</v>
      </c>
      <c r="W586" t="str">
        <f ca="1">IF(AND($A586&lt;&gt;"",ISNUMBER($G586),$G586&gt;=TODAY(),$G586&lt;=EDATE(TODAY(),12)),COUNTIFS($G$2:$G$1001,"&gt;="&amp;TODAY(),$G$2:$G$1001,"&lt;"&amp;$G586,$A$2:$A$1001,"&lt;&gt;")+COUNTIFS($G$2:$G586,$G586,$A$2:$A586,"&lt;&gt;"),"")</f>
        <v/>
      </c>
      <c r="X586" t="str">
        <f>IF(AND($A586&lt;&gt;"",ISNUMBER($C586),$C586&gt;=DATE(2003,1,1)),COUNTIFS($C$2:$C586,"&gt;="&amp;DATE(2003,1,1),$A$2:$A586,"&lt;&gt;"),"")</f>
        <v/>
      </c>
    </row>
    <row r="587" spans="1:24">
      <c r="A587" t="str">
        <f>IF('8 Numaralar'!A89="","",'8 Numaralar'!A89)</f>
        <v/>
      </c>
      <c r="B587" t="str">
        <f>IF('8 Numaralar'!B89="","",'8 Numaralar'!B89)</f>
        <v/>
      </c>
      <c r="C587" s="2" t="str">
        <f>IF('8 Numaralar'!C89="","",'8 Numaralar'!C89)</f>
        <v/>
      </c>
      <c r="D587" t="str">
        <f ca="1">IF('8 Numaralar'!D89="","",'8 Numaralar'!D89)</f>
        <v/>
      </c>
      <c r="E587" t="str">
        <f>IF('8 Numaralar'!E89="","",'8 Numaralar'!E89)</f>
        <v>8 Numara</v>
      </c>
      <c r="F587" t="str">
        <f>IF('8 Numaralar'!G89="","",'8 Numaralar'!G89)</f>
        <v/>
      </c>
      <c r="G587" s="2" t="str">
        <f>IF('8 Numaralar'!H89="","",'8 Numaralar'!H89)</f>
        <v/>
      </c>
      <c r="H587" t="str">
        <f>IF('8 Numaralar'!I89="","",'8 Numaralar'!I89)</f>
        <v/>
      </c>
      <c r="I587" t="str">
        <f>IF('8 Numaralar'!A89="","",'8 Numaralar'!J89)</f>
        <v/>
      </c>
      <c r="J587" t="str">
        <f>IF('8 Numaralar'!A89="","",'8 Numaralar'!K89)</f>
        <v/>
      </c>
      <c r="K587" t="str">
        <f>IF('8 Numaralar'!L89="","",'8 Numaralar'!L89)</f>
        <v/>
      </c>
      <c r="L587" t="str">
        <f>IF('8 Numaralar'!M89="","",'8 Numaralar'!M89)</f>
        <v/>
      </c>
      <c r="M587" t="str">
        <f>IF('8 Numaralar'!N89="","",'8 Numaralar'!N89)</f>
        <v/>
      </c>
      <c r="N587" t="str">
        <f>IF('8 Numaralar'!O89="","",'8 Numaralar'!O89)</f>
        <v/>
      </c>
      <c r="O587" t="str">
        <f>IF('8 Numaralar'!P89="","",'8 Numaralar'!P89)</f>
        <v/>
      </c>
      <c r="P587" t="str">
        <f>IF('8 Numaralar'!Q89="","",'8 Numaralar'!Q89)</f>
        <v/>
      </c>
      <c r="Q587" t="str">
        <f>IF('8 Numaralar'!R89="","",'8 Numaralar'!R89)</f>
        <v/>
      </c>
      <c r="R587" t="str">
        <f>IF('8 Numaralar'!S89="","",'8 Numaralar'!S89)</f>
        <v/>
      </c>
      <c r="S587" t="str">
        <f>IF('8 Numaralar'!T89="","",'8 Numaralar'!T89)</f>
        <v/>
      </c>
      <c r="T587" s="2" t="str">
        <f>IF('8 Numaralar'!U89="","",'8 Numaralar'!U89)</f>
        <v/>
      </c>
      <c r="U587" t="s">
        <v>931</v>
      </c>
      <c r="V587">
        <v>89</v>
      </c>
      <c r="W587" t="str">
        <f ca="1">IF(AND($A587&lt;&gt;"",ISNUMBER($G587),$G587&gt;=TODAY(),$G587&lt;=EDATE(TODAY(),12)),COUNTIFS($G$2:$G$1001,"&gt;="&amp;TODAY(),$G$2:$G$1001,"&lt;"&amp;$G587,$A$2:$A$1001,"&lt;&gt;")+COUNTIFS($G$2:$G587,$G587,$A$2:$A587,"&lt;&gt;"),"")</f>
        <v/>
      </c>
      <c r="X587" t="str">
        <f>IF(AND($A587&lt;&gt;"",ISNUMBER($C587),$C587&gt;=DATE(2003,1,1)),COUNTIFS($C$2:$C587,"&gt;="&amp;DATE(2003,1,1),$A$2:$A587,"&lt;&gt;"),"")</f>
        <v/>
      </c>
    </row>
    <row r="588" spans="1:24">
      <c r="A588" t="str">
        <f>IF('8 Numaralar'!A90="","",'8 Numaralar'!A90)</f>
        <v/>
      </c>
      <c r="B588" t="str">
        <f>IF('8 Numaralar'!B90="","",'8 Numaralar'!B90)</f>
        <v/>
      </c>
      <c r="C588" s="2" t="str">
        <f>IF('8 Numaralar'!C90="","",'8 Numaralar'!C90)</f>
        <v/>
      </c>
      <c r="D588" t="str">
        <f ca="1">IF('8 Numaralar'!D90="","",'8 Numaralar'!D90)</f>
        <v/>
      </c>
      <c r="E588" t="str">
        <f>IF('8 Numaralar'!E90="","",'8 Numaralar'!E90)</f>
        <v>8 Numara</v>
      </c>
      <c r="F588" t="str">
        <f>IF('8 Numaralar'!G90="","",'8 Numaralar'!G90)</f>
        <v/>
      </c>
      <c r="G588" s="2" t="str">
        <f>IF('8 Numaralar'!H90="","",'8 Numaralar'!H90)</f>
        <v/>
      </c>
      <c r="H588" t="str">
        <f>IF('8 Numaralar'!I90="","",'8 Numaralar'!I90)</f>
        <v/>
      </c>
      <c r="I588" t="str">
        <f>IF('8 Numaralar'!A90="","",'8 Numaralar'!J90)</f>
        <v/>
      </c>
      <c r="J588" t="str">
        <f>IF('8 Numaralar'!A90="","",'8 Numaralar'!K90)</f>
        <v/>
      </c>
      <c r="K588" t="str">
        <f>IF('8 Numaralar'!L90="","",'8 Numaralar'!L90)</f>
        <v/>
      </c>
      <c r="L588" t="str">
        <f>IF('8 Numaralar'!M90="","",'8 Numaralar'!M90)</f>
        <v/>
      </c>
      <c r="M588" t="str">
        <f>IF('8 Numaralar'!N90="","",'8 Numaralar'!N90)</f>
        <v/>
      </c>
      <c r="N588" t="str">
        <f>IF('8 Numaralar'!O90="","",'8 Numaralar'!O90)</f>
        <v/>
      </c>
      <c r="O588" t="str">
        <f>IF('8 Numaralar'!P90="","",'8 Numaralar'!P90)</f>
        <v/>
      </c>
      <c r="P588" t="str">
        <f>IF('8 Numaralar'!Q90="","",'8 Numaralar'!Q90)</f>
        <v/>
      </c>
      <c r="Q588" t="str">
        <f>IF('8 Numaralar'!R90="","",'8 Numaralar'!R90)</f>
        <v/>
      </c>
      <c r="R588" t="str">
        <f>IF('8 Numaralar'!S90="","",'8 Numaralar'!S90)</f>
        <v/>
      </c>
      <c r="S588" t="str">
        <f>IF('8 Numaralar'!T90="","",'8 Numaralar'!T90)</f>
        <v/>
      </c>
      <c r="T588" s="2" t="str">
        <f>IF('8 Numaralar'!U90="","",'8 Numaralar'!U90)</f>
        <v/>
      </c>
      <c r="U588" t="s">
        <v>931</v>
      </c>
      <c r="V588">
        <v>90</v>
      </c>
      <c r="W588" t="str">
        <f ca="1">IF(AND($A588&lt;&gt;"",ISNUMBER($G588),$G588&gt;=TODAY(),$G588&lt;=EDATE(TODAY(),12)),COUNTIFS($G$2:$G$1001,"&gt;="&amp;TODAY(),$G$2:$G$1001,"&lt;"&amp;$G588,$A$2:$A$1001,"&lt;&gt;")+COUNTIFS($G$2:$G588,$G588,$A$2:$A588,"&lt;&gt;"),"")</f>
        <v/>
      </c>
      <c r="X588" t="str">
        <f>IF(AND($A588&lt;&gt;"",ISNUMBER($C588),$C588&gt;=DATE(2003,1,1)),COUNTIFS($C$2:$C588,"&gt;="&amp;DATE(2003,1,1),$A$2:$A588,"&lt;&gt;"),"")</f>
        <v/>
      </c>
    </row>
    <row r="589" spans="1:24">
      <c r="A589" t="str">
        <f>IF('8 Numaralar'!A91="","",'8 Numaralar'!A91)</f>
        <v/>
      </c>
      <c r="B589" t="str">
        <f>IF('8 Numaralar'!B91="","",'8 Numaralar'!B91)</f>
        <v/>
      </c>
      <c r="C589" s="2" t="str">
        <f>IF('8 Numaralar'!C91="","",'8 Numaralar'!C91)</f>
        <v/>
      </c>
      <c r="D589" t="str">
        <f ca="1">IF('8 Numaralar'!D91="","",'8 Numaralar'!D91)</f>
        <v/>
      </c>
      <c r="E589" t="str">
        <f>IF('8 Numaralar'!E91="","",'8 Numaralar'!E91)</f>
        <v>8 Numara</v>
      </c>
      <c r="F589" t="str">
        <f>IF('8 Numaralar'!G91="","",'8 Numaralar'!G91)</f>
        <v/>
      </c>
      <c r="G589" s="2" t="str">
        <f>IF('8 Numaralar'!H91="","",'8 Numaralar'!H91)</f>
        <v/>
      </c>
      <c r="H589" t="str">
        <f>IF('8 Numaralar'!I91="","",'8 Numaralar'!I91)</f>
        <v/>
      </c>
      <c r="I589" t="str">
        <f>IF('8 Numaralar'!A91="","",'8 Numaralar'!J91)</f>
        <v/>
      </c>
      <c r="J589" t="str">
        <f>IF('8 Numaralar'!A91="","",'8 Numaralar'!K91)</f>
        <v/>
      </c>
      <c r="K589" t="str">
        <f>IF('8 Numaralar'!L91="","",'8 Numaralar'!L91)</f>
        <v/>
      </c>
      <c r="L589" t="str">
        <f>IF('8 Numaralar'!M91="","",'8 Numaralar'!M91)</f>
        <v/>
      </c>
      <c r="M589" t="str">
        <f>IF('8 Numaralar'!N91="","",'8 Numaralar'!N91)</f>
        <v/>
      </c>
      <c r="N589" t="str">
        <f>IF('8 Numaralar'!O91="","",'8 Numaralar'!O91)</f>
        <v/>
      </c>
      <c r="O589" t="str">
        <f>IF('8 Numaralar'!P91="","",'8 Numaralar'!P91)</f>
        <v/>
      </c>
      <c r="P589" t="str">
        <f>IF('8 Numaralar'!Q91="","",'8 Numaralar'!Q91)</f>
        <v/>
      </c>
      <c r="Q589" t="str">
        <f>IF('8 Numaralar'!R91="","",'8 Numaralar'!R91)</f>
        <v/>
      </c>
      <c r="R589" t="str">
        <f>IF('8 Numaralar'!S91="","",'8 Numaralar'!S91)</f>
        <v/>
      </c>
      <c r="S589" t="str">
        <f>IF('8 Numaralar'!T91="","",'8 Numaralar'!T91)</f>
        <v/>
      </c>
      <c r="T589" s="2" t="str">
        <f>IF('8 Numaralar'!U91="","",'8 Numaralar'!U91)</f>
        <v/>
      </c>
      <c r="U589" t="s">
        <v>931</v>
      </c>
      <c r="V589">
        <v>91</v>
      </c>
      <c r="W589" t="str">
        <f ca="1">IF(AND($A589&lt;&gt;"",ISNUMBER($G589),$G589&gt;=TODAY(),$G589&lt;=EDATE(TODAY(),12)),COUNTIFS($G$2:$G$1001,"&gt;="&amp;TODAY(),$G$2:$G$1001,"&lt;"&amp;$G589,$A$2:$A$1001,"&lt;&gt;")+COUNTIFS($G$2:$G589,$G589,$A$2:$A589,"&lt;&gt;"),"")</f>
        <v/>
      </c>
      <c r="X589" t="str">
        <f>IF(AND($A589&lt;&gt;"",ISNUMBER($C589),$C589&gt;=DATE(2003,1,1)),COUNTIFS($C$2:$C589,"&gt;="&amp;DATE(2003,1,1),$A$2:$A589,"&lt;&gt;"),"")</f>
        <v/>
      </c>
    </row>
    <row r="590" spans="1:24">
      <c r="A590" t="str">
        <f>IF('8 Numaralar'!A92="","",'8 Numaralar'!A92)</f>
        <v/>
      </c>
      <c r="B590" t="str">
        <f>IF('8 Numaralar'!B92="","",'8 Numaralar'!B92)</f>
        <v/>
      </c>
      <c r="C590" s="2" t="str">
        <f>IF('8 Numaralar'!C92="","",'8 Numaralar'!C92)</f>
        <v/>
      </c>
      <c r="D590" t="str">
        <f ca="1">IF('8 Numaralar'!D92="","",'8 Numaralar'!D92)</f>
        <v/>
      </c>
      <c r="E590" t="str">
        <f>IF('8 Numaralar'!E92="","",'8 Numaralar'!E92)</f>
        <v>8 Numara</v>
      </c>
      <c r="F590" t="str">
        <f>IF('8 Numaralar'!G92="","",'8 Numaralar'!G92)</f>
        <v/>
      </c>
      <c r="G590" s="2" t="str">
        <f>IF('8 Numaralar'!H92="","",'8 Numaralar'!H92)</f>
        <v/>
      </c>
      <c r="H590" t="str">
        <f>IF('8 Numaralar'!I92="","",'8 Numaralar'!I92)</f>
        <v/>
      </c>
      <c r="I590" t="str">
        <f>IF('8 Numaralar'!A92="","",'8 Numaralar'!J92)</f>
        <v/>
      </c>
      <c r="J590" t="str">
        <f>IF('8 Numaralar'!A92="","",'8 Numaralar'!K92)</f>
        <v/>
      </c>
      <c r="K590" t="str">
        <f>IF('8 Numaralar'!L92="","",'8 Numaralar'!L92)</f>
        <v/>
      </c>
      <c r="L590" t="str">
        <f>IF('8 Numaralar'!M92="","",'8 Numaralar'!M92)</f>
        <v/>
      </c>
      <c r="M590" t="str">
        <f>IF('8 Numaralar'!N92="","",'8 Numaralar'!N92)</f>
        <v/>
      </c>
      <c r="N590" t="str">
        <f>IF('8 Numaralar'!O92="","",'8 Numaralar'!O92)</f>
        <v/>
      </c>
      <c r="O590" t="str">
        <f>IF('8 Numaralar'!P92="","",'8 Numaralar'!P92)</f>
        <v/>
      </c>
      <c r="P590" t="str">
        <f>IF('8 Numaralar'!Q92="","",'8 Numaralar'!Q92)</f>
        <v/>
      </c>
      <c r="Q590" t="str">
        <f>IF('8 Numaralar'!R92="","",'8 Numaralar'!R92)</f>
        <v/>
      </c>
      <c r="R590" t="str">
        <f>IF('8 Numaralar'!S92="","",'8 Numaralar'!S92)</f>
        <v/>
      </c>
      <c r="S590" t="str">
        <f>IF('8 Numaralar'!T92="","",'8 Numaralar'!T92)</f>
        <v/>
      </c>
      <c r="T590" s="2" t="str">
        <f>IF('8 Numaralar'!U92="","",'8 Numaralar'!U92)</f>
        <v/>
      </c>
      <c r="U590" t="s">
        <v>931</v>
      </c>
      <c r="V590">
        <v>92</v>
      </c>
      <c r="W590" t="str">
        <f ca="1">IF(AND($A590&lt;&gt;"",ISNUMBER($G590),$G590&gt;=TODAY(),$G590&lt;=EDATE(TODAY(),12)),COUNTIFS($G$2:$G$1001,"&gt;="&amp;TODAY(),$G$2:$G$1001,"&lt;"&amp;$G590,$A$2:$A$1001,"&lt;&gt;")+COUNTIFS($G$2:$G590,$G590,$A$2:$A590,"&lt;&gt;"),"")</f>
        <v/>
      </c>
      <c r="X590" t="str">
        <f>IF(AND($A590&lt;&gt;"",ISNUMBER($C590),$C590&gt;=DATE(2003,1,1)),COUNTIFS($C$2:$C590,"&gt;="&amp;DATE(2003,1,1),$A$2:$A590,"&lt;&gt;"),"")</f>
        <v/>
      </c>
    </row>
    <row r="591" spans="1:24">
      <c r="A591" t="str">
        <f>IF('8 Numaralar'!A93="","",'8 Numaralar'!A93)</f>
        <v/>
      </c>
      <c r="B591" t="str">
        <f>IF('8 Numaralar'!B93="","",'8 Numaralar'!B93)</f>
        <v/>
      </c>
      <c r="C591" s="2" t="str">
        <f>IF('8 Numaralar'!C93="","",'8 Numaralar'!C93)</f>
        <v/>
      </c>
      <c r="D591" t="str">
        <f ca="1">IF('8 Numaralar'!D93="","",'8 Numaralar'!D93)</f>
        <v/>
      </c>
      <c r="E591" t="str">
        <f>IF('8 Numaralar'!E93="","",'8 Numaralar'!E93)</f>
        <v>8 Numara</v>
      </c>
      <c r="F591" t="str">
        <f>IF('8 Numaralar'!G93="","",'8 Numaralar'!G93)</f>
        <v/>
      </c>
      <c r="G591" s="2" t="str">
        <f>IF('8 Numaralar'!H93="","",'8 Numaralar'!H93)</f>
        <v/>
      </c>
      <c r="H591" t="str">
        <f>IF('8 Numaralar'!I93="","",'8 Numaralar'!I93)</f>
        <v/>
      </c>
      <c r="I591" t="str">
        <f>IF('8 Numaralar'!A93="","",'8 Numaralar'!J93)</f>
        <v/>
      </c>
      <c r="J591" t="str">
        <f>IF('8 Numaralar'!A93="","",'8 Numaralar'!K93)</f>
        <v/>
      </c>
      <c r="K591" t="str">
        <f>IF('8 Numaralar'!L93="","",'8 Numaralar'!L93)</f>
        <v/>
      </c>
      <c r="L591" t="str">
        <f>IF('8 Numaralar'!M93="","",'8 Numaralar'!M93)</f>
        <v/>
      </c>
      <c r="M591" t="str">
        <f>IF('8 Numaralar'!N93="","",'8 Numaralar'!N93)</f>
        <v/>
      </c>
      <c r="N591" t="str">
        <f>IF('8 Numaralar'!O93="","",'8 Numaralar'!O93)</f>
        <v/>
      </c>
      <c r="O591" t="str">
        <f>IF('8 Numaralar'!P93="","",'8 Numaralar'!P93)</f>
        <v/>
      </c>
      <c r="P591" t="str">
        <f>IF('8 Numaralar'!Q93="","",'8 Numaralar'!Q93)</f>
        <v/>
      </c>
      <c r="Q591" t="str">
        <f>IF('8 Numaralar'!R93="","",'8 Numaralar'!R93)</f>
        <v/>
      </c>
      <c r="R591" t="str">
        <f>IF('8 Numaralar'!S93="","",'8 Numaralar'!S93)</f>
        <v/>
      </c>
      <c r="S591" t="str">
        <f>IF('8 Numaralar'!T93="","",'8 Numaralar'!T93)</f>
        <v/>
      </c>
      <c r="T591" s="2" t="str">
        <f>IF('8 Numaralar'!U93="","",'8 Numaralar'!U93)</f>
        <v/>
      </c>
      <c r="U591" t="s">
        <v>931</v>
      </c>
      <c r="V591">
        <v>93</v>
      </c>
      <c r="W591" t="str">
        <f ca="1">IF(AND($A591&lt;&gt;"",ISNUMBER($G591),$G591&gt;=TODAY(),$G591&lt;=EDATE(TODAY(),12)),COUNTIFS($G$2:$G$1001,"&gt;="&amp;TODAY(),$G$2:$G$1001,"&lt;"&amp;$G591,$A$2:$A$1001,"&lt;&gt;")+COUNTIFS($G$2:$G591,$G591,$A$2:$A591,"&lt;&gt;"),"")</f>
        <v/>
      </c>
      <c r="X591" t="str">
        <f>IF(AND($A591&lt;&gt;"",ISNUMBER($C591),$C591&gt;=DATE(2003,1,1)),COUNTIFS($C$2:$C591,"&gt;="&amp;DATE(2003,1,1),$A$2:$A591,"&lt;&gt;"),"")</f>
        <v/>
      </c>
    </row>
    <row r="592" spans="1:24">
      <c r="A592" t="str">
        <f>IF('8 Numaralar'!A94="","",'8 Numaralar'!A94)</f>
        <v/>
      </c>
      <c r="B592" t="str">
        <f>IF('8 Numaralar'!B94="","",'8 Numaralar'!B94)</f>
        <v/>
      </c>
      <c r="C592" s="2" t="str">
        <f>IF('8 Numaralar'!C94="","",'8 Numaralar'!C94)</f>
        <v/>
      </c>
      <c r="D592" t="str">
        <f ca="1">IF('8 Numaralar'!D94="","",'8 Numaralar'!D94)</f>
        <v/>
      </c>
      <c r="E592" t="str">
        <f>IF('8 Numaralar'!E94="","",'8 Numaralar'!E94)</f>
        <v>8 Numara</v>
      </c>
      <c r="F592" t="str">
        <f>IF('8 Numaralar'!G94="","",'8 Numaralar'!G94)</f>
        <v/>
      </c>
      <c r="G592" s="2" t="str">
        <f>IF('8 Numaralar'!H94="","",'8 Numaralar'!H94)</f>
        <v/>
      </c>
      <c r="H592" t="str">
        <f>IF('8 Numaralar'!I94="","",'8 Numaralar'!I94)</f>
        <v/>
      </c>
      <c r="I592" t="str">
        <f>IF('8 Numaralar'!A94="","",'8 Numaralar'!J94)</f>
        <v/>
      </c>
      <c r="J592" t="str">
        <f>IF('8 Numaralar'!A94="","",'8 Numaralar'!K94)</f>
        <v/>
      </c>
      <c r="K592" t="str">
        <f>IF('8 Numaralar'!L94="","",'8 Numaralar'!L94)</f>
        <v/>
      </c>
      <c r="L592" t="str">
        <f>IF('8 Numaralar'!M94="","",'8 Numaralar'!M94)</f>
        <v/>
      </c>
      <c r="M592" t="str">
        <f>IF('8 Numaralar'!N94="","",'8 Numaralar'!N94)</f>
        <v/>
      </c>
      <c r="N592" t="str">
        <f>IF('8 Numaralar'!O94="","",'8 Numaralar'!O94)</f>
        <v/>
      </c>
      <c r="O592" t="str">
        <f>IF('8 Numaralar'!P94="","",'8 Numaralar'!P94)</f>
        <v/>
      </c>
      <c r="P592" t="str">
        <f>IF('8 Numaralar'!Q94="","",'8 Numaralar'!Q94)</f>
        <v/>
      </c>
      <c r="Q592" t="str">
        <f>IF('8 Numaralar'!R94="","",'8 Numaralar'!R94)</f>
        <v/>
      </c>
      <c r="R592" t="str">
        <f>IF('8 Numaralar'!S94="","",'8 Numaralar'!S94)</f>
        <v/>
      </c>
      <c r="S592" t="str">
        <f>IF('8 Numaralar'!T94="","",'8 Numaralar'!T94)</f>
        <v/>
      </c>
      <c r="T592" s="2" t="str">
        <f>IF('8 Numaralar'!U94="","",'8 Numaralar'!U94)</f>
        <v/>
      </c>
      <c r="U592" t="s">
        <v>931</v>
      </c>
      <c r="V592">
        <v>94</v>
      </c>
      <c r="W592" t="str">
        <f ca="1">IF(AND($A592&lt;&gt;"",ISNUMBER($G592),$G592&gt;=TODAY(),$G592&lt;=EDATE(TODAY(),12)),COUNTIFS($G$2:$G$1001,"&gt;="&amp;TODAY(),$G$2:$G$1001,"&lt;"&amp;$G592,$A$2:$A$1001,"&lt;&gt;")+COUNTIFS($G$2:$G592,$G592,$A$2:$A592,"&lt;&gt;"),"")</f>
        <v/>
      </c>
      <c r="X592" t="str">
        <f>IF(AND($A592&lt;&gt;"",ISNUMBER($C592),$C592&gt;=DATE(2003,1,1)),COUNTIFS($C$2:$C592,"&gt;="&amp;DATE(2003,1,1),$A$2:$A592,"&lt;&gt;"),"")</f>
        <v/>
      </c>
    </row>
    <row r="593" spans="1:24">
      <c r="A593" t="str">
        <f>IF('8 Numaralar'!A95="","",'8 Numaralar'!A95)</f>
        <v/>
      </c>
      <c r="B593" t="str">
        <f>IF('8 Numaralar'!B95="","",'8 Numaralar'!B95)</f>
        <v/>
      </c>
      <c r="C593" s="2" t="str">
        <f>IF('8 Numaralar'!C95="","",'8 Numaralar'!C95)</f>
        <v/>
      </c>
      <c r="D593" t="str">
        <f ca="1">IF('8 Numaralar'!D95="","",'8 Numaralar'!D95)</f>
        <v/>
      </c>
      <c r="E593" t="str">
        <f>IF('8 Numaralar'!E95="","",'8 Numaralar'!E95)</f>
        <v>8 Numara</v>
      </c>
      <c r="F593" t="str">
        <f>IF('8 Numaralar'!G95="","",'8 Numaralar'!G95)</f>
        <v/>
      </c>
      <c r="G593" s="2" t="str">
        <f>IF('8 Numaralar'!H95="","",'8 Numaralar'!H95)</f>
        <v/>
      </c>
      <c r="H593" t="str">
        <f>IF('8 Numaralar'!I95="","",'8 Numaralar'!I95)</f>
        <v/>
      </c>
      <c r="I593" t="str">
        <f>IF('8 Numaralar'!A95="","",'8 Numaralar'!J95)</f>
        <v/>
      </c>
      <c r="J593" t="str">
        <f>IF('8 Numaralar'!A95="","",'8 Numaralar'!K95)</f>
        <v/>
      </c>
      <c r="K593" t="str">
        <f>IF('8 Numaralar'!L95="","",'8 Numaralar'!L95)</f>
        <v/>
      </c>
      <c r="L593" t="str">
        <f>IF('8 Numaralar'!M95="","",'8 Numaralar'!M95)</f>
        <v/>
      </c>
      <c r="M593" t="str">
        <f>IF('8 Numaralar'!N95="","",'8 Numaralar'!N95)</f>
        <v/>
      </c>
      <c r="N593" t="str">
        <f>IF('8 Numaralar'!O95="","",'8 Numaralar'!O95)</f>
        <v/>
      </c>
      <c r="O593" t="str">
        <f>IF('8 Numaralar'!P95="","",'8 Numaralar'!P95)</f>
        <v/>
      </c>
      <c r="P593" t="str">
        <f>IF('8 Numaralar'!Q95="","",'8 Numaralar'!Q95)</f>
        <v/>
      </c>
      <c r="Q593" t="str">
        <f>IF('8 Numaralar'!R95="","",'8 Numaralar'!R95)</f>
        <v/>
      </c>
      <c r="R593" t="str">
        <f>IF('8 Numaralar'!S95="","",'8 Numaralar'!S95)</f>
        <v/>
      </c>
      <c r="S593" t="str">
        <f>IF('8 Numaralar'!T95="","",'8 Numaralar'!T95)</f>
        <v/>
      </c>
      <c r="T593" s="2" t="str">
        <f>IF('8 Numaralar'!U95="","",'8 Numaralar'!U95)</f>
        <v/>
      </c>
      <c r="U593" t="s">
        <v>931</v>
      </c>
      <c r="V593">
        <v>95</v>
      </c>
      <c r="W593" t="str">
        <f ca="1">IF(AND($A593&lt;&gt;"",ISNUMBER($G593),$G593&gt;=TODAY(),$G593&lt;=EDATE(TODAY(),12)),COUNTIFS($G$2:$G$1001,"&gt;="&amp;TODAY(),$G$2:$G$1001,"&lt;"&amp;$G593,$A$2:$A$1001,"&lt;&gt;")+COUNTIFS($G$2:$G593,$G593,$A$2:$A593,"&lt;&gt;"),"")</f>
        <v/>
      </c>
      <c r="X593" t="str">
        <f>IF(AND($A593&lt;&gt;"",ISNUMBER($C593),$C593&gt;=DATE(2003,1,1)),COUNTIFS($C$2:$C593,"&gt;="&amp;DATE(2003,1,1),$A$2:$A593,"&lt;&gt;"),"")</f>
        <v/>
      </c>
    </row>
    <row r="594" spans="1:24">
      <c r="A594" t="str">
        <f>IF('8 Numaralar'!A96="","",'8 Numaralar'!A96)</f>
        <v/>
      </c>
      <c r="B594" t="str">
        <f>IF('8 Numaralar'!B96="","",'8 Numaralar'!B96)</f>
        <v/>
      </c>
      <c r="C594" s="2" t="str">
        <f>IF('8 Numaralar'!C96="","",'8 Numaralar'!C96)</f>
        <v/>
      </c>
      <c r="D594" t="str">
        <f ca="1">IF('8 Numaralar'!D96="","",'8 Numaralar'!D96)</f>
        <v/>
      </c>
      <c r="E594" t="str">
        <f>IF('8 Numaralar'!E96="","",'8 Numaralar'!E96)</f>
        <v>8 Numara</v>
      </c>
      <c r="F594" t="str">
        <f>IF('8 Numaralar'!G96="","",'8 Numaralar'!G96)</f>
        <v/>
      </c>
      <c r="G594" s="2" t="str">
        <f>IF('8 Numaralar'!H96="","",'8 Numaralar'!H96)</f>
        <v/>
      </c>
      <c r="H594" t="str">
        <f>IF('8 Numaralar'!I96="","",'8 Numaralar'!I96)</f>
        <v/>
      </c>
      <c r="I594" t="str">
        <f>IF('8 Numaralar'!A96="","",'8 Numaralar'!J96)</f>
        <v/>
      </c>
      <c r="J594" t="str">
        <f>IF('8 Numaralar'!A96="","",'8 Numaralar'!K96)</f>
        <v/>
      </c>
      <c r="K594" t="str">
        <f>IF('8 Numaralar'!L96="","",'8 Numaralar'!L96)</f>
        <v/>
      </c>
      <c r="L594" t="str">
        <f>IF('8 Numaralar'!M96="","",'8 Numaralar'!M96)</f>
        <v/>
      </c>
      <c r="M594" t="str">
        <f>IF('8 Numaralar'!N96="","",'8 Numaralar'!N96)</f>
        <v/>
      </c>
      <c r="N594" t="str">
        <f>IF('8 Numaralar'!O96="","",'8 Numaralar'!O96)</f>
        <v/>
      </c>
      <c r="O594" t="str">
        <f>IF('8 Numaralar'!P96="","",'8 Numaralar'!P96)</f>
        <v/>
      </c>
      <c r="P594" t="str">
        <f>IF('8 Numaralar'!Q96="","",'8 Numaralar'!Q96)</f>
        <v/>
      </c>
      <c r="Q594" t="str">
        <f>IF('8 Numaralar'!R96="","",'8 Numaralar'!R96)</f>
        <v/>
      </c>
      <c r="R594" t="str">
        <f>IF('8 Numaralar'!S96="","",'8 Numaralar'!S96)</f>
        <v/>
      </c>
      <c r="S594" t="str">
        <f>IF('8 Numaralar'!T96="","",'8 Numaralar'!T96)</f>
        <v/>
      </c>
      <c r="T594" s="2" t="str">
        <f>IF('8 Numaralar'!U96="","",'8 Numaralar'!U96)</f>
        <v/>
      </c>
      <c r="U594" t="s">
        <v>931</v>
      </c>
      <c r="V594">
        <v>96</v>
      </c>
      <c r="W594" t="str">
        <f ca="1">IF(AND($A594&lt;&gt;"",ISNUMBER($G594),$G594&gt;=TODAY(),$G594&lt;=EDATE(TODAY(),12)),COUNTIFS($G$2:$G$1001,"&gt;="&amp;TODAY(),$G$2:$G$1001,"&lt;"&amp;$G594,$A$2:$A$1001,"&lt;&gt;")+COUNTIFS($G$2:$G594,$G594,$A$2:$A594,"&lt;&gt;"),"")</f>
        <v/>
      </c>
      <c r="X594" t="str">
        <f>IF(AND($A594&lt;&gt;"",ISNUMBER($C594),$C594&gt;=DATE(2003,1,1)),COUNTIFS($C$2:$C594,"&gt;="&amp;DATE(2003,1,1),$A$2:$A594,"&lt;&gt;"),"")</f>
        <v/>
      </c>
    </row>
    <row r="595" spans="1:24">
      <c r="A595" t="str">
        <f>IF('8 Numaralar'!A97="","",'8 Numaralar'!A97)</f>
        <v/>
      </c>
      <c r="B595" t="str">
        <f>IF('8 Numaralar'!B97="","",'8 Numaralar'!B97)</f>
        <v/>
      </c>
      <c r="C595" s="2" t="str">
        <f>IF('8 Numaralar'!C97="","",'8 Numaralar'!C97)</f>
        <v/>
      </c>
      <c r="D595" t="str">
        <f ca="1">IF('8 Numaralar'!D97="","",'8 Numaralar'!D97)</f>
        <v/>
      </c>
      <c r="E595" t="str">
        <f>IF('8 Numaralar'!E97="","",'8 Numaralar'!E97)</f>
        <v>8 Numara</v>
      </c>
      <c r="F595" t="str">
        <f>IF('8 Numaralar'!G97="","",'8 Numaralar'!G97)</f>
        <v/>
      </c>
      <c r="G595" s="2" t="str">
        <f>IF('8 Numaralar'!H97="","",'8 Numaralar'!H97)</f>
        <v/>
      </c>
      <c r="H595" t="str">
        <f>IF('8 Numaralar'!I97="","",'8 Numaralar'!I97)</f>
        <v/>
      </c>
      <c r="I595" t="str">
        <f>IF('8 Numaralar'!A97="","",'8 Numaralar'!J97)</f>
        <v/>
      </c>
      <c r="J595" t="str">
        <f>IF('8 Numaralar'!A97="","",'8 Numaralar'!K97)</f>
        <v/>
      </c>
      <c r="K595" t="str">
        <f>IF('8 Numaralar'!L97="","",'8 Numaralar'!L97)</f>
        <v/>
      </c>
      <c r="L595" t="str">
        <f>IF('8 Numaralar'!M97="","",'8 Numaralar'!M97)</f>
        <v/>
      </c>
      <c r="M595" t="str">
        <f>IF('8 Numaralar'!N97="","",'8 Numaralar'!N97)</f>
        <v/>
      </c>
      <c r="N595" t="str">
        <f>IF('8 Numaralar'!O97="","",'8 Numaralar'!O97)</f>
        <v/>
      </c>
      <c r="O595" t="str">
        <f>IF('8 Numaralar'!P97="","",'8 Numaralar'!P97)</f>
        <v/>
      </c>
      <c r="P595" t="str">
        <f>IF('8 Numaralar'!Q97="","",'8 Numaralar'!Q97)</f>
        <v/>
      </c>
      <c r="Q595" t="str">
        <f>IF('8 Numaralar'!R97="","",'8 Numaralar'!R97)</f>
        <v/>
      </c>
      <c r="R595" t="str">
        <f>IF('8 Numaralar'!S97="","",'8 Numaralar'!S97)</f>
        <v/>
      </c>
      <c r="S595" t="str">
        <f>IF('8 Numaralar'!T97="","",'8 Numaralar'!T97)</f>
        <v/>
      </c>
      <c r="T595" s="2" t="str">
        <f>IF('8 Numaralar'!U97="","",'8 Numaralar'!U97)</f>
        <v/>
      </c>
      <c r="U595" t="s">
        <v>931</v>
      </c>
      <c r="V595">
        <v>97</v>
      </c>
      <c r="W595" t="str">
        <f ca="1">IF(AND($A595&lt;&gt;"",ISNUMBER($G595),$G595&gt;=TODAY(),$G595&lt;=EDATE(TODAY(),12)),COUNTIFS($G$2:$G$1001,"&gt;="&amp;TODAY(),$G$2:$G$1001,"&lt;"&amp;$G595,$A$2:$A$1001,"&lt;&gt;")+COUNTIFS($G$2:$G595,$G595,$A$2:$A595,"&lt;&gt;"),"")</f>
        <v/>
      </c>
      <c r="X595" t="str">
        <f>IF(AND($A595&lt;&gt;"",ISNUMBER($C595),$C595&gt;=DATE(2003,1,1)),COUNTIFS($C$2:$C595,"&gt;="&amp;DATE(2003,1,1),$A$2:$A595,"&lt;&gt;"),"")</f>
        <v/>
      </c>
    </row>
    <row r="596" spans="1:24">
      <c r="A596" t="str">
        <f>IF('8 Numaralar'!A98="","",'8 Numaralar'!A98)</f>
        <v/>
      </c>
      <c r="B596" t="str">
        <f>IF('8 Numaralar'!B98="","",'8 Numaralar'!B98)</f>
        <v/>
      </c>
      <c r="C596" s="2" t="str">
        <f>IF('8 Numaralar'!C98="","",'8 Numaralar'!C98)</f>
        <v/>
      </c>
      <c r="D596" t="str">
        <f ca="1">IF('8 Numaralar'!D98="","",'8 Numaralar'!D98)</f>
        <v/>
      </c>
      <c r="E596" t="str">
        <f>IF('8 Numaralar'!E98="","",'8 Numaralar'!E98)</f>
        <v>8 Numara</v>
      </c>
      <c r="F596" t="str">
        <f>IF('8 Numaralar'!G98="","",'8 Numaralar'!G98)</f>
        <v/>
      </c>
      <c r="G596" s="2" t="str">
        <f>IF('8 Numaralar'!H98="","",'8 Numaralar'!H98)</f>
        <v/>
      </c>
      <c r="H596" t="str">
        <f>IF('8 Numaralar'!I98="","",'8 Numaralar'!I98)</f>
        <v/>
      </c>
      <c r="I596" t="str">
        <f>IF('8 Numaralar'!A98="","",'8 Numaralar'!J98)</f>
        <v/>
      </c>
      <c r="J596" t="str">
        <f>IF('8 Numaralar'!A98="","",'8 Numaralar'!K98)</f>
        <v/>
      </c>
      <c r="K596" t="str">
        <f>IF('8 Numaralar'!L98="","",'8 Numaralar'!L98)</f>
        <v/>
      </c>
      <c r="L596" t="str">
        <f>IF('8 Numaralar'!M98="","",'8 Numaralar'!M98)</f>
        <v/>
      </c>
      <c r="M596" t="str">
        <f>IF('8 Numaralar'!N98="","",'8 Numaralar'!N98)</f>
        <v/>
      </c>
      <c r="N596" t="str">
        <f>IF('8 Numaralar'!O98="","",'8 Numaralar'!O98)</f>
        <v/>
      </c>
      <c r="O596" t="str">
        <f>IF('8 Numaralar'!P98="","",'8 Numaralar'!P98)</f>
        <v/>
      </c>
      <c r="P596" t="str">
        <f>IF('8 Numaralar'!Q98="","",'8 Numaralar'!Q98)</f>
        <v/>
      </c>
      <c r="Q596" t="str">
        <f>IF('8 Numaralar'!R98="","",'8 Numaralar'!R98)</f>
        <v/>
      </c>
      <c r="R596" t="str">
        <f>IF('8 Numaralar'!S98="","",'8 Numaralar'!S98)</f>
        <v/>
      </c>
      <c r="S596" t="str">
        <f>IF('8 Numaralar'!T98="","",'8 Numaralar'!T98)</f>
        <v/>
      </c>
      <c r="T596" s="2" t="str">
        <f>IF('8 Numaralar'!U98="","",'8 Numaralar'!U98)</f>
        <v/>
      </c>
      <c r="U596" t="s">
        <v>931</v>
      </c>
      <c r="V596">
        <v>98</v>
      </c>
      <c r="W596" t="str">
        <f ca="1">IF(AND($A596&lt;&gt;"",ISNUMBER($G596),$G596&gt;=TODAY(),$G596&lt;=EDATE(TODAY(),12)),COUNTIFS($G$2:$G$1001,"&gt;="&amp;TODAY(),$G$2:$G$1001,"&lt;"&amp;$G596,$A$2:$A$1001,"&lt;&gt;")+COUNTIFS($G$2:$G596,$G596,$A$2:$A596,"&lt;&gt;"),"")</f>
        <v/>
      </c>
      <c r="X596" t="str">
        <f>IF(AND($A596&lt;&gt;"",ISNUMBER($C596),$C596&gt;=DATE(2003,1,1)),COUNTIFS($C$2:$C596,"&gt;="&amp;DATE(2003,1,1),$A$2:$A596,"&lt;&gt;"),"")</f>
        <v/>
      </c>
    </row>
    <row r="597" spans="1:24">
      <c r="A597" t="str">
        <f>IF('8 Numaralar'!A99="","",'8 Numaralar'!A99)</f>
        <v/>
      </c>
      <c r="B597" t="str">
        <f>IF('8 Numaralar'!B99="","",'8 Numaralar'!B99)</f>
        <v/>
      </c>
      <c r="C597" s="2" t="str">
        <f>IF('8 Numaralar'!C99="","",'8 Numaralar'!C99)</f>
        <v/>
      </c>
      <c r="D597" t="str">
        <f ca="1">IF('8 Numaralar'!D99="","",'8 Numaralar'!D99)</f>
        <v/>
      </c>
      <c r="E597" t="str">
        <f>IF('8 Numaralar'!E99="","",'8 Numaralar'!E99)</f>
        <v>8 Numara</v>
      </c>
      <c r="F597" t="str">
        <f>IF('8 Numaralar'!G99="","",'8 Numaralar'!G99)</f>
        <v/>
      </c>
      <c r="G597" s="2" t="str">
        <f>IF('8 Numaralar'!H99="","",'8 Numaralar'!H99)</f>
        <v/>
      </c>
      <c r="H597" t="str">
        <f>IF('8 Numaralar'!I99="","",'8 Numaralar'!I99)</f>
        <v/>
      </c>
      <c r="I597" t="str">
        <f>IF('8 Numaralar'!A99="","",'8 Numaralar'!J99)</f>
        <v/>
      </c>
      <c r="J597" t="str">
        <f>IF('8 Numaralar'!A99="","",'8 Numaralar'!K99)</f>
        <v/>
      </c>
      <c r="K597" t="str">
        <f>IF('8 Numaralar'!L99="","",'8 Numaralar'!L99)</f>
        <v/>
      </c>
      <c r="L597" t="str">
        <f>IF('8 Numaralar'!M99="","",'8 Numaralar'!M99)</f>
        <v/>
      </c>
      <c r="M597" t="str">
        <f>IF('8 Numaralar'!N99="","",'8 Numaralar'!N99)</f>
        <v/>
      </c>
      <c r="N597" t="str">
        <f>IF('8 Numaralar'!O99="","",'8 Numaralar'!O99)</f>
        <v/>
      </c>
      <c r="O597" t="str">
        <f>IF('8 Numaralar'!P99="","",'8 Numaralar'!P99)</f>
        <v/>
      </c>
      <c r="P597" t="str">
        <f>IF('8 Numaralar'!Q99="","",'8 Numaralar'!Q99)</f>
        <v/>
      </c>
      <c r="Q597" t="str">
        <f>IF('8 Numaralar'!R99="","",'8 Numaralar'!R99)</f>
        <v/>
      </c>
      <c r="R597" t="str">
        <f>IF('8 Numaralar'!S99="","",'8 Numaralar'!S99)</f>
        <v/>
      </c>
      <c r="S597" t="str">
        <f>IF('8 Numaralar'!T99="","",'8 Numaralar'!T99)</f>
        <v/>
      </c>
      <c r="T597" s="2" t="str">
        <f>IF('8 Numaralar'!U99="","",'8 Numaralar'!U99)</f>
        <v/>
      </c>
      <c r="U597" t="s">
        <v>931</v>
      </c>
      <c r="V597">
        <v>99</v>
      </c>
      <c r="W597" t="str">
        <f ca="1">IF(AND($A597&lt;&gt;"",ISNUMBER($G597),$G597&gt;=TODAY(),$G597&lt;=EDATE(TODAY(),12)),COUNTIFS($G$2:$G$1001,"&gt;="&amp;TODAY(),$G$2:$G$1001,"&lt;"&amp;$G597,$A$2:$A$1001,"&lt;&gt;")+COUNTIFS($G$2:$G597,$G597,$A$2:$A597,"&lt;&gt;"),"")</f>
        <v/>
      </c>
      <c r="X597" t="str">
        <f>IF(AND($A597&lt;&gt;"",ISNUMBER($C597),$C597&gt;=DATE(2003,1,1)),COUNTIFS($C$2:$C597,"&gt;="&amp;DATE(2003,1,1),$A$2:$A597,"&lt;&gt;"),"")</f>
        <v/>
      </c>
    </row>
    <row r="598" spans="1:24">
      <c r="A598" t="str">
        <f>IF('8 Numaralar'!A100="","",'8 Numaralar'!A100)</f>
        <v/>
      </c>
      <c r="B598" t="str">
        <f>IF('8 Numaralar'!B100="","",'8 Numaralar'!B100)</f>
        <v/>
      </c>
      <c r="C598" s="2" t="str">
        <f>IF('8 Numaralar'!C100="","",'8 Numaralar'!C100)</f>
        <v/>
      </c>
      <c r="D598" t="str">
        <f ca="1">IF('8 Numaralar'!D100="","",'8 Numaralar'!D100)</f>
        <v/>
      </c>
      <c r="E598" t="str">
        <f>IF('8 Numaralar'!E100="","",'8 Numaralar'!E100)</f>
        <v>8 Numara</v>
      </c>
      <c r="F598" t="str">
        <f>IF('8 Numaralar'!G100="","",'8 Numaralar'!G100)</f>
        <v/>
      </c>
      <c r="G598" s="2" t="str">
        <f>IF('8 Numaralar'!H100="","",'8 Numaralar'!H100)</f>
        <v/>
      </c>
      <c r="H598" t="str">
        <f>IF('8 Numaralar'!I100="","",'8 Numaralar'!I100)</f>
        <v/>
      </c>
      <c r="I598" t="str">
        <f>IF('8 Numaralar'!A100="","",'8 Numaralar'!J100)</f>
        <v/>
      </c>
      <c r="J598" t="str">
        <f>IF('8 Numaralar'!A100="","",'8 Numaralar'!K100)</f>
        <v/>
      </c>
      <c r="K598" t="str">
        <f>IF('8 Numaralar'!L100="","",'8 Numaralar'!L100)</f>
        <v/>
      </c>
      <c r="L598" t="str">
        <f>IF('8 Numaralar'!M100="","",'8 Numaralar'!M100)</f>
        <v/>
      </c>
      <c r="M598" t="str">
        <f>IF('8 Numaralar'!N100="","",'8 Numaralar'!N100)</f>
        <v/>
      </c>
      <c r="N598" t="str">
        <f>IF('8 Numaralar'!O100="","",'8 Numaralar'!O100)</f>
        <v/>
      </c>
      <c r="O598" t="str">
        <f>IF('8 Numaralar'!P100="","",'8 Numaralar'!P100)</f>
        <v/>
      </c>
      <c r="P598" t="str">
        <f>IF('8 Numaralar'!Q100="","",'8 Numaralar'!Q100)</f>
        <v/>
      </c>
      <c r="Q598" t="str">
        <f>IF('8 Numaralar'!R100="","",'8 Numaralar'!R100)</f>
        <v/>
      </c>
      <c r="R598" t="str">
        <f>IF('8 Numaralar'!S100="","",'8 Numaralar'!S100)</f>
        <v/>
      </c>
      <c r="S598" t="str">
        <f>IF('8 Numaralar'!T100="","",'8 Numaralar'!T100)</f>
        <v/>
      </c>
      <c r="T598" s="2" t="str">
        <f>IF('8 Numaralar'!U100="","",'8 Numaralar'!U100)</f>
        <v/>
      </c>
      <c r="U598" t="s">
        <v>931</v>
      </c>
      <c r="V598">
        <v>100</v>
      </c>
      <c r="W598" t="str">
        <f ca="1">IF(AND($A598&lt;&gt;"",ISNUMBER($G598),$G598&gt;=TODAY(),$G598&lt;=EDATE(TODAY(),12)),COUNTIFS($G$2:$G$1001,"&gt;="&amp;TODAY(),$G$2:$G$1001,"&lt;"&amp;$G598,$A$2:$A$1001,"&lt;&gt;")+COUNTIFS($G$2:$G598,$G598,$A$2:$A598,"&lt;&gt;"),"")</f>
        <v/>
      </c>
      <c r="X598" t="str">
        <f>IF(AND($A598&lt;&gt;"",ISNUMBER($C598),$C598&gt;=DATE(2003,1,1)),COUNTIFS($C$2:$C598,"&gt;="&amp;DATE(2003,1,1),$A$2:$A598,"&lt;&gt;"),"")</f>
        <v/>
      </c>
    </row>
    <row r="599" spans="1:24">
      <c r="A599" t="str">
        <f>IF('8 Numaralar'!A101="","",'8 Numaralar'!A101)</f>
        <v/>
      </c>
      <c r="B599" t="str">
        <f>IF('8 Numaralar'!B101="","",'8 Numaralar'!B101)</f>
        <v/>
      </c>
      <c r="C599" s="2" t="str">
        <f>IF('8 Numaralar'!C101="","",'8 Numaralar'!C101)</f>
        <v/>
      </c>
      <c r="D599" t="str">
        <f ca="1">IF('8 Numaralar'!D101="","",'8 Numaralar'!D101)</f>
        <v/>
      </c>
      <c r="E599" t="str">
        <f>IF('8 Numaralar'!E101="","",'8 Numaralar'!E101)</f>
        <v>8 Numara</v>
      </c>
      <c r="F599" t="str">
        <f>IF('8 Numaralar'!G101="","",'8 Numaralar'!G101)</f>
        <v/>
      </c>
      <c r="G599" s="2" t="str">
        <f>IF('8 Numaralar'!H101="","",'8 Numaralar'!H101)</f>
        <v/>
      </c>
      <c r="H599" t="str">
        <f>IF('8 Numaralar'!I101="","",'8 Numaralar'!I101)</f>
        <v/>
      </c>
      <c r="I599" t="str">
        <f>IF('8 Numaralar'!A101="","",'8 Numaralar'!J101)</f>
        <v/>
      </c>
      <c r="J599" t="str">
        <f>IF('8 Numaralar'!A101="","",'8 Numaralar'!K101)</f>
        <v/>
      </c>
      <c r="K599" t="str">
        <f>IF('8 Numaralar'!L101="","",'8 Numaralar'!L101)</f>
        <v/>
      </c>
      <c r="L599" t="str">
        <f>IF('8 Numaralar'!M101="","",'8 Numaralar'!M101)</f>
        <v/>
      </c>
      <c r="M599" t="str">
        <f>IF('8 Numaralar'!N101="","",'8 Numaralar'!N101)</f>
        <v/>
      </c>
      <c r="N599" t="str">
        <f>IF('8 Numaralar'!O101="","",'8 Numaralar'!O101)</f>
        <v/>
      </c>
      <c r="O599" t="str">
        <f>IF('8 Numaralar'!P101="","",'8 Numaralar'!P101)</f>
        <v/>
      </c>
      <c r="P599" t="str">
        <f>IF('8 Numaralar'!Q101="","",'8 Numaralar'!Q101)</f>
        <v/>
      </c>
      <c r="Q599" t="str">
        <f>IF('8 Numaralar'!R101="","",'8 Numaralar'!R101)</f>
        <v/>
      </c>
      <c r="R599" t="str">
        <f>IF('8 Numaralar'!S101="","",'8 Numaralar'!S101)</f>
        <v/>
      </c>
      <c r="S599" t="str">
        <f>IF('8 Numaralar'!T101="","",'8 Numaralar'!T101)</f>
        <v/>
      </c>
      <c r="T599" s="2" t="str">
        <f>IF('8 Numaralar'!U101="","",'8 Numaralar'!U101)</f>
        <v/>
      </c>
      <c r="U599" t="s">
        <v>931</v>
      </c>
      <c r="V599">
        <v>101</v>
      </c>
      <c r="W599" t="str">
        <f ca="1">IF(AND($A599&lt;&gt;"",ISNUMBER($G599),$G599&gt;=TODAY(),$G599&lt;=EDATE(TODAY(),12)),COUNTIFS($G$2:$G$1001,"&gt;="&amp;TODAY(),$G$2:$G$1001,"&lt;"&amp;$G599,$A$2:$A$1001,"&lt;&gt;")+COUNTIFS($G$2:$G599,$G599,$A$2:$A599,"&lt;&gt;"),"")</f>
        <v/>
      </c>
      <c r="X599" t="str">
        <f>IF(AND($A599&lt;&gt;"",ISNUMBER($C599),$C599&gt;=DATE(2003,1,1)),COUNTIFS($C$2:$C599,"&gt;="&amp;DATE(2003,1,1),$A$2:$A599,"&lt;&gt;"),"")</f>
        <v/>
      </c>
    </row>
    <row r="600" spans="1:24">
      <c r="A600" t="str">
        <f>IF('8 Numaralar'!A102="","",'8 Numaralar'!A102)</f>
        <v/>
      </c>
      <c r="B600" t="str">
        <f>IF('8 Numaralar'!B102="","",'8 Numaralar'!B102)</f>
        <v/>
      </c>
      <c r="C600" s="2" t="str">
        <f>IF('8 Numaralar'!C102="","",'8 Numaralar'!C102)</f>
        <v/>
      </c>
      <c r="D600" t="str">
        <f ca="1">IF('8 Numaralar'!D102="","",'8 Numaralar'!D102)</f>
        <v/>
      </c>
      <c r="E600" t="str">
        <f>IF('8 Numaralar'!E102="","",'8 Numaralar'!E102)</f>
        <v>8 Numara</v>
      </c>
      <c r="F600" t="str">
        <f>IF('8 Numaralar'!G102="","",'8 Numaralar'!G102)</f>
        <v/>
      </c>
      <c r="G600" s="2" t="str">
        <f>IF('8 Numaralar'!H102="","",'8 Numaralar'!H102)</f>
        <v/>
      </c>
      <c r="H600" t="str">
        <f>IF('8 Numaralar'!I102="","",'8 Numaralar'!I102)</f>
        <v/>
      </c>
      <c r="I600" t="str">
        <f>IF('8 Numaralar'!A102="","",'8 Numaralar'!J102)</f>
        <v/>
      </c>
      <c r="J600" t="str">
        <f>IF('8 Numaralar'!A102="","",'8 Numaralar'!K102)</f>
        <v/>
      </c>
      <c r="K600" t="str">
        <f>IF('8 Numaralar'!L102="","",'8 Numaralar'!L102)</f>
        <v/>
      </c>
      <c r="L600" t="str">
        <f>IF('8 Numaralar'!M102="","",'8 Numaralar'!M102)</f>
        <v/>
      </c>
      <c r="M600" t="str">
        <f>IF('8 Numaralar'!N102="","",'8 Numaralar'!N102)</f>
        <v/>
      </c>
      <c r="N600" t="str">
        <f>IF('8 Numaralar'!O102="","",'8 Numaralar'!O102)</f>
        <v/>
      </c>
      <c r="O600" t="str">
        <f>IF('8 Numaralar'!P102="","",'8 Numaralar'!P102)</f>
        <v/>
      </c>
      <c r="P600" t="str">
        <f>IF('8 Numaralar'!Q102="","",'8 Numaralar'!Q102)</f>
        <v/>
      </c>
      <c r="Q600" t="str">
        <f>IF('8 Numaralar'!R102="","",'8 Numaralar'!R102)</f>
        <v/>
      </c>
      <c r="R600" t="str">
        <f>IF('8 Numaralar'!S102="","",'8 Numaralar'!S102)</f>
        <v/>
      </c>
      <c r="S600" t="str">
        <f>IF('8 Numaralar'!T102="","",'8 Numaralar'!T102)</f>
        <v/>
      </c>
      <c r="T600" s="2" t="str">
        <f>IF('8 Numaralar'!U102="","",'8 Numaralar'!U102)</f>
        <v/>
      </c>
      <c r="U600" t="s">
        <v>931</v>
      </c>
      <c r="V600">
        <v>102</v>
      </c>
      <c r="W600" t="str">
        <f ca="1">IF(AND($A600&lt;&gt;"",ISNUMBER($G600),$G600&gt;=TODAY(),$G600&lt;=EDATE(TODAY(),12)),COUNTIFS($G$2:$G$1001,"&gt;="&amp;TODAY(),$G$2:$G$1001,"&lt;"&amp;$G600,$A$2:$A$1001,"&lt;&gt;")+COUNTIFS($G$2:$G600,$G600,$A$2:$A600,"&lt;&gt;"),"")</f>
        <v/>
      </c>
      <c r="X600" t="str">
        <f>IF(AND($A600&lt;&gt;"",ISNUMBER($C600),$C600&gt;=DATE(2003,1,1)),COUNTIFS($C$2:$C600,"&gt;="&amp;DATE(2003,1,1),$A$2:$A600,"&lt;&gt;"),"")</f>
        <v/>
      </c>
    </row>
    <row r="601" spans="1:24">
      <c r="A601" t="str">
        <f>IF('8 Numaralar'!A103="","",'8 Numaralar'!A103)</f>
        <v/>
      </c>
      <c r="B601" t="str">
        <f>IF('8 Numaralar'!B103="","",'8 Numaralar'!B103)</f>
        <v/>
      </c>
      <c r="C601" s="2" t="str">
        <f>IF('8 Numaralar'!C103="","",'8 Numaralar'!C103)</f>
        <v/>
      </c>
      <c r="D601" t="str">
        <f ca="1">IF('8 Numaralar'!D103="","",'8 Numaralar'!D103)</f>
        <v/>
      </c>
      <c r="E601" t="str">
        <f>IF('8 Numaralar'!E103="","",'8 Numaralar'!E103)</f>
        <v>8 Numara</v>
      </c>
      <c r="F601" t="str">
        <f>IF('8 Numaralar'!G103="","",'8 Numaralar'!G103)</f>
        <v/>
      </c>
      <c r="G601" s="2" t="str">
        <f>IF('8 Numaralar'!H103="","",'8 Numaralar'!H103)</f>
        <v/>
      </c>
      <c r="H601" t="str">
        <f>IF('8 Numaralar'!I103="","",'8 Numaralar'!I103)</f>
        <v/>
      </c>
      <c r="I601" t="str">
        <f>IF('8 Numaralar'!A103="","",'8 Numaralar'!J103)</f>
        <v/>
      </c>
      <c r="J601" t="str">
        <f>IF('8 Numaralar'!A103="","",'8 Numaralar'!K103)</f>
        <v/>
      </c>
      <c r="K601" t="str">
        <f>IF('8 Numaralar'!L103="","",'8 Numaralar'!L103)</f>
        <v/>
      </c>
      <c r="L601" t="str">
        <f>IF('8 Numaralar'!M103="","",'8 Numaralar'!M103)</f>
        <v/>
      </c>
      <c r="M601" t="str">
        <f>IF('8 Numaralar'!N103="","",'8 Numaralar'!N103)</f>
        <v/>
      </c>
      <c r="N601" t="str">
        <f>IF('8 Numaralar'!O103="","",'8 Numaralar'!O103)</f>
        <v/>
      </c>
      <c r="O601" t="str">
        <f>IF('8 Numaralar'!P103="","",'8 Numaralar'!P103)</f>
        <v/>
      </c>
      <c r="P601" t="str">
        <f>IF('8 Numaralar'!Q103="","",'8 Numaralar'!Q103)</f>
        <v/>
      </c>
      <c r="Q601" t="str">
        <f>IF('8 Numaralar'!R103="","",'8 Numaralar'!R103)</f>
        <v/>
      </c>
      <c r="R601" t="str">
        <f>IF('8 Numaralar'!S103="","",'8 Numaralar'!S103)</f>
        <v/>
      </c>
      <c r="S601" t="str">
        <f>IF('8 Numaralar'!T103="","",'8 Numaralar'!T103)</f>
        <v/>
      </c>
      <c r="T601" s="2" t="str">
        <f>IF('8 Numaralar'!U103="","",'8 Numaralar'!U103)</f>
        <v/>
      </c>
      <c r="U601" t="s">
        <v>931</v>
      </c>
      <c r="V601">
        <v>103</v>
      </c>
      <c r="W601" t="str">
        <f ca="1">IF(AND($A601&lt;&gt;"",ISNUMBER($G601),$G601&gt;=TODAY(),$G601&lt;=EDATE(TODAY(),12)),COUNTIFS($G$2:$G$1001,"&gt;="&amp;TODAY(),$G$2:$G$1001,"&lt;"&amp;$G601,$A$2:$A$1001,"&lt;&gt;")+COUNTIFS($G$2:$G601,$G601,$A$2:$A601,"&lt;&gt;"),"")</f>
        <v/>
      </c>
      <c r="X601" t="str">
        <f>IF(AND($A601&lt;&gt;"",ISNUMBER($C601),$C601&gt;=DATE(2003,1,1)),COUNTIFS($C$2:$C601,"&gt;="&amp;DATE(2003,1,1),$A$2:$A601,"&lt;&gt;"),"")</f>
        <v/>
      </c>
    </row>
    <row r="602" spans="1:24">
      <c r="A602" t="str">
        <f>IF('10 Numaralar'!A4="","",'10 Numaralar'!A4)</f>
        <v>ALPHADJO CISSE</v>
      </c>
      <c r="B602" t="str">
        <f>IF('10 Numaralar'!B4="","",'10 Numaralar'!B4)</f>
        <v>İTALYA</v>
      </c>
      <c r="C602" s="2">
        <f>IF('10 Numaralar'!C4="","",'10 Numaralar'!C4)</f>
        <v>38982</v>
      </c>
      <c r="D602">
        <f ca="1">IF('10 Numaralar'!D4="","",'10 Numaralar'!D4)</f>
        <v>20</v>
      </c>
      <c r="E602" t="str">
        <f>IF('10 Numaralar'!E4="","",'10 Numaralar'!E4)</f>
        <v>10 Numara</v>
      </c>
      <c r="F602" t="str">
        <f>IF('10 Numaralar'!G4="","",'10 Numaralar'!G4)</f>
        <v>MİLAN</v>
      </c>
      <c r="G602" s="2">
        <f>IF('10 Numaralar'!H4="","",'10 Numaralar'!H4)</f>
        <v>47664</v>
      </c>
      <c r="H602" t="str">
        <f>IF('10 Numaralar'!I4="","",'10 Numaralar'!I4)</f>
        <v>Sarı</v>
      </c>
      <c r="I602">
        <f>IF('10 Numaralar'!A4="","",'10 Numaralar'!J4)</f>
        <v>0</v>
      </c>
      <c r="J602">
        <f>IF('10 Numaralar'!A4="","",'10 Numaralar'!K4)</f>
        <v>0</v>
      </c>
      <c r="K602" t="str">
        <f>IF('10 Numaralar'!L4="","",'10 Numaralar'!L4)</f>
        <v/>
      </c>
      <c r="L602" t="str">
        <f>IF('10 Numaralar'!M4="","",'10 Numaralar'!M4)</f>
        <v/>
      </c>
      <c r="M602" t="str">
        <f>IF('10 Numaralar'!N4="","",'10 Numaralar'!N4)</f>
        <v/>
      </c>
      <c r="N602" t="str">
        <f>IF('10 Numaralar'!O4="","",'10 Numaralar'!O4)</f>
        <v/>
      </c>
      <c r="O602" t="str">
        <f>IF('10 Numaralar'!P4="","",'10 Numaralar'!P4)</f>
        <v/>
      </c>
      <c r="P602" t="str">
        <f>IF('10 Numaralar'!Q4="","",'10 Numaralar'!Q4)</f>
        <v/>
      </c>
      <c r="Q602" t="str">
        <f>IF('10 Numaralar'!R4="","",'10 Numaralar'!R4)</f>
        <v/>
      </c>
      <c r="R602" t="str">
        <f>IF('10 Numaralar'!S4="","",'10 Numaralar'!S4)</f>
        <v/>
      </c>
      <c r="S602" t="str">
        <f>IF('10 Numaralar'!T4="","",'10 Numaralar'!T4)</f>
        <v>Takip</v>
      </c>
      <c r="T602" s="2" t="str">
        <f>IF('10 Numaralar'!U4="","",'10 Numaralar'!U4)</f>
        <v/>
      </c>
      <c r="U602" t="s">
        <v>932</v>
      </c>
      <c r="V602">
        <v>4</v>
      </c>
      <c r="W602" t="str">
        <f ca="1">IF(AND($A602&lt;&gt;"",ISNUMBER($G602),$G602&gt;=TODAY(),$G602&lt;=EDATE(TODAY(),12)),COUNTIFS($G$2:$G$1001,"&gt;="&amp;TODAY(),$G$2:$G$1001,"&lt;"&amp;$G602,$A$2:$A$1001,"&lt;&gt;")+COUNTIFS($G$2:$G602,$G602,$A$2:$A602,"&lt;&gt;"),"")</f>
        <v/>
      </c>
      <c r="X602">
        <f>IF(AND($A602&lt;&gt;"",ISNUMBER($C602),$C602&gt;=DATE(2003,1,1)),COUNTIFS($C$2:$C602,"&gt;="&amp;DATE(2003,1,1),$A$2:$A602,"&lt;&gt;"),"")</f>
        <v>25</v>
      </c>
    </row>
    <row r="603" spans="1:24">
      <c r="A603" t="str">
        <f>IF('10 Numaralar'!A5="","",'10 Numaralar'!A5)</f>
        <v>MELK COSTA DE OLIVEIRA</v>
      </c>
      <c r="B603" t="str">
        <f>IF('10 Numaralar'!B5="","",'10 Numaralar'!B5)</f>
        <v>BREZİLYA</v>
      </c>
      <c r="C603" s="2">
        <f>IF('10 Numaralar'!C5="","",'10 Numaralar'!C5)</f>
        <v>38926</v>
      </c>
      <c r="D603">
        <f ca="1">IF('10 Numaralar'!D5="","",'10 Numaralar'!D5)</f>
        <v>20</v>
      </c>
      <c r="E603" t="str">
        <f>IF('10 Numaralar'!E5="","",'10 Numaralar'!E5)</f>
        <v>10 Numara</v>
      </c>
      <c r="F603" t="str">
        <f>IF('10 Numaralar'!G5="","",'10 Numaralar'!G5)</f>
        <v>CEARA</v>
      </c>
      <c r="G603" s="2">
        <f>IF('10 Numaralar'!H5="","",'10 Numaralar'!H5)</f>
        <v>47118</v>
      </c>
      <c r="H603" t="str">
        <f>IF('10 Numaralar'!I5="","",'10 Numaralar'!I5)</f>
        <v>Kırmızı</v>
      </c>
      <c r="I603">
        <f>IF('10 Numaralar'!A5="","",'10 Numaralar'!J5)</f>
        <v>0</v>
      </c>
      <c r="J603">
        <f>IF('10 Numaralar'!A5="","",'10 Numaralar'!K5)</f>
        <v>0</v>
      </c>
      <c r="K603" t="str">
        <f>IF('10 Numaralar'!L5="","",'10 Numaralar'!L5)</f>
        <v/>
      </c>
      <c r="L603" t="str">
        <f>IF('10 Numaralar'!M5="","",'10 Numaralar'!M5)</f>
        <v/>
      </c>
      <c r="M603" t="str">
        <f>IF('10 Numaralar'!N5="","",'10 Numaralar'!N5)</f>
        <v/>
      </c>
      <c r="N603" t="str">
        <f>IF('10 Numaralar'!O5="","",'10 Numaralar'!O5)</f>
        <v/>
      </c>
      <c r="O603" t="str">
        <f>IF('10 Numaralar'!P5="","",'10 Numaralar'!P5)</f>
        <v/>
      </c>
      <c r="P603" t="str">
        <f>IF('10 Numaralar'!Q5="","",'10 Numaralar'!Q5)</f>
        <v/>
      </c>
      <c r="Q603" t="str">
        <f>IF('10 Numaralar'!R5="","",'10 Numaralar'!R5)</f>
        <v/>
      </c>
      <c r="R603" t="str">
        <f>IF('10 Numaralar'!S5="","",'10 Numaralar'!S5)</f>
        <v/>
      </c>
      <c r="S603" t="str">
        <f>IF('10 Numaralar'!T5="","",'10 Numaralar'!T5)</f>
        <v>Tekrar İzle</v>
      </c>
      <c r="T603" s="2" t="str">
        <f>IF('10 Numaralar'!U5="","",'10 Numaralar'!U5)</f>
        <v/>
      </c>
      <c r="U603" t="s">
        <v>932</v>
      </c>
      <c r="V603">
        <v>5</v>
      </c>
      <c r="W603" t="str">
        <f ca="1">IF(AND($A603&lt;&gt;"",ISNUMBER($G603),$G603&gt;=TODAY(),$G603&lt;=EDATE(TODAY(),12)),COUNTIFS($G$2:$G$1001,"&gt;="&amp;TODAY(),$G$2:$G$1001,"&lt;"&amp;$G603,$A$2:$A$1001,"&lt;&gt;")+COUNTIFS($G$2:$G603,$G603,$A$2:$A603,"&lt;&gt;"),"")</f>
        <v/>
      </c>
      <c r="X603">
        <f>IF(AND($A603&lt;&gt;"",ISNUMBER($C603),$C603&gt;=DATE(2003,1,1)),COUNTIFS($C$2:$C603,"&gt;="&amp;DATE(2003,1,1),$A$2:$A603,"&lt;&gt;"),"")</f>
        <v>26</v>
      </c>
    </row>
    <row r="604" spans="1:24">
      <c r="A604" t="str">
        <f>IF('10 Numaralar'!A6="","",'10 Numaralar'!A6)</f>
        <v>LORENZO PELLEGRINI</v>
      </c>
      <c r="B604" t="str">
        <f>IF('10 Numaralar'!B6="","",'10 Numaralar'!B6)</f>
        <v>İTALYA</v>
      </c>
      <c r="C604" s="2">
        <f>IF('10 Numaralar'!C6="","",'10 Numaralar'!C6)</f>
        <v>35235</v>
      </c>
      <c r="D604">
        <f ca="1">IF('10 Numaralar'!D6="","",'10 Numaralar'!D6)</f>
        <v>30</v>
      </c>
      <c r="E604" t="str">
        <f>IF('10 Numaralar'!E6="","",'10 Numaralar'!E6)</f>
        <v>10 Numara</v>
      </c>
      <c r="F604" t="str">
        <f>IF('10 Numaralar'!G6="","",'10 Numaralar'!G6)</f>
        <v>ROMA</v>
      </c>
      <c r="G604" s="2">
        <f>IF('10 Numaralar'!H6="","",'10 Numaralar'!H6)</f>
        <v>46568</v>
      </c>
      <c r="H604" t="str">
        <f>IF('10 Numaralar'!I6="","",'10 Numaralar'!I6)</f>
        <v>Yeşil</v>
      </c>
      <c r="I604">
        <f>IF('10 Numaralar'!A6="","",'10 Numaralar'!J6)</f>
        <v>0</v>
      </c>
      <c r="J604">
        <f>IF('10 Numaralar'!A6="","",'10 Numaralar'!K6)</f>
        <v>0</v>
      </c>
      <c r="K604" t="str">
        <f>IF('10 Numaralar'!L6="","",'10 Numaralar'!L6)</f>
        <v/>
      </c>
      <c r="L604" t="str">
        <f>IF('10 Numaralar'!M6="","",'10 Numaralar'!M6)</f>
        <v/>
      </c>
      <c r="M604" t="str">
        <f>IF('10 Numaralar'!N6="","",'10 Numaralar'!N6)</f>
        <v/>
      </c>
      <c r="N604" t="str">
        <f>IF('10 Numaralar'!O6="","",'10 Numaralar'!O6)</f>
        <v/>
      </c>
      <c r="O604" t="str">
        <f>IF('10 Numaralar'!P6="","",'10 Numaralar'!P6)</f>
        <v/>
      </c>
      <c r="P604" t="str">
        <f>IF('10 Numaralar'!Q6="","",'10 Numaralar'!Q6)</f>
        <v/>
      </c>
      <c r="Q604" t="str">
        <f>IF('10 Numaralar'!R6="","",'10 Numaralar'!R6)</f>
        <v/>
      </c>
      <c r="R604" t="str">
        <f>IF('10 Numaralar'!S6="","",'10 Numaralar'!S6)</f>
        <v/>
      </c>
      <c r="S604" t="str">
        <f>IF('10 Numaralar'!T6="","",'10 Numaralar'!T6)</f>
        <v>A Liste</v>
      </c>
      <c r="T604" s="2" t="str">
        <f>IF('10 Numaralar'!U6="","",'10 Numaralar'!U6)</f>
        <v/>
      </c>
      <c r="U604" t="s">
        <v>932</v>
      </c>
      <c r="V604">
        <v>6</v>
      </c>
      <c r="W604">
        <f ca="1">IF(AND($A604&lt;&gt;"",ISNUMBER($G604),$G604&gt;=TODAY(),$G604&lt;=EDATE(TODAY(),12)),COUNTIFS($G$2:$G$1001,"&gt;="&amp;TODAY(),$G$2:$G$1001,"&lt;"&amp;$G604,$A$2:$A$1001,"&lt;&gt;")+COUNTIFS($G$2:$G604,$G604,$A$2:$A604,"&lt;&gt;"),"")</f>
        <v>37</v>
      </c>
      <c r="X604" t="str">
        <f>IF(AND($A604&lt;&gt;"",ISNUMBER($C604),$C604&gt;=DATE(2003,1,1)),COUNTIFS($C$2:$C604,"&gt;="&amp;DATE(2003,1,1),$A$2:$A604,"&lt;&gt;"),"")</f>
        <v/>
      </c>
    </row>
    <row r="605" spans="1:24">
      <c r="A605" t="str">
        <f>IF('10 Numaralar'!A7="","",'10 Numaralar'!A7)</f>
        <v>NOE LEBRETON</v>
      </c>
      <c r="B605" t="str">
        <f>IF('10 Numaralar'!B7="","",'10 Numaralar'!B7)</f>
        <v>FRANSA</v>
      </c>
      <c r="C605" s="2">
        <f>IF('10 Numaralar'!C7="","",'10 Numaralar'!C7)</f>
        <v>38099</v>
      </c>
      <c r="D605">
        <f ca="1">IF('10 Numaralar'!D7="","",'10 Numaralar'!D7)</f>
        <v>22</v>
      </c>
      <c r="E605" t="str">
        <f>IF('10 Numaralar'!E7="","",'10 Numaralar'!E7)</f>
        <v>10 Numara</v>
      </c>
      <c r="F605" t="str">
        <f>IF('10 Numaralar'!G7="","",'10 Numaralar'!G7)</f>
        <v>NEC NIJMEGEN</v>
      </c>
      <c r="G605" s="2">
        <f>IF('10 Numaralar'!H7="","",'10 Numaralar'!H7)</f>
        <v>47299</v>
      </c>
      <c r="H605" t="str">
        <f>IF('10 Numaralar'!I7="","",'10 Numaralar'!I7)</f>
        <v>Yeşil</v>
      </c>
      <c r="I605">
        <f>IF('10 Numaralar'!A7="","",'10 Numaralar'!J7)</f>
        <v>0</v>
      </c>
      <c r="J605">
        <f>IF('10 Numaralar'!A7="","",'10 Numaralar'!K7)</f>
        <v>0</v>
      </c>
      <c r="K605" t="str">
        <f>IF('10 Numaralar'!L7="","",'10 Numaralar'!L7)</f>
        <v/>
      </c>
      <c r="L605" t="str">
        <f>IF('10 Numaralar'!M7="","",'10 Numaralar'!M7)</f>
        <v/>
      </c>
      <c r="M605" t="str">
        <f>IF('10 Numaralar'!N7="","",'10 Numaralar'!N7)</f>
        <v/>
      </c>
      <c r="N605" t="str">
        <f>IF('10 Numaralar'!O7="","",'10 Numaralar'!O7)</f>
        <v/>
      </c>
      <c r="O605" t="str">
        <f>IF('10 Numaralar'!P7="","",'10 Numaralar'!P7)</f>
        <v/>
      </c>
      <c r="P605" t="str">
        <f>IF('10 Numaralar'!Q7="","",'10 Numaralar'!Q7)</f>
        <v/>
      </c>
      <c r="Q605" t="str">
        <f>IF('10 Numaralar'!R7="","",'10 Numaralar'!R7)</f>
        <v/>
      </c>
      <c r="R605" t="str">
        <f>IF('10 Numaralar'!S7="","",'10 Numaralar'!S7)</f>
        <v/>
      </c>
      <c r="S605" t="str">
        <f>IF('10 Numaralar'!T7="","",'10 Numaralar'!T7)</f>
        <v>A Liste</v>
      </c>
      <c r="T605" s="2" t="str">
        <f>IF('10 Numaralar'!U7="","",'10 Numaralar'!U7)</f>
        <v/>
      </c>
      <c r="U605" t="s">
        <v>932</v>
      </c>
      <c r="V605">
        <v>7</v>
      </c>
      <c r="W605" t="str">
        <f ca="1">IF(AND($A605&lt;&gt;"",ISNUMBER($G605),$G605&gt;=TODAY(),$G605&lt;=EDATE(TODAY(),12)),COUNTIFS($G$2:$G$1001,"&gt;="&amp;TODAY(),$G$2:$G$1001,"&lt;"&amp;$G605,$A$2:$A$1001,"&lt;&gt;")+COUNTIFS($G$2:$G605,$G605,$A$2:$A605,"&lt;&gt;"),"")</f>
        <v/>
      </c>
      <c r="X605">
        <f>IF(AND($A605&lt;&gt;"",ISNUMBER($C605),$C605&gt;=DATE(2003,1,1)),COUNTIFS($C$2:$C605,"&gt;="&amp;DATE(2003,1,1),$A$2:$A605,"&lt;&gt;"),"")</f>
        <v>27</v>
      </c>
    </row>
    <row r="606" spans="1:24">
      <c r="A606" t="str">
        <f>IF('10 Numaralar'!A8="","",'10 Numaralar'!A8)</f>
        <v>ISI PALAZON</v>
      </c>
      <c r="B606" t="str">
        <f>IF('10 Numaralar'!B8="","",'10 Numaralar'!B8)</f>
        <v>İSPANYA</v>
      </c>
      <c r="C606" s="2">
        <f>IF('10 Numaralar'!C8="","",'10 Numaralar'!C8)</f>
        <v>34695</v>
      </c>
      <c r="D606">
        <f ca="1">IF('10 Numaralar'!D8="","",'10 Numaralar'!D8)</f>
        <v>31</v>
      </c>
      <c r="E606" t="str">
        <f>IF('10 Numaralar'!E8="","",'10 Numaralar'!E8)</f>
        <v>10 Numara</v>
      </c>
      <c r="F606" t="str">
        <f>IF('10 Numaralar'!G8="","",'10 Numaralar'!G8)</f>
        <v>RAYO VALLECANO</v>
      </c>
      <c r="G606" s="2">
        <f>IF('10 Numaralar'!H8="","",'10 Numaralar'!H8)</f>
        <v>46934</v>
      </c>
      <c r="H606" t="str">
        <f>IF('10 Numaralar'!I8="","",'10 Numaralar'!I8)</f>
        <v>Yeşil</v>
      </c>
      <c r="I606">
        <f>IF('10 Numaralar'!A8="","",'10 Numaralar'!J8)</f>
        <v>0</v>
      </c>
      <c r="J606" t="str">
        <f>IF('10 Numaralar'!A8="","",'10 Numaralar'!K8)</f>
        <v>https://www.transfermarkt.com.tr/isi-palazon/profil/spieler/362086</v>
      </c>
      <c r="K606" t="str">
        <f>IF('10 Numaralar'!L8="","",'10 Numaralar'!L8)</f>
        <v/>
      </c>
      <c r="L606" t="str">
        <f>IF('10 Numaralar'!M8="","",'10 Numaralar'!M8)</f>
        <v/>
      </c>
      <c r="M606" t="str">
        <f>IF('10 Numaralar'!N8="","",'10 Numaralar'!N8)</f>
        <v/>
      </c>
      <c r="N606" t="str">
        <f>IF('10 Numaralar'!O8="","",'10 Numaralar'!O8)</f>
        <v/>
      </c>
      <c r="O606" t="str">
        <f>IF('10 Numaralar'!P8="","",'10 Numaralar'!P8)</f>
        <v/>
      </c>
      <c r="P606" t="str">
        <f>IF('10 Numaralar'!Q8="","",'10 Numaralar'!Q8)</f>
        <v/>
      </c>
      <c r="Q606" t="str">
        <f>IF('10 Numaralar'!R8="","",'10 Numaralar'!R8)</f>
        <v/>
      </c>
      <c r="R606" t="str">
        <f>IF('10 Numaralar'!S8="","",'10 Numaralar'!S8)</f>
        <v/>
      </c>
      <c r="S606" t="str">
        <f>IF('10 Numaralar'!T8="","",'10 Numaralar'!T8)</f>
        <v>A Liste</v>
      </c>
      <c r="T606" s="2" t="str">
        <f>IF('10 Numaralar'!U8="","",'10 Numaralar'!U8)</f>
        <v/>
      </c>
      <c r="U606" t="s">
        <v>932</v>
      </c>
      <c r="V606">
        <v>8</v>
      </c>
      <c r="W606" t="str">
        <f ca="1">IF(AND($A606&lt;&gt;"",ISNUMBER($G606),$G606&gt;=TODAY(),$G606&lt;=EDATE(TODAY(),12)),COUNTIFS($G$2:$G$1001,"&gt;="&amp;TODAY(),$G$2:$G$1001,"&lt;"&amp;$G606,$A$2:$A$1001,"&lt;&gt;")+COUNTIFS($G$2:$G606,$G606,$A$2:$A606,"&lt;&gt;"),"")</f>
        <v/>
      </c>
      <c r="X606" t="str">
        <f>IF(AND($A606&lt;&gt;"",ISNUMBER($C606),$C606&gt;=DATE(2003,1,1)),COUNTIFS($C$2:$C606,"&gt;="&amp;DATE(2003,1,1),$A$2:$A606,"&lt;&gt;"),"")</f>
        <v/>
      </c>
    </row>
    <row r="607" spans="1:24">
      <c r="A607" t="str">
        <f>IF('10 Numaralar'!A9="","",'10 Numaralar'!A9)</f>
        <v>ABU-BEKİR ÖMER EL-ZEIN</v>
      </c>
      <c r="B607" t="str">
        <f>IF('10 Numaralar'!B9="","",'10 Numaralar'!B9)</f>
        <v>TÜRKİYE</v>
      </c>
      <c r="C607" s="2">
        <f>IF('10 Numaralar'!C9="","",'10 Numaralar'!C9)</f>
        <v>37670</v>
      </c>
      <c r="D607">
        <f ca="1">IF('10 Numaralar'!D9="","",'10 Numaralar'!D9)</f>
        <v>23</v>
      </c>
      <c r="E607" t="str">
        <f>IF('10 Numaralar'!E9="","",'10 Numaralar'!E9)</f>
        <v>10 Numara</v>
      </c>
      <c r="F607" t="str">
        <f>IF('10 Numaralar'!G9="","",'10 Numaralar'!G9)</f>
        <v>FREE</v>
      </c>
      <c r="G607" s="2" t="str">
        <f>IF('10 Numaralar'!H9="","",'10 Numaralar'!H9)</f>
        <v>-</v>
      </c>
      <c r="H607" t="str">
        <f>IF('10 Numaralar'!I9="","",'10 Numaralar'!I9)</f>
        <v>Kırmızı</v>
      </c>
      <c r="I607">
        <f>IF('10 Numaralar'!A9="","",'10 Numaralar'!J9)</f>
        <v>0</v>
      </c>
      <c r="J607" t="str">
        <f>IF('10 Numaralar'!A9="","",'10 Numaralar'!K9)</f>
        <v>https://www.transfermarkt.com.tr/abu-bekir-omer-el-zein/profil/spieler/574195</v>
      </c>
      <c r="K607" t="str">
        <f>IF('10 Numaralar'!L9="","",'10 Numaralar'!L9)</f>
        <v/>
      </c>
      <c r="L607" t="str">
        <f>IF('10 Numaralar'!M9="","",'10 Numaralar'!M9)</f>
        <v/>
      </c>
      <c r="M607" t="str">
        <f>IF('10 Numaralar'!N9="","",'10 Numaralar'!N9)</f>
        <v/>
      </c>
      <c r="N607" t="str">
        <f>IF('10 Numaralar'!O9="","",'10 Numaralar'!O9)</f>
        <v/>
      </c>
      <c r="O607" t="str">
        <f>IF('10 Numaralar'!P9="","",'10 Numaralar'!P9)</f>
        <v/>
      </c>
      <c r="P607" t="str">
        <f>IF('10 Numaralar'!Q9="","",'10 Numaralar'!Q9)</f>
        <v/>
      </c>
      <c r="Q607" t="str">
        <f>IF('10 Numaralar'!R9="","",'10 Numaralar'!R9)</f>
        <v/>
      </c>
      <c r="R607" t="str">
        <f>IF('10 Numaralar'!S9="","",'10 Numaralar'!S9)</f>
        <v/>
      </c>
      <c r="S607" t="str">
        <f>IF('10 Numaralar'!T9="","",'10 Numaralar'!T9)</f>
        <v>Ele</v>
      </c>
      <c r="T607" s="2" t="str">
        <f>IF('10 Numaralar'!U9="","",'10 Numaralar'!U9)</f>
        <v/>
      </c>
      <c r="U607" t="s">
        <v>932</v>
      </c>
      <c r="V607">
        <v>9</v>
      </c>
      <c r="W607" t="str">
        <f ca="1">IF(AND($A607&lt;&gt;"",ISNUMBER($G607),$G607&gt;=TODAY(),$G607&lt;=EDATE(TODAY(),12)),COUNTIFS($G$2:$G$1001,"&gt;="&amp;TODAY(),$G$2:$G$1001,"&lt;"&amp;$G607,$A$2:$A$1001,"&lt;&gt;")+COUNTIFS($G$2:$G607,$G607,$A$2:$A607,"&lt;&gt;"),"")</f>
        <v/>
      </c>
      <c r="X607">
        <f>IF(AND($A607&lt;&gt;"",ISNUMBER($C607),$C607&gt;=DATE(2003,1,1)),COUNTIFS($C$2:$C607,"&gt;="&amp;DATE(2003,1,1),$A$2:$A607,"&lt;&gt;"),"")</f>
        <v>28</v>
      </c>
    </row>
    <row r="608" spans="1:24">
      <c r="A608" t="str">
        <f>IF('10 Numaralar'!A10="","",'10 Numaralar'!A10)</f>
        <v>GIORGI CHAKVETADZE</v>
      </c>
      <c r="B608" t="str">
        <f>IF('10 Numaralar'!B10="","",'10 Numaralar'!B10)</f>
        <v>GÜRCİSTAN</v>
      </c>
      <c r="C608" s="2">
        <f>IF('10 Numaralar'!C10="","",'10 Numaralar'!C10)</f>
        <v>36036</v>
      </c>
      <c r="D608">
        <f ca="1">IF('10 Numaralar'!D10="","",'10 Numaralar'!D10)</f>
        <v>28</v>
      </c>
      <c r="E608" t="str">
        <f>IF('10 Numaralar'!E10="","",'10 Numaralar'!E10)</f>
        <v>10 Numara</v>
      </c>
      <c r="F608" t="str">
        <f>IF('10 Numaralar'!G10="","",'10 Numaralar'!G10)</f>
        <v>UDINESE</v>
      </c>
      <c r="G608" s="2">
        <f>IF('10 Numaralar'!H10="","",'10 Numaralar'!H10)</f>
        <v>47664</v>
      </c>
      <c r="H608" t="str">
        <f>IF('10 Numaralar'!I10="","",'10 Numaralar'!I10)</f>
        <v>Yeşil</v>
      </c>
      <c r="I608">
        <f>IF('10 Numaralar'!A10="","",'10 Numaralar'!J10)</f>
        <v>0</v>
      </c>
      <c r="J608" t="str">
        <f>IF('10 Numaralar'!A10="","",'10 Numaralar'!K10)</f>
        <v>https://www.transfermarkt.com.tr/giorgi-chakvetadze/profil/spieler/412616</v>
      </c>
      <c r="K608" t="str">
        <f>IF('10 Numaralar'!L10="","",'10 Numaralar'!L10)</f>
        <v/>
      </c>
      <c r="L608" t="str">
        <f>IF('10 Numaralar'!M10="","",'10 Numaralar'!M10)</f>
        <v/>
      </c>
      <c r="M608" t="str">
        <f>IF('10 Numaralar'!N10="","",'10 Numaralar'!N10)</f>
        <v/>
      </c>
      <c r="N608" t="str">
        <f>IF('10 Numaralar'!O10="","",'10 Numaralar'!O10)</f>
        <v/>
      </c>
      <c r="O608" t="str">
        <f>IF('10 Numaralar'!P10="","",'10 Numaralar'!P10)</f>
        <v/>
      </c>
      <c r="P608" t="str">
        <f>IF('10 Numaralar'!Q10="","",'10 Numaralar'!Q10)</f>
        <v/>
      </c>
      <c r="Q608" t="str">
        <f>IF('10 Numaralar'!R10="","",'10 Numaralar'!R10)</f>
        <v/>
      </c>
      <c r="R608" t="str">
        <f>IF('10 Numaralar'!S10="","",'10 Numaralar'!S10)</f>
        <v/>
      </c>
      <c r="S608" t="str">
        <f>IF('10 Numaralar'!T10="","",'10 Numaralar'!T10)</f>
        <v>A Liste</v>
      </c>
      <c r="T608" s="2" t="str">
        <f>IF('10 Numaralar'!U10="","",'10 Numaralar'!U10)</f>
        <v/>
      </c>
      <c r="U608" t="s">
        <v>932</v>
      </c>
      <c r="V608">
        <v>10</v>
      </c>
      <c r="W608" t="str">
        <f ca="1">IF(AND($A608&lt;&gt;"",ISNUMBER($G608),$G608&gt;=TODAY(),$G608&lt;=EDATE(TODAY(),12)),COUNTIFS($G$2:$G$1001,"&gt;="&amp;TODAY(),$G$2:$G$1001,"&lt;"&amp;$G608,$A$2:$A$1001,"&lt;&gt;")+COUNTIFS($G$2:$G608,$G608,$A$2:$A608,"&lt;&gt;"),"")</f>
        <v/>
      </c>
      <c r="X608" t="str">
        <f>IF(AND($A608&lt;&gt;"",ISNUMBER($C608),$C608&gt;=DATE(2003,1,1)),COUNTIFS($C$2:$C608,"&gt;="&amp;DATE(2003,1,1),$A$2:$A608,"&lt;&gt;"),"")</f>
        <v/>
      </c>
    </row>
    <row r="609" spans="1:24">
      <c r="A609" t="str">
        <f>IF('10 Numaralar'!A11="","",'10 Numaralar'!A11)</f>
        <v>FABRICIO YAN</v>
      </c>
      <c r="B609" t="str">
        <f>IF('10 Numaralar'!B11="","",'10 Numaralar'!B11)</f>
        <v>BREZİLYA</v>
      </c>
      <c r="C609" s="2">
        <f>IF('10 Numaralar'!C11="","",'10 Numaralar'!C11)</f>
        <v>38027</v>
      </c>
      <c r="D609">
        <f ca="1">IF('10 Numaralar'!D11="","",'10 Numaralar'!D11)</f>
        <v>22</v>
      </c>
      <c r="E609" t="str">
        <f>IF('10 Numaralar'!E11="","",'10 Numaralar'!E11)</f>
        <v>10 Numara</v>
      </c>
      <c r="F609" t="str">
        <f>IF('10 Numaralar'!G11="","",'10 Numaralar'!G11)</f>
        <v>VERES</v>
      </c>
      <c r="G609" s="2">
        <f>IF('10 Numaralar'!H11="","",'10 Numaralar'!H11)</f>
        <v>47118</v>
      </c>
      <c r="H609" t="str">
        <f>IF('10 Numaralar'!I11="","",'10 Numaralar'!I11)</f>
        <v>Kırmızı</v>
      </c>
      <c r="I609">
        <f>IF('10 Numaralar'!A11="","",'10 Numaralar'!J11)</f>
        <v>0</v>
      </c>
      <c r="J609" t="str">
        <f>IF('10 Numaralar'!A11="","",'10 Numaralar'!K11)</f>
        <v>https://www.transfermarkt.com.tr/fabricio-yan/profil/spieler/1082597</v>
      </c>
      <c r="K609" t="str">
        <f>IF('10 Numaralar'!L11="","",'10 Numaralar'!L11)</f>
        <v/>
      </c>
      <c r="L609" t="str">
        <f>IF('10 Numaralar'!M11="","",'10 Numaralar'!M11)</f>
        <v/>
      </c>
      <c r="M609" t="str">
        <f>IF('10 Numaralar'!N11="","",'10 Numaralar'!N11)</f>
        <v/>
      </c>
      <c r="N609" t="str">
        <f>IF('10 Numaralar'!O11="","",'10 Numaralar'!O11)</f>
        <v/>
      </c>
      <c r="O609" t="str">
        <f>IF('10 Numaralar'!P11="","",'10 Numaralar'!P11)</f>
        <v/>
      </c>
      <c r="P609" t="str">
        <f>IF('10 Numaralar'!Q11="","",'10 Numaralar'!Q11)</f>
        <v/>
      </c>
      <c r="Q609" t="str">
        <f>IF('10 Numaralar'!R11="","",'10 Numaralar'!R11)</f>
        <v/>
      </c>
      <c r="R609" t="str">
        <f>IF('10 Numaralar'!S11="","",'10 Numaralar'!S11)</f>
        <v/>
      </c>
      <c r="S609" t="str">
        <f>IF('10 Numaralar'!T11="","",'10 Numaralar'!T11)</f>
        <v>Ele</v>
      </c>
      <c r="T609" s="2" t="str">
        <f>IF('10 Numaralar'!U11="","",'10 Numaralar'!U11)</f>
        <v/>
      </c>
      <c r="U609" t="s">
        <v>932</v>
      </c>
      <c r="V609">
        <v>11</v>
      </c>
      <c r="W609" t="str">
        <f ca="1">IF(AND($A609&lt;&gt;"",ISNUMBER($G609),$G609&gt;=TODAY(),$G609&lt;=EDATE(TODAY(),12)),COUNTIFS($G$2:$G$1001,"&gt;="&amp;TODAY(),$G$2:$G$1001,"&lt;"&amp;$G609,$A$2:$A$1001,"&lt;&gt;")+COUNTIFS($G$2:$G609,$G609,$A$2:$A609,"&lt;&gt;"),"")</f>
        <v/>
      </c>
      <c r="X609">
        <f>IF(AND($A609&lt;&gt;"",ISNUMBER($C609),$C609&gt;=DATE(2003,1,1)),COUNTIFS($C$2:$C609,"&gt;="&amp;DATE(2003,1,1),$A$2:$A609,"&lt;&gt;"),"")</f>
        <v>29</v>
      </c>
    </row>
    <row r="610" spans="1:24">
      <c r="A610" t="str">
        <f>IF('10 Numaralar'!A12="","",'10 Numaralar'!A12)</f>
        <v>NABİL FEKİR</v>
      </c>
      <c r="B610" t="str">
        <f>IF('10 Numaralar'!B12="","",'10 Numaralar'!B12)</f>
        <v>FRANSA</v>
      </c>
      <c r="C610" s="2">
        <f>IF('10 Numaralar'!C12="","",'10 Numaralar'!C12)</f>
        <v>34168</v>
      </c>
      <c r="D610">
        <f ca="1">IF('10 Numaralar'!D12="","",'10 Numaralar'!D12)</f>
        <v>33</v>
      </c>
      <c r="E610" t="str">
        <f>IF('10 Numaralar'!E12="","",'10 Numaralar'!E12)</f>
        <v>10 Numara</v>
      </c>
      <c r="F610" t="str">
        <f>IF('10 Numaralar'!G12="","",'10 Numaralar'!G12)</f>
        <v>ABHA</v>
      </c>
      <c r="G610" s="2">
        <f>IF('10 Numaralar'!H12="","",'10 Numaralar'!H12)</f>
        <v>46568</v>
      </c>
      <c r="H610" t="str">
        <f>IF('10 Numaralar'!I12="","",'10 Numaralar'!I12)</f>
        <v>Kırmızı</v>
      </c>
      <c r="I610">
        <f>IF('10 Numaralar'!A12="","",'10 Numaralar'!J12)</f>
        <v>0</v>
      </c>
      <c r="J610" t="str">
        <f>IF('10 Numaralar'!A12="","",'10 Numaralar'!K12)</f>
        <v>https://www.transfermarkt.com.tr/nabil-fekir/profil/spieler/203496</v>
      </c>
      <c r="K610" t="str">
        <f>IF('10 Numaralar'!L12="","",'10 Numaralar'!L12)</f>
        <v/>
      </c>
      <c r="L610" t="str">
        <f>IF('10 Numaralar'!M12="","",'10 Numaralar'!M12)</f>
        <v/>
      </c>
      <c r="M610" t="str">
        <f>IF('10 Numaralar'!N12="","",'10 Numaralar'!N12)</f>
        <v/>
      </c>
      <c r="N610" t="str">
        <f>IF('10 Numaralar'!O12="","",'10 Numaralar'!O12)</f>
        <v/>
      </c>
      <c r="O610" t="str">
        <f>IF('10 Numaralar'!P12="","",'10 Numaralar'!P12)</f>
        <v/>
      </c>
      <c r="P610" t="str">
        <f>IF('10 Numaralar'!Q12="","",'10 Numaralar'!Q12)</f>
        <v/>
      </c>
      <c r="Q610" t="str">
        <f>IF('10 Numaralar'!R12="","",'10 Numaralar'!R12)</f>
        <v/>
      </c>
      <c r="R610" t="str">
        <f>IF('10 Numaralar'!S12="","",'10 Numaralar'!S12)</f>
        <v/>
      </c>
      <c r="S610" t="str">
        <f>IF('10 Numaralar'!T12="","",'10 Numaralar'!T12)</f>
        <v>Ele</v>
      </c>
      <c r="T610" s="2" t="str">
        <f>IF('10 Numaralar'!U12="","",'10 Numaralar'!U12)</f>
        <v/>
      </c>
      <c r="U610" t="s">
        <v>932</v>
      </c>
      <c r="V610">
        <v>12</v>
      </c>
      <c r="W610">
        <f ca="1">IF(AND($A610&lt;&gt;"",ISNUMBER($G610),$G610&gt;=TODAY(),$G610&lt;=EDATE(TODAY(),12)),COUNTIFS($G$2:$G$1001,"&gt;="&amp;TODAY(),$G$2:$G$1001,"&lt;"&amp;$G610,$A$2:$A$1001,"&lt;&gt;")+COUNTIFS($G$2:$G610,$G610,$A$2:$A610,"&lt;&gt;"),"")</f>
        <v>38</v>
      </c>
      <c r="X610" t="str">
        <f>IF(AND($A610&lt;&gt;"",ISNUMBER($C610),$C610&gt;=DATE(2003,1,1)),COUNTIFS($C$2:$C610,"&gt;="&amp;DATE(2003,1,1),$A$2:$A610,"&lt;&gt;"),"")</f>
        <v/>
      </c>
    </row>
    <row r="611" spans="1:24">
      <c r="A611" t="str">
        <f>IF('10 Numaralar'!A13="","",'10 Numaralar'!A13)</f>
        <v>MİLAN VUKOTİC</v>
      </c>
      <c r="B611" t="str">
        <f>IF('10 Numaralar'!B13="","",'10 Numaralar'!B13)</f>
        <v>KARADAĞ</v>
      </c>
      <c r="C611" s="2">
        <f>IF('10 Numaralar'!C13="","",'10 Numaralar'!C13)</f>
        <v>37534</v>
      </c>
      <c r="D611">
        <f ca="1">IF('10 Numaralar'!D13="","",'10 Numaralar'!D13)</f>
        <v>24</v>
      </c>
      <c r="E611" t="str">
        <f>IF('10 Numaralar'!E13="","",'10 Numaralar'!E13)</f>
        <v>10 Numara</v>
      </c>
      <c r="F611" t="str">
        <f>IF('10 Numaralar'!G13="","",'10 Numaralar'!G13)</f>
        <v>PARTİZAN</v>
      </c>
      <c r="G611" s="2">
        <f>IF('10 Numaralar'!H13="","",'10 Numaralar'!H13)</f>
        <v>47299</v>
      </c>
      <c r="H611" t="str">
        <f>IF('10 Numaralar'!I13="","",'10 Numaralar'!I13)</f>
        <v>Yeşil</v>
      </c>
      <c r="I611">
        <f>IF('10 Numaralar'!A13="","",'10 Numaralar'!J13)</f>
        <v>0</v>
      </c>
      <c r="J611" t="str">
        <f>IF('10 Numaralar'!A13="","",'10 Numaralar'!K13)</f>
        <v>https://www.transfermarkt.com.tr/milan-vukotic/profil/spieler/624353</v>
      </c>
      <c r="K611" t="str">
        <f>IF('10 Numaralar'!L13="","",'10 Numaralar'!L13)</f>
        <v/>
      </c>
      <c r="L611" t="str">
        <f>IF('10 Numaralar'!M13="","",'10 Numaralar'!M13)</f>
        <v/>
      </c>
      <c r="M611" t="str">
        <f>IF('10 Numaralar'!N13="","",'10 Numaralar'!N13)</f>
        <v/>
      </c>
      <c r="N611" t="str">
        <f>IF('10 Numaralar'!O13="","",'10 Numaralar'!O13)</f>
        <v/>
      </c>
      <c r="O611" t="str">
        <f>IF('10 Numaralar'!P13="","",'10 Numaralar'!P13)</f>
        <v/>
      </c>
      <c r="P611" t="str">
        <f>IF('10 Numaralar'!Q13="","",'10 Numaralar'!Q13)</f>
        <v/>
      </c>
      <c r="Q611" t="str">
        <f>IF('10 Numaralar'!R13="","",'10 Numaralar'!R13)</f>
        <v/>
      </c>
      <c r="R611" t="str">
        <f>IF('10 Numaralar'!S13="","",'10 Numaralar'!S13)</f>
        <v/>
      </c>
      <c r="S611" t="str">
        <f>IF('10 Numaralar'!T13="","",'10 Numaralar'!T13)</f>
        <v>Takip</v>
      </c>
      <c r="T611" s="2" t="str">
        <f>IF('10 Numaralar'!U13="","",'10 Numaralar'!U13)</f>
        <v/>
      </c>
      <c r="U611" t="s">
        <v>932</v>
      </c>
      <c r="V611">
        <v>13</v>
      </c>
      <c r="W611" t="str">
        <f ca="1">IF(AND($A611&lt;&gt;"",ISNUMBER($G611),$G611&gt;=TODAY(),$G611&lt;=EDATE(TODAY(),12)),COUNTIFS($G$2:$G$1001,"&gt;="&amp;TODAY(),$G$2:$G$1001,"&lt;"&amp;$G611,$A$2:$A$1001,"&lt;&gt;")+COUNTIFS($G$2:$G611,$G611,$A$2:$A611,"&lt;&gt;"),"")</f>
        <v/>
      </c>
      <c r="X611" t="str">
        <f>IF(AND($A611&lt;&gt;"",ISNUMBER($C611),$C611&gt;=DATE(2003,1,1)),COUNTIFS($C$2:$C611,"&gt;="&amp;DATE(2003,1,1),$A$2:$A611,"&lt;&gt;"),"")</f>
        <v/>
      </c>
    </row>
    <row r="612" spans="1:24">
      <c r="A612" t="str">
        <f>IF('10 Numaralar'!A14="","",'10 Numaralar'!A14)</f>
        <v>YANİS MASSOLİN</v>
      </c>
      <c r="B612" t="str">
        <f>IF('10 Numaralar'!B14="","",'10 Numaralar'!B14)</f>
        <v>FRANSA</v>
      </c>
      <c r="C612" s="2">
        <f>IF('10 Numaralar'!C14="","",'10 Numaralar'!C14)</f>
        <v>37519</v>
      </c>
      <c r="D612">
        <f ca="1">IF('10 Numaralar'!D14="","",'10 Numaralar'!D14)</f>
        <v>24</v>
      </c>
      <c r="E612" t="str">
        <f>IF('10 Numaralar'!E14="","",'10 Numaralar'!E14)</f>
        <v>10 Numara</v>
      </c>
      <c r="F612" t="str">
        <f>IF('10 Numaralar'!G14="","",'10 Numaralar'!G14)</f>
        <v>CAGLIARI</v>
      </c>
      <c r="G612" s="2">
        <f>IF('10 Numaralar'!H14="","",'10 Numaralar'!H14)</f>
        <v>46568</v>
      </c>
      <c r="H612" t="str">
        <f>IF('10 Numaralar'!I14="","",'10 Numaralar'!I14)</f>
        <v>Yeşil</v>
      </c>
      <c r="I612">
        <f>IF('10 Numaralar'!A14="","",'10 Numaralar'!J14)</f>
        <v>0</v>
      </c>
      <c r="J612" t="str">
        <f>IF('10 Numaralar'!A14="","",'10 Numaralar'!K14)</f>
        <v>https://www.transfermarkt.com.tr/yanis-massolin/profil/spieler/915849</v>
      </c>
      <c r="K612" t="str">
        <f>IF('10 Numaralar'!L14="","",'10 Numaralar'!L14)</f>
        <v/>
      </c>
      <c r="L612" t="str">
        <f>IF('10 Numaralar'!M14="","",'10 Numaralar'!M14)</f>
        <v/>
      </c>
      <c r="M612" t="str">
        <f>IF('10 Numaralar'!N14="","",'10 Numaralar'!N14)</f>
        <v/>
      </c>
      <c r="N612" t="str">
        <f>IF('10 Numaralar'!O14="","",'10 Numaralar'!O14)</f>
        <v/>
      </c>
      <c r="O612" t="str">
        <f>IF('10 Numaralar'!P14="","",'10 Numaralar'!P14)</f>
        <v/>
      </c>
      <c r="P612" t="str">
        <f>IF('10 Numaralar'!Q14="","",'10 Numaralar'!Q14)</f>
        <v/>
      </c>
      <c r="Q612" t="str">
        <f>IF('10 Numaralar'!R14="","",'10 Numaralar'!R14)</f>
        <v/>
      </c>
      <c r="R612" t="str">
        <f>IF('10 Numaralar'!S14="","",'10 Numaralar'!S14)</f>
        <v/>
      </c>
      <c r="S612" t="str">
        <f>IF('10 Numaralar'!T14="","",'10 Numaralar'!T14)</f>
        <v>A Liste</v>
      </c>
      <c r="T612" s="2" t="str">
        <f>IF('10 Numaralar'!U14="","",'10 Numaralar'!U14)</f>
        <v/>
      </c>
      <c r="U612" t="s">
        <v>932</v>
      </c>
      <c r="V612">
        <v>14</v>
      </c>
      <c r="W612">
        <f ca="1">IF(AND($A612&lt;&gt;"",ISNUMBER($G612),$G612&gt;=TODAY(),$G612&lt;=EDATE(TODAY(),12)),COUNTIFS($G$2:$G$1001,"&gt;="&amp;TODAY(),$G$2:$G$1001,"&lt;"&amp;$G612,$A$2:$A$1001,"&lt;&gt;")+COUNTIFS($G$2:$G612,$G612,$A$2:$A612,"&lt;&gt;"),"")</f>
        <v>39</v>
      </c>
      <c r="X612" t="str">
        <f>IF(AND($A612&lt;&gt;"",ISNUMBER($C612),$C612&gt;=DATE(2003,1,1)),COUNTIFS($C$2:$C612,"&gt;="&amp;DATE(2003,1,1),$A$2:$A612,"&lt;&gt;"),"")</f>
        <v/>
      </c>
    </row>
    <row r="613" spans="1:24">
      <c r="A613" t="str">
        <f>IF('10 Numaralar'!A15="","",'10 Numaralar'!A15)</f>
        <v>ALAN</v>
      </c>
      <c r="B613" t="str">
        <f>IF('10 Numaralar'!B15="","",'10 Numaralar'!B15)</f>
        <v>BREZİLYA</v>
      </c>
      <c r="C613" s="2">
        <f>IF('10 Numaralar'!C15="","",'10 Numaralar'!C15)</f>
        <v>36593</v>
      </c>
      <c r="D613">
        <f ca="1">IF('10 Numaralar'!D15="","",'10 Numaralar'!D15)</f>
        <v>26</v>
      </c>
      <c r="E613" t="str">
        <f>IF('10 Numaralar'!E15="","",'10 Numaralar'!E15)</f>
        <v>10 Numara</v>
      </c>
      <c r="F613" t="str">
        <f>IF('10 Numaralar'!G15="","",'10 Numaralar'!G15)</f>
        <v>KULÜPSÜZ</v>
      </c>
      <c r="G613" s="2" t="str">
        <f>IF('10 Numaralar'!H15="","",'10 Numaralar'!H15)</f>
        <v>-</v>
      </c>
      <c r="H613" t="str">
        <f>IF('10 Numaralar'!I15="","",'10 Numaralar'!I15)</f>
        <v/>
      </c>
      <c r="I613">
        <f>IF('10 Numaralar'!A15="","",'10 Numaralar'!J15)</f>
        <v>0</v>
      </c>
      <c r="J613" t="str">
        <f>IF('10 Numaralar'!A15="","",'10 Numaralar'!K15)</f>
        <v>Transfermarkt Profili</v>
      </c>
      <c r="K613" t="str">
        <f>IF('10 Numaralar'!L15="","",'10 Numaralar'!L15)</f>
        <v/>
      </c>
      <c r="L613" t="str">
        <f>IF('10 Numaralar'!M15="","",'10 Numaralar'!M15)</f>
        <v/>
      </c>
      <c r="M613" t="str">
        <f>IF('10 Numaralar'!N15="","",'10 Numaralar'!N15)</f>
        <v/>
      </c>
      <c r="N613" t="str">
        <f>IF('10 Numaralar'!O15="","",'10 Numaralar'!O15)</f>
        <v/>
      </c>
      <c r="O613" t="str">
        <f>IF('10 Numaralar'!P15="","",'10 Numaralar'!P15)</f>
        <v/>
      </c>
      <c r="P613" t="str">
        <f>IF('10 Numaralar'!Q15="","",'10 Numaralar'!Q15)</f>
        <v/>
      </c>
      <c r="Q613" t="str">
        <f>IF('10 Numaralar'!R15="","",'10 Numaralar'!R15)</f>
        <v/>
      </c>
      <c r="R613" t="str">
        <f>IF('10 Numaralar'!S15="","",'10 Numaralar'!S15)</f>
        <v/>
      </c>
      <c r="S613" t="str">
        <f>IF('10 Numaralar'!T15="","",'10 Numaralar'!T15)</f>
        <v/>
      </c>
      <c r="T613" s="2" t="str">
        <f>IF('10 Numaralar'!U15="","",'10 Numaralar'!U15)</f>
        <v/>
      </c>
      <c r="U613" t="s">
        <v>932</v>
      </c>
      <c r="V613">
        <v>15</v>
      </c>
      <c r="W613" t="str">
        <f ca="1">IF(AND($A613&lt;&gt;"",ISNUMBER($G613),$G613&gt;=TODAY(),$G613&lt;=EDATE(TODAY(),12)),COUNTIFS($G$2:$G$1001,"&gt;="&amp;TODAY(),$G$2:$G$1001,"&lt;"&amp;$G613,$A$2:$A$1001,"&lt;&gt;")+COUNTIFS($G$2:$G613,$G613,$A$2:$A613,"&lt;&gt;"),"")</f>
        <v/>
      </c>
      <c r="X613" t="str">
        <f>IF(AND($A613&lt;&gt;"",ISNUMBER($C613),$C613&gt;=DATE(2003,1,1)),COUNTIFS($C$2:$C613,"&gt;="&amp;DATE(2003,1,1),$A$2:$A613,"&lt;&gt;"),"")</f>
        <v/>
      </c>
    </row>
    <row r="614" spans="1:24">
      <c r="A614" t="str">
        <f>IF('10 Numaralar'!A16="","",'10 Numaralar'!A16)</f>
        <v>YARI VERSCHAEREN</v>
      </c>
      <c r="B614" t="str">
        <f>IF('10 Numaralar'!B16="","",'10 Numaralar'!B16)</f>
        <v>BELÇİKA</v>
      </c>
      <c r="C614" s="2">
        <f>IF('10 Numaralar'!C16="","",'10 Numaralar'!C16)</f>
        <v>37084</v>
      </c>
      <c r="D614">
        <f ca="1">IF('10 Numaralar'!D16="","",'10 Numaralar'!D16)</f>
        <v>25</v>
      </c>
      <c r="E614" t="str">
        <f>IF('10 Numaralar'!E16="","",'10 Numaralar'!E16)</f>
        <v>10 Numara</v>
      </c>
      <c r="F614" t="str">
        <f>IF('10 Numaralar'!G16="","",'10 Numaralar'!G16)</f>
        <v>UC SAMPDORIA</v>
      </c>
      <c r="G614" s="2">
        <f>IF('10 Numaralar'!H16="","",'10 Numaralar'!H16)</f>
        <v>47299</v>
      </c>
      <c r="H614" t="str">
        <f>IF('10 Numaralar'!I16="","",'10 Numaralar'!I16)</f>
        <v/>
      </c>
      <c r="I614">
        <f>IF('10 Numaralar'!A16="","",'10 Numaralar'!J16)</f>
        <v>0</v>
      </c>
      <c r="J614" t="str">
        <f>IF('10 Numaralar'!A16="","",'10 Numaralar'!K16)</f>
        <v>Transfermarkt Profili</v>
      </c>
      <c r="K614" t="str">
        <f>IF('10 Numaralar'!L16="","",'10 Numaralar'!L16)</f>
        <v/>
      </c>
      <c r="L614" t="str">
        <f>IF('10 Numaralar'!M16="","",'10 Numaralar'!M16)</f>
        <v/>
      </c>
      <c r="M614" t="str">
        <f>IF('10 Numaralar'!N16="","",'10 Numaralar'!N16)</f>
        <v/>
      </c>
      <c r="N614" t="str">
        <f>IF('10 Numaralar'!O16="","",'10 Numaralar'!O16)</f>
        <v/>
      </c>
      <c r="O614" t="str">
        <f>IF('10 Numaralar'!P16="","",'10 Numaralar'!P16)</f>
        <v/>
      </c>
      <c r="P614" t="str">
        <f>IF('10 Numaralar'!Q16="","",'10 Numaralar'!Q16)</f>
        <v/>
      </c>
      <c r="Q614" t="str">
        <f>IF('10 Numaralar'!R16="","",'10 Numaralar'!R16)</f>
        <v/>
      </c>
      <c r="R614" t="str">
        <f>IF('10 Numaralar'!S16="","",'10 Numaralar'!S16)</f>
        <v/>
      </c>
      <c r="S614" t="str">
        <f>IF('10 Numaralar'!T16="","",'10 Numaralar'!T16)</f>
        <v/>
      </c>
      <c r="T614" s="2" t="str">
        <f>IF('10 Numaralar'!U16="","",'10 Numaralar'!U16)</f>
        <v/>
      </c>
      <c r="U614" t="s">
        <v>932</v>
      </c>
      <c r="V614">
        <v>16</v>
      </c>
      <c r="W614" t="str">
        <f ca="1">IF(AND($A614&lt;&gt;"",ISNUMBER($G614),$G614&gt;=TODAY(),$G614&lt;=EDATE(TODAY(),12)),COUNTIFS($G$2:$G$1001,"&gt;="&amp;TODAY(),$G$2:$G$1001,"&lt;"&amp;$G614,$A$2:$A$1001,"&lt;&gt;")+COUNTIFS($G$2:$G614,$G614,$A$2:$A614,"&lt;&gt;"),"")</f>
        <v/>
      </c>
      <c r="X614" t="str">
        <f>IF(AND($A614&lt;&gt;"",ISNUMBER($C614),$C614&gt;=DATE(2003,1,1)),COUNTIFS($C$2:$C614,"&gt;="&amp;DATE(2003,1,1),$A$2:$A614,"&lt;&gt;"),"")</f>
        <v/>
      </c>
    </row>
    <row r="615" spans="1:24">
      <c r="A615" t="str">
        <f>IF('10 Numaralar'!A17="","",'10 Numaralar'!A17)</f>
        <v>GUSTAVO SCARPA</v>
      </c>
      <c r="B615" t="str">
        <f>IF('10 Numaralar'!B17="","",'10 Numaralar'!B17)</f>
        <v>BREZİLYA / İTALYA</v>
      </c>
      <c r="C615" s="2">
        <f>IF('10 Numaralar'!C17="","",'10 Numaralar'!C17)</f>
        <v>34339</v>
      </c>
      <c r="D615">
        <f ca="1">IF('10 Numaralar'!D17="","",'10 Numaralar'!D17)</f>
        <v>32</v>
      </c>
      <c r="E615" t="str">
        <f>IF('10 Numaralar'!E17="","",'10 Numaralar'!E17)</f>
        <v>10 Numara</v>
      </c>
      <c r="F615" t="str">
        <f>IF('10 Numaralar'!G17="","",'10 Numaralar'!G17)</f>
        <v>ATLÉTICO-MG</v>
      </c>
      <c r="G615" s="2">
        <f>IF('10 Numaralar'!H17="","",'10 Numaralar'!H17)</f>
        <v>46752</v>
      </c>
      <c r="H615" t="str">
        <f>IF('10 Numaralar'!I17="","",'10 Numaralar'!I17)</f>
        <v/>
      </c>
      <c r="I615">
        <f>IF('10 Numaralar'!A17="","",'10 Numaralar'!J17)</f>
        <v>0</v>
      </c>
      <c r="J615" t="str">
        <f>IF('10 Numaralar'!A17="","",'10 Numaralar'!K17)</f>
        <v>https://www.transfermarkt.com.br/gustavo-scarpa/profil/spieler/330085</v>
      </c>
      <c r="K615" t="str">
        <f>IF('10 Numaralar'!L17="","",'10 Numaralar'!L17)</f>
        <v/>
      </c>
      <c r="L615" t="str">
        <f>IF('10 Numaralar'!M17="","",'10 Numaralar'!M17)</f>
        <v/>
      </c>
      <c r="M615" t="str">
        <f>IF('10 Numaralar'!N17="","",'10 Numaralar'!N17)</f>
        <v/>
      </c>
      <c r="N615" t="str">
        <f>IF('10 Numaralar'!O17="","",'10 Numaralar'!O17)</f>
        <v/>
      </c>
      <c r="O615" t="str">
        <f>IF('10 Numaralar'!P17="","",'10 Numaralar'!P17)</f>
        <v/>
      </c>
      <c r="P615" t="str">
        <f>IF('10 Numaralar'!Q17="","",'10 Numaralar'!Q17)</f>
        <v/>
      </c>
      <c r="Q615" t="str">
        <f>IF('10 Numaralar'!R17="","",'10 Numaralar'!R17)</f>
        <v/>
      </c>
      <c r="R615" t="str">
        <f>IF('10 Numaralar'!S17="","",'10 Numaralar'!S17)</f>
        <v/>
      </c>
      <c r="S615" t="str">
        <f>IF('10 Numaralar'!T17="","",'10 Numaralar'!T17)</f>
        <v/>
      </c>
      <c r="T615" s="2" t="str">
        <f>IF('10 Numaralar'!U17="","",'10 Numaralar'!U17)</f>
        <v/>
      </c>
      <c r="U615" t="s">
        <v>932</v>
      </c>
      <c r="V615">
        <v>17</v>
      </c>
      <c r="W615" t="str">
        <f ca="1">IF(AND($A615&lt;&gt;"",ISNUMBER($G615),$G615&gt;=TODAY(),$G615&lt;=EDATE(TODAY(),12)),COUNTIFS($G$2:$G$1001,"&gt;="&amp;TODAY(),$G$2:$G$1001,"&lt;"&amp;$G615,$A$2:$A$1001,"&lt;&gt;")+COUNTIFS($G$2:$G615,$G615,$A$2:$A615,"&lt;&gt;"),"")</f>
        <v/>
      </c>
      <c r="X615" t="str">
        <f>IF(AND($A615&lt;&gt;"",ISNUMBER($C615),$C615&gt;=DATE(2003,1,1)),COUNTIFS($C$2:$C615,"&gt;="&amp;DATE(2003,1,1),$A$2:$A615,"&lt;&gt;"),"")</f>
        <v/>
      </c>
    </row>
    <row r="616" spans="1:24">
      <c r="A616" t="str">
        <f>IF('10 Numaralar'!A18="","",'10 Numaralar'!A18)</f>
        <v>KAMORY DOUMBIA</v>
      </c>
      <c r="B616" t="str">
        <f>IF('10 Numaralar'!B18="","",'10 Numaralar'!B18)</f>
        <v>MALİ</v>
      </c>
      <c r="C616" s="2">
        <f>IF('10 Numaralar'!C18="","",'10 Numaralar'!C18)</f>
        <v>37670</v>
      </c>
      <c r="D616">
        <f ca="1">IF('10 Numaralar'!D18="","",'10 Numaralar'!D18)</f>
        <v>23</v>
      </c>
      <c r="E616" t="str">
        <f>IF('10 Numaralar'!E18="","",'10 Numaralar'!E18)</f>
        <v>10 Numara</v>
      </c>
      <c r="F616" t="str">
        <f>IF('10 Numaralar'!G18="","",'10 Numaralar'!G18)</f>
        <v>STADE BRESTOIS</v>
      </c>
      <c r="G616" s="2">
        <f>IF('10 Numaralar'!H18="","",'10 Numaralar'!H18)</f>
        <v>47299</v>
      </c>
      <c r="H616" t="str">
        <f>IF('10 Numaralar'!I18="","",'10 Numaralar'!I18)</f>
        <v/>
      </c>
      <c r="I616">
        <f>IF('10 Numaralar'!A18="","",'10 Numaralar'!J18)</f>
        <v>0</v>
      </c>
      <c r="J616" t="str">
        <f>IF('10 Numaralar'!A18="","",'10 Numaralar'!K18)</f>
        <v>https://www.transfermarkt.com.tr/kamory-doumbia/profil/spieler/671594</v>
      </c>
      <c r="K616" t="str">
        <f>IF('10 Numaralar'!L18="","",'10 Numaralar'!L18)</f>
        <v/>
      </c>
      <c r="L616" t="str">
        <f>IF('10 Numaralar'!M18="","",'10 Numaralar'!M18)</f>
        <v/>
      </c>
      <c r="M616" t="str">
        <f>IF('10 Numaralar'!N18="","",'10 Numaralar'!N18)</f>
        <v/>
      </c>
      <c r="N616" t="str">
        <f>IF('10 Numaralar'!O18="","",'10 Numaralar'!O18)</f>
        <v/>
      </c>
      <c r="O616" t="str">
        <f>IF('10 Numaralar'!P18="","",'10 Numaralar'!P18)</f>
        <v/>
      </c>
      <c r="P616" t="str">
        <f>IF('10 Numaralar'!Q18="","",'10 Numaralar'!Q18)</f>
        <v/>
      </c>
      <c r="Q616" t="str">
        <f>IF('10 Numaralar'!R18="","",'10 Numaralar'!R18)</f>
        <v/>
      </c>
      <c r="R616" t="str">
        <f>IF('10 Numaralar'!S18="","",'10 Numaralar'!S18)</f>
        <v/>
      </c>
      <c r="S616" t="str">
        <f>IF('10 Numaralar'!T18="","",'10 Numaralar'!T18)</f>
        <v/>
      </c>
      <c r="T616" s="2" t="str">
        <f>IF('10 Numaralar'!U18="","",'10 Numaralar'!U18)</f>
        <v/>
      </c>
      <c r="U616" t="s">
        <v>932</v>
      </c>
      <c r="V616">
        <v>18</v>
      </c>
      <c r="W616" t="str">
        <f ca="1">IF(AND($A616&lt;&gt;"",ISNUMBER($G616),$G616&gt;=TODAY(),$G616&lt;=EDATE(TODAY(),12)),COUNTIFS($G$2:$G$1001,"&gt;="&amp;TODAY(),$G$2:$G$1001,"&lt;"&amp;$G616,$A$2:$A$1001,"&lt;&gt;")+COUNTIFS($G$2:$G616,$G616,$A$2:$A616,"&lt;&gt;"),"")</f>
        <v/>
      </c>
      <c r="X616">
        <f>IF(AND($A616&lt;&gt;"",ISNUMBER($C616),$C616&gt;=DATE(2003,1,1)),COUNTIFS($C$2:$C616,"&gt;="&amp;DATE(2003,1,1),$A$2:$A616,"&lt;&gt;"),"")</f>
        <v>30</v>
      </c>
    </row>
    <row r="617" spans="1:24">
      <c r="A617" t="str">
        <f>IF('10 Numaralar'!A19="","",'10 Numaralar'!A19)</f>
        <v>LUCIANO CABRAL</v>
      </c>
      <c r="B617" t="str">
        <f>IF('10 Numaralar'!B19="","",'10 Numaralar'!B19)</f>
        <v>ŞİLİ / ARJANTİN</v>
      </c>
      <c r="C617" s="2">
        <f>IF('10 Numaralar'!C19="","",'10 Numaralar'!C19)</f>
        <v>34815</v>
      </c>
      <c r="D617">
        <f ca="1">IF('10 Numaralar'!D19="","",'10 Numaralar'!D19)</f>
        <v>31</v>
      </c>
      <c r="E617" t="str">
        <f>IF('10 Numaralar'!E19="","",'10 Numaralar'!E19)</f>
        <v>10 Numara</v>
      </c>
      <c r="F617" t="str">
        <f>IF('10 Numaralar'!G19="","",'10 Numaralar'!G19)</f>
        <v>INDEPENDIENTE</v>
      </c>
      <c r="G617" s="2" t="str">
        <f>IF('10 Numaralar'!H19="","",'10 Numaralar'!H19)</f>
        <v>-</v>
      </c>
      <c r="H617" t="str">
        <f>IF('10 Numaralar'!I19="","",'10 Numaralar'!I19)</f>
        <v/>
      </c>
      <c r="I617">
        <f>IF('10 Numaralar'!A19="","",'10 Numaralar'!J19)</f>
        <v>0</v>
      </c>
      <c r="J617" t="str">
        <f>IF('10 Numaralar'!A19="","",'10 Numaralar'!K19)</f>
        <v>https://www.transfermarkt.com.tr/luciano-cabral/profil/spieler/322610</v>
      </c>
      <c r="K617" t="str">
        <f>IF('10 Numaralar'!L19="","",'10 Numaralar'!L19)</f>
        <v/>
      </c>
      <c r="L617" t="str">
        <f>IF('10 Numaralar'!M19="","",'10 Numaralar'!M19)</f>
        <v/>
      </c>
      <c r="M617" t="str">
        <f>IF('10 Numaralar'!N19="","",'10 Numaralar'!N19)</f>
        <v/>
      </c>
      <c r="N617" t="str">
        <f>IF('10 Numaralar'!O19="","",'10 Numaralar'!O19)</f>
        <v/>
      </c>
      <c r="O617" t="str">
        <f>IF('10 Numaralar'!P19="","",'10 Numaralar'!P19)</f>
        <v/>
      </c>
      <c r="P617" t="str">
        <f>IF('10 Numaralar'!Q19="","",'10 Numaralar'!Q19)</f>
        <v/>
      </c>
      <c r="Q617" t="str">
        <f>IF('10 Numaralar'!R19="","",'10 Numaralar'!R19)</f>
        <v/>
      </c>
      <c r="R617" t="str">
        <f>IF('10 Numaralar'!S19="","",'10 Numaralar'!S19)</f>
        <v/>
      </c>
      <c r="S617" t="str">
        <f>IF('10 Numaralar'!T19="","",'10 Numaralar'!T19)</f>
        <v/>
      </c>
      <c r="T617" s="2" t="str">
        <f>IF('10 Numaralar'!U19="","",'10 Numaralar'!U19)</f>
        <v/>
      </c>
      <c r="U617" t="s">
        <v>932</v>
      </c>
      <c r="V617">
        <v>19</v>
      </c>
      <c r="W617" t="str">
        <f ca="1">IF(AND($A617&lt;&gt;"",ISNUMBER($G617),$G617&gt;=TODAY(),$G617&lt;=EDATE(TODAY(),12)),COUNTIFS($G$2:$G$1001,"&gt;="&amp;TODAY(),$G$2:$G$1001,"&lt;"&amp;$G617,$A$2:$A$1001,"&lt;&gt;")+COUNTIFS($G$2:$G617,$G617,$A$2:$A617,"&lt;&gt;"),"")</f>
        <v/>
      </c>
      <c r="X617" t="str">
        <f>IF(AND($A617&lt;&gt;"",ISNUMBER($C617),$C617&gt;=DATE(2003,1,1)),COUNTIFS($C$2:$C617,"&gt;="&amp;DATE(2003,1,1),$A$2:$A617,"&lt;&gt;"),"")</f>
        <v/>
      </c>
    </row>
    <row r="618" spans="1:24">
      <c r="A618" t="str">
        <f>IF('10 Numaralar'!A20="","",'10 Numaralar'!A20)</f>
        <v>ZIDAN SERTDEMIR</v>
      </c>
      <c r="B618" t="str">
        <f>IF('10 Numaralar'!B20="","",'10 Numaralar'!B20)</f>
        <v>DANİMARKA / TÜRKİYE</v>
      </c>
      <c r="C618" s="2">
        <f>IF('10 Numaralar'!C20="","",'10 Numaralar'!C20)</f>
        <v>38387</v>
      </c>
      <c r="D618">
        <f ca="1">IF('10 Numaralar'!D20="","",'10 Numaralar'!D20)</f>
        <v>21</v>
      </c>
      <c r="E618" t="str">
        <f>IF('10 Numaralar'!E20="","",'10 Numaralar'!E20)</f>
        <v>10 Numara</v>
      </c>
      <c r="F618" t="str">
        <f>IF('10 Numaralar'!G20="","",'10 Numaralar'!G20)</f>
        <v>PREUSSEN MÜNSTER</v>
      </c>
      <c r="G618" s="2" t="str">
        <f>IF('10 Numaralar'!H20="","",'10 Numaralar'!H20)</f>
        <v>-</v>
      </c>
      <c r="H618" t="str">
        <f>IF('10 Numaralar'!I20="","",'10 Numaralar'!I20)</f>
        <v/>
      </c>
      <c r="I618">
        <f>IF('10 Numaralar'!A20="","",'10 Numaralar'!J20)</f>
        <v>0</v>
      </c>
      <c r="J618" t="str">
        <f>IF('10 Numaralar'!A20="","",'10 Numaralar'!K20)</f>
        <v>Transfermarkt Profili</v>
      </c>
      <c r="K618" t="str">
        <f>IF('10 Numaralar'!L20="","",'10 Numaralar'!L20)</f>
        <v/>
      </c>
      <c r="L618" t="str">
        <f>IF('10 Numaralar'!M20="","",'10 Numaralar'!M20)</f>
        <v/>
      </c>
      <c r="M618" t="str">
        <f>IF('10 Numaralar'!N20="","",'10 Numaralar'!N20)</f>
        <v/>
      </c>
      <c r="N618" t="str">
        <f>IF('10 Numaralar'!O20="","",'10 Numaralar'!O20)</f>
        <v/>
      </c>
      <c r="O618" t="str">
        <f>IF('10 Numaralar'!P20="","",'10 Numaralar'!P20)</f>
        <v/>
      </c>
      <c r="P618" t="str">
        <f>IF('10 Numaralar'!Q20="","",'10 Numaralar'!Q20)</f>
        <v/>
      </c>
      <c r="Q618" t="str">
        <f>IF('10 Numaralar'!R20="","",'10 Numaralar'!R20)</f>
        <v/>
      </c>
      <c r="R618" t="str">
        <f>IF('10 Numaralar'!S20="","",'10 Numaralar'!S20)</f>
        <v/>
      </c>
      <c r="S618" t="str">
        <f>IF('10 Numaralar'!T20="","",'10 Numaralar'!T20)</f>
        <v/>
      </c>
      <c r="T618" s="2" t="str">
        <f>IF('10 Numaralar'!U20="","",'10 Numaralar'!U20)</f>
        <v/>
      </c>
      <c r="U618" t="s">
        <v>932</v>
      </c>
      <c r="V618">
        <v>20</v>
      </c>
      <c r="W618" t="str">
        <f ca="1">IF(AND($A618&lt;&gt;"",ISNUMBER($G618),$G618&gt;=TODAY(),$G618&lt;=EDATE(TODAY(),12)),COUNTIFS($G$2:$G$1001,"&gt;="&amp;TODAY(),$G$2:$G$1001,"&lt;"&amp;$G618,$A$2:$A$1001,"&lt;&gt;")+COUNTIFS($G$2:$G618,$G618,$A$2:$A618,"&lt;&gt;"),"")</f>
        <v/>
      </c>
      <c r="X618">
        <f>IF(AND($A618&lt;&gt;"",ISNUMBER($C618),$C618&gt;=DATE(2003,1,1)),COUNTIFS($C$2:$C618,"&gt;="&amp;DATE(2003,1,1),$A$2:$A618,"&lt;&gt;"),"")</f>
        <v>31</v>
      </c>
    </row>
    <row r="619" spans="1:24">
      <c r="A619" t="str">
        <f>IF('10 Numaralar'!A21="","",'10 Numaralar'!A21)</f>
        <v>LUCAS RODRÍGUEZ</v>
      </c>
      <c r="B619" t="str">
        <f>IF('10 Numaralar'!B21="","",'10 Numaralar'!B21)</f>
        <v>ARJANTİN</v>
      </c>
      <c r="C619" s="2">
        <f>IF('10 Numaralar'!C21="","",'10 Numaralar'!C21)</f>
        <v>35547</v>
      </c>
      <c r="D619">
        <f ca="1">IF('10 Numaralar'!D21="","",'10 Numaralar'!D21)</f>
        <v>29</v>
      </c>
      <c r="E619" t="str">
        <f>IF('10 Numaralar'!E21="","",'10 Numaralar'!E21)</f>
        <v>10 Numara</v>
      </c>
      <c r="F619" t="str">
        <f>IF('10 Numaralar'!G21="","",'10 Numaralar'!G21)</f>
        <v>KULÜPSÜZ</v>
      </c>
      <c r="G619" s="2" t="str">
        <f>IF('10 Numaralar'!H21="","",'10 Numaralar'!H21)</f>
        <v>-</v>
      </c>
      <c r="H619" t="str">
        <f>IF('10 Numaralar'!I21="","",'10 Numaralar'!I21)</f>
        <v/>
      </c>
      <c r="I619">
        <f>IF('10 Numaralar'!A21="","",'10 Numaralar'!J21)</f>
        <v>0</v>
      </c>
      <c r="J619" t="str">
        <f>IF('10 Numaralar'!A21="","",'10 Numaralar'!K21)</f>
        <v>Transfermarkt Profili</v>
      </c>
      <c r="K619" t="str">
        <f>IF('10 Numaralar'!L21="","",'10 Numaralar'!L21)</f>
        <v/>
      </c>
      <c r="L619" t="str">
        <f>IF('10 Numaralar'!M21="","",'10 Numaralar'!M21)</f>
        <v/>
      </c>
      <c r="M619" t="str">
        <f>IF('10 Numaralar'!N21="","",'10 Numaralar'!N21)</f>
        <v/>
      </c>
      <c r="N619" t="str">
        <f>IF('10 Numaralar'!O21="","",'10 Numaralar'!O21)</f>
        <v/>
      </c>
      <c r="O619" t="str">
        <f>IF('10 Numaralar'!P21="","",'10 Numaralar'!P21)</f>
        <v/>
      </c>
      <c r="P619" t="str">
        <f>IF('10 Numaralar'!Q21="","",'10 Numaralar'!Q21)</f>
        <v/>
      </c>
      <c r="Q619" t="str">
        <f>IF('10 Numaralar'!R21="","",'10 Numaralar'!R21)</f>
        <v/>
      </c>
      <c r="R619" t="str">
        <f>IF('10 Numaralar'!S21="","",'10 Numaralar'!S21)</f>
        <v/>
      </c>
      <c r="S619" t="str">
        <f>IF('10 Numaralar'!T21="","",'10 Numaralar'!T21)</f>
        <v/>
      </c>
      <c r="T619" s="2" t="str">
        <f>IF('10 Numaralar'!U21="","",'10 Numaralar'!U21)</f>
        <v/>
      </c>
      <c r="U619" t="s">
        <v>932</v>
      </c>
      <c r="V619">
        <v>21</v>
      </c>
      <c r="W619" t="str">
        <f ca="1">IF(AND($A619&lt;&gt;"",ISNUMBER($G619),$G619&gt;=TODAY(),$G619&lt;=EDATE(TODAY(),12)),COUNTIFS($G$2:$G$1001,"&gt;="&amp;TODAY(),$G$2:$G$1001,"&lt;"&amp;$G619,$A$2:$A$1001,"&lt;&gt;")+COUNTIFS($G$2:$G619,$G619,$A$2:$A619,"&lt;&gt;"),"")</f>
        <v/>
      </c>
      <c r="X619" t="str">
        <f>IF(AND($A619&lt;&gt;"",ISNUMBER($C619),$C619&gt;=DATE(2003,1,1)),COUNTIFS($C$2:$C619,"&gt;="&amp;DATE(2003,1,1),$A$2:$A619,"&lt;&gt;"),"")</f>
        <v/>
      </c>
    </row>
    <row r="620" spans="1:24">
      <c r="A620" t="str">
        <f>IF('10 Numaralar'!A22="","",'10 Numaralar'!A22)</f>
        <v>FABIAN BZDYL</v>
      </c>
      <c r="B620" t="str">
        <f>IF('10 Numaralar'!B22="","",'10 Numaralar'!B22)</f>
        <v>POLONYA</v>
      </c>
      <c r="C620" s="2">
        <f>IF('10 Numaralar'!C22="","",'10 Numaralar'!C22)</f>
        <v>39418</v>
      </c>
      <c r="D620">
        <f ca="1">IF('10 Numaralar'!D22="","",'10 Numaralar'!D22)</f>
        <v>18</v>
      </c>
      <c r="E620" t="str">
        <f>IF('10 Numaralar'!E22="","",'10 Numaralar'!E22)</f>
        <v>10 Numara</v>
      </c>
      <c r="F620" t="str">
        <f>IF('10 Numaralar'!G22="","",'10 Numaralar'!G22)</f>
        <v>MSK ŽILINA</v>
      </c>
      <c r="G620" s="2">
        <f>IF('10 Numaralar'!H22="","",'10 Numaralar'!H22)</f>
        <v>46934</v>
      </c>
      <c r="H620" t="str">
        <f>IF('10 Numaralar'!I22="","",'10 Numaralar'!I22)</f>
        <v/>
      </c>
      <c r="I620">
        <f>IF('10 Numaralar'!A22="","",'10 Numaralar'!J22)</f>
        <v>0</v>
      </c>
      <c r="J620" t="str">
        <f>IF('10 Numaralar'!A22="","",'10 Numaralar'!K22)</f>
        <v>https://www.transfermarkt.com.tr/fabian-bzdyl/profil/spieler/1143311</v>
      </c>
      <c r="K620" t="str">
        <f>IF('10 Numaralar'!L22="","",'10 Numaralar'!L22)</f>
        <v/>
      </c>
      <c r="L620" t="str">
        <f>IF('10 Numaralar'!M22="","",'10 Numaralar'!M22)</f>
        <v/>
      </c>
      <c r="M620" t="str">
        <f>IF('10 Numaralar'!N22="","",'10 Numaralar'!N22)</f>
        <v/>
      </c>
      <c r="N620" t="str">
        <f>IF('10 Numaralar'!O22="","",'10 Numaralar'!O22)</f>
        <v/>
      </c>
      <c r="O620" t="str">
        <f>IF('10 Numaralar'!P22="","",'10 Numaralar'!P22)</f>
        <v/>
      </c>
      <c r="P620" t="str">
        <f>IF('10 Numaralar'!Q22="","",'10 Numaralar'!Q22)</f>
        <v/>
      </c>
      <c r="Q620" t="str">
        <f>IF('10 Numaralar'!R22="","",'10 Numaralar'!R22)</f>
        <v/>
      </c>
      <c r="R620" t="str">
        <f>IF('10 Numaralar'!S22="","",'10 Numaralar'!S22)</f>
        <v/>
      </c>
      <c r="S620" t="str">
        <f>IF('10 Numaralar'!T22="","",'10 Numaralar'!T22)</f>
        <v/>
      </c>
      <c r="T620" s="2" t="str">
        <f>IF('10 Numaralar'!U22="","",'10 Numaralar'!U22)</f>
        <v/>
      </c>
      <c r="U620" t="s">
        <v>932</v>
      </c>
      <c r="V620">
        <v>22</v>
      </c>
      <c r="W620" t="str">
        <f ca="1">IF(AND($A620&lt;&gt;"",ISNUMBER($G620),$G620&gt;=TODAY(),$G620&lt;=EDATE(TODAY(),12)),COUNTIFS($G$2:$G$1001,"&gt;="&amp;TODAY(),$G$2:$G$1001,"&lt;"&amp;$G620,$A$2:$A$1001,"&lt;&gt;")+COUNTIFS($G$2:$G620,$G620,$A$2:$A620,"&lt;&gt;"),"")</f>
        <v/>
      </c>
      <c r="X620">
        <f>IF(AND($A620&lt;&gt;"",ISNUMBER($C620),$C620&gt;=DATE(2003,1,1)),COUNTIFS($C$2:$C620,"&gt;="&amp;DATE(2003,1,1),$A$2:$A620,"&lt;&gt;"),"")</f>
        <v>32</v>
      </c>
    </row>
    <row r="621" spans="1:24">
      <c r="A621" t="str">
        <f>IF('10 Numaralar'!A23="","",'10 Numaralar'!A23)</f>
        <v>JEAN CARLOS</v>
      </c>
      <c r="B621" t="str">
        <f>IF('10 Numaralar'!B23="","",'10 Numaralar'!B23)</f>
        <v/>
      </c>
      <c r="C621" s="2" t="str">
        <f>IF('10 Numaralar'!C23="","",'10 Numaralar'!C23)</f>
        <v/>
      </c>
      <c r="D621" t="str">
        <f ca="1">IF('10 Numaralar'!D23="","",'10 Numaralar'!D23)</f>
        <v/>
      </c>
      <c r="E621" t="str">
        <f>IF('10 Numaralar'!E23="","",'10 Numaralar'!E23)</f>
        <v>10 Numara</v>
      </c>
      <c r="F621" t="str">
        <f>IF('10 Numaralar'!G23="","",'10 Numaralar'!G23)</f>
        <v/>
      </c>
      <c r="G621" s="2" t="str">
        <f>IF('10 Numaralar'!H23="","",'10 Numaralar'!H23)</f>
        <v>-</v>
      </c>
      <c r="H621" t="str">
        <f>IF('10 Numaralar'!I23="","",'10 Numaralar'!I23)</f>
        <v/>
      </c>
      <c r="I621">
        <f>IF('10 Numaralar'!A23="","",'10 Numaralar'!J23)</f>
        <v>0</v>
      </c>
      <c r="J621" t="str">
        <f>IF('10 Numaralar'!A23="","",'10 Numaralar'!K23)</f>
        <v>https://www.transfermarkt.com.br/jean-carlos/profil/spieler/1092857</v>
      </c>
      <c r="K621" t="str">
        <f>IF('10 Numaralar'!L23="","",'10 Numaralar'!L23)</f>
        <v/>
      </c>
      <c r="L621" t="str">
        <f>IF('10 Numaralar'!M23="","",'10 Numaralar'!M23)</f>
        <v/>
      </c>
      <c r="M621" t="str">
        <f>IF('10 Numaralar'!N23="","",'10 Numaralar'!N23)</f>
        <v/>
      </c>
      <c r="N621" t="str">
        <f>IF('10 Numaralar'!O23="","",'10 Numaralar'!O23)</f>
        <v/>
      </c>
      <c r="O621" t="str">
        <f>IF('10 Numaralar'!P23="","",'10 Numaralar'!P23)</f>
        <v/>
      </c>
      <c r="P621" t="str">
        <f>IF('10 Numaralar'!Q23="","",'10 Numaralar'!Q23)</f>
        <v/>
      </c>
      <c r="Q621" t="str">
        <f>IF('10 Numaralar'!R23="","",'10 Numaralar'!R23)</f>
        <v/>
      </c>
      <c r="R621" t="str">
        <f>IF('10 Numaralar'!S23="","",'10 Numaralar'!S23)</f>
        <v/>
      </c>
      <c r="S621" t="str">
        <f>IF('10 Numaralar'!T23="","",'10 Numaralar'!T23)</f>
        <v/>
      </c>
      <c r="T621" s="2" t="str">
        <f>IF('10 Numaralar'!U23="","",'10 Numaralar'!U23)</f>
        <v/>
      </c>
      <c r="U621" t="s">
        <v>932</v>
      </c>
      <c r="V621">
        <v>23</v>
      </c>
      <c r="W621" t="str">
        <f ca="1">IF(AND($A621&lt;&gt;"",ISNUMBER($G621),$G621&gt;=TODAY(),$G621&lt;=EDATE(TODAY(),12)),COUNTIFS($G$2:$G$1001,"&gt;="&amp;TODAY(),$G$2:$G$1001,"&lt;"&amp;$G621,$A$2:$A$1001,"&lt;&gt;")+COUNTIFS($G$2:$G621,$G621,$A$2:$A621,"&lt;&gt;"),"")</f>
        <v/>
      </c>
      <c r="X621" t="str">
        <f>IF(AND($A621&lt;&gt;"",ISNUMBER($C621),$C621&gt;=DATE(2003,1,1)),COUNTIFS($C$2:$C621,"&gt;="&amp;DATE(2003,1,1),$A$2:$A621,"&lt;&gt;"),"")</f>
        <v/>
      </c>
    </row>
    <row r="622" spans="1:24">
      <c r="A622" t="str">
        <f>IF('10 Numaralar'!A24="","",'10 Numaralar'!A24)</f>
        <v>UROS MILADINOVIC</v>
      </c>
      <c r="B622" t="str">
        <f>IF('10 Numaralar'!B24="","",'10 Numaralar'!B24)</f>
        <v/>
      </c>
      <c r="C622" s="2" t="str">
        <f>IF('10 Numaralar'!C24="","",'10 Numaralar'!C24)</f>
        <v/>
      </c>
      <c r="D622" t="str">
        <f ca="1">IF('10 Numaralar'!D24="","",'10 Numaralar'!D24)</f>
        <v/>
      </c>
      <c r="E622" t="str">
        <f>IF('10 Numaralar'!E24="","",'10 Numaralar'!E24)</f>
        <v>10 Numara</v>
      </c>
      <c r="F622" t="str">
        <f>IF('10 Numaralar'!G24="","",'10 Numaralar'!G24)</f>
        <v/>
      </c>
      <c r="G622" s="2" t="str">
        <f>IF('10 Numaralar'!H24="","",'10 Numaralar'!H24)</f>
        <v>-</v>
      </c>
      <c r="H622" t="str">
        <f>IF('10 Numaralar'!I24="","",'10 Numaralar'!I24)</f>
        <v/>
      </c>
      <c r="I622">
        <f>IF('10 Numaralar'!A24="","",'10 Numaralar'!J24)</f>
        <v>0</v>
      </c>
      <c r="J622" t="str">
        <f>IF('10 Numaralar'!A24="","",'10 Numaralar'!K24)</f>
        <v>https://www.transfermarkt.com.tr/uros-miladinovic/profil/spieler/851543</v>
      </c>
      <c r="K622" t="str">
        <f>IF('10 Numaralar'!L24="","",'10 Numaralar'!L24)</f>
        <v/>
      </c>
      <c r="L622" t="str">
        <f>IF('10 Numaralar'!M24="","",'10 Numaralar'!M24)</f>
        <v/>
      </c>
      <c r="M622" t="str">
        <f>IF('10 Numaralar'!N24="","",'10 Numaralar'!N24)</f>
        <v/>
      </c>
      <c r="N622" t="str">
        <f>IF('10 Numaralar'!O24="","",'10 Numaralar'!O24)</f>
        <v/>
      </c>
      <c r="O622" t="str">
        <f>IF('10 Numaralar'!P24="","",'10 Numaralar'!P24)</f>
        <v/>
      </c>
      <c r="P622" t="str">
        <f>IF('10 Numaralar'!Q24="","",'10 Numaralar'!Q24)</f>
        <v/>
      </c>
      <c r="Q622" t="str">
        <f>IF('10 Numaralar'!R24="","",'10 Numaralar'!R24)</f>
        <v/>
      </c>
      <c r="R622" t="str">
        <f>IF('10 Numaralar'!S24="","",'10 Numaralar'!S24)</f>
        <v/>
      </c>
      <c r="S622" t="str">
        <f>IF('10 Numaralar'!T24="","",'10 Numaralar'!T24)</f>
        <v/>
      </c>
      <c r="T622" s="2" t="str">
        <f>IF('10 Numaralar'!U24="","",'10 Numaralar'!U24)</f>
        <v/>
      </c>
      <c r="U622" t="s">
        <v>932</v>
      </c>
      <c r="V622">
        <v>24</v>
      </c>
      <c r="W622" t="str">
        <f ca="1">IF(AND($A622&lt;&gt;"",ISNUMBER($G622),$G622&gt;=TODAY(),$G622&lt;=EDATE(TODAY(),12)),COUNTIFS($G$2:$G$1001,"&gt;="&amp;TODAY(),$G$2:$G$1001,"&lt;"&amp;$G622,$A$2:$A$1001,"&lt;&gt;")+COUNTIFS($G$2:$G622,$G622,$A$2:$A622,"&lt;&gt;"),"")</f>
        <v/>
      </c>
      <c r="X622" t="str">
        <f>IF(AND($A622&lt;&gt;"",ISNUMBER($C622),$C622&gt;=DATE(2003,1,1)),COUNTIFS($C$2:$C622,"&gt;="&amp;DATE(2003,1,1),$A$2:$A622,"&lt;&gt;"),"")</f>
        <v/>
      </c>
    </row>
    <row r="623" spans="1:24">
      <c r="A623" t="str">
        <f>IF('10 Numaralar'!A25="","",'10 Numaralar'!A25)</f>
        <v>MIGUELITO</v>
      </c>
      <c r="B623" t="str">
        <f>IF('10 Numaralar'!B25="","",'10 Numaralar'!B25)</f>
        <v/>
      </c>
      <c r="C623" s="2" t="str">
        <f>IF('10 Numaralar'!C25="","",'10 Numaralar'!C25)</f>
        <v/>
      </c>
      <c r="D623" t="str">
        <f ca="1">IF('10 Numaralar'!D25="","",'10 Numaralar'!D25)</f>
        <v/>
      </c>
      <c r="E623" t="str">
        <f>IF('10 Numaralar'!E25="","",'10 Numaralar'!E25)</f>
        <v>10 Numara</v>
      </c>
      <c r="F623" t="str">
        <f>IF('10 Numaralar'!G25="","",'10 Numaralar'!G25)</f>
        <v/>
      </c>
      <c r="G623" s="2" t="str">
        <f>IF('10 Numaralar'!H25="","",'10 Numaralar'!H25)</f>
        <v>-</v>
      </c>
      <c r="H623" t="str">
        <f>IF('10 Numaralar'!I25="","",'10 Numaralar'!I25)</f>
        <v/>
      </c>
      <c r="I623">
        <f>IF('10 Numaralar'!A25="","",'10 Numaralar'!J25)</f>
        <v>0</v>
      </c>
      <c r="J623" t="str">
        <f>IF('10 Numaralar'!A25="","",'10 Numaralar'!K25)</f>
        <v>https://www.transfermarkt.co.uk/miguelito/profil/spieler/1063811</v>
      </c>
      <c r="K623" t="str">
        <f>IF('10 Numaralar'!L25="","",'10 Numaralar'!L25)</f>
        <v/>
      </c>
      <c r="L623" t="str">
        <f>IF('10 Numaralar'!M25="","",'10 Numaralar'!M25)</f>
        <v/>
      </c>
      <c r="M623" t="str">
        <f>IF('10 Numaralar'!N25="","",'10 Numaralar'!N25)</f>
        <v/>
      </c>
      <c r="N623" t="str">
        <f>IF('10 Numaralar'!O25="","",'10 Numaralar'!O25)</f>
        <v/>
      </c>
      <c r="O623" t="str">
        <f>IF('10 Numaralar'!P25="","",'10 Numaralar'!P25)</f>
        <v/>
      </c>
      <c r="P623" t="str">
        <f>IF('10 Numaralar'!Q25="","",'10 Numaralar'!Q25)</f>
        <v/>
      </c>
      <c r="Q623" t="str">
        <f>IF('10 Numaralar'!R25="","",'10 Numaralar'!R25)</f>
        <v/>
      </c>
      <c r="R623" t="str">
        <f>IF('10 Numaralar'!S25="","",'10 Numaralar'!S25)</f>
        <v/>
      </c>
      <c r="S623" t="str">
        <f>IF('10 Numaralar'!T25="","",'10 Numaralar'!T25)</f>
        <v/>
      </c>
      <c r="T623" s="2" t="str">
        <f>IF('10 Numaralar'!U25="","",'10 Numaralar'!U25)</f>
        <v/>
      </c>
      <c r="U623" t="s">
        <v>932</v>
      </c>
      <c r="V623">
        <v>25</v>
      </c>
      <c r="W623" t="str">
        <f ca="1">IF(AND($A623&lt;&gt;"",ISNUMBER($G623),$G623&gt;=TODAY(),$G623&lt;=EDATE(TODAY(),12)),COUNTIFS($G$2:$G$1001,"&gt;="&amp;TODAY(),$G$2:$G$1001,"&lt;"&amp;$G623,$A$2:$A$1001,"&lt;&gt;")+COUNTIFS($G$2:$G623,$G623,$A$2:$A623,"&lt;&gt;"),"")</f>
        <v/>
      </c>
      <c r="X623" t="str">
        <f>IF(AND($A623&lt;&gt;"",ISNUMBER($C623),$C623&gt;=DATE(2003,1,1)),COUNTIFS($C$2:$C623,"&gt;="&amp;DATE(2003,1,1),$A$2:$A623,"&lt;&gt;"),"")</f>
        <v/>
      </c>
    </row>
    <row r="624" spans="1:24">
      <c r="A624" t="str">
        <f>IF('10 Numaralar'!A26="","",'10 Numaralar'!A26)</f>
        <v>KENDRY PAEZ</v>
      </c>
      <c r="B624" t="str">
        <f>IF('10 Numaralar'!B26="","",'10 Numaralar'!B26)</f>
        <v>EKVADOR</v>
      </c>
      <c r="C624" s="2">
        <f>IF('10 Numaralar'!C26="","",'10 Numaralar'!C26)</f>
        <v>39206</v>
      </c>
      <c r="D624">
        <f ca="1">IF('10 Numaralar'!D26="","",'10 Numaralar'!D26)</f>
        <v>19</v>
      </c>
      <c r="E624" t="str">
        <f>IF('10 Numaralar'!E26="","",'10 Numaralar'!E26)</f>
        <v>10 Numara</v>
      </c>
      <c r="F624" t="str">
        <f>IF('10 Numaralar'!G26="","",'10 Numaralar'!G26)</f>
        <v>RIVER PLATE (Chelsea'den kiralık)</v>
      </c>
      <c r="G624" s="2">
        <f>IF('10 Numaralar'!H26="","",'10 Numaralar'!H26)</f>
        <v>46568</v>
      </c>
      <c r="H624" t="str">
        <f>IF('10 Numaralar'!I26="","",'10 Numaralar'!I26)</f>
        <v/>
      </c>
      <c r="I624">
        <f>IF('10 Numaralar'!A26="","",'10 Numaralar'!J26)</f>
        <v>0</v>
      </c>
      <c r="J624" t="str">
        <f>IF('10 Numaralar'!A26="","",'10 Numaralar'!K26)</f>
        <v>https://www.transfermarkt.com.ar/kendry-paez/profil/spieler/1052439</v>
      </c>
      <c r="K624" t="str">
        <f>IF('10 Numaralar'!L26="","",'10 Numaralar'!L26)</f>
        <v/>
      </c>
      <c r="L624" t="str">
        <f>IF('10 Numaralar'!M26="","",'10 Numaralar'!M26)</f>
        <v/>
      </c>
      <c r="M624" t="str">
        <f>IF('10 Numaralar'!N26="","",'10 Numaralar'!N26)</f>
        <v/>
      </c>
      <c r="N624" t="str">
        <f>IF('10 Numaralar'!O26="","",'10 Numaralar'!O26)</f>
        <v/>
      </c>
      <c r="O624" t="str">
        <f>IF('10 Numaralar'!P26="","",'10 Numaralar'!P26)</f>
        <v/>
      </c>
      <c r="P624" t="str">
        <f>IF('10 Numaralar'!Q26="","",'10 Numaralar'!Q26)</f>
        <v/>
      </c>
      <c r="Q624" t="str">
        <f>IF('10 Numaralar'!R26="","",'10 Numaralar'!R26)</f>
        <v/>
      </c>
      <c r="R624" t="str">
        <f>IF('10 Numaralar'!S26="","",'10 Numaralar'!S26)</f>
        <v/>
      </c>
      <c r="S624" t="str">
        <f>IF('10 Numaralar'!T26="","",'10 Numaralar'!T26)</f>
        <v/>
      </c>
      <c r="T624" s="2" t="str">
        <f>IF('10 Numaralar'!U26="","",'10 Numaralar'!U26)</f>
        <v/>
      </c>
      <c r="U624" t="s">
        <v>932</v>
      </c>
      <c r="V624">
        <v>26</v>
      </c>
      <c r="W624">
        <f ca="1">IF(AND($A624&lt;&gt;"",ISNUMBER($G624),$G624&gt;=TODAY(),$G624&lt;=EDATE(TODAY(),12)),COUNTIFS($G$2:$G$1001,"&gt;="&amp;TODAY(),$G$2:$G$1001,"&lt;"&amp;$G624,$A$2:$A$1001,"&lt;&gt;")+COUNTIFS($G$2:$G624,$G624,$A$2:$A624,"&lt;&gt;"),"")</f>
        <v>40</v>
      </c>
      <c r="X624">
        <f>IF(AND($A624&lt;&gt;"",ISNUMBER($C624),$C624&gt;=DATE(2003,1,1)),COUNTIFS($C$2:$C624,"&gt;="&amp;DATE(2003,1,1),$A$2:$A624,"&lt;&gt;"),"")</f>
        <v>33</v>
      </c>
    </row>
    <row r="625" spans="1:24">
      <c r="A625" t="str">
        <f>IF('10 Numaralar'!A27="","",'10 Numaralar'!A27)</f>
        <v/>
      </c>
      <c r="B625" t="str">
        <f>IF('10 Numaralar'!B27="","",'10 Numaralar'!B27)</f>
        <v/>
      </c>
      <c r="C625" s="2" t="str">
        <f>IF('10 Numaralar'!C27="","",'10 Numaralar'!C27)</f>
        <v/>
      </c>
      <c r="D625" t="str">
        <f ca="1">IF('10 Numaralar'!D27="","",'10 Numaralar'!D27)</f>
        <v/>
      </c>
      <c r="E625" t="str">
        <f>IF('10 Numaralar'!E27="","",'10 Numaralar'!E27)</f>
        <v>10 Numara</v>
      </c>
      <c r="F625" t="str">
        <f>IF('10 Numaralar'!G27="","",'10 Numaralar'!G27)</f>
        <v/>
      </c>
      <c r="G625" s="2" t="str">
        <f>IF('10 Numaralar'!H27="","",'10 Numaralar'!H27)</f>
        <v/>
      </c>
      <c r="H625" t="str">
        <f>IF('10 Numaralar'!I27="","",'10 Numaralar'!I27)</f>
        <v/>
      </c>
      <c r="I625" t="str">
        <f>IF('10 Numaralar'!A27="","",'10 Numaralar'!J27)</f>
        <v/>
      </c>
      <c r="J625" t="str">
        <f>IF('10 Numaralar'!A27="","",'10 Numaralar'!K27)</f>
        <v/>
      </c>
      <c r="K625" t="str">
        <f>IF('10 Numaralar'!L27="","",'10 Numaralar'!L27)</f>
        <v/>
      </c>
      <c r="L625" t="str">
        <f>IF('10 Numaralar'!M27="","",'10 Numaralar'!M27)</f>
        <v/>
      </c>
      <c r="M625" t="str">
        <f>IF('10 Numaralar'!N27="","",'10 Numaralar'!N27)</f>
        <v/>
      </c>
      <c r="N625" t="str">
        <f>IF('10 Numaralar'!O27="","",'10 Numaralar'!O27)</f>
        <v/>
      </c>
      <c r="O625" t="str">
        <f>IF('10 Numaralar'!P27="","",'10 Numaralar'!P27)</f>
        <v/>
      </c>
      <c r="P625" t="str">
        <f>IF('10 Numaralar'!Q27="","",'10 Numaralar'!Q27)</f>
        <v/>
      </c>
      <c r="Q625" t="str">
        <f>IF('10 Numaralar'!R27="","",'10 Numaralar'!R27)</f>
        <v/>
      </c>
      <c r="R625" t="str">
        <f>IF('10 Numaralar'!S27="","",'10 Numaralar'!S27)</f>
        <v/>
      </c>
      <c r="S625" t="str">
        <f>IF('10 Numaralar'!T27="","",'10 Numaralar'!T27)</f>
        <v/>
      </c>
      <c r="T625" s="2" t="str">
        <f>IF('10 Numaralar'!U27="","",'10 Numaralar'!U27)</f>
        <v/>
      </c>
      <c r="U625" t="s">
        <v>932</v>
      </c>
      <c r="V625">
        <v>27</v>
      </c>
      <c r="W625" t="str">
        <f ca="1">IF(AND($A625&lt;&gt;"",ISNUMBER($G625),$G625&gt;=TODAY(),$G625&lt;=EDATE(TODAY(),12)),COUNTIFS($G$2:$G$1001,"&gt;="&amp;TODAY(),$G$2:$G$1001,"&lt;"&amp;$G625,$A$2:$A$1001,"&lt;&gt;")+COUNTIFS($G$2:$G625,$G625,$A$2:$A625,"&lt;&gt;"),"")</f>
        <v/>
      </c>
      <c r="X625" t="str">
        <f>IF(AND($A625&lt;&gt;"",ISNUMBER($C625),$C625&gt;=DATE(2003,1,1)),COUNTIFS($C$2:$C625,"&gt;="&amp;DATE(2003,1,1),$A$2:$A625,"&lt;&gt;"),"")</f>
        <v/>
      </c>
    </row>
    <row r="626" spans="1:24">
      <c r="A626" t="str">
        <f>IF('10 Numaralar'!A28="","",'10 Numaralar'!A28)</f>
        <v/>
      </c>
      <c r="B626" t="str">
        <f>IF('10 Numaralar'!B28="","",'10 Numaralar'!B28)</f>
        <v/>
      </c>
      <c r="C626" s="2" t="str">
        <f>IF('10 Numaralar'!C28="","",'10 Numaralar'!C28)</f>
        <v/>
      </c>
      <c r="D626" t="str">
        <f ca="1">IF('10 Numaralar'!D28="","",'10 Numaralar'!D28)</f>
        <v/>
      </c>
      <c r="E626" t="str">
        <f>IF('10 Numaralar'!E28="","",'10 Numaralar'!E28)</f>
        <v>10 Numara</v>
      </c>
      <c r="F626" t="str">
        <f>IF('10 Numaralar'!G28="","",'10 Numaralar'!G28)</f>
        <v/>
      </c>
      <c r="G626" s="2" t="str">
        <f>IF('10 Numaralar'!H28="","",'10 Numaralar'!H28)</f>
        <v/>
      </c>
      <c r="H626" t="str">
        <f>IF('10 Numaralar'!I28="","",'10 Numaralar'!I28)</f>
        <v/>
      </c>
      <c r="I626" t="str">
        <f>IF('10 Numaralar'!A28="","",'10 Numaralar'!J28)</f>
        <v/>
      </c>
      <c r="J626" t="str">
        <f>IF('10 Numaralar'!A28="","",'10 Numaralar'!K28)</f>
        <v/>
      </c>
      <c r="K626" t="str">
        <f>IF('10 Numaralar'!L28="","",'10 Numaralar'!L28)</f>
        <v/>
      </c>
      <c r="L626" t="str">
        <f>IF('10 Numaralar'!M28="","",'10 Numaralar'!M28)</f>
        <v/>
      </c>
      <c r="M626" t="str">
        <f>IF('10 Numaralar'!N28="","",'10 Numaralar'!N28)</f>
        <v/>
      </c>
      <c r="N626" t="str">
        <f>IF('10 Numaralar'!O28="","",'10 Numaralar'!O28)</f>
        <v/>
      </c>
      <c r="O626" t="str">
        <f>IF('10 Numaralar'!P28="","",'10 Numaralar'!P28)</f>
        <v/>
      </c>
      <c r="P626" t="str">
        <f>IF('10 Numaralar'!Q28="","",'10 Numaralar'!Q28)</f>
        <v/>
      </c>
      <c r="Q626" t="str">
        <f>IF('10 Numaralar'!R28="","",'10 Numaralar'!R28)</f>
        <v/>
      </c>
      <c r="R626" t="str">
        <f>IF('10 Numaralar'!S28="","",'10 Numaralar'!S28)</f>
        <v/>
      </c>
      <c r="S626" t="str">
        <f>IF('10 Numaralar'!T28="","",'10 Numaralar'!T28)</f>
        <v/>
      </c>
      <c r="T626" s="2" t="str">
        <f>IF('10 Numaralar'!U28="","",'10 Numaralar'!U28)</f>
        <v/>
      </c>
      <c r="U626" t="s">
        <v>932</v>
      </c>
      <c r="V626">
        <v>28</v>
      </c>
      <c r="W626" t="str">
        <f ca="1">IF(AND($A626&lt;&gt;"",ISNUMBER($G626),$G626&gt;=TODAY(),$G626&lt;=EDATE(TODAY(),12)),COUNTIFS($G$2:$G$1001,"&gt;="&amp;TODAY(),$G$2:$G$1001,"&lt;"&amp;$G626,$A$2:$A$1001,"&lt;&gt;")+COUNTIFS($G$2:$G626,$G626,$A$2:$A626,"&lt;&gt;"),"")</f>
        <v/>
      </c>
      <c r="X626" t="str">
        <f>IF(AND($A626&lt;&gt;"",ISNUMBER($C626),$C626&gt;=DATE(2003,1,1)),COUNTIFS($C$2:$C626,"&gt;="&amp;DATE(2003,1,1),$A$2:$A626,"&lt;&gt;"),"")</f>
        <v/>
      </c>
    </row>
    <row r="627" spans="1:24">
      <c r="A627" t="str">
        <f>IF('10 Numaralar'!A29="","",'10 Numaralar'!A29)</f>
        <v/>
      </c>
      <c r="B627" t="str">
        <f>IF('10 Numaralar'!B29="","",'10 Numaralar'!B29)</f>
        <v/>
      </c>
      <c r="C627" s="2" t="str">
        <f>IF('10 Numaralar'!C29="","",'10 Numaralar'!C29)</f>
        <v/>
      </c>
      <c r="D627" t="str">
        <f ca="1">IF('10 Numaralar'!D29="","",'10 Numaralar'!D29)</f>
        <v/>
      </c>
      <c r="E627" t="str">
        <f>IF('10 Numaralar'!E29="","",'10 Numaralar'!E29)</f>
        <v>10 Numara</v>
      </c>
      <c r="F627" t="str">
        <f>IF('10 Numaralar'!G29="","",'10 Numaralar'!G29)</f>
        <v/>
      </c>
      <c r="G627" s="2" t="str">
        <f>IF('10 Numaralar'!H29="","",'10 Numaralar'!H29)</f>
        <v/>
      </c>
      <c r="H627" t="str">
        <f>IF('10 Numaralar'!I29="","",'10 Numaralar'!I29)</f>
        <v/>
      </c>
      <c r="I627" t="str">
        <f>IF('10 Numaralar'!A29="","",'10 Numaralar'!J29)</f>
        <v/>
      </c>
      <c r="J627" t="str">
        <f>IF('10 Numaralar'!A29="","",'10 Numaralar'!K29)</f>
        <v/>
      </c>
      <c r="K627" t="str">
        <f>IF('10 Numaralar'!L29="","",'10 Numaralar'!L29)</f>
        <v/>
      </c>
      <c r="L627" t="str">
        <f>IF('10 Numaralar'!M29="","",'10 Numaralar'!M29)</f>
        <v/>
      </c>
      <c r="M627" t="str">
        <f>IF('10 Numaralar'!N29="","",'10 Numaralar'!N29)</f>
        <v/>
      </c>
      <c r="N627" t="str">
        <f>IF('10 Numaralar'!O29="","",'10 Numaralar'!O29)</f>
        <v/>
      </c>
      <c r="O627" t="str">
        <f>IF('10 Numaralar'!P29="","",'10 Numaralar'!P29)</f>
        <v/>
      </c>
      <c r="P627" t="str">
        <f>IF('10 Numaralar'!Q29="","",'10 Numaralar'!Q29)</f>
        <v/>
      </c>
      <c r="Q627" t="str">
        <f>IF('10 Numaralar'!R29="","",'10 Numaralar'!R29)</f>
        <v/>
      </c>
      <c r="R627" t="str">
        <f>IF('10 Numaralar'!S29="","",'10 Numaralar'!S29)</f>
        <v/>
      </c>
      <c r="S627" t="str">
        <f>IF('10 Numaralar'!T29="","",'10 Numaralar'!T29)</f>
        <v/>
      </c>
      <c r="T627" s="2" t="str">
        <f>IF('10 Numaralar'!U29="","",'10 Numaralar'!U29)</f>
        <v/>
      </c>
      <c r="U627" t="s">
        <v>932</v>
      </c>
      <c r="V627">
        <v>29</v>
      </c>
      <c r="W627" t="str">
        <f ca="1">IF(AND($A627&lt;&gt;"",ISNUMBER($G627),$G627&gt;=TODAY(),$G627&lt;=EDATE(TODAY(),12)),COUNTIFS($G$2:$G$1001,"&gt;="&amp;TODAY(),$G$2:$G$1001,"&lt;"&amp;$G627,$A$2:$A$1001,"&lt;&gt;")+COUNTIFS($G$2:$G627,$G627,$A$2:$A627,"&lt;&gt;"),"")</f>
        <v/>
      </c>
      <c r="X627" t="str">
        <f>IF(AND($A627&lt;&gt;"",ISNUMBER($C627),$C627&gt;=DATE(2003,1,1)),COUNTIFS($C$2:$C627,"&gt;="&amp;DATE(2003,1,1),$A$2:$A627,"&lt;&gt;"),"")</f>
        <v/>
      </c>
    </row>
    <row r="628" spans="1:24">
      <c r="A628" t="str">
        <f>IF('10 Numaralar'!A30="","",'10 Numaralar'!A30)</f>
        <v/>
      </c>
      <c r="B628" t="str">
        <f>IF('10 Numaralar'!B30="","",'10 Numaralar'!B30)</f>
        <v/>
      </c>
      <c r="C628" s="2" t="str">
        <f>IF('10 Numaralar'!C30="","",'10 Numaralar'!C30)</f>
        <v/>
      </c>
      <c r="D628" t="str">
        <f ca="1">IF('10 Numaralar'!D30="","",'10 Numaralar'!D30)</f>
        <v/>
      </c>
      <c r="E628" t="str">
        <f>IF('10 Numaralar'!E30="","",'10 Numaralar'!E30)</f>
        <v>10 Numara</v>
      </c>
      <c r="F628" t="str">
        <f>IF('10 Numaralar'!G30="","",'10 Numaralar'!G30)</f>
        <v/>
      </c>
      <c r="G628" s="2" t="str">
        <f>IF('10 Numaralar'!H30="","",'10 Numaralar'!H30)</f>
        <v/>
      </c>
      <c r="H628" t="str">
        <f>IF('10 Numaralar'!I30="","",'10 Numaralar'!I30)</f>
        <v/>
      </c>
      <c r="I628" t="str">
        <f>IF('10 Numaralar'!A30="","",'10 Numaralar'!J30)</f>
        <v/>
      </c>
      <c r="J628" t="str">
        <f>IF('10 Numaralar'!A30="","",'10 Numaralar'!K30)</f>
        <v/>
      </c>
      <c r="K628" t="str">
        <f>IF('10 Numaralar'!L30="","",'10 Numaralar'!L30)</f>
        <v/>
      </c>
      <c r="L628" t="str">
        <f>IF('10 Numaralar'!M30="","",'10 Numaralar'!M30)</f>
        <v/>
      </c>
      <c r="M628" t="str">
        <f>IF('10 Numaralar'!N30="","",'10 Numaralar'!N30)</f>
        <v/>
      </c>
      <c r="N628" t="str">
        <f>IF('10 Numaralar'!O30="","",'10 Numaralar'!O30)</f>
        <v/>
      </c>
      <c r="O628" t="str">
        <f>IF('10 Numaralar'!P30="","",'10 Numaralar'!P30)</f>
        <v/>
      </c>
      <c r="P628" t="str">
        <f>IF('10 Numaralar'!Q30="","",'10 Numaralar'!Q30)</f>
        <v/>
      </c>
      <c r="Q628" t="str">
        <f>IF('10 Numaralar'!R30="","",'10 Numaralar'!R30)</f>
        <v/>
      </c>
      <c r="R628" t="str">
        <f>IF('10 Numaralar'!S30="","",'10 Numaralar'!S30)</f>
        <v/>
      </c>
      <c r="S628" t="str">
        <f>IF('10 Numaralar'!T30="","",'10 Numaralar'!T30)</f>
        <v/>
      </c>
      <c r="T628" s="2" t="str">
        <f>IF('10 Numaralar'!U30="","",'10 Numaralar'!U30)</f>
        <v/>
      </c>
      <c r="U628" t="s">
        <v>932</v>
      </c>
      <c r="V628">
        <v>30</v>
      </c>
      <c r="W628" t="str">
        <f ca="1">IF(AND($A628&lt;&gt;"",ISNUMBER($G628),$G628&gt;=TODAY(),$G628&lt;=EDATE(TODAY(),12)),COUNTIFS($G$2:$G$1001,"&gt;="&amp;TODAY(),$G$2:$G$1001,"&lt;"&amp;$G628,$A$2:$A$1001,"&lt;&gt;")+COUNTIFS($G$2:$G628,$G628,$A$2:$A628,"&lt;&gt;"),"")</f>
        <v/>
      </c>
      <c r="X628" t="str">
        <f>IF(AND($A628&lt;&gt;"",ISNUMBER($C628),$C628&gt;=DATE(2003,1,1)),COUNTIFS($C$2:$C628,"&gt;="&amp;DATE(2003,1,1),$A$2:$A628,"&lt;&gt;"),"")</f>
        <v/>
      </c>
    </row>
    <row r="629" spans="1:24">
      <c r="A629" t="str">
        <f>IF('10 Numaralar'!A31="","",'10 Numaralar'!A31)</f>
        <v/>
      </c>
      <c r="B629" t="str">
        <f>IF('10 Numaralar'!B31="","",'10 Numaralar'!B31)</f>
        <v/>
      </c>
      <c r="C629" s="2" t="str">
        <f>IF('10 Numaralar'!C31="","",'10 Numaralar'!C31)</f>
        <v/>
      </c>
      <c r="D629" t="str">
        <f ca="1">IF('10 Numaralar'!D31="","",'10 Numaralar'!D31)</f>
        <v/>
      </c>
      <c r="E629" t="str">
        <f>IF('10 Numaralar'!E31="","",'10 Numaralar'!E31)</f>
        <v>10 Numara</v>
      </c>
      <c r="F629" t="str">
        <f>IF('10 Numaralar'!G31="","",'10 Numaralar'!G31)</f>
        <v/>
      </c>
      <c r="G629" s="2" t="str">
        <f>IF('10 Numaralar'!H31="","",'10 Numaralar'!H31)</f>
        <v/>
      </c>
      <c r="H629" t="str">
        <f>IF('10 Numaralar'!I31="","",'10 Numaralar'!I31)</f>
        <v/>
      </c>
      <c r="I629" t="str">
        <f>IF('10 Numaralar'!A31="","",'10 Numaralar'!J31)</f>
        <v/>
      </c>
      <c r="J629" t="str">
        <f>IF('10 Numaralar'!A31="","",'10 Numaralar'!K31)</f>
        <v/>
      </c>
      <c r="K629" t="str">
        <f>IF('10 Numaralar'!L31="","",'10 Numaralar'!L31)</f>
        <v/>
      </c>
      <c r="L629" t="str">
        <f>IF('10 Numaralar'!M31="","",'10 Numaralar'!M31)</f>
        <v/>
      </c>
      <c r="M629" t="str">
        <f>IF('10 Numaralar'!N31="","",'10 Numaralar'!N31)</f>
        <v/>
      </c>
      <c r="N629" t="str">
        <f>IF('10 Numaralar'!O31="","",'10 Numaralar'!O31)</f>
        <v/>
      </c>
      <c r="O629" t="str">
        <f>IF('10 Numaralar'!P31="","",'10 Numaralar'!P31)</f>
        <v/>
      </c>
      <c r="P629" t="str">
        <f>IF('10 Numaralar'!Q31="","",'10 Numaralar'!Q31)</f>
        <v/>
      </c>
      <c r="Q629" t="str">
        <f>IF('10 Numaralar'!R31="","",'10 Numaralar'!R31)</f>
        <v/>
      </c>
      <c r="R629" t="str">
        <f>IF('10 Numaralar'!S31="","",'10 Numaralar'!S31)</f>
        <v/>
      </c>
      <c r="S629" t="str">
        <f>IF('10 Numaralar'!T31="","",'10 Numaralar'!T31)</f>
        <v/>
      </c>
      <c r="T629" s="2" t="str">
        <f>IF('10 Numaralar'!U31="","",'10 Numaralar'!U31)</f>
        <v/>
      </c>
      <c r="U629" t="s">
        <v>932</v>
      </c>
      <c r="V629">
        <v>31</v>
      </c>
      <c r="W629" t="str">
        <f ca="1">IF(AND($A629&lt;&gt;"",ISNUMBER($G629),$G629&gt;=TODAY(),$G629&lt;=EDATE(TODAY(),12)),COUNTIFS($G$2:$G$1001,"&gt;="&amp;TODAY(),$G$2:$G$1001,"&lt;"&amp;$G629,$A$2:$A$1001,"&lt;&gt;")+COUNTIFS($G$2:$G629,$G629,$A$2:$A629,"&lt;&gt;"),"")</f>
        <v/>
      </c>
      <c r="X629" t="str">
        <f>IF(AND($A629&lt;&gt;"",ISNUMBER($C629),$C629&gt;=DATE(2003,1,1)),COUNTIFS($C$2:$C629,"&gt;="&amp;DATE(2003,1,1),$A$2:$A629,"&lt;&gt;"),"")</f>
        <v/>
      </c>
    </row>
    <row r="630" spans="1:24">
      <c r="A630" t="str">
        <f>IF('10 Numaralar'!A32="","",'10 Numaralar'!A32)</f>
        <v/>
      </c>
      <c r="B630" t="str">
        <f>IF('10 Numaralar'!B32="","",'10 Numaralar'!B32)</f>
        <v/>
      </c>
      <c r="C630" s="2" t="str">
        <f>IF('10 Numaralar'!C32="","",'10 Numaralar'!C32)</f>
        <v/>
      </c>
      <c r="D630" t="str">
        <f ca="1">IF('10 Numaralar'!D32="","",'10 Numaralar'!D32)</f>
        <v/>
      </c>
      <c r="E630" t="str">
        <f>IF('10 Numaralar'!E32="","",'10 Numaralar'!E32)</f>
        <v>10 Numara</v>
      </c>
      <c r="F630" t="str">
        <f>IF('10 Numaralar'!G32="","",'10 Numaralar'!G32)</f>
        <v/>
      </c>
      <c r="G630" s="2" t="str">
        <f>IF('10 Numaralar'!H32="","",'10 Numaralar'!H32)</f>
        <v/>
      </c>
      <c r="H630" t="str">
        <f>IF('10 Numaralar'!I32="","",'10 Numaralar'!I32)</f>
        <v/>
      </c>
      <c r="I630" t="str">
        <f>IF('10 Numaralar'!A32="","",'10 Numaralar'!J32)</f>
        <v/>
      </c>
      <c r="J630" t="str">
        <f>IF('10 Numaralar'!A32="","",'10 Numaralar'!K32)</f>
        <v/>
      </c>
      <c r="K630" t="str">
        <f>IF('10 Numaralar'!L32="","",'10 Numaralar'!L32)</f>
        <v/>
      </c>
      <c r="L630" t="str">
        <f>IF('10 Numaralar'!M32="","",'10 Numaralar'!M32)</f>
        <v/>
      </c>
      <c r="M630" t="str">
        <f>IF('10 Numaralar'!N32="","",'10 Numaralar'!N32)</f>
        <v/>
      </c>
      <c r="N630" t="str">
        <f>IF('10 Numaralar'!O32="","",'10 Numaralar'!O32)</f>
        <v/>
      </c>
      <c r="O630" t="str">
        <f>IF('10 Numaralar'!P32="","",'10 Numaralar'!P32)</f>
        <v/>
      </c>
      <c r="P630" t="str">
        <f>IF('10 Numaralar'!Q32="","",'10 Numaralar'!Q32)</f>
        <v/>
      </c>
      <c r="Q630" t="str">
        <f>IF('10 Numaralar'!R32="","",'10 Numaralar'!R32)</f>
        <v/>
      </c>
      <c r="R630" t="str">
        <f>IF('10 Numaralar'!S32="","",'10 Numaralar'!S32)</f>
        <v/>
      </c>
      <c r="S630" t="str">
        <f>IF('10 Numaralar'!T32="","",'10 Numaralar'!T32)</f>
        <v/>
      </c>
      <c r="T630" s="2" t="str">
        <f>IF('10 Numaralar'!U32="","",'10 Numaralar'!U32)</f>
        <v/>
      </c>
      <c r="U630" t="s">
        <v>932</v>
      </c>
      <c r="V630">
        <v>32</v>
      </c>
      <c r="W630" t="str">
        <f ca="1">IF(AND($A630&lt;&gt;"",ISNUMBER($G630),$G630&gt;=TODAY(),$G630&lt;=EDATE(TODAY(),12)),COUNTIFS($G$2:$G$1001,"&gt;="&amp;TODAY(),$G$2:$G$1001,"&lt;"&amp;$G630,$A$2:$A$1001,"&lt;&gt;")+COUNTIFS($G$2:$G630,$G630,$A$2:$A630,"&lt;&gt;"),"")</f>
        <v/>
      </c>
      <c r="X630" t="str">
        <f>IF(AND($A630&lt;&gt;"",ISNUMBER($C630),$C630&gt;=DATE(2003,1,1)),COUNTIFS($C$2:$C630,"&gt;="&amp;DATE(2003,1,1),$A$2:$A630,"&lt;&gt;"),"")</f>
        <v/>
      </c>
    </row>
    <row r="631" spans="1:24">
      <c r="A631" t="str">
        <f>IF('10 Numaralar'!A33="","",'10 Numaralar'!A33)</f>
        <v/>
      </c>
      <c r="B631" t="str">
        <f>IF('10 Numaralar'!B33="","",'10 Numaralar'!B33)</f>
        <v/>
      </c>
      <c r="C631" s="2" t="str">
        <f>IF('10 Numaralar'!C33="","",'10 Numaralar'!C33)</f>
        <v/>
      </c>
      <c r="D631" t="str">
        <f ca="1">IF('10 Numaralar'!D33="","",'10 Numaralar'!D33)</f>
        <v/>
      </c>
      <c r="E631" t="str">
        <f>IF('10 Numaralar'!E33="","",'10 Numaralar'!E33)</f>
        <v>10 Numara</v>
      </c>
      <c r="F631" t="str">
        <f>IF('10 Numaralar'!G33="","",'10 Numaralar'!G33)</f>
        <v/>
      </c>
      <c r="G631" s="2" t="str">
        <f>IF('10 Numaralar'!H33="","",'10 Numaralar'!H33)</f>
        <v/>
      </c>
      <c r="H631" t="str">
        <f>IF('10 Numaralar'!I33="","",'10 Numaralar'!I33)</f>
        <v/>
      </c>
      <c r="I631" t="str">
        <f>IF('10 Numaralar'!A33="","",'10 Numaralar'!J33)</f>
        <v/>
      </c>
      <c r="J631" t="str">
        <f>IF('10 Numaralar'!A33="","",'10 Numaralar'!K33)</f>
        <v/>
      </c>
      <c r="K631" t="str">
        <f>IF('10 Numaralar'!L33="","",'10 Numaralar'!L33)</f>
        <v/>
      </c>
      <c r="L631" t="str">
        <f>IF('10 Numaralar'!M33="","",'10 Numaralar'!M33)</f>
        <v/>
      </c>
      <c r="M631" t="str">
        <f>IF('10 Numaralar'!N33="","",'10 Numaralar'!N33)</f>
        <v/>
      </c>
      <c r="N631" t="str">
        <f>IF('10 Numaralar'!O33="","",'10 Numaralar'!O33)</f>
        <v/>
      </c>
      <c r="O631" t="str">
        <f>IF('10 Numaralar'!P33="","",'10 Numaralar'!P33)</f>
        <v/>
      </c>
      <c r="P631" t="str">
        <f>IF('10 Numaralar'!Q33="","",'10 Numaralar'!Q33)</f>
        <v/>
      </c>
      <c r="Q631" t="str">
        <f>IF('10 Numaralar'!R33="","",'10 Numaralar'!R33)</f>
        <v/>
      </c>
      <c r="R631" t="str">
        <f>IF('10 Numaralar'!S33="","",'10 Numaralar'!S33)</f>
        <v/>
      </c>
      <c r="S631" t="str">
        <f>IF('10 Numaralar'!T33="","",'10 Numaralar'!T33)</f>
        <v/>
      </c>
      <c r="T631" s="2" t="str">
        <f>IF('10 Numaralar'!U33="","",'10 Numaralar'!U33)</f>
        <v/>
      </c>
      <c r="U631" t="s">
        <v>932</v>
      </c>
      <c r="V631">
        <v>33</v>
      </c>
      <c r="W631" t="str">
        <f ca="1">IF(AND($A631&lt;&gt;"",ISNUMBER($G631),$G631&gt;=TODAY(),$G631&lt;=EDATE(TODAY(),12)),COUNTIFS($G$2:$G$1001,"&gt;="&amp;TODAY(),$G$2:$G$1001,"&lt;"&amp;$G631,$A$2:$A$1001,"&lt;&gt;")+COUNTIFS($G$2:$G631,$G631,$A$2:$A631,"&lt;&gt;"),"")</f>
        <v/>
      </c>
      <c r="X631" t="str">
        <f>IF(AND($A631&lt;&gt;"",ISNUMBER($C631),$C631&gt;=DATE(2003,1,1)),COUNTIFS($C$2:$C631,"&gt;="&amp;DATE(2003,1,1),$A$2:$A631,"&lt;&gt;"),"")</f>
        <v/>
      </c>
    </row>
    <row r="632" spans="1:24">
      <c r="A632" t="str">
        <f>IF('10 Numaralar'!A34="","",'10 Numaralar'!A34)</f>
        <v/>
      </c>
      <c r="B632" t="str">
        <f>IF('10 Numaralar'!B34="","",'10 Numaralar'!B34)</f>
        <v/>
      </c>
      <c r="C632" s="2" t="str">
        <f>IF('10 Numaralar'!C34="","",'10 Numaralar'!C34)</f>
        <v/>
      </c>
      <c r="D632" t="str">
        <f ca="1">IF('10 Numaralar'!D34="","",'10 Numaralar'!D34)</f>
        <v/>
      </c>
      <c r="E632" t="str">
        <f>IF('10 Numaralar'!E34="","",'10 Numaralar'!E34)</f>
        <v>10 Numara</v>
      </c>
      <c r="F632" t="str">
        <f>IF('10 Numaralar'!G34="","",'10 Numaralar'!G34)</f>
        <v/>
      </c>
      <c r="G632" s="2" t="str">
        <f>IF('10 Numaralar'!H34="","",'10 Numaralar'!H34)</f>
        <v/>
      </c>
      <c r="H632" t="str">
        <f>IF('10 Numaralar'!I34="","",'10 Numaralar'!I34)</f>
        <v/>
      </c>
      <c r="I632" t="str">
        <f>IF('10 Numaralar'!A34="","",'10 Numaralar'!J34)</f>
        <v/>
      </c>
      <c r="J632" t="str">
        <f>IF('10 Numaralar'!A34="","",'10 Numaralar'!K34)</f>
        <v/>
      </c>
      <c r="K632" t="str">
        <f>IF('10 Numaralar'!L34="","",'10 Numaralar'!L34)</f>
        <v/>
      </c>
      <c r="L632" t="str">
        <f>IF('10 Numaralar'!M34="","",'10 Numaralar'!M34)</f>
        <v/>
      </c>
      <c r="M632" t="str">
        <f>IF('10 Numaralar'!N34="","",'10 Numaralar'!N34)</f>
        <v/>
      </c>
      <c r="N632" t="str">
        <f>IF('10 Numaralar'!O34="","",'10 Numaralar'!O34)</f>
        <v/>
      </c>
      <c r="O632" t="str">
        <f>IF('10 Numaralar'!P34="","",'10 Numaralar'!P34)</f>
        <v/>
      </c>
      <c r="P632" t="str">
        <f>IF('10 Numaralar'!Q34="","",'10 Numaralar'!Q34)</f>
        <v/>
      </c>
      <c r="Q632" t="str">
        <f>IF('10 Numaralar'!R34="","",'10 Numaralar'!R34)</f>
        <v/>
      </c>
      <c r="R632" t="str">
        <f>IF('10 Numaralar'!S34="","",'10 Numaralar'!S34)</f>
        <v/>
      </c>
      <c r="S632" t="str">
        <f>IF('10 Numaralar'!T34="","",'10 Numaralar'!T34)</f>
        <v/>
      </c>
      <c r="T632" s="2" t="str">
        <f>IF('10 Numaralar'!U34="","",'10 Numaralar'!U34)</f>
        <v/>
      </c>
      <c r="U632" t="s">
        <v>932</v>
      </c>
      <c r="V632">
        <v>34</v>
      </c>
      <c r="W632" t="str">
        <f ca="1">IF(AND($A632&lt;&gt;"",ISNUMBER($G632),$G632&gt;=TODAY(),$G632&lt;=EDATE(TODAY(),12)),COUNTIFS($G$2:$G$1001,"&gt;="&amp;TODAY(),$G$2:$G$1001,"&lt;"&amp;$G632,$A$2:$A$1001,"&lt;&gt;")+COUNTIFS($G$2:$G632,$G632,$A$2:$A632,"&lt;&gt;"),"")</f>
        <v/>
      </c>
      <c r="X632" t="str">
        <f>IF(AND($A632&lt;&gt;"",ISNUMBER($C632),$C632&gt;=DATE(2003,1,1)),COUNTIFS($C$2:$C632,"&gt;="&amp;DATE(2003,1,1),$A$2:$A632,"&lt;&gt;"),"")</f>
        <v/>
      </c>
    </row>
    <row r="633" spans="1:24">
      <c r="A633" t="str">
        <f>IF('10 Numaralar'!A35="","",'10 Numaralar'!A35)</f>
        <v/>
      </c>
      <c r="B633" t="str">
        <f>IF('10 Numaralar'!B35="","",'10 Numaralar'!B35)</f>
        <v/>
      </c>
      <c r="C633" s="2" t="str">
        <f>IF('10 Numaralar'!C35="","",'10 Numaralar'!C35)</f>
        <v/>
      </c>
      <c r="D633" t="str">
        <f ca="1">IF('10 Numaralar'!D35="","",'10 Numaralar'!D35)</f>
        <v/>
      </c>
      <c r="E633" t="str">
        <f>IF('10 Numaralar'!E35="","",'10 Numaralar'!E35)</f>
        <v>10 Numara</v>
      </c>
      <c r="F633" t="str">
        <f>IF('10 Numaralar'!G35="","",'10 Numaralar'!G35)</f>
        <v/>
      </c>
      <c r="G633" s="2" t="str">
        <f>IF('10 Numaralar'!H35="","",'10 Numaralar'!H35)</f>
        <v/>
      </c>
      <c r="H633" t="str">
        <f>IF('10 Numaralar'!I35="","",'10 Numaralar'!I35)</f>
        <v/>
      </c>
      <c r="I633" t="str">
        <f>IF('10 Numaralar'!A35="","",'10 Numaralar'!J35)</f>
        <v/>
      </c>
      <c r="J633" t="str">
        <f>IF('10 Numaralar'!A35="","",'10 Numaralar'!K35)</f>
        <v/>
      </c>
      <c r="K633" t="str">
        <f>IF('10 Numaralar'!L35="","",'10 Numaralar'!L35)</f>
        <v/>
      </c>
      <c r="L633" t="str">
        <f>IF('10 Numaralar'!M35="","",'10 Numaralar'!M35)</f>
        <v/>
      </c>
      <c r="M633" t="str">
        <f>IF('10 Numaralar'!N35="","",'10 Numaralar'!N35)</f>
        <v/>
      </c>
      <c r="N633" t="str">
        <f>IF('10 Numaralar'!O35="","",'10 Numaralar'!O35)</f>
        <v/>
      </c>
      <c r="O633" t="str">
        <f>IF('10 Numaralar'!P35="","",'10 Numaralar'!P35)</f>
        <v/>
      </c>
      <c r="P633" t="str">
        <f>IF('10 Numaralar'!Q35="","",'10 Numaralar'!Q35)</f>
        <v/>
      </c>
      <c r="Q633" t="str">
        <f>IF('10 Numaralar'!R35="","",'10 Numaralar'!R35)</f>
        <v/>
      </c>
      <c r="R633" t="str">
        <f>IF('10 Numaralar'!S35="","",'10 Numaralar'!S35)</f>
        <v/>
      </c>
      <c r="S633" t="str">
        <f>IF('10 Numaralar'!T35="","",'10 Numaralar'!T35)</f>
        <v/>
      </c>
      <c r="T633" s="2" t="str">
        <f>IF('10 Numaralar'!U35="","",'10 Numaralar'!U35)</f>
        <v/>
      </c>
      <c r="U633" t="s">
        <v>932</v>
      </c>
      <c r="V633">
        <v>35</v>
      </c>
      <c r="W633" t="str">
        <f ca="1">IF(AND($A633&lt;&gt;"",ISNUMBER($G633),$G633&gt;=TODAY(),$G633&lt;=EDATE(TODAY(),12)),COUNTIFS($G$2:$G$1001,"&gt;="&amp;TODAY(),$G$2:$G$1001,"&lt;"&amp;$G633,$A$2:$A$1001,"&lt;&gt;")+COUNTIFS($G$2:$G633,$G633,$A$2:$A633,"&lt;&gt;"),"")</f>
        <v/>
      </c>
      <c r="X633" t="str">
        <f>IF(AND($A633&lt;&gt;"",ISNUMBER($C633),$C633&gt;=DATE(2003,1,1)),COUNTIFS($C$2:$C633,"&gt;="&amp;DATE(2003,1,1),$A$2:$A633,"&lt;&gt;"),"")</f>
        <v/>
      </c>
    </row>
    <row r="634" spans="1:24">
      <c r="A634" t="str">
        <f>IF('10 Numaralar'!A36="","",'10 Numaralar'!A36)</f>
        <v/>
      </c>
      <c r="B634" t="str">
        <f>IF('10 Numaralar'!B36="","",'10 Numaralar'!B36)</f>
        <v/>
      </c>
      <c r="C634" s="2" t="str">
        <f>IF('10 Numaralar'!C36="","",'10 Numaralar'!C36)</f>
        <v/>
      </c>
      <c r="D634" t="str">
        <f ca="1">IF('10 Numaralar'!D36="","",'10 Numaralar'!D36)</f>
        <v/>
      </c>
      <c r="E634" t="str">
        <f>IF('10 Numaralar'!E36="","",'10 Numaralar'!E36)</f>
        <v>10 Numara</v>
      </c>
      <c r="F634" t="str">
        <f>IF('10 Numaralar'!G36="","",'10 Numaralar'!G36)</f>
        <v/>
      </c>
      <c r="G634" s="2" t="str">
        <f>IF('10 Numaralar'!H36="","",'10 Numaralar'!H36)</f>
        <v/>
      </c>
      <c r="H634" t="str">
        <f>IF('10 Numaralar'!I36="","",'10 Numaralar'!I36)</f>
        <v/>
      </c>
      <c r="I634" t="str">
        <f>IF('10 Numaralar'!A36="","",'10 Numaralar'!J36)</f>
        <v/>
      </c>
      <c r="J634" t="str">
        <f>IF('10 Numaralar'!A36="","",'10 Numaralar'!K36)</f>
        <v/>
      </c>
      <c r="K634" t="str">
        <f>IF('10 Numaralar'!L36="","",'10 Numaralar'!L36)</f>
        <v/>
      </c>
      <c r="L634" t="str">
        <f>IF('10 Numaralar'!M36="","",'10 Numaralar'!M36)</f>
        <v/>
      </c>
      <c r="M634" t="str">
        <f>IF('10 Numaralar'!N36="","",'10 Numaralar'!N36)</f>
        <v/>
      </c>
      <c r="N634" t="str">
        <f>IF('10 Numaralar'!O36="","",'10 Numaralar'!O36)</f>
        <v/>
      </c>
      <c r="O634" t="str">
        <f>IF('10 Numaralar'!P36="","",'10 Numaralar'!P36)</f>
        <v/>
      </c>
      <c r="P634" t="str">
        <f>IF('10 Numaralar'!Q36="","",'10 Numaralar'!Q36)</f>
        <v/>
      </c>
      <c r="Q634" t="str">
        <f>IF('10 Numaralar'!R36="","",'10 Numaralar'!R36)</f>
        <v/>
      </c>
      <c r="R634" t="str">
        <f>IF('10 Numaralar'!S36="","",'10 Numaralar'!S36)</f>
        <v/>
      </c>
      <c r="S634" t="str">
        <f>IF('10 Numaralar'!T36="","",'10 Numaralar'!T36)</f>
        <v/>
      </c>
      <c r="T634" s="2" t="str">
        <f>IF('10 Numaralar'!U36="","",'10 Numaralar'!U36)</f>
        <v/>
      </c>
      <c r="U634" t="s">
        <v>932</v>
      </c>
      <c r="V634">
        <v>36</v>
      </c>
      <c r="W634" t="str">
        <f ca="1">IF(AND($A634&lt;&gt;"",ISNUMBER($G634),$G634&gt;=TODAY(),$G634&lt;=EDATE(TODAY(),12)),COUNTIFS($G$2:$G$1001,"&gt;="&amp;TODAY(),$G$2:$G$1001,"&lt;"&amp;$G634,$A$2:$A$1001,"&lt;&gt;")+COUNTIFS($G$2:$G634,$G634,$A$2:$A634,"&lt;&gt;"),"")</f>
        <v/>
      </c>
      <c r="X634" t="str">
        <f>IF(AND($A634&lt;&gt;"",ISNUMBER($C634),$C634&gt;=DATE(2003,1,1)),COUNTIFS($C$2:$C634,"&gt;="&amp;DATE(2003,1,1),$A$2:$A634,"&lt;&gt;"),"")</f>
        <v/>
      </c>
    </row>
    <row r="635" spans="1:24">
      <c r="A635" t="str">
        <f>IF('10 Numaralar'!A37="","",'10 Numaralar'!A37)</f>
        <v/>
      </c>
      <c r="B635" t="str">
        <f>IF('10 Numaralar'!B37="","",'10 Numaralar'!B37)</f>
        <v/>
      </c>
      <c r="C635" s="2" t="str">
        <f>IF('10 Numaralar'!C37="","",'10 Numaralar'!C37)</f>
        <v/>
      </c>
      <c r="D635" t="str">
        <f ca="1">IF('10 Numaralar'!D37="","",'10 Numaralar'!D37)</f>
        <v/>
      </c>
      <c r="E635" t="str">
        <f>IF('10 Numaralar'!E37="","",'10 Numaralar'!E37)</f>
        <v>10 Numara</v>
      </c>
      <c r="F635" t="str">
        <f>IF('10 Numaralar'!G37="","",'10 Numaralar'!G37)</f>
        <v/>
      </c>
      <c r="G635" s="2" t="str">
        <f>IF('10 Numaralar'!H37="","",'10 Numaralar'!H37)</f>
        <v/>
      </c>
      <c r="H635" t="str">
        <f>IF('10 Numaralar'!I37="","",'10 Numaralar'!I37)</f>
        <v/>
      </c>
      <c r="I635" t="str">
        <f>IF('10 Numaralar'!A37="","",'10 Numaralar'!J37)</f>
        <v/>
      </c>
      <c r="J635" t="str">
        <f>IF('10 Numaralar'!A37="","",'10 Numaralar'!K37)</f>
        <v/>
      </c>
      <c r="K635" t="str">
        <f>IF('10 Numaralar'!L37="","",'10 Numaralar'!L37)</f>
        <v/>
      </c>
      <c r="L635" t="str">
        <f>IF('10 Numaralar'!M37="","",'10 Numaralar'!M37)</f>
        <v/>
      </c>
      <c r="M635" t="str">
        <f>IF('10 Numaralar'!N37="","",'10 Numaralar'!N37)</f>
        <v/>
      </c>
      <c r="N635" t="str">
        <f>IF('10 Numaralar'!O37="","",'10 Numaralar'!O37)</f>
        <v/>
      </c>
      <c r="O635" t="str">
        <f>IF('10 Numaralar'!P37="","",'10 Numaralar'!P37)</f>
        <v/>
      </c>
      <c r="P635" t="str">
        <f>IF('10 Numaralar'!Q37="","",'10 Numaralar'!Q37)</f>
        <v/>
      </c>
      <c r="Q635" t="str">
        <f>IF('10 Numaralar'!R37="","",'10 Numaralar'!R37)</f>
        <v/>
      </c>
      <c r="R635" t="str">
        <f>IF('10 Numaralar'!S37="","",'10 Numaralar'!S37)</f>
        <v/>
      </c>
      <c r="S635" t="str">
        <f>IF('10 Numaralar'!T37="","",'10 Numaralar'!T37)</f>
        <v/>
      </c>
      <c r="T635" s="2" t="str">
        <f>IF('10 Numaralar'!U37="","",'10 Numaralar'!U37)</f>
        <v/>
      </c>
      <c r="U635" t="s">
        <v>932</v>
      </c>
      <c r="V635">
        <v>37</v>
      </c>
      <c r="W635" t="str">
        <f ca="1">IF(AND($A635&lt;&gt;"",ISNUMBER($G635),$G635&gt;=TODAY(),$G635&lt;=EDATE(TODAY(),12)),COUNTIFS($G$2:$G$1001,"&gt;="&amp;TODAY(),$G$2:$G$1001,"&lt;"&amp;$G635,$A$2:$A$1001,"&lt;&gt;")+COUNTIFS($G$2:$G635,$G635,$A$2:$A635,"&lt;&gt;"),"")</f>
        <v/>
      </c>
      <c r="X635" t="str">
        <f>IF(AND($A635&lt;&gt;"",ISNUMBER($C635),$C635&gt;=DATE(2003,1,1)),COUNTIFS($C$2:$C635,"&gt;="&amp;DATE(2003,1,1),$A$2:$A635,"&lt;&gt;"),"")</f>
        <v/>
      </c>
    </row>
    <row r="636" spans="1:24">
      <c r="A636" t="str">
        <f>IF('10 Numaralar'!A38="","",'10 Numaralar'!A38)</f>
        <v/>
      </c>
      <c r="B636" t="str">
        <f>IF('10 Numaralar'!B38="","",'10 Numaralar'!B38)</f>
        <v/>
      </c>
      <c r="C636" s="2" t="str">
        <f>IF('10 Numaralar'!C38="","",'10 Numaralar'!C38)</f>
        <v/>
      </c>
      <c r="D636" t="str">
        <f ca="1">IF('10 Numaralar'!D38="","",'10 Numaralar'!D38)</f>
        <v/>
      </c>
      <c r="E636" t="str">
        <f>IF('10 Numaralar'!E38="","",'10 Numaralar'!E38)</f>
        <v>10 Numara</v>
      </c>
      <c r="F636" t="str">
        <f>IF('10 Numaralar'!G38="","",'10 Numaralar'!G38)</f>
        <v/>
      </c>
      <c r="G636" s="2" t="str">
        <f>IF('10 Numaralar'!H38="","",'10 Numaralar'!H38)</f>
        <v/>
      </c>
      <c r="H636" t="str">
        <f>IF('10 Numaralar'!I38="","",'10 Numaralar'!I38)</f>
        <v/>
      </c>
      <c r="I636" t="str">
        <f>IF('10 Numaralar'!A38="","",'10 Numaralar'!J38)</f>
        <v/>
      </c>
      <c r="J636" t="str">
        <f>IF('10 Numaralar'!A38="","",'10 Numaralar'!K38)</f>
        <v/>
      </c>
      <c r="K636" t="str">
        <f>IF('10 Numaralar'!L38="","",'10 Numaralar'!L38)</f>
        <v/>
      </c>
      <c r="L636" t="str">
        <f>IF('10 Numaralar'!M38="","",'10 Numaralar'!M38)</f>
        <v/>
      </c>
      <c r="M636" t="str">
        <f>IF('10 Numaralar'!N38="","",'10 Numaralar'!N38)</f>
        <v/>
      </c>
      <c r="N636" t="str">
        <f>IF('10 Numaralar'!O38="","",'10 Numaralar'!O38)</f>
        <v/>
      </c>
      <c r="O636" t="str">
        <f>IF('10 Numaralar'!P38="","",'10 Numaralar'!P38)</f>
        <v/>
      </c>
      <c r="P636" t="str">
        <f>IF('10 Numaralar'!Q38="","",'10 Numaralar'!Q38)</f>
        <v/>
      </c>
      <c r="Q636" t="str">
        <f>IF('10 Numaralar'!R38="","",'10 Numaralar'!R38)</f>
        <v/>
      </c>
      <c r="R636" t="str">
        <f>IF('10 Numaralar'!S38="","",'10 Numaralar'!S38)</f>
        <v/>
      </c>
      <c r="S636" t="str">
        <f>IF('10 Numaralar'!T38="","",'10 Numaralar'!T38)</f>
        <v/>
      </c>
      <c r="T636" s="2" t="str">
        <f>IF('10 Numaralar'!U38="","",'10 Numaralar'!U38)</f>
        <v/>
      </c>
      <c r="U636" t="s">
        <v>932</v>
      </c>
      <c r="V636">
        <v>38</v>
      </c>
      <c r="W636" t="str">
        <f ca="1">IF(AND($A636&lt;&gt;"",ISNUMBER($G636),$G636&gt;=TODAY(),$G636&lt;=EDATE(TODAY(),12)),COUNTIFS($G$2:$G$1001,"&gt;="&amp;TODAY(),$G$2:$G$1001,"&lt;"&amp;$G636,$A$2:$A$1001,"&lt;&gt;")+COUNTIFS($G$2:$G636,$G636,$A$2:$A636,"&lt;&gt;"),"")</f>
        <v/>
      </c>
      <c r="X636" t="str">
        <f>IF(AND($A636&lt;&gt;"",ISNUMBER($C636),$C636&gt;=DATE(2003,1,1)),COUNTIFS($C$2:$C636,"&gt;="&amp;DATE(2003,1,1),$A$2:$A636,"&lt;&gt;"),"")</f>
        <v/>
      </c>
    </row>
    <row r="637" spans="1:24">
      <c r="A637" t="str">
        <f>IF('10 Numaralar'!A39="","",'10 Numaralar'!A39)</f>
        <v/>
      </c>
      <c r="B637" t="str">
        <f>IF('10 Numaralar'!B39="","",'10 Numaralar'!B39)</f>
        <v/>
      </c>
      <c r="C637" s="2" t="str">
        <f>IF('10 Numaralar'!C39="","",'10 Numaralar'!C39)</f>
        <v/>
      </c>
      <c r="D637" t="str">
        <f ca="1">IF('10 Numaralar'!D39="","",'10 Numaralar'!D39)</f>
        <v/>
      </c>
      <c r="E637" t="str">
        <f>IF('10 Numaralar'!E39="","",'10 Numaralar'!E39)</f>
        <v>10 Numara</v>
      </c>
      <c r="F637" t="str">
        <f>IF('10 Numaralar'!G39="","",'10 Numaralar'!G39)</f>
        <v/>
      </c>
      <c r="G637" s="2" t="str">
        <f>IF('10 Numaralar'!H39="","",'10 Numaralar'!H39)</f>
        <v/>
      </c>
      <c r="H637" t="str">
        <f>IF('10 Numaralar'!I39="","",'10 Numaralar'!I39)</f>
        <v/>
      </c>
      <c r="I637" t="str">
        <f>IF('10 Numaralar'!A39="","",'10 Numaralar'!J39)</f>
        <v/>
      </c>
      <c r="J637" t="str">
        <f>IF('10 Numaralar'!A39="","",'10 Numaralar'!K39)</f>
        <v/>
      </c>
      <c r="K637" t="str">
        <f>IF('10 Numaralar'!L39="","",'10 Numaralar'!L39)</f>
        <v/>
      </c>
      <c r="L637" t="str">
        <f>IF('10 Numaralar'!M39="","",'10 Numaralar'!M39)</f>
        <v/>
      </c>
      <c r="M637" t="str">
        <f>IF('10 Numaralar'!N39="","",'10 Numaralar'!N39)</f>
        <v/>
      </c>
      <c r="N637" t="str">
        <f>IF('10 Numaralar'!O39="","",'10 Numaralar'!O39)</f>
        <v/>
      </c>
      <c r="O637" t="str">
        <f>IF('10 Numaralar'!P39="","",'10 Numaralar'!P39)</f>
        <v/>
      </c>
      <c r="P637" t="str">
        <f>IF('10 Numaralar'!Q39="","",'10 Numaralar'!Q39)</f>
        <v/>
      </c>
      <c r="Q637" t="str">
        <f>IF('10 Numaralar'!R39="","",'10 Numaralar'!R39)</f>
        <v/>
      </c>
      <c r="R637" t="str">
        <f>IF('10 Numaralar'!S39="","",'10 Numaralar'!S39)</f>
        <v/>
      </c>
      <c r="S637" t="str">
        <f>IF('10 Numaralar'!T39="","",'10 Numaralar'!T39)</f>
        <v/>
      </c>
      <c r="T637" s="2" t="str">
        <f>IF('10 Numaralar'!U39="","",'10 Numaralar'!U39)</f>
        <v/>
      </c>
      <c r="U637" t="s">
        <v>932</v>
      </c>
      <c r="V637">
        <v>39</v>
      </c>
      <c r="W637" t="str">
        <f ca="1">IF(AND($A637&lt;&gt;"",ISNUMBER($G637),$G637&gt;=TODAY(),$G637&lt;=EDATE(TODAY(),12)),COUNTIFS($G$2:$G$1001,"&gt;="&amp;TODAY(),$G$2:$G$1001,"&lt;"&amp;$G637,$A$2:$A$1001,"&lt;&gt;")+COUNTIFS($G$2:$G637,$G637,$A$2:$A637,"&lt;&gt;"),"")</f>
        <v/>
      </c>
      <c r="X637" t="str">
        <f>IF(AND($A637&lt;&gt;"",ISNUMBER($C637),$C637&gt;=DATE(2003,1,1)),COUNTIFS($C$2:$C637,"&gt;="&amp;DATE(2003,1,1),$A$2:$A637,"&lt;&gt;"),"")</f>
        <v/>
      </c>
    </row>
    <row r="638" spans="1:24">
      <c r="A638" t="str">
        <f>IF('10 Numaralar'!A40="","",'10 Numaralar'!A40)</f>
        <v/>
      </c>
      <c r="B638" t="str">
        <f>IF('10 Numaralar'!B40="","",'10 Numaralar'!B40)</f>
        <v/>
      </c>
      <c r="C638" s="2" t="str">
        <f>IF('10 Numaralar'!C40="","",'10 Numaralar'!C40)</f>
        <v/>
      </c>
      <c r="D638" t="str">
        <f ca="1">IF('10 Numaralar'!D40="","",'10 Numaralar'!D40)</f>
        <v/>
      </c>
      <c r="E638" t="str">
        <f>IF('10 Numaralar'!E40="","",'10 Numaralar'!E40)</f>
        <v>10 Numara</v>
      </c>
      <c r="F638" t="str">
        <f>IF('10 Numaralar'!G40="","",'10 Numaralar'!G40)</f>
        <v/>
      </c>
      <c r="G638" s="2" t="str">
        <f>IF('10 Numaralar'!H40="","",'10 Numaralar'!H40)</f>
        <v/>
      </c>
      <c r="H638" t="str">
        <f>IF('10 Numaralar'!I40="","",'10 Numaralar'!I40)</f>
        <v/>
      </c>
      <c r="I638" t="str">
        <f>IF('10 Numaralar'!A40="","",'10 Numaralar'!J40)</f>
        <v/>
      </c>
      <c r="J638" t="str">
        <f>IF('10 Numaralar'!A40="","",'10 Numaralar'!K40)</f>
        <v/>
      </c>
      <c r="K638" t="str">
        <f>IF('10 Numaralar'!L40="","",'10 Numaralar'!L40)</f>
        <v/>
      </c>
      <c r="L638" t="str">
        <f>IF('10 Numaralar'!M40="","",'10 Numaralar'!M40)</f>
        <v/>
      </c>
      <c r="M638" t="str">
        <f>IF('10 Numaralar'!N40="","",'10 Numaralar'!N40)</f>
        <v/>
      </c>
      <c r="N638" t="str">
        <f>IF('10 Numaralar'!O40="","",'10 Numaralar'!O40)</f>
        <v/>
      </c>
      <c r="O638" t="str">
        <f>IF('10 Numaralar'!P40="","",'10 Numaralar'!P40)</f>
        <v/>
      </c>
      <c r="P638" t="str">
        <f>IF('10 Numaralar'!Q40="","",'10 Numaralar'!Q40)</f>
        <v/>
      </c>
      <c r="Q638" t="str">
        <f>IF('10 Numaralar'!R40="","",'10 Numaralar'!R40)</f>
        <v/>
      </c>
      <c r="R638" t="str">
        <f>IF('10 Numaralar'!S40="","",'10 Numaralar'!S40)</f>
        <v/>
      </c>
      <c r="S638" t="str">
        <f>IF('10 Numaralar'!T40="","",'10 Numaralar'!T40)</f>
        <v/>
      </c>
      <c r="T638" s="2" t="str">
        <f>IF('10 Numaralar'!U40="","",'10 Numaralar'!U40)</f>
        <v/>
      </c>
      <c r="U638" t="s">
        <v>932</v>
      </c>
      <c r="V638">
        <v>40</v>
      </c>
      <c r="W638" t="str">
        <f ca="1">IF(AND($A638&lt;&gt;"",ISNUMBER($G638),$G638&gt;=TODAY(),$G638&lt;=EDATE(TODAY(),12)),COUNTIFS($G$2:$G$1001,"&gt;="&amp;TODAY(),$G$2:$G$1001,"&lt;"&amp;$G638,$A$2:$A$1001,"&lt;&gt;")+COUNTIFS($G$2:$G638,$G638,$A$2:$A638,"&lt;&gt;"),"")</f>
        <v/>
      </c>
      <c r="X638" t="str">
        <f>IF(AND($A638&lt;&gt;"",ISNUMBER($C638),$C638&gt;=DATE(2003,1,1)),COUNTIFS($C$2:$C638,"&gt;="&amp;DATE(2003,1,1),$A$2:$A638,"&lt;&gt;"),"")</f>
        <v/>
      </c>
    </row>
    <row r="639" spans="1:24">
      <c r="A639" t="str">
        <f>IF('10 Numaralar'!A41="","",'10 Numaralar'!A41)</f>
        <v/>
      </c>
      <c r="B639" t="str">
        <f>IF('10 Numaralar'!B41="","",'10 Numaralar'!B41)</f>
        <v/>
      </c>
      <c r="C639" s="2" t="str">
        <f>IF('10 Numaralar'!C41="","",'10 Numaralar'!C41)</f>
        <v/>
      </c>
      <c r="D639" t="str">
        <f ca="1">IF('10 Numaralar'!D41="","",'10 Numaralar'!D41)</f>
        <v/>
      </c>
      <c r="E639" t="str">
        <f>IF('10 Numaralar'!E41="","",'10 Numaralar'!E41)</f>
        <v>10 Numara</v>
      </c>
      <c r="F639" t="str">
        <f>IF('10 Numaralar'!G41="","",'10 Numaralar'!G41)</f>
        <v/>
      </c>
      <c r="G639" s="2" t="str">
        <f>IF('10 Numaralar'!H41="","",'10 Numaralar'!H41)</f>
        <v/>
      </c>
      <c r="H639" t="str">
        <f>IF('10 Numaralar'!I41="","",'10 Numaralar'!I41)</f>
        <v/>
      </c>
      <c r="I639" t="str">
        <f>IF('10 Numaralar'!A41="","",'10 Numaralar'!J41)</f>
        <v/>
      </c>
      <c r="J639" t="str">
        <f>IF('10 Numaralar'!A41="","",'10 Numaralar'!K41)</f>
        <v/>
      </c>
      <c r="K639" t="str">
        <f>IF('10 Numaralar'!L41="","",'10 Numaralar'!L41)</f>
        <v/>
      </c>
      <c r="L639" t="str">
        <f>IF('10 Numaralar'!M41="","",'10 Numaralar'!M41)</f>
        <v/>
      </c>
      <c r="M639" t="str">
        <f>IF('10 Numaralar'!N41="","",'10 Numaralar'!N41)</f>
        <v/>
      </c>
      <c r="N639" t="str">
        <f>IF('10 Numaralar'!O41="","",'10 Numaralar'!O41)</f>
        <v/>
      </c>
      <c r="O639" t="str">
        <f>IF('10 Numaralar'!P41="","",'10 Numaralar'!P41)</f>
        <v/>
      </c>
      <c r="P639" t="str">
        <f>IF('10 Numaralar'!Q41="","",'10 Numaralar'!Q41)</f>
        <v/>
      </c>
      <c r="Q639" t="str">
        <f>IF('10 Numaralar'!R41="","",'10 Numaralar'!R41)</f>
        <v/>
      </c>
      <c r="R639" t="str">
        <f>IF('10 Numaralar'!S41="","",'10 Numaralar'!S41)</f>
        <v/>
      </c>
      <c r="S639" t="str">
        <f>IF('10 Numaralar'!T41="","",'10 Numaralar'!T41)</f>
        <v/>
      </c>
      <c r="T639" s="2" t="str">
        <f>IF('10 Numaralar'!U41="","",'10 Numaralar'!U41)</f>
        <v/>
      </c>
      <c r="U639" t="s">
        <v>932</v>
      </c>
      <c r="V639">
        <v>41</v>
      </c>
      <c r="W639" t="str">
        <f ca="1">IF(AND($A639&lt;&gt;"",ISNUMBER($G639),$G639&gt;=TODAY(),$G639&lt;=EDATE(TODAY(),12)),COUNTIFS($G$2:$G$1001,"&gt;="&amp;TODAY(),$G$2:$G$1001,"&lt;"&amp;$G639,$A$2:$A$1001,"&lt;&gt;")+COUNTIFS($G$2:$G639,$G639,$A$2:$A639,"&lt;&gt;"),"")</f>
        <v/>
      </c>
      <c r="X639" t="str">
        <f>IF(AND($A639&lt;&gt;"",ISNUMBER($C639),$C639&gt;=DATE(2003,1,1)),COUNTIFS($C$2:$C639,"&gt;="&amp;DATE(2003,1,1),$A$2:$A639,"&lt;&gt;"),"")</f>
        <v/>
      </c>
    </row>
    <row r="640" spans="1:24">
      <c r="A640" t="str">
        <f>IF('10 Numaralar'!A42="","",'10 Numaralar'!A42)</f>
        <v/>
      </c>
      <c r="B640" t="str">
        <f>IF('10 Numaralar'!B42="","",'10 Numaralar'!B42)</f>
        <v/>
      </c>
      <c r="C640" s="2" t="str">
        <f>IF('10 Numaralar'!C42="","",'10 Numaralar'!C42)</f>
        <v/>
      </c>
      <c r="D640" t="str">
        <f ca="1">IF('10 Numaralar'!D42="","",'10 Numaralar'!D42)</f>
        <v/>
      </c>
      <c r="E640" t="str">
        <f>IF('10 Numaralar'!E42="","",'10 Numaralar'!E42)</f>
        <v>10 Numara</v>
      </c>
      <c r="F640" t="str">
        <f>IF('10 Numaralar'!G42="","",'10 Numaralar'!G42)</f>
        <v/>
      </c>
      <c r="G640" s="2" t="str">
        <f>IF('10 Numaralar'!H42="","",'10 Numaralar'!H42)</f>
        <v/>
      </c>
      <c r="H640" t="str">
        <f>IF('10 Numaralar'!I42="","",'10 Numaralar'!I42)</f>
        <v/>
      </c>
      <c r="I640" t="str">
        <f>IF('10 Numaralar'!A42="","",'10 Numaralar'!J42)</f>
        <v/>
      </c>
      <c r="J640" t="str">
        <f>IF('10 Numaralar'!A42="","",'10 Numaralar'!K42)</f>
        <v/>
      </c>
      <c r="K640" t="str">
        <f>IF('10 Numaralar'!L42="","",'10 Numaralar'!L42)</f>
        <v/>
      </c>
      <c r="L640" t="str">
        <f>IF('10 Numaralar'!M42="","",'10 Numaralar'!M42)</f>
        <v/>
      </c>
      <c r="M640" t="str">
        <f>IF('10 Numaralar'!N42="","",'10 Numaralar'!N42)</f>
        <v/>
      </c>
      <c r="N640" t="str">
        <f>IF('10 Numaralar'!O42="","",'10 Numaralar'!O42)</f>
        <v/>
      </c>
      <c r="O640" t="str">
        <f>IF('10 Numaralar'!P42="","",'10 Numaralar'!P42)</f>
        <v/>
      </c>
      <c r="P640" t="str">
        <f>IF('10 Numaralar'!Q42="","",'10 Numaralar'!Q42)</f>
        <v/>
      </c>
      <c r="Q640" t="str">
        <f>IF('10 Numaralar'!R42="","",'10 Numaralar'!R42)</f>
        <v/>
      </c>
      <c r="R640" t="str">
        <f>IF('10 Numaralar'!S42="","",'10 Numaralar'!S42)</f>
        <v/>
      </c>
      <c r="S640" t="str">
        <f>IF('10 Numaralar'!T42="","",'10 Numaralar'!T42)</f>
        <v/>
      </c>
      <c r="T640" s="2" t="str">
        <f>IF('10 Numaralar'!U42="","",'10 Numaralar'!U42)</f>
        <v/>
      </c>
      <c r="U640" t="s">
        <v>932</v>
      </c>
      <c r="V640">
        <v>42</v>
      </c>
      <c r="W640" t="str">
        <f ca="1">IF(AND($A640&lt;&gt;"",ISNUMBER($G640),$G640&gt;=TODAY(),$G640&lt;=EDATE(TODAY(),12)),COUNTIFS($G$2:$G$1001,"&gt;="&amp;TODAY(),$G$2:$G$1001,"&lt;"&amp;$G640,$A$2:$A$1001,"&lt;&gt;")+COUNTIFS($G$2:$G640,$G640,$A$2:$A640,"&lt;&gt;"),"")</f>
        <v/>
      </c>
      <c r="X640" t="str">
        <f>IF(AND($A640&lt;&gt;"",ISNUMBER($C640),$C640&gt;=DATE(2003,1,1)),COUNTIFS($C$2:$C640,"&gt;="&amp;DATE(2003,1,1),$A$2:$A640,"&lt;&gt;"),"")</f>
        <v/>
      </c>
    </row>
    <row r="641" spans="1:24">
      <c r="A641" t="str">
        <f>IF('10 Numaralar'!A43="","",'10 Numaralar'!A43)</f>
        <v/>
      </c>
      <c r="B641" t="str">
        <f>IF('10 Numaralar'!B43="","",'10 Numaralar'!B43)</f>
        <v/>
      </c>
      <c r="C641" s="2" t="str">
        <f>IF('10 Numaralar'!C43="","",'10 Numaralar'!C43)</f>
        <v/>
      </c>
      <c r="D641" t="str">
        <f ca="1">IF('10 Numaralar'!D43="","",'10 Numaralar'!D43)</f>
        <v/>
      </c>
      <c r="E641" t="str">
        <f>IF('10 Numaralar'!E43="","",'10 Numaralar'!E43)</f>
        <v>10 Numara</v>
      </c>
      <c r="F641" t="str">
        <f>IF('10 Numaralar'!G43="","",'10 Numaralar'!G43)</f>
        <v/>
      </c>
      <c r="G641" s="2" t="str">
        <f>IF('10 Numaralar'!H43="","",'10 Numaralar'!H43)</f>
        <v/>
      </c>
      <c r="H641" t="str">
        <f>IF('10 Numaralar'!I43="","",'10 Numaralar'!I43)</f>
        <v/>
      </c>
      <c r="I641" t="str">
        <f>IF('10 Numaralar'!A43="","",'10 Numaralar'!J43)</f>
        <v/>
      </c>
      <c r="J641" t="str">
        <f>IF('10 Numaralar'!A43="","",'10 Numaralar'!K43)</f>
        <v/>
      </c>
      <c r="K641" t="str">
        <f>IF('10 Numaralar'!L43="","",'10 Numaralar'!L43)</f>
        <v/>
      </c>
      <c r="L641" t="str">
        <f>IF('10 Numaralar'!M43="","",'10 Numaralar'!M43)</f>
        <v/>
      </c>
      <c r="M641" t="str">
        <f>IF('10 Numaralar'!N43="","",'10 Numaralar'!N43)</f>
        <v/>
      </c>
      <c r="N641" t="str">
        <f>IF('10 Numaralar'!O43="","",'10 Numaralar'!O43)</f>
        <v/>
      </c>
      <c r="O641" t="str">
        <f>IF('10 Numaralar'!P43="","",'10 Numaralar'!P43)</f>
        <v/>
      </c>
      <c r="P641" t="str">
        <f>IF('10 Numaralar'!Q43="","",'10 Numaralar'!Q43)</f>
        <v/>
      </c>
      <c r="Q641" t="str">
        <f>IF('10 Numaralar'!R43="","",'10 Numaralar'!R43)</f>
        <v/>
      </c>
      <c r="R641" t="str">
        <f>IF('10 Numaralar'!S43="","",'10 Numaralar'!S43)</f>
        <v/>
      </c>
      <c r="S641" t="str">
        <f>IF('10 Numaralar'!T43="","",'10 Numaralar'!T43)</f>
        <v/>
      </c>
      <c r="T641" s="2" t="str">
        <f>IF('10 Numaralar'!U43="","",'10 Numaralar'!U43)</f>
        <v/>
      </c>
      <c r="U641" t="s">
        <v>932</v>
      </c>
      <c r="V641">
        <v>43</v>
      </c>
      <c r="W641" t="str">
        <f ca="1">IF(AND($A641&lt;&gt;"",ISNUMBER($G641),$G641&gt;=TODAY(),$G641&lt;=EDATE(TODAY(),12)),COUNTIFS($G$2:$G$1001,"&gt;="&amp;TODAY(),$G$2:$G$1001,"&lt;"&amp;$G641,$A$2:$A$1001,"&lt;&gt;")+COUNTIFS($G$2:$G641,$G641,$A$2:$A641,"&lt;&gt;"),"")</f>
        <v/>
      </c>
      <c r="X641" t="str">
        <f>IF(AND($A641&lt;&gt;"",ISNUMBER($C641),$C641&gt;=DATE(2003,1,1)),COUNTIFS($C$2:$C641,"&gt;="&amp;DATE(2003,1,1),$A$2:$A641,"&lt;&gt;"),"")</f>
        <v/>
      </c>
    </row>
    <row r="642" spans="1:24">
      <c r="A642" t="str">
        <f>IF('10 Numaralar'!A44="","",'10 Numaralar'!A44)</f>
        <v/>
      </c>
      <c r="B642" t="str">
        <f>IF('10 Numaralar'!B44="","",'10 Numaralar'!B44)</f>
        <v/>
      </c>
      <c r="C642" s="2" t="str">
        <f>IF('10 Numaralar'!C44="","",'10 Numaralar'!C44)</f>
        <v/>
      </c>
      <c r="D642" t="str">
        <f ca="1">IF('10 Numaralar'!D44="","",'10 Numaralar'!D44)</f>
        <v/>
      </c>
      <c r="E642" t="str">
        <f>IF('10 Numaralar'!E44="","",'10 Numaralar'!E44)</f>
        <v>10 Numara</v>
      </c>
      <c r="F642" t="str">
        <f>IF('10 Numaralar'!G44="","",'10 Numaralar'!G44)</f>
        <v/>
      </c>
      <c r="G642" s="2" t="str">
        <f>IF('10 Numaralar'!H44="","",'10 Numaralar'!H44)</f>
        <v/>
      </c>
      <c r="H642" t="str">
        <f>IF('10 Numaralar'!I44="","",'10 Numaralar'!I44)</f>
        <v/>
      </c>
      <c r="I642" t="str">
        <f>IF('10 Numaralar'!A44="","",'10 Numaralar'!J44)</f>
        <v/>
      </c>
      <c r="J642" t="str">
        <f>IF('10 Numaralar'!A44="","",'10 Numaralar'!K44)</f>
        <v/>
      </c>
      <c r="K642" t="str">
        <f>IF('10 Numaralar'!L44="","",'10 Numaralar'!L44)</f>
        <v/>
      </c>
      <c r="L642" t="str">
        <f>IF('10 Numaralar'!M44="","",'10 Numaralar'!M44)</f>
        <v/>
      </c>
      <c r="M642" t="str">
        <f>IF('10 Numaralar'!N44="","",'10 Numaralar'!N44)</f>
        <v/>
      </c>
      <c r="N642" t="str">
        <f>IF('10 Numaralar'!O44="","",'10 Numaralar'!O44)</f>
        <v/>
      </c>
      <c r="O642" t="str">
        <f>IF('10 Numaralar'!P44="","",'10 Numaralar'!P44)</f>
        <v/>
      </c>
      <c r="P642" t="str">
        <f>IF('10 Numaralar'!Q44="","",'10 Numaralar'!Q44)</f>
        <v/>
      </c>
      <c r="Q642" t="str">
        <f>IF('10 Numaralar'!R44="","",'10 Numaralar'!R44)</f>
        <v/>
      </c>
      <c r="R642" t="str">
        <f>IF('10 Numaralar'!S44="","",'10 Numaralar'!S44)</f>
        <v/>
      </c>
      <c r="S642" t="str">
        <f>IF('10 Numaralar'!T44="","",'10 Numaralar'!T44)</f>
        <v/>
      </c>
      <c r="T642" s="2" t="str">
        <f>IF('10 Numaralar'!U44="","",'10 Numaralar'!U44)</f>
        <v/>
      </c>
      <c r="U642" t="s">
        <v>932</v>
      </c>
      <c r="V642">
        <v>44</v>
      </c>
      <c r="W642" t="str">
        <f ca="1">IF(AND($A642&lt;&gt;"",ISNUMBER($G642),$G642&gt;=TODAY(),$G642&lt;=EDATE(TODAY(),12)),COUNTIFS($G$2:$G$1001,"&gt;="&amp;TODAY(),$G$2:$G$1001,"&lt;"&amp;$G642,$A$2:$A$1001,"&lt;&gt;")+COUNTIFS($G$2:$G642,$G642,$A$2:$A642,"&lt;&gt;"),"")</f>
        <v/>
      </c>
      <c r="X642" t="str">
        <f>IF(AND($A642&lt;&gt;"",ISNUMBER($C642),$C642&gt;=DATE(2003,1,1)),COUNTIFS($C$2:$C642,"&gt;="&amp;DATE(2003,1,1),$A$2:$A642,"&lt;&gt;"),"")</f>
        <v/>
      </c>
    </row>
    <row r="643" spans="1:24">
      <c r="A643" t="str">
        <f>IF('10 Numaralar'!A45="","",'10 Numaralar'!A45)</f>
        <v/>
      </c>
      <c r="B643" t="str">
        <f>IF('10 Numaralar'!B45="","",'10 Numaralar'!B45)</f>
        <v/>
      </c>
      <c r="C643" s="2" t="str">
        <f>IF('10 Numaralar'!C45="","",'10 Numaralar'!C45)</f>
        <v/>
      </c>
      <c r="D643" t="str">
        <f ca="1">IF('10 Numaralar'!D45="","",'10 Numaralar'!D45)</f>
        <v/>
      </c>
      <c r="E643" t="str">
        <f>IF('10 Numaralar'!E45="","",'10 Numaralar'!E45)</f>
        <v>10 Numara</v>
      </c>
      <c r="F643" t="str">
        <f>IF('10 Numaralar'!G45="","",'10 Numaralar'!G45)</f>
        <v/>
      </c>
      <c r="G643" s="2" t="str">
        <f>IF('10 Numaralar'!H45="","",'10 Numaralar'!H45)</f>
        <v/>
      </c>
      <c r="H643" t="str">
        <f>IF('10 Numaralar'!I45="","",'10 Numaralar'!I45)</f>
        <v/>
      </c>
      <c r="I643" t="str">
        <f>IF('10 Numaralar'!A45="","",'10 Numaralar'!J45)</f>
        <v/>
      </c>
      <c r="J643" t="str">
        <f>IF('10 Numaralar'!A45="","",'10 Numaralar'!K45)</f>
        <v/>
      </c>
      <c r="K643" t="str">
        <f>IF('10 Numaralar'!L45="","",'10 Numaralar'!L45)</f>
        <v/>
      </c>
      <c r="L643" t="str">
        <f>IF('10 Numaralar'!M45="","",'10 Numaralar'!M45)</f>
        <v/>
      </c>
      <c r="M643" t="str">
        <f>IF('10 Numaralar'!N45="","",'10 Numaralar'!N45)</f>
        <v/>
      </c>
      <c r="N643" t="str">
        <f>IF('10 Numaralar'!O45="","",'10 Numaralar'!O45)</f>
        <v/>
      </c>
      <c r="O643" t="str">
        <f>IF('10 Numaralar'!P45="","",'10 Numaralar'!P45)</f>
        <v/>
      </c>
      <c r="P643" t="str">
        <f>IF('10 Numaralar'!Q45="","",'10 Numaralar'!Q45)</f>
        <v/>
      </c>
      <c r="Q643" t="str">
        <f>IF('10 Numaralar'!R45="","",'10 Numaralar'!R45)</f>
        <v/>
      </c>
      <c r="R643" t="str">
        <f>IF('10 Numaralar'!S45="","",'10 Numaralar'!S45)</f>
        <v/>
      </c>
      <c r="S643" t="str">
        <f>IF('10 Numaralar'!T45="","",'10 Numaralar'!T45)</f>
        <v/>
      </c>
      <c r="T643" s="2" t="str">
        <f>IF('10 Numaralar'!U45="","",'10 Numaralar'!U45)</f>
        <v/>
      </c>
      <c r="U643" t="s">
        <v>932</v>
      </c>
      <c r="V643">
        <v>45</v>
      </c>
      <c r="W643" t="str">
        <f ca="1">IF(AND($A643&lt;&gt;"",ISNUMBER($G643),$G643&gt;=TODAY(),$G643&lt;=EDATE(TODAY(),12)),COUNTIFS($G$2:$G$1001,"&gt;="&amp;TODAY(),$G$2:$G$1001,"&lt;"&amp;$G643,$A$2:$A$1001,"&lt;&gt;")+COUNTIFS($G$2:$G643,$G643,$A$2:$A643,"&lt;&gt;"),"")</f>
        <v/>
      </c>
      <c r="X643" t="str">
        <f>IF(AND($A643&lt;&gt;"",ISNUMBER($C643),$C643&gt;=DATE(2003,1,1)),COUNTIFS($C$2:$C643,"&gt;="&amp;DATE(2003,1,1),$A$2:$A643,"&lt;&gt;"),"")</f>
        <v/>
      </c>
    </row>
    <row r="644" spans="1:24">
      <c r="A644" t="str">
        <f>IF('10 Numaralar'!A46="","",'10 Numaralar'!A46)</f>
        <v/>
      </c>
      <c r="B644" t="str">
        <f>IF('10 Numaralar'!B46="","",'10 Numaralar'!B46)</f>
        <v/>
      </c>
      <c r="C644" s="2" t="str">
        <f>IF('10 Numaralar'!C46="","",'10 Numaralar'!C46)</f>
        <v/>
      </c>
      <c r="D644" t="str">
        <f ca="1">IF('10 Numaralar'!D46="","",'10 Numaralar'!D46)</f>
        <v/>
      </c>
      <c r="E644" t="str">
        <f>IF('10 Numaralar'!E46="","",'10 Numaralar'!E46)</f>
        <v>10 Numara</v>
      </c>
      <c r="F644" t="str">
        <f>IF('10 Numaralar'!G46="","",'10 Numaralar'!G46)</f>
        <v/>
      </c>
      <c r="G644" s="2" t="str">
        <f>IF('10 Numaralar'!H46="","",'10 Numaralar'!H46)</f>
        <v/>
      </c>
      <c r="H644" t="str">
        <f>IF('10 Numaralar'!I46="","",'10 Numaralar'!I46)</f>
        <v/>
      </c>
      <c r="I644" t="str">
        <f>IF('10 Numaralar'!A46="","",'10 Numaralar'!J46)</f>
        <v/>
      </c>
      <c r="J644" t="str">
        <f>IF('10 Numaralar'!A46="","",'10 Numaralar'!K46)</f>
        <v/>
      </c>
      <c r="K644" t="str">
        <f>IF('10 Numaralar'!L46="","",'10 Numaralar'!L46)</f>
        <v/>
      </c>
      <c r="L644" t="str">
        <f>IF('10 Numaralar'!M46="","",'10 Numaralar'!M46)</f>
        <v/>
      </c>
      <c r="M644" t="str">
        <f>IF('10 Numaralar'!N46="","",'10 Numaralar'!N46)</f>
        <v/>
      </c>
      <c r="N644" t="str">
        <f>IF('10 Numaralar'!O46="","",'10 Numaralar'!O46)</f>
        <v/>
      </c>
      <c r="O644" t="str">
        <f>IF('10 Numaralar'!P46="","",'10 Numaralar'!P46)</f>
        <v/>
      </c>
      <c r="P644" t="str">
        <f>IF('10 Numaralar'!Q46="","",'10 Numaralar'!Q46)</f>
        <v/>
      </c>
      <c r="Q644" t="str">
        <f>IF('10 Numaralar'!R46="","",'10 Numaralar'!R46)</f>
        <v/>
      </c>
      <c r="R644" t="str">
        <f>IF('10 Numaralar'!S46="","",'10 Numaralar'!S46)</f>
        <v/>
      </c>
      <c r="S644" t="str">
        <f>IF('10 Numaralar'!T46="","",'10 Numaralar'!T46)</f>
        <v/>
      </c>
      <c r="T644" s="2" t="str">
        <f>IF('10 Numaralar'!U46="","",'10 Numaralar'!U46)</f>
        <v/>
      </c>
      <c r="U644" t="s">
        <v>932</v>
      </c>
      <c r="V644">
        <v>46</v>
      </c>
      <c r="W644" t="str">
        <f ca="1">IF(AND($A644&lt;&gt;"",ISNUMBER($G644),$G644&gt;=TODAY(),$G644&lt;=EDATE(TODAY(),12)),COUNTIFS($G$2:$G$1001,"&gt;="&amp;TODAY(),$G$2:$G$1001,"&lt;"&amp;$G644,$A$2:$A$1001,"&lt;&gt;")+COUNTIFS($G$2:$G644,$G644,$A$2:$A644,"&lt;&gt;"),"")</f>
        <v/>
      </c>
      <c r="X644" t="str">
        <f>IF(AND($A644&lt;&gt;"",ISNUMBER($C644),$C644&gt;=DATE(2003,1,1)),COUNTIFS($C$2:$C644,"&gt;="&amp;DATE(2003,1,1),$A$2:$A644,"&lt;&gt;"),"")</f>
        <v/>
      </c>
    </row>
    <row r="645" spans="1:24">
      <c r="A645" t="str">
        <f>IF('10 Numaralar'!A47="","",'10 Numaralar'!A47)</f>
        <v/>
      </c>
      <c r="B645" t="str">
        <f>IF('10 Numaralar'!B47="","",'10 Numaralar'!B47)</f>
        <v/>
      </c>
      <c r="C645" s="2" t="str">
        <f>IF('10 Numaralar'!C47="","",'10 Numaralar'!C47)</f>
        <v/>
      </c>
      <c r="D645" t="str">
        <f ca="1">IF('10 Numaralar'!D47="","",'10 Numaralar'!D47)</f>
        <v/>
      </c>
      <c r="E645" t="str">
        <f>IF('10 Numaralar'!E47="","",'10 Numaralar'!E47)</f>
        <v>10 Numara</v>
      </c>
      <c r="F645" t="str">
        <f>IF('10 Numaralar'!G47="","",'10 Numaralar'!G47)</f>
        <v/>
      </c>
      <c r="G645" s="2" t="str">
        <f>IF('10 Numaralar'!H47="","",'10 Numaralar'!H47)</f>
        <v/>
      </c>
      <c r="H645" t="str">
        <f>IF('10 Numaralar'!I47="","",'10 Numaralar'!I47)</f>
        <v/>
      </c>
      <c r="I645" t="str">
        <f>IF('10 Numaralar'!A47="","",'10 Numaralar'!J47)</f>
        <v/>
      </c>
      <c r="J645" t="str">
        <f>IF('10 Numaralar'!A47="","",'10 Numaralar'!K47)</f>
        <v/>
      </c>
      <c r="K645" t="str">
        <f>IF('10 Numaralar'!L47="","",'10 Numaralar'!L47)</f>
        <v/>
      </c>
      <c r="L645" t="str">
        <f>IF('10 Numaralar'!M47="","",'10 Numaralar'!M47)</f>
        <v/>
      </c>
      <c r="M645" t="str">
        <f>IF('10 Numaralar'!N47="","",'10 Numaralar'!N47)</f>
        <v/>
      </c>
      <c r="N645" t="str">
        <f>IF('10 Numaralar'!O47="","",'10 Numaralar'!O47)</f>
        <v/>
      </c>
      <c r="O645" t="str">
        <f>IF('10 Numaralar'!P47="","",'10 Numaralar'!P47)</f>
        <v/>
      </c>
      <c r="P645" t="str">
        <f>IF('10 Numaralar'!Q47="","",'10 Numaralar'!Q47)</f>
        <v/>
      </c>
      <c r="Q645" t="str">
        <f>IF('10 Numaralar'!R47="","",'10 Numaralar'!R47)</f>
        <v/>
      </c>
      <c r="R645" t="str">
        <f>IF('10 Numaralar'!S47="","",'10 Numaralar'!S47)</f>
        <v/>
      </c>
      <c r="S645" t="str">
        <f>IF('10 Numaralar'!T47="","",'10 Numaralar'!T47)</f>
        <v/>
      </c>
      <c r="T645" s="2" t="str">
        <f>IF('10 Numaralar'!U47="","",'10 Numaralar'!U47)</f>
        <v/>
      </c>
      <c r="U645" t="s">
        <v>932</v>
      </c>
      <c r="V645">
        <v>47</v>
      </c>
      <c r="W645" t="str">
        <f ca="1">IF(AND($A645&lt;&gt;"",ISNUMBER($G645),$G645&gt;=TODAY(),$G645&lt;=EDATE(TODAY(),12)),COUNTIFS($G$2:$G$1001,"&gt;="&amp;TODAY(),$G$2:$G$1001,"&lt;"&amp;$G645,$A$2:$A$1001,"&lt;&gt;")+COUNTIFS($G$2:$G645,$G645,$A$2:$A645,"&lt;&gt;"),"")</f>
        <v/>
      </c>
      <c r="X645" t="str">
        <f>IF(AND($A645&lt;&gt;"",ISNUMBER($C645),$C645&gt;=DATE(2003,1,1)),COUNTIFS($C$2:$C645,"&gt;="&amp;DATE(2003,1,1),$A$2:$A645,"&lt;&gt;"),"")</f>
        <v/>
      </c>
    </row>
    <row r="646" spans="1:24">
      <c r="A646" t="str">
        <f>IF('10 Numaralar'!A48="","",'10 Numaralar'!A48)</f>
        <v/>
      </c>
      <c r="B646" t="str">
        <f>IF('10 Numaralar'!B48="","",'10 Numaralar'!B48)</f>
        <v/>
      </c>
      <c r="C646" s="2" t="str">
        <f>IF('10 Numaralar'!C48="","",'10 Numaralar'!C48)</f>
        <v/>
      </c>
      <c r="D646" t="str">
        <f ca="1">IF('10 Numaralar'!D48="","",'10 Numaralar'!D48)</f>
        <v/>
      </c>
      <c r="E646" t="str">
        <f>IF('10 Numaralar'!E48="","",'10 Numaralar'!E48)</f>
        <v>10 Numara</v>
      </c>
      <c r="F646" t="str">
        <f>IF('10 Numaralar'!G48="","",'10 Numaralar'!G48)</f>
        <v/>
      </c>
      <c r="G646" s="2" t="str">
        <f>IF('10 Numaralar'!H48="","",'10 Numaralar'!H48)</f>
        <v/>
      </c>
      <c r="H646" t="str">
        <f>IF('10 Numaralar'!I48="","",'10 Numaralar'!I48)</f>
        <v/>
      </c>
      <c r="I646" t="str">
        <f>IF('10 Numaralar'!A48="","",'10 Numaralar'!J48)</f>
        <v/>
      </c>
      <c r="J646" t="str">
        <f>IF('10 Numaralar'!A48="","",'10 Numaralar'!K48)</f>
        <v/>
      </c>
      <c r="K646" t="str">
        <f>IF('10 Numaralar'!L48="","",'10 Numaralar'!L48)</f>
        <v/>
      </c>
      <c r="L646" t="str">
        <f>IF('10 Numaralar'!M48="","",'10 Numaralar'!M48)</f>
        <v/>
      </c>
      <c r="M646" t="str">
        <f>IF('10 Numaralar'!N48="","",'10 Numaralar'!N48)</f>
        <v/>
      </c>
      <c r="N646" t="str">
        <f>IF('10 Numaralar'!O48="","",'10 Numaralar'!O48)</f>
        <v/>
      </c>
      <c r="O646" t="str">
        <f>IF('10 Numaralar'!P48="","",'10 Numaralar'!P48)</f>
        <v/>
      </c>
      <c r="P646" t="str">
        <f>IF('10 Numaralar'!Q48="","",'10 Numaralar'!Q48)</f>
        <v/>
      </c>
      <c r="Q646" t="str">
        <f>IF('10 Numaralar'!R48="","",'10 Numaralar'!R48)</f>
        <v/>
      </c>
      <c r="R646" t="str">
        <f>IF('10 Numaralar'!S48="","",'10 Numaralar'!S48)</f>
        <v/>
      </c>
      <c r="S646" t="str">
        <f>IF('10 Numaralar'!T48="","",'10 Numaralar'!T48)</f>
        <v/>
      </c>
      <c r="T646" s="2" t="str">
        <f>IF('10 Numaralar'!U48="","",'10 Numaralar'!U48)</f>
        <v/>
      </c>
      <c r="U646" t="s">
        <v>932</v>
      </c>
      <c r="V646">
        <v>48</v>
      </c>
      <c r="W646" t="str">
        <f ca="1">IF(AND($A646&lt;&gt;"",ISNUMBER($G646),$G646&gt;=TODAY(),$G646&lt;=EDATE(TODAY(),12)),COUNTIFS($G$2:$G$1001,"&gt;="&amp;TODAY(),$G$2:$G$1001,"&lt;"&amp;$G646,$A$2:$A$1001,"&lt;&gt;")+COUNTIFS($G$2:$G646,$G646,$A$2:$A646,"&lt;&gt;"),"")</f>
        <v/>
      </c>
      <c r="X646" t="str">
        <f>IF(AND($A646&lt;&gt;"",ISNUMBER($C646),$C646&gt;=DATE(2003,1,1)),COUNTIFS($C$2:$C646,"&gt;="&amp;DATE(2003,1,1),$A$2:$A646,"&lt;&gt;"),"")</f>
        <v/>
      </c>
    </row>
    <row r="647" spans="1:24">
      <c r="A647" t="str">
        <f>IF('10 Numaralar'!A49="","",'10 Numaralar'!A49)</f>
        <v/>
      </c>
      <c r="B647" t="str">
        <f>IF('10 Numaralar'!B49="","",'10 Numaralar'!B49)</f>
        <v/>
      </c>
      <c r="C647" s="2" t="str">
        <f>IF('10 Numaralar'!C49="","",'10 Numaralar'!C49)</f>
        <v/>
      </c>
      <c r="D647" t="str">
        <f ca="1">IF('10 Numaralar'!D49="","",'10 Numaralar'!D49)</f>
        <v/>
      </c>
      <c r="E647" t="str">
        <f>IF('10 Numaralar'!E49="","",'10 Numaralar'!E49)</f>
        <v>10 Numara</v>
      </c>
      <c r="F647" t="str">
        <f>IF('10 Numaralar'!G49="","",'10 Numaralar'!G49)</f>
        <v/>
      </c>
      <c r="G647" s="2" t="str">
        <f>IF('10 Numaralar'!H49="","",'10 Numaralar'!H49)</f>
        <v/>
      </c>
      <c r="H647" t="str">
        <f>IF('10 Numaralar'!I49="","",'10 Numaralar'!I49)</f>
        <v/>
      </c>
      <c r="I647" t="str">
        <f>IF('10 Numaralar'!A49="","",'10 Numaralar'!J49)</f>
        <v/>
      </c>
      <c r="J647" t="str">
        <f>IF('10 Numaralar'!A49="","",'10 Numaralar'!K49)</f>
        <v/>
      </c>
      <c r="K647" t="str">
        <f>IF('10 Numaralar'!L49="","",'10 Numaralar'!L49)</f>
        <v/>
      </c>
      <c r="L647" t="str">
        <f>IF('10 Numaralar'!M49="","",'10 Numaralar'!M49)</f>
        <v/>
      </c>
      <c r="M647" t="str">
        <f>IF('10 Numaralar'!N49="","",'10 Numaralar'!N49)</f>
        <v/>
      </c>
      <c r="N647" t="str">
        <f>IF('10 Numaralar'!O49="","",'10 Numaralar'!O49)</f>
        <v/>
      </c>
      <c r="O647" t="str">
        <f>IF('10 Numaralar'!P49="","",'10 Numaralar'!P49)</f>
        <v/>
      </c>
      <c r="P647" t="str">
        <f>IF('10 Numaralar'!Q49="","",'10 Numaralar'!Q49)</f>
        <v/>
      </c>
      <c r="Q647" t="str">
        <f>IF('10 Numaralar'!R49="","",'10 Numaralar'!R49)</f>
        <v/>
      </c>
      <c r="R647" t="str">
        <f>IF('10 Numaralar'!S49="","",'10 Numaralar'!S49)</f>
        <v/>
      </c>
      <c r="S647" t="str">
        <f>IF('10 Numaralar'!T49="","",'10 Numaralar'!T49)</f>
        <v/>
      </c>
      <c r="T647" s="2" t="str">
        <f>IF('10 Numaralar'!U49="","",'10 Numaralar'!U49)</f>
        <v/>
      </c>
      <c r="U647" t="s">
        <v>932</v>
      </c>
      <c r="V647">
        <v>49</v>
      </c>
      <c r="W647" t="str">
        <f ca="1">IF(AND($A647&lt;&gt;"",ISNUMBER($G647),$G647&gt;=TODAY(),$G647&lt;=EDATE(TODAY(),12)),COUNTIFS($G$2:$G$1001,"&gt;="&amp;TODAY(),$G$2:$G$1001,"&lt;"&amp;$G647,$A$2:$A$1001,"&lt;&gt;")+COUNTIFS($G$2:$G647,$G647,$A$2:$A647,"&lt;&gt;"),"")</f>
        <v/>
      </c>
      <c r="X647" t="str">
        <f>IF(AND($A647&lt;&gt;"",ISNUMBER($C647),$C647&gt;=DATE(2003,1,1)),COUNTIFS($C$2:$C647,"&gt;="&amp;DATE(2003,1,1),$A$2:$A647,"&lt;&gt;"),"")</f>
        <v/>
      </c>
    </row>
    <row r="648" spans="1:24">
      <c r="A648" t="str">
        <f>IF('10 Numaralar'!A50="","",'10 Numaralar'!A50)</f>
        <v/>
      </c>
      <c r="B648" t="str">
        <f>IF('10 Numaralar'!B50="","",'10 Numaralar'!B50)</f>
        <v/>
      </c>
      <c r="C648" s="2" t="str">
        <f>IF('10 Numaralar'!C50="","",'10 Numaralar'!C50)</f>
        <v/>
      </c>
      <c r="D648" t="str">
        <f ca="1">IF('10 Numaralar'!D50="","",'10 Numaralar'!D50)</f>
        <v/>
      </c>
      <c r="E648" t="str">
        <f>IF('10 Numaralar'!E50="","",'10 Numaralar'!E50)</f>
        <v>10 Numara</v>
      </c>
      <c r="F648" t="str">
        <f>IF('10 Numaralar'!G50="","",'10 Numaralar'!G50)</f>
        <v/>
      </c>
      <c r="G648" s="2" t="str">
        <f>IF('10 Numaralar'!H50="","",'10 Numaralar'!H50)</f>
        <v/>
      </c>
      <c r="H648" t="str">
        <f>IF('10 Numaralar'!I50="","",'10 Numaralar'!I50)</f>
        <v/>
      </c>
      <c r="I648" t="str">
        <f>IF('10 Numaralar'!A50="","",'10 Numaralar'!J50)</f>
        <v/>
      </c>
      <c r="J648" t="str">
        <f>IF('10 Numaralar'!A50="","",'10 Numaralar'!K50)</f>
        <v/>
      </c>
      <c r="K648" t="str">
        <f>IF('10 Numaralar'!L50="","",'10 Numaralar'!L50)</f>
        <v/>
      </c>
      <c r="L648" t="str">
        <f>IF('10 Numaralar'!M50="","",'10 Numaralar'!M50)</f>
        <v/>
      </c>
      <c r="M648" t="str">
        <f>IF('10 Numaralar'!N50="","",'10 Numaralar'!N50)</f>
        <v/>
      </c>
      <c r="N648" t="str">
        <f>IF('10 Numaralar'!O50="","",'10 Numaralar'!O50)</f>
        <v/>
      </c>
      <c r="O648" t="str">
        <f>IF('10 Numaralar'!P50="","",'10 Numaralar'!P50)</f>
        <v/>
      </c>
      <c r="P648" t="str">
        <f>IF('10 Numaralar'!Q50="","",'10 Numaralar'!Q50)</f>
        <v/>
      </c>
      <c r="Q648" t="str">
        <f>IF('10 Numaralar'!R50="","",'10 Numaralar'!R50)</f>
        <v/>
      </c>
      <c r="R648" t="str">
        <f>IF('10 Numaralar'!S50="","",'10 Numaralar'!S50)</f>
        <v/>
      </c>
      <c r="S648" t="str">
        <f>IF('10 Numaralar'!T50="","",'10 Numaralar'!T50)</f>
        <v/>
      </c>
      <c r="T648" s="2" t="str">
        <f>IF('10 Numaralar'!U50="","",'10 Numaralar'!U50)</f>
        <v/>
      </c>
      <c r="U648" t="s">
        <v>932</v>
      </c>
      <c r="V648">
        <v>50</v>
      </c>
      <c r="W648" t="str">
        <f ca="1">IF(AND($A648&lt;&gt;"",ISNUMBER($G648),$G648&gt;=TODAY(),$G648&lt;=EDATE(TODAY(),12)),COUNTIFS($G$2:$G$1001,"&gt;="&amp;TODAY(),$G$2:$G$1001,"&lt;"&amp;$G648,$A$2:$A$1001,"&lt;&gt;")+COUNTIFS($G$2:$G648,$G648,$A$2:$A648,"&lt;&gt;"),"")</f>
        <v/>
      </c>
      <c r="X648" t="str">
        <f>IF(AND($A648&lt;&gt;"",ISNUMBER($C648),$C648&gt;=DATE(2003,1,1)),COUNTIFS($C$2:$C648,"&gt;="&amp;DATE(2003,1,1),$A$2:$A648,"&lt;&gt;"),"")</f>
        <v/>
      </c>
    </row>
    <row r="649" spans="1:24">
      <c r="A649" t="str">
        <f>IF('10 Numaralar'!A51="","",'10 Numaralar'!A51)</f>
        <v/>
      </c>
      <c r="B649" t="str">
        <f>IF('10 Numaralar'!B51="","",'10 Numaralar'!B51)</f>
        <v/>
      </c>
      <c r="C649" s="2" t="str">
        <f>IF('10 Numaralar'!C51="","",'10 Numaralar'!C51)</f>
        <v/>
      </c>
      <c r="D649" t="str">
        <f ca="1">IF('10 Numaralar'!D51="","",'10 Numaralar'!D51)</f>
        <v/>
      </c>
      <c r="E649" t="str">
        <f>IF('10 Numaralar'!E51="","",'10 Numaralar'!E51)</f>
        <v>10 Numara</v>
      </c>
      <c r="F649" t="str">
        <f>IF('10 Numaralar'!G51="","",'10 Numaralar'!G51)</f>
        <v/>
      </c>
      <c r="G649" s="2" t="str">
        <f>IF('10 Numaralar'!H51="","",'10 Numaralar'!H51)</f>
        <v/>
      </c>
      <c r="H649" t="str">
        <f>IF('10 Numaralar'!I51="","",'10 Numaralar'!I51)</f>
        <v/>
      </c>
      <c r="I649" t="str">
        <f>IF('10 Numaralar'!A51="","",'10 Numaralar'!J51)</f>
        <v/>
      </c>
      <c r="J649" t="str">
        <f>IF('10 Numaralar'!A51="","",'10 Numaralar'!K51)</f>
        <v/>
      </c>
      <c r="K649" t="str">
        <f>IF('10 Numaralar'!L51="","",'10 Numaralar'!L51)</f>
        <v/>
      </c>
      <c r="L649" t="str">
        <f>IF('10 Numaralar'!M51="","",'10 Numaralar'!M51)</f>
        <v/>
      </c>
      <c r="M649" t="str">
        <f>IF('10 Numaralar'!N51="","",'10 Numaralar'!N51)</f>
        <v/>
      </c>
      <c r="N649" t="str">
        <f>IF('10 Numaralar'!O51="","",'10 Numaralar'!O51)</f>
        <v/>
      </c>
      <c r="O649" t="str">
        <f>IF('10 Numaralar'!P51="","",'10 Numaralar'!P51)</f>
        <v/>
      </c>
      <c r="P649" t="str">
        <f>IF('10 Numaralar'!Q51="","",'10 Numaralar'!Q51)</f>
        <v/>
      </c>
      <c r="Q649" t="str">
        <f>IF('10 Numaralar'!R51="","",'10 Numaralar'!R51)</f>
        <v/>
      </c>
      <c r="R649" t="str">
        <f>IF('10 Numaralar'!S51="","",'10 Numaralar'!S51)</f>
        <v/>
      </c>
      <c r="S649" t="str">
        <f>IF('10 Numaralar'!T51="","",'10 Numaralar'!T51)</f>
        <v/>
      </c>
      <c r="T649" s="2" t="str">
        <f>IF('10 Numaralar'!U51="","",'10 Numaralar'!U51)</f>
        <v/>
      </c>
      <c r="U649" t="s">
        <v>932</v>
      </c>
      <c r="V649">
        <v>51</v>
      </c>
      <c r="W649" t="str">
        <f ca="1">IF(AND($A649&lt;&gt;"",ISNUMBER($G649),$G649&gt;=TODAY(),$G649&lt;=EDATE(TODAY(),12)),COUNTIFS($G$2:$G$1001,"&gt;="&amp;TODAY(),$G$2:$G$1001,"&lt;"&amp;$G649,$A$2:$A$1001,"&lt;&gt;")+COUNTIFS($G$2:$G649,$G649,$A$2:$A649,"&lt;&gt;"),"")</f>
        <v/>
      </c>
      <c r="X649" t="str">
        <f>IF(AND($A649&lt;&gt;"",ISNUMBER($C649),$C649&gt;=DATE(2003,1,1)),COUNTIFS($C$2:$C649,"&gt;="&amp;DATE(2003,1,1),$A$2:$A649,"&lt;&gt;"),"")</f>
        <v/>
      </c>
    </row>
    <row r="650" spans="1:24">
      <c r="A650" t="str">
        <f>IF('10 Numaralar'!A52="","",'10 Numaralar'!A52)</f>
        <v/>
      </c>
      <c r="B650" t="str">
        <f>IF('10 Numaralar'!B52="","",'10 Numaralar'!B52)</f>
        <v/>
      </c>
      <c r="C650" s="2" t="str">
        <f>IF('10 Numaralar'!C52="","",'10 Numaralar'!C52)</f>
        <v/>
      </c>
      <c r="D650" t="str">
        <f ca="1">IF('10 Numaralar'!D52="","",'10 Numaralar'!D52)</f>
        <v/>
      </c>
      <c r="E650" t="str">
        <f>IF('10 Numaralar'!E52="","",'10 Numaralar'!E52)</f>
        <v>10 Numara</v>
      </c>
      <c r="F650" t="str">
        <f>IF('10 Numaralar'!G52="","",'10 Numaralar'!G52)</f>
        <v/>
      </c>
      <c r="G650" s="2" t="str">
        <f>IF('10 Numaralar'!H52="","",'10 Numaralar'!H52)</f>
        <v/>
      </c>
      <c r="H650" t="str">
        <f>IF('10 Numaralar'!I52="","",'10 Numaralar'!I52)</f>
        <v/>
      </c>
      <c r="I650" t="str">
        <f>IF('10 Numaralar'!A52="","",'10 Numaralar'!J52)</f>
        <v/>
      </c>
      <c r="J650" t="str">
        <f>IF('10 Numaralar'!A52="","",'10 Numaralar'!K52)</f>
        <v/>
      </c>
      <c r="K650" t="str">
        <f>IF('10 Numaralar'!L52="","",'10 Numaralar'!L52)</f>
        <v/>
      </c>
      <c r="L650" t="str">
        <f>IF('10 Numaralar'!M52="","",'10 Numaralar'!M52)</f>
        <v/>
      </c>
      <c r="M650" t="str">
        <f>IF('10 Numaralar'!N52="","",'10 Numaralar'!N52)</f>
        <v/>
      </c>
      <c r="N650" t="str">
        <f>IF('10 Numaralar'!O52="","",'10 Numaralar'!O52)</f>
        <v/>
      </c>
      <c r="O650" t="str">
        <f>IF('10 Numaralar'!P52="","",'10 Numaralar'!P52)</f>
        <v/>
      </c>
      <c r="P650" t="str">
        <f>IF('10 Numaralar'!Q52="","",'10 Numaralar'!Q52)</f>
        <v/>
      </c>
      <c r="Q650" t="str">
        <f>IF('10 Numaralar'!R52="","",'10 Numaralar'!R52)</f>
        <v/>
      </c>
      <c r="R650" t="str">
        <f>IF('10 Numaralar'!S52="","",'10 Numaralar'!S52)</f>
        <v/>
      </c>
      <c r="S650" t="str">
        <f>IF('10 Numaralar'!T52="","",'10 Numaralar'!T52)</f>
        <v/>
      </c>
      <c r="T650" s="2" t="str">
        <f>IF('10 Numaralar'!U52="","",'10 Numaralar'!U52)</f>
        <v/>
      </c>
      <c r="U650" t="s">
        <v>932</v>
      </c>
      <c r="V650">
        <v>52</v>
      </c>
      <c r="W650" t="str">
        <f ca="1">IF(AND($A650&lt;&gt;"",ISNUMBER($G650),$G650&gt;=TODAY(),$G650&lt;=EDATE(TODAY(),12)),COUNTIFS($G$2:$G$1001,"&gt;="&amp;TODAY(),$G$2:$G$1001,"&lt;"&amp;$G650,$A$2:$A$1001,"&lt;&gt;")+COUNTIFS($G$2:$G650,$G650,$A$2:$A650,"&lt;&gt;"),"")</f>
        <v/>
      </c>
      <c r="X650" t="str">
        <f>IF(AND($A650&lt;&gt;"",ISNUMBER($C650),$C650&gt;=DATE(2003,1,1)),COUNTIFS($C$2:$C650,"&gt;="&amp;DATE(2003,1,1),$A$2:$A650,"&lt;&gt;"),"")</f>
        <v/>
      </c>
    </row>
    <row r="651" spans="1:24">
      <c r="A651" t="str">
        <f>IF('10 Numaralar'!A53="","",'10 Numaralar'!A53)</f>
        <v/>
      </c>
      <c r="B651" t="str">
        <f>IF('10 Numaralar'!B53="","",'10 Numaralar'!B53)</f>
        <v/>
      </c>
      <c r="C651" s="2" t="str">
        <f>IF('10 Numaralar'!C53="","",'10 Numaralar'!C53)</f>
        <v/>
      </c>
      <c r="D651" t="str">
        <f ca="1">IF('10 Numaralar'!D53="","",'10 Numaralar'!D53)</f>
        <v/>
      </c>
      <c r="E651" t="str">
        <f>IF('10 Numaralar'!E53="","",'10 Numaralar'!E53)</f>
        <v>10 Numara</v>
      </c>
      <c r="F651" t="str">
        <f>IF('10 Numaralar'!G53="","",'10 Numaralar'!G53)</f>
        <v/>
      </c>
      <c r="G651" s="2" t="str">
        <f>IF('10 Numaralar'!H53="","",'10 Numaralar'!H53)</f>
        <v/>
      </c>
      <c r="H651" t="str">
        <f>IF('10 Numaralar'!I53="","",'10 Numaralar'!I53)</f>
        <v/>
      </c>
      <c r="I651" t="str">
        <f>IF('10 Numaralar'!A53="","",'10 Numaralar'!J53)</f>
        <v/>
      </c>
      <c r="J651" t="str">
        <f>IF('10 Numaralar'!A53="","",'10 Numaralar'!K53)</f>
        <v/>
      </c>
      <c r="K651" t="str">
        <f>IF('10 Numaralar'!L53="","",'10 Numaralar'!L53)</f>
        <v/>
      </c>
      <c r="L651" t="str">
        <f>IF('10 Numaralar'!M53="","",'10 Numaralar'!M53)</f>
        <v/>
      </c>
      <c r="M651" t="str">
        <f>IF('10 Numaralar'!N53="","",'10 Numaralar'!N53)</f>
        <v/>
      </c>
      <c r="N651" t="str">
        <f>IF('10 Numaralar'!O53="","",'10 Numaralar'!O53)</f>
        <v/>
      </c>
      <c r="O651" t="str">
        <f>IF('10 Numaralar'!P53="","",'10 Numaralar'!P53)</f>
        <v/>
      </c>
      <c r="P651" t="str">
        <f>IF('10 Numaralar'!Q53="","",'10 Numaralar'!Q53)</f>
        <v/>
      </c>
      <c r="Q651" t="str">
        <f>IF('10 Numaralar'!R53="","",'10 Numaralar'!R53)</f>
        <v/>
      </c>
      <c r="R651" t="str">
        <f>IF('10 Numaralar'!S53="","",'10 Numaralar'!S53)</f>
        <v/>
      </c>
      <c r="S651" t="str">
        <f>IF('10 Numaralar'!T53="","",'10 Numaralar'!T53)</f>
        <v/>
      </c>
      <c r="T651" s="2" t="str">
        <f>IF('10 Numaralar'!U53="","",'10 Numaralar'!U53)</f>
        <v/>
      </c>
      <c r="U651" t="s">
        <v>932</v>
      </c>
      <c r="V651">
        <v>53</v>
      </c>
      <c r="W651" t="str">
        <f ca="1">IF(AND($A651&lt;&gt;"",ISNUMBER($G651),$G651&gt;=TODAY(),$G651&lt;=EDATE(TODAY(),12)),COUNTIFS($G$2:$G$1001,"&gt;="&amp;TODAY(),$G$2:$G$1001,"&lt;"&amp;$G651,$A$2:$A$1001,"&lt;&gt;")+COUNTIFS($G$2:$G651,$G651,$A$2:$A651,"&lt;&gt;"),"")</f>
        <v/>
      </c>
      <c r="X651" t="str">
        <f>IF(AND($A651&lt;&gt;"",ISNUMBER($C651),$C651&gt;=DATE(2003,1,1)),COUNTIFS($C$2:$C651,"&gt;="&amp;DATE(2003,1,1),$A$2:$A651,"&lt;&gt;"),"")</f>
        <v/>
      </c>
    </row>
    <row r="652" spans="1:24">
      <c r="A652" t="str">
        <f>IF('10 Numaralar'!A54="","",'10 Numaralar'!A54)</f>
        <v/>
      </c>
      <c r="B652" t="str">
        <f>IF('10 Numaralar'!B54="","",'10 Numaralar'!B54)</f>
        <v/>
      </c>
      <c r="C652" s="2" t="str">
        <f>IF('10 Numaralar'!C54="","",'10 Numaralar'!C54)</f>
        <v/>
      </c>
      <c r="D652" t="str">
        <f ca="1">IF('10 Numaralar'!D54="","",'10 Numaralar'!D54)</f>
        <v/>
      </c>
      <c r="E652" t="str">
        <f>IF('10 Numaralar'!E54="","",'10 Numaralar'!E54)</f>
        <v>10 Numara</v>
      </c>
      <c r="F652" t="str">
        <f>IF('10 Numaralar'!G54="","",'10 Numaralar'!G54)</f>
        <v/>
      </c>
      <c r="G652" s="2" t="str">
        <f>IF('10 Numaralar'!H54="","",'10 Numaralar'!H54)</f>
        <v/>
      </c>
      <c r="H652" t="str">
        <f>IF('10 Numaralar'!I54="","",'10 Numaralar'!I54)</f>
        <v/>
      </c>
      <c r="I652" t="str">
        <f>IF('10 Numaralar'!A54="","",'10 Numaralar'!J54)</f>
        <v/>
      </c>
      <c r="J652" t="str">
        <f>IF('10 Numaralar'!A54="","",'10 Numaralar'!K54)</f>
        <v/>
      </c>
      <c r="K652" t="str">
        <f>IF('10 Numaralar'!L54="","",'10 Numaralar'!L54)</f>
        <v/>
      </c>
      <c r="L652" t="str">
        <f>IF('10 Numaralar'!M54="","",'10 Numaralar'!M54)</f>
        <v/>
      </c>
      <c r="M652" t="str">
        <f>IF('10 Numaralar'!N54="","",'10 Numaralar'!N54)</f>
        <v/>
      </c>
      <c r="N652" t="str">
        <f>IF('10 Numaralar'!O54="","",'10 Numaralar'!O54)</f>
        <v/>
      </c>
      <c r="O652" t="str">
        <f>IF('10 Numaralar'!P54="","",'10 Numaralar'!P54)</f>
        <v/>
      </c>
      <c r="P652" t="str">
        <f>IF('10 Numaralar'!Q54="","",'10 Numaralar'!Q54)</f>
        <v/>
      </c>
      <c r="Q652" t="str">
        <f>IF('10 Numaralar'!R54="","",'10 Numaralar'!R54)</f>
        <v/>
      </c>
      <c r="R652" t="str">
        <f>IF('10 Numaralar'!S54="","",'10 Numaralar'!S54)</f>
        <v/>
      </c>
      <c r="S652" t="str">
        <f>IF('10 Numaralar'!T54="","",'10 Numaralar'!T54)</f>
        <v/>
      </c>
      <c r="T652" s="2" t="str">
        <f>IF('10 Numaralar'!U54="","",'10 Numaralar'!U54)</f>
        <v/>
      </c>
      <c r="U652" t="s">
        <v>932</v>
      </c>
      <c r="V652">
        <v>54</v>
      </c>
      <c r="W652" t="str">
        <f ca="1">IF(AND($A652&lt;&gt;"",ISNUMBER($G652),$G652&gt;=TODAY(),$G652&lt;=EDATE(TODAY(),12)),COUNTIFS($G$2:$G$1001,"&gt;="&amp;TODAY(),$G$2:$G$1001,"&lt;"&amp;$G652,$A$2:$A$1001,"&lt;&gt;")+COUNTIFS($G$2:$G652,$G652,$A$2:$A652,"&lt;&gt;"),"")</f>
        <v/>
      </c>
      <c r="X652" t="str">
        <f>IF(AND($A652&lt;&gt;"",ISNUMBER($C652),$C652&gt;=DATE(2003,1,1)),COUNTIFS($C$2:$C652,"&gt;="&amp;DATE(2003,1,1),$A$2:$A652,"&lt;&gt;"),"")</f>
        <v/>
      </c>
    </row>
    <row r="653" spans="1:24">
      <c r="A653" t="str">
        <f>IF('10 Numaralar'!A55="","",'10 Numaralar'!A55)</f>
        <v/>
      </c>
      <c r="B653" t="str">
        <f>IF('10 Numaralar'!B55="","",'10 Numaralar'!B55)</f>
        <v/>
      </c>
      <c r="C653" s="2" t="str">
        <f>IF('10 Numaralar'!C55="","",'10 Numaralar'!C55)</f>
        <v/>
      </c>
      <c r="D653" t="str">
        <f ca="1">IF('10 Numaralar'!D55="","",'10 Numaralar'!D55)</f>
        <v/>
      </c>
      <c r="E653" t="str">
        <f>IF('10 Numaralar'!E55="","",'10 Numaralar'!E55)</f>
        <v>10 Numara</v>
      </c>
      <c r="F653" t="str">
        <f>IF('10 Numaralar'!G55="","",'10 Numaralar'!G55)</f>
        <v/>
      </c>
      <c r="G653" s="2" t="str">
        <f>IF('10 Numaralar'!H55="","",'10 Numaralar'!H55)</f>
        <v/>
      </c>
      <c r="H653" t="str">
        <f>IF('10 Numaralar'!I55="","",'10 Numaralar'!I55)</f>
        <v/>
      </c>
      <c r="I653" t="str">
        <f>IF('10 Numaralar'!A55="","",'10 Numaralar'!J55)</f>
        <v/>
      </c>
      <c r="J653" t="str">
        <f>IF('10 Numaralar'!A55="","",'10 Numaralar'!K55)</f>
        <v/>
      </c>
      <c r="K653" t="str">
        <f>IF('10 Numaralar'!L55="","",'10 Numaralar'!L55)</f>
        <v/>
      </c>
      <c r="L653" t="str">
        <f>IF('10 Numaralar'!M55="","",'10 Numaralar'!M55)</f>
        <v/>
      </c>
      <c r="M653" t="str">
        <f>IF('10 Numaralar'!N55="","",'10 Numaralar'!N55)</f>
        <v/>
      </c>
      <c r="N653" t="str">
        <f>IF('10 Numaralar'!O55="","",'10 Numaralar'!O55)</f>
        <v/>
      </c>
      <c r="O653" t="str">
        <f>IF('10 Numaralar'!P55="","",'10 Numaralar'!P55)</f>
        <v/>
      </c>
      <c r="P653" t="str">
        <f>IF('10 Numaralar'!Q55="","",'10 Numaralar'!Q55)</f>
        <v/>
      </c>
      <c r="Q653" t="str">
        <f>IF('10 Numaralar'!R55="","",'10 Numaralar'!R55)</f>
        <v/>
      </c>
      <c r="R653" t="str">
        <f>IF('10 Numaralar'!S55="","",'10 Numaralar'!S55)</f>
        <v/>
      </c>
      <c r="S653" t="str">
        <f>IF('10 Numaralar'!T55="","",'10 Numaralar'!T55)</f>
        <v/>
      </c>
      <c r="T653" s="2" t="str">
        <f>IF('10 Numaralar'!U55="","",'10 Numaralar'!U55)</f>
        <v/>
      </c>
      <c r="U653" t="s">
        <v>932</v>
      </c>
      <c r="V653">
        <v>55</v>
      </c>
      <c r="W653" t="str">
        <f ca="1">IF(AND($A653&lt;&gt;"",ISNUMBER($G653),$G653&gt;=TODAY(),$G653&lt;=EDATE(TODAY(),12)),COUNTIFS($G$2:$G$1001,"&gt;="&amp;TODAY(),$G$2:$G$1001,"&lt;"&amp;$G653,$A$2:$A$1001,"&lt;&gt;")+COUNTIFS($G$2:$G653,$G653,$A$2:$A653,"&lt;&gt;"),"")</f>
        <v/>
      </c>
      <c r="X653" t="str">
        <f>IF(AND($A653&lt;&gt;"",ISNUMBER($C653),$C653&gt;=DATE(2003,1,1)),COUNTIFS($C$2:$C653,"&gt;="&amp;DATE(2003,1,1),$A$2:$A653,"&lt;&gt;"),"")</f>
        <v/>
      </c>
    </row>
    <row r="654" spans="1:24">
      <c r="A654" t="str">
        <f>IF('10 Numaralar'!A56="","",'10 Numaralar'!A56)</f>
        <v/>
      </c>
      <c r="B654" t="str">
        <f>IF('10 Numaralar'!B56="","",'10 Numaralar'!B56)</f>
        <v/>
      </c>
      <c r="C654" s="2" t="str">
        <f>IF('10 Numaralar'!C56="","",'10 Numaralar'!C56)</f>
        <v/>
      </c>
      <c r="D654" t="str">
        <f ca="1">IF('10 Numaralar'!D56="","",'10 Numaralar'!D56)</f>
        <v/>
      </c>
      <c r="E654" t="str">
        <f>IF('10 Numaralar'!E56="","",'10 Numaralar'!E56)</f>
        <v>10 Numara</v>
      </c>
      <c r="F654" t="str">
        <f>IF('10 Numaralar'!G56="","",'10 Numaralar'!G56)</f>
        <v/>
      </c>
      <c r="G654" s="2" t="str">
        <f>IF('10 Numaralar'!H56="","",'10 Numaralar'!H56)</f>
        <v/>
      </c>
      <c r="H654" t="str">
        <f>IF('10 Numaralar'!I56="","",'10 Numaralar'!I56)</f>
        <v/>
      </c>
      <c r="I654" t="str">
        <f>IF('10 Numaralar'!A56="","",'10 Numaralar'!J56)</f>
        <v/>
      </c>
      <c r="J654" t="str">
        <f>IF('10 Numaralar'!A56="","",'10 Numaralar'!K56)</f>
        <v/>
      </c>
      <c r="K654" t="str">
        <f>IF('10 Numaralar'!L56="","",'10 Numaralar'!L56)</f>
        <v/>
      </c>
      <c r="L654" t="str">
        <f>IF('10 Numaralar'!M56="","",'10 Numaralar'!M56)</f>
        <v/>
      </c>
      <c r="M654" t="str">
        <f>IF('10 Numaralar'!N56="","",'10 Numaralar'!N56)</f>
        <v/>
      </c>
      <c r="N654" t="str">
        <f>IF('10 Numaralar'!O56="","",'10 Numaralar'!O56)</f>
        <v/>
      </c>
      <c r="O654" t="str">
        <f>IF('10 Numaralar'!P56="","",'10 Numaralar'!P56)</f>
        <v/>
      </c>
      <c r="P654" t="str">
        <f>IF('10 Numaralar'!Q56="","",'10 Numaralar'!Q56)</f>
        <v/>
      </c>
      <c r="Q654" t="str">
        <f>IF('10 Numaralar'!R56="","",'10 Numaralar'!R56)</f>
        <v/>
      </c>
      <c r="R654" t="str">
        <f>IF('10 Numaralar'!S56="","",'10 Numaralar'!S56)</f>
        <v/>
      </c>
      <c r="S654" t="str">
        <f>IF('10 Numaralar'!T56="","",'10 Numaralar'!T56)</f>
        <v/>
      </c>
      <c r="T654" s="2" t="str">
        <f>IF('10 Numaralar'!U56="","",'10 Numaralar'!U56)</f>
        <v/>
      </c>
      <c r="U654" t="s">
        <v>932</v>
      </c>
      <c r="V654">
        <v>56</v>
      </c>
      <c r="W654" t="str">
        <f ca="1">IF(AND($A654&lt;&gt;"",ISNUMBER($G654),$G654&gt;=TODAY(),$G654&lt;=EDATE(TODAY(),12)),COUNTIFS($G$2:$G$1001,"&gt;="&amp;TODAY(),$G$2:$G$1001,"&lt;"&amp;$G654,$A$2:$A$1001,"&lt;&gt;")+COUNTIFS($G$2:$G654,$G654,$A$2:$A654,"&lt;&gt;"),"")</f>
        <v/>
      </c>
      <c r="X654" t="str">
        <f>IF(AND($A654&lt;&gt;"",ISNUMBER($C654),$C654&gt;=DATE(2003,1,1)),COUNTIFS($C$2:$C654,"&gt;="&amp;DATE(2003,1,1),$A$2:$A654,"&lt;&gt;"),"")</f>
        <v/>
      </c>
    </row>
    <row r="655" spans="1:24">
      <c r="A655" t="str">
        <f>IF('10 Numaralar'!A57="","",'10 Numaralar'!A57)</f>
        <v/>
      </c>
      <c r="B655" t="str">
        <f>IF('10 Numaralar'!B57="","",'10 Numaralar'!B57)</f>
        <v/>
      </c>
      <c r="C655" s="2" t="str">
        <f>IF('10 Numaralar'!C57="","",'10 Numaralar'!C57)</f>
        <v/>
      </c>
      <c r="D655" t="str">
        <f ca="1">IF('10 Numaralar'!D57="","",'10 Numaralar'!D57)</f>
        <v/>
      </c>
      <c r="E655" t="str">
        <f>IF('10 Numaralar'!E57="","",'10 Numaralar'!E57)</f>
        <v>10 Numara</v>
      </c>
      <c r="F655" t="str">
        <f>IF('10 Numaralar'!G57="","",'10 Numaralar'!G57)</f>
        <v/>
      </c>
      <c r="G655" s="2" t="str">
        <f>IF('10 Numaralar'!H57="","",'10 Numaralar'!H57)</f>
        <v/>
      </c>
      <c r="H655" t="str">
        <f>IF('10 Numaralar'!I57="","",'10 Numaralar'!I57)</f>
        <v/>
      </c>
      <c r="I655" t="str">
        <f>IF('10 Numaralar'!A57="","",'10 Numaralar'!J57)</f>
        <v/>
      </c>
      <c r="J655" t="str">
        <f>IF('10 Numaralar'!A57="","",'10 Numaralar'!K57)</f>
        <v/>
      </c>
      <c r="K655" t="str">
        <f>IF('10 Numaralar'!L57="","",'10 Numaralar'!L57)</f>
        <v/>
      </c>
      <c r="L655" t="str">
        <f>IF('10 Numaralar'!M57="","",'10 Numaralar'!M57)</f>
        <v/>
      </c>
      <c r="M655" t="str">
        <f>IF('10 Numaralar'!N57="","",'10 Numaralar'!N57)</f>
        <v/>
      </c>
      <c r="N655" t="str">
        <f>IF('10 Numaralar'!O57="","",'10 Numaralar'!O57)</f>
        <v/>
      </c>
      <c r="O655" t="str">
        <f>IF('10 Numaralar'!P57="","",'10 Numaralar'!P57)</f>
        <v/>
      </c>
      <c r="P655" t="str">
        <f>IF('10 Numaralar'!Q57="","",'10 Numaralar'!Q57)</f>
        <v/>
      </c>
      <c r="Q655" t="str">
        <f>IF('10 Numaralar'!R57="","",'10 Numaralar'!R57)</f>
        <v/>
      </c>
      <c r="R655" t="str">
        <f>IF('10 Numaralar'!S57="","",'10 Numaralar'!S57)</f>
        <v/>
      </c>
      <c r="S655" t="str">
        <f>IF('10 Numaralar'!T57="","",'10 Numaralar'!T57)</f>
        <v/>
      </c>
      <c r="T655" s="2" t="str">
        <f>IF('10 Numaralar'!U57="","",'10 Numaralar'!U57)</f>
        <v/>
      </c>
      <c r="U655" t="s">
        <v>932</v>
      </c>
      <c r="V655">
        <v>57</v>
      </c>
      <c r="W655" t="str">
        <f ca="1">IF(AND($A655&lt;&gt;"",ISNUMBER($G655),$G655&gt;=TODAY(),$G655&lt;=EDATE(TODAY(),12)),COUNTIFS($G$2:$G$1001,"&gt;="&amp;TODAY(),$G$2:$G$1001,"&lt;"&amp;$G655,$A$2:$A$1001,"&lt;&gt;")+COUNTIFS($G$2:$G655,$G655,$A$2:$A655,"&lt;&gt;"),"")</f>
        <v/>
      </c>
      <c r="X655" t="str">
        <f>IF(AND($A655&lt;&gt;"",ISNUMBER($C655),$C655&gt;=DATE(2003,1,1)),COUNTIFS($C$2:$C655,"&gt;="&amp;DATE(2003,1,1),$A$2:$A655,"&lt;&gt;"),"")</f>
        <v/>
      </c>
    </row>
    <row r="656" spans="1:24">
      <c r="A656" t="str">
        <f>IF('10 Numaralar'!A58="","",'10 Numaralar'!A58)</f>
        <v/>
      </c>
      <c r="B656" t="str">
        <f>IF('10 Numaralar'!B58="","",'10 Numaralar'!B58)</f>
        <v/>
      </c>
      <c r="C656" s="2" t="str">
        <f>IF('10 Numaralar'!C58="","",'10 Numaralar'!C58)</f>
        <v/>
      </c>
      <c r="D656" t="str">
        <f ca="1">IF('10 Numaralar'!D58="","",'10 Numaralar'!D58)</f>
        <v/>
      </c>
      <c r="E656" t="str">
        <f>IF('10 Numaralar'!E58="","",'10 Numaralar'!E58)</f>
        <v>10 Numara</v>
      </c>
      <c r="F656" t="str">
        <f>IF('10 Numaralar'!G58="","",'10 Numaralar'!G58)</f>
        <v/>
      </c>
      <c r="G656" s="2" t="str">
        <f>IF('10 Numaralar'!H58="","",'10 Numaralar'!H58)</f>
        <v/>
      </c>
      <c r="H656" t="str">
        <f>IF('10 Numaralar'!I58="","",'10 Numaralar'!I58)</f>
        <v/>
      </c>
      <c r="I656" t="str">
        <f>IF('10 Numaralar'!A58="","",'10 Numaralar'!J58)</f>
        <v/>
      </c>
      <c r="J656" t="str">
        <f>IF('10 Numaralar'!A58="","",'10 Numaralar'!K58)</f>
        <v/>
      </c>
      <c r="K656" t="str">
        <f>IF('10 Numaralar'!L58="","",'10 Numaralar'!L58)</f>
        <v/>
      </c>
      <c r="L656" t="str">
        <f>IF('10 Numaralar'!M58="","",'10 Numaralar'!M58)</f>
        <v/>
      </c>
      <c r="M656" t="str">
        <f>IF('10 Numaralar'!N58="","",'10 Numaralar'!N58)</f>
        <v/>
      </c>
      <c r="N656" t="str">
        <f>IF('10 Numaralar'!O58="","",'10 Numaralar'!O58)</f>
        <v/>
      </c>
      <c r="O656" t="str">
        <f>IF('10 Numaralar'!P58="","",'10 Numaralar'!P58)</f>
        <v/>
      </c>
      <c r="P656" t="str">
        <f>IF('10 Numaralar'!Q58="","",'10 Numaralar'!Q58)</f>
        <v/>
      </c>
      <c r="Q656" t="str">
        <f>IF('10 Numaralar'!R58="","",'10 Numaralar'!R58)</f>
        <v/>
      </c>
      <c r="R656" t="str">
        <f>IF('10 Numaralar'!S58="","",'10 Numaralar'!S58)</f>
        <v/>
      </c>
      <c r="S656" t="str">
        <f>IF('10 Numaralar'!T58="","",'10 Numaralar'!T58)</f>
        <v/>
      </c>
      <c r="T656" s="2" t="str">
        <f>IF('10 Numaralar'!U58="","",'10 Numaralar'!U58)</f>
        <v/>
      </c>
      <c r="U656" t="s">
        <v>932</v>
      </c>
      <c r="V656">
        <v>58</v>
      </c>
      <c r="W656" t="str">
        <f ca="1">IF(AND($A656&lt;&gt;"",ISNUMBER($G656),$G656&gt;=TODAY(),$G656&lt;=EDATE(TODAY(),12)),COUNTIFS($G$2:$G$1001,"&gt;="&amp;TODAY(),$G$2:$G$1001,"&lt;"&amp;$G656,$A$2:$A$1001,"&lt;&gt;")+COUNTIFS($G$2:$G656,$G656,$A$2:$A656,"&lt;&gt;"),"")</f>
        <v/>
      </c>
      <c r="X656" t="str">
        <f>IF(AND($A656&lt;&gt;"",ISNUMBER($C656),$C656&gt;=DATE(2003,1,1)),COUNTIFS($C$2:$C656,"&gt;="&amp;DATE(2003,1,1),$A$2:$A656,"&lt;&gt;"),"")</f>
        <v/>
      </c>
    </row>
    <row r="657" spans="1:24">
      <c r="A657" t="str">
        <f>IF('10 Numaralar'!A59="","",'10 Numaralar'!A59)</f>
        <v/>
      </c>
      <c r="B657" t="str">
        <f>IF('10 Numaralar'!B59="","",'10 Numaralar'!B59)</f>
        <v/>
      </c>
      <c r="C657" s="2" t="str">
        <f>IF('10 Numaralar'!C59="","",'10 Numaralar'!C59)</f>
        <v/>
      </c>
      <c r="D657" t="str">
        <f ca="1">IF('10 Numaralar'!D59="","",'10 Numaralar'!D59)</f>
        <v/>
      </c>
      <c r="E657" t="str">
        <f>IF('10 Numaralar'!E59="","",'10 Numaralar'!E59)</f>
        <v>10 Numara</v>
      </c>
      <c r="F657" t="str">
        <f>IF('10 Numaralar'!G59="","",'10 Numaralar'!G59)</f>
        <v/>
      </c>
      <c r="G657" s="2" t="str">
        <f>IF('10 Numaralar'!H59="","",'10 Numaralar'!H59)</f>
        <v/>
      </c>
      <c r="H657" t="str">
        <f>IF('10 Numaralar'!I59="","",'10 Numaralar'!I59)</f>
        <v/>
      </c>
      <c r="I657" t="str">
        <f>IF('10 Numaralar'!A59="","",'10 Numaralar'!J59)</f>
        <v/>
      </c>
      <c r="J657" t="str">
        <f>IF('10 Numaralar'!A59="","",'10 Numaralar'!K59)</f>
        <v/>
      </c>
      <c r="K657" t="str">
        <f>IF('10 Numaralar'!L59="","",'10 Numaralar'!L59)</f>
        <v/>
      </c>
      <c r="L657" t="str">
        <f>IF('10 Numaralar'!M59="","",'10 Numaralar'!M59)</f>
        <v/>
      </c>
      <c r="M657" t="str">
        <f>IF('10 Numaralar'!N59="","",'10 Numaralar'!N59)</f>
        <v/>
      </c>
      <c r="N657" t="str">
        <f>IF('10 Numaralar'!O59="","",'10 Numaralar'!O59)</f>
        <v/>
      </c>
      <c r="O657" t="str">
        <f>IF('10 Numaralar'!P59="","",'10 Numaralar'!P59)</f>
        <v/>
      </c>
      <c r="P657" t="str">
        <f>IF('10 Numaralar'!Q59="","",'10 Numaralar'!Q59)</f>
        <v/>
      </c>
      <c r="Q657" t="str">
        <f>IF('10 Numaralar'!R59="","",'10 Numaralar'!R59)</f>
        <v/>
      </c>
      <c r="R657" t="str">
        <f>IF('10 Numaralar'!S59="","",'10 Numaralar'!S59)</f>
        <v/>
      </c>
      <c r="S657" t="str">
        <f>IF('10 Numaralar'!T59="","",'10 Numaralar'!T59)</f>
        <v/>
      </c>
      <c r="T657" s="2" t="str">
        <f>IF('10 Numaralar'!U59="","",'10 Numaralar'!U59)</f>
        <v/>
      </c>
      <c r="U657" t="s">
        <v>932</v>
      </c>
      <c r="V657">
        <v>59</v>
      </c>
      <c r="W657" t="str">
        <f ca="1">IF(AND($A657&lt;&gt;"",ISNUMBER($G657),$G657&gt;=TODAY(),$G657&lt;=EDATE(TODAY(),12)),COUNTIFS($G$2:$G$1001,"&gt;="&amp;TODAY(),$G$2:$G$1001,"&lt;"&amp;$G657,$A$2:$A$1001,"&lt;&gt;")+COUNTIFS($G$2:$G657,$G657,$A$2:$A657,"&lt;&gt;"),"")</f>
        <v/>
      </c>
      <c r="X657" t="str">
        <f>IF(AND($A657&lt;&gt;"",ISNUMBER($C657),$C657&gt;=DATE(2003,1,1)),COUNTIFS($C$2:$C657,"&gt;="&amp;DATE(2003,1,1),$A$2:$A657,"&lt;&gt;"),"")</f>
        <v/>
      </c>
    </row>
    <row r="658" spans="1:24">
      <c r="A658" t="str">
        <f>IF('10 Numaralar'!A60="","",'10 Numaralar'!A60)</f>
        <v/>
      </c>
      <c r="B658" t="str">
        <f>IF('10 Numaralar'!B60="","",'10 Numaralar'!B60)</f>
        <v/>
      </c>
      <c r="C658" s="2" t="str">
        <f>IF('10 Numaralar'!C60="","",'10 Numaralar'!C60)</f>
        <v/>
      </c>
      <c r="D658" t="str">
        <f ca="1">IF('10 Numaralar'!D60="","",'10 Numaralar'!D60)</f>
        <v/>
      </c>
      <c r="E658" t="str">
        <f>IF('10 Numaralar'!E60="","",'10 Numaralar'!E60)</f>
        <v>10 Numara</v>
      </c>
      <c r="F658" t="str">
        <f>IF('10 Numaralar'!G60="","",'10 Numaralar'!G60)</f>
        <v/>
      </c>
      <c r="G658" s="2" t="str">
        <f>IF('10 Numaralar'!H60="","",'10 Numaralar'!H60)</f>
        <v/>
      </c>
      <c r="H658" t="str">
        <f>IF('10 Numaralar'!I60="","",'10 Numaralar'!I60)</f>
        <v/>
      </c>
      <c r="I658" t="str">
        <f>IF('10 Numaralar'!A60="","",'10 Numaralar'!J60)</f>
        <v/>
      </c>
      <c r="J658" t="str">
        <f>IF('10 Numaralar'!A60="","",'10 Numaralar'!K60)</f>
        <v/>
      </c>
      <c r="K658" t="str">
        <f>IF('10 Numaralar'!L60="","",'10 Numaralar'!L60)</f>
        <v/>
      </c>
      <c r="L658" t="str">
        <f>IF('10 Numaralar'!M60="","",'10 Numaralar'!M60)</f>
        <v/>
      </c>
      <c r="M658" t="str">
        <f>IF('10 Numaralar'!N60="","",'10 Numaralar'!N60)</f>
        <v/>
      </c>
      <c r="N658" t="str">
        <f>IF('10 Numaralar'!O60="","",'10 Numaralar'!O60)</f>
        <v/>
      </c>
      <c r="O658" t="str">
        <f>IF('10 Numaralar'!P60="","",'10 Numaralar'!P60)</f>
        <v/>
      </c>
      <c r="P658" t="str">
        <f>IF('10 Numaralar'!Q60="","",'10 Numaralar'!Q60)</f>
        <v/>
      </c>
      <c r="Q658" t="str">
        <f>IF('10 Numaralar'!R60="","",'10 Numaralar'!R60)</f>
        <v/>
      </c>
      <c r="R658" t="str">
        <f>IF('10 Numaralar'!S60="","",'10 Numaralar'!S60)</f>
        <v/>
      </c>
      <c r="S658" t="str">
        <f>IF('10 Numaralar'!T60="","",'10 Numaralar'!T60)</f>
        <v/>
      </c>
      <c r="T658" s="2" t="str">
        <f>IF('10 Numaralar'!U60="","",'10 Numaralar'!U60)</f>
        <v/>
      </c>
      <c r="U658" t="s">
        <v>932</v>
      </c>
      <c r="V658">
        <v>60</v>
      </c>
      <c r="W658" t="str">
        <f ca="1">IF(AND($A658&lt;&gt;"",ISNUMBER($G658),$G658&gt;=TODAY(),$G658&lt;=EDATE(TODAY(),12)),COUNTIFS($G$2:$G$1001,"&gt;="&amp;TODAY(),$G$2:$G$1001,"&lt;"&amp;$G658,$A$2:$A$1001,"&lt;&gt;")+COUNTIFS($G$2:$G658,$G658,$A$2:$A658,"&lt;&gt;"),"")</f>
        <v/>
      </c>
      <c r="X658" t="str">
        <f>IF(AND($A658&lt;&gt;"",ISNUMBER($C658),$C658&gt;=DATE(2003,1,1)),COUNTIFS($C$2:$C658,"&gt;="&amp;DATE(2003,1,1),$A$2:$A658,"&lt;&gt;"),"")</f>
        <v/>
      </c>
    </row>
    <row r="659" spans="1:24">
      <c r="A659" t="str">
        <f>IF('10 Numaralar'!A61="","",'10 Numaralar'!A61)</f>
        <v/>
      </c>
      <c r="B659" t="str">
        <f>IF('10 Numaralar'!B61="","",'10 Numaralar'!B61)</f>
        <v/>
      </c>
      <c r="C659" s="2" t="str">
        <f>IF('10 Numaralar'!C61="","",'10 Numaralar'!C61)</f>
        <v/>
      </c>
      <c r="D659" t="str">
        <f ca="1">IF('10 Numaralar'!D61="","",'10 Numaralar'!D61)</f>
        <v/>
      </c>
      <c r="E659" t="str">
        <f>IF('10 Numaralar'!E61="","",'10 Numaralar'!E61)</f>
        <v>10 Numara</v>
      </c>
      <c r="F659" t="str">
        <f>IF('10 Numaralar'!G61="","",'10 Numaralar'!G61)</f>
        <v/>
      </c>
      <c r="G659" s="2" t="str">
        <f>IF('10 Numaralar'!H61="","",'10 Numaralar'!H61)</f>
        <v/>
      </c>
      <c r="H659" t="str">
        <f>IF('10 Numaralar'!I61="","",'10 Numaralar'!I61)</f>
        <v/>
      </c>
      <c r="I659" t="str">
        <f>IF('10 Numaralar'!A61="","",'10 Numaralar'!J61)</f>
        <v/>
      </c>
      <c r="J659" t="str">
        <f>IF('10 Numaralar'!A61="","",'10 Numaralar'!K61)</f>
        <v/>
      </c>
      <c r="K659" t="str">
        <f>IF('10 Numaralar'!L61="","",'10 Numaralar'!L61)</f>
        <v/>
      </c>
      <c r="L659" t="str">
        <f>IF('10 Numaralar'!M61="","",'10 Numaralar'!M61)</f>
        <v/>
      </c>
      <c r="M659" t="str">
        <f>IF('10 Numaralar'!N61="","",'10 Numaralar'!N61)</f>
        <v/>
      </c>
      <c r="N659" t="str">
        <f>IF('10 Numaralar'!O61="","",'10 Numaralar'!O61)</f>
        <v/>
      </c>
      <c r="O659" t="str">
        <f>IF('10 Numaralar'!P61="","",'10 Numaralar'!P61)</f>
        <v/>
      </c>
      <c r="P659" t="str">
        <f>IF('10 Numaralar'!Q61="","",'10 Numaralar'!Q61)</f>
        <v/>
      </c>
      <c r="Q659" t="str">
        <f>IF('10 Numaralar'!R61="","",'10 Numaralar'!R61)</f>
        <v/>
      </c>
      <c r="R659" t="str">
        <f>IF('10 Numaralar'!S61="","",'10 Numaralar'!S61)</f>
        <v/>
      </c>
      <c r="S659" t="str">
        <f>IF('10 Numaralar'!T61="","",'10 Numaralar'!T61)</f>
        <v/>
      </c>
      <c r="T659" s="2" t="str">
        <f>IF('10 Numaralar'!U61="","",'10 Numaralar'!U61)</f>
        <v/>
      </c>
      <c r="U659" t="s">
        <v>932</v>
      </c>
      <c r="V659">
        <v>61</v>
      </c>
      <c r="W659" t="str">
        <f ca="1">IF(AND($A659&lt;&gt;"",ISNUMBER($G659),$G659&gt;=TODAY(),$G659&lt;=EDATE(TODAY(),12)),COUNTIFS($G$2:$G$1001,"&gt;="&amp;TODAY(),$G$2:$G$1001,"&lt;"&amp;$G659,$A$2:$A$1001,"&lt;&gt;")+COUNTIFS($G$2:$G659,$G659,$A$2:$A659,"&lt;&gt;"),"")</f>
        <v/>
      </c>
      <c r="X659" t="str">
        <f>IF(AND($A659&lt;&gt;"",ISNUMBER($C659),$C659&gt;=DATE(2003,1,1)),COUNTIFS($C$2:$C659,"&gt;="&amp;DATE(2003,1,1),$A$2:$A659,"&lt;&gt;"),"")</f>
        <v/>
      </c>
    </row>
    <row r="660" spans="1:24">
      <c r="A660" t="str">
        <f>IF('10 Numaralar'!A62="","",'10 Numaralar'!A62)</f>
        <v/>
      </c>
      <c r="B660" t="str">
        <f>IF('10 Numaralar'!B62="","",'10 Numaralar'!B62)</f>
        <v/>
      </c>
      <c r="C660" s="2" t="str">
        <f>IF('10 Numaralar'!C62="","",'10 Numaralar'!C62)</f>
        <v/>
      </c>
      <c r="D660" t="str">
        <f ca="1">IF('10 Numaralar'!D62="","",'10 Numaralar'!D62)</f>
        <v/>
      </c>
      <c r="E660" t="str">
        <f>IF('10 Numaralar'!E62="","",'10 Numaralar'!E62)</f>
        <v>10 Numara</v>
      </c>
      <c r="F660" t="str">
        <f>IF('10 Numaralar'!G62="","",'10 Numaralar'!G62)</f>
        <v/>
      </c>
      <c r="G660" s="2" t="str">
        <f>IF('10 Numaralar'!H62="","",'10 Numaralar'!H62)</f>
        <v/>
      </c>
      <c r="H660" t="str">
        <f>IF('10 Numaralar'!I62="","",'10 Numaralar'!I62)</f>
        <v/>
      </c>
      <c r="I660" t="str">
        <f>IF('10 Numaralar'!A62="","",'10 Numaralar'!J62)</f>
        <v/>
      </c>
      <c r="J660" t="str">
        <f>IF('10 Numaralar'!A62="","",'10 Numaralar'!K62)</f>
        <v/>
      </c>
      <c r="K660" t="str">
        <f>IF('10 Numaralar'!L62="","",'10 Numaralar'!L62)</f>
        <v/>
      </c>
      <c r="L660" t="str">
        <f>IF('10 Numaralar'!M62="","",'10 Numaralar'!M62)</f>
        <v/>
      </c>
      <c r="M660" t="str">
        <f>IF('10 Numaralar'!N62="","",'10 Numaralar'!N62)</f>
        <v/>
      </c>
      <c r="N660" t="str">
        <f>IF('10 Numaralar'!O62="","",'10 Numaralar'!O62)</f>
        <v/>
      </c>
      <c r="O660" t="str">
        <f>IF('10 Numaralar'!P62="","",'10 Numaralar'!P62)</f>
        <v/>
      </c>
      <c r="P660" t="str">
        <f>IF('10 Numaralar'!Q62="","",'10 Numaralar'!Q62)</f>
        <v/>
      </c>
      <c r="Q660" t="str">
        <f>IF('10 Numaralar'!R62="","",'10 Numaralar'!R62)</f>
        <v/>
      </c>
      <c r="R660" t="str">
        <f>IF('10 Numaralar'!S62="","",'10 Numaralar'!S62)</f>
        <v/>
      </c>
      <c r="S660" t="str">
        <f>IF('10 Numaralar'!T62="","",'10 Numaralar'!T62)</f>
        <v/>
      </c>
      <c r="T660" s="2" t="str">
        <f>IF('10 Numaralar'!U62="","",'10 Numaralar'!U62)</f>
        <v/>
      </c>
      <c r="U660" t="s">
        <v>932</v>
      </c>
      <c r="V660">
        <v>62</v>
      </c>
      <c r="W660" t="str">
        <f ca="1">IF(AND($A660&lt;&gt;"",ISNUMBER($G660),$G660&gt;=TODAY(),$G660&lt;=EDATE(TODAY(),12)),COUNTIFS($G$2:$G$1001,"&gt;="&amp;TODAY(),$G$2:$G$1001,"&lt;"&amp;$G660,$A$2:$A$1001,"&lt;&gt;")+COUNTIFS($G$2:$G660,$G660,$A$2:$A660,"&lt;&gt;"),"")</f>
        <v/>
      </c>
      <c r="X660" t="str">
        <f>IF(AND($A660&lt;&gt;"",ISNUMBER($C660),$C660&gt;=DATE(2003,1,1)),COUNTIFS($C$2:$C660,"&gt;="&amp;DATE(2003,1,1),$A$2:$A660,"&lt;&gt;"),"")</f>
        <v/>
      </c>
    </row>
    <row r="661" spans="1:24">
      <c r="A661" t="str">
        <f>IF('10 Numaralar'!A63="","",'10 Numaralar'!A63)</f>
        <v/>
      </c>
      <c r="B661" t="str">
        <f>IF('10 Numaralar'!B63="","",'10 Numaralar'!B63)</f>
        <v/>
      </c>
      <c r="C661" s="2" t="str">
        <f>IF('10 Numaralar'!C63="","",'10 Numaralar'!C63)</f>
        <v/>
      </c>
      <c r="D661" t="str">
        <f ca="1">IF('10 Numaralar'!D63="","",'10 Numaralar'!D63)</f>
        <v/>
      </c>
      <c r="E661" t="str">
        <f>IF('10 Numaralar'!E63="","",'10 Numaralar'!E63)</f>
        <v>10 Numara</v>
      </c>
      <c r="F661" t="str">
        <f>IF('10 Numaralar'!G63="","",'10 Numaralar'!G63)</f>
        <v/>
      </c>
      <c r="G661" s="2" t="str">
        <f>IF('10 Numaralar'!H63="","",'10 Numaralar'!H63)</f>
        <v/>
      </c>
      <c r="H661" t="str">
        <f>IF('10 Numaralar'!I63="","",'10 Numaralar'!I63)</f>
        <v/>
      </c>
      <c r="I661" t="str">
        <f>IF('10 Numaralar'!A63="","",'10 Numaralar'!J63)</f>
        <v/>
      </c>
      <c r="J661" t="str">
        <f>IF('10 Numaralar'!A63="","",'10 Numaralar'!K63)</f>
        <v/>
      </c>
      <c r="K661" t="str">
        <f>IF('10 Numaralar'!L63="","",'10 Numaralar'!L63)</f>
        <v/>
      </c>
      <c r="L661" t="str">
        <f>IF('10 Numaralar'!M63="","",'10 Numaralar'!M63)</f>
        <v/>
      </c>
      <c r="M661" t="str">
        <f>IF('10 Numaralar'!N63="","",'10 Numaralar'!N63)</f>
        <v/>
      </c>
      <c r="N661" t="str">
        <f>IF('10 Numaralar'!O63="","",'10 Numaralar'!O63)</f>
        <v/>
      </c>
      <c r="O661" t="str">
        <f>IF('10 Numaralar'!P63="","",'10 Numaralar'!P63)</f>
        <v/>
      </c>
      <c r="P661" t="str">
        <f>IF('10 Numaralar'!Q63="","",'10 Numaralar'!Q63)</f>
        <v/>
      </c>
      <c r="Q661" t="str">
        <f>IF('10 Numaralar'!R63="","",'10 Numaralar'!R63)</f>
        <v/>
      </c>
      <c r="R661" t="str">
        <f>IF('10 Numaralar'!S63="","",'10 Numaralar'!S63)</f>
        <v/>
      </c>
      <c r="S661" t="str">
        <f>IF('10 Numaralar'!T63="","",'10 Numaralar'!T63)</f>
        <v/>
      </c>
      <c r="T661" s="2" t="str">
        <f>IF('10 Numaralar'!U63="","",'10 Numaralar'!U63)</f>
        <v/>
      </c>
      <c r="U661" t="s">
        <v>932</v>
      </c>
      <c r="V661">
        <v>63</v>
      </c>
      <c r="W661" t="str">
        <f ca="1">IF(AND($A661&lt;&gt;"",ISNUMBER($G661),$G661&gt;=TODAY(),$G661&lt;=EDATE(TODAY(),12)),COUNTIFS($G$2:$G$1001,"&gt;="&amp;TODAY(),$G$2:$G$1001,"&lt;"&amp;$G661,$A$2:$A$1001,"&lt;&gt;")+COUNTIFS($G$2:$G661,$G661,$A$2:$A661,"&lt;&gt;"),"")</f>
        <v/>
      </c>
      <c r="X661" t="str">
        <f>IF(AND($A661&lt;&gt;"",ISNUMBER($C661),$C661&gt;=DATE(2003,1,1)),COUNTIFS($C$2:$C661,"&gt;="&amp;DATE(2003,1,1),$A$2:$A661,"&lt;&gt;"),"")</f>
        <v/>
      </c>
    </row>
    <row r="662" spans="1:24">
      <c r="A662" t="str">
        <f>IF('10 Numaralar'!A64="","",'10 Numaralar'!A64)</f>
        <v/>
      </c>
      <c r="B662" t="str">
        <f>IF('10 Numaralar'!B64="","",'10 Numaralar'!B64)</f>
        <v/>
      </c>
      <c r="C662" s="2" t="str">
        <f>IF('10 Numaralar'!C64="","",'10 Numaralar'!C64)</f>
        <v/>
      </c>
      <c r="D662" t="str">
        <f ca="1">IF('10 Numaralar'!D64="","",'10 Numaralar'!D64)</f>
        <v/>
      </c>
      <c r="E662" t="str">
        <f>IF('10 Numaralar'!E64="","",'10 Numaralar'!E64)</f>
        <v>10 Numara</v>
      </c>
      <c r="F662" t="str">
        <f>IF('10 Numaralar'!G64="","",'10 Numaralar'!G64)</f>
        <v/>
      </c>
      <c r="G662" s="2" t="str">
        <f>IF('10 Numaralar'!H64="","",'10 Numaralar'!H64)</f>
        <v/>
      </c>
      <c r="H662" t="str">
        <f>IF('10 Numaralar'!I64="","",'10 Numaralar'!I64)</f>
        <v/>
      </c>
      <c r="I662" t="str">
        <f>IF('10 Numaralar'!A64="","",'10 Numaralar'!J64)</f>
        <v/>
      </c>
      <c r="J662" t="str">
        <f>IF('10 Numaralar'!A64="","",'10 Numaralar'!K64)</f>
        <v/>
      </c>
      <c r="K662" t="str">
        <f>IF('10 Numaralar'!L64="","",'10 Numaralar'!L64)</f>
        <v/>
      </c>
      <c r="L662" t="str">
        <f>IF('10 Numaralar'!M64="","",'10 Numaralar'!M64)</f>
        <v/>
      </c>
      <c r="M662" t="str">
        <f>IF('10 Numaralar'!N64="","",'10 Numaralar'!N64)</f>
        <v/>
      </c>
      <c r="N662" t="str">
        <f>IF('10 Numaralar'!O64="","",'10 Numaralar'!O64)</f>
        <v/>
      </c>
      <c r="O662" t="str">
        <f>IF('10 Numaralar'!P64="","",'10 Numaralar'!P64)</f>
        <v/>
      </c>
      <c r="P662" t="str">
        <f>IF('10 Numaralar'!Q64="","",'10 Numaralar'!Q64)</f>
        <v/>
      </c>
      <c r="Q662" t="str">
        <f>IF('10 Numaralar'!R64="","",'10 Numaralar'!R64)</f>
        <v/>
      </c>
      <c r="R662" t="str">
        <f>IF('10 Numaralar'!S64="","",'10 Numaralar'!S64)</f>
        <v/>
      </c>
      <c r="S662" t="str">
        <f>IF('10 Numaralar'!T64="","",'10 Numaralar'!T64)</f>
        <v/>
      </c>
      <c r="T662" s="2" t="str">
        <f>IF('10 Numaralar'!U64="","",'10 Numaralar'!U64)</f>
        <v/>
      </c>
      <c r="U662" t="s">
        <v>932</v>
      </c>
      <c r="V662">
        <v>64</v>
      </c>
      <c r="W662" t="str">
        <f ca="1">IF(AND($A662&lt;&gt;"",ISNUMBER($G662),$G662&gt;=TODAY(),$G662&lt;=EDATE(TODAY(),12)),COUNTIFS($G$2:$G$1001,"&gt;="&amp;TODAY(),$G$2:$G$1001,"&lt;"&amp;$G662,$A$2:$A$1001,"&lt;&gt;")+COUNTIFS($G$2:$G662,$G662,$A$2:$A662,"&lt;&gt;"),"")</f>
        <v/>
      </c>
      <c r="X662" t="str">
        <f>IF(AND($A662&lt;&gt;"",ISNUMBER($C662),$C662&gt;=DATE(2003,1,1)),COUNTIFS($C$2:$C662,"&gt;="&amp;DATE(2003,1,1),$A$2:$A662,"&lt;&gt;"),"")</f>
        <v/>
      </c>
    </row>
    <row r="663" spans="1:24">
      <c r="A663" t="str">
        <f>IF('10 Numaralar'!A65="","",'10 Numaralar'!A65)</f>
        <v/>
      </c>
      <c r="B663" t="str">
        <f>IF('10 Numaralar'!B65="","",'10 Numaralar'!B65)</f>
        <v/>
      </c>
      <c r="C663" s="2" t="str">
        <f>IF('10 Numaralar'!C65="","",'10 Numaralar'!C65)</f>
        <v/>
      </c>
      <c r="D663" t="str">
        <f ca="1">IF('10 Numaralar'!D65="","",'10 Numaralar'!D65)</f>
        <v/>
      </c>
      <c r="E663" t="str">
        <f>IF('10 Numaralar'!E65="","",'10 Numaralar'!E65)</f>
        <v>10 Numara</v>
      </c>
      <c r="F663" t="str">
        <f>IF('10 Numaralar'!G65="","",'10 Numaralar'!G65)</f>
        <v/>
      </c>
      <c r="G663" s="2" t="str">
        <f>IF('10 Numaralar'!H65="","",'10 Numaralar'!H65)</f>
        <v/>
      </c>
      <c r="H663" t="str">
        <f>IF('10 Numaralar'!I65="","",'10 Numaralar'!I65)</f>
        <v/>
      </c>
      <c r="I663" t="str">
        <f>IF('10 Numaralar'!A65="","",'10 Numaralar'!J65)</f>
        <v/>
      </c>
      <c r="J663" t="str">
        <f>IF('10 Numaralar'!A65="","",'10 Numaralar'!K65)</f>
        <v/>
      </c>
      <c r="K663" t="str">
        <f>IF('10 Numaralar'!L65="","",'10 Numaralar'!L65)</f>
        <v/>
      </c>
      <c r="L663" t="str">
        <f>IF('10 Numaralar'!M65="","",'10 Numaralar'!M65)</f>
        <v/>
      </c>
      <c r="M663" t="str">
        <f>IF('10 Numaralar'!N65="","",'10 Numaralar'!N65)</f>
        <v/>
      </c>
      <c r="N663" t="str">
        <f>IF('10 Numaralar'!O65="","",'10 Numaralar'!O65)</f>
        <v/>
      </c>
      <c r="O663" t="str">
        <f>IF('10 Numaralar'!P65="","",'10 Numaralar'!P65)</f>
        <v/>
      </c>
      <c r="P663" t="str">
        <f>IF('10 Numaralar'!Q65="","",'10 Numaralar'!Q65)</f>
        <v/>
      </c>
      <c r="Q663" t="str">
        <f>IF('10 Numaralar'!R65="","",'10 Numaralar'!R65)</f>
        <v/>
      </c>
      <c r="R663" t="str">
        <f>IF('10 Numaralar'!S65="","",'10 Numaralar'!S65)</f>
        <v/>
      </c>
      <c r="S663" t="str">
        <f>IF('10 Numaralar'!T65="","",'10 Numaralar'!T65)</f>
        <v/>
      </c>
      <c r="T663" s="2" t="str">
        <f>IF('10 Numaralar'!U65="","",'10 Numaralar'!U65)</f>
        <v/>
      </c>
      <c r="U663" t="s">
        <v>932</v>
      </c>
      <c r="V663">
        <v>65</v>
      </c>
      <c r="W663" t="str">
        <f ca="1">IF(AND($A663&lt;&gt;"",ISNUMBER($G663),$G663&gt;=TODAY(),$G663&lt;=EDATE(TODAY(),12)),COUNTIFS($G$2:$G$1001,"&gt;="&amp;TODAY(),$G$2:$G$1001,"&lt;"&amp;$G663,$A$2:$A$1001,"&lt;&gt;")+COUNTIFS($G$2:$G663,$G663,$A$2:$A663,"&lt;&gt;"),"")</f>
        <v/>
      </c>
      <c r="X663" t="str">
        <f>IF(AND($A663&lt;&gt;"",ISNUMBER($C663),$C663&gt;=DATE(2003,1,1)),COUNTIFS($C$2:$C663,"&gt;="&amp;DATE(2003,1,1),$A$2:$A663,"&lt;&gt;"),"")</f>
        <v/>
      </c>
    </row>
    <row r="664" spans="1:24">
      <c r="A664" t="str">
        <f>IF('10 Numaralar'!A66="","",'10 Numaralar'!A66)</f>
        <v/>
      </c>
      <c r="B664" t="str">
        <f>IF('10 Numaralar'!B66="","",'10 Numaralar'!B66)</f>
        <v/>
      </c>
      <c r="C664" s="2" t="str">
        <f>IF('10 Numaralar'!C66="","",'10 Numaralar'!C66)</f>
        <v/>
      </c>
      <c r="D664" t="str">
        <f ca="1">IF('10 Numaralar'!D66="","",'10 Numaralar'!D66)</f>
        <v/>
      </c>
      <c r="E664" t="str">
        <f>IF('10 Numaralar'!E66="","",'10 Numaralar'!E66)</f>
        <v>10 Numara</v>
      </c>
      <c r="F664" t="str">
        <f>IF('10 Numaralar'!G66="","",'10 Numaralar'!G66)</f>
        <v/>
      </c>
      <c r="G664" s="2" t="str">
        <f>IF('10 Numaralar'!H66="","",'10 Numaralar'!H66)</f>
        <v/>
      </c>
      <c r="H664" t="str">
        <f>IF('10 Numaralar'!I66="","",'10 Numaralar'!I66)</f>
        <v/>
      </c>
      <c r="I664" t="str">
        <f>IF('10 Numaralar'!A66="","",'10 Numaralar'!J66)</f>
        <v/>
      </c>
      <c r="J664" t="str">
        <f>IF('10 Numaralar'!A66="","",'10 Numaralar'!K66)</f>
        <v/>
      </c>
      <c r="K664" t="str">
        <f>IF('10 Numaralar'!L66="","",'10 Numaralar'!L66)</f>
        <v/>
      </c>
      <c r="L664" t="str">
        <f>IF('10 Numaralar'!M66="","",'10 Numaralar'!M66)</f>
        <v/>
      </c>
      <c r="M664" t="str">
        <f>IF('10 Numaralar'!N66="","",'10 Numaralar'!N66)</f>
        <v/>
      </c>
      <c r="N664" t="str">
        <f>IF('10 Numaralar'!O66="","",'10 Numaralar'!O66)</f>
        <v/>
      </c>
      <c r="O664" t="str">
        <f>IF('10 Numaralar'!P66="","",'10 Numaralar'!P66)</f>
        <v/>
      </c>
      <c r="P664" t="str">
        <f>IF('10 Numaralar'!Q66="","",'10 Numaralar'!Q66)</f>
        <v/>
      </c>
      <c r="Q664" t="str">
        <f>IF('10 Numaralar'!R66="","",'10 Numaralar'!R66)</f>
        <v/>
      </c>
      <c r="R664" t="str">
        <f>IF('10 Numaralar'!S66="","",'10 Numaralar'!S66)</f>
        <v/>
      </c>
      <c r="S664" t="str">
        <f>IF('10 Numaralar'!T66="","",'10 Numaralar'!T66)</f>
        <v/>
      </c>
      <c r="T664" s="2" t="str">
        <f>IF('10 Numaralar'!U66="","",'10 Numaralar'!U66)</f>
        <v/>
      </c>
      <c r="U664" t="s">
        <v>932</v>
      </c>
      <c r="V664">
        <v>66</v>
      </c>
      <c r="W664" t="str">
        <f ca="1">IF(AND($A664&lt;&gt;"",ISNUMBER($G664),$G664&gt;=TODAY(),$G664&lt;=EDATE(TODAY(),12)),COUNTIFS($G$2:$G$1001,"&gt;="&amp;TODAY(),$G$2:$G$1001,"&lt;"&amp;$G664,$A$2:$A$1001,"&lt;&gt;")+COUNTIFS($G$2:$G664,$G664,$A$2:$A664,"&lt;&gt;"),"")</f>
        <v/>
      </c>
      <c r="X664" t="str">
        <f>IF(AND($A664&lt;&gt;"",ISNUMBER($C664),$C664&gt;=DATE(2003,1,1)),COUNTIFS($C$2:$C664,"&gt;="&amp;DATE(2003,1,1),$A$2:$A664,"&lt;&gt;"),"")</f>
        <v/>
      </c>
    </row>
    <row r="665" spans="1:24">
      <c r="A665" t="str">
        <f>IF('10 Numaralar'!A67="","",'10 Numaralar'!A67)</f>
        <v/>
      </c>
      <c r="B665" t="str">
        <f>IF('10 Numaralar'!B67="","",'10 Numaralar'!B67)</f>
        <v/>
      </c>
      <c r="C665" s="2" t="str">
        <f>IF('10 Numaralar'!C67="","",'10 Numaralar'!C67)</f>
        <v/>
      </c>
      <c r="D665" t="str">
        <f ca="1">IF('10 Numaralar'!D67="","",'10 Numaralar'!D67)</f>
        <v/>
      </c>
      <c r="E665" t="str">
        <f>IF('10 Numaralar'!E67="","",'10 Numaralar'!E67)</f>
        <v>10 Numara</v>
      </c>
      <c r="F665" t="str">
        <f>IF('10 Numaralar'!G67="","",'10 Numaralar'!G67)</f>
        <v/>
      </c>
      <c r="G665" s="2" t="str">
        <f>IF('10 Numaralar'!H67="","",'10 Numaralar'!H67)</f>
        <v/>
      </c>
      <c r="H665" t="str">
        <f>IF('10 Numaralar'!I67="","",'10 Numaralar'!I67)</f>
        <v/>
      </c>
      <c r="I665" t="str">
        <f>IF('10 Numaralar'!A67="","",'10 Numaralar'!J67)</f>
        <v/>
      </c>
      <c r="J665" t="str">
        <f>IF('10 Numaralar'!A67="","",'10 Numaralar'!K67)</f>
        <v/>
      </c>
      <c r="K665" t="str">
        <f>IF('10 Numaralar'!L67="","",'10 Numaralar'!L67)</f>
        <v/>
      </c>
      <c r="L665" t="str">
        <f>IF('10 Numaralar'!M67="","",'10 Numaralar'!M67)</f>
        <v/>
      </c>
      <c r="M665" t="str">
        <f>IF('10 Numaralar'!N67="","",'10 Numaralar'!N67)</f>
        <v/>
      </c>
      <c r="N665" t="str">
        <f>IF('10 Numaralar'!O67="","",'10 Numaralar'!O67)</f>
        <v/>
      </c>
      <c r="O665" t="str">
        <f>IF('10 Numaralar'!P67="","",'10 Numaralar'!P67)</f>
        <v/>
      </c>
      <c r="P665" t="str">
        <f>IF('10 Numaralar'!Q67="","",'10 Numaralar'!Q67)</f>
        <v/>
      </c>
      <c r="Q665" t="str">
        <f>IF('10 Numaralar'!R67="","",'10 Numaralar'!R67)</f>
        <v/>
      </c>
      <c r="R665" t="str">
        <f>IF('10 Numaralar'!S67="","",'10 Numaralar'!S67)</f>
        <v/>
      </c>
      <c r="S665" t="str">
        <f>IF('10 Numaralar'!T67="","",'10 Numaralar'!T67)</f>
        <v/>
      </c>
      <c r="T665" s="2" t="str">
        <f>IF('10 Numaralar'!U67="","",'10 Numaralar'!U67)</f>
        <v/>
      </c>
      <c r="U665" t="s">
        <v>932</v>
      </c>
      <c r="V665">
        <v>67</v>
      </c>
      <c r="W665" t="str">
        <f ca="1">IF(AND($A665&lt;&gt;"",ISNUMBER($G665),$G665&gt;=TODAY(),$G665&lt;=EDATE(TODAY(),12)),COUNTIFS($G$2:$G$1001,"&gt;="&amp;TODAY(),$G$2:$G$1001,"&lt;"&amp;$G665,$A$2:$A$1001,"&lt;&gt;")+COUNTIFS($G$2:$G665,$G665,$A$2:$A665,"&lt;&gt;"),"")</f>
        <v/>
      </c>
      <c r="X665" t="str">
        <f>IF(AND($A665&lt;&gt;"",ISNUMBER($C665),$C665&gt;=DATE(2003,1,1)),COUNTIFS($C$2:$C665,"&gt;="&amp;DATE(2003,1,1),$A$2:$A665,"&lt;&gt;"),"")</f>
        <v/>
      </c>
    </row>
    <row r="666" spans="1:24">
      <c r="A666" t="str">
        <f>IF('10 Numaralar'!A68="","",'10 Numaralar'!A68)</f>
        <v/>
      </c>
      <c r="B666" t="str">
        <f>IF('10 Numaralar'!B68="","",'10 Numaralar'!B68)</f>
        <v/>
      </c>
      <c r="C666" s="2" t="str">
        <f>IF('10 Numaralar'!C68="","",'10 Numaralar'!C68)</f>
        <v/>
      </c>
      <c r="D666" t="str">
        <f ca="1">IF('10 Numaralar'!D68="","",'10 Numaralar'!D68)</f>
        <v/>
      </c>
      <c r="E666" t="str">
        <f>IF('10 Numaralar'!E68="","",'10 Numaralar'!E68)</f>
        <v>10 Numara</v>
      </c>
      <c r="F666" t="str">
        <f>IF('10 Numaralar'!G68="","",'10 Numaralar'!G68)</f>
        <v/>
      </c>
      <c r="G666" s="2" t="str">
        <f>IF('10 Numaralar'!H68="","",'10 Numaralar'!H68)</f>
        <v/>
      </c>
      <c r="H666" t="str">
        <f>IF('10 Numaralar'!I68="","",'10 Numaralar'!I68)</f>
        <v/>
      </c>
      <c r="I666" t="str">
        <f>IF('10 Numaralar'!A68="","",'10 Numaralar'!J68)</f>
        <v/>
      </c>
      <c r="J666" t="str">
        <f>IF('10 Numaralar'!A68="","",'10 Numaralar'!K68)</f>
        <v/>
      </c>
      <c r="K666" t="str">
        <f>IF('10 Numaralar'!L68="","",'10 Numaralar'!L68)</f>
        <v/>
      </c>
      <c r="L666" t="str">
        <f>IF('10 Numaralar'!M68="","",'10 Numaralar'!M68)</f>
        <v/>
      </c>
      <c r="M666" t="str">
        <f>IF('10 Numaralar'!N68="","",'10 Numaralar'!N68)</f>
        <v/>
      </c>
      <c r="N666" t="str">
        <f>IF('10 Numaralar'!O68="","",'10 Numaralar'!O68)</f>
        <v/>
      </c>
      <c r="O666" t="str">
        <f>IF('10 Numaralar'!P68="","",'10 Numaralar'!P68)</f>
        <v/>
      </c>
      <c r="P666" t="str">
        <f>IF('10 Numaralar'!Q68="","",'10 Numaralar'!Q68)</f>
        <v/>
      </c>
      <c r="Q666" t="str">
        <f>IF('10 Numaralar'!R68="","",'10 Numaralar'!R68)</f>
        <v/>
      </c>
      <c r="R666" t="str">
        <f>IF('10 Numaralar'!S68="","",'10 Numaralar'!S68)</f>
        <v/>
      </c>
      <c r="S666" t="str">
        <f>IF('10 Numaralar'!T68="","",'10 Numaralar'!T68)</f>
        <v/>
      </c>
      <c r="T666" s="2" t="str">
        <f>IF('10 Numaralar'!U68="","",'10 Numaralar'!U68)</f>
        <v/>
      </c>
      <c r="U666" t="s">
        <v>932</v>
      </c>
      <c r="V666">
        <v>68</v>
      </c>
      <c r="W666" t="str">
        <f ca="1">IF(AND($A666&lt;&gt;"",ISNUMBER($G666),$G666&gt;=TODAY(),$G666&lt;=EDATE(TODAY(),12)),COUNTIFS($G$2:$G$1001,"&gt;="&amp;TODAY(),$G$2:$G$1001,"&lt;"&amp;$G666,$A$2:$A$1001,"&lt;&gt;")+COUNTIFS($G$2:$G666,$G666,$A$2:$A666,"&lt;&gt;"),"")</f>
        <v/>
      </c>
      <c r="X666" t="str">
        <f>IF(AND($A666&lt;&gt;"",ISNUMBER($C666),$C666&gt;=DATE(2003,1,1)),COUNTIFS($C$2:$C666,"&gt;="&amp;DATE(2003,1,1),$A$2:$A666,"&lt;&gt;"),"")</f>
        <v/>
      </c>
    </row>
    <row r="667" spans="1:24">
      <c r="A667" t="str">
        <f>IF('10 Numaralar'!A69="","",'10 Numaralar'!A69)</f>
        <v/>
      </c>
      <c r="B667" t="str">
        <f>IF('10 Numaralar'!B69="","",'10 Numaralar'!B69)</f>
        <v/>
      </c>
      <c r="C667" s="2" t="str">
        <f>IF('10 Numaralar'!C69="","",'10 Numaralar'!C69)</f>
        <v/>
      </c>
      <c r="D667" t="str">
        <f ca="1">IF('10 Numaralar'!D69="","",'10 Numaralar'!D69)</f>
        <v/>
      </c>
      <c r="E667" t="str">
        <f>IF('10 Numaralar'!E69="","",'10 Numaralar'!E69)</f>
        <v>10 Numara</v>
      </c>
      <c r="F667" t="str">
        <f>IF('10 Numaralar'!G69="","",'10 Numaralar'!G69)</f>
        <v/>
      </c>
      <c r="G667" s="2" t="str">
        <f>IF('10 Numaralar'!H69="","",'10 Numaralar'!H69)</f>
        <v/>
      </c>
      <c r="H667" t="str">
        <f>IF('10 Numaralar'!I69="","",'10 Numaralar'!I69)</f>
        <v/>
      </c>
      <c r="I667" t="str">
        <f>IF('10 Numaralar'!A69="","",'10 Numaralar'!J69)</f>
        <v/>
      </c>
      <c r="J667" t="str">
        <f>IF('10 Numaralar'!A69="","",'10 Numaralar'!K69)</f>
        <v/>
      </c>
      <c r="K667" t="str">
        <f>IF('10 Numaralar'!L69="","",'10 Numaralar'!L69)</f>
        <v/>
      </c>
      <c r="L667" t="str">
        <f>IF('10 Numaralar'!M69="","",'10 Numaralar'!M69)</f>
        <v/>
      </c>
      <c r="M667" t="str">
        <f>IF('10 Numaralar'!N69="","",'10 Numaralar'!N69)</f>
        <v/>
      </c>
      <c r="N667" t="str">
        <f>IF('10 Numaralar'!O69="","",'10 Numaralar'!O69)</f>
        <v/>
      </c>
      <c r="O667" t="str">
        <f>IF('10 Numaralar'!P69="","",'10 Numaralar'!P69)</f>
        <v/>
      </c>
      <c r="P667" t="str">
        <f>IF('10 Numaralar'!Q69="","",'10 Numaralar'!Q69)</f>
        <v/>
      </c>
      <c r="Q667" t="str">
        <f>IF('10 Numaralar'!R69="","",'10 Numaralar'!R69)</f>
        <v/>
      </c>
      <c r="R667" t="str">
        <f>IF('10 Numaralar'!S69="","",'10 Numaralar'!S69)</f>
        <v/>
      </c>
      <c r="S667" t="str">
        <f>IF('10 Numaralar'!T69="","",'10 Numaralar'!T69)</f>
        <v/>
      </c>
      <c r="T667" s="2" t="str">
        <f>IF('10 Numaralar'!U69="","",'10 Numaralar'!U69)</f>
        <v/>
      </c>
      <c r="U667" t="s">
        <v>932</v>
      </c>
      <c r="V667">
        <v>69</v>
      </c>
      <c r="W667" t="str">
        <f ca="1">IF(AND($A667&lt;&gt;"",ISNUMBER($G667),$G667&gt;=TODAY(),$G667&lt;=EDATE(TODAY(),12)),COUNTIFS($G$2:$G$1001,"&gt;="&amp;TODAY(),$G$2:$G$1001,"&lt;"&amp;$G667,$A$2:$A$1001,"&lt;&gt;")+COUNTIFS($G$2:$G667,$G667,$A$2:$A667,"&lt;&gt;"),"")</f>
        <v/>
      </c>
      <c r="X667" t="str">
        <f>IF(AND($A667&lt;&gt;"",ISNUMBER($C667),$C667&gt;=DATE(2003,1,1)),COUNTIFS($C$2:$C667,"&gt;="&amp;DATE(2003,1,1),$A$2:$A667,"&lt;&gt;"),"")</f>
        <v/>
      </c>
    </row>
    <row r="668" spans="1:24">
      <c r="A668" t="str">
        <f>IF('10 Numaralar'!A70="","",'10 Numaralar'!A70)</f>
        <v/>
      </c>
      <c r="B668" t="str">
        <f>IF('10 Numaralar'!B70="","",'10 Numaralar'!B70)</f>
        <v/>
      </c>
      <c r="C668" s="2" t="str">
        <f>IF('10 Numaralar'!C70="","",'10 Numaralar'!C70)</f>
        <v/>
      </c>
      <c r="D668" t="str">
        <f ca="1">IF('10 Numaralar'!D70="","",'10 Numaralar'!D70)</f>
        <v/>
      </c>
      <c r="E668" t="str">
        <f>IF('10 Numaralar'!E70="","",'10 Numaralar'!E70)</f>
        <v>10 Numara</v>
      </c>
      <c r="F668" t="str">
        <f>IF('10 Numaralar'!G70="","",'10 Numaralar'!G70)</f>
        <v/>
      </c>
      <c r="G668" s="2" t="str">
        <f>IF('10 Numaralar'!H70="","",'10 Numaralar'!H70)</f>
        <v/>
      </c>
      <c r="H668" t="str">
        <f>IF('10 Numaralar'!I70="","",'10 Numaralar'!I70)</f>
        <v/>
      </c>
      <c r="I668" t="str">
        <f>IF('10 Numaralar'!A70="","",'10 Numaralar'!J70)</f>
        <v/>
      </c>
      <c r="J668" t="str">
        <f>IF('10 Numaralar'!A70="","",'10 Numaralar'!K70)</f>
        <v/>
      </c>
      <c r="K668" t="str">
        <f>IF('10 Numaralar'!L70="","",'10 Numaralar'!L70)</f>
        <v/>
      </c>
      <c r="L668" t="str">
        <f>IF('10 Numaralar'!M70="","",'10 Numaralar'!M70)</f>
        <v/>
      </c>
      <c r="M668" t="str">
        <f>IF('10 Numaralar'!N70="","",'10 Numaralar'!N70)</f>
        <v/>
      </c>
      <c r="N668" t="str">
        <f>IF('10 Numaralar'!O70="","",'10 Numaralar'!O70)</f>
        <v/>
      </c>
      <c r="O668" t="str">
        <f>IF('10 Numaralar'!P70="","",'10 Numaralar'!P70)</f>
        <v/>
      </c>
      <c r="P668" t="str">
        <f>IF('10 Numaralar'!Q70="","",'10 Numaralar'!Q70)</f>
        <v/>
      </c>
      <c r="Q668" t="str">
        <f>IF('10 Numaralar'!R70="","",'10 Numaralar'!R70)</f>
        <v/>
      </c>
      <c r="R668" t="str">
        <f>IF('10 Numaralar'!S70="","",'10 Numaralar'!S70)</f>
        <v/>
      </c>
      <c r="S668" t="str">
        <f>IF('10 Numaralar'!T70="","",'10 Numaralar'!T70)</f>
        <v/>
      </c>
      <c r="T668" s="2" t="str">
        <f>IF('10 Numaralar'!U70="","",'10 Numaralar'!U70)</f>
        <v/>
      </c>
      <c r="U668" t="s">
        <v>932</v>
      </c>
      <c r="V668">
        <v>70</v>
      </c>
      <c r="W668" t="str">
        <f ca="1">IF(AND($A668&lt;&gt;"",ISNUMBER($G668),$G668&gt;=TODAY(),$G668&lt;=EDATE(TODAY(),12)),COUNTIFS($G$2:$G$1001,"&gt;="&amp;TODAY(),$G$2:$G$1001,"&lt;"&amp;$G668,$A$2:$A$1001,"&lt;&gt;")+COUNTIFS($G$2:$G668,$G668,$A$2:$A668,"&lt;&gt;"),"")</f>
        <v/>
      </c>
      <c r="X668" t="str">
        <f>IF(AND($A668&lt;&gt;"",ISNUMBER($C668),$C668&gt;=DATE(2003,1,1)),COUNTIFS($C$2:$C668,"&gt;="&amp;DATE(2003,1,1),$A$2:$A668,"&lt;&gt;"),"")</f>
        <v/>
      </c>
    </row>
    <row r="669" spans="1:24">
      <c r="A669" t="str">
        <f>IF('10 Numaralar'!A71="","",'10 Numaralar'!A71)</f>
        <v/>
      </c>
      <c r="B669" t="str">
        <f>IF('10 Numaralar'!B71="","",'10 Numaralar'!B71)</f>
        <v/>
      </c>
      <c r="C669" s="2" t="str">
        <f>IF('10 Numaralar'!C71="","",'10 Numaralar'!C71)</f>
        <v/>
      </c>
      <c r="D669" t="str">
        <f ca="1">IF('10 Numaralar'!D71="","",'10 Numaralar'!D71)</f>
        <v/>
      </c>
      <c r="E669" t="str">
        <f>IF('10 Numaralar'!E71="","",'10 Numaralar'!E71)</f>
        <v>10 Numara</v>
      </c>
      <c r="F669" t="str">
        <f>IF('10 Numaralar'!G71="","",'10 Numaralar'!G71)</f>
        <v/>
      </c>
      <c r="G669" s="2" t="str">
        <f>IF('10 Numaralar'!H71="","",'10 Numaralar'!H71)</f>
        <v/>
      </c>
      <c r="H669" t="str">
        <f>IF('10 Numaralar'!I71="","",'10 Numaralar'!I71)</f>
        <v/>
      </c>
      <c r="I669" t="str">
        <f>IF('10 Numaralar'!A71="","",'10 Numaralar'!J71)</f>
        <v/>
      </c>
      <c r="J669" t="str">
        <f>IF('10 Numaralar'!A71="","",'10 Numaralar'!K71)</f>
        <v/>
      </c>
      <c r="K669" t="str">
        <f>IF('10 Numaralar'!L71="","",'10 Numaralar'!L71)</f>
        <v/>
      </c>
      <c r="L669" t="str">
        <f>IF('10 Numaralar'!M71="","",'10 Numaralar'!M71)</f>
        <v/>
      </c>
      <c r="M669" t="str">
        <f>IF('10 Numaralar'!N71="","",'10 Numaralar'!N71)</f>
        <v/>
      </c>
      <c r="N669" t="str">
        <f>IF('10 Numaralar'!O71="","",'10 Numaralar'!O71)</f>
        <v/>
      </c>
      <c r="O669" t="str">
        <f>IF('10 Numaralar'!P71="","",'10 Numaralar'!P71)</f>
        <v/>
      </c>
      <c r="P669" t="str">
        <f>IF('10 Numaralar'!Q71="","",'10 Numaralar'!Q71)</f>
        <v/>
      </c>
      <c r="Q669" t="str">
        <f>IF('10 Numaralar'!R71="","",'10 Numaralar'!R71)</f>
        <v/>
      </c>
      <c r="R669" t="str">
        <f>IF('10 Numaralar'!S71="","",'10 Numaralar'!S71)</f>
        <v/>
      </c>
      <c r="S669" t="str">
        <f>IF('10 Numaralar'!T71="","",'10 Numaralar'!T71)</f>
        <v/>
      </c>
      <c r="T669" s="2" t="str">
        <f>IF('10 Numaralar'!U71="","",'10 Numaralar'!U71)</f>
        <v/>
      </c>
      <c r="U669" t="s">
        <v>932</v>
      </c>
      <c r="V669">
        <v>71</v>
      </c>
      <c r="W669" t="str">
        <f ca="1">IF(AND($A669&lt;&gt;"",ISNUMBER($G669),$G669&gt;=TODAY(),$G669&lt;=EDATE(TODAY(),12)),COUNTIFS($G$2:$G$1001,"&gt;="&amp;TODAY(),$G$2:$G$1001,"&lt;"&amp;$G669,$A$2:$A$1001,"&lt;&gt;")+COUNTIFS($G$2:$G669,$G669,$A$2:$A669,"&lt;&gt;"),"")</f>
        <v/>
      </c>
      <c r="X669" t="str">
        <f>IF(AND($A669&lt;&gt;"",ISNUMBER($C669),$C669&gt;=DATE(2003,1,1)),COUNTIFS($C$2:$C669,"&gt;="&amp;DATE(2003,1,1),$A$2:$A669,"&lt;&gt;"),"")</f>
        <v/>
      </c>
    </row>
    <row r="670" spans="1:24">
      <c r="A670" t="str">
        <f>IF('10 Numaralar'!A72="","",'10 Numaralar'!A72)</f>
        <v/>
      </c>
      <c r="B670" t="str">
        <f>IF('10 Numaralar'!B72="","",'10 Numaralar'!B72)</f>
        <v/>
      </c>
      <c r="C670" s="2" t="str">
        <f>IF('10 Numaralar'!C72="","",'10 Numaralar'!C72)</f>
        <v/>
      </c>
      <c r="D670" t="str">
        <f ca="1">IF('10 Numaralar'!D72="","",'10 Numaralar'!D72)</f>
        <v/>
      </c>
      <c r="E670" t="str">
        <f>IF('10 Numaralar'!E72="","",'10 Numaralar'!E72)</f>
        <v>10 Numara</v>
      </c>
      <c r="F670" t="str">
        <f>IF('10 Numaralar'!G72="","",'10 Numaralar'!G72)</f>
        <v/>
      </c>
      <c r="G670" s="2" t="str">
        <f>IF('10 Numaralar'!H72="","",'10 Numaralar'!H72)</f>
        <v/>
      </c>
      <c r="H670" t="str">
        <f>IF('10 Numaralar'!I72="","",'10 Numaralar'!I72)</f>
        <v/>
      </c>
      <c r="I670" t="str">
        <f>IF('10 Numaralar'!A72="","",'10 Numaralar'!J72)</f>
        <v/>
      </c>
      <c r="J670" t="str">
        <f>IF('10 Numaralar'!A72="","",'10 Numaralar'!K72)</f>
        <v/>
      </c>
      <c r="K670" t="str">
        <f>IF('10 Numaralar'!L72="","",'10 Numaralar'!L72)</f>
        <v/>
      </c>
      <c r="L670" t="str">
        <f>IF('10 Numaralar'!M72="","",'10 Numaralar'!M72)</f>
        <v/>
      </c>
      <c r="M670" t="str">
        <f>IF('10 Numaralar'!N72="","",'10 Numaralar'!N72)</f>
        <v/>
      </c>
      <c r="N670" t="str">
        <f>IF('10 Numaralar'!O72="","",'10 Numaralar'!O72)</f>
        <v/>
      </c>
      <c r="O670" t="str">
        <f>IF('10 Numaralar'!P72="","",'10 Numaralar'!P72)</f>
        <v/>
      </c>
      <c r="P670" t="str">
        <f>IF('10 Numaralar'!Q72="","",'10 Numaralar'!Q72)</f>
        <v/>
      </c>
      <c r="Q670" t="str">
        <f>IF('10 Numaralar'!R72="","",'10 Numaralar'!R72)</f>
        <v/>
      </c>
      <c r="R670" t="str">
        <f>IF('10 Numaralar'!S72="","",'10 Numaralar'!S72)</f>
        <v/>
      </c>
      <c r="S670" t="str">
        <f>IF('10 Numaralar'!T72="","",'10 Numaralar'!T72)</f>
        <v/>
      </c>
      <c r="T670" s="2" t="str">
        <f>IF('10 Numaralar'!U72="","",'10 Numaralar'!U72)</f>
        <v/>
      </c>
      <c r="U670" t="s">
        <v>932</v>
      </c>
      <c r="V670">
        <v>72</v>
      </c>
      <c r="W670" t="str">
        <f ca="1">IF(AND($A670&lt;&gt;"",ISNUMBER($G670),$G670&gt;=TODAY(),$G670&lt;=EDATE(TODAY(),12)),COUNTIFS($G$2:$G$1001,"&gt;="&amp;TODAY(),$G$2:$G$1001,"&lt;"&amp;$G670,$A$2:$A$1001,"&lt;&gt;")+COUNTIFS($G$2:$G670,$G670,$A$2:$A670,"&lt;&gt;"),"")</f>
        <v/>
      </c>
      <c r="X670" t="str">
        <f>IF(AND($A670&lt;&gt;"",ISNUMBER($C670),$C670&gt;=DATE(2003,1,1)),COUNTIFS($C$2:$C670,"&gt;="&amp;DATE(2003,1,1),$A$2:$A670,"&lt;&gt;"),"")</f>
        <v/>
      </c>
    </row>
    <row r="671" spans="1:24">
      <c r="A671" t="str">
        <f>IF('10 Numaralar'!A73="","",'10 Numaralar'!A73)</f>
        <v/>
      </c>
      <c r="B671" t="str">
        <f>IF('10 Numaralar'!B73="","",'10 Numaralar'!B73)</f>
        <v/>
      </c>
      <c r="C671" s="2" t="str">
        <f>IF('10 Numaralar'!C73="","",'10 Numaralar'!C73)</f>
        <v/>
      </c>
      <c r="D671" t="str">
        <f ca="1">IF('10 Numaralar'!D73="","",'10 Numaralar'!D73)</f>
        <v/>
      </c>
      <c r="E671" t="str">
        <f>IF('10 Numaralar'!E73="","",'10 Numaralar'!E73)</f>
        <v>10 Numara</v>
      </c>
      <c r="F671" t="str">
        <f>IF('10 Numaralar'!G73="","",'10 Numaralar'!G73)</f>
        <v/>
      </c>
      <c r="G671" s="2" t="str">
        <f>IF('10 Numaralar'!H73="","",'10 Numaralar'!H73)</f>
        <v/>
      </c>
      <c r="H671" t="str">
        <f>IF('10 Numaralar'!I73="","",'10 Numaralar'!I73)</f>
        <v/>
      </c>
      <c r="I671" t="str">
        <f>IF('10 Numaralar'!A73="","",'10 Numaralar'!J73)</f>
        <v/>
      </c>
      <c r="J671" t="str">
        <f>IF('10 Numaralar'!A73="","",'10 Numaralar'!K73)</f>
        <v/>
      </c>
      <c r="K671" t="str">
        <f>IF('10 Numaralar'!L73="","",'10 Numaralar'!L73)</f>
        <v/>
      </c>
      <c r="L671" t="str">
        <f>IF('10 Numaralar'!M73="","",'10 Numaralar'!M73)</f>
        <v/>
      </c>
      <c r="M671" t="str">
        <f>IF('10 Numaralar'!N73="","",'10 Numaralar'!N73)</f>
        <v/>
      </c>
      <c r="N671" t="str">
        <f>IF('10 Numaralar'!O73="","",'10 Numaralar'!O73)</f>
        <v/>
      </c>
      <c r="O671" t="str">
        <f>IF('10 Numaralar'!P73="","",'10 Numaralar'!P73)</f>
        <v/>
      </c>
      <c r="P671" t="str">
        <f>IF('10 Numaralar'!Q73="","",'10 Numaralar'!Q73)</f>
        <v/>
      </c>
      <c r="Q671" t="str">
        <f>IF('10 Numaralar'!R73="","",'10 Numaralar'!R73)</f>
        <v/>
      </c>
      <c r="R671" t="str">
        <f>IF('10 Numaralar'!S73="","",'10 Numaralar'!S73)</f>
        <v/>
      </c>
      <c r="S671" t="str">
        <f>IF('10 Numaralar'!T73="","",'10 Numaralar'!T73)</f>
        <v/>
      </c>
      <c r="T671" s="2" t="str">
        <f>IF('10 Numaralar'!U73="","",'10 Numaralar'!U73)</f>
        <v/>
      </c>
      <c r="U671" t="s">
        <v>932</v>
      </c>
      <c r="V671">
        <v>73</v>
      </c>
      <c r="W671" t="str">
        <f ca="1">IF(AND($A671&lt;&gt;"",ISNUMBER($G671),$G671&gt;=TODAY(),$G671&lt;=EDATE(TODAY(),12)),COUNTIFS($G$2:$G$1001,"&gt;="&amp;TODAY(),$G$2:$G$1001,"&lt;"&amp;$G671,$A$2:$A$1001,"&lt;&gt;")+COUNTIFS($G$2:$G671,$G671,$A$2:$A671,"&lt;&gt;"),"")</f>
        <v/>
      </c>
      <c r="X671" t="str">
        <f>IF(AND($A671&lt;&gt;"",ISNUMBER($C671),$C671&gt;=DATE(2003,1,1)),COUNTIFS($C$2:$C671,"&gt;="&amp;DATE(2003,1,1),$A$2:$A671,"&lt;&gt;"),"")</f>
        <v/>
      </c>
    </row>
    <row r="672" spans="1:24">
      <c r="A672" t="str">
        <f>IF('10 Numaralar'!A74="","",'10 Numaralar'!A74)</f>
        <v/>
      </c>
      <c r="B672" t="str">
        <f>IF('10 Numaralar'!B74="","",'10 Numaralar'!B74)</f>
        <v/>
      </c>
      <c r="C672" s="2" t="str">
        <f>IF('10 Numaralar'!C74="","",'10 Numaralar'!C74)</f>
        <v/>
      </c>
      <c r="D672" t="str">
        <f ca="1">IF('10 Numaralar'!D74="","",'10 Numaralar'!D74)</f>
        <v/>
      </c>
      <c r="E672" t="str">
        <f>IF('10 Numaralar'!E74="","",'10 Numaralar'!E74)</f>
        <v>10 Numara</v>
      </c>
      <c r="F672" t="str">
        <f>IF('10 Numaralar'!G74="","",'10 Numaralar'!G74)</f>
        <v/>
      </c>
      <c r="G672" s="2" t="str">
        <f>IF('10 Numaralar'!H74="","",'10 Numaralar'!H74)</f>
        <v/>
      </c>
      <c r="H672" t="str">
        <f>IF('10 Numaralar'!I74="","",'10 Numaralar'!I74)</f>
        <v/>
      </c>
      <c r="I672" t="str">
        <f>IF('10 Numaralar'!A74="","",'10 Numaralar'!J74)</f>
        <v/>
      </c>
      <c r="J672" t="str">
        <f>IF('10 Numaralar'!A74="","",'10 Numaralar'!K74)</f>
        <v/>
      </c>
      <c r="K672" t="str">
        <f>IF('10 Numaralar'!L74="","",'10 Numaralar'!L74)</f>
        <v/>
      </c>
      <c r="L672" t="str">
        <f>IF('10 Numaralar'!M74="","",'10 Numaralar'!M74)</f>
        <v/>
      </c>
      <c r="M672" t="str">
        <f>IF('10 Numaralar'!N74="","",'10 Numaralar'!N74)</f>
        <v/>
      </c>
      <c r="N672" t="str">
        <f>IF('10 Numaralar'!O74="","",'10 Numaralar'!O74)</f>
        <v/>
      </c>
      <c r="O672" t="str">
        <f>IF('10 Numaralar'!P74="","",'10 Numaralar'!P74)</f>
        <v/>
      </c>
      <c r="P672" t="str">
        <f>IF('10 Numaralar'!Q74="","",'10 Numaralar'!Q74)</f>
        <v/>
      </c>
      <c r="Q672" t="str">
        <f>IF('10 Numaralar'!R74="","",'10 Numaralar'!R74)</f>
        <v/>
      </c>
      <c r="R672" t="str">
        <f>IF('10 Numaralar'!S74="","",'10 Numaralar'!S74)</f>
        <v/>
      </c>
      <c r="S672" t="str">
        <f>IF('10 Numaralar'!T74="","",'10 Numaralar'!T74)</f>
        <v/>
      </c>
      <c r="T672" s="2" t="str">
        <f>IF('10 Numaralar'!U74="","",'10 Numaralar'!U74)</f>
        <v/>
      </c>
      <c r="U672" t="s">
        <v>932</v>
      </c>
      <c r="V672">
        <v>74</v>
      </c>
      <c r="W672" t="str">
        <f ca="1">IF(AND($A672&lt;&gt;"",ISNUMBER($G672),$G672&gt;=TODAY(),$G672&lt;=EDATE(TODAY(),12)),COUNTIFS($G$2:$G$1001,"&gt;="&amp;TODAY(),$G$2:$G$1001,"&lt;"&amp;$G672,$A$2:$A$1001,"&lt;&gt;")+COUNTIFS($G$2:$G672,$G672,$A$2:$A672,"&lt;&gt;"),"")</f>
        <v/>
      </c>
      <c r="X672" t="str">
        <f>IF(AND($A672&lt;&gt;"",ISNUMBER($C672),$C672&gt;=DATE(2003,1,1)),COUNTIFS($C$2:$C672,"&gt;="&amp;DATE(2003,1,1),$A$2:$A672,"&lt;&gt;"),"")</f>
        <v/>
      </c>
    </row>
    <row r="673" spans="1:24">
      <c r="A673" t="str">
        <f>IF('10 Numaralar'!A75="","",'10 Numaralar'!A75)</f>
        <v/>
      </c>
      <c r="B673" t="str">
        <f>IF('10 Numaralar'!B75="","",'10 Numaralar'!B75)</f>
        <v/>
      </c>
      <c r="C673" s="2" t="str">
        <f>IF('10 Numaralar'!C75="","",'10 Numaralar'!C75)</f>
        <v/>
      </c>
      <c r="D673" t="str">
        <f ca="1">IF('10 Numaralar'!D75="","",'10 Numaralar'!D75)</f>
        <v/>
      </c>
      <c r="E673" t="str">
        <f>IF('10 Numaralar'!E75="","",'10 Numaralar'!E75)</f>
        <v>10 Numara</v>
      </c>
      <c r="F673" t="str">
        <f>IF('10 Numaralar'!G75="","",'10 Numaralar'!G75)</f>
        <v/>
      </c>
      <c r="G673" s="2" t="str">
        <f>IF('10 Numaralar'!H75="","",'10 Numaralar'!H75)</f>
        <v/>
      </c>
      <c r="H673" t="str">
        <f>IF('10 Numaralar'!I75="","",'10 Numaralar'!I75)</f>
        <v/>
      </c>
      <c r="I673" t="str">
        <f>IF('10 Numaralar'!A75="","",'10 Numaralar'!J75)</f>
        <v/>
      </c>
      <c r="J673" t="str">
        <f>IF('10 Numaralar'!A75="","",'10 Numaralar'!K75)</f>
        <v/>
      </c>
      <c r="K673" t="str">
        <f>IF('10 Numaralar'!L75="","",'10 Numaralar'!L75)</f>
        <v/>
      </c>
      <c r="L673" t="str">
        <f>IF('10 Numaralar'!M75="","",'10 Numaralar'!M75)</f>
        <v/>
      </c>
      <c r="M673" t="str">
        <f>IF('10 Numaralar'!N75="","",'10 Numaralar'!N75)</f>
        <v/>
      </c>
      <c r="N673" t="str">
        <f>IF('10 Numaralar'!O75="","",'10 Numaralar'!O75)</f>
        <v/>
      </c>
      <c r="O673" t="str">
        <f>IF('10 Numaralar'!P75="","",'10 Numaralar'!P75)</f>
        <v/>
      </c>
      <c r="P673" t="str">
        <f>IF('10 Numaralar'!Q75="","",'10 Numaralar'!Q75)</f>
        <v/>
      </c>
      <c r="Q673" t="str">
        <f>IF('10 Numaralar'!R75="","",'10 Numaralar'!R75)</f>
        <v/>
      </c>
      <c r="R673" t="str">
        <f>IF('10 Numaralar'!S75="","",'10 Numaralar'!S75)</f>
        <v/>
      </c>
      <c r="S673" t="str">
        <f>IF('10 Numaralar'!T75="","",'10 Numaralar'!T75)</f>
        <v/>
      </c>
      <c r="T673" s="2" t="str">
        <f>IF('10 Numaralar'!U75="","",'10 Numaralar'!U75)</f>
        <v/>
      </c>
      <c r="U673" t="s">
        <v>932</v>
      </c>
      <c r="V673">
        <v>75</v>
      </c>
      <c r="W673" t="str">
        <f ca="1">IF(AND($A673&lt;&gt;"",ISNUMBER($G673),$G673&gt;=TODAY(),$G673&lt;=EDATE(TODAY(),12)),COUNTIFS($G$2:$G$1001,"&gt;="&amp;TODAY(),$G$2:$G$1001,"&lt;"&amp;$G673,$A$2:$A$1001,"&lt;&gt;")+COUNTIFS($G$2:$G673,$G673,$A$2:$A673,"&lt;&gt;"),"")</f>
        <v/>
      </c>
      <c r="X673" t="str">
        <f>IF(AND($A673&lt;&gt;"",ISNUMBER($C673),$C673&gt;=DATE(2003,1,1)),COUNTIFS($C$2:$C673,"&gt;="&amp;DATE(2003,1,1),$A$2:$A673,"&lt;&gt;"),"")</f>
        <v/>
      </c>
    </row>
    <row r="674" spans="1:24">
      <c r="A674" t="str">
        <f>IF('10 Numaralar'!A76="","",'10 Numaralar'!A76)</f>
        <v/>
      </c>
      <c r="B674" t="str">
        <f>IF('10 Numaralar'!B76="","",'10 Numaralar'!B76)</f>
        <v/>
      </c>
      <c r="C674" s="2" t="str">
        <f>IF('10 Numaralar'!C76="","",'10 Numaralar'!C76)</f>
        <v/>
      </c>
      <c r="D674" t="str">
        <f ca="1">IF('10 Numaralar'!D76="","",'10 Numaralar'!D76)</f>
        <v/>
      </c>
      <c r="E674" t="str">
        <f>IF('10 Numaralar'!E76="","",'10 Numaralar'!E76)</f>
        <v>10 Numara</v>
      </c>
      <c r="F674" t="str">
        <f>IF('10 Numaralar'!G76="","",'10 Numaralar'!G76)</f>
        <v/>
      </c>
      <c r="G674" s="2" t="str">
        <f>IF('10 Numaralar'!H76="","",'10 Numaralar'!H76)</f>
        <v/>
      </c>
      <c r="H674" t="str">
        <f>IF('10 Numaralar'!I76="","",'10 Numaralar'!I76)</f>
        <v/>
      </c>
      <c r="I674" t="str">
        <f>IF('10 Numaralar'!A76="","",'10 Numaralar'!J76)</f>
        <v/>
      </c>
      <c r="J674" t="str">
        <f>IF('10 Numaralar'!A76="","",'10 Numaralar'!K76)</f>
        <v/>
      </c>
      <c r="K674" t="str">
        <f>IF('10 Numaralar'!L76="","",'10 Numaralar'!L76)</f>
        <v/>
      </c>
      <c r="L674" t="str">
        <f>IF('10 Numaralar'!M76="","",'10 Numaralar'!M76)</f>
        <v/>
      </c>
      <c r="M674" t="str">
        <f>IF('10 Numaralar'!N76="","",'10 Numaralar'!N76)</f>
        <v/>
      </c>
      <c r="N674" t="str">
        <f>IF('10 Numaralar'!O76="","",'10 Numaralar'!O76)</f>
        <v/>
      </c>
      <c r="O674" t="str">
        <f>IF('10 Numaralar'!P76="","",'10 Numaralar'!P76)</f>
        <v/>
      </c>
      <c r="P674" t="str">
        <f>IF('10 Numaralar'!Q76="","",'10 Numaralar'!Q76)</f>
        <v/>
      </c>
      <c r="Q674" t="str">
        <f>IF('10 Numaralar'!R76="","",'10 Numaralar'!R76)</f>
        <v/>
      </c>
      <c r="R674" t="str">
        <f>IF('10 Numaralar'!S76="","",'10 Numaralar'!S76)</f>
        <v/>
      </c>
      <c r="S674" t="str">
        <f>IF('10 Numaralar'!T76="","",'10 Numaralar'!T76)</f>
        <v/>
      </c>
      <c r="T674" s="2" t="str">
        <f>IF('10 Numaralar'!U76="","",'10 Numaralar'!U76)</f>
        <v/>
      </c>
      <c r="U674" t="s">
        <v>932</v>
      </c>
      <c r="V674">
        <v>76</v>
      </c>
      <c r="W674" t="str">
        <f ca="1">IF(AND($A674&lt;&gt;"",ISNUMBER($G674),$G674&gt;=TODAY(),$G674&lt;=EDATE(TODAY(),12)),COUNTIFS($G$2:$G$1001,"&gt;="&amp;TODAY(),$G$2:$G$1001,"&lt;"&amp;$G674,$A$2:$A$1001,"&lt;&gt;")+COUNTIFS($G$2:$G674,$G674,$A$2:$A674,"&lt;&gt;"),"")</f>
        <v/>
      </c>
      <c r="X674" t="str">
        <f>IF(AND($A674&lt;&gt;"",ISNUMBER($C674),$C674&gt;=DATE(2003,1,1)),COUNTIFS($C$2:$C674,"&gt;="&amp;DATE(2003,1,1),$A$2:$A674,"&lt;&gt;"),"")</f>
        <v/>
      </c>
    </row>
    <row r="675" spans="1:24">
      <c r="A675" t="str">
        <f>IF('10 Numaralar'!A77="","",'10 Numaralar'!A77)</f>
        <v/>
      </c>
      <c r="B675" t="str">
        <f>IF('10 Numaralar'!B77="","",'10 Numaralar'!B77)</f>
        <v/>
      </c>
      <c r="C675" s="2" t="str">
        <f>IF('10 Numaralar'!C77="","",'10 Numaralar'!C77)</f>
        <v/>
      </c>
      <c r="D675" t="str">
        <f ca="1">IF('10 Numaralar'!D77="","",'10 Numaralar'!D77)</f>
        <v/>
      </c>
      <c r="E675" t="str">
        <f>IF('10 Numaralar'!E77="","",'10 Numaralar'!E77)</f>
        <v>10 Numara</v>
      </c>
      <c r="F675" t="str">
        <f>IF('10 Numaralar'!G77="","",'10 Numaralar'!G77)</f>
        <v/>
      </c>
      <c r="G675" s="2" t="str">
        <f>IF('10 Numaralar'!H77="","",'10 Numaralar'!H77)</f>
        <v/>
      </c>
      <c r="H675" t="str">
        <f>IF('10 Numaralar'!I77="","",'10 Numaralar'!I77)</f>
        <v/>
      </c>
      <c r="I675" t="str">
        <f>IF('10 Numaralar'!A77="","",'10 Numaralar'!J77)</f>
        <v/>
      </c>
      <c r="J675" t="str">
        <f>IF('10 Numaralar'!A77="","",'10 Numaralar'!K77)</f>
        <v/>
      </c>
      <c r="K675" t="str">
        <f>IF('10 Numaralar'!L77="","",'10 Numaralar'!L77)</f>
        <v/>
      </c>
      <c r="L675" t="str">
        <f>IF('10 Numaralar'!M77="","",'10 Numaralar'!M77)</f>
        <v/>
      </c>
      <c r="M675" t="str">
        <f>IF('10 Numaralar'!N77="","",'10 Numaralar'!N77)</f>
        <v/>
      </c>
      <c r="N675" t="str">
        <f>IF('10 Numaralar'!O77="","",'10 Numaralar'!O77)</f>
        <v/>
      </c>
      <c r="O675" t="str">
        <f>IF('10 Numaralar'!P77="","",'10 Numaralar'!P77)</f>
        <v/>
      </c>
      <c r="P675" t="str">
        <f>IF('10 Numaralar'!Q77="","",'10 Numaralar'!Q77)</f>
        <v/>
      </c>
      <c r="Q675" t="str">
        <f>IF('10 Numaralar'!R77="","",'10 Numaralar'!R77)</f>
        <v/>
      </c>
      <c r="R675" t="str">
        <f>IF('10 Numaralar'!S77="","",'10 Numaralar'!S77)</f>
        <v/>
      </c>
      <c r="S675" t="str">
        <f>IF('10 Numaralar'!T77="","",'10 Numaralar'!T77)</f>
        <v/>
      </c>
      <c r="T675" s="2" t="str">
        <f>IF('10 Numaralar'!U77="","",'10 Numaralar'!U77)</f>
        <v/>
      </c>
      <c r="U675" t="s">
        <v>932</v>
      </c>
      <c r="V675">
        <v>77</v>
      </c>
      <c r="W675" t="str">
        <f ca="1">IF(AND($A675&lt;&gt;"",ISNUMBER($G675),$G675&gt;=TODAY(),$G675&lt;=EDATE(TODAY(),12)),COUNTIFS($G$2:$G$1001,"&gt;="&amp;TODAY(),$G$2:$G$1001,"&lt;"&amp;$G675,$A$2:$A$1001,"&lt;&gt;")+COUNTIFS($G$2:$G675,$G675,$A$2:$A675,"&lt;&gt;"),"")</f>
        <v/>
      </c>
      <c r="X675" t="str">
        <f>IF(AND($A675&lt;&gt;"",ISNUMBER($C675),$C675&gt;=DATE(2003,1,1)),COUNTIFS($C$2:$C675,"&gt;="&amp;DATE(2003,1,1),$A$2:$A675,"&lt;&gt;"),"")</f>
        <v/>
      </c>
    </row>
    <row r="676" spans="1:24">
      <c r="A676" t="str">
        <f>IF('10 Numaralar'!A78="","",'10 Numaralar'!A78)</f>
        <v/>
      </c>
      <c r="B676" t="str">
        <f>IF('10 Numaralar'!B78="","",'10 Numaralar'!B78)</f>
        <v/>
      </c>
      <c r="C676" s="2" t="str">
        <f>IF('10 Numaralar'!C78="","",'10 Numaralar'!C78)</f>
        <v/>
      </c>
      <c r="D676" t="str">
        <f ca="1">IF('10 Numaralar'!D78="","",'10 Numaralar'!D78)</f>
        <v/>
      </c>
      <c r="E676" t="str">
        <f>IF('10 Numaralar'!E78="","",'10 Numaralar'!E78)</f>
        <v>10 Numara</v>
      </c>
      <c r="F676" t="str">
        <f>IF('10 Numaralar'!G78="","",'10 Numaralar'!G78)</f>
        <v/>
      </c>
      <c r="G676" s="2" t="str">
        <f>IF('10 Numaralar'!H78="","",'10 Numaralar'!H78)</f>
        <v/>
      </c>
      <c r="H676" t="str">
        <f>IF('10 Numaralar'!I78="","",'10 Numaralar'!I78)</f>
        <v/>
      </c>
      <c r="I676" t="str">
        <f>IF('10 Numaralar'!A78="","",'10 Numaralar'!J78)</f>
        <v/>
      </c>
      <c r="J676" t="str">
        <f>IF('10 Numaralar'!A78="","",'10 Numaralar'!K78)</f>
        <v/>
      </c>
      <c r="K676" t="str">
        <f>IF('10 Numaralar'!L78="","",'10 Numaralar'!L78)</f>
        <v/>
      </c>
      <c r="L676" t="str">
        <f>IF('10 Numaralar'!M78="","",'10 Numaralar'!M78)</f>
        <v/>
      </c>
      <c r="M676" t="str">
        <f>IF('10 Numaralar'!N78="","",'10 Numaralar'!N78)</f>
        <v/>
      </c>
      <c r="N676" t="str">
        <f>IF('10 Numaralar'!O78="","",'10 Numaralar'!O78)</f>
        <v/>
      </c>
      <c r="O676" t="str">
        <f>IF('10 Numaralar'!P78="","",'10 Numaralar'!P78)</f>
        <v/>
      </c>
      <c r="P676" t="str">
        <f>IF('10 Numaralar'!Q78="","",'10 Numaralar'!Q78)</f>
        <v/>
      </c>
      <c r="Q676" t="str">
        <f>IF('10 Numaralar'!R78="","",'10 Numaralar'!R78)</f>
        <v/>
      </c>
      <c r="R676" t="str">
        <f>IF('10 Numaralar'!S78="","",'10 Numaralar'!S78)</f>
        <v/>
      </c>
      <c r="S676" t="str">
        <f>IF('10 Numaralar'!T78="","",'10 Numaralar'!T78)</f>
        <v/>
      </c>
      <c r="T676" s="2" t="str">
        <f>IF('10 Numaralar'!U78="","",'10 Numaralar'!U78)</f>
        <v/>
      </c>
      <c r="U676" t="s">
        <v>932</v>
      </c>
      <c r="V676">
        <v>78</v>
      </c>
      <c r="W676" t="str">
        <f ca="1">IF(AND($A676&lt;&gt;"",ISNUMBER($G676),$G676&gt;=TODAY(),$G676&lt;=EDATE(TODAY(),12)),COUNTIFS($G$2:$G$1001,"&gt;="&amp;TODAY(),$G$2:$G$1001,"&lt;"&amp;$G676,$A$2:$A$1001,"&lt;&gt;")+COUNTIFS($G$2:$G676,$G676,$A$2:$A676,"&lt;&gt;"),"")</f>
        <v/>
      </c>
      <c r="X676" t="str">
        <f>IF(AND($A676&lt;&gt;"",ISNUMBER($C676),$C676&gt;=DATE(2003,1,1)),COUNTIFS($C$2:$C676,"&gt;="&amp;DATE(2003,1,1),$A$2:$A676,"&lt;&gt;"),"")</f>
        <v/>
      </c>
    </row>
    <row r="677" spans="1:24">
      <c r="A677" t="str">
        <f>IF('10 Numaralar'!A79="","",'10 Numaralar'!A79)</f>
        <v/>
      </c>
      <c r="B677" t="str">
        <f>IF('10 Numaralar'!B79="","",'10 Numaralar'!B79)</f>
        <v/>
      </c>
      <c r="C677" s="2" t="str">
        <f>IF('10 Numaralar'!C79="","",'10 Numaralar'!C79)</f>
        <v/>
      </c>
      <c r="D677" t="str">
        <f ca="1">IF('10 Numaralar'!D79="","",'10 Numaralar'!D79)</f>
        <v/>
      </c>
      <c r="E677" t="str">
        <f>IF('10 Numaralar'!E79="","",'10 Numaralar'!E79)</f>
        <v>10 Numara</v>
      </c>
      <c r="F677" t="str">
        <f>IF('10 Numaralar'!G79="","",'10 Numaralar'!G79)</f>
        <v/>
      </c>
      <c r="G677" s="2" t="str">
        <f>IF('10 Numaralar'!H79="","",'10 Numaralar'!H79)</f>
        <v/>
      </c>
      <c r="H677" t="str">
        <f>IF('10 Numaralar'!I79="","",'10 Numaralar'!I79)</f>
        <v/>
      </c>
      <c r="I677" t="str">
        <f>IF('10 Numaralar'!A79="","",'10 Numaralar'!J79)</f>
        <v/>
      </c>
      <c r="J677" t="str">
        <f>IF('10 Numaralar'!A79="","",'10 Numaralar'!K79)</f>
        <v/>
      </c>
      <c r="K677" t="str">
        <f>IF('10 Numaralar'!L79="","",'10 Numaralar'!L79)</f>
        <v/>
      </c>
      <c r="L677" t="str">
        <f>IF('10 Numaralar'!M79="","",'10 Numaralar'!M79)</f>
        <v/>
      </c>
      <c r="M677" t="str">
        <f>IF('10 Numaralar'!N79="","",'10 Numaralar'!N79)</f>
        <v/>
      </c>
      <c r="N677" t="str">
        <f>IF('10 Numaralar'!O79="","",'10 Numaralar'!O79)</f>
        <v/>
      </c>
      <c r="O677" t="str">
        <f>IF('10 Numaralar'!P79="","",'10 Numaralar'!P79)</f>
        <v/>
      </c>
      <c r="P677" t="str">
        <f>IF('10 Numaralar'!Q79="","",'10 Numaralar'!Q79)</f>
        <v/>
      </c>
      <c r="Q677" t="str">
        <f>IF('10 Numaralar'!R79="","",'10 Numaralar'!R79)</f>
        <v/>
      </c>
      <c r="R677" t="str">
        <f>IF('10 Numaralar'!S79="","",'10 Numaralar'!S79)</f>
        <v/>
      </c>
      <c r="S677" t="str">
        <f>IF('10 Numaralar'!T79="","",'10 Numaralar'!T79)</f>
        <v/>
      </c>
      <c r="T677" s="2" t="str">
        <f>IF('10 Numaralar'!U79="","",'10 Numaralar'!U79)</f>
        <v/>
      </c>
      <c r="U677" t="s">
        <v>932</v>
      </c>
      <c r="V677">
        <v>79</v>
      </c>
      <c r="W677" t="str">
        <f ca="1">IF(AND($A677&lt;&gt;"",ISNUMBER($G677),$G677&gt;=TODAY(),$G677&lt;=EDATE(TODAY(),12)),COUNTIFS($G$2:$G$1001,"&gt;="&amp;TODAY(),$G$2:$G$1001,"&lt;"&amp;$G677,$A$2:$A$1001,"&lt;&gt;")+COUNTIFS($G$2:$G677,$G677,$A$2:$A677,"&lt;&gt;"),"")</f>
        <v/>
      </c>
      <c r="X677" t="str">
        <f>IF(AND($A677&lt;&gt;"",ISNUMBER($C677),$C677&gt;=DATE(2003,1,1)),COUNTIFS($C$2:$C677,"&gt;="&amp;DATE(2003,1,1),$A$2:$A677,"&lt;&gt;"),"")</f>
        <v/>
      </c>
    </row>
    <row r="678" spans="1:24">
      <c r="A678" t="str">
        <f>IF('10 Numaralar'!A80="","",'10 Numaralar'!A80)</f>
        <v/>
      </c>
      <c r="B678" t="str">
        <f>IF('10 Numaralar'!B80="","",'10 Numaralar'!B80)</f>
        <v/>
      </c>
      <c r="C678" s="2" t="str">
        <f>IF('10 Numaralar'!C80="","",'10 Numaralar'!C80)</f>
        <v/>
      </c>
      <c r="D678" t="str">
        <f ca="1">IF('10 Numaralar'!D80="","",'10 Numaralar'!D80)</f>
        <v/>
      </c>
      <c r="E678" t="str">
        <f>IF('10 Numaralar'!E80="","",'10 Numaralar'!E80)</f>
        <v>10 Numara</v>
      </c>
      <c r="F678" t="str">
        <f>IF('10 Numaralar'!G80="","",'10 Numaralar'!G80)</f>
        <v/>
      </c>
      <c r="G678" s="2" t="str">
        <f>IF('10 Numaralar'!H80="","",'10 Numaralar'!H80)</f>
        <v/>
      </c>
      <c r="H678" t="str">
        <f>IF('10 Numaralar'!I80="","",'10 Numaralar'!I80)</f>
        <v/>
      </c>
      <c r="I678" t="str">
        <f>IF('10 Numaralar'!A80="","",'10 Numaralar'!J80)</f>
        <v/>
      </c>
      <c r="J678" t="str">
        <f>IF('10 Numaralar'!A80="","",'10 Numaralar'!K80)</f>
        <v/>
      </c>
      <c r="K678" t="str">
        <f>IF('10 Numaralar'!L80="","",'10 Numaralar'!L80)</f>
        <v/>
      </c>
      <c r="L678" t="str">
        <f>IF('10 Numaralar'!M80="","",'10 Numaralar'!M80)</f>
        <v/>
      </c>
      <c r="M678" t="str">
        <f>IF('10 Numaralar'!N80="","",'10 Numaralar'!N80)</f>
        <v/>
      </c>
      <c r="N678" t="str">
        <f>IF('10 Numaralar'!O80="","",'10 Numaralar'!O80)</f>
        <v/>
      </c>
      <c r="O678" t="str">
        <f>IF('10 Numaralar'!P80="","",'10 Numaralar'!P80)</f>
        <v/>
      </c>
      <c r="P678" t="str">
        <f>IF('10 Numaralar'!Q80="","",'10 Numaralar'!Q80)</f>
        <v/>
      </c>
      <c r="Q678" t="str">
        <f>IF('10 Numaralar'!R80="","",'10 Numaralar'!R80)</f>
        <v/>
      </c>
      <c r="R678" t="str">
        <f>IF('10 Numaralar'!S80="","",'10 Numaralar'!S80)</f>
        <v/>
      </c>
      <c r="S678" t="str">
        <f>IF('10 Numaralar'!T80="","",'10 Numaralar'!T80)</f>
        <v/>
      </c>
      <c r="T678" s="2" t="str">
        <f>IF('10 Numaralar'!U80="","",'10 Numaralar'!U80)</f>
        <v/>
      </c>
      <c r="U678" t="s">
        <v>932</v>
      </c>
      <c r="V678">
        <v>80</v>
      </c>
      <c r="W678" t="str">
        <f ca="1">IF(AND($A678&lt;&gt;"",ISNUMBER($G678),$G678&gt;=TODAY(),$G678&lt;=EDATE(TODAY(),12)),COUNTIFS($G$2:$G$1001,"&gt;="&amp;TODAY(),$G$2:$G$1001,"&lt;"&amp;$G678,$A$2:$A$1001,"&lt;&gt;")+COUNTIFS($G$2:$G678,$G678,$A$2:$A678,"&lt;&gt;"),"")</f>
        <v/>
      </c>
      <c r="X678" t="str">
        <f>IF(AND($A678&lt;&gt;"",ISNUMBER($C678),$C678&gt;=DATE(2003,1,1)),COUNTIFS($C$2:$C678,"&gt;="&amp;DATE(2003,1,1),$A$2:$A678,"&lt;&gt;"),"")</f>
        <v/>
      </c>
    </row>
    <row r="679" spans="1:24">
      <c r="A679" t="str">
        <f>IF('10 Numaralar'!A81="","",'10 Numaralar'!A81)</f>
        <v/>
      </c>
      <c r="B679" t="str">
        <f>IF('10 Numaralar'!B81="","",'10 Numaralar'!B81)</f>
        <v/>
      </c>
      <c r="C679" s="2" t="str">
        <f>IF('10 Numaralar'!C81="","",'10 Numaralar'!C81)</f>
        <v/>
      </c>
      <c r="D679" t="str">
        <f ca="1">IF('10 Numaralar'!D81="","",'10 Numaralar'!D81)</f>
        <v/>
      </c>
      <c r="E679" t="str">
        <f>IF('10 Numaralar'!E81="","",'10 Numaralar'!E81)</f>
        <v>10 Numara</v>
      </c>
      <c r="F679" t="str">
        <f>IF('10 Numaralar'!G81="","",'10 Numaralar'!G81)</f>
        <v/>
      </c>
      <c r="G679" s="2" t="str">
        <f>IF('10 Numaralar'!H81="","",'10 Numaralar'!H81)</f>
        <v/>
      </c>
      <c r="H679" t="str">
        <f>IF('10 Numaralar'!I81="","",'10 Numaralar'!I81)</f>
        <v/>
      </c>
      <c r="I679" t="str">
        <f>IF('10 Numaralar'!A81="","",'10 Numaralar'!J81)</f>
        <v/>
      </c>
      <c r="J679" t="str">
        <f>IF('10 Numaralar'!A81="","",'10 Numaralar'!K81)</f>
        <v/>
      </c>
      <c r="K679" t="str">
        <f>IF('10 Numaralar'!L81="","",'10 Numaralar'!L81)</f>
        <v/>
      </c>
      <c r="L679" t="str">
        <f>IF('10 Numaralar'!M81="","",'10 Numaralar'!M81)</f>
        <v/>
      </c>
      <c r="M679" t="str">
        <f>IF('10 Numaralar'!N81="","",'10 Numaralar'!N81)</f>
        <v/>
      </c>
      <c r="N679" t="str">
        <f>IF('10 Numaralar'!O81="","",'10 Numaralar'!O81)</f>
        <v/>
      </c>
      <c r="O679" t="str">
        <f>IF('10 Numaralar'!P81="","",'10 Numaralar'!P81)</f>
        <v/>
      </c>
      <c r="P679" t="str">
        <f>IF('10 Numaralar'!Q81="","",'10 Numaralar'!Q81)</f>
        <v/>
      </c>
      <c r="Q679" t="str">
        <f>IF('10 Numaralar'!R81="","",'10 Numaralar'!R81)</f>
        <v/>
      </c>
      <c r="R679" t="str">
        <f>IF('10 Numaralar'!S81="","",'10 Numaralar'!S81)</f>
        <v/>
      </c>
      <c r="S679" t="str">
        <f>IF('10 Numaralar'!T81="","",'10 Numaralar'!T81)</f>
        <v/>
      </c>
      <c r="T679" s="2" t="str">
        <f>IF('10 Numaralar'!U81="","",'10 Numaralar'!U81)</f>
        <v/>
      </c>
      <c r="U679" t="s">
        <v>932</v>
      </c>
      <c r="V679">
        <v>81</v>
      </c>
      <c r="W679" t="str">
        <f ca="1">IF(AND($A679&lt;&gt;"",ISNUMBER($G679),$G679&gt;=TODAY(),$G679&lt;=EDATE(TODAY(),12)),COUNTIFS($G$2:$G$1001,"&gt;="&amp;TODAY(),$G$2:$G$1001,"&lt;"&amp;$G679,$A$2:$A$1001,"&lt;&gt;")+COUNTIFS($G$2:$G679,$G679,$A$2:$A679,"&lt;&gt;"),"")</f>
        <v/>
      </c>
      <c r="X679" t="str">
        <f>IF(AND($A679&lt;&gt;"",ISNUMBER($C679),$C679&gt;=DATE(2003,1,1)),COUNTIFS($C$2:$C679,"&gt;="&amp;DATE(2003,1,1),$A$2:$A679,"&lt;&gt;"),"")</f>
        <v/>
      </c>
    </row>
    <row r="680" spans="1:24">
      <c r="A680" t="str">
        <f>IF('10 Numaralar'!A82="","",'10 Numaralar'!A82)</f>
        <v/>
      </c>
      <c r="B680" t="str">
        <f>IF('10 Numaralar'!B82="","",'10 Numaralar'!B82)</f>
        <v/>
      </c>
      <c r="C680" s="2" t="str">
        <f>IF('10 Numaralar'!C82="","",'10 Numaralar'!C82)</f>
        <v/>
      </c>
      <c r="D680" t="str">
        <f ca="1">IF('10 Numaralar'!D82="","",'10 Numaralar'!D82)</f>
        <v/>
      </c>
      <c r="E680" t="str">
        <f>IF('10 Numaralar'!E82="","",'10 Numaralar'!E82)</f>
        <v>10 Numara</v>
      </c>
      <c r="F680" t="str">
        <f>IF('10 Numaralar'!G82="","",'10 Numaralar'!G82)</f>
        <v/>
      </c>
      <c r="G680" s="2" t="str">
        <f>IF('10 Numaralar'!H82="","",'10 Numaralar'!H82)</f>
        <v/>
      </c>
      <c r="H680" t="str">
        <f>IF('10 Numaralar'!I82="","",'10 Numaralar'!I82)</f>
        <v/>
      </c>
      <c r="I680" t="str">
        <f>IF('10 Numaralar'!A82="","",'10 Numaralar'!J82)</f>
        <v/>
      </c>
      <c r="J680" t="str">
        <f>IF('10 Numaralar'!A82="","",'10 Numaralar'!K82)</f>
        <v/>
      </c>
      <c r="K680" t="str">
        <f>IF('10 Numaralar'!L82="","",'10 Numaralar'!L82)</f>
        <v/>
      </c>
      <c r="L680" t="str">
        <f>IF('10 Numaralar'!M82="","",'10 Numaralar'!M82)</f>
        <v/>
      </c>
      <c r="M680" t="str">
        <f>IF('10 Numaralar'!N82="","",'10 Numaralar'!N82)</f>
        <v/>
      </c>
      <c r="N680" t="str">
        <f>IF('10 Numaralar'!O82="","",'10 Numaralar'!O82)</f>
        <v/>
      </c>
      <c r="O680" t="str">
        <f>IF('10 Numaralar'!P82="","",'10 Numaralar'!P82)</f>
        <v/>
      </c>
      <c r="P680" t="str">
        <f>IF('10 Numaralar'!Q82="","",'10 Numaralar'!Q82)</f>
        <v/>
      </c>
      <c r="Q680" t="str">
        <f>IF('10 Numaralar'!R82="","",'10 Numaralar'!R82)</f>
        <v/>
      </c>
      <c r="R680" t="str">
        <f>IF('10 Numaralar'!S82="","",'10 Numaralar'!S82)</f>
        <v/>
      </c>
      <c r="S680" t="str">
        <f>IF('10 Numaralar'!T82="","",'10 Numaralar'!T82)</f>
        <v/>
      </c>
      <c r="T680" s="2" t="str">
        <f>IF('10 Numaralar'!U82="","",'10 Numaralar'!U82)</f>
        <v/>
      </c>
      <c r="U680" t="s">
        <v>932</v>
      </c>
      <c r="V680">
        <v>82</v>
      </c>
      <c r="W680" t="str">
        <f ca="1">IF(AND($A680&lt;&gt;"",ISNUMBER($G680),$G680&gt;=TODAY(),$G680&lt;=EDATE(TODAY(),12)),COUNTIFS($G$2:$G$1001,"&gt;="&amp;TODAY(),$G$2:$G$1001,"&lt;"&amp;$G680,$A$2:$A$1001,"&lt;&gt;")+COUNTIFS($G$2:$G680,$G680,$A$2:$A680,"&lt;&gt;"),"")</f>
        <v/>
      </c>
      <c r="X680" t="str">
        <f>IF(AND($A680&lt;&gt;"",ISNUMBER($C680),$C680&gt;=DATE(2003,1,1)),COUNTIFS($C$2:$C680,"&gt;="&amp;DATE(2003,1,1),$A$2:$A680,"&lt;&gt;"),"")</f>
        <v/>
      </c>
    </row>
    <row r="681" spans="1:24">
      <c r="A681" t="str">
        <f>IF('10 Numaralar'!A83="","",'10 Numaralar'!A83)</f>
        <v/>
      </c>
      <c r="B681" t="str">
        <f>IF('10 Numaralar'!B83="","",'10 Numaralar'!B83)</f>
        <v/>
      </c>
      <c r="C681" s="2" t="str">
        <f>IF('10 Numaralar'!C83="","",'10 Numaralar'!C83)</f>
        <v/>
      </c>
      <c r="D681" t="str">
        <f ca="1">IF('10 Numaralar'!D83="","",'10 Numaralar'!D83)</f>
        <v/>
      </c>
      <c r="E681" t="str">
        <f>IF('10 Numaralar'!E83="","",'10 Numaralar'!E83)</f>
        <v>10 Numara</v>
      </c>
      <c r="F681" t="str">
        <f>IF('10 Numaralar'!G83="","",'10 Numaralar'!G83)</f>
        <v/>
      </c>
      <c r="G681" s="2" t="str">
        <f>IF('10 Numaralar'!H83="","",'10 Numaralar'!H83)</f>
        <v/>
      </c>
      <c r="H681" t="str">
        <f>IF('10 Numaralar'!I83="","",'10 Numaralar'!I83)</f>
        <v/>
      </c>
      <c r="I681" t="str">
        <f>IF('10 Numaralar'!A83="","",'10 Numaralar'!J83)</f>
        <v/>
      </c>
      <c r="J681" t="str">
        <f>IF('10 Numaralar'!A83="","",'10 Numaralar'!K83)</f>
        <v/>
      </c>
      <c r="K681" t="str">
        <f>IF('10 Numaralar'!L83="","",'10 Numaralar'!L83)</f>
        <v/>
      </c>
      <c r="L681" t="str">
        <f>IF('10 Numaralar'!M83="","",'10 Numaralar'!M83)</f>
        <v/>
      </c>
      <c r="M681" t="str">
        <f>IF('10 Numaralar'!N83="","",'10 Numaralar'!N83)</f>
        <v/>
      </c>
      <c r="N681" t="str">
        <f>IF('10 Numaralar'!O83="","",'10 Numaralar'!O83)</f>
        <v/>
      </c>
      <c r="O681" t="str">
        <f>IF('10 Numaralar'!P83="","",'10 Numaralar'!P83)</f>
        <v/>
      </c>
      <c r="P681" t="str">
        <f>IF('10 Numaralar'!Q83="","",'10 Numaralar'!Q83)</f>
        <v/>
      </c>
      <c r="Q681" t="str">
        <f>IF('10 Numaralar'!R83="","",'10 Numaralar'!R83)</f>
        <v/>
      </c>
      <c r="R681" t="str">
        <f>IF('10 Numaralar'!S83="","",'10 Numaralar'!S83)</f>
        <v/>
      </c>
      <c r="S681" t="str">
        <f>IF('10 Numaralar'!T83="","",'10 Numaralar'!T83)</f>
        <v/>
      </c>
      <c r="T681" s="2" t="str">
        <f>IF('10 Numaralar'!U83="","",'10 Numaralar'!U83)</f>
        <v/>
      </c>
      <c r="U681" t="s">
        <v>932</v>
      </c>
      <c r="V681">
        <v>83</v>
      </c>
      <c r="W681" t="str">
        <f ca="1">IF(AND($A681&lt;&gt;"",ISNUMBER($G681),$G681&gt;=TODAY(),$G681&lt;=EDATE(TODAY(),12)),COUNTIFS($G$2:$G$1001,"&gt;="&amp;TODAY(),$G$2:$G$1001,"&lt;"&amp;$G681,$A$2:$A$1001,"&lt;&gt;")+COUNTIFS($G$2:$G681,$G681,$A$2:$A681,"&lt;&gt;"),"")</f>
        <v/>
      </c>
      <c r="X681" t="str">
        <f>IF(AND($A681&lt;&gt;"",ISNUMBER($C681),$C681&gt;=DATE(2003,1,1)),COUNTIFS($C$2:$C681,"&gt;="&amp;DATE(2003,1,1),$A$2:$A681,"&lt;&gt;"),"")</f>
        <v/>
      </c>
    </row>
    <row r="682" spans="1:24">
      <c r="A682" t="str">
        <f>IF('10 Numaralar'!A84="","",'10 Numaralar'!A84)</f>
        <v/>
      </c>
      <c r="B682" t="str">
        <f>IF('10 Numaralar'!B84="","",'10 Numaralar'!B84)</f>
        <v/>
      </c>
      <c r="C682" s="2" t="str">
        <f>IF('10 Numaralar'!C84="","",'10 Numaralar'!C84)</f>
        <v/>
      </c>
      <c r="D682" t="str">
        <f ca="1">IF('10 Numaralar'!D84="","",'10 Numaralar'!D84)</f>
        <v/>
      </c>
      <c r="E682" t="str">
        <f>IF('10 Numaralar'!E84="","",'10 Numaralar'!E84)</f>
        <v>10 Numara</v>
      </c>
      <c r="F682" t="str">
        <f>IF('10 Numaralar'!G84="","",'10 Numaralar'!G84)</f>
        <v/>
      </c>
      <c r="G682" s="2" t="str">
        <f>IF('10 Numaralar'!H84="","",'10 Numaralar'!H84)</f>
        <v/>
      </c>
      <c r="H682" t="str">
        <f>IF('10 Numaralar'!I84="","",'10 Numaralar'!I84)</f>
        <v/>
      </c>
      <c r="I682" t="str">
        <f>IF('10 Numaralar'!A84="","",'10 Numaralar'!J84)</f>
        <v/>
      </c>
      <c r="J682" t="str">
        <f>IF('10 Numaralar'!A84="","",'10 Numaralar'!K84)</f>
        <v/>
      </c>
      <c r="K682" t="str">
        <f>IF('10 Numaralar'!L84="","",'10 Numaralar'!L84)</f>
        <v/>
      </c>
      <c r="L682" t="str">
        <f>IF('10 Numaralar'!M84="","",'10 Numaralar'!M84)</f>
        <v/>
      </c>
      <c r="M682" t="str">
        <f>IF('10 Numaralar'!N84="","",'10 Numaralar'!N84)</f>
        <v/>
      </c>
      <c r="N682" t="str">
        <f>IF('10 Numaralar'!O84="","",'10 Numaralar'!O84)</f>
        <v/>
      </c>
      <c r="O682" t="str">
        <f>IF('10 Numaralar'!P84="","",'10 Numaralar'!P84)</f>
        <v/>
      </c>
      <c r="P682" t="str">
        <f>IF('10 Numaralar'!Q84="","",'10 Numaralar'!Q84)</f>
        <v/>
      </c>
      <c r="Q682" t="str">
        <f>IF('10 Numaralar'!R84="","",'10 Numaralar'!R84)</f>
        <v/>
      </c>
      <c r="R682" t="str">
        <f>IF('10 Numaralar'!S84="","",'10 Numaralar'!S84)</f>
        <v/>
      </c>
      <c r="S682" t="str">
        <f>IF('10 Numaralar'!T84="","",'10 Numaralar'!T84)</f>
        <v/>
      </c>
      <c r="T682" s="2" t="str">
        <f>IF('10 Numaralar'!U84="","",'10 Numaralar'!U84)</f>
        <v/>
      </c>
      <c r="U682" t="s">
        <v>932</v>
      </c>
      <c r="V682">
        <v>84</v>
      </c>
      <c r="W682" t="str">
        <f ca="1">IF(AND($A682&lt;&gt;"",ISNUMBER($G682),$G682&gt;=TODAY(),$G682&lt;=EDATE(TODAY(),12)),COUNTIFS($G$2:$G$1001,"&gt;="&amp;TODAY(),$G$2:$G$1001,"&lt;"&amp;$G682,$A$2:$A$1001,"&lt;&gt;")+COUNTIFS($G$2:$G682,$G682,$A$2:$A682,"&lt;&gt;"),"")</f>
        <v/>
      </c>
      <c r="X682" t="str">
        <f>IF(AND($A682&lt;&gt;"",ISNUMBER($C682),$C682&gt;=DATE(2003,1,1)),COUNTIFS($C$2:$C682,"&gt;="&amp;DATE(2003,1,1),$A$2:$A682,"&lt;&gt;"),"")</f>
        <v/>
      </c>
    </row>
    <row r="683" spans="1:24">
      <c r="A683" t="str">
        <f>IF('10 Numaralar'!A85="","",'10 Numaralar'!A85)</f>
        <v/>
      </c>
      <c r="B683" t="str">
        <f>IF('10 Numaralar'!B85="","",'10 Numaralar'!B85)</f>
        <v/>
      </c>
      <c r="C683" s="2" t="str">
        <f>IF('10 Numaralar'!C85="","",'10 Numaralar'!C85)</f>
        <v/>
      </c>
      <c r="D683" t="str">
        <f ca="1">IF('10 Numaralar'!D85="","",'10 Numaralar'!D85)</f>
        <v/>
      </c>
      <c r="E683" t="str">
        <f>IF('10 Numaralar'!E85="","",'10 Numaralar'!E85)</f>
        <v>10 Numara</v>
      </c>
      <c r="F683" t="str">
        <f>IF('10 Numaralar'!G85="","",'10 Numaralar'!G85)</f>
        <v/>
      </c>
      <c r="G683" s="2" t="str">
        <f>IF('10 Numaralar'!H85="","",'10 Numaralar'!H85)</f>
        <v/>
      </c>
      <c r="H683" t="str">
        <f>IF('10 Numaralar'!I85="","",'10 Numaralar'!I85)</f>
        <v/>
      </c>
      <c r="I683" t="str">
        <f>IF('10 Numaralar'!A85="","",'10 Numaralar'!J85)</f>
        <v/>
      </c>
      <c r="J683" t="str">
        <f>IF('10 Numaralar'!A85="","",'10 Numaralar'!K85)</f>
        <v/>
      </c>
      <c r="K683" t="str">
        <f>IF('10 Numaralar'!L85="","",'10 Numaralar'!L85)</f>
        <v/>
      </c>
      <c r="L683" t="str">
        <f>IF('10 Numaralar'!M85="","",'10 Numaralar'!M85)</f>
        <v/>
      </c>
      <c r="M683" t="str">
        <f>IF('10 Numaralar'!N85="","",'10 Numaralar'!N85)</f>
        <v/>
      </c>
      <c r="N683" t="str">
        <f>IF('10 Numaralar'!O85="","",'10 Numaralar'!O85)</f>
        <v/>
      </c>
      <c r="O683" t="str">
        <f>IF('10 Numaralar'!P85="","",'10 Numaralar'!P85)</f>
        <v/>
      </c>
      <c r="P683" t="str">
        <f>IF('10 Numaralar'!Q85="","",'10 Numaralar'!Q85)</f>
        <v/>
      </c>
      <c r="Q683" t="str">
        <f>IF('10 Numaralar'!R85="","",'10 Numaralar'!R85)</f>
        <v/>
      </c>
      <c r="R683" t="str">
        <f>IF('10 Numaralar'!S85="","",'10 Numaralar'!S85)</f>
        <v/>
      </c>
      <c r="S683" t="str">
        <f>IF('10 Numaralar'!T85="","",'10 Numaralar'!T85)</f>
        <v/>
      </c>
      <c r="T683" s="2" t="str">
        <f>IF('10 Numaralar'!U85="","",'10 Numaralar'!U85)</f>
        <v/>
      </c>
      <c r="U683" t="s">
        <v>932</v>
      </c>
      <c r="V683">
        <v>85</v>
      </c>
      <c r="W683" t="str">
        <f ca="1">IF(AND($A683&lt;&gt;"",ISNUMBER($G683),$G683&gt;=TODAY(),$G683&lt;=EDATE(TODAY(),12)),COUNTIFS($G$2:$G$1001,"&gt;="&amp;TODAY(),$G$2:$G$1001,"&lt;"&amp;$G683,$A$2:$A$1001,"&lt;&gt;")+COUNTIFS($G$2:$G683,$G683,$A$2:$A683,"&lt;&gt;"),"")</f>
        <v/>
      </c>
      <c r="X683" t="str">
        <f>IF(AND($A683&lt;&gt;"",ISNUMBER($C683),$C683&gt;=DATE(2003,1,1)),COUNTIFS($C$2:$C683,"&gt;="&amp;DATE(2003,1,1),$A$2:$A683,"&lt;&gt;"),"")</f>
        <v/>
      </c>
    </row>
    <row r="684" spans="1:24">
      <c r="A684" t="str">
        <f>IF('10 Numaralar'!A86="","",'10 Numaralar'!A86)</f>
        <v/>
      </c>
      <c r="B684" t="str">
        <f>IF('10 Numaralar'!B86="","",'10 Numaralar'!B86)</f>
        <v/>
      </c>
      <c r="C684" s="2" t="str">
        <f>IF('10 Numaralar'!C86="","",'10 Numaralar'!C86)</f>
        <v/>
      </c>
      <c r="D684" t="str">
        <f ca="1">IF('10 Numaralar'!D86="","",'10 Numaralar'!D86)</f>
        <v/>
      </c>
      <c r="E684" t="str">
        <f>IF('10 Numaralar'!E86="","",'10 Numaralar'!E86)</f>
        <v>10 Numara</v>
      </c>
      <c r="F684" t="str">
        <f>IF('10 Numaralar'!G86="","",'10 Numaralar'!G86)</f>
        <v/>
      </c>
      <c r="G684" s="2" t="str">
        <f>IF('10 Numaralar'!H86="","",'10 Numaralar'!H86)</f>
        <v/>
      </c>
      <c r="H684" t="str">
        <f>IF('10 Numaralar'!I86="","",'10 Numaralar'!I86)</f>
        <v/>
      </c>
      <c r="I684" t="str">
        <f>IF('10 Numaralar'!A86="","",'10 Numaralar'!J86)</f>
        <v/>
      </c>
      <c r="J684" t="str">
        <f>IF('10 Numaralar'!A86="","",'10 Numaralar'!K86)</f>
        <v/>
      </c>
      <c r="K684" t="str">
        <f>IF('10 Numaralar'!L86="","",'10 Numaralar'!L86)</f>
        <v/>
      </c>
      <c r="L684" t="str">
        <f>IF('10 Numaralar'!M86="","",'10 Numaralar'!M86)</f>
        <v/>
      </c>
      <c r="M684" t="str">
        <f>IF('10 Numaralar'!N86="","",'10 Numaralar'!N86)</f>
        <v/>
      </c>
      <c r="N684" t="str">
        <f>IF('10 Numaralar'!O86="","",'10 Numaralar'!O86)</f>
        <v/>
      </c>
      <c r="O684" t="str">
        <f>IF('10 Numaralar'!P86="","",'10 Numaralar'!P86)</f>
        <v/>
      </c>
      <c r="P684" t="str">
        <f>IF('10 Numaralar'!Q86="","",'10 Numaralar'!Q86)</f>
        <v/>
      </c>
      <c r="Q684" t="str">
        <f>IF('10 Numaralar'!R86="","",'10 Numaralar'!R86)</f>
        <v/>
      </c>
      <c r="R684" t="str">
        <f>IF('10 Numaralar'!S86="","",'10 Numaralar'!S86)</f>
        <v/>
      </c>
      <c r="S684" t="str">
        <f>IF('10 Numaralar'!T86="","",'10 Numaralar'!T86)</f>
        <v/>
      </c>
      <c r="T684" s="2" t="str">
        <f>IF('10 Numaralar'!U86="","",'10 Numaralar'!U86)</f>
        <v/>
      </c>
      <c r="U684" t="s">
        <v>932</v>
      </c>
      <c r="V684">
        <v>86</v>
      </c>
      <c r="W684" t="str">
        <f ca="1">IF(AND($A684&lt;&gt;"",ISNUMBER($G684),$G684&gt;=TODAY(),$G684&lt;=EDATE(TODAY(),12)),COUNTIFS($G$2:$G$1001,"&gt;="&amp;TODAY(),$G$2:$G$1001,"&lt;"&amp;$G684,$A$2:$A$1001,"&lt;&gt;")+COUNTIFS($G$2:$G684,$G684,$A$2:$A684,"&lt;&gt;"),"")</f>
        <v/>
      </c>
      <c r="X684" t="str">
        <f>IF(AND($A684&lt;&gt;"",ISNUMBER($C684),$C684&gt;=DATE(2003,1,1)),COUNTIFS($C$2:$C684,"&gt;="&amp;DATE(2003,1,1),$A$2:$A684,"&lt;&gt;"),"")</f>
        <v/>
      </c>
    </row>
    <row r="685" spans="1:24">
      <c r="A685" t="str">
        <f>IF('10 Numaralar'!A87="","",'10 Numaralar'!A87)</f>
        <v/>
      </c>
      <c r="B685" t="str">
        <f>IF('10 Numaralar'!B87="","",'10 Numaralar'!B87)</f>
        <v/>
      </c>
      <c r="C685" s="2" t="str">
        <f>IF('10 Numaralar'!C87="","",'10 Numaralar'!C87)</f>
        <v/>
      </c>
      <c r="D685" t="str">
        <f ca="1">IF('10 Numaralar'!D87="","",'10 Numaralar'!D87)</f>
        <v/>
      </c>
      <c r="E685" t="str">
        <f>IF('10 Numaralar'!E87="","",'10 Numaralar'!E87)</f>
        <v>10 Numara</v>
      </c>
      <c r="F685" t="str">
        <f>IF('10 Numaralar'!G87="","",'10 Numaralar'!G87)</f>
        <v/>
      </c>
      <c r="G685" s="2" t="str">
        <f>IF('10 Numaralar'!H87="","",'10 Numaralar'!H87)</f>
        <v/>
      </c>
      <c r="H685" t="str">
        <f>IF('10 Numaralar'!I87="","",'10 Numaralar'!I87)</f>
        <v/>
      </c>
      <c r="I685" t="str">
        <f>IF('10 Numaralar'!A87="","",'10 Numaralar'!J87)</f>
        <v/>
      </c>
      <c r="J685" t="str">
        <f>IF('10 Numaralar'!A87="","",'10 Numaralar'!K87)</f>
        <v/>
      </c>
      <c r="K685" t="str">
        <f>IF('10 Numaralar'!L87="","",'10 Numaralar'!L87)</f>
        <v/>
      </c>
      <c r="L685" t="str">
        <f>IF('10 Numaralar'!M87="","",'10 Numaralar'!M87)</f>
        <v/>
      </c>
      <c r="M685" t="str">
        <f>IF('10 Numaralar'!N87="","",'10 Numaralar'!N87)</f>
        <v/>
      </c>
      <c r="N685" t="str">
        <f>IF('10 Numaralar'!O87="","",'10 Numaralar'!O87)</f>
        <v/>
      </c>
      <c r="O685" t="str">
        <f>IF('10 Numaralar'!P87="","",'10 Numaralar'!P87)</f>
        <v/>
      </c>
      <c r="P685" t="str">
        <f>IF('10 Numaralar'!Q87="","",'10 Numaralar'!Q87)</f>
        <v/>
      </c>
      <c r="Q685" t="str">
        <f>IF('10 Numaralar'!R87="","",'10 Numaralar'!R87)</f>
        <v/>
      </c>
      <c r="R685" t="str">
        <f>IF('10 Numaralar'!S87="","",'10 Numaralar'!S87)</f>
        <v/>
      </c>
      <c r="S685" t="str">
        <f>IF('10 Numaralar'!T87="","",'10 Numaralar'!T87)</f>
        <v/>
      </c>
      <c r="T685" s="2" t="str">
        <f>IF('10 Numaralar'!U87="","",'10 Numaralar'!U87)</f>
        <v/>
      </c>
      <c r="U685" t="s">
        <v>932</v>
      </c>
      <c r="V685">
        <v>87</v>
      </c>
      <c r="W685" t="str">
        <f ca="1">IF(AND($A685&lt;&gt;"",ISNUMBER($G685),$G685&gt;=TODAY(),$G685&lt;=EDATE(TODAY(),12)),COUNTIFS($G$2:$G$1001,"&gt;="&amp;TODAY(),$G$2:$G$1001,"&lt;"&amp;$G685,$A$2:$A$1001,"&lt;&gt;")+COUNTIFS($G$2:$G685,$G685,$A$2:$A685,"&lt;&gt;"),"")</f>
        <v/>
      </c>
      <c r="X685" t="str">
        <f>IF(AND($A685&lt;&gt;"",ISNUMBER($C685),$C685&gt;=DATE(2003,1,1)),COUNTIFS($C$2:$C685,"&gt;="&amp;DATE(2003,1,1),$A$2:$A685,"&lt;&gt;"),"")</f>
        <v/>
      </c>
    </row>
    <row r="686" spans="1:24">
      <c r="A686" t="str">
        <f>IF('10 Numaralar'!A88="","",'10 Numaralar'!A88)</f>
        <v/>
      </c>
      <c r="B686" t="str">
        <f>IF('10 Numaralar'!B88="","",'10 Numaralar'!B88)</f>
        <v/>
      </c>
      <c r="C686" s="2" t="str">
        <f>IF('10 Numaralar'!C88="","",'10 Numaralar'!C88)</f>
        <v/>
      </c>
      <c r="D686" t="str">
        <f ca="1">IF('10 Numaralar'!D88="","",'10 Numaralar'!D88)</f>
        <v/>
      </c>
      <c r="E686" t="str">
        <f>IF('10 Numaralar'!E88="","",'10 Numaralar'!E88)</f>
        <v>10 Numara</v>
      </c>
      <c r="F686" t="str">
        <f>IF('10 Numaralar'!G88="","",'10 Numaralar'!G88)</f>
        <v/>
      </c>
      <c r="G686" s="2" t="str">
        <f>IF('10 Numaralar'!H88="","",'10 Numaralar'!H88)</f>
        <v/>
      </c>
      <c r="H686" t="str">
        <f>IF('10 Numaralar'!I88="","",'10 Numaralar'!I88)</f>
        <v/>
      </c>
      <c r="I686" t="str">
        <f>IF('10 Numaralar'!A88="","",'10 Numaralar'!J88)</f>
        <v/>
      </c>
      <c r="J686" t="str">
        <f>IF('10 Numaralar'!A88="","",'10 Numaralar'!K88)</f>
        <v/>
      </c>
      <c r="K686" t="str">
        <f>IF('10 Numaralar'!L88="","",'10 Numaralar'!L88)</f>
        <v/>
      </c>
      <c r="L686" t="str">
        <f>IF('10 Numaralar'!M88="","",'10 Numaralar'!M88)</f>
        <v/>
      </c>
      <c r="M686" t="str">
        <f>IF('10 Numaralar'!N88="","",'10 Numaralar'!N88)</f>
        <v/>
      </c>
      <c r="N686" t="str">
        <f>IF('10 Numaralar'!O88="","",'10 Numaralar'!O88)</f>
        <v/>
      </c>
      <c r="O686" t="str">
        <f>IF('10 Numaralar'!P88="","",'10 Numaralar'!P88)</f>
        <v/>
      </c>
      <c r="P686" t="str">
        <f>IF('10 Numaralar'!Q88="","",'10 Numaralar'!Q88)</f>
        <v/>
      </c>
      <c r="Q686" t="str">
        <f>IF('10 Numaralar'!R88="","",'10 Numaralar'!R88)</f>
        <v/>
      </c>
      <c r="R686" t="str">
        <f>IF('10 Numaralar'!S88="","",'10 Numaralar'!S88)</f>
        <v/>
      </c>
      <c r="S686" t="str">
        <f>IF('10 Numaralar'!T88="","",'10 Numaralar'!T88)</f>
        <v/>
      </c>
      <c r="T686" s="2" t="str">
        <f>IF('10 Numaralar'!U88="","",'10 Numaralar'!U88)</f>
        <v/>
      </c>
      <c r="U686" t="s">
        <v>932</v>
      </c>
      <c r="V686">
        <v>88</v>
      </c>
      <c r="W686" t="str">
        <f ca="1">IF(AND($A686&lt;&gt;"",ISNUMBER($G686),$G686&gt;=TODAY(),$G686&lt;=EDATE(TODAY(),12)),COUNTIFS($G$2:$G$1001,"&gt;="&amp;TODAY(),$G$2:$G$1001,"&lt;"&amp;$G686,$A$2:$A$1001,"&lt;&gt;")+COUNTIFS($G$2:$G686,$G686,$A$2:$A686,"&lt;&gt;"),"")</f>
        <v/>
      </c>
      <c r="X686" t="str">
        <f>IF(AND($A686&lt;&gt;"",ISNUMBER($C686),$C686&gt;=DATE(2003,1,1)),COUNTIFS($C$2:$C686,"&gt;="&amp;DATE(2003,1,1),$A$2:$A686,"&lt;&gt;"),"")</f>
        <v/>
      </c>
    </row>
    <row r="687" spans="1:24">
      <c r="A687" t="str">
        <f>IF('10 Numaralar'!A89="","",'10 Numaralar'!A89)</f>
        <v/>
      </c>
      <c r="B687" t="str">
        <f>IF('10 Numaralar'!B89="","",'10 Numaralar'!B89)</f>
        <v/>
      </c>
      <c r="C687" s="2" t="str">
        <f>IF('10 Numaralar'!C89="","",'10 Numaralar'!C89)</f>
        <v/>
      </c>
      <c r="D687" t="str">
        <f ca="1">IF('10 Numaralar'!D89="","",'10 Numaralar'!D89)</f>
        <v/>
      </c>
      <c r="E687" t="str">
        <f>IF('10 Numaralar'!E89="","",'10 Numaralar'!E89)</f>
        <v>10 Numara</v>
      </c>
      <c r="F687" t="str">
        <f>IF('10 Numaralar'!G89="","",'10 Numaralar'!G89)</f>
        <v/>
      </c>
      <c r="G687" s="2" t="str">
        <f>IF('10 Numaralar'!H89="","",'10 Numaralar'!H89)</f>
        <v/>
      </c>
      <c r="H687" t="str">
        <f>IF('10 Numaralar'!I89="","",'10 Numaralar'!I89)</f>
        <v/>
      </c>
      <c r="I687" t="str">
        <f>IF('10 Numaralar'!A89="","",'10 Numaralar'!J89)</f>
        <v/>
      </c>
      <c r="J687" t="str">
        <f>IF('10 Numaralar'!A89="","",'10 Numaralar'!K89)</f>
        <v/>
      </c>
      <c r="K687" t="str">
        <f>IF('10 Numaralar'!L89="","",'10 Numaralar'!L89)</f>
        <v/>
      </c>
      <c r="L687" t="str">
        <f>IF('10 Numaralar'!M89="","",'10 Numaralar'!M89)</f>
        <v/>
      </c>
      <c r="M687" t="str">
        <f>IF('10 Numaralar'!N89="","",'10 Numaralar'!N89)</f>
        <v/>
      </c>
      <c r="N687" t="str">
        <f>IF('10 Numaralar'!O89="","",'10 Numaralar'!O89)</f>
        <v/>
      </c>
      <c r="O687" t="str">
        <f>IF('10 Numaralar'!P89="","",'10 Numaralar'!P89)</f>
        <v/>
      </c>
      <c r="P687" t="str">
        <f>IF('10 Numaralar'!Q89="","",'10 Numaralar'!Q89)</f>
        <v/>
      </c>
      <c r="Q687" t="str">
        <f>IF('10 Numaralar'!R89="","",'10 Numaralar'!R89)</f>
        <v/>
      </c>
      <c r="R687" t="str">
        <f>IF('10 Numaralar'!S89="","",'10 Numaralar'!S89)</f>
        <v/>
      </c>
      <c r="S687" t="str">
        <f>IF('10 Numaralar'!T89="","",'10 Numaralar'!T89)</f>
        <v/>
      </c>
      <c r="T687" s="2" t="str">
        <f>IF('10 Numaralar'!U89="","",'10 Numaralar'!U89)</f>
        <v/>
      </c>
      <c r="U687" t="s">
        <v>932</v>
      </c>
      <c r="V687">
        <v>89</v>
      </c>
      <c r="W687" t="str">
        <f ca="1">IF(AND($A687&lt;&gt;"",ISNUMBER($G687),$G687&gt;=TODAY(),$G687&lt;=EDATE(TODAY(),12)),COUNTIFS($G$2:$G$1001,"&gt;="&amp;TODAY(),$G$2:$G$1001,"&lt;"&amp;$G687,$A$2:$A$1001,"&lt;&gt;")+COUNTIFS($G$2:$G687,$G687,$A$2:$A687,"&lt;&gt;"),"")</f>
        <v/>
      </c>
      <c r="X687" t="str">
        <f>IF(AND($A687&lt;&gt;"",ISNUMBER($C687),$C687&gt;=DATE(2003,1,1)),COUNTIFS($C$2:$C687,"&gt;="&amp;DATE(2003,1,1),$A$2:$A687,"&lt;&gt;"),"")</f>
        <v/>
      </c>
    </row>
    <row r="688" spans="1:24">
      <c r="A688" t="str">
        <f>IF('10 Numaralar'!A90="","",'10 Numaralar'!A90)</f>
        <v/>
      </c>
      <c r="B688" t="str">
        <f>IF('10 Numaralar'!B90="","",'10 Numaralar'!B90)</f>
        <v/>
      </c>
      <c r="C688" s="2" t="str">
        <f>IF('10 Numaralar'!C90="","",'10 Numaralar'!C90)</f>
        <v/>
      </c>
      <c r="D688" t="str">
        <f ca="1">IF('10 Numaralar'!D90="","",'10 Numaralar'!D90)</f>
        <v/>
      </c>
      <c r="E688" t="str">
        <f>IF('10 Numaralar'!E90="","",'10 Numaralar'!E90)</f>
        <v>10 Numara</v>
      </c>
      <c r="F688" t="str">
        <f>IF('10 Numaralar'!G90="","",'10 Numaralar'!G90)</f>
        <v/>
      </c>
      <c r="G688" s="2" t="str">
        <f>IF('10 Numaralar'!H90="","",'10 Numaralar'!H90)</f>
        <v/>
      </c>
      <c r="H688" t="str">
        <f>IF('10 Numaralar'!I90="","",'10 Numaralar'!I90)</f>
        <v/>
      </c>
      <c r="I688" t="str">
        <f>IF('10 Numaralar'!A90="","",'10 Numaralar'!J90)</f>
        <v/>
      </c>
      <c r="J688" t="str">
        <f>IF('10 Numaralar'!A90="","",'10 Numaralar'!K90)</f>
        <v/>
      </c>
      <c r="K688" t="str">
        <f>IF('10 Numaralar'!L90="","",'10 Numaralar'!L90)</f>
        <v/>
      </c>
      <c r="L688" t="str">
        <f>IF('10 Numaralar'!M90="","",'10 Numaralar'!M90)</f>
        <v/>
      </c>
      <c r="M688" t="str">
        <f>IF('10 Numaralar'!N90="","",'10 Numaralar'!N90)</f>
        <v/>
      </c>
      <c r="N688" t="str">
        <f>IF('10 Numaralar'!O90="","",'10 Numaralar'!O90)</f>
        <v/>
      </c>
      <c r="O688" t="str">
        <f>IF('10 Numaralar'!P90="","",'10 Numaralar'!P90)</f>
        <v/>
      </c>
      <c r="P688" t="str">
        <f>IF('10 Numaralar'!Q90="","",'10 Numaralar'!Q90)</f>
        <v/>
      </c>
      <c r="Q688" t="str">
        <f>IF('10 Numaralar'!R90="","",'10 Numaralar'!R90)</f>
        <v/>
      </c>
      <c r="R688" t="str">
        <f>IF('10 Numaralar'!S90="","",'10 Numaralar'!S90)</f>
        <v/>
      </c>
      <c r="S688" t="str">
        <f>IF('10 Numaralar'!T90="","",'10 Numaralar'!T90)</f>
        <v/>
      </c>
      <c r="T688" s="2" t="str">
        <f>IF('10 Numaralar'!U90="","",'10 Numaralar'!U90)</f>
        <v/>
      </c>
      <c r="U688" t="s">
        <v>932</v>
      </c>
      <c r="V688">
        <v>90</v>
      </c>
      <c r="W688" t="str">
        <f ca="1">IF(AND($A688&lt;&gt;"",ISNUMBER($G688),$G688&gt;=TODAY(),$G688&lt;=EDATE(TODAY(),12)),COUNTIFS($G$2:$G$1001,"&gt;="&amp;TODAY(),$G$2:$G$1001,"&lt;"&amp;$G688,$A$2:$A$1001,"&lt;&gt;")+COUNTIFS($G$2:$G688,$G688,$A$2:$A688,"&lt;&gt;"),"")</f>
        <v/>
      </c>
      <c r="X688" t="str">
        <f>IF(AND($A688&lt;&gt;"",ISNUMBER($C688),$C688&gt;=DATE(2003,1,1)),COUNTIFS($C$2:$C688,"&gt;="&amp;DATE(2003,1,1),$A$2:$A688,"&lt;&gt;"),"")</f>
        <v/>
      </c>
    </row>
    <row r="689" spans="1:24">
      <c r="A689" t="str">
        <f>IF('10 Numaralar'!A91="","",'10 Numaralar'!A91)</f>
        <v/>
      </c>
      <c r="B689" t="str">
        <f>IF('10 Numaralar'!B91="","",'10 Numaralar'!B91)</f>
        <v/>
      </c>
      <c r="C689" s="2" t="str">
        <f>IF('10 Numaralar'!C91="","",'10 Numaralar'!C91)</f>
        <v/>
      </c>
      <c r="D689" t="str">
        <f ca="1">IF('10 Numaralar'!D91="","",'10 Numaralar'!D91)</f>
        <v/>
      </c>
      <c r="E689" t="str">
        <f>IF('10 Numaralar'!E91="","",'10 Numaralar'!E91)</f>
        <v>10 Numara</v>
      </c>
      <c r="F689" t="str">
        <f>IF('10 Numaralar'!G91="","",'10 Numaralar'!G91)</f>
        <v/>
      </c>
      <c r="G689" s="2" t="str">
        <f>IF('10 Numaralar'!H91="","",'10 Numaralar'!H91)</f>
        <v/>
      </c>
      <c r="H689" t="str">
        <f>IF('10 Numaralar'!I91="","",'10 Numaralar'!I91)</f>
        <v/>
      </c>
      <c r="I689" t="str">
        <f>IF('10 Numaralar'!A91="","",'10 Numaralar'!J91)</f>
        <v/>
      </c>
      <c r="J689" t="str">
        <f>IF('10 Numaralar'!A91="","",'10 Numaralar'!K91)</f>
        <v/>
      </c>
      <c r="K689" t="str">
        <f>IF('10 Numaralar'!L91="","",'10 Numaralar'!L91)</f>
        <v/>
      </c>
      <c r="L689" t="str">
        <f>IF('10 Numaralar'!M91="","",'10 Numaralar'!M91)</f>
        <v/>
      </c>
      <c r="M689" t="str">
        <f>IF('10 Numaralar'!N91="","",'10 Numaralar'!N91)</f>
        <v/>
      </c>
      <c r="N689" t="str">
        <f>IF('10 Numaralar'!O91="","",'10 Numaralar'!O91)</f>
        <v/>
      </c>
      <c r="O689" t="str">
        <f>IF('10 Numaralar'!P91="","",'10 Numaralar'!P91)</f>
        <v/>
      </c>
      <c r="P689" t="str">
        <f>IF('10 Numaralar'!Q91="","",'10 Numaralar'!Q91)</f>
        <v/>
      </c>
      <c r="Q689" t="str">
        <f>IF('10 Numaralar'!R91="","",'10 Numaralar'!R91)</f>
        <v/>
      </c>
      <c r="R689" t="str">
        <f>IF('10 Numaralar'!S91="","",'10 Numaralar'!S91)</f>
        <v/>
      </c>
      <c r="S689" t="str">
        <f>IF('10 Numaralar'!T91="","",'10 Numaralar'!T91)</f>
        <v/>
      </c>
      <c r="T689" s="2" t="str">
        <f>IF('10 Numaralar'!U91="","",'10 Numaralar'!U91)</f>
        <v/>
      </c>
      <c r="U689" t="s">
        <v>932</v>
      </c>
      <c r="V689">
        <v>91</v>
      </c>
      <c r="W689" t="str">
        <f ca="1">IF(AND($A689&lt;&gt;"",ISNUMBER($G689),$G689&gt;=TODAY(),$G689&lt;=EDATE(TODAY(),12)),COUNTIFS($G$2:$G$1001,"&gt;="&amp;TODAY(),$G$2:$G$1001,"&lt;"&amp;$G689,$A$2:$A$1001,"&lt;&gt;")+COUNTIFS($G$2:$G689,$G689,$A$2:$A689,"&lt;&gt;"),"")</f>
        <v/>
      </c>
      <c r="X689" t="str">
        <f>IF(AND($A689&lt;&gt;"",ISNUMBER($C689),$C689&gt;=DATE(2003,1,1)),COUNTIFS($C$2:$C689,"&gt;="&amp;DATE(2003,1,1),$A$2:$A689,"&lt;&gt;"),"")</f>
        <v/>
      </c>
    </row>
    <row r="690" spans="1:24">
      <c r="A690" t="str">
        <f>IF('10 Numaralar'!A92="","",'10 Numaralar'!A92)</f>
        <v/>
      </c>
      <c r="B690" t="str">
        <f>IF('10 Numaralar'!B92="","",'10 Numaralar'!B92)</f>
        <v/>
      </c>
      <c r="C690" s="2" t="str">
        <f>IF('10 Numaralar'!C92="","",'10 Numaralar'!C92)</f>
        <v/>
      </c>
      <c r="D690" t="str">
        <f ca="1">IF('10 Numaralar'!D92="","",'10 Numaralar'!D92)</f>
        <v/>
      </c>
      <c r="E690" t="str">
        <f>IF('10 Numaralar'!E92="","",'10 Numaralar'!E92)</f>
        <v>10 Numara</v>
      </c>
      <c r="F690" t="str">
        <f>IF('10 Numaralar'!G92="","",'10 Numaralar'!G92)</f>
        <v/>
      </c>
      <c r="G690" s="2" t="str">
        <f>IF('10 Numaralar'!H92="","",'10 Numaralar'!H92)</f>
        <v/>
      </c>
      <c r="H690" t="str">
        <f>IF('10 Numaralar'!I92="","",'10 Numaralar'!I92)</f>
        <v/>
      </c>
      <c r="I690" t="str">
        <f>IF('10 Numaralar'!A92="","",'10 Numaralar'!J92)</f>
        <v/>
      </c>
      <c r="J690" t="str">
        <f>IF('10 Numaralar'!A92="","",'10 Numaralar'!K92)</f>
        <v/>
      </c>
      <c r="K690" t="str">
        <f>IF('10 Numaralar'!L92="","",'10 Numaralar'!L92)</f>
        <v/>
      </c>
      <c r="L690" t="str">
        <f>IF('10 Numaralar'!M92="","",'10 Numaralar'!M92)</f>
        <v/>
      </c>
      <c r="M690" t="str">
        <f>IF('10 Numaralar'!N92="","",'10 Numaralar'!N92)</f>
        <v/>
      </c>
      <c r="N690" t="str">
        <f>IF('10 Numaralar'!O92="","",'10 Numaralar'!O92)</f>
        <v/>
      </c>
      <c r="O690" t="str">
        <f>IF('10 Numaralar'!P92="","",'10 Numaralar'!P92)</f>
        <v/>
      </c>
      <c r="P690" t="str">
        <f>IF('10 Numaralar'!Q92="","",'10 Numaralar'!Q92)</f>
        <v/>
      </c>
      <c r="Q690" t="str">
        <f>IF('10 Numaralar'!R92="","",'10 Numaralar'!R92)</f>
        <v/>
      </c>
      <c r="R690" t="str">
        <f>IF('10 Numaralar'!S92="","",'10 Numaralar'!S92)</f>
        <v/>
      </c>
      <c r="S690" t="str">
        <f>IF('10 Numaralar'!T92="","",'10 Numaralar'!T92)</f>
        <v/>
      </c>
      <c r="T690" s="2" t="str">
        <f>IF('10 Numaralar'!U92="","",'10 Numaralar'!U92)</f>
        <v/>
      </c>
      <c r="U690" t="s">
        <v>932</v>
      </c>
      <c r="V690">
        <v>92</v>
      </c>
      <c r="W690" t="str">
        <f ca="1">IF(AND($A690&lt;&gt;"",ISNUMBER($G690),$G690&gt;=TODAY(),$G690&lt;=EDATE(TODAY(),12)),COUNTIFS($G$2:$G$1001,"&gt;="&amp;TODAY(),$G$2:$G$1001,"&lt;"&amp;$G690,$A$2:$A$1001,"&lt;&gt;")+COUNTIFS($G$2:$G690,$G690,$A$2:$A690,"&lt;&gt;"),"")</f>
        <v/>
      </c>
      <c r="X690" t="str">
        <f>IF(AND($A690&lt;&gt;"",ISNUMBER($C690),$C690&gt;=DATE(2003,1,1)),COUNTIFS($C$2:$C690,"&gt;="&amp;DATE(2003,1,1),$A$2:$A690,"&lt;&gt;"),"")</f>
        <v/>
      </c>
    </row>
    <row r="691" spans="1:24">
      <c r="A691" t="str">
        <f>IF('10 Numaralar'!A93="","",'10 Numaralar'!A93)</f>
        <v/>
      </c>
      <c r="B691" t="str">
        <f>IF('10 Numaralar'!B93="","",'10 Numaralar'!B93)</f>
        <v/>
      </c>
      <c r="C691" s="2" t="str">
        <f>IF('10 Numaralar'!C93="","",'10 Numaralar'!C93)</f>
        <v/>
      </c>
      <c r="D691" t="str">
        <f ca="1">IF('10 Numaralar'!D93="","",'10 Numaralar'!D93)</f>
        <v/>
      </c>
      <c r="E691" t="str">
        <f>IF('10 Numaralar'!E93="","",'10 Numaralar'!E93)</f>
        <v>10 Numara</v>
      </c>
      <c r="F691" t="str">
        <f>IF('10 Numaralar'!G93="","",'10 Numaralar'!G93)</f>
        <v/>
      </c>
      <c r="G691" s="2" t="str">
        <f>IF('10 Numaralar'!H93="","",'10 Numaralar'!H93)</f>
        <v/>
      </c>
      <c r="H691" t="str">
        <f>IF('10 Numaralar'!I93="","",'10 Numaralar'!I93)</f>
        <v/>
      </c>
      <c r="I691" t="str">
        <f>IF('10 Numaralar'!A93="","",'10 Numaralar'!J93)</f>
        <v/>
      </c>
      <c r="J691" t="str">
        <f>IF('10 Numaralar'!A93="","",'10 Numaralar'!K93)</f>
        <v/>
      </c>
      <c r="K691" t="str">
        <f>IF('10 Numaralar'!L93="","",'10 Numaralar'!L93)</f>
        <v/>
      </c>
      <c r="L691" t="str">
        <f>IF('10 Numaralar'!M93="","",'10 Numaralar'!M93)</f>
        <v/>
      </c>
      <c r="M691" t="str">
        <f>IF('10 Numaralar'!N93="","",'10 Numaralar'!N93)</f>
        <v/>
      </c>
      <c r="N691" t="str">
        <f>IF('10 Numaralar'!O93="","",'10 Numaralar'!O93)</f>
        <v/>
      </c>
      <c r="O691" t="str">
        <f>IF('10 Numaralar'!P93="","",'10 Numaralar'!P93)</f>
        <v/>
      </c>
      <c r="P691" t="str">
        <f>IF('10 Numaralar'!Q93="","",'10 Numaralar'!Q93)</f>
        <v/>
      </c>
      <c r="Q691" t="str">
        <f>IF('10 Numaralar'!R93="","",'10 Numaralar'!R93)</f>
        <v/>
      </c>
      <c r="R691" t="str">
        <f>IF('10 Numaralar'!S93="","",'10 Numaralar'!S93)</f>
        <v/>
      </c>
      <c r="S691" t="str">
        <f>IF('10 Numaralar'!T93="","",'10 Numaralar'!T93)</f>
        <v/>
      </c>
      <c r="T691" s="2" t="str">
        <f>IF('10 Numaralar'!U93="","",'10 Numaralar'!U93)</f>
        <v/>
      </c>
      <c r="U691" t="s">
        <v>932</v>
      </c>
      <c r="V691">
        <v>93</v>
      </c>
      <c r="W691" t="str">
        <f ca="1">IF(AND($A691&lt;&gt;"",ISNUMBER($G691),$G691&gt;=TODAY(),$G691&lt;=EDATE(TODAY(),12)),COUNTIFS($G$2:$G$1001,"&gt;="&amp;TODAY(),$G$2:$G$1001,"&lt;"&amp;$G691,$A$2:$A$1001,"&lt;&gt;")+COUNTIFS($G$2:$G691,$G691,$A$2:$A691,"&lt;&gt;"),"")</f>
        <v/>
      </c>
      <c r="X691" t="str">
        <f>IF(AND($A691&lt;&gt;"",ISNUMBER($C691),$C691&gt;=DATE(2003,1,1)),COUNTIFS($C$2:$C691,"&gt;="&amp;DATE(2003,1,1),$A$2:$A691,"&lt;&gt;"),"")</f>
        <v/>
      </c>
    </row>
    <row r="692" spans="1:24">
      <c r="A692" t="str">
        <f>IF('10 Numaralar'!A94="","",'10 Numaralar'!A94)</f>
        <v/>
      </c>
      <c r="B692" t="str">
        <f>IF('10 Numaralar'!B94="","",'10 Numaralar'!B94)</f>
        <v/>
      </c>
      <c r="C692" s="2" t="str">
        <f>IF('10 Numaralar'!C94="","",'10 Numaralar'!C94)</f>
        <v/>
      </c>
      <c r="D692" t="str">
        <f ca="1">IF('10 Numaralar'!D94="","",'10 Numaralar'!D94)</f>
        <v/>
      </c>
      <c r="E692" t="str">
        <f>IF('10 Numaralar'!E94="","",'10 Numaralar'!E94)</f>
        <v>10 Numara</v>
      </c>
      <c r="F692" t="str">
        <f>IF('10 Numaralar'!G94="","",'10 Numaralar'!G94)</f>
        <v/>
      </c>
      <c r="G692" s="2" t="str">
        <f>IF('10 Numaralar'!H94="","",'10 Numaralar'!H94)</f>
        <v/>
      </c>
      <c r="H692" t="str">
        <f>IF('10 Numaralar'!I94="","",'10 Numaralar'!I94)</f>
        <v/>
      </c>
      <c r="I692" t="str">
        <f>IF('10 Numaralar'!A94="","",'10 Numaralar'!J94)</f>
        <v/>
      </c>
      <c r="J692" t="str">
        <f>IF('10 Numaralar'!A94="","",'10 Numaralar'!K94)</f>
        <v/>
      </c>
      <c r="K692" t="str">
        <f>IF('10 Numaralar'!L94="","",'10 Numaralar'!L94)</f>
        <v/>
      </c>
      <c r="L692" t="str">
        <f>IF('10 Numaralar'!M94="","",'10 Numaralar'!M94)</f>
        <v/>
      </c>
      <c r="M692" t="str">
        <f>IF('10 Numaralar'!N94="","",'10 Numaralar'!N94)</f>
        <v/>
      </c>
      <c r="N692" t="str">
        <f>IF('10 Numaralar'!O94="","",'10 Numaralar'!O94)</f>
        <v/>
      </c>
      <c r="O692" t="str">
        <f>IF('10 Numaralar'!P94="","",'10 Numaralar'!P94)</f>
        <v/>
      </c>
      <c r="P692" t="str">
        <f>IF('10 Numaralar'!Q94="","",'10 Numaralar'!Q94)</f>
        <v/>
      </c>
      <c r="Q692" t="str">
        <f>IF('10 Numaralar'!R94="","",'10 Numaralar'!R94)</f>
        <v/>
      </c>
      <c r="R692" t="str">
        <f>IF('10 Numaralar'!S94="","",'10 Numaralar'!S94)</f>
        <v/>
      </c>
      <c r="S692" t="str">
        <f>IF('10 Numaralar'!T94="","",'10 Numaralar'!T94)</f>
        <v/>
      </c>
      <c r="T692" s="2" t="str">
        <f>IF('10 Numaralar'!U94="","",'10 Numaralar'!U94)</f>
        <v/>
      </c>
      <c r="U692" t="s">
        <v>932</v>
      </c>
      <c r="V692">
        <v>94</v>
      </c>
      <c r="W692" t="str">
        <f ca="1">IF(AND($A692&lt;&gt;"",ISNUMBER($G692),$G692&gt;=TODAY(),$G692&lt;=EDATE(TODAY(),12)),COUNTIFS($G$2:$G$1001,"&gt;="&amp;TODAY(),$G$2:$G$1001,"&lt;"&amp;$G692,$A$2:$A$1001,"&lt;&gt;")+COUNTIFS($G$2:$G692,$G692,$A$2:$A692,"&lt;&gt;"),"")</f>
        <v/>
      </c>
      <c r="X692" t="str">
        <f>IF(AND($A692&lt;&gt;"",ISNUMBER($C692),$C692&gt;=DATE(2003,1,1)),COUNTIFS($C$2:$C692,"&gt;="&amp;DATE(2003,1,1),$A$2:$A692,"&lt;&gt;"),"")</f>
        <v/>
      </c>
    </row>
    <row r="693" spans="1:24">
      <c r="A693" t="str">
        <f>IF('10 Numaralar'!A95="","",'10 Numaralar'!A95)</f>
        <v/>
      </c>
      <c r="B693" t="str">
        <f>IF('10 Numaralar'!B95="","",'10 Numaralar'!B95)</f>
        <v/>
      </c>
      <c r="C693" s="2" t="str">
        <f>IF('10 Numaralar'!C95="","",'10 Numaralar'!C95)</f>
        <v/>
      </c>
      <c r="D693" t="str">
        <f ca="1">IF('10 Numaralar'!D95="","",'10 Numaralar'!D95)</f>
        <v/>
      </c>
      <c r="E693" t="str">
        <f>IF('10 Numaralar'!E95="","",'10 Numaralar'!E95)</f>
        <v>10 Numara</v>
      </c>
      <c r="F693" t="str">
        <f>IF('10 Numaralar'!G95="","",'10 Numaralar'!G95)</f>
        <v/>
      </c>
      <c r="G693" s="2" t="str">
        <f>IF('10 Numaralar'!H95="","",'10 Numaralar'!H95)</f>
        <v/>
      </c>
      <c r="H693" t="str">
        <f>IF('10 Numaralar'!I95="","",'10 Numaralar'!I95)</f>
        <v/>
      </c>
      <c r="I693" t="str">
        <f>IF('10 Numaralar'!A95="","",'10 Numaralar'!J95)</f>
        <v/>
      </c>
      <c r="J693" t="str">
        <f>IF('10 Numaralar'!A95="","",'10 Numaralar'!K95)</f>
        <v/>
      </c>
      <c r="K693" t="str">
        <f>IF('10 Numaralar'!L95="","",'10 Numaralar'!L95)</f>
        <v/>
      </c>
      <c r="L693" t="str">
        <f>IF('10 Numaralar'!M95="","",'10 Numaralar'!M95)</f>
        <v/>
      </c>
      <c r="M693" t="str">
        <f>IF('10 Numaralar'!N95="","",'10 Numaralar'!N95)</f>
        <v/>
      </c>
      <c r="N693" t="str">
        <f>IF('10 Numaralar'!O95="","",'10 Numaralar'!O95)</f>
        <v/>
      </c>
      <c r="O693" t="str">
        <f>IF('10 Numaralar'!P95="","",'10 Numaralar'!P95)</f>
        <v/>
      </c>
      <c r="P693" t="str">
        <f>IF('10 Numaralar'!Q95="","",'10 Numaralar'!Q95)</f>
        <v/>
      </c>
      <c r="Q693" t="str">
        <f>IF('10 Numaralar'!R95="","",'10 Numaralar'!R95)</f>
        <v/>
      </c>
      <c r="R693" t="str">
        <f>IF('10 Numaralar'!S95="","",'10 Numaralar'!S95)</f>
        <v/>
      </c>
      <c r="S693" t="str">
        <f>IF('10 Numaralar'!T95="","",'10 Numaralar'!T95)</f>
        <v/>
      </c>
      <c r="T693" s="2" t="str">
        <f>IF('10 Numaralar'!U95="","",'10 Numaralar'!U95)</f>
        <v/>
      </c>
      <c r="U693" t="s">
        <v>932</v>
      </c>
      <c r="V693">
        <v>95</v>
      </c>
      <c r="W693" t="str">
        <f ca="1">IF(AND($A693&lt;&gt;"",ISNUMBER($G693),$G693&gt;=TODAY(),$G693&lt;=EDATE(TODAY(),12)),COUNTIFS($G$2:$G$1001,"&gt;="&amp;TODAY(),$G$2:$G$1001,"&lt;"&amp;$G693,$A$2:$A$1001,"&lt;&gt;")+COUNTIFS($G$2:$G693,$G693,$A$2:$A693,"&lt;&gt;"),"")</f>
        <v/>
      </c>
      <c r="X693" t="str">
        <f>IF(AND($A693&lt;&gt;"",ISNUMBER($C693),$C693&gt;=DATE(2003,1,1)),COUNTIFS($C$2:$C693,"&gt;="&amp;DATE(2003,1,1),$A$2:$A693,"&lt;&gt;"),"")</f>
        <v/>
      </c>
    </row>
    <row r="694" spans="1:24">
      <c r="A694" t="str">
        <f>IF('10 Numaralar'!A96="","",'10 Numaralar'!A96)</f>
        <v/>
      </c>
      <c r="B694" t="str">
        <f>IF('10 Numaralar'!B96="","",'10 Numaralar'!B96)</f>
        <v/>
      </c>
      <c r="C694" s="2" t="str">
        <f>IF('10 Numaralar'!C96="","",'10 Numaralar'!C96)</f>
        <v/>
      </c>
      <c r="D694" t="str">
        <f ca="1">IF('10 Numaralar'!D96="","",'10 Numaralar'!D96)</f>
        <v/>
      </c>
      <c r="E694" t="str">
        <f>IF('10 Numaralar'!E96="","",'10 Numaralar'!E96)</f>
        <v>10 Numara</v>
      </c>
      <c r="F694" t="str">
        <f>IF('10 Numaralar'!G96="","",'10 Numaralar'!G96)</f>
        <v/>
      </c>
      <c r="G694" s="2" t="str">
        <f>IF('10 Numaralar'!H96="","",'10 Numaralar'!H96)</f>
        <v/>
      </c>
      <c r="H694" t="str">
        <f>IF('10 Numaralar'!I96="","",'10 Numaralar'!I96)</f>
        <v/>
      </c>
      <c r="I694" t="str">
        <f>IF('10 Numaralar'!A96="","",'10 Numaralar'!J96)</f>
        <v/>
      </c>
      <c r="J694" t="str">
        <f>IF('10 Numaralar'!A96="","",'10 Numaralar'!K96)</f>
        <v/>
      </c>
      <c r="K694" t="str">
        <f>IF('10 Numaralar'!L96="","",'10 Numaralar'!L96)</f>
        <v/>
      </c>
      <c r="L694" t="str">
        <f>IF('10 Numaralar'!M96="","",'10 Numaralar'!M96)</f>
        <v/>
      </c>
      <c r="M694" t="str">
        <f>IF('10 Numaralar'!N96="","",'10 Numaralar'!N96)</f>
        <v/>
      </c>
      <c r="N694" t="str">
        <f>IF('10 Numaralar'!O96="","",'10 Numaralar'!O96)</f>
        <v/>
      </c>
      <c r="O694" t="str">
        <f>IF('10 Numaralar'!P96="","",'10 Numaralar'!P96)</f>
        <v/>
      </c>
      <c r="P694" t="str">
        <f>IF('10 Numaralar'!Q96="","",'10 Numaralar'!Q96)</f>
        <v/>
      </c>
      <c r="Q694" t="str">
        <f>IF('10 Numaralar'!R96="","",'10 Numaralar'!R96)</f>
        <v/>
      </c>
      <c r="R694" t="str">
        <f>IF('10 Numaralar'!S96="","",'10 Numaralar'!S96)</f>
        <v/>
      </c>
      <c r="S694" t="str">
        <f>IF('10 Numaralar'!T96="","",'10 Numaralar'!T96)</f>
        <v/>
      </c>
      <c r="T694" s="2" t="str">
        <f>IF('10 Numaralar'!U96="","",'10 Numaralar'!U96)</f>
        <v/>
      </c>
      <c r="U694" t="s">
        <v>932</v>
      </c>
      <c r="V694">
        <v>96</v>
      </c>
      <c r="W694" t="str">
        <f ca="1">IF(AND($A694&lt;&gt;"",ISNUMBER($G694),$G694&gt;=TODAY(),$G694&lt;=EDATE(TODAY(),12)),COUNTIFS($G$2:$G$1001,"&gt;="&amp;TODAY(),$G$2:$G$1001,"&lt;"&amp;$G694,$A$2:$A$1001,"&lt;&gt;")+COUNTIFS($G$2:$G694,$G694,$A$2:$A694,"&lt;&gt;"),"")</f>
        <v/>
      </c>
      <c r="X694" t="str">
        <f>IF(AND($A694&lt;&gt;"",ISNUMBER($C694),$C694&gt;=DATE(2003,1,1)),COUNTIFS($C$2:$C694,"&gt;="&amp;DATE(2003,1,1),$A$2:$A694,"&lt;&gt;"),"")</f>
        <v/>
      </c>
    </row>
    <row r="695" spans="1:24">
      <c r="A695" t="str">
        <f>IF('10 Numaralar'!A97="","",'10 Numaralar'!A97)</f>
        <v/>
      </c>
      <c r="B695" t="str">
        <f>IF('10 Numaralar'!B97="","",'10 Numaralar'!B97)</f>
        <v/>
      </c>
      <c r="C695" s="2" t="str">
        <f>IF('10 Numaralar'!C97="","",'10 Numaralar'!C97)</f>
        <v/>
      </c>
      <c r="D695" t="str">
        <f ca="1">IF('10 Numaralar'!D97="","",'10 Numaralar'!D97)</f>
        <v/>
      </c>
      <c r="E695" t="str">
        <f>IF('10 Numaralar'!E97="","",'10 Numaralar'!E97)</f>
        <v>10 Numara</v>
      </c>
      <c r="F695" t="str">
        <f>IF('10 Numaralar'!G97="","",'10 Numaralar'!G97)</f>
        <v/>
      </c>
      <c r="G695" s="2" t="str">
        <f>IF('10 Numaralar'!H97="","",'10 Numaralar'!H97)</f>
        <v/>
      </c>
      <c r="H695" t="str">
        <f>IF('10 Numaralar'!I97="","",'10 Numaralar'!I97)</f>
        <v/>
      </c>
      <c r="I695" t="str">
        <f>IF('10 Numaralar'!A97="","",'10 Numaralar'!J97)</f>
        <v/>
      </c>
      <c r="J695" t="str">
        <f>IF('10 Numaralar'!A97="","",'10 Numaralar'!K97)</f>
        <v/>
      </c>
      <c r="K695" t="str">
        <f>IF('10 Numaralar'!L97="","",'10 Numaralar'!L97)</f>
        <v/>
      </c>
      <c r="L695" t="str">
        <f>IF('10 Numaralar'!M97="","",'10 Numaralar'!M97)</f>
        <v/>
      </c>
      <c r="M695" t="str">
        <f>IF('10 Numaralar'!N97="","",'10 Numaralar'!N97)</f>
        <v/>
      </c>
      <c r="N695" t="str">
        <f>IF('10 Numaralar'!O97="","",'10 Numaralar'!O97)</f>
        <v/>
      </c>
      <c r="O695" t="str">
        <f>IF('10 Numaralar'!P97="","",'10 Numaralar'!P97)</f>
        <v/>
      </c>
      <c r="P695" t="str">
        <f>IF('10 Numaralar'!Q97="","",'10 Numaralar'!Q97)</f>
        <v/>
      </c>
      <c r="Q695" t="str">
        <f>IF('10 Numaralar'!R97="","",'10 Numaralar'!R97)</f>
        <v/>
      </c>
      <c r="R695" t="str">
        <f>IF('10 Numaralar'!S97="","",'10 Numaralar'!S97)</f>
        <v/>
      </c>
      <c r="S695" t="str">
        <f>IF('10 Numaralar'!T97="","",'10 Numaralar'!T97)</f>
        <v/>
      </c>
      <c r="T695" s="2" t="str">
        <f>IF('10 Numaralar'!U97="","",'10 Numaralar'!U97)</f>
        <v/>
      </c>
      <c r="U695" t="s">
        <v>932</v>
      </c>
      <c r="V695">
        <v>97</v>
      </c>
      <c r="W695" t="str">
        <f ca="1">IF(AND($A695&lt;&gt;"",ISNUMBER($G695),$G695&gt;=TODAY(),$G695&lt;=EDATE(TODAY(),12)),COUNTIFS($G$2:$G$1001,"&gt;="&amp;TODAY(),$G$2:$G$1001,"&lt;"&amp;$G695,$A$2:$A$1001,"&lt;&gt;")+COUNTIFS($G$2:$G695,$G695,$A$2:$A695,"&lt;&gt;"),"")</f>
        <v/>
      </c>
      <c r="X695" t="str">
        <f>IF(AND($A695&lt;&gt;"",ISNUMBER($C695),$C695&gt;=DATE(2003,1,1)),COUNTIFS($C$2:$C695,"&gt;="&amp;DATE(2003,1,1),$A$2:$A695,"&lt;&gt;"),"")</f>
        <v/>
      </c>
    </row>
    <row r="696" spans="1:24">
      <c r="A696" t="str">
        <f>IF('10 Numaralar'!A98="","",'10 Numaralar'!A98)</f>
        <v/>
      </c>
      <c r="B696" t="str">
        <f>IF('10 Numaralar'!B98="","",'10 Numaralar'!B98)</f>
        <v/>
      </c>
      <c r="C696" s="2" t="str">
        <f>IF('10 Numaralar'!C98="","",'10 Numaralar'!C98)</f>
        <v/>
      </c>
      <c r="D696" t="str">
        <f ca="1">IF('10 Numaralar'!D98="","",'10 Numaralar'!D98)</f>
        <v/>
      </c>
      <c r="E696" t="str">
        <f>IF('10 Numaralar'!E98="","",'10 Numaralar'!E98)</f>
        <v>10 Numara</v>
      </c>
      <c r="F696" t="str">
        <f>IF('10 Numaralar'!G98="","",'10 Numaralar'!G98)</f>
        <v/>
      </c>
      <c r="G696" s="2" t="str">
        <f>IF('10 Numaralar'!H98="","",'10 Numaralar'!H98)</f>
        <v/>
      </c>
      <c r="H696" t="str">
        <f>IF('10 Numaralar'!I98="","",'10 Numaralar'!I98)</f>
        <v/>
      </c>
      <c r="I696" t="str">
        <f>IF('10 Numaralar'!A98="","",'10 Numaralar'!J98)</f>
        <v/>
      </c>
      <c r="J696" t="str">
        <f>IF('10 Numaralar'!A98="","",'10 Numaralar'!K98)</f>
        <v/>
      </c>
      <c r="K696" t="str">
        <f>IF('10 Numaralar'!L98="","",'10 Numaralar'!L98)</f>
        <v/>
      </c>
      <c r="L696" t="str">
        <f>IF('10 Numaralar'!M98="","",'10 Numaralar'!M98)</f>
        <v/>
      </c>
      <c r="M696" t="str">
        <f>IF('10 Numaralar'!N98="","",'10 Numaralar'!N98)</f>
        <v/>
      </c>
      <c r="N696" t="str">
        <f>IF('10 Numaralar'!O98="","",'10 Numaralar'!O98)</f>
        <v/>
      </c>
      <c r="O696" t="str">
        <f>IF('10 Numaralar'!P98="","",'10 Numaralar'!P98)</f>
        <v/>
      </c>
      <c r="P696" t="str">
        <f>IF('10 Numaralar'!Q98="","",'10 Numaralar'!Q98)</f>
        <v/>
      </c>
      <c r="Q696" t="str">
        <f>IF('10 Numaralar'!R98="","",'10 Numaralar'!R98)</f>
        <v/>
      </c>
      <c r="R696" t="str">
        <f>IF('10 Numaralar'!S98="","",'10 Numaralar'!S98)</f>
        <v/>
      </c>
      <c r="S696" t="str">
        <f>IF('10 Numaralar'!T98="","",'10 Numaralar'!T98)</f>
        <v/>
      </c>
      <c r="T696" s="2" t="str">
        <f>IF('10 Numaralar'!U98="","",'10 Numaralar'!U98)</f>
        <v/>
      </c>
      <c r="U696" t="s">
        <v>932</v>
      </c>
      <c r="V696">
        <v>98</v>
      </c>
      <c r="W696" t="str">
        <f ca="1">IF(AND($A696&lt;&gt;"",ISNUMBER($G696),$G696&gt;=TODAY(),$G696&lt;=EDATE(TODAY(),12)),COUNTIFS($G$2:$G$1001,"&gt;="&amp;TODAY(),$G$2:$G$1001,"&lt;"&amp;$G696,$A$2:$A$1001,"&lt;&gt;")+COUNTIFS($G$2:$G696,$G696,$A$2:$A696,"&lt;&gt;"),"")</f>
        <v/>
      </c>
      <c r="X696" t="str">
        <f>IF(AND($A696&lt;&gt;"",ISNUMBER($C696),$C696&gt;=DATE(2003,1,1)),COUNTIFS($C$2:$C696,"&gt;="&amp;DATE(2003,1,1),$A$2:$A696,"&lt;&gt;"),"")</f>
        <v/>
      </c>
    </row>
    <row r="697" spans="1:24">
      <c r="A697" t="str">
        <f>IF('10 Numaralar'!A99="","",'10 Numaralar'!A99)</f>
        <v/>
      </c>
      <c r="B697" t="str">
        <f>IF('10 Numaralar'!B99="","",'10 Numaralar'!B99)</f>
        <v/>
      </c>
      <c r="C697" s="2" t="str">
        <f>IF('10 Numaralar'!C99="","",'10 Numaralar'!C99)</f>
        <v/>
      </c>
      <c r="D697" t="str">
        <f ca="1">IF('10 Numaralar'!D99="","",'10 Numaralar'!D99)</f>
        <v/>
      </c>
      <c r="E697" t="str">
        <f>IF('10 Numaralar'!E99="","",'10 Numaralar'!E99)</f>
        <v>10 Numara</v>
      </c>
      <c r="F697" t="str">
        <f>IF('10 Numaralar'!G99="","",'10 Numaralar'!G99)</f>
        <v/>
      </c>
      <c r="G697" s="2" t="str">
        <f>IF('10 Numaralar'!H99="","",'10 Numaralar'!H99)</f>
        <v/>
      </c>
      <c r="H697" t="str">
        <f>IF('10 Numaralar'!I99="","",'10 Numaralar'!I99)</f>
        <v/>
      </c>
      <c r="I697" t="str">
        <f>IF('10 Numaralar'!A99="","",'10 Numaralar'!J99)</f>
        <v/>
      </c>
      <c r="J697" t="str">
        <f>IF('10 Numaralar'!A99="","",'10 Numaralar'!K99)</f>
        <v/>
      </c>
      <c r="K697" t="str">
        <f>IF('10 Numaralar'!L99="","",'10 Numaralar'!L99)</f>
        <v/>
      </c>
      <c r="L697" t="str">
        <f>IF('10 Numaralar'!M99="","",'10 Numaralar'!M99)</f>
        <v/>
      </c>
      <c r="M697" t="str">
        <f>IF('10 Numaralar'!N99="","",'10 Numaralar'!N99)</f>
        <v/>
      </c>
      <c r="N697" t="str">
        <f>IF('10 Numaralar'!O99="","",'10 Numaralar'!O99)</f>
        <v/>
      </c>
      <c r="O697" t="str">
        <f>IF('10 Numaralar'!P99="","",'10 Numaralar'!P99)</f>
        <v/>
      </c>
      <c r="P697" t="str">
        <f>IF('10 Numaralar'!Q99="","",'10 Numaralar'!Q99)</f>
        <v/>
      </c>
      <c r="Q697" t="str">
        <f>IF('10 Numaralar'!R99="","",'10 Numaralar'!R99)</f>
        <v/>
      </c>
      <c r="R697" t="str">
        <f>IF('10 Numaralar'!S99="","",'10 Numaralar'!S99)</f>
        <v/>
      </c>
      <c r="S697" t="str">
        <f>IF('10 Numaralar'!T99="","",'10 Numaralar'!T99)</f>
        <v/>
      </c>
      <c r="T697" s="2" t="str">
        <f>IF('10 Numaralar'!U99="","",'10 Numaralar'!U99)</f>
        <v/>
      </c>
      <c r="U697" t="s">
        <v>932</v>
      </c>
      <c r="V697">
        <v>99</v>
      </c>
      <c r="W697" t="str">
        <f ca="1">IF(AND($A697&lt;&gt;"",ISNUMBER($G697),$G697&gt;=TODAY(),$G697&lt;=EDATE(TODAY(),12)),COUNTIFS($G$2:$G$1001,"&gt;="&amp;TODAY(),$G$2:$G$1001,"&lt;"&amp;$G697,$A$2:$A$1001,"&lt;&gt;")+COUNTIFS($G$2:$G697,$G697,$A$2:$A697,"&lt;&gt;"),"")</f>
        <v/>
      </c>
      <c r="X697" t="str">
        <f>IF(AND($A697&lt;&gt;"",ISNUMBER($C697),$C697&gt;=DATE(2003,1,1)),COUNTIFS($C$2:$C697,"&gt;="&amp;DATE(2003,1,1),$A$2:$A697,"&lt;&gt;"),"")</f>
        <v/>
      </c>
    </row>
    <row r="698" spans="1:24">
      <c r="A698" t="str">
        <f>IF('10 Numaralar'!A100="","",'10 Numaralar'!A100)</f>
        <v/>
      </c>
      <c r="B698" t="str">
        <f>IF('10 Numaralar'!B100="","",'10 Numaralar'!B100)</f>
        <v/>
      </c>
      <c r="C698" s="2" t="str">
        <f>IF('10 Numaralar'!C100="","",'10 Numaralar'!C100)</f>
        <v/>
      </c>
      <c r="D698" t="str">
        <f ca="1">IF('10 Numaralar'!D100="","",'10 Numaralar'!D100)</f>
        <v/>
      </c>
      <c r="E698" t="str">
        <f>IF('10 Numaralar'!E100="","",'10 Numaralar'!E100)</f>
        <v>10 Numara</v>
      </c>
      <c r="F698" t="str">
        <f>IF('10 Numaralar'!G100="","",'10 Numaralar'!G100)</f>
        <v/>
      </c>
      <c r="G698" s="2" t="str">
        <f>IF('10 Numaralar'!H100="","",'10 Numaralar'!H100)</f>
        <v/>
      </c>
      <c r="H698" t="str">
        <f>IF('10 Numaralar'!I100="","",'10 Numaralar'!I100)</f>
        <v/>
      </c>
      <c r="I698" t="str">
        <f>IF('10 Numaralar'!A100="","",'10 Numaralar'!J100)</f>
        <v/>
      </c>
      <c r="J698" t="str">
        <f>IF('10 Numaralar'!A100="","",'10 Numaralar'!K100)</f>
        <v/>
      </c>
      <c r="K698" t="str">
        <f>IF('10 Numaralar'!L100="","",'10 Numaralar'!L100)</f>
        <v/>
      </c>
      <c r="L698" t="str">
        <f>IF('10 Numaralar'!M100="","",'10 Numaralar'!M100)</f>
        <v/>
      </c>
      <c r="M698" t="str">
        <f>IF('10 Numaralar'!N100="","",'10 Numaralar'!N100)</f>
        <v/>
      </c>
      <c r="N698" t="str">
        <f>IF('10 Numaralar'!O100="","",'10 Numaralar'!O100)</f>
        <v/>
      </c>
      <c r="O698" t="str">
        <f>IF('10 Numaralar'!P100="","",'10 Numaralar'!P100)</f>
        <v/>
      </c>
      <c r="P698" t="str">
        <f>IF('10 Numaralar'!Q100="","",'10 Numaralar'!Q100)</f>
        <v/>
      </c>
      <c r="Q698" t="str">
        <f>IF('10 Numaralar'!R100="","",'10 Numaralar'!R100)</f>
        <v/>
      </c>
      <c r="R698" t="str">
        <f>IF('10 Numaralar'!S100="","",'10 Numaralar'!S100)</f>
        <v/>
      </c>
      <c r="S698" t="str">
        <f>IF('10 Numaralar'!T100="","",'10 Numaralar'!T100)</f>
        <v/>
      </c>
      <c r="T698" s="2" t="str">
        <f>IF('10 Numaralar'!U100="","",'10 Numaralar'!U100)</f>
        <v/>
      </c>
      <c r="U698" t="s">
        <v>932</v>
      </c>
      <c r="V698">
        <v>100</v>
      </c>
      <c r="W698" t="str">
        <f ca="1">IF(AND($A698&lt;&gt;"",ISNUMBER($G698),$G698&gt;=TODAY(),$G698&lt;=EDATE(TODAY(),12)),COUNTIFS($G$2:$G$1001,"&gt;="&amp;TODAY(),$G$2:$G$1001,"&lt;"&amp;$G698,$A$2:$A$1001,"&lt;&gt;")+COUNTIFS($G$2:$G698,$G698,$A$2:$A698,"&lt;&gt;"),"")</f>
        <v/>
      </c>
      <c r="X698" t="str">
        <f>IF(AND($A698&lt;&gt;"",ISNUMBER($C698),$C698&gt;=DATE(2003,1,1)),COUNTIFS($C$2:$C698,"&gt;="&amp;DATE(2003,1,1),$A$2:$A698,"&lt;&gt;"),"")</f>
        <v/>
      </c>
    </row>
    <row r="699" spans="1:24">
      <c r="A699" t="str">
        <f>IF('10 Numaralar'!A101="","",'10 Numaralar'!A101)</f>
        <v/>
      </c>
      <c r="B699" t="str">
        <f>IF('10 Numaralar'!B101="","",'10 Numaralar'!B101)</f>
        <v/>
      </c>
      <c r="C699" s="2" t="str">
        <f>IF('10 Numaralar'!C101="","",'10 Numaralar'!C101)</f>
        <v/>
      </c>
      <c r="D699" t="str">
        <f ca="1">IF('10 Numaralar'!D101="","",'10 Numaralar'!D101)</f>
        <v/>
      </c>
      <c r="E699" t="str">
        <f>IF('10 Numaralar'!E101="","",'10 Numaralar'!E101)</f>
        <v>10 Numara</v>
      </c>
      <c r="F699" t="str">
        <f>IF('10 Numaralar'!G101="","",'10 Numaralar'!G101)</f>
        <v/>
      </c>
      <c r="G699" s="2" t="str">
        <f>IF('10 Numaralar'!H101="","",'10 Numaralar'!H101)</f>
        <v/>
      </c>
      <c r="H699" t="str">
        <f>IF('10 Numaralar'!I101="","",'10 Numaralar'!I101)</f>
        <v/>
      </c>
      <c r="I699" t="str">
        <f>IF('10 Numaralar'!A101="","",'10 Numaralar'!J101)</f>
        <v/>
      </c>
      <c r="J699" t="str">
        <f>IF('10 Numaralar'!A101="","",'10 Numaralar'!K101)</f>
        <v/>
      </c>
      <c r="K699" t="str">
        <f>IF('10 Numaralar'!L101="","",'10 Numaralar'!L101)</f>
        <v/>
      </c>
      <c r="L699" t="str">
        <f>IF('10 Numaralar'!M101="","",'10 Numaralar'!M101)</f>
        <v/>
      </c>
      <c r="M699" t="str">
        <f>IF('10 Numaralar'!N101="","",'10 Numaralar'!N101)</f>
        <v/>
      </c>
      <c r="N699" t="str">
        <f>IF('10 Numaralar'!O101="","",'10 Numaralar'!O101)</f>
        <v/>
      </c>
      <c r="O699" t="str">
        <f>IF('10 Numaralar'!P101="","",'10 Numaralar'!P101)</f>
        <v/>
      </c>
      <c r="P699" t="str">
        <f>IF('10 Numaralar'!Q101="","",'10 Numaralar'!Q101)</f>
        <v/>
      </c>
      <c r="Q699" t="str">
        <f>IF('10 Numaralar'!R101="","",'10 Numaralar'!R101)</f>
        <v/>
      </c>
      <c r="R699" t="str">
        <f>IF('10 Numaralar'!S101="","",'10 Numaralar'!S101)</f>
        <v/>
      </c>
      <c r="S699" t="str">
        <f>IF('10 Numaralar'!T101="","",'10 Numaralar'!T101)</f>
        <v/>
      </c>
      <c r="T699" s="2" t="str">
        <f>IF('10 Numaralar'!U101="","",'10 Numaralar'!U101)</f>
        <v/>
      </c>
      <c r="U699" t="s">
        <v>932</v>
      </c>
      <c r="V699">
        <v>101</v>
      </c>
      <c r="W699" t="str">
        <f ca="1">IF(AND($A699&lt;&gt;"",ISNUMBER($G699),$G699&gt;=TODAY(),$G699&lt;=EDATE(TODAY(),12)),COUNTIFS($G$2:$G$1001,"&gt;="&amp;TODAY(),$G$2:$G$1001,"&lt;"&amp;$G699,$A$2:$A$1001,"&lt;&gt;")+COUNTIFS($G$2:$G699,$G699,$A$2:$A699,"&lt;&gt;"),"")</f>
        <v/>
      </c>
      <c r="X699" t="str">
        <f>IF(AND($A699&lt;&gt;"",ISNUMBER($C699),$C699&gt;=DATE(2003,1,1)),COUNTIFS($C$2:$C699,"&gt;="&amp;DATE(2003,1,1),$A$2:$A699,"&lt;&gt;"),"")</f>
        <v/>
      </c>
    </row>
    <row r="700" spans="1:24">
      <c r="A700" t="str">
        <f>IF('10 Numaralar'!A102="","",'10 Numaralar'!A102)</f>
        <v/>
      </c>
      <c r="B700" t="str">
        <f>IF('10 Numaralar'!B102="","",'10 Numaralar'!B102)</f>
        <v/>
      </c>
      <c r="C700" s="2" t="str">
        <f>IF('10 Numaralar'!C102="","",'10 Numaralar'!C102)</f>
        <v/>
      </c>
      <c r="D700" t="str">
        <f ca="1">IF('10 Numaralar'!D102="","",'10 Numaralar'!D102)</f>
        <v/>
      </c>
      <c r="E700" t="str">
        <f>IF('10 Numaralar'!E102="","",'10 Numaralar'!E102)</f>
        <v>10 Numara</v>
      </c>
      <c r="F700" t="str">
        <f>IF('10 Numaralar'!G102="","",'10 Numaralar'!G102)</f>
        <v/>
      </c>
      <c r="G700" s="2" t="str">
        <f>IF('10 Numaralar'!H102="","",'10 Numaralar'!H102)</f>
        <v/>
      </c>
      <c r="H700" t="str">
        <f>IF('10 Numaralar'!I102="","",'10 Numaralar'!I102)</f>
        <v/>
      </c>
      <c r="I700" t="str">
        <f>IF('10 Numaralar'!A102="","",'10 Numaralar'!J102)</f>
        <v/>
      </c>
      <c r="J700" t="str">
        <f>IF('10 Numaralar'!A102="","",'10 Numaralar'!K102)</f>
        <v/>
      </c>
      <c r="K700" t="str">
        <f>IF('10 Numaralar'!L102="","",'10 Numaralar'!L102)</f>
        <v/>
      </c>
      <c r="L700" t="str">
        <f>IF('10 Numaralar'!M102="","",'10 Numaralar'!M102)</f>
        <v/>
      </c>
      <c r="M700" t="str">
        <f>IF('10 Numaralar'!N102="","",'10 Numaralar'!N102)</f>
        <v/>
      </c>
      <c r="N700" t="str">
        <f>IF('10 Numaralar'!O102="","",'10 Numaralar'!O102)</f>
        <v/>
      </c>
      <c r="O700" t="str">
        <f>IF('10 Numaralar'!P102="","",'10 Numaralar'!P102)</f>
        <v/>
      </c>
      <c r="P700" t="str">
        <f>IF('10 Numaralar'!Q102="","",'10 Numaralar'!Q102)</f>
        <v/>
      </c>
      <c r="Q700" t="str">
        <f>IF('10 Numaralar'!R102="","",'10 Numaralar'!R102)</f>
        <v/>
      </c>
      <c r="R700" t="str">
        <f>IF('10 Numaralar'!S102="","",'10 Numaralar'!S102)</f>
        <v/>
      </c>
      <c r="S700" t="str">
        <f>IF('10 Numaralar'!T102="","",'10 Numaralar'!T102)</f>
        <v/>
      </c>
      <c r="T700" s="2" t="str">
        <f>IF('10 Numaralar'!U102="","",'10 Numaralar'!U102)</f>
        <v/>
      </c>
      <c r="U700" t="s">
        <v>932</v>
      </c>
      <c r="V700">
        <v>102</v>
      </c>
      <c r="W700" t="str">
        <f ca="1">IF(AND($A700&lt;&gt;"",ISNUMBER($G700),$G700&gt;=TODAY(),$G700&lt;=EDATE(TODAY(),12)),COUNTIFS($G$2:$G$1001,"&gt;="&amp;TODAY(),$G$2:$G$1001,"&lt;"&amp;$G700,$A$2:$A$1001,"&lt;&gt;")+COUNTIFS($G$2:$G700,$G700,$A$2:$A700,"&lt;&gt;"),"")</f>
        <v/>
      </c>
      <c r="X700" t="str">
        <f>IF(AND($A700&lt;&gt;"",ISNUMBER($C700),$C700&gt;=DATE(2003,1,1)),COUNTIFS($C$2:$C700,"&gt;="&amp;DATE(2003,1,1),$A$2:$A700,"&lt;&gt;"),"")</f>
        <v/>
      </c>
    </row>
    <row r="701" spans="1:24">
      <c r="A701" t="str">
        <f>IF('10 Numaralar'!A103="","",'10 Numaralar'!A103)</f>
        <v/>
      </c>
      <c r="B701" t="str">
        <f>IF('10 Numaralar'!B103="","",'10 Numaralar'!B103)</f>
        <v/>
      </c>
      <c r="C701" s="2" t="str">
        <f>IF('10 Numaralar'!C103="","",'10 Numaralar'!C103)</f>
        <v/>
      </c>
      <c r="D701" t="str">
        <f ca="1">IF('10 Numaralar'!D103="","",'10 Numaralar'!D103)</f>
        <v/>
      </c>
      <c r="E701" t="str">
        <f>IF('10 Numaralar'!E103="","",'10 Numaralar'!E103)</f>
        <v>10 Numara</v>
      </c>
      <c r="F701" t="str">
        <f>IF('10 Numaralar'!G103="","",'10 Numaralar'!G103)</f>
        <v/>
      </c>
      <c r="G701" s="2" t="str">
        <f>IF('10 Numaralar'!H103="","",'10 Numaralar'!H103)</f>
        <v/>
      </c>
      <c r="H701" t="str">
        <f>IF('10 Numaralar'!I103="","",'10 Numaralar'!I103)</f>
        <v/>
      </c>
      <c r="I701" t="str">
        <f>IF('10 Numaralar'!A103="","",'10 Numaralar'!J103)</f>
        <v/>
      </c>
      <c r="J701" t="str">
        <f>IF('10 Numaralar'!A103="","",'10 Numaralar'!K103)</f>
        <v/>
      </c>
      <c r="K701" t="str">
        <f>IF('10 Numaralar'!L103="","",'10 Numaralar'!L103)</f>
        <v/>
      </c>
      <c r="L701" t="str">
        <f>IF('10 Numaralar'!M103="","",'10 Numaralar'!M103)</f>
        <v/>
      </c>
      <c r="M701" t="str">
        <f>IF('10 Numaralar'!N103="","",'10 Numaralar'!N103)</f>
        <v/>
      </c>
      <c r="N701" t="str">
        <f>IF('10 Numaralar'!O103="","",'10 Numaralar'!O103)</f>
        <v/>
      </c>
      <c r="O701" t="str">
        <f>IF('10 Numaralar'!P103="","",'10 Numaralar'!P103)</f>
        <v/>
      </c>
      <c r="P701" t="str">
        <f>IF('10 Numaralar'!Q103="","",'10 Numaralar'!Q103)</f>
        <v/>
      </c>
      <c r="Q701" t="str">
        <f>IF('10 Numaralar'!R103="","",'10 Numaralar'!R103)</f>
        <v/>
      </c>
      <c r="R701" t="str">
        <f>IF('10 Numaralar'!S103="","",'10 Numaralar'!S103)</f>
        <v/>
      </c>
      <c r="S701" t="str">
        <f>IF('10 Numaralar'!T103="","",'10 Numaralar'!T103)</f>
        <v/>
      </c>
      <c r="T701" s="2" t="str">
        <f>IF('10 Numaralar'!U103="","",'10 Numaralar'!U103)</f>
        <v/>
      </c>
      <c r="U701" t="s">
        <v>932</v>
      </c>
      <c r="V701">
        <v>103</v>
      </c>
      <c r="W701" t="str">
        <f ca="1">IF(AND($A701&lt;&gt;"",ISNUMBER($G701),$G701&gt;=TODAY(),$G701&lt;=EDATE(TODAY(),12)),COUNTIFS($G$2:$G$1001,"&gt;="&amp;TODAY(),$G$2:$G$1001,"&lt;"&amp;$G701,$A$2:$A$1001,"&lt;&gt;")+COUNTIFS($G$2:$G701,$G701,$A$2:$A701,"&lt;&gt;"),"")</f>
        <v/>
      </c>
      <c r="X701" t="str">
        <f>IF(AND($A701&lt;&gt;"",ISNUMBER($C701),$C701&gt;=DATE(2003,1,1)),COUNTIFS($C$2:$C701,"&gt;="&amp;DATE(2003,1,1),$A$2:$A701,"&lt;&gt;"),"")</f>
        <v/>
      </c>
    </row>
    <row r="702" spans="1:24">
      <c r="A702" t="str">
        <f>IF(Kanatlar!A4="","",Kanatlar!A4)</f>
        <v>AHIDERA EJUKE</v>
      </c>
      <c r="B702" t="str">
        <f>IF(Kanatlar!B4="","",Kanatlar!B4)</f>
        <v>NİJERYA</v>
      </c>
      <c r="C702" s="2">
        <f>IF(Kanatlar!C4="","",Kanatlar!C4)</f>
        <v>35797</v>
      </c>
      <c r="D702">
        <f ca="1">IF(Kanatlar!D4="","",Kanatlar!D4)</f>
        <v>28</v>
      </c>
      <c r="E702" t="str">
        <f>IF(Kanatlar!E4="","",Kanatlar!E4)</f>
        <v>Kanat</v>
      </c>
      <c r="F702" t="str">
        <f>IF(Kanatlar!G4="","",Kanatlar!G4)</f>
        <v>SEVILLA</v>
      </c>
      <c r="G702" s="2">
        <f>IF(Kanatlar!H4="","",Kanatlar!H4)</f>
        <v>46568</v>
      </c>
      <c r="H702" t="str">
        <f>IF(Kanatlar!I4="","",Kanatlar!I4)</f>
        <v>Yeşil</v>
      </c>
      <c r="I702">
        <f>IF(Kanatlar!A4="","",Kanatlar!J4)</f>
        <v>0</v>
      </c>
      <c r="J702">
        <f>IF(Kanatlar!A4="","",Kanatlar!K4)</f>
        <v>0</v>
      </c>
      <c r="K702" t="str">
        <f>IF(Kanatlar!L4="","",Kanatlar!L4)</f>
        <v/>
      </c>
      <c r="L702" t="str">
        <f>IF(Kanatlar!M4="","",Kanatlar!M4)</f>
        <v/>
      </c>
      <c r="M702" t="str">
        <f>IF(Kanatlar!N4="","",Kanatlar!N4)</f>
        <v/>
      </c>
      <c r="N702" t="str">
        <f>IF(Kanatlar!O4="","",Kanatlar!O4)</f>
        <v/>
      </c>
      <c r="O702" t="str">
        <f>IF(Kanatlar!P4="","",Kanatlar!P4)</f>
        <v/>
      </c>
      <c r="P702" t="str">
        <f>IF(Kanatlar!Q4="","",Kanatlar!Q4)</f>
        <v/>
      </c>
      <c r="Q702" t="str">
        <f>IF(Kanatlar!R4="","",Kanatlar!R4)</f>
        <v/>
      </c>
      <c r="R702" t="str">
        <f>IF(Kanatlar!S4="","",Kanatlar!S4)</f>
        <v/>
      </c>
      <c r="S702" t="str">
        <f>IF(Kanatlar!T4="","",Kanatlar!T4)</f>
        <v>A Liste</v>
      </c>
      <c r="T702" s="2" t="str">
        <f>IF(Kanatlar!U4="","",Kanatlar!U4)</f>
        <v/>
      </c>
      <c r="U702" t="s">
        <v>933</v>
      </c>
      <c r="V702">
        <v>4</v>
      </c>
      <c r="W702">
        <f ca="1">IF(AND($A702&lt;&gt;"",ISNUMBER($G702),$G702&gt;=TODAY(),$G702&lt;=EDATE(TODAY(),12)),COUNTIFS($G$2:$G$1001,"&gt;="&amp;TODAY(),$G$2:$G$1001,"&lt;"&amp;$G702,$A$2:$A$1001,"&lt;&gt;")+COUNTIFS($G$2:$G702,$G702,$A$2:$A702,"&lt;&gt;"),"")</f>
        <v>41</v>
      </c>
      <c r="X702" t="str">
        <f>IF(AND($A702&lt;&gt;"",ISNUMBER($C702),$C702&gt;=DATE(2003,1,1)),COUNTIFS($C$2:$C702,"&gt;="&amp;DATE(2003,1,1),$A$2:$A702,"&lt;&gt;"),"")</f>
        <v/>
      </c>
    </row>
    <row r="703" spans="1:24">
      <c r="A703" t="str">
        <f>IF(Kanatlar!A5="","",Kanatlar!A5)</f>
        <v>ALEHANDRO MARTINEZ</v>
      </c>
      <c r="B703" t="str">
        <f>IF(Kanatlar!B5="","",Kanatlar!B5)</f>
        <v>ARJANTİN</v>
      </c>
      <c r="C703" s="2">
        <f>IF(Kanatlar!C5="","",Kanatlar!C5)</f>
        <v>35161</v>
      </c>
      <c r="D703">
        <f ca="1">IF(Kanatlar!D5="","",Kanatlar!D5)</f>
        <v>30</v>
      </c>
      <c r="E703" t="str">
        <f>IF(Kanatlar!E5="","",Kanatlar!E5)</f>
        <v>Kanat</v>
      </c>
      <c r="F703" t="str">
        <f>IF(Kanatlar!G5="","",Kanatlar!G5)</f>
        <v>NACIONAL</v>
      </c>
      <c r="G703" s="2">
        <f>IF(Kanatlar!H5="","",Kanatlar!H5)</f>
        <v>46387</v>
      </c>
      <c r="H703" t="str">
        <f>IF(Kanatlar!I5="","",Kanatlar!I5)</f>
        <v>Kırmızı</v>
      </c>
      <c r="I703">
        <f>IF(Kanatlar!A5="","",Kanatlar!J5)</f>
        <v>0</v>
      </c>
      <c r="J703">
        <f>IF(Kanatlar!A5="","",Kanatlar!K5)</f>
        <v>0</v>
      </c>
      <c r="K703" t="str">
        <f>IF(Kanatlar!L5="","",Kanatlar!L5)</f>
        <v/>
      </c>
      <c r="L703" t="str">
        <f>IF(Kanatlar!M5="","",Kanatlar!M5)</f>
        <v/>
      </c>
      <c r="M703" t="str">
        <f>IF(Kanatlar!N5="","",Kanatlar!N5)</f>
        <v/>
      </c>
      <c r="N703" t="str">
        <f>IF(Kanatlar!O5="","",Kanatlar!O5)</f>
        <v/>
      </c>
      <c r="O703" t="str">
        <f>IF(Kanatlar!P5="","",Kanatlar!P5)</f>
        <v/>
      </c>
      <c r="P703" t="str">
        <f>IF(Kanatlar!Q5="","",Kanatlar!Q5)</f>
        <v/>
      </c>
      <c r="Q703" t="str">
        <f>IF(Kanatlar!R5="","",Kanatlar!R5)</f>
        <v/>
      </c>
      <c r="R703" t="str">
        <f>IF(Kanatlar!S5="","",Kanatlar!S5)</f>
        <v/>
      </c>
      <c r="S703" t="str">
        <f>IF(Kanatlar!T5="","",Kanatlar!T5)</f>
        <v>Ele</v>
      </c>
      <c r="T703" s="2" t="str">
        <f>IF(Kanatlar!U5="","",Kanatlar!U5)</f>
        <v/>
      </c>
      <c r="U703" t="s">
        <v>933</v>
      </c>
      <c r="V703">
        <v>5</v>
      </c>
      <c r="W703">
        <f ca="1">IF(AND($A703&lt;&gt;"",ISNUMBER($G703),$G703&gt;=TODAY(),$G703&lt;=EDATE(TODAY(),12)),COUNTIFS($G$2:$G$1001,"&gt;="&amp;TODAY(),$G$2:$G$1001,"&lt;"&amp;$G703,$A$2:$A$1001,"&lt;&gt;")+COUNTIFS($G$2:$G703,$G703,$A$2:$A703,"&lt;&gt;"),"")</f>
        <v>8</v>
      </c>
      <c r="X703" t="str">
        <f>IF(AND($A703&lt;&gt;"",ISNUMBER($C703),$C703&gt;=DATE(2003,1,1)),COUNTIFS($C$2:$C703,"&gt;="&amp;DATE(2003,1,1),$A$2:$A703,"&lt;&gt;"),"")</f>
        <v/>
      </c>
    </row>
    <row r="704" spans="1:24">
      <c r="A704" t="str">
        <f>IF(Kanatlar!A6="","",Kanatlar!A6)</f>
        <v>EMRE ERDOĞAN</v>
      </c>
      <c r="B704" t="str">
        <f>IF(Kanatlar!B6="","",Kanatlar!B6)</f>
        <v>TÜRKİYE</v>
      </c>
      <c r="C704" s="2">
        <f>IF(Kanatlar!C6="","",Kanatlar!C6)</f>
        <v>39137</v>
      </c>
      <c r="D704">
        <f ca="1">IF(Kanatlar!D6="","",Kanatlar!D6)</f>
        <v>19</v>
      </c>
      <c r="E704" t="str">
        <f>IF(Kanatlar!E6="","",Kanatlar!E6)</f>
        <v>Kanat</v>
      </c>
      <c r="F704" t="str">
        <f>IF(Kanatlar!G6="","",Kanatlar!G6)</f>
        <v>1860 MUNIH</v>
      </c>
      <c r="G704" s="2">
        <f>IF(Kanatlar!H6="","",Kanatlar!H6)</f>
        <v>46568</v>
      </c>
      <c r="H704" t="str">
        <f>IF(Kanatlar!I6="","",Kanatlar!I6)</f>
        <v>Sarı</v>
      </c>
      <c r="I704">
        <f>IF(Kanatlar!A6="","",Kanatlar!J6)</f>
        <v>0</v>
      </c>
      <c r="J704">
        <f>IF(Kanatlar!A6="","",Kanatlar!K6)</f>
        <v>0</v>
      </c>
      <c r="K704" t="str">
        <f>IF(Kanatlar!L6="","",Kanatlar!L6)</f>
        <v/>
      </c>
      <c r="L704" t="str">
        <f>IF(Kanatlar!M6="","",Kanatlar!M6)</f>
        <v/>
      </c>
      <c r="M704" t="str">
        <f>IF(Kanatlar!N6="","",Kanatlar!N6)</f>
        <v/>
      </c>
      <c r="N704" t="str">
        <f>IF(Kanatlar!O6="","",Kanatlar!O6)</f>
        <v/>
      </c>
      <c r="O704" t="str">
        <f>IF(Kanatlar!P6="","",Kanatlar!P6)</f>
        <v/>
      </c>
      <c r="P704" t="str">
        <f>IF(Kanatlar!Q6="","",Kanatlar!Q6)</f>
        <v/>
      </c>
      <c r="Q704" t="str">
        <f>IF(Kanatlar!R6="","",Kanatlar!R6)</f>
        <v/>
      </c>
      <c r="R704" t="str">
        <f>IF(Kanatlar!S6="","",Kanatlar!S6)</f>
        <v/>
      </c>
      <c r="S704" t="str">
        <f>IF(Kanatlar!T6="","",Kanatlar!T6)</f>
        <v>Takip</v>
      </c>
      <c r="T704" s="2" t="str">
        <f>IF(Kanatlar!U6="","",Kanatlar!U6)</f>
        <v/>
      </c>
      <c r="U704" t="s">
        <v>933</v>
      </c>
      <c r="V704">
        <v>6</v>
      </c>
      <c r="W704">
        <f ca="1">IF(AND($A704&lt;&gt;"",ISNUMBER($G704),$G704&gt;=TODAY(),$G704&lt;=EDATE(TODAY(),12)),COUNTIFS($G$2:$G$1001,"&gt;="&amp;TODAY(),$G$2:$G$1001,"&lt;"&amp;$G704,$A$2:$A$1001,"&lt;&gt;")+COUNTIFS($G$2:$G704,$G704,$A$2:$A704,"&lt;&gt;"),"")</f>
        <v>42</v>
      </c>
      <c r="X704">
        <f>IF(AND($A704&lt;&gt;"",ISNUMBER($C704),$C704&gt;=DATE(2003,1,1)),COUNTIFS($C$2:$C704,"&gt;="&amp;DATE(2003,1,1),$A$2:$A704,"&lt;&gt;"),"")</f>
        <v>34</v>
      </c>
    </row>
    <row r="705" spans="1:24">
      <c r="A705" t="str">
        <f>IF(Kanatlar!A7="","",Kanatlar!A7)</f>
        <v>GONCALO SOUSA</v>
      </c>
      <c r="B705" t="str">
        <f>IF(Kanatlar!B7="","",Kanatlar!B7)</f>
        <v>PORTEKİZ</v>
      </c>
      <c r="C705" s="2">
        <f>IF(Kanatlar!C7="","",Kanatlar!C7)</f>
        <v>38898</v>
      </c>
      <c r="D705">
        <f ca="1">IF(Kanatlar!D7="","",Kanatlar!D7)</f>
        <v>20</v>
      </c>
      <c r="E705" t="str">
        <f>IF(Kanatlar!E7="","",Kanatlar!E7)</f>
        <v>Kanat</v>
      </c>
      <c r="F705" t="str">
        <f>IF(Kanatlar!G7="","",Kanatlar!G7)</f>
        <v>KOCAELİSPOR/PORTO</v>
      </c>
      <c r="G705" s="2">
        <f>IF(Kanatlar!H7="","",Kanatlar!H7)</f>
        <v>46568</v>
      </c>
      <c r="H705" t="str">
        <f>IF(Kanatlar!I7="","",Kanatlar!I7)</f>
        <v>Sarı</v>
      </c>
      <c r="I705">
        <f>IF(Kanatlar!A7="","",Kanatlar!J7)</f>
        <v>0</v>
      </c>
      <c r="J705">
        <f>IF(Kanatlar!A7="","",Kanatlar!K7)</f>
        <v>0</v>
      </c>
      <c r="K705" t="str">
        <f>IF(Kanatlar!L7="","",Kanatlar!L7)</f>
        <v/>
      </c>
      <c r="L705" t="str">
        <f>IF(Kanatlar!M7="","",Kanatlar!M7)</f>
        <v/>
      </c>
      <c r="M705" t="str">
        <f>IF(Kanatlar!N7="","",Kanatlar!N7)</f>
        <v/>
      </c>
      <c r="N705" t="str">
        <f>IF(Kanatlar!O7="","",Kanatlar!O7)</f>
        <v/>
      </c>
      <c r="O705" t="str">
        <f>IF(Kanatlar!P7="","",Kanatlar!P7)</f>
        <v/>
      </c>
      <c r="P705" t="str">
        <f>IF(Kanatlar!Q7="","",Kanatlar!Q7)</f>
        <v/>
      </c>
      <c r="Q705" t="str">
        <f>IF(Kanatlar!R7="","",Kanatlar!R7)</f>
        <v/>
      </c>
      <c r="R705" t="str">
        <f>IF(Kanatlar!S7="","",Kanatlar!S7)</f>
        <v/>
      </c>
      <c r="S705" t="str">
        <f>IF(Kanatlar!T7="","",Kanatlar!T7)</f>
        <v>Tekrar İzle</v>
      </c>
      <c r="T705" s="2" t="str">
        <f>IF(Kanatlar!U7="","",Kanatlar!U7)</f>
        <v/>
      </c>
      <c r="U705" t="s">
        <v>933</v>
      </c>
      <c r="V705">
        <v>7</v>
      </c>
      <c r="W705">
        <f ca="1">IF(AND($A705&lt;&gt;"",ISNUMBER($G705),$G705&gt;=TODAY(),$G705&lt;=EDATE(TODAY(),12)),COUNTIFS($G$2:$G$1001,"&gt;="&amp;TODAY(),$G$2:$G$1001,"&lt;"&amp;$G705,$A$2:$A$1001,"&lt;&gt;")+COUNTIFS($G$2:$G705,$G705,$A$2:$A705,"&lt;&gt;"),"")</f>
        <v>43</v>
      </c>
      <c r="X705">
        <f>IF(AND($A705&lt;&gt;"",ISNUMBER($C705),$C705&gt;=DATE(2003,1,1)),COUNTIFS($C$2:$C705,"&gt;="&amp;DATE(2003,1,1),$A$2:$A705,"&lt;&gt;"),"")</f>
        <v>35</v>
      </c>
    </row>
    <row r="706" spans="1:24">
      <c r="A706" t="str">
        <f>IF(Kanatlar!A8="","",Kanatlar!A8)</f>
        <v>ARBER HOXHA</v>
      </c>
      <c r="B706" t="str">
        <f>IF(Kanatlar!B8="","",Kanatlar!B8)</f>
        <v>ARNAVUTLUK</v>
      </c>
      <c r="C706" s="2">
        <f>IF(Kanatlar!C8="","",Kanatlar!C8)</f>
        <v>36074</v>
      </c>
      <c r="D706">
        <f ca="1">IF(Kanatlar!D8="","",Kanatlar!D8)</f>
        <v>28</v>
      </c>
      <c r="E706" t="str">
        <f>IF(Kanatlar!E8="","",Kanatlar!E8)</f>
        <v>Kanat</v>
      </c>
      <c r="F706" t="str">
        <f>IF(Kanatlar!G8="","",Kanatlar!G8)</f>
        <v>DINAMO ZAGREB</v>
      </c>
      <c r="G706" s="2">
        <f>IF(Kanatlar!H8="","",Kanatlar!H8)</f>
        <v>47299</v>
      </c>
      <c r="H706" t="str">
        <f>IF(Kanatlar!I8="","",Kanatlar!I8)</f>
        <v>Kırmızı</v>
      </c>
      <c r="I706">
        <f>IF(Kanatlar!A8="","",Kanatlar!J8)</f>
        <v>0</v>
      </c>
      <c r="J706">
        <f>IF(Kanatlar!A8="","",Kanatlar!K8)</f>
        <v>0</v>
      </c>
      <c r="K706" t="str">
        <f>IF(Kanatlar!L8="","",Kanatlar!L8)</f>
        <v/>
      </c>
      <c r="L706" t="str">
        <f>IF(Kanatlar!M8="","",Kanatlar!M8)</f>
        <v/>
      </c>
      <c r="M706" t="str">
        <f>IF(Kanatlar!N8="","",Kanatlar!N8)</f>
        <v/>
      </c>
      <c r="N706" t="str">
        <f>IF(Kanatlar!O8="","",Kanatlar!O8)</f>
        <v/>
      </c>
      <c r="O706" t="str">
        <f>IF(Kanatlar!P8="","",Kanatlar!P8)</f>
        <v/>
      </c>
      <c r="P706" t="str">
        <f>IF(Kanatlar!Q8="","",Kanatlar!Q8)</f>
        <v/>
      </c>
      <c r="Q706" t="str">
        <f>IF(Kanatlar!R8="","",Kanatlar!R8)</f>
        <v/>
      </c>
      <c r="R706" t="str">
        <f>IF(Kanatlar!S8="","",Kanatlar!S8)</f>
        <v/>
      </c>
      <c r="S706" t="str">
        <f>IF(Kanatlar!T8="","",Kanatlar!T8)</f>
        <v>Ele</v>
      </c>
      <c r="T706" s="2" t="str">
        <f>IF(Kanatlar!U8="","",Kanatlar!U8)</f>
        <v/>
      </c>
      <c r="U706" t="s">
        <v>933</v>
      </c>
      <c r="V706">
        <v>8</v>
      </c>
      <c r="W706" t="str">
        <f ca="1">IF(AND($A706&lt;&gt;"",ISNUMBER($G706),$G706&gt;=TODAY(),$G706&lt;=EDATE(TODAY(),12)),COUNTIFS($G$2:$G$1001,"&gt;="&amp;TODAY(),$G$2:$G$1001,"&lt;"&amp;$G706,$A$2:$A$1001,"&lt;&gt;")+COUNTIFS($G$2:$G706,$G706,$A$2:$A706,"&lt;&gt;"),"")</f>
        <v/>
      </c>
      <c r="X706" t="str">
        <f>IF(AND($A706&lt;&gt;"",ISNUMBER($C706),$C706&gt;=DATE(2003,1,1)),COUNTIFS($C$2:$C706,"&gt;="&amp;DATE(2003,1,1),$A$2:$A706,"&lt;&gt;"),"")</f>
        <v/>
      </c>
    </row>
    <row r="707" spans="1:24">
      <c r="A707" t="str">
        <f>IF(Kanatlar!A9="","",Kanatlar!A9)</f>
        <v>GUSTAVO HENRICK DA SILVA</v>
      </c>
      <c r="B707" t="str">
        <f>IF(Kanatlar!B9="","",Kanatlar!B9)</f>
        <v>BREZİLYA</v>
      </c>
      <c r="C707" s="2">
        <f>IF(Kanatlar!C9="","",Kanatlar!C9)</f>
        <v>35680</v>
      </c>
      <c r="D707">
        <f ca="1">IF(Kanatlar!D9="","",Kanatlar!D9)</f>
        <v>29</v>
      </c>
      <c r="E707" t="str">
        <f>IF(Kanatlar!E9="","",Kanatlar!E9)</f>
        <v>Kanat</v>
      </c>
      <c r="F707" t="str">
        <f>IF(Kanatlar!G9="","",Kanatlar!G9)</f>
        <v>MIRASSOL</v>
      </c>
      <c r="G707" s="2">
        <f>IF(Kanatlar!H9="","",Kanatlar!H9)</f>
        <v>46752</v>
      </c>
      <c r="H707" t="str">
        <f>IF(Kanatlar!I9="","",Kanatlar!I9)</f>
        <v>Kırmızı</v>
      </c>
      <c r="I707">
        <f>IF(Kanatlar!A9="","",Kanatlar!J9)</f>
        <v>0</v>
      </c>
      <c r="J707" t="str">
        <f>IF(Kanatlar!A9="","",Kanatlar!K9)</f>
        <v>https://www.transfermarkt.com.tr/gustavo-silva/profil/spieler/636314</v>
      </c>
      <c r="K707" t="str">
        <f>IF(Kanatlar!L9="","",Kanatlar!L9)</f>
        <v/>
      </c>
      <c r="L707" t="str">
        <f>IF(Kanatlar!M9="","",Kanatlar!M9)</f>
        <v/>
      </c>
      <c r="M707" t="str">
        <f>IF(Kanatlar!N9="","",Kanatlar!N9)</f>
        <v/>
      </c>
      <c r="N707" t="str">
        <f>IF(Kanatlar!O9="","",Kanatlar!O9)</f>
        <v/>
      </c>
      <c r="O707" t="str">
        <f>IF(Kanatlar!P9="","",Kanatlar!P9)</f>
        <v/>
      </c>
      <c r="P707" t="str">
        <f>IF(Kanatlar!Q9="","",Kanatlar!Q9)</f>
        <v/>
      </c>
      <c r="Q707" t="str">
        <f>IF(Kanatlar!R9="","",Kanatlar!R9)</f>
        <v/>
      </c>
      <c r="R707" t="str">
        <f>IF(Kanatlar!S9="","",Kanatlar!S9)</f>
        <v/>
      </c>
      <c r="S707" t="str">
        <f>IF(Kanatlar!T9="","",Kanatlar!T9)</f>
        <v>Ele</v>
      </c>
      <c r="T707" s="2" t="str">
        <f>IF(Kanatlar!U9="","",Kanatlar!U9)</f>
        <v/>
      </c>
      <c r="U707" t="s">
        <v>933</v>
      </c>
      <c r="V707">
        <v>9</v>
      </c>
      <c r="W707" t="str">
        <f ca="1">IF(AND($A707&lt;&gt;"",ISNUMBER($G707),$G707&gt;=TODAY(),$G707&lt;=EDATE(TODAY(),12)),COUNTIFS($G$2:$G$1001,"&gt;="&amp;TODAY(),$G$2:$G$1001,"&lt;"&amp;$G707,$A$2:$A$1001,"&lt;&gt;")+COUNTIFS($G$2:$G707,$G707,$A$2:$A707,"&lt;&gt;"),"")</f>
        <v/>
      </c>
      <c r="X707" t="str">
        <f>IF(AND($A707&lt;&gt;"",ISNUMBER($C707),$C707&gt;=DATE(2003,1,1)),COUNTIFS($C$2:$C707,"&gt;="&amp;DATE(2003,1,1),$A$2:$A707,"&lt;&gt;"),"")</f>
        <v/>
      </c>
    </row>
    <row r="708" spans="1:24">
      <c r="A708" t="str">
        <f>IF(Kanatlar!A10="","",Kanatlar!A10)</f>
        <v>SAM SILVERE</v>
      </c>
      <c r="B708" t="str">
        <f>IF(Kanatlar!B10="","",Kanatlar!B10)</f>
        <v>AVUSTURYA</v>
      </c>
      <c r="C708" s="2">
        <f>IF(Kanatlar!C10="","",Kanatlar!C10)</f>
        <v>36824</v>
      </c>
      <c r="D708">
        <f ca="1">IF(Kanatlar!D10="","",Kanatlar!D10)</f>
        <v>25</v>
      </c>
      <c r="E708" t="str">
        <f>IF(Kanatlar!E10="","",Kanatlar!E10)</f>
        <v>Kanat</v>
      </c>
      <c r="F708" t="str">
        <f>IF(Kanatlar!G10="","",Kanatlar!G10)</f>
        <v>MK DONS</v>
      </c>
      <c r="G708" s="2">
        <f>IF(Kanatlar!H10="","",Kanatlar!H10)</f>
        <v>46568</v>
      </c>
      <c r="H708" t="str">
        <f>IF(Kanatlar!I10="","",Kanatlar!I10)</f>
        <v>Kırmızı</v>
      </c>
      <c r="I708">
        <f>IF(Kanatlar!A10="","",Kanatlar!J10)</f>
        <v>0</v>
      </c>
      <c r="J708" t="str">
        <f>IF(Kanatlar!A10="","",Kanatlar!K10)</f>
        <v>https://www.transfermarkt.com.tr/sam-silvera/profil/spieler/680531</v>
      </c>
      <c r="K708" t="str">
        <f>IF(Kanatlar!L10="","",Kanatlar!L10)</f>
        <v/>
      </c>
      <c r="L708" t="str">
        <f>IF(Kanatlar!M10="","",Kanatlar!M10)</f>
        <v/>
      </c>
      <c r="M708" t="str">
        <f>IF(Kanatlar!N10="","",Kanatlar!N10)</f>
        <v/>
      </c>
      <c r="N708" t="str">
        <f>IF(Kanatlar!O10="","",Kanatlar!O10)</f>
        <v/>
      </c>
      <c r="O708" t="str">
        <f>IF(Kanatlar!P10="","",Kanatlar!P10)</f>
        <v/>
      </c>
      <c r="P708" t="str">
        <f>IF(Kanatlar!Q10="","",Kanatlar!Q10)</f>
        <v/>
      </c>
      <c r="Q708" t="str">
        <f>IF(Kanatlar!R10="","",Kanatlar!R10)</f>
        <v/>
      </c>
      <c r="R708" t="str">
        <f>IF(Kanatlar!S10="","",Kanatlar!S10)</f>
        <v/>
      </c>
      <c r="S708" t="str">
        <f>IF(Kanatlar!T10="","",Kanatlar!T10)</f>
        <v>Ele</v>
      </c>
      <c r="T708" s="2" t="str">
        <f>IF(Kanatlar!U10="","",Kanatlar!U10)</f>
        <v/>
      </c>
      <c r="U708" t="s">
        <v>933</v>
      </c>
      <c r="V708">
        <v>10</v>
      </c>
      <c r="W708">
        <f ca="1">IF(AND($A708&lt;&gt;"",ISNUMBER($G708),$G708&gt;=TODAY(),$G708&lt;=EDATE(TODAY(),12)),COUNTIFS($G$2:$G$1001,"&gt;="&amp;TODAY(),$G$2:$G$1001,"&lt;"&amp;$G708,$A$2:$A$1001,"&lt;&gt;")+COUNTIFS($G$2:$G708,$G708,$A$2:$A708,"&lt;&gt;"),"")</f>
        <v>44</v>
      </c>
      <c r="X708" t="str">
        <f>IF(AND($A708&lt;&gt;"",ISNUMBER($C708),$C708&gt;=DATE(2003,1,1)),COUNTIFS($C$2:$C708,"&gt;="&amp;DATE(2003,1,1),$A$2:$A708,"&lt;&gt;"),"")</f>
        <v/>
      </c>
    </row>
    <row r="709" spans="1:24">
      <c r="A709" t="str">
        <f>IF(Kanatlar!A11="","",Kanatlar!A11)</f>
        <v>LURİ TAVARES</v>
      </c>
      <c r="B709" t="str">
        <f>IF(Kanatlar!B11="","",Kanatlar!B11)</f>
        <v xml:space="preserve">YEŞİL BURUN </v>
      </c>
      <c r="C709" s="2">
        <f>IF(Kanatlar!C11="","",Kanatlar!C11)</f>
        <v>36958</v>
      </c>
      <c r="D709">
        <f ca="1">IF(Kanatlar!D11="","",Kanatlar!D11)</f>
        <v>25</v>
      </c>
      <c r="E709" t="str">
        <f>IF(Kanatlar!E11="","",Kanatlar!E11)</f>
        <v>Kanat</v>
      </c>
      <c r="F709" t="str">
        <f>IF(Kanatlar!G11="","",Kanatlar!G11)</f>
        <v>NK VARAZDIN</v>
      </c>
      <c r="G709" s="2">
        <f>IF(Kanatlar!H11="","",Kanatlar!H11)</f>
        <v>46904</v>
      </c>
      <c r="H709" t="str">
        <f>IF(Kanatlar!I11="","",Kanatlar!I11)</f>
        <v>Sarı</v>
      </c>
      <c r="I709">
        <f>IF(Kanatlar!A11="","",Kanatlar!J11)</f>
        <v>0</v>
      </c>
      <c r="J709" t="str">
        <f>IF(Kanatlar!A11="","",Kanatlar!K11)</f>
        <v>https://www.transfermarkt.com.tr/iuri-tavares/profil/spieler/549016</v>
      </c>
      <c r="K709" t="str">
        <f>IF(Kanatlar!L11="","",Kanatlar!L11)</f>
        <v/>
      </c>
      <c r="L709" t="str">
        <f>IF(Kanatlar!M11="","",Kanatlar!M11)</f>
        <v/>
      </c>
      <c r="M709" t="str">
        <f>IF(Kanatlar!N11="","",Kanatlar!N11)</f>
        <v/>
      </c>
      <c r="N709" t="str">
        <f>IF(Kanatlar!O11="","",Kanatlar!O11)</f>
        <v/>
      </c>
      <c r="O709" t="str">
        <f>IF(Kanatlar!P11="","",Kanatlar!P11)</f>
        <v/>
      </c>
      <c r="P709" t="str">
        <f>IF(Kanatlar!Q11="","",Kanatlar!Q11)</f>
        <v/>
      </c>
      <c r="Q709" t="str">
        <f>IF(Kanatlar!R11="","",Kanatlar!R11)</f>
        <v/>
      </c>
      <c r="R709" t="str">
        <f>IF(Kanatlar!S11="","",Kanatlar!S11)</f>
        <v/>
      </c>
      <c r="S709" t="str">
        <f>IF(Kanatlar!T11="","",Kanatlar!T11)</f>
        <v>Takip</v>
      </c>
      <c r="T709" s="2" t="str">
        <f>IF(Kanatlar!U11="","",Kanatlar!U11)</f>
        <v/>
      </c>
      <c r="U709" t="s">
        <v>933</v>
      </c>
      <c r="V709">
        <v>11</v>
      </c>
      <c r="W709" t="str">
        <f ca="1">IF(AND($A709&lt;&gt;"",ISNUMBER($G709),$G709&gt;=TODAY(),$G709&lt;=EDATE(TODAY(),12)),COUNTIFS($G$2:$G$1001,"&gt;="&amp;TODAY(),$G$2:$G$1001,"&lt;"&amp;$G709,$A$2:$A$1001,"&lt;&gt;")+COUNTIFS($G$2:$G709,$G709,$A$2:$A709,"&lt;&gt;"),"")</f>
        <v/>
      </c>
      <c r="X709" t="str">
        <f>IF(AND($A709&lt;&gt;"",ISNUMBER($C709),$C709&gt;=DATE(2003,1,1)),COUNTIFS($C$2:$C709,"&gt;="&amp;DATE(2003,1,1),$A$2:$A709,"&lt;&gt;"),"")</f>
        <v/>
      </c>
    </row>
    <row r="710" spans="1:24">
      <c r="A710" t="str">
        <f>IF(Kanatlar!A12="","",Kanatlar!A12)</f>
        <v>MARİN PETKOV</v>
      </c>
      <c r="B710" t="str">
        <f>IF(Kanatlar!B12="","",Kanatlar!B12)</f>
        <v>BULGARİSTAN</v>
      </c>
      <c r="C710" s="2">
        <f>IF(Kanatlar!C12="","",Kanatlar!C12)</f>
        <v>37895</v>
      </c>
      <c r="D710">
        <f ca="1">IF(Kanatlar!D12="","",Kanatlar!D12)</f>
        <v>23</v>
      </c>
      <c r="E710" t="str">
        <f>IF(Kanatlar!E12="","",Kanatlar!E12)</f>
        <v>Kanat</v>
      </c>
      <c r="F710" t="str">
        <f>IF(Kanatlar!G12="","",Kanatlar!G12)</f>
        <v>AL-TAAWOUN</v>
      </c>
      <c r="G710" s="2">
        <f>IF(Kanatlar!H12="","",Kanatlar!H12)</f>
        <v>46934</v>
      </c>
      <c r="H710" t="str">
        <f>IF(Kanatlar!I12="","",Kanatlar!I12)</f>
        <v>Sarı</v>
      </c>
      <c r="I710">
        <f>IF(Kanatlar!A12="","",Kanatlar!J12)</f>
        <v>0</v>
      </c>
      <c r="J710" t="str">
        <f>IF(Kanatlar!A12="","",Kanatlar!K12)</f>
        <v>https://www.transfermarkt.com.tr/marin-petkov/profil/spieler/675946</v>
      </c>
      <c r="K710" t="str">
        <f>IF(Kanatlar!L12="","",Kanatlar!L12)</f>
        <v/>
      </c>
      <c r="L710" t="str">
        <f>IF(Kanatlar!M12="","",Kanatlar!M12)</f>
        <v/>
      </c>
      <c r="M710" t="str">
        <f>IF(Kanatlar!N12="","",Kanatlar!N12)</f>
        <v/>
      </c>
      <c r="N710" t="str">
        <f>IF(Kanatlar!O12="","",Kanatlar!O12)</f>
        <v/>
      </c>
      <c r="O710" t="str">
        <f>IF(Kanatlar!P12="","",Kanatlar!P12)</f>
        <v/>
      </c>
      <c r="P710" t="str">
        <f>IF(Kanatlar!Q12="","",Kanatlar!Q12)</f>
        <v/>
      </c>
      <c r="Q710" t="str">
        <f>IF(Kanatlar!R12="","",Kanatlar!R12)</f>
        <v/>
      </c>
      <c r="R710" t="str">
        <f>IF(Kanatlar!S12="","",Kanatlar!S12)</f>
        <v/>
      </c>
      <c r="S710" t="str">
        <f>IF(Kanatlar!T12="","",Kanatlar!T12)</f>
        <v>Takip</v>
      </c>
      <c r="T710" s="2" t="str">
        <f>IF(Kanatlar!U12="","",Kanatlar!U12)</f>
        <v/>
      </c>
      <c r="U710" t="s">
        <v>933</v>
      </c>
      <c r="V710">
        <v>12</v>
      </c>
      <c r="W710" t="str">
        <f ca="1">IF(AND($A710&lt;&gt;"",ISNUMBER($G710),$G710&gt;=TODAY(),$G710&lt;=EDATE(TODAY(),12)),COUNTIFS($G$2:$G$1001,"&gt;="&amp;TODAY(),$G$2:$G$1001,"&lt;"&amp;$G710,$A$2:$A$1001,"&lt;&gt;")+COUNTIFS($G$2:$G710,$G710,$A$2:$A710,"&lt;&gt;"),"")</f>
        <v/>
      </c>
      <c r="X710">
        <f>IF(AND($A710&lt;&gt;"",ISNUMBER($C710),$C710&gt;=DATE(2003,1,1)),COUNTIFS($C$2:$C710,"&gt;="&amp;DATE(2003,1,1),$A$2:$A710,"&lt;&gt;"),"")</f>
        <v>36</v>
      </c>
    </row>
    <row r="711" spans="1:24">
      <c r="A711" t="str">
        <f>IF(Kanatlar!A13="","",Kanatlar!A13)</f>
        <v>OLEKSANDR NAZARENKO</v>
      </c>
      <c r="B711" t="str">
        <f>IF(Kanatlar!B13="","",Kanatlar!B13)</f>
        <v>UKRAYNA</v>
      </c>
      <c r="C711" s="2">
        <f>IF(Kanatlar!C13="","",Kanatlar!C13)</f>
        <v>36557</v>
      </c>
      <c r="D711">
        <f ca="1">IF(Kanatlar!D13="","",Kanatlar!D13)</f>
        <v>26</v>
      </c>
      <c r="E711" t="str">
        <f>IF(Kanatlar!E13="","",Kanatlar!E13)</f>
        <v>Kanat</v>
      </c>
      <c r="F711" t="str">
        <f>IF(Kanatlar!G13="","",Kanatlar!G13)</f>
        <v>POLİSSYA</v>
      </c>
      <c r="G711" s="2">
        <f>IF(Kanatlar!H13="","",Kanatlar!H13)</f>
        <v>46934</v>
      </c>
      <c r="H711" t="str">
        <f>IF(Kanatlar!I13="","",Kanatlar!I13)</f>
        <v>Kırmızı</v>
      </c>
      <c r="I711">
        <f>IF(Kanatlar!A13="","",Kanatlar!J13)</f>
        <v>0</v>
      </c>
      <c r="J711" t="str">
        <f>IF(Kanatlar!A13="","",Kanatlar!K13)</f>
        <v>https://www.transfermarkt.com.tr/oleksandr-nazarenko/profil/spieler/495920</v>
      </c>
      <c r="K711" t="str">
        <f>IF(Kanatlar!L13="","",Kanatlar!L13)</f>
        <v/>
      </c>
      <c r="L711" t="str">
        <f>IF(Kanatlar!M13="","",Kanatlar!M13)</f>
        <v/>
      </c>
      <c r="M711" t="str">
        <f>IF(Kanatlar!N13="","",Kanatlar!N13)</f>
        <v/>
      </c>
      <c r="N711" t="str">
        <f>IF(Kanatlar!O13="","",Kanatlar!O13)</f>
        <v/>
      </c>
      <c r="O711" t="str">
        <f>IF(Kanatlar!P13="","",Kanatlar!P13)</f>
        <v/>
      </c>
      <c r="P711" t="str">
        <f>IF(Kanatlar!Q13="","",Kanatlar!Q13)</f>
        <v/>
      </c>
      <c r="Q711" t="str">
        <f>IF(Kanatlar!R13="","",Kanatlar!R13)</f>
        <v/>
      </c>
      <c r="R711" t="str">
        <f>IF(Kanatlar!S13="","",Kanatlar!S13)</f>
        <v/>
      </c>
      <c r="S711" t="str">
        <f>IF(Kanatlar!T13="","",Kanatlar!T13)</f>
        <v>Ele</v>
      </c>
      <c r="T711" s="2" t="str">
        <f>IF(Kanatlar!U13="","",Kanatlar!U13)</f>
        <v/>
      </c>
      <c r="U711" t="s">
        <v>933</v>
      </c>
      <c r="V711">
        <v>13</v>
      </c>
      <c r="W711" t="str">
        <f ca="1">IF(AND($A711&lt;&gt;"",ISNUMBER($G711),$G711&gt;=TODAY(),$G711&lt;=EDATE(TODAY(),12)),COUNTIFS($G$2:$G$1001,"&gt;="&amp;TODAY(),$G$2:$G$1001,"&lt;"&amp;$G711,$A$2:$A$1001,"&lt;&gt;")+COUNTIFS($G$2:$G711,$G711,$A$2:$A711,"&lt;&gt;"),"")</f>
        <v/>
      </c>
      <c r="X711" t="str">
        <f>IF(AND($A711&lt;&gt;"",ISNUMBER($C711),$C711&gt;=DATE(2003,1,1)),COUNTIFS($C$2:$C711,"&gt;="&amp;DATE(2003,1,1),$A$2:$A711,"&lt;&gt;"),"")</f>
        <v/>
      </c>
    </row>
    <row r="712" spans="1:24">
      <c r="A712" t="str">
        <f>IF(Kanatlar!A14="","",Kanatlar!A14)</f>
        <v>THIERNO BALLO</v>
      </c>
      <c r="B712" t="str">
        <f>IF(Kanatlar!B14="","",Kanatlar!B14)</f>
        <v>AVUSTURYA</v>
      </c>
      <c r="C712" s="2">
        <f>IF(Kanatlar!C14="","",Kanatlar!C14)</f>
        <v>37258</v>
      </c>
      <c r="D712">
        <f ca="1">IF(Kanatlar!D14="","",Kanatlar!D14)</f>
        <v>24</v>
      </c>
      <c r="E712" t="str">
        <f>IF(Kanatlar!E14="","",Kanatlar!E14)</f>
        <v>Kanat</v>
      </c>
      <c r="F712" t="str">
        <f>IF(Kanatlar!G14="","",Kanatlar!G14)</f>
        <v>ST.ETTIEN</v>
      </c>
      <c r="G712" s="2">
        <f>IF(Kanatlar!H14="","",Kanatlar!H14)</f>
        <v>47664</v>
      </c>
      <c r="H712" t="str">
        <f>IF(Kanatlar!I14="","",Kanatlar!I14)</f>
        <v>Sarı</v>
      </c>
      <c r="I712">
        <f>IF(Kanatlar!A14="","",Kanatlar!J14)</f>
        <v>0</v>
      </c>
      <c r="J712" t="str">
        <f>IF(Kanatlar!A14="","",Kanatlar!K14)</f>
        <v>https://www.transfermarkt.com.tr/thierno-ballo/profil/spieler/406608</v>
      </c>
      <c r="K712" t="str">
        <f>IF(Kanatlar!L14="","",Kanatlar!L14)</f>
        <v/>
      </c>
      <c r="L712" t="str">
        <f>IF(Kanatlar!M14="","",Kanatlar!M14)</f>
        <v/>
      </c>
      <c r="M712" t="str">
        <f>IF(Kanatlar!N14="","",Kanatlar!N14)</f>
        <v/>
      </c>
      <c r="N712" t="str">
        <f>IF(Kanatlar!O14="","",Kanatlar!O14)</f>
        <v/>
      </c>
      <c r="O712" t="str">
        <f>IF(Kanatlar!P14="","",Kanatlar!P14)</f>
        <v/>
      </c>
      <c r="P712" t="str">
        <f>IF(Kanatlar!Q14="","",Kanatlar!Q14)</f>
        <v/>
      </c>
      <c r="Q712" t="str">
        <f>IF(Kanatlar!R14="","",Kanatlar!R14)</f>
        <v/>
      </c>
      <c r="R712" t="str">
        <f>IF(Kanatlar!S14="","",Kanatlar!S14)</f>
        <v/>
      </c>
      <c r="S712" t="str">
        <f>IF(Kanatlar!T14="","",Kanatlar!T14)</f>
        <v>Takip</v>
      </c>
      <c r="T712" s="2" t="str">
        <f>IF(Kanatlar!U14="","",Kanatlar!U14)</f>
        <v/>
      </c>
      <c r="U712" t="s">
        <v>933</v>
      </c>
      <c r="V712">
        <v>14</v>
      </c>
      <c r="W712" t="str">
        <f ca="1">IF(AND($A712&lt;&gt;"",ISNUMBER($G712),$G712&gt;=TODAY(),$G712&lt;=EDATE(TODAY(),12)),COUNTIFS($G$2:$G$1001,"&gt;="&amp;TODAY(),$G$2:$G$1001,"&lt;"&amp;$G712,$A$2:$A$1001,"&lt;&gt;")+COUNTIFS($G$2:$G712,$G712,$A$2:$A712,"&lt;&gt;"),"")</f>
        <v/>
      </c>
      <c r="X712" t="str">
        <f>IF(AND($A712&lt;&gt;"",ISNUMBER($C712),$C712&gt;=DATE(2003,1,1)),COUNTIFS($C$2:$C712,"&gt;="&amp;DATE(2003,1,1),$A$2:$A712,"&lt;&gt;"),"")</f>
        <v/>
      </c>
    </row>
    <row r="713" spans="1:24">
      <c r="A713" t="str">
        <f>IF(Kanatlar!A15="","",Kanatlar!A15)</f>
        <v>STEFAN BITCA</v>
      </c>
      <c r="B713" t="str">
        <f>IF(Kanatlar!B15="","",Kanatlar!B15)</f>
        <v>MOLDOVA</v>
      </c>
      <c r="C713" s="2">
        <f>IF(Kanatlar!C15="","",Kanatlar!C15)</f>
        <v>38622</v>
      </c>
      <c r="D713">
        <f ca="1">IF(Kanatlar!D15="","",Kanatlar!D15)</f>
        <v>21</v>
      </c>
      <c r="E713" t="str">
        <f>IF(Kanatlar!E15="","",Kanatlar!E15)</f>
        <v>Kanat</v>
      </c>
      <c r="F713" t="str">
        <f>IF(Kanatlar!G15="","",Kanatlar!G15)</f>
        <v>FC SHERIFF</v>
      </c>
      <c r="G713" s="2">
        <f>IF(Kanatlar!H15="","",Kanatlar!H15)</f>
        <v>46934</v>
      </c>
      <c r="H713" t="str">
        <f>IF(Kanatlar!I15="","",Kanatlar!I15)</f>
        <v>Kırmızı</v>
      </c>
      <c r="I713">
        <f>IF(Kanatlar!A15="","",Kanatlar!J15)</f>
        <v>0</v>
      </c>
      <c r="J713" t="str">
        <f>IF(Kanatlar!A15="","",Kanatlar!K15)</f>
        <v>https://www.transfermarkt.com.tr/stefan-bitca/profil/spieler/1034636</v>
      </c>
      <c r="K713" t="str">
        <f>IF(Kanatlar!L15="","",Kanatlar!L15)</f>
        <v/>
      </c>
      <c r="L713" t="str">
        <f>IF(Kanatlar!M15="","",Kanatlar!M15)</f>
        <v/>
      </c>
      <c r="M713" t="str">
        <f>IF(Kanatlar!N15="","",Kanatlar!N15)</f>
        <v/>
      </c>
      <c r="N713" t="str">
        <f>IF(Kanatlar!O15="","",Kanatlar!O15)</f>
        <v/>
      </c>
      <c r="O713" t="str">
        <f>IF(Kanatlar!P15="","",Kanatlar!P15)</f>
        <v/>
      </c>
      <c r="P713" t="str">
        <f>IF(Kanatlar!Q15="","",Kanatlar!Q15)</f>
        <v/>
      </c>
      <c r="Q713" t="str">
        <f>IF(Kanatlar!R15="","",Kanatlar!R15)</f>
        <v/>
      </c>
      <c r="R713" t="str">
        <f>IF(Kanatlar!S15="","",Kanatlar!S15)</f>
        <v/>
      </c>
      <c r="S713" t="str">
        <f>IF(Kanatlar!T15="","",Kanatlar!T15)</f>
        <v>Ele</v>
      </c>
      <c r="T713" s="2" t="str">
        <f>IF(Kanatlar!U15="","",Kanatlar!U15)</f>
        <v/>
      </c>
      <c r="U713" t="s">
        <v>933</v>
      </c>
      <c r="V713">
        <v>15</v>
      </c>
      <c r="W713" t="str">
        <f ca="1">IF(AND($A713&lt;&gt;"",ISNUMBER($G713),$G713&gt;=TODAY(),$G713&lt;=EDATE(TODAY(),12)),COUNTIFS($G$2:$G$1001,"&gt;="&amp;TODAY(),$G$2:$G$1001,"&lt;"&amp;$G713,$A$2:$A$1001,"&lt;&gt;")+COUNTIFS($G$2:$G713,$G713,$A$2:$A713,"&lt;&gt;"),"")</f>
        <v/>
      </c>
      <c r="X713">
        <f>IF(AND($A713&lt;&gt;"",ISNUMBER($C713),$C713&gt;=DATE(2003,1,1)),COUNTIFS($C$2:$C713,"&gt;="&amp;DATE(2003,1,1),$A$2:$A713,"&lt;&gt;"),"")</f>
        <v>37</v>
      </c>
    </row>
    <row r="714" spans="1:24">
      <c r="A714" t="str">
        <f>IF(Kanatlar!A16="","",Kanatlar!A16)</f>
        <v>THAPELO MASEKO</v>
      </c>
      <c r="B714" t="str">
        <f>IF(Kanatlar!B16="","",Kanatlar!B16)</f>
        <v>GÜNEY AFRİKA</v>
      </c>
      <c r="C714" s="2">
        <f>IF(Kanatlar!C16="","",Kanatlar!C16)</f>
        <v>37936</v>
      </c>
      <c r="D714">
        <f ca="1">IF(Kanatlar!D16="","",Kanatlar!D16)</f>
        <v>22</v>
      </c>
      <c r="E714" t="str">
        <f>IF(Kanatlar!E16="","",Kanatlar!E16)</f>
        <v>Kanat</v>
      </c>
      <c r="F714" t="str">
        <f>IF(Kanatlar!G16="","",Kanatlar!G16)</f>
        <v>KOPENHAG</v>
      </c>
      <c r="G714" s="2">
        <f>IF(Kanatlar!H16="","",Kanatlar!H16)</f>
        <v>47664</v>
      </c>
      <c r="H714" t="str">
        <f>IF(Kanatlar!I16="","",Kanatlar!I16)</f>
        <v>Yeşil</v>
      </c>
      <c r="I714">
        <f>IF(Kanatlar!A16="","",Kanatlar!J16)</f>
        <v>0</v>
      </c>
      <c r="J714" t="str">
        <f>IF(Kanatlar!A16="","",Kanatlar!K16)</f>
        <v>https://www.transfermarkt.com.tr/thapelo-maseko/profil/spieler/983330</v>
      </c>
      <c r="K714" t="str">
        <f>IF(Kanatlar!L16="","",Kanatlar!L16)</f>
        <v/>
      </c>
      <c r="L714" t="str">
        <f>IF(Kanatlar!M16="","",Kanatlar!M16)</f>
        <v/>
      </c>
      <c r="M714" t="str">
        <f>IF(Kanatlar!N16="","",Kanatlar!N16)</f>
        <v/>
      </c>
      <c r="N714" t="str">
        <f>IF(Kanatlar!O16="","",Kanatlar!O16)</f>
        <v/>
      </c>
      <c r="O714" t="str">
        <f>IF(Kanatlar!P16="","",Kanatlar!P16)</f>
        <v/>
      </c>
      <c r="P714" t="str">
        <f>IF(Kanatlar!Q16="","",Kanatlar!Q16)</f>
        <v/>
      </c>
      <c r="Q714" t="str">
        <f>IF(Kanatlar!R16="","",Kanatlar!R16)</f>
        <v/>
      </c>
      <c r="R714" t="str">
        <f>IF(Kanatlar!S16="","",Kanatlar!S16)</f>
        <v/>
      </c>
      <c r="S714" t="str">
        <f>IF(Kanatlar!T16="","",Kanatlar!T16)</f>
        <v>B Liste</v>
      </c>
      <c r="T714" s="2" t="str">
        <f>IF(Kanatlar!U16="","",Kanatlar!U16)</f>
        <v/>
      </c>
      <c r="U714" t="s">
        <v>933</v>
      </c>
      <c r="V714">
        <v>16</v>
      </c>
      <c r="W714" t="str">
        <f ca="1">IF(AND($A714&lt;&gt;"",ISNUMBER($G714),$G714&gt;=TODAY(),$G714&lt;=EDATE(TODAY(),12)),COUNTIFS($G$2:$G$1001,"&gt;="&amp;TODAY(),$G$2:$G$1001,"&lt;"&amp;$G714,$A$2:$A$1001,"&lt;&gt;")+COUNTIFS($G$2:$G714,$G714,$A$2:$A714,"&lt;&gt;"),"")</f>
        <v/>
      </c>
      <c r="X714">
        <f>IF(AND($A714&lt;&gt;"",ISNUMBER($C714),$C714&gt;=DATE(2003,1,1)),COUNTIFS($C$2:$C714,"&gt;="&amp;DATE(2003,1,1),$A$2:$A714,"&lt;&gt;"),"")</f>
        <v>38</v>
      </c>
    </row>
    <row r="715" spans="1:24">
      <c r="A715" t="str">
        <f>IF(Kanatlar!A17="","",Kanatlar!A17)</f>
        <v>MIKAEL FELIPE VIANA</v>
      </c>
      <c r="B715" t="str">
        <f>IF(Kanatlar!B17="","",Kanatlar!B17)</f>
        <v>BREZİLYA</v>
      </c>
      <c r="C715" s="2">
        <f>IF(Kanatlar!C17="","",Kanatlar!C17)</f>
        <v>36308</v>
      </c>
      <c r="D715">
        <f ca="1">IF(Kanatlar!D17="","",Kanatlar!D17)</f>
        <v>27</v>
      </c>
      <c r="E715" t="str">
        <f>IF(Kanatlar!E17="","",Kanatlar!E17)</f>
        <v>Kanat</v>
      </c>
      <c r="F715" t="str">
        <f>IF(Kanatlar!G17="","",Kanatlar!G17)</f>
        <v>CLUBE DE REGATAS</v>
      </c>
      <c r="G715" s="2">
        <f>IF(Kanatlar!H17="","",Kanatlar!H17)</f>
        <v>46721</v>
      </c>
      <c r="H715" t="str">
        <f>IF(Kanatlar!I17="","",Kanatlar!I17)</f>
        <v>Sarı</v>
      </c>
      <c r="I715">
        <f>IF(Kanatlar!A17="","",Kanatlar!J17)</f>
        <v>0</v>
      </c>
      <c r="J715" t="str">
        <f>IF(Kanatlar!A17="","",Kanatlar!K17)</f>
        <v>https://www.transfermarkt.com.tr/mikael/profil/spieler/642689</v>
      </c>
      <c r="K715" t="str">
        <f>IF(Kanatlar!L17="","",Kanatlar!L17)</f>
        <v/>
      </c>
      <c r="L715" t="str">
        <f>IF(Kanatlar!M17="","",Kanatlar!M17)</f>
        <v/>
      </c>
      <c r="M715" t="str">
        <f>IF(Kanatlar!N17="","",Kanatlar!N17)</f>
        <v/>
      </c>
      <c r="N715" t="str">
        <f>IF(Kanatlar!O17="","",Kanatlar!O17)</f>
        <v/>
      </c>
      <c r="O715" t="str">
        <f>IF(Kanatlar!P17="","",Kanatlar!P17)</f>
        <v/>
      </c>
      <c r="P715" t="str">
        <f>IF(Kanatlar!Q17="","",Kanatlar!Q17)</f>
        <v/>
      </c>
      <c r="Q715" t="str">
        <f>IF(Kanatlar!R17="","",Kanatlar!R17)</f>
        <v/>
      </c>
      <c r="R715" t="str">
        <f>IF(Kanatlar!S17="","",Kanatlar!S17)</f>
        <v/>
      </c>
      <c r="S715" t="str">
        <f>IF(Kanatlar!T17="","",Kanatlar!T17)</f>
        <v>Tekrar İzle</v>
      </c>
      <c r="T715" s="2" t="str">
        <f>IF(Kanatlar!U17="","",Kanatlar!U17)</f>
        <v/>
      </c>
      <c r="U715" t="s">
        <v>933</v>
      </c>
      <c r="V715">
        <v>17</v>
      </c>
      <c r="W715" t="str">
        <f ca="1">IF(AND($A715&lt;&gt;"",ISNUMBER($G715),$G715&gt;=TODAY(),$G715&lt;=EDATE(TODAY(),12)),COUNTIFS($G$2:$G$1001,"&gt;="&amp;TODAY(),$G$2:$G$1001,"&lt;"&amp;$G715,$A$2:$A$1001,"&lt;&gt;")+COUNTIFS($G$2:$G715,$G715,$A$2:$A715,"&lt;&gt;"),"")</f>
        <v/>
      </c>
      <c r="X715" t="str">
        <f>IF(AND($A715&lt;&gt;"",ISNUMBER($C715),$C715&gt;=DATE(2003,1,1)),COUNTIFS($C$2:$C715,"&gt;="&amp;DATE(2003,1,1),$A$2:$A715,"&lt;&gt;"),"")</f>
        <v/>
      </c>
    </row>
    <row r="716" spans="1:24">
      <c r="A716" t="str">
        <f>IF(Kanatlar!A18="","",Kanatlar!A18)</f>
        <v>JOVANE CABRAL</v>
      </c>
      <c r="B716" t="str">
        <f>IF(Kanatlar!B18="","",Kanatlar!B18)</f>
        <v xml:space="preserve">YEŞİL BURUN </v>
      </c>
      <c r="C716" s="2">
        <f>IF(Kanatlar!C18="","",Kanatlar!C18)</f>
        <v>35960</v>
      </c>
      <c r="D716">
        <f ca="1">IF(Kanatlar!D18="","",Kanatlar!D18)</f>
        <v>28</v>
      </c>
      <c r="E716" t="str">
        <f>IF(Kanatlar!E18="","",Kanatlar!E18)</f>
        <v>Kanat</v>
      </c>
      <c r="F716" t="str">
        <f>IF(Kanatlar!G18="","",Kanatlar!G18)</f>
        <v>GREMIO</v>
      </c>
      <c r="G716" s="2">
        <f>IF(Kanatlar!H18="","",Kanatlar!H18)</f>
        <v>46752</v>
      </c>
      <c r="H716" t="str">
        <f>IF(Kanatlar!I18="","",Kanatlar!I18)</f>
        <v>Sarı</v>
      </c>
      <c r="I716">
        <f>IF(Kanatlar!A18="","",Kanatlar!J18)</f>
        <v>0</v>
      </c>
      <c r="J716" t="str">
        <f>IF(Kanatlar!A18="","",Kanatlar!K18)</f>
        <v>https://www.transfermarkt.com.tr/jovane-cabral/profil/spieler/448466</v>
      </c>
      <c r="K716" t="str">
        <f>IF(Kanatlar!L18="","",Kanatlar!L18)</f>
        <v/>
      </c>
      <c r="L716" t="str">
        <f>IF(Kanatlar!M18="","",Kanatlar!M18)</f>
        <v/>
      </c>
      <c r="M716" t="str">
        <f>IF(Kanatlar!N18="","",Kanatlar!N18)</f>
        <v/>
      </c>
      <c r="N716" t="str">
        <f>IF(Kanatlar!O18="","",Kanatlar!O18)</f>
        <v/>
      </c>
      <c r="O716" t="str">
        <f>IF(Kanatlar!P18="","",Kanatlar!P18)</f>
        <v/>
      </c>
      <c r="P716" t="str">
        <f>IF(Kanatlar!Q18="","",Kanatlar!Q18)</f>
        <v/>
      </c>
      <c r="Q716" t="str">
        <f>IF(Kanatlar!R18="","",Kanatlar!R18)</f>
        <v/>
      </c>
      <c r="R716" t="str">
        <f>IF(Kanatlar!S18="","",Kanatlar!S18)</f>
        <v/>
      </c>
      <c r="S716" t="str">
        <f>IF(Kanatlar!T18="","",Kanatlar!T18)</f>
        <v>Tekrar İzle</v>
      </c>
      <c r="T716" s="2" t="str">
        <f>IF(Kanatlar!U18="","",Kanatlar!U18)</f>
        <v/>
      </c>
      <c r="U716" t="s">
        <v>933</v>
      </c>
      <c r="V716">
        <v>18</v>
      </c>
      <c r="W716" t="str">
        <f ca="1">IF(AND($A716&lt;&gt;"",ISNUMBER($G716),$G716&gt;=TODAY(),$G716&lt;=EDATE(TODAY(),12)),COUNTIFS($G$2:$G$1001,"&gt;="&amp;TODAY(),$G$2:$G$1001,"&lt;"&amp;$G716,$A$2:$A$1001,"&lt;&gt;")+COUNTIFS($G$2:$G716,$G716,$A$2:$A716,"&lt;&gt;"),"")</f>
        <v/>
      </c>
      <c r="X716" t="str">
        <f>IF(AND($A716&lt;&gt;"",ISNUMBER($C716),$C716&gt;=DATE(2003,1,1)),COUNTIFS($C$2:$C716,"&gt;="&amp;DATE(2003,1,1),$A$2:$A716,"&lt;&gt;"),"")</f>
        <v/>
      </c>
    </row>
    <row r="717" spans="1:24">
      <c r="A717" t="str">
        <f>IF(Kanatlar!A19="","",Kanatlar!A19)</f>
        <v>OSWIN APPOLLİS</v>
      </c>
      <c r="B717" t="str">
        <f>IF(Kanatlar!B19="","",Kanatlar!B19)</f>
        <v>GÜNEY AFRİKA</v>
      </c>
      <c r="C717" s="2">
        <f>IF(Kanatlar!C19="","",Kanatlar!C19)</f>
        <v>37128</v>
      </c>
      <c r="D717">
        <f ca="1">IF(Kanatlar!D19="","",Kanatlar!D19)</f>
        <v>25</v>
      </c>
      <c r="E717" t="str">
        <f>IF(Kanatlar!E19="","",Kanatlar!E19)</f>
        <v>Kanat</v>
      </c>
      <c r="F717" t="str">
        <f>IF(Kanatlar!G19="","",Kanatlar!G19)</f>
        <v>PİRATES</v>
      </c>
      <c r="G717" s="2">
        <f>IF(Kanatlar!H19="","",Kanatlar!H19)</f>
        <v>46568</v>
      </c>
      <c r="H717" t="str">
        <f>IF(Kanatlar!I19="","",Kanatlar!I19)</f>
        <v>Sarı</v>
      </c>
      <c r="I717">
        <f>IF(Kanatlar!A19="","",Kanatlar!J19)</f>
        <v>0</v>
      </c>
      <c r="J717" t="str">
        <f>IF(Kanatlar!A19="","",Kanatlar!K19)</f>
        <v>https://www.transfermarkt.com.tr/oswin-appollis/profil/spieler/673381</v>
      </c>
      <c r="K717" t="str">
        <f>IF(Kanatlar!L19="","",Kanatlar!L19)</f>
        <v/>
      </c>
      <c r="L717" t="str">
        <f>IF(Kanatlar!M19="","",Kanatlar!M19)</f>
        <v/>
      </c>
      <c r="M717" t="str">
        <f>IF(Kanatlar!N19="","",Kanatlar!N19)</f>
        <v/>
      </c>
      <c r="N717" t="str">
        <f>IF(Kanatlar!O19="","",Kanatlar!O19)</f>
        <v/>
      </c>
      <c r="O717" t="str">
        <f>IF(Kanatlar!P19="","",Kanatlar!P19)</f>
        <v/>
      </c>
      <c r="P717" t="str">
        <f>IF(Kanatlar!Q19="","",Kanatlar!Q19)</f>
        <v/>
      </c>
      <c r="Q717" t="str">
        <f>IF(Kanatlar!R19="","",Kanatlar!R19)</f>
        <v/>
      </c>
      <c r="R717" t="str">
        <f>IF(Kanatlar!S19="","",Kanatlar!S19)</f>
        <v/>
      </c>
      <c r="S717" t="str">
        <f>IF(Kanatlar!T19="","",Kanatlar!T19)</f>
        <v>Tekrar İzle</v>
      </c>
      <c r="T717" s="2" t="str">
        <f>IF(Kanatlar!U19="","",Kanatlar!U19)</f>
        <v/>
      </c>
      <c r="U717" t="s">
        <v>933</v>
      </c>
      <c r="V717">
        <v>19</v>
      </c>
      <c r="W717">
        <f ca="1">IF(AND($A717&lt;&gt;"",ISNUMBER($G717),$G717&gt;=TODAY(),$G717&lt;=EDATE(TODAY(),12)),COUNTIFS($G$2:$G$1001,"&gt;="&amp;TODAY(),$G$2:$G$1001,"&lt;"&amp;$G717,$A$2:$A$1001,"&lt;&gt;")+COUNTIFS($G$2:$G717,$G717,$A$2:$A717,"&lt;&gt;"),"")</f>
        <v>45</v>
      </c>
      <c r="X717" t="str">
        <f>IF(AND($A717&lt;&gt;"",ISNUMBER($C717),$C717&gt;=DATE(2003,1,1)),COUNTIFS($C$2:$C717,"&gt;="&amp;DATE(2003,1,1),$A$2:$A717,"&lt;&gt;"),"")</f>
        <v/>
      </c>
    </row>
    <row r="718" spans="1:24">
      <c r="A718" t="str">
        <f>IF(Kanatlar!A20="","",Kanatlar!A20)</f>
        <v>BENJAMIN BOAKYE</v>
      </c>
      <c r="B718" t="str">
        <f>IF(Kanatlar!B20="","",Kanatlar!B20)</f>
        <v>ALMANYA</v>
      </c>
      <c r="C718" s="2">
        <f>IF(Kanatlar!C20="","",Kanatlar!C20)</f>
        <v>38418</v>
      </c>
      <c r="D718">
        <f ca="1">IF(Kanatlar!D20="","",Kanatlar!D20)</f>
        <v>21</v>
      </c>
      <c r="E718" t="str">
        <f>IF(Kanatlar!E20="","",Kanatlar!E20)</f>
        <v>Kanat</v>
      </c>
      <c r="F718" t="str">
        <f>IF(Kanatlar!G20="","",Kanatlar!G20)</f>
        <v>BIELEFELD</v>
      </c>
      <c r="G718" s="2">
        <f>IF(Kanatlar!H20="","",Kanatlar!H20)</f>
        <v>46568</v>
      </c>
      <c r="H718" t="str">
        <f>IF(Kanatlar!I20="","",Kanatlar!I20)</f>
        <v>Kırmızı</v>
      </c>
      <c r="I718">
        <f>IF(Kanatlar!A20="","",Kanatlar!J20)</f>
        <v>0</v>
      </c>
      <c r="J718" t="str">
        <f>IF(Kanatlar!A20="","",Kanatlar!K20)</f>
        <v>https://www.transfermarkt.com.tr/benjamin-boakye/profil/spieler/800988</v>
      </c>
      <c r="K718" t="str">
        <f>IF(Kanatlar!L20="","",Kanatlar!L20)</f>
        <v/>
      </c>
      <c r="L718" t="str">
        <f>IF(Kanatlar!M20="","",Kanatlar!M20)</f>
        <v/>
      </c>
      <c r="M718" t="str">
        <f>IF(Kanatlar!N20="","",Kanatlar!N20)</f>
        <v/>
      </c>
      <c r="N718" t="str">
        <f>IF(Kanatlar!O20="","",Kanatlar!O20)</f>
        <v/>
      </c>
      <c r="O718" t="str">
        <f>IF(Kanatlar!P20="","",Kanatlar!P20)</f>
        <v/>
      </c>
      <c r="P718" t="str">
        <f>IF(Kanatlar!Q20="","",Kanatlar!Q20)</f>
        <v/>
      </c>
      <c r="Q718" t="str">
        <f>IF(Kanatlar!R20="","",Kanatlar!R20)</f>
        <v/>
      </c>
      <c r="R718" t="str">
        <f>IF(Kanatlar!S20="","",Kanatlar!S20)</f>
        <v/>
      </c>
      <c r="S718" t="str">
        <f>IF(Kanatlar!T20="","",Kanatlar!T20)</f>
        <v>Ele</v>
      </c>
      <c r="T718" s="2" t="str">
        <f>IF(Kanatlar!U20="","",Kanatlar!U20)</f>
        <v/>
      </c>
      <c r="U718" t="s">
        <v>933</v>
      </c>
      <c r="V718">
        <v>20</v>
      </c>
      <c r="W718">
        <f ca="1">IF(AND($A718&lt;&gt;"",ISNUMBER($G718),$G718&gt;=TODAY(),$G718&lt;=EDATE(TODAY(),12)),COUNTIFS($G$2:$G$1001,"&gt;="&amp;TODAY(),$G$2:$G$1001,"&lt;"&amp;$G718,$A$2:$A$1001,"&lt;&gt;")+COUNTIFS($G$2:$G718,$G718,$A$2:$A718,"&lt;&gt;"),"")</f>
        <v>46</v>
      </c>
      <c r="X718">
        <f>IF(AND($A718&lt;&gt;"",ISNUMBER($C718),$C718&gt;=DATE(2003,1,1)),COUNTIFS($C$2:$C718,"&gt;="&amp;DATE(2003,1,1),$A$2:$A718,"&lt;&gt;"),"")</f>
        <v>39</v>
      </c>
    </row>
    <row r="719" spans="1:24">
      <c r="A719" t="str">
        <f>IF(Kanatlar!A21="","",Kanatlar!A21)</f>
        <v>OLEKSIY GUTSULYAK</v>
      </c>
      <c r="B719" t="str">
        <f>IF(Kanatlar!B21="","",Kanatlar!B21)</f>
        <v>UKRAYNA</v>
      </c>
      <c r="C719" s="2">
        <f>IF(Kanatlar!C21="","",Kanatlar!C21)</f>
        <v>35789</v>
      </c>
      <c r="D719">
        <f ca="1">IF(Kanatlar!D21="","",Kanatlar!D21)</f>
        <v>28</v>
      </c>
      <c r="E719" t="str">
        <f>IF(Kanatlar!E21="","",Kanatlar!E21)</f>
        <v>Kanat</v>
      </c>
      <c r="F719" t="str">
        <f>IF(Kanatlar!G21="","",Kanatlar!G21)</f>
        <v/>
      </c>
      <c r="G719" s="2" t="str">
        <f>IF(Kanatlar!H21="","",Kanatlar!H21)</f>
        <v>FREE</v>
      </c>
      <c r="H719" t="str">
        <f>IF(Kanatlar!I21="","",Kanatlar!I21)</f>
        <v>Kırmızı</v>
      </c>
      <c r="I719">
        <f>IF(Kanatlar!A21="","",Kanatlar!J21)</f>
        <v>0</v>
      </c>
      <c r="J719" t="str">
        <f>IF(Kanatlar!A21="","",Kanatlar!K21)</f>
        <v>https://www.transfermarkt.com.tr/oleksiy-gutsulyak/profil/spieler/296366</v>
      </c>
      <c r="K719" t="str">
        <f>IF(Kanatlar!L21="","",Kanatlar!L21)</f>
        <v/>
      </c>
      <c r="L719" t="str">
        <f>IF(Kanatlar!M21="","",Kanatlar!M21)</f>
        <v/>
      </c>
      <c r="M719" t="str">
        <f>IF(Kanatlar!N21="","",Kanatlar!N21)</f>
        <v/>
      </c>
      <c r="N719" t="str">
        <f>IF(Kanatlar!O21="","",Kanatlar!O21)</f>
        <v/>
      </c>
      <c r="O719" t="str">
        <f>IF(Kanatlar!P21="","",Kanatlar!P21)</f>
        <v/>
      </c>
      <c r="P719" t="str">
        <f>IF(Kanatlar!Q21="","",Kanatlar!Q21)</f>
        <v/>
      </c>
      <c r="Q719" t="str">
        <f>IF(Kanatlar!R21="","",Kanatlar!R21)</f>
        <v/>
      </c>
      <c r="R719" t="str">
        <f>IF(Kanatlar!S21="","",Kanatlar!S21)</f>
        <v/>
      </c>
      <c r="S719" t="str">
        <f>IF(Kanatlar!T21="","",Kanatlar!T21)</f>
        <v>Ele</v>
      </c>
      <c r="T719" s="2" t="str">
        <f>IF(Kanatlar!U21="","",Kanatlar!U21)</f>
        <v/>
      </c>
      <c r="U719" t="s">
        <v>933</v>
      </c>
      <c r="V719">
        <v>21</v>
      </c>
      <c r="W719" t="str">
        <f ca="1">IF(AND($A719&lt;&gt;"",ISNUMBER($G719),$G719&gt;=TODAY(),$G719&lt;=EDATE(TODAY(),12)),COUNTIFS($G$2:$G$1001,"&gt;="&amp;TODAY(),$G$2:$G$1001,"&lt;"&amp;$G719,$A$2:$A$1001,"&lt;&gt;")+COUNTIFS($G$2:$G719,$G719,$A$2:$A719,"&lt;&gt;"),"")</f>
        <v/>
      </c>
      <c r="X719" t="str">
        <f>IF(AND($A719&lt;&gt;"",ISNUMBER($C719),$C719&gt;=DATE(2003,1,1)),COUNTIFS($C$2:$C719,"&gt;="&amp;DATE(2003,1,1),$A$2:$A719,"&lt;&gt;"),"")</f>
        <v/>
      </c>
    </row>
    <row r="720" spans="1:24">
      <c r="A720" t="str">
        <f>IF(Kanatlar!A22="","",Kanatlar!A22)</f>
        <v>JONATHAN IKONE</v>
      </c>
      <c r="B720" t="str">
        <f>IF(Kanatlar!B22="","",Kanatlar!B22)</f>
        <v>FRANSA</v>
      </c>
      <c r="C720" s="2">
        <f>IF(Kanatlar!C22="","",Kanatlar!C22)</f>
        <v>35856</v>
      </c>
      <c r="D720">
        <f ca="1">IF(Kanatlar!D22="","",Kanatlar!D22)</f>
        <v>28</v>
      </c>
      <c r="E720" t="str">
        <f>IF(Kanatlar!E22="","",Kanatlar!E22)</f>
        <v>Kanat</v>
      </c>
      <c r="F720" t="str">
        <f>IF(Kanatlar!G22="","",Kanatlar!G22)</f>
        <v>PARIS FC</v>
      </c>
      <c r="G720" s="2">
        <f>IF(Kanatlar!H22="","",Kanatlar!H22)</f>
        <v>46568</v>
      </c>
      <c r="H720" t="str">
        <f>IF(Kanatlar!I22="","",Kanatlar!I22)</f>
        <v>Sarı</v>
      </c>
      <c r="I720">
        <f>IF(Kanatlar!A22="","",Kanatlar!J22)</f>
        <v>0</v>
      </c>
      <c r="J720" t="str">
        <f>IF(Kanatlar!A22="","",Kanatlar!K22)</f>
        <v>https://www.transfermarkt.com.tr/jonathan-ikone/profil/spieler/324690#google_vignette</v>
      </c>
      <c r="K720" t="str">
        <f>IF(Kanatlar!L22="","",Kanatlar!L22)</f>
        <v/>
      </c>
      <c r="L720" t="str">
        <f>IF(Kanatlar!M22="","",Kanatlar!M22)</f>
        <v/>
      </c>
      <c r="M720" t="str">
        <f>IF(Kanatlar!N22="","",Kanatlar!N22)</f>
        <v/>
      </c>
      <c r="N720" t="str">
        <f>IF(Kanatlar!O22="","",Kanatlar!O22)</f>
        <v/>
      </c>
      <c r="O720" t="str">
        <f>IF(Kanatlar!P22="","",Kanatlar!P22)</f>
        <v/>
      </c>
      <c r="P720" t="str">
        <f>IF(Kanatlar!Q22="","",Kanatlar!Q22)</f>
        <v/>
      </c>
      <c r="Q720" t="str">
        <f>IF(Kanatlar!R22="","",Kanatlar!R22)</f>
        <v/>
      </c>
      <c r="R720" t="str">
        <f>IF(Kanatlar!S22="","",Kanatlar!S22)</f>
        <v/>
      </c>
      <c r="S720" t="str">
        <f>IF(Kanatlar!T22="","",Kanatlar!T22)</f>
        <v>Takip</v>
      </c>
      <c r="T720" s="2" t="str">
        <f>IF(Kanatlar!U22="","",Kanatlar!U22)</f>
        <v/>
      </c>
      <c r="U720" t="s">
        <v>933</v>
      </c>
      <c r="V720">
        <v>22</v>
      </c>
      <c r="W720">
        <f ca="1">IF(AND($A720&lt;&gt;"",ISNUMBER($G720),$G720&gt;=TODAY(),$G720&lt;=EDATE(TODAY(),12)),COUNTIFS($G$2:$G$1001,"&gt;="&amp;TODAY(),$G$2:$G$1001,"&lt;"&amp;$G720,$A$2:$A$1001,"&lt;&gt;")+COUNTIFS($G$2:$G720,$G720,$A$2:$A720,"&lt;&gt;"),"")</f>
        <v>47</v>
      </c>
      <c r="X720" t="str">
        <f>IF(AND($A720&lt;&gt;"",ISNUMBER($C720),$C720&gt;=DATE(2003,1,1)),COUNTIFS($C$2:$C720,"&gt;="&amp;DATE(2003,1,1),$A$2:$A720,"&lt;&gt;"),"")</f>
        <v/>
      </c>
    </row>
    <row r="721" spans="1:24">
      <c r="A721" t="str">
        <f>IF(Kanatlar!A23="","",Kanatlar!A23)</f>
        <v>THIAGO CRUZ FERNANDEZ</v>
      </c>
      <c r="B721" t="str">
        <f>IF(Kanatlar!B23="","",Kanatlar!B23)</f>
        <v>ARJANTİN</v>
      </c>
      <c r="C721" s="2">
        <f>IF(Kanatlar!C23="","",Kanatlar!C23)</f>
        <v>38080</v>
      </c>
      <c r="D721">
        <f ca="1">IF(Kanatlar!D23="","",Kanatlar!D23)</f>
        <v>22</v>
      </c>
      <c r="E721" t="str">
        <f>IF(Kanatlar!E23="","",Kanatlar!E23)</f>
        <v>Kanat</v>
      </c>
      <c r="F721" t="str">
        <f>IF(Kanatlar!G23="","",Kanatlar!G23)</f>
        <v>LEVANTE</v>
      </c>
      <c r="G721" s="2">
        <f>IF(Kanatlar!H23="","",Kanatlar!H23)</f>
        <v>46568</v>
      </c>
      <c r="H721" t="str">
        <f>IF(Kanatlar!I23="","",Kanatlar!I23)</f>
        <v>Yeşil</v>
      </c>
      <c r="I721">
        <f>IF(Kanatlar!A23="","",Kanatlar!J23)</f>
        <v>0</v>
      </c>
      <c r="J721" t="str">
        <f>IF(Kanatlar!A23="","",Kanatlar!K23)</f>
        <v>https://www.transfermarkt.com.tr/thiago-fernandez/profil/spieler/1127730</v>
      </c>
      <c r="K721" t="str">
        <f>IF(Kanatlar!L23="","",Kanatlar!L23)</f>
        <v/>
      </c>
      <c r="L721" t="str">
        <f>IF(Kanatlar!M23="","",Kanatlar!M23)</f>
        <v/>
      </c>
      <c r="M721" t="str">
        <f>IF(Kanatlar!N23="","",Kanatlar!N23)</f>
        <v/>
      </c>
      <c r="N721" t="str">
        <f>IF(Kanatlar!O23="","",Kanatlar!O23)</f>
        <v/>
      </c>
      <c r="O721" t="str">
        <f>IF(Kanatlar!P23="","",Kanatlar!P23)</f>
        <v/>
      </c>
      <c r="P721" t="str">
        <f>IF(Kanatlar!Q23="","",Kanatlar!Q23)</f>
        <v/>
      </c>
      <c r="Q721" t="str">
        <f>IF(Kanatlar!R23="","",Kanatlar!R23)</f>
        <v/>
      </c>
      <c r="R721" t="str">
        <f>IF(Kanatlar!S23="","",Kanatlar!S23)</f>
        <v/>
      </c>
      <c r="S721" t="str">
        <f>IF(Kanatlar!T23="","",Kanatlar!T23)</f>
        <v>B Liste</v>
      </c>
      <c r="T721" s="2" t="str">
        <f>IF(Kanatlar!U23="","",Kanatlar!U23)</f>
        <v/>
      </c>
      <c r="U721" t="s">
        <v>933</v>
      </c>
      <c r="V721">
        <v>23</v>
      </c>
      <c r="W721">
        <f ca="1">IF(AND($A721&lt;&gt;"",ISNUMBER($G721),$G721&gt;=TODAY(),$G721&lt;=EDATE(TODAY(),12)),COUNTIFS($G$2:$G$1001,"&gt;="&amp;TODAY(),$G$2:$G$1001,"&lt;"&amp;$G721,$A$2:$A$1001,"&lt;&gt;")+COUNTIFS($G$2:$G721,$G721,$A$2:$A721,"&lt;&gt;"),"")</f>
        <v>48</v>
      </c>
      <c r="X721">
        <f>IF(AND($A721&lt;&gt;"",ISNUMBER($C721),$C721&gt;=DATE(2003,1,1)),COUNTIFS($C$2:$C721,"&gt;="&amp;DATE(2003,1,1),$A$2:$A721,"&lt;&gt;"),"")</f>
        <v>40</v>
      </c>
    </row>
    <row r="722" spans="1:24">
      <c r="A722" t="str">
        <f>IF(Kanatlar!A24="","",Kanatlar!A24)</f>
        <v>MOHAMMAD MOHEBİ</v>
      </c>
      <c r="B722" t="str">
        <f>IF(Kanatlar!B24="","",Kanatlar!B24)</f>
        <v>İRAN</v>
      </c>
      <c r="C722" s="2">
        <f>IF(Kanatlar!C24="","",Kanatlar!C24)</f>
        <v>36149</v>
      </c>
      <c r="D722">
        <f ca="1">IF(Kanatlar!D24="","",Kanatlar!D24)</f>
        <v>27</v>
      </c>
      <c r="E722" t="str">
        <f>IF(Kanatlar!E24="","",Kanatlar!E24)</f>
        <v>Kanat</v>
      </c>
      <c r="F722" t="str">
        <f>IF(Kanatlar!G24="","",Kanatlar!G24)</f>
        <v>HNK RIJEKA</v>
      </c>
      <c r="G722" s="2">
        <f>IF(Kanatlar!H24="","",Kanatlar!H24)</f>
        <v>46934</v>
      </c>
      <c r="H722" t="str">
        <f>IF(Kanatlar!I24="","",Kanatlar!I24)</f>
        <v>Sarı</v>
      </c>
      <c r="I722">
        <f>IF(Kanatlar!A24="","",Kanatlar!J24)</f>
        <v>0</v>
      </c>
      <c r="J722" t="str">
        <f>IF(Kanatlar!A24="","",Kanatlar!K24)</f>
        <v>https://www.transfermarkt.com.tr/mohammad-mohebi/profil/spieler/603149</v>
      </c>
      <c r="K722" t="str">
        <f>IF(Kanatlar!L24="","",Kanatlar!L24)</f>
        <v/>
      </c>
      <c r="L722" t="str">
        <f>IF(Kanatlar!M24="","",Kanatlar!M24)</f>
        <v/>
      </c>
      <c r="M722" t="str">
        <f>IF(Kanatlar!N24="","",Kanatlar!N24)</f>
        <v/>
      </c>
      <c r="N722" t="str">
        <f>IF(Kanatlar!O24="","",Kanatlar!O24)</f>
        <v/>
      </c>
      <c r="O722" t="str">
        <f>IF(Kanatlar!P24="","",Kanatlar!P24)</f>
        <v/>
      </c>
      <c r="P722" t="str">
        <f>IF(Kanatlar!Q24="","",Kanatlar!Q24)</f>
        <v/>
      </c>
      <c r="Q722" t="str">
        <f>IF(Kanatlar!R24="","",Kanatlar!R24)</f>
        <v/>
      </c>
      <c r="R722" t="str">
        <f>IF(Kanatlar!S24="","",Kanatlar!S24)</f>
        <v/>
      </c>
      <c r="S722" t="str">
        <f>IF(Kanatlar!T24="","",Kanatlar!T24)</f>
        <v>Tekrar İzle</v>
      </c>
      <c r="T722" s="2" t="str">
        <f>IF(Kanatlar!U24="","",Kanatlar!U24)</f>
        <v/>
      </c>
      <c r="U722" t="s">
        <v>933</v>
      </c>
      <c r="V722">
        <v>24</v>
      </c>
      <c r="W722" t="str">
        <f ca="1">IF(AND($A722&lt;&gt;"",ISNUMBER($G722),$G722&gt;=TODAY(),$G722&lt;=EDATE(TODAY(),12)),COUNTIFS($G$2:$G$1001,"&gt;="&amp;TODAY(),$G$2:$G$1001,"&lt;"&amp;$G722,$A$2:$A$1001,"&lt;&gt;")+COUNTIFS($G$2:$G722,$G722,$A$2:$A722,"&lt;&gt;"),"")</f>
        <v/>
      </c>
      <c r="X722" t="str">
        <f>IF(AND($A722&lt;&gt;"",ISNUMBER($C722),$C722&gt;=DATE(2003,1,1)),COUNTIFS($C$2:$C722,"&gt;="&amp;DATE(2003,1,1),$A$2:$A722,"&lt;&gt;"),"")</f>
        <v/>
      </c>
    </row>
    <row r="723" spans="1:24">
      <c r="A723" t="str">
        <f>IF(Kanatlar!A25="","",Kanatlar!A25)</f>
        <v>MARIN PETKOV</v>
      </c>
      <c r="B723" t="str">
        <f>IF(Kanatlar!B25="","",Kanatlar!B25)</f>
        <v>BULGARİSTAN</v>
      </c>
      <c r="C723" s="2">
        <f>IF(Kanatlar!C25="","",Kanatlar!C25)</f>
        <v>37896</v>
      </c>
      <c r="D723">
        <f ca="1">IF(Kanatlar!D25="","",Kanatlar!D25)</f>
        <v>23</v>
      </c>
      <c r="E723" t="str">
        <f>IF(Kanatlar!E25="","",Kanatlar!E25)</f>
        <v>Kanat</v>
      </c>
      <c r="F723" t="str">
        <f>IF(Kanatlar!G25="","",Kanatlar!G25)</f>
        <v>AL-TAAWOUN FC</v>
      </c>
      <c r="G723" s="2">
        <f>IF(Kanatlar!H25="","",Kanatlar!H25)</f>
        <v>46934</v>
      </c>
      <c r="H723" t="str">
        <f>IF(Kanatlar!I25="","",Kanatlar!I25)</f>
        <v/>
      </c>
      <c r="I723">
        <f>IF(Kanatlar!A25="","",Kanatlar!J25)</f>
        <v>0</v>
      </c>
      <c r="J723" t="str">
        <f>IF(Kanatlar!A25="","",Kanatlar!K25)</f>
        <v>https://www.transfermarkt.com.tr/marin-petkov/profil/spieler/675946</v>
      </c>
      <c r="K723" t="str">
        <f>IF(Kanatlar!L25="","",Kanatlar!L25)</f>
        <v/>
      </c>
      <c r="L723" t="str">
        <f>IF(Kanatlar!M25="","",Kanatlar!M25)</f>
        <v/>
      </c>
      <c r="M723" t="str">
        <f>IF(Kanatlar!N25="","",Kanatlar!N25)</f>
        <v/>
      </c>
      <c r="N723" t="str">
        <f>IF(Kanatlar!O25="","",Kanatlar!O25)</f>
        <v/>
      </c>
      <c r="O723" t="str">
        <f>IF(Kanatlar!P25="","",Kanatlar!P25)</f>
        <v/>
      </c>
      <c r="P723" t="str">
        <f>IF(Kanatlar!Q25="","",Kanatlar!Q25)</f>
        <v/>
      </c>
      <c r="Q723" t="str">
        <f>IF(Kanatlar!R25="","",Kanatlar!R25)</f>
        <v/>
      </c>
      <c r="R723" t="str">
        <f>IF(Kanatlar!S25="","",Kanatlar!S25)</f>
        <v/>
      </c>
      <c r="S723" t="str">
        <f>IF(Kanatlar!T25="","",Kanatlar!T25)</f>
        <v/>
      </c>
      <c r="T723" s="2" t="str">
        <f>IF(Kanatlar!U25="","",Kanatlar!U25)</f>
        <v/>
      </c>
      <c r="U723" t="s">
        <v>933</v>
      </c>
      <c r="V723">
        <v>25</v>
      </c>
      <c r="W723" t="str">
        <f ca="1">IF(AND($A723&lt;&gt;"",ISNUMBER($G723),$G723&gt;=TODAY(),$G723&lt;=EDATE(TODAY(),12)),COUNTIFS($G$2:$G$1001,"&gt;="&amp;TODAY(),$G$2:$G$1001,"&lt;"&amp;$G723,$A$2:$A$1001,"&lt;&gt;")+COUNTIFS($G$2:$G723,$G723,$A$2:$A723,"&lt;&gt;"),"")</f>
        <v/>
      </c>
      <c r="X723">
        <f>IF(AND($A723&lt;&gt;"",ISNUMBER($C723),$C723&gt;=DATE(2003,1,1)),COUNTIFS($C$2:$C723,"&gt;="&amp;DATE(2003,1,1),$A$2:$A723,"&lt;&gt;"),"")</f>
        <v>41</v>
      </c>
    </row>
    <row r="724" spans="1:24">
      <c r="A724" t="str">
        <f>IF(Kanatlar!A26="","",Kanatlar!A26)</f>
        <v>IURI TAVARES</v>
      </c>
      <c r="B724" t="str">
        <f>IF(Kanatlar!B26="","",Kanatlar!B26)</f>
        <v>YEŞİL BURUN ADALARI / PORTEKİZ</v>
      </c>
      <c r="C724" s="2">
        <f>IF(Kanatlar!C26="","",Kanatlar!C26)</f>
        <v>36958</v>
      </c>
      <c r="D724">
        <f ca="1">IF(Kanatlar!D26="","",Kanatlar!D26)</f>
        <v>25</v>
      </c>
      <c r="E724" t="str">
        <f>IF(Kanatlar!E26="","",Kanatlar!E26)</f>
        <v>Kanat</v>
      </c>
      <c r="F724" t="str">
        <f>IF(Kanatlar!G26="","",Kanatlar!G26)</f>
        <v>NK VARAŽDIN</v>
      </c>
      <c r="G724" s="2">
        <f>IF(Kanatlar!H26="","",Kanatlar!H26)</f>
        <v>46904</v>
      </c>
      <c r="H724" t="str">
        <f>IF(Kanatlar!I26="","",Kanatlar!I26)</f>
        <v/>
      </c>
      <c r="I724">
        <f>IF(Kanatlar!A26="","",Kanatlar!J26)</f>
        <v>0</v>
      </c>
      <c r="J724" t="str">
        <f>IF(Kanatlar!A26="","",Kanatlar!K26)</f>
        <v>https://www.transfermarkt.com.tr/iuri-tavares/profil/spieler/549016</v>
      </c>
      <c r="K724" t="str">
        <f>IF(Kanatlar!L26="","",Kanatlar!L26)</f>
        <v/>
      </c>
      <c r="L724" t="str">
        <f>IF(Kanatlar!M26="","",Kanatlar!M26)</f>
        <v/>
      </c>
      <c r="M724" t="str">
        <f>IF(Kanatlar!N26="","",Kanatlar!N26)</f>
        <v/>
      </c>
      <c r="N724" t="str">
        <f>IF(Kanatlar!O26="","",Kanatlar!O26)</f>
        <v/>
      </c>
      <c r="O724" t="str">
        <f>IF(Kanatlar!P26="","",Kanatlar!P26)</f>
        <v/>
      </c>
      <c r="P724" t="str">
        <f>IF(Kanatlar!Q26="","",Kanatlar!Q26)</f>
        <v/>
      </c>
      <c r="Q724" t="str">
        <f>IF(Kanatlar!R26="","",Kanatlar!R26)</f>
        <v/>
      </c>
      <c r="R724" t="str">
        <f>IF(Kanatlar!S26="","",Kanatlar!S26)</f>
        <v/>
      </c>
      <c r="S724" t="str">
        <f>IF(Kanatlar!T26="","",Kanatlar!T26)</f>
        <v/>
      </c>
      <c r="T724" s="2" t="str">
        <f>IF(Kanatlar!U26="","",Kanatlar!U26)</f>
        <v/>
      </c>
      <c r="U724" t="s">
        <v>933</v>
      </c>
      <c r="V724">
        <v>26</v>
      </c>
      <c r="W724" t="str">
        <f ca="1">IF(AND($A724&lt;&gt;"",ISNUMBER($G724),$G724&gt;=TODAY(),$G724&lt;=EDATE(TODAY(),12)),COUNTIFS($G$2:$G$1001,"&gt;="&amp;TODAY(),$G$2:$G$1001,"&lt;"&amp;$G724,$A$2:$A$1001,"&lt;&gt;")+COUNTIFS($G$2:$G724,$G724,$A$2:$A724,"&lt;&gt;"),"")</f>
        <v/>
      </c>
      <c r="X724" t="str">
        <f>IF(AND($A724&lt;&gt;"",ISNUMBER($C724),$C724&gt;=DATE(2003,1,1)),COUNTIFS($C$2:$C724,"&gt;="&amp;DATE(2003,1,1),$A$2:$A724,"&lt;&gt;"),"")</f>
        <v/>
      </c>
    </row>
    <row r="725" spans="1:24">
      <c r="A725" t="str">
        <f>IF(Kanatlar!A27="","",Kanatlar!A27)</f>
        <v>GUSTAVO SILVA</v>
      </c>
      <c r="B725" t="str">
        <f>IF(Kanatlar!B27="","",Kanatlar!B27)</f>
        <v>BREZİLYA</v>
      </c>
      <c r="C725" s="2">
        <f>IF(Kanatlar!C27="","",Kanatlar!C27)</f>
        <v>35680</v>
      </c>
      <c r="D725">
        <f ca="1">IF(Kanatlar!D27="","",Kanatlar!D27)</f>
        <v>29</v>
      </c>
      <c r="E725" t="str">
        <f>IF(Kanatlar!E27="","",Kanatlar!E27)</f>
        <v>Kanat</v>
      </c>
      <c r="F725" t="str">
        <f>IF(Kanatlar!G27="","",Kanatlar!G27)</f>
        <v>KULÜPSÜZ</v>
      </c>
      <c r="G725" s="2" t="str">
        <f>IF(Kanatlar!H27="","",Kanatlar!H27)</f>
        <v>-</v>
      </c>
      <c r="H725" t="str">
        <f>IF(Kanatlar!I27="","",Kanatlar!I27)</f>
        <v/>
      </c>
      <c r="I725">
        <f>IF(Kanatlar!A27="","",Kanatlar!J27)</f>
        <v>0</v>
      </c>
      <c r="J725" t="str">
        <f>IF(Kanatlar!A27="","",Kanatlar!K27)</f>
        <v>https://www.transfermarkt.com.br/gustavo-silva/profil/spieler/636314</v>
      </c>
      <c r="K725" t="str">
        <f>IF(Kanatlar!L27="","",Kanatlar!L27)</f>
        <v/>
      </c>
      <c r="L725" t="str">
        <f>IF(Kanatlar!M27="","",Kanatlar!M27)</f>
        <v/>
      </c>
      <c r="M725" t="str">
        <f>IF(Kanatlar!N27="","",Kanatlar!N27)</f>
        <v/>
      </c>
      <c r="N725" t="str">
        <f>IF(Kanatlar!O27="","",Kanatlar!O27)</f>
        <v/>
      </c>
      <c r="O725" t="str">
        <f>IF(Kanatlar!P27="","",Kanatlar!P27)</f>
        <v/>
      </c>
      <c r="P725" t="str">
        <f>IF(Kanatlar!Q27="","",Kanatlar!Q27)</f>
        <v/>
      </c>
      <c r="Q725" t="str">
        <f>IF(Kanatlar!R27="","",Kanatlar!R27)</f>
        <v/>
      </c>
      <c r="R725" t="str">
        <f>IF(Kanatlar!S27="","",Kanatlar!S27)</f>
        <v/>
      </c>
      <c r="S725" t="str">
        <f>IF(Kanatlar!T27="","",Kanatlar!T27)</f>
        <v/>
      </c>
      <c r="T725" s="2" t="str">
        <f>IF(Kanatlar!U27="","",Kanatlar!U27)</f>
        <v/>
      </c>
      <c r="U725" t="s">
        <v>933</v>
      </c>
      <c r="V725">
        <v>27</v>
      </c>
      <c r="W725" t="str">
        <f ca="1">IF(AND($A725&lt;&gt;"",ISNUMBER($G725),$G725&gt;=TODAY(),$G725&lt;=EDATE(TODAY(),12)),COUNTIFS($G$2:$G$1001,"&gt;="&amp;TODAY(),$G$2:$G$1001,"&lt;"&amp;$G725,$A$2:$A$1001,"&lt;&gt;")+COUNTIFS($G$2:$G725,$G725,$A$2:$A725,"&lt;&gt;"),"")</f>
        <v/>
      </c>
      <c r="X725" t="str">
        <f>IF(AND($A725&lt;&gt;"",ISNUMBER($C725),$C725&gt;=DATE(2003,1,1)),COUNTIFS($C$2:$C725,"&gt;="&amp;DATE(2003,1,1),$A$2:$A725,"&lt;&gt;"),"")</f>
        <v/>
      </c>
    </row>
    <row r="726" spans="1:24">
      <c r="A726" t="str">
        <f>IF(Kanatlar!A28="","",Kanatlar!A28)</f>
        <v>THIAGO FERNANDEZ</v>
      </c>
      <c r="B726" t="str">
        <f>IF(Kanatlar!B28="","",Kanatlar!B28)</f>
        <v>ARJANTİN</v>
      </c>
      <c r="C726" s="2">
        <f>IF(Kanatlar!C28="","",Kanatlar!C28)</f>
        <v>38080</v>
      </c>
      <c r="D726">
        <f ca="1">IF(Kanatlar!D28="","",Kanatlar!D28)</f>
        <v>22</v>
      </c>
      <c r="E726" t="str">
        <f>IF(Kanatlar!E28="","",Kanatlar!E28)</f>
        <v>Kanat</v>
      </c>
      <c r="F726" t="str">
        <f>IF(Kanatlar!G28="","",Kanatlar!G28)</f>
        <v>LEVANTE UD (Villarreal'den kiralık)</v>
      </c>
      <c r="G726" s="2">
        <f>IF(Kanatlar!H28="","",Kanatlar!H28)</f>
        <v>48029</v>
      </c>
      <c r="H726" t="str">
        <f>IF(Kanatlar!I28="","",Kanatlar!I28)</f>
        <v/>
      </c>
      <c r="I726">
        <f>IF(Kanatlar!A28="","",Kanatlar!J28)</f>
        <v>0</v>
      </c>
      <c r="J726" t="str">
        <f>IF(Kanatlar!A28="","",Kanatlar!K28)</f>
        <v>Transfermarkt Profili</v>
      </c>
      <c r="K726" t="str">
        <f>IF(Kanatlar!L28="","",Kanatlar!L28)</f>
        <v/>
      </c>
      <c r="L726" t="str">
        <f>IF(Kanatlar!M28="","",Kanatlar!M28)</f>
        <v/>
      </c>
      <c r="M726" t="str">
        <f>IF(Kanatlar!N28="","",Kanatlar!N28)</f>
        <v/>
      </c>
      <c r="N726" t="str">
        <f>IF(Kanatlar!O28="","",Kanatlar!O28)</f>
        <v/>
      </c>
      <c r="O726" t="str">
        <f>IF(Kanatlar!P28="","",Kanatlar!P28)</f>
        <v/>
      </c>
      <c r="P726" t="str">
        <f>IF(Kanatlar!Q28="","",Kanatlar!Q28)</f>
        <v/>
      </c>
      <c r="Q726" t="str">
        <f>IF(Kanatlar!R28="","",Kanatlar!R28)</f>
        <v/>
      </c>
      <c r="R726" t="str">
        <f>IF(Kanatlar!S28="","",Kanatlar!S28)</f>
        <v/>
      </c>
      <c r="S726" t="str">
        <f>IF(Kanatlar!T28="","",Kanatlar!T28)</f>
        <v/>
      </c>
      <c r="T726" s="2" t="str">
        <f>IF(Kanatlar!U28="","",Kanatlar!U28)</f>
        <v/>
      </c>
      <c r="U726" t="s">
        <v>933</v>
      </c>
      <c r="V726">
        <v>28</v>
      </c>
      <c r="W726" t="str">
        <f ca="1">IF(AND($A726&lt;&gt;"",ISNUMBER($G726),$G726&gt;=TODAY(),$G726&lt;=EDATE(TODAY(),12)),COUNTIFS($G$2:$G$1001,"&gt;="&amp;TODAY(),$G$2:$G$1001,"&lt;"&amp;$G726,$A$2:$A$1001,"&lt;&gt;")+COUNTIFS($G$2:$G726,$G726,$A$2:$A726,"&lt;&gt;"),"")</f>
        <v/>
      </c>
      <c r="X726">
        <f>IF(AND($A726&lt;&gt;"",ISNUMBER($C726),$C726&gt;=DATE(2003,1,1)),COUNTIFS($C$2:$C726,"&gt;="&amp;DATE(2003,1,1),$A$2:$A726,"&lt;&gt;"),"")</f>
        <v>42</v>
      </c>
    </row>
    <row r="727" spans="1:24">
      <c r="A727" t="str">
        <f>IF(Kanatlar!A29="","",Kanatlar!A29)</f>
        <v>NICOLAS PAYS</v>
      </c>
      <c r="B727" t="str">
        <f>IF(Kanatlar!B29="","",Kanatlar!B29)</f>
        <v>FRANSA</v>
      </c>
      <c r="C727" s="2">
        <f>IF(Kanatlar!C29="","",Kanatlar!C29)</f>
        <v>37809</v>
      </c>
      <c r="D727">
        <f ca="1">IF(Kanatlar!D29="","",Kanatlar!D29)</f>
        <v>23</v>
      </c>
      <c r="E727" t="str">
        <f>IF(Kanatlar!E29="","",Kanatlar!E29)</f>
        <v>Kanat</v>
      </c>
      <c r="F727" t="str">
        <f>IF(Kanatlar!G29="","",Kanatlar!G29)</f>
        <v>MONTPELLIER HSC</v>
      </c>
      <c r="G727" s="2">
        <f>IF(Kanatlar!H29="","",Kanatlar!H29)</f>
        <v>46934</v>
      </c>
      <c r="H727" t="str">
        <f>IF(Kanatlar!I29="","",Kanatlar!I29)</f>
        <v/>
      </c>
      <c r="I727">
        <f>IF(Kanatlar!A29="","",Kanatlar!J29)</f>
        <v>0</v>
      </c>
      <c r="J727" t="str">
        <f>IF(Kanatlar!A29="","",Kanatlar!K29)</f>
        <v>Transfermarkt Profili</v>
      </c>
      <c r="K727" t="str">
        <f>IF(Kanatlar!L29="","",Kanatlar!L29)</f>
        <v/>
      </c>
      <c r="L727" t="str">
        <f>IF(Kanatlar!M29="","",Kanatlar!M29)</f>
        <v/>
      </c>
      <c r="M727" t="str">
        <f>IF(Kanatlar!N29="","",Kanatlar!N29)</f>
        <v/>
      </c>
      <c r="N727" t="str">
        <f>IF(Kanatlar!O29="","",Kanatlar!O29)</f>
        <v/>
      </c>
      <c r="O727" t="str">
        <f>IF(Kanatlar!P29="","",Kanatlar!P29)</f>
        <v/>
      </c>
      <c r="P727" t="str">
        <f>IF(Kanatlar!Q29="","",Kanatlar!Q29)</f>
        <v/>
      </c>
      <c r="Q727" t="str">
        <f>IF(Kanatlar!R29="","",Kanatlar!R29)</f>
        <v/>
      </c>
      <c r="R727" t="str">
        <f>IF(Kanatlar!S29="","",Kanatlar!S29)</f>
        <v/>
      </c>
      <c r="S727" t="str">
        <f>IF(Kanatlar!T29="","",Kanatlar!T29)</f>
        <v/>
      </c>
      <c r="T727" s="2" t="str">
        <f>IF(Kanatlar!U29="","",Kanatlar!U29)</f>
        <v/>
      </c>
      <c r="U727" t="s">
        <v>933</v>
      </c>
      <c r="V727">
        <v>29</v>
      </c>
      <c r="W727" t="str">
        <f ca="1">IF(AND($A727&lt;&gt;"",ISNUMBER($G727),$G727&gt;=TODAY(),$G727&lt;=EDATE(TODAY(),12)),COUNTIFS($G$2:$G$1001,"&gt;="&amp;TODAY(),$G$2:$G$1001,"&lt;"&amp;$G727,$A$2:$A$1001,"&lt;&gt;")+COUNTIFS($G$2:$G727,$G727,$A$2:$A727,"&lt;&gt;"),"")</f>
        <v/>
      </c>
      <c r="X727">
        <f>IF(AND($A727&lt;&gt;"",ISNUMBER($C727),$C727&gt;=DATE(2003,1,1)),COUNTIFS($C$2:$C727,"&gt;="&amp;DATE(2003,1,1),$A$2:$A727,"&lt;&gt;"),"")</f>
        <v>43</v>
      </c>
    </row>
    <row r="728" spans="1:24">
      <c r="A728" t="str">
        <f>IF(Kanatlar!A30="","",Kanatlar!A30)</f>
        <v>AMINE HARIT</v>
      </c>
      <c r="B728" t="str">
        <f>IF(Kanatlar!B30="","",Kanatlar!B30)</f>
        <v>FAS / FRANSA</v>
      </c>
      <c r="C728" s="2">
        <f>IF(Kanatlar!C30="","",Kanatlar!C30)</f>
        <v>35599</v>
      </c>
      <c r="D728">
        <f ca="1">IF(Kanatlar!D30="","",Kanatlar!D30)</f>
        <v>29</v>
      </c>
      <c r="E728" t="str">
        <f>IF(Kanatlar!E30="","",Kanatlar!E30)</f>
        <v>Kanat</v>
      </c>
      <c r="F728" t="str">
        <f>IF(Kanatlar!G30="","",Kanatlar!G30)</f>
        <v>OLYMPIQUE MARSEILLE</v>
      </c>
      <c r="G728" s="2">
        <f>IF(Kanatlar!H30="","",Kanatlar!H30)</f>
        <v>46568</v>
      </c>
      <c r="H728" t="str">
        <f>IF(Kanatlar!I30="","",Kanatlar!I30)</f>
        <v/>
      </c>
      <c r="I728">
        <f>IF(Kanatlar!A30="","",Kanatlar!J30)</f>
        <v>0</v>
      </c>
      <c r="J728" t="str">
        <f>IF(Kanatlar!A30="","",Kanatlar!K30)</f>
        <v>https://www.transfermarkt.com.tr/amine-harit/profil/spieler/372711</v>
      </c>
      <c r="K728" t="str">
        <f>IF(Kanatlar!L30="","",Kanatlar!L30)</f>
        <v/>
      </c>
      <c r="L728" t="str">
        <f>IF(Kanatlar!M30="","",Kanatlar!M30)</f>
        <v/>
      </c>
      <c r="M728" t="str">
        <f>IF(Kanatlar!N30="","",Kanatlar!N30)</f>
        <v/>
      </c>
      <c r="N728" t="str">
        <f>IF(Kanatlar!O30="","",Kanatlar!O30)</f>
        <v/>
      </c>
      <c r="O728" t="str">
        <f>IF(Kanatlar!P30="","",Kanatlar!P30)</f>
        <v/>
      </c>
      <c r="P728" t="str">
        <f>IF(Kanatlar!Q30="","",Kanatlar!Q30)</f>
        <v/>
      </c>
      <c r="Q728" t="str">
        <f>IF(Kanatlar!R30="","",Kanatlar!R30)</f>
        <v/>
      </c>
      <c r="R728" t="str">
        <f>IF(Kanatlar!S30="","",Kanatlar!S30)</f>
        <v/>
      </c>
      <c r="S728" t="str">
        <f>IF(Kanatlar!T30="","",Kanatlar!T30)</f>
        <v/>
      </c>
      <c r="T728" s="2" t="str">
        <f>IF(Kanatlar!U30="","",Kanatlar!U30)</f>
        <v/>
      </c>
      <c r="U728" t="s">
        <v>933</v>
      </c>
      <c r="V728">
        <v>30</v>
      </c>
      <c r="W728">
        <f ca="1">IF(AND($A728&lt;&gt;"",ISNUMBER($G728),$G728&gt;=TODAY(),$G728&lt;=EDATE(TODAY(),12)),COUNTIFS($G$2:$G$1001,"&gt;="&amp;TODAY(),$G$2:$G$1001,"&lt;"&amp;$G728,$A$2:$A$1001,"&lt;&gt;")+COUNTIFS($G$2:$G728,$G728,$A$2:$A728,"&lt;&gt;"),"")</f>
        <v>49</v>
      </c>
      <c r="X728" t="str">
        <f>IF(AND($A728&lt;&gt;"",ISNUMBER($C728),$C728&gt;=DATE(2003,1,1)),COUNTIFS($C$2:$C728,"&gt;="&amp;DATE(2003,1,1),$A$2:$A728,"&lt;&gt;"),"")</f>
        <v/>
      </c>
    </row>
    <row r="729" spans="1:24">
      <c r="A729" t="str">
        <f>IF(Kanatlar!A31="","",Kanatlar!A31)</f>
        <v>DIEGO LAINEZ</v>
      </c>
      <c r="B729" t="str">
        <f>IF(Kanatlar!B31="","",Kanatlar!B31)</f>
        <v>MEKSİKA / İSPANYA</v>
      </c>
      <c r="C729" s="2">
        <f>IF(Kanatlar!C31="","",Kanatlar!C31)</f>
        <v>36686</v>
      </c>
      <c r="D729">
        <f ca="1">IF(Kanatlar!D31="","",Kanatlar!D31)</f>
        <v>26</v>
      </c>
      <c r="E729" t="str">
        <f>IF(Kanatlar!E31="","",Kanatlar!E31)</f>
        <v>Kanat</v>
      </c>
      <c r="F729" t="str">
        <f>IF(Kanatlar!G31="","",Kanatlar!G31)</f>
        <v>TIGRES UANL</v>
      </c>
      <c r="G729" s="2">
        <f>IF(Kanatlar!H31="","",Kanatlar!H31)</f>
        <v>46568</v>
      </c>
      <c r="H729" t="str">
        <f>IF(Kanatlar!I31="","",Kanatlar!I31)</f>
        <v/>
      </c>
      <c r="I729">
        <f>IF(Kanatlar!A31="","",Kanatlar!J31)</f>
        <v>0</v>
      </c>
      <c r="J729" t="str">
        <f>IF(Kanatlar!A31="","",Kanatlar!K31)</f>
        <v>https://www.transfermarkt.com.tr/diego-lainez/profil/spieler/371174</v>
      </c>
      <c r="K729" t="str">
        <f>IF(Kanatlar!L31="","",Kanatlar!L31)</f>
        <v/>
      </c>
      <c r="L729" t="str">
        <f>IF(Kanatlar!M31="","",Kanatlar!M31)</f>
        <v/>
      </c>
      <c r="M729" t="str">
        <f>IF(Kanatlar!N31="","",Kanatlar!N31)</f>
        <v/>
      </c>
      <c r="N729" t="str">
        <f>IF(Kanatlar!O31="","",Kanatlar!O31)</f>
        <v/>
      </c>
      <c r="O729" t="str">
        <f>IF(Kanatlar!P31="","",Kanatlar!P31)</f>
        <v/>
      </c>
      <c r="P729" t="str">
        <f>IF(Kanatlar!Q31="","",Kanatlar!Q31)</f>
        <v/>
      </c>
      <c r="Q729" t="str">
        <f>IF(Kanatlar!R31="","",Kanatlar!R31)</f>
        <v/>
      </c>
      <c r="R729" t="str">
        <f>IF(Kanatlar!S31="","",Kanatlar!S31)</f>
        <v/>
      </c>
      <c r="S729" t="str">
        <f>IF(Kanatlar!T31="","",Kanatlar!T31)</f>
        <v/>
      </c>
      <c r="T729" s="2" t="str">
        <f>IF(Kanatlar!U31="","",Kanatlar!U31)</f>
        <v/>
      </c>
      <c r="U729" t="s">
        <v>933</v>
      </c>
      <c r="V729">
        <v>31</v>
      </c>
      <c r="W729">
        <f ca="1">IF(AND($A729&lt;&gt;"",ISNUMBER($G729),$G729&gt;=TODAY(),$G729&lt;=EDATE(TODAY(),12)),COUNTIFS($G$2:$G$1001,"&gt;="&amp;TODAY(),$G$2:$G$1001,"&lt;"&amp;$G729,$A$2:$A$1001,"&lt;&gt;")+COUNTIFS($G$2:$G729,$G729,$A$2:$A729,"&lt;&gt;"),"")</f>
        <v>50</v>
      </c>
      <c r="X729" t="str">
        <f>IF(AND($A729&lt;&gt;"",ISNUMBER($C729),$C729&gt;=DATE(2003,1,1)),COUNTIFS($C$2:$C729,"&gt;="&amp;DATE(2003,1,1),$A$2:$A729,"&lt;&gt;"),"")</f>
        <v/>
      </c>
    </row>
    <row r="730" spans="1:24">
      <c r="A730" t="str">
        <f>IF(Kanatlar!A32="","",Kanatlar!A32)</f>
        <v>YOUNES TAHA</v>
      </c>
      <c r="B730" t="str">
        <f>IF(Kanatlar!B32="","",Kanatlar!B32)</f>
        <v>FAS / HOLLANDA</v>
      </c>
      <c r="C730" s="2">
        <f>IF(Kanatlar!C32="","",Kanatlar!C32)</f>
        <v>37587</v>
      </c>
      <c r="D730">
        <f ca="1">IF(Kanatlar!D32="","",Kanatlar!D32)</f>
        <v>23</v>
      </c>
      <c r="E730" t="str">
        <f>IF(Kanatlar!E32="","",Kanatlar!E32)</f>
        <v>Kanat</v>
      </c>
      <c r="F730" t="str">
        <f>IF(Kanatlar!G32="","",Kanatlar!G32)</f>
        <v>FC TWENTE</v>
      </c>
      <c r="G730" s="2">
        <f>IF(Kanatlar!H32="","",Kanatlar!H32)</f>
        <v>46568</v>
      </c>
      <c r="H730" t="str">
        <f>IF(Kanatlar!I32="","",Kanatlar!I32)</f>
        <v/>
      </c>
      <c r="I730">
        <f>IF(Kanatlar!A32="","",Kanatlar!J32)</f>
        <v>0</v>
      </c>
      <c r="J730" t="str">
        <f>IF(Kanatlar!A32="","",Kanatlar!K32)</f>
        <v>https://www.transfermarkt.de/younes-taha/profil/spieler/866328</v>
      </c>
      <c r="K730" t="str">
        <f>IF(Kanatlar!L32="","",Kanatlar!L32)</f>
        <v/>
      </c>
      <c r="L730" t="str">
        <f>IF(Kanatlar!M32="","",Kanatlar!M32)</f>
        <v/>
      </c>
      <c r="M730" t="str">
        <f>IF(Kanatlar!N32="","",Kanatlar!N32)</f>
        <v/>
      </c>
      <c r="N730" t="str">
        <f>IF(Kanatlar!O32="","",Kanatlar!O32)</f>
        <v/>
      </c>
      <c r="O730" t="str">
        <f>IF(Kanatlar!P32="","",Kanatlar!P32)</f>
        <v/>
      </c>
      <c r="P730" t="str">
        <f>IF(Kanatlar!Q32="","",Kanatlar!Q32)</f>
        <v/>
      </c>
      <c r="Q730" t="str">
        <f>IF(Kanatlar!R32="","",Kanatlar!R32)</f>
        <v/>
      </c>
      <c r="R730" t="str">
        <f>IF(Kanatlar!S32="","",Kanatlar!S32)</f>
        <v/>
      </c>
      <c r="S730" t="str">
        <f>IF(Kanatlar!T32="","",Kanatlar!T32)</f>
        <v/>
      </c>
      <c r="T730" s="2" t="str">
        <f>IF(Kanatlar!U32="","",Kanatlar!U32)</f>
        <v/>
      </c>
      <c r="U730" t="s">
        <v>933</v>
      </c>
      <c r="V730">
        <v>32</v>
      </c>
      <c r="W730">
        <f ca="1">IF(AND($A730&lt;&gt;"",ISNUMBER($G730),$G730&gt;=TODAY(),$G730&lt;=EDATE(TODAY(),12)),COUNTIFS($G$2:$G$1001,"&gt;="&amp;TODAY(),$G$2:$G$1001,"&lt;"&amp;$G730,$A$2:$A$1001,"&lt;&gt;")+COUNTIFS($G$2:$G730,$G730,$A$2:$A730,"&lt;&gt;"),"")</f>
        <v>51</v>
      </c>
      <c r="X730" t="str">
        <f>IF(AND($A730&lt;&gt;"",ISNUMBER($C730),$C730&gt;=DATE(2003,1,1)),COUNTIFS($C$2:$C730,"&gt;="&amp;DATE(2003,1,1),$A$2:$A730,"&lt;&gt;"),"")</f>
        <v/>
      </c>
    </row>
    <row r="731" spans="1:24">
      <c r="A731" t="str">
        <f>IF(Kanatlar!A33="","",Kanatlar!A33)</f>
        <v>OUSSAMA IDRISSI</v>
      </c>
      <c r="B731" t="str">
        <f>IF(Kanatlar!B33="","",Kanatlar!B33)</f>
        <v>FAS / HOLLANDA</v>
      </c>
      <c r="C731" s="2">
        <f>IF(Kanatlar!C33="","",Kanatlar!C33)</f>
        <v>35121</v>
      </c>
      <c r="D731">
        <f ca="1">IF(Kanatlar!D33="","",Kanatlar!D33)</f>
        <v>30</v>
      </c>
      <c r="E731" t="str">
        <f>IF(Kanatlar!E33="","",Kanatlar!E33)</f>
        <v>Kanat</v>
      </c>
      <c r="F731" t="str">
        <f>IF(Kanatlar!G33="","",Kanatlar!G33)</f>
        <v>CF PACHUCA</v>
      </c>
      <c r="G731" s="2">
        <f>IF(Kanatlar!H33="","",Kanatlar!H33)</f>
        <v>46934</v>
      </c>
      <c r="H731" t="str">
        <f>IF(Kanatlar!I33="","",Kanatlar!I33)</f>
        <v/>
      </c>
      <c r="I731">
        <f>IF(Kanatlar!A33="","",Kanatlar!J33)</f>
        <v>0</v>
      </c>
      <c r="J731" t="str">
        <f>IF(Kanatlar!A33="","",Kanatlar!K33)</f>
        <v>https://www.transfermarkt.nl/oussama-idrissi/profil/spieler/241391</v>
      </c>
      <c r="K731" t="str">
        <f>IF(Kanatlar!L33="","",Kanatlar!L33)</f>
        <v/>
      </c>
      <c r="L731" t="str">
        <f>IF(Kanatlar!M33="","",Kanatlar!M33)</f>
        <v/>
      </c>
      <c r="M731" t="str">
        <f>IF(Kanatlar!N33="","",Kanatlar!N33)</f>
        <v/>
      </c>
      <c r="N731" t="str">
        <f>IF(Kanatlar!O33="","",Kanatlar!O33)</f>
        <v/>
      </c>
      <c r="O731" t="str">
        <f>IF(Kanatlar!P33="","",Kanatlar!P33)</f>
        <v/>
      </c>
      <c r="P731" t="str">
        <f>IF(Kanatlar!Q33="","",Kanatlar!Q33)</f>
        <v/>
      </c>
      <c r="Q731" t="str">
        <f>IF(Kanatlar!R33="","",Kanatlar!R33)</f>
        <v/>
      </c>
      <c r="R731" t="str">
        <f>IF(Kanatlar!S33="","",Kanatlar!S33)</f>
        <v/>
      </c>
      <c r="S731" t="str">
        <f>IF(Kanatlar!T33="","",Kanatlar!T33)</f>
        <v/>
      </c>
      <c r="T731" s="2" t="str">
        <f>IF(Kanatlar!U33="","",Kanatlar!U33)</f>
        <v/>
      </c>
      <c r="U731" t="s">
        <v>933</v>
      </c>
      <c r="V731">
        <v>33</v>
      </c>
      <c r="W731" t="str">
        <f ca="1">IF(AND($A731&lt;&gt;"",ISNUMBER($G731),$G731&gt;=TODAY(),$G731&lt;=EDATE(TODAY(),12)),COUNTIFS($G$2:$G$1001,"&gt;="&amp;TODAY(),$G$2:$G$1001,"&lt;"&amp;$G731,$A$2:$A$1001,"&lt;&gt;")+COUNTIFS($G$2:$G731,$G731,$A$2:$A731,"&lt;&gt;"),"")</f>
        <v/>
      </c>
      <c r="X731" t="str">
        <f>IF(AND($A731&lt;&gt;"",ISNUMBER($C731),$C731&gt;=DATE(2003,1,1)),COUNTIFS($C$2:$C731,"&gt;="&amp;DATE(2003,1,1),$A$2:$A731,"&lt;&gt;"),"")</f>
        <v/>
      </c>
    </row>
    <row r="732" spans="1:24">
      <c r="A732" t="str">
        <f>IF(Kanatlar!A34="","",Kanatlar!A34)</f>
        <v>YEFERSON SOTELDO</v>
      </c>
      <c r="B732" t="str">
        <f>IF(Kanatlar!B34="","",Kanatlar!B34)</f>
        <v>VENEZUELA</v>
      </c>
      <c r="C732" s="2">
        <f>IF(Kanatlar!C34="","",Kanatlar!C34)</f>
        <v>35611</v>
      </c>
      <c r="D732">
        <f ca="1">IF(Kanatlar!D34="","",Kanatlar!D34)</f>
        <v>29</v>
      </c>
      <c r="E732" t="str">
        <f>IF(Kanatlar!E34="","",Kanatlar!E34)</f>
        <v>Kanat</v>
      </c>
      <c r="F732" t="str">
        <f>IF(Kanatlar!G34="","",Kanatlar!G34)</f>
        <v>FLUMINENSE</v>
      </c>
      <c r="G732" s="2">
        <f>IF(Kanatlar!H34="","",Kanatlar!H34)</f>
        <v>47118</v>
      </c>
      <c r="H732" t="str">
        <f>IF(Kanatlar!I34="","",Kanatlar!I34)</f>
        <v/>
      </c>
      <c r="I732">
        <f>IF(Kanatlar!A34="","",Kanatlar!J34)</f>
        <v>0</v>
      </c>
      <c r="J732" t="str">
        <f>IF(Kanatlar!A34="","",Kanatlar!K34)</f>
        <v>https://www.transfermarkt.com.br/yeferson-soteldo/profil/spieler/312294</v>
      </c>
      <c r="K732" t="str">
        <f>IF(Kanatlar!L34="","",Kanatlar!L34)</f>
        <v/>
      </c>
      <c r="L732" t="str">
        <f>IF(Kanatlar!M34="","",Kanatlar!M34)</f>
        <v/>
      </c>
      <c r="M732" t="str">
        <f>IF(Kanatlar!N34="","",Kanatlar!N34)</f>
        <v/>
      </c>
      <c r="N732" t="str">
        <f>IF(Kanatlar!O34="","",Kanatlar!O34)</f>
        <v/>
      </c>
      <c r="O732" t="str">
        <f>IF(Kanatlar!P34="","",Kanatlar!P34)</f>
        <v/>
      </c>
      <c r="P732" t="str">
        <f>IF(Kanatlar!Q34="","",Kanatlar!Q34)</f>
        <v/>
      </c>
      <c r="Q732" t="str">
        <f>IF(Kanatlar!R34="","",Kanatlar!R34)</f>
        <v/>
      </c>
      <c r="R732" t="str">
        <f>IF(Kanatlar!S34="","",Kanatlar!S34)</f>
        <v/>
      </c>
      <c r="S732" t="str">
        <f>IF(Kanatlar!T34="","",Kanatlar!T34)</f>
        <v/>
      </c>
      <c r="T732" s="2" t="str">
        <f>IF(Kanatlar!U34="","",Kanatlar!U34)</f>
        <v/>
      </c>
      <c r="U732" t="s">
        <v>933</v>
      </c>
      <c r="V732">
        <v>34</v>
      </c>
      <c r="W732" t="str">
        <f ca="1">IF(AND($A732&lt;&gt;"",ISNUMBER($G732),$G732&gt;=TODAY(),$G732&lt;=EDATE(TODAY(),12)),COUNTIFS($G$2:$G$1001,"&gt;="&amp;TODAY(),$G$2:$G$1001,"&lt;"&amp;$G732,$A$2:$A$1001,"&lt;&gt;")+COUNTIFS($G$2:$G732,$G732,$A$2:$A732,"&lt;&gt;"),"")</f>
        <v/>
      </c>
      <c r="X732" t="str">
        <f>IF(AND($A732&lt;&gt;"",ISNUMBER($C732),$C732&gt;=DATE(2003,1,1)),COUNTIFS($C$2:$C732,"&gt;="&amp;DATE(2003,1,1),$A$2:$A732,"&lt;&gt;"),"")</f>
        <v/>
      </c>
    </row>
    <row r="733" spans="1:24">
      <c r="A733" t="str">
        <f>IF(Kanatlar!A35="","",Kanatlar!A35)</f>
        <v>WILLIAN</v>
      </c>
      <c r="B733" t="str">
        <f>IF(Kanatlar!B35="","",Kanatlar!B35)</f>
        <v>BREZİLYA</v>
      </c>
      <c r="C733" s="2">
        <f>IF(Kanatlar!C35="","",Kanatlar!C35)</f>
        <v>32364</v>
      </c>
      <c r="D733">
        <f ca="1">IF(Kanatlar!D35="","",Kanatlar!D35)</f>
        <v>38</v>
      </c>
      <c r="E733" t="str">
        <f>IF(Kanatlar!E35="","",Kanatlar!E35)</f>
        <v>Kanat</v>
      </c>
      <c r="F733" t="str">
        <f>IF(Kanatlar!G35="","",Kanatlar!G35)</f>
        <v>GRÊMIO</v>
      </c>
      <c r="G733" s="2">
        <f>IF(Kanatlar!H35="","",Kanatlar!H35)</f>
        <v>46387</v>
      </c>
      <c r="H733" t="str">
        <f>IF(Kanatlar!I35="","",Kanatlar!I35)</f>
        <v/>
      </c>
      <c r="I733">
        <f>IF(Kanatlar!A35="","",Kanatlar!J35)</f>
        <v>0</v>
      </c>
      <c r="J733" t="str">
        <f>IF(Kanatlar!A35="","",Kanatlar!K35)</f>
        <v>https://www.transfermarkt.com.br/willian/profil/spieler/52769</v>
      </c>
      <c r="K733" t="str">
        <f>IF(Kanatlar!L35="","",Kanatlar!L35)</f>
        <v/>
      </c>
      <c r="L733" t="str">
        <f>IF(Kanatlar!M35="","",Kanatlar!M35)</f>
        <v/>
      </c>
      <c r="M733" t="str">
        <f>IF(Kanatlar!N35="","",Kanatlar!N35)</f>
        <v/>
      </c>
      <c r="N733" t="str">
        <f>IF(Kanatlar!O35="","",Kanatlar!O35)</f>
        <v/>
      </c>
      <c r="O733" t="str">
        <f>IF(Kanatlar!P35="","",Kanatlar!P35)</f>
        <v/>
      </c>
      <c r="P733" t="str">
        <f>IF(Kanatlar!Q35="","",Kanatlar!Q35)</f>
        <v/>
      </c>
      <c r="Q733" t="str">
        <f>IF(Kanatlar!R35="","",Kanatlar!R35)</f>
        <v/>
      </c>
      <c r="R733" t="str">
        <f>IF(Kanatlar!S35="","",Kanatlar!S35)</f>
        <v/>
      </c>
      <c r="S733" t="str">
        <f>IF(Kanatlar!T35="","",Kanatlar!T35)</f>
        <v/>
      </c>
      <c r="T733" s="2" t="str">
        <f>IF(Kanatlar!U35="","",Kanatlar!U35)</f>
        <v/>
      </c>
      <c r="U733" t="s">
        <v>933</v>
      </c>
      <c r="V733">
        <v>35</v>
      </c>
      <c r="W733">
        <f ca="1">IF(AND($A733&lt;&gt;"",ISNUMBER($G733),$G733&gt;=TODAY(),$G733&lt;=EDATE(TODAY(),12)),COUNTIFS($G$2:$G$1001,"&gt;="&amp;TODAY(),$G$2:$G$1001,"&lt;"&amp;$G733,$A$2:$A$1001,"&lt;&gt;")+COUNTIFS($G$2:$G733,$G733,$A$2:$A733,"&lt;&gt;"),"")</f>
        <v>9</v>
      </c>
      <c r="X733" t="str">
        <f>IF(AND($A733&lt;&gt;"",ISNUMBER($C733),$C733&gt;=DATE(2003,1,1)),COUNTIFS($C$2:$C733,"&gt;="&amp;DATE(2003,1,1),$A$2:$A733,"&lt;&gt;"),"")</f>
        <v/>
      </c>
    </row>
    <row r="734" spans="1:24">
      <c r="A734" t="str">
        <f>IF(Kanatlar!A36="","",Kanatlar!A36)</f>
        <v>VITINHO</v>
      </c>
      <c r="B734" t="str">
        <f>IF(Kanatlar!B36="","",Kanatlar!B36)</f>
        <v>BREZİLYA</v>
      </c>
      <c r="C734" s="2">
        <f>IF(Kanatlar!C36="","",Kanatlar!C36)</f>
        <v>34251</v>
      </c>
      <c r="D734">
        <f ca="1">IF(Kanatlar!D36="","",Kanatlar!D36)</f>
        <v>32</v>
      </c>
      <c r="E734" t="str">
        <f>IF(Kanatlar!E36="","",Kanatlar!E36)</f>
        <v>Kanat</v>
      </c>
      <c r="F734" t="str">
        <f>IF(Kanatlar!G36="","",Kanatlar!G36)</f>
        <v>CORINTHIANS</v>
      </c>
      <c r="G734" s="2">
        <f>IF(Kanatlar!H36="","",Kanatlar!H36)</f>
        <v>46387</v>
      </c>
      <c r="H734" t="str">
        <f>IF(Kanatlar!I36="","",Kanatlar!I36)</f>
        <v/>
      </c>
      <c r="I734">
        <f>IF(Kanatlar!A36="","",Kanatlar!J36)</f>
        <v>0</v>
      </c>
      <c r="J734" t="str">
        <f>IF(Kanatlar!A36="","",Kanatlar!K36)</f>
        <v>https://www.transfermarkt.com.br/vitinho/profil/spieler/213605</v>
      </c>
      <c r="K734" t="str">
        <f>IF(Kanatlar!L36="","",Kanatlar!L36)</f>
        <v/>
      </c>
      <c r="L734" t="str">
        <f>IF(Kanatlar!M36="","",Kanatlar!M36)</f>
        <v/>
      </c>
      <c r="M734" t="str">
        <f>IF(Kanatlar!N36="","",Kanatlar!N36)</f>
        <v/>
      </c>
      <c r="N734" t="str">
        <f>IF(Kanatlar!O36="","",Kanatlar!O36)</f>
        <v/>
      </c>
      <c r="O734" t="str">
        <f>IF(Kanatlar!P36="","",Kanatlar!P36)</f>
        <v/>
      </c>
      <c r="P734" t="str">
        <f>IF(Kanatlar!Q36="","",Kanatlar!Q36)</f>
        <v/>
      </c>
      <c r="Q734" t="str">
        <f>IF(Kanatlar!R36="","",Kanatlar!R36)</f>
        <v/>
      </c>
      <c r="R734" t="str">
        <f>IF(Kanatlar!S36="","",Kanatlar!S36)</f>
        <v/>
      </c>
      <c r="S734" t="str">
        <f>IF(Kanatlar!T36="","",Kanatlar!T36)</f>
        <v/>
      </c>
      <c r="T734" s="2" t="str">
        <f>IF(Kanatlar!U36="","",Kanatlar!U36)</f>
        <v/>
      </c>
      <c r="U734" t="s">
        <v>933</v>
      </c>
      <c r="V734">
        <v>36</v>
      </c>
      <c r="W734">
        <f ca="1">IF(AND($A734&lt;&gt;"",ISNUMBER($G734),$G734&gt;=TODAY(),$G734&lt;=EDATE(TODAY(),12)),COUNTIFS($G$2:$G$1001,"&gt;="&amp;TODAY(),$G$2:$G$1001,"&lt;"&amp;$G734,$A$2:$A$1001,"&lt;&gt;")+COUNTIFS($G$2:$G734,$G734,$A$2:$A734,"&lt;&gt;"),"")</f>
        <v>10</v>
      </c>
      <c r="X734" t="str">
        <f>IF(AND($A734&lt;&gt;"",ISNUMBER($C734),$C734&gt;=DATE(2003,1,1)),COUNTIFS($C$2:$C734,"&gt;="&amp;DATE(2003,1,1),$A$2:$A734,"&lt;&gt;"),"")</f>
        <v/>
      </c>
    </row>
    <row r="735" spans="1:24">
      <c r="A735" t="str">
        <f>IF(Kanatlar!A37="","",Kanatlar!A37)</f>
        <v>RAYN KIZITO</v>
      </c>
      <c r="B735" t="str">
        <f>IF(Kanatlar!B37="","",Kanatlar!B37)</f>
        <v>UGANDA</v>
      </c>
      <c r="C735" s="2">
        <f>IF(Kanatlar!C37="","",Kanatlar!C37)</f>
        <v>38353</v>
      </c>
      <c r="D735">
        <f ca="1">IF(Kanatlar!D37="","",Kanatlar!D37)</f>
        <v>21</v>
      </c>
      <c r="E735" t="str">
        <f>IF(Kanatlar!E37="","",Kanatlar!E37)</f>
        <v>Kanat</v>
      </c>
      <c r="F735" t="str">
        <f>IF(Kanatlar!G37="","",Kanatlar!G37)</f>
        <v xml:space="preserve">- </v>
      </c>
      <c r="G735" s="2" t="str">
        <f>IF(Kanatlar!H37="","",Kanatlar!H37)</f>
        <v>-</v>
      </c>
      <c r="H735" t="str">
        <f>IF(Kanatlar!I37="","",Kanatlar!I37)</f>
        <v/>
      </c>
      <c r="I735">
        <f>IF(Kanatlar!A37="","",Kanatlar!J37)</f>
        <v>0</v>
      </c>
      <c r="J735" t="str">
        <f>IF(Kanatlar!A37="","",Kanatlar!K37)</f>
        <v>https://www.transfermarkt.com/rayn-kizito/profil/spieler/1325325</v>
      </c>
      <c r="K735" t="str">
        <f>IF(Kanatlar!L37="","",Kanatlar!L37)</f>
        <v/>
      </c>
      <c r="L735" t="str">
        <f>IF(Kanatlar!M37="","",Kanatlar!M37)</f>
        <v/>
      </c>
      <c r="M735" t="str">
        <f>IF(Kanatlar!N37="","",Kanatlar!N37)</f>
        <v/>
      </c>
      <c r="N735" t="str">
        <f>IF(Kanatlar!O37="","",Kanatlar!O37)</f>
        <v/>
      </c>
      <c r="O735" t="str">
        <f>IF(Kanatlar!P37="","",Kanatlar!P37)</f>
        <v/>
      </c>
      <c r="P735" t="str">
        <f>IF(Kanatlar!Q37="","",Kanatlar!Q37)</f>
        <v/>
      </c>
      <c r="Q735" t="str">
        <f>IF(Kanatlar!R37="","",Kanatlar!R37)</f>
        <v/>
      </c>
      <c r="R735" t="str">
        <f>IF(Kanatlar!S37="","",Kanatlar!S37)</f>
        <v/>
      </c>
      <c r="S735" t="str">
        <f>IF(Kanatlar!T37="","",Kanatlar!T37)</f>
        <v/>
      </c>
      <c r="T735" s="2" t="str">
        <f>IF(Kanatlar!U37="","",Kanatlar!U37)</f>
        <v/>
      </c>
      <c r="U735" t="s">
        <v>933</v>
      </c>
      <c r="V735">
        <v>37</v>
      </c>
      <c r="W735" t="str">
        <f ca="1">IF(AND($A735&lt;&gt;"",ISNUMBER($G735),$G735&gt;=TODAY(),$G735&lt;=EDATE(TODAY(),12)),COUNTIFS($G$2:$G$1001,"&gt;="&amp;TODAY(),$G$2:$G$1001,"&lt;"&amp;$G735,$A$2:$A$1001,"&lt;&gt;")+COUNTIFS($G$2:$G735,$G735,$A$2:$A735,"&lt;&gt;"),"")</f>
        <v/>
      </c>
      <c r="X735">
        <f>IF(AND($A735&lt;&gt;"",ISNUMBER($C735),$C735&gt;=DATE(2003,1,1)),COUNTIFS($C$2:$C735,"&gt;="&amp;DATE(2003,1,1),$A$2:$A735,"&lt;&gt;"),"")</f>
        <v>44</v>
      </c>
    </row>
    <row r="736" spans="1:24">
      <c r="A736" t="str">
        <f>IF(Kanatlar!A38="","",Kanatlar!A38)</f>
        <v>RONALD</v>
      </c>
      <c r="B736" t="str">
        <f>IF(Kanatlar!B38="","",Kanatlar!B38)</f>
        <v>BREZİLYA</v>
      </c>
      <c r="C736" s="2">
        <f>IF(Kanatlar!C38="","",Kanatlar!C38)</f>
        <v>37056</v>
      </c>
      <c r="D736">
        <f ca="1">IF(Kanatlar!D38="","",Kanatlar!D38)</f>
        <v>25</v>
      </c>
      <c r="E736" t="str">
        <f>IF(Kanatlar!E38="","",Kanatlar!E38)</f>
        <v>Kanat</v>
      </c>
      <c r="F736" t="str">
        <f>IF(Kanatlar!G38="","",Kanatlar!G38)</f>
        <v>SWANSEA CITY</v>
      </c>
      <c r="G736" s="2">
        <f>IF(Kanatlar!H38="","",Kanatlar!H38)</f>
        <v>46568</v>
      </c>
      <c r="H736" t="str">
        <f>IF(Kanatlar!I38="","",Kanatlar!I38)</f>
        <v/>
      </c>
      <c r="I736">
        <f>IF(Kanatlar!A38="","",Kanatlar!J38)</f>
        <v>0</v>
      </c>
      <c r="J736" t="str">
        <f>IF(Kanatlar!A38="","",Kanatlar!K38)</f>
        <v>https://www.transfermarkt.com/ronald/profil/spieler/862554</v>
      </c>
      <c r="K736" t="str">
        <f>IF(Kanatlar!L38="","",Kanatlar!L38)</f>
        <v/>
      </c>
      <c r="L736" t="str">
        <f>IF(Kanatlar!M38="","",Kanatlar!M38)</f>
        <v/>
      </c>
      <c r="M736" t="str">
        <f>IF(Kanatlar!N38="","",Kanatlar!N38)</f>
        <v/>
      </c>
      <c r="N736" t="str">
        <f>IF(Kanatlar!O38="","",Kanatlar!O38)</f>
        <v/>
      </c>
      <c r="O736" t="str">
        <f>IF(Kanatlar!P38="","",Kanatlar!P38)</f>
        <v/>
      </c>
      <c r="P736" t="str">
        <f>IF(Kanatlar!Q38="","",Kanatlar!Q38)</f>
        <v/>
      </c>
      <c r="Q736" t="str">
        <f>IF(Kanatlar!R38="","",Kanatlar!R38)</f>
        <v/>
      </c>
      <c r="R736" t="str">
        <f>IF(Kanatlar!S38="","",Kanatlar!S38)</f>
        <v/>
      </c>
      <c r="S736" t="str">
        <f>IF(Kanatlar!T38="","",Kanatlar!T38)</f>
        <v/>
      </c>
      <c r="T736" s="2" t="str">
        <f>IF(Kanatlar!U38="","",Kanatlar!U38)</f>
        <v/>
      </c>
      <c r="U736" t="s">
        <v>933</v>
      </c>
      <c r="V736">
        <v>38</v>
      </c>
      <c r="W736">
        <f ca="1">IF(AND($A736&lt;&gt;"",ISNUMBER($G736),$G736&gt;=TODAY(),$G736&lt;=EDATE(TODAY(),12)),COUNTIFS($G$2:$G$1001,"&gt;="&amp;TODAY(),$G$2:$G$1001,"&lt;"&amp;$G736,$A$2:$A$1001,"&lt;&gt;")+COUNTIFS($G$2:$G736,$G736,$A$2:$A736,"&lt;&gt;"),"")</f>
        <v>52</v>
      </c>
      <c r="X736" t="str">
        <f>IF(AND($A736&lt;&gt;"",ISNUMBER($C736),$C736&gt;=DATE(2003,1,1)),COUNTIFS($C$2:$C736,"&gt;="&amp;DATE(2003,1,1),$A$2:$A736,"&lt;&gt;"),"")</f>
        <v/>
      </c>
    </row>
    <row r="737" spans="1:24">
      <c r="A737" t="str">
        <f>IF(Kanatlar!A39="","",Kanatlar!A39)</f>
        <v>STIPE BIUK</v>
      </c>
      <c r="B737" t="str">
        <f>IF(Kanatlar!B39="","",Kanatlar!B39)</f>
        <v>HIRVATİSTAN</v>
      </c>
      <c r="C737" s="2">
        <f>IF(Kanatlar!C39="","",Kanatlar!C39)</f>
        <v>37616</v>
      </c>
      <c r="D737">
        <f ca="1">IF(Kanatlar!D39="","",Kanatlar!D39)</f>
        <v>23</v>
      </c>
      <c r="E737" t="str">
        <f>IF(Kanatlar!E39="","",Kanatlar!E39)</f>
        <v>Kanat</v>
      </c>
      <c r="F737" t="str">
        <f>IF(Kanatlar!G39="","",Kanatlar!G39)</f>
        <v>REAL VALLADOLID</v>
      </c>
      <c r="G737" s="2">
        <f>IF(Kanatlar!H39="","",Kanatlar!H39)</f>
        <v>47299</v>
      </c>
      <c r="H737" t="str">
        <f>IF(Kanatlar!I39="","",Kanatlar!I39)</f>
        <v/>
      </c>
      <c r="I737">
        <f>IF(Kanatlar!A39="","",Kanatlar!J39)</f>
        <v>0</v>
      </c>
      <c r="J737" t="str">
        <f>IF(Kanatlar!A39="","",Kanatlar!K39)</f>
        <v>https://www.transfermarkt.com.tr/stipe-biuk/profil/spieler/587520</v>
      </c>
      <c r="K737" t="str">
        <f>IF(Kanatlar!L39="","",Kanatlar!L39)</f>
        <v/>
      </c>
      <c r="L737" t="str">
        <f>IF(Kanatlar!M39="","",Kanatlar!M39)</f>
        <v/>
      </c>
      <c r="M737" t="str">
        <f>IF(Kanatlar!N39="","",Kanatlar!N39)</f>
        <v/>
      </c>
      <c r="N737" t="str">
        <f>IF(Kanatlar!O39="","",Kanatlar!O39)</f>
        <v/>
      </c>
      <c r="O737" t="str">
        <f>IF(Kanatlar!P39="","",Kanatlar!P39)</f>
        <v/>
      </c>
      <c r="P737" t="str">
        <f>IF(Kanatlar!Q39="","",Kanatlar!Q39)</f>
        <v/>
      </c>
      <c r="Q737" t="str">
        <f>IF(Kanatlar!R39="","",Kanatlar!R39)</f>
        <v/>
      </c>
      <c r="R737" t="str">
        <f>IF(Kanatlar!S39="","",Kanatlar!S39)</f>
        <v/>
      </c>
      <c r="S737" t="str">
        <f>IF(Kanatlar!T39="","",Kanatlar!T39)</f>
        <v/>
      </c>
      <c r="T737" s="2" t="str">
        <f>IF(Kanatlar!U39="","",Kanatlar!U39)</f>
        <v/>
      </c>
      <c r="U737" t="s">
        <v>933</v>
      </c>
      <c r="V737">
        <v>39</v>
      </c>
      <c r="W737" t="str">
        <f ca="1">IF(AND($A737&lt;&gt;"",ISNUMBER($G737),$G737&gt;=TODAY(),$G737&lt;=EDATE(TODAY(),12)),COUNTIFS($G$2:$G$1001,"&gt;="&amp;TODAY(),$G$2:$G$1001,"&lt;"&amp;$G737,$A$2:$A$1001,"&lt;&gt;")+COUNTIFS($G$2:$G737,$G737,$A$2:$A737,"&lt;&gt;"),"")</f>
        <v/>
      </c>
      <c r="X737" t="str">
        <f>IF(AND($A737&lt;&gt;"",ISNUMBER($C737),$C737&gt;=DATE(2003,1,1)),COUNTIFS($C$2:$C737,"&gt;="&amp;DATE(2003,1,1),$A$2:$A737,"&lt;&gt;"),"")</f>
        <v/>
      </c>
    </row>
    <row r="738" spans="1:24">
      <c r="A738" t="str">
        <f>IF(Kanatlar!A40="","",Kanatlar!A40)</f>
        <v>MUSA BARROW</v>
      </c>
      <c r="B738" t="str">
        <f>IF(Kanatlar!B40="","",Kanatlar!B40)</f>
        <v>GAMBİYA</v>
      </c>
      <c r="C738" s="2">
        <f>IF(Kanatlar!C40="","",Kanatlar!C40)</f>
        <v>36113</v>
      </c>
      <c r="D738">
        <f ca="1">IF(Kanatlar!D40="","",Kanatlar!D40)</f>
        <v>27</v>
      </c>
      <c r="E738" t="str">
        <f>IF(Kanatlar!E40="","",Kanatlar!E40)</f>
        <v>Kanat</v>
      </c>
      <c r="F738" t="str">
        <f>IF(Kanatlar!G40="","",Kanatlar!G40)</f>
        <v>KULÜPSÜZ</v>
      </c>
      <c r="G738" s="2" t="str">
        <f>IF(Kanatlar!H40="","",Kanatlar!H40)</f>
        <v>-</v>
      </c>
      <c r="H738" t="str">
        <f>IF(Kanatlar!I40="","",Kanatlar!I40)</f>
        <v/>
      </c>
      <c r="I738">
        <f>IF(Kanatlar!A40="","",Kanatlar!J40)</f>
        <v>0</v>
      </c>
      <c r="J738" t="str">
        <f>IF(Kanatlar!A40="","",Kanatlar!K40)</f>
        <v>https://www.transfermarkt.de/musa-barrow/profil/spieler/486624</v>
      </c>
      <c r="K738" t="str">
        <f>IF(Kanatlar!L40="","",Kanatlar!L40)</f>
        <v/>
      </c>
      <c r="L738" t="str">
        <f>IF(Kanatlar!M40="","",Kanatlar!M40)</f>
        <v/>
      </c>
      <c r="M738" t="str">
        <f>IF(Kanatlar!N40="","",Kanatlar!N40)</f>
        <v/>
      </c>
      <c r="N738" t="str">
        <f>IF(Kanatlar!O40="","",Kanatlar!O40)</f>
        <v/>
      </c>
      <c r="O738" t="str">
        <f>IF(Kanatlar!P40="","",Kanatlar!P40)</f>
        <v/>
      </c>
      <c r="P738" t="str">
        <f>IF(Kanatlar!Q40="","",Kanatlar!Q40)</f>
        <v/>
      </c>
      <c r="Q738" t="str">
        <f>IF(Kanatlar!R40="","",Kanatlar!R40)</f>
        <v/>
      </c>
      <c r="R738" t="str">
        <f>IF(Kanatlar!S40="","",Kanatlar!S40)</f>
        <v/>
      </c>
      <c r="S738" t="str">
        <f>IF(Kanatlar!T40="","",Kanatlar!T40)</f>
        <v/>
      </c>
      <c r="T738" s="2" t="str">
        <f>IF(Kanatlar!U40="","",Kanatlar!U40)</f>
        <v/>
      </c>
      <c r="U738" t="s">
        <v>933</v>
      </c>
      <c r="V738">
        <v>40</v>
      </c>
      <c r="W738" t="str">
        <f ca="1">IF(AND($A738&lt;&gt;"",ISNUMBER($G738),$G738&gt;=TODAY(),$G738&lt;=EDATE(TODAY(),12)),COUNTIFS($G$2:$G$1001,"&gt;="&amp;TODAY(),$G$2:$G$1001,"&lt;"&amp;$G738,$A$2:$A$1001,"&lt;&gt;")+COUNTIFS($G$2:$G738,$G738,$A$2:$A738,"&lt;&gt;"),"")</f>
        <v/>
      </c>
      <c r="X738" t="str">
        <f>IF(AND($A738&lt;&gt;"",ISNUMBER($C738),$C738&gt;=DATE(2003,1,1)),COUNTIFS($C$2:$C738,"&gt;="&amp;DATE(2003,1,1),$A$2:$A738,"&lt;&gt;"),"")</f>
        <v/>
      </c>
    </row>
    <row r="739" spans="1:24">
      <c r="A739" t="str">
        <f>IF(Kanatlar!A41="","",Kanatlar!A41)</f>
        <v>JESPER KARLSSON</v>
      </c>
      <c r="B739" t="str">
        <f>IF(Kanatlar!B41="","",Kanatlar!B41)</f>
        <v>İSVEÇ</v>
      </c>
      <c r="C739" s="2">
        <f>IF(Kanatlar!C41="","",Kanatlar!C41)</f>
        <v>36001</v>
      </c>
      <c r="D739">
        <f ca="1">IF(Kanatlar!D41="","",Kanatlar!D41)</f>
        <v>28</v>
      </c>
      <c r="E739" t="str">
        <f>IF(Kanatlar!E41="","",Kanatlar!E41)</f>
        <v>Kanat</v>
      </c>
      <c r="F739" t="str">
        <f>IF(Kanatlar!G41="","",Kanatlar!G41)</f>
        <v>BOLOGNA FC</v>
      </c>
      <c r="G739" s="2">
        <f>IF(Kanatlar!H41="","",Kanatlar!H41)</f>
        <v>46934</v>
      </c>
      <c r="H739" t="str">
        <f>IF(Kanatlar!I41="","",Kanatlar!I41)</f>
        <v/>
      </c>
      <c r="I739">
        <f>IF(Kanatlar!A41="","",Kanatlar!J41)</f>
        <v>0</v>
      </c>
      <c r="J739" t="str">
        <f>IF(Kanatlar!A41="","",Kanatlar!K41)</f>
        <v>https://www.transfermarkt.it/jesper-karlsson/profil/spieler/367992</v>
      </c>
      <c r="K739" t="str">
        <f>IF(Kanatlar!L41="","",Kanatlar!L41)</f>
        <v/>
      </c>
      <c r="L739" t="str">
        <f>IF(Kanatlar!M41="","",Kanatlar!M41)</f>
        <v/>
      </c>
      <c r="M739" t="str">
        <f>IF(Kanatlar!N41="","",Kanatlar!N41)</f>
        <v/>
      </c>
      <c r="N739" t="str">
        <f>IF(Kanatlar!O41="","",Kanatlar!O41)</f>
        <v/>
      </c>
      <c r="O739" t="str">
        <f>IF(Kanatlar!P41="","",Kanatlar!P41)</f>
        <v/>
      </c>
      <c r="P739" t="str">
        <f>IF(Kanatlar!Q41="","",Kanatlar!Q41)</f>
        <v/>
      </c>
      <c r="Q739" t="str">
        <f>IF(Kanatlar!R41="","",Kanatlar!R41)</f>
        <v/>
      </c>
      <c r="R739" t="str">
        <f>IF(Kanatlar!S41="","",Kanatlar!S41)</f>
        <v/>
      </c>
      <c r="S739" t="str">
        <f>IF(Kanatlar!T41="","",Kanatlar!T41)</f>
        <v/>
      </c>
      <c r="T739" s="2" t="str">
        <f>IF(Kanatlar!U41="","",Kanatlar!U41)</f>
        <v/>
      </c>
      <c r="U739" t="s">
        <v>933</v>
      </c>
      <c r="V739">
        <v>41</v>
      </c>
      <c r="W739" t="str">
        <f ca="1">IF(AND($A739&lt;&gt;"",ISNUMBER($G739),$G739&gt;=TODAY(),$G739&lt;=EDATE(TODAY(),12)),COUNTIFS($G$2:$G$1001,"&gt;="&amp;TODAY(),$G$2:$G$1001,"&lt;"&amp;$G739,$A$2:$A$1001,"&lt;&gt;")+COUNTIFS($G$2:$G739,$G739,$A$2:$A739,"&lt;&gt;"),"")</f>
        <v/>
      </c>
      <c r="X739" t="str">
        <f>IF(AND($A739&lt;&gt;"",ISNUMBER($C739),$C739&gt;=DATE(2003,1,1)),COUNTIFS($C$2:$C739,"&gt;="&amp;DATE(2003,1,1),$A$2:$A739,"&lt;&gt;"),"")</f>
        <v/>
      </c>
    </row>
    <row r="740" spans="1:24">
      <c r="A740" t="str">
        <f>IF(Kanatlar!A42="","",Kanatlar!A42)</f>
        <v>OUSSEYNOU NIANG</v>
      </c>
      <c r="B740" t="str">
        <f>IF(Kanatlar!B42="","",Kanatlar!B42)</f>
        <v>SENEGAL</v>
      </c>
      <c r="C740" s="2">
        <f>IF(Kanatlar!C42="","",Kanatlar!C42)</f>
        <v>37176</v>
      </c>
      <c r="D740">
        <f ca="1">IF(Kanatlar!D42="","",Kanatlar!D42)</f>
        <v>24</v>
      </c>
      <c r="E740" t="str">
        <f>IF(Kanatlar!E42="","",Kanatlar!E42)</f>
        <v>Kanat</v>
      </c>
      <c r="F740" t="str">
        <f>IF(Kanatlar!G42="","",Kanatlar!G42)</f>
        <v>ZULTE WAREGEM</v>
      </c>
      <c r="G740" s="2" t="str">
        <f>IF(Kanatlar!H42="","",Kanatlar!H42)</f>
        <v>-</v>
      </c>
      <c r="H740" t="str">
        <f>IF(Kanatlar!I42="","",Kanatlar!I42)</f>
        <v/>
      </c>
      <c r="I740">
        <f>IF(Kanatlar!A42="","",Kanatlar!J42)</f>
        <v>0</v>
      </c>
      <c r="J740" t="str">
        <f>IF(Kanatlar!A42="","",Kanatlar!K42)</f>
        <v>https://www.transfermarkt.com.tr/ousseynou-niang/profil/spieler/509463</v>
      </c>
      <c r="K740" t="str">
        <f>IF(Kanatlar!L42="","",Kanatlar!L42)</f>
        <v/>
      </c>
      <c r="L740" t="str">
        <f>IF(Kanatlar!M42="","",Kanatlar!M42)</f>
        <v/>
      </c>
      <c r="M740" t="str">
        <f>IF(Kanatlar!N42="","",Kanatlar!N42)</f>
        <v/>
      </c>
      <c r="N740" t="str">
        <f>IF(Kanatlar!O42="","",Kanatlar!O42)</f>
        <v/>
      </c>
      <c r="O740" t="str">
        <f>IF(Kanatlar!P42="","",Kanatlar!P42)</f>
        <v/>
      </c>
      <c r="P740" t="str">
        <f>IF(Kanatlar!Q42="","",Kanatlar!Q42)</f>
        <v/>
      </c>
      <c r="Q740" t="str">
        <f>IF(Kanatlar!R42="","",Kanatlar!R42)</f>
        <v/>
      </c>
      <c r="R740" t="str">
        <f>IF(Kanatlar!S42="","",Kanatlar!S42)</f>
        <v/>
      </c>
      <c r="S740" t="str">
        <f>IF(Kanatlar!T42="","",Kanatlar!T42)</f>
        <v/>
      </c>
      <c r="T740" s="2" t="str">
        <f>IF(Kanatlar!U42="","",Kanatlar!U42)</f>
        <v/>
      </c>
      <c r="U740" t="s">
        <v>933</v>
      </c>
      <c r="V740">
        <v>42</v>
      </c>
      <c r="W740" t="str">
        <f ca="1">IF(AND($A740&lt;&gt;"",ISNUMBER($G740),$G740&gt;=TODAY(),$G740&lt;=EDATE(TODAY(),12)),COUNTIFS($G$2:$G$1001,"&gt;="&amp;TODAY(),$G$2:$G$1001,"&lt;"&amp;$G740,$A$2:$A$1001,"&lt;&gt;")+COUNTIFS($G$2:$G740,$G740,$A$2:$A740,"&lt;&gt;"),"")</f>
        <v/>
      </c>
      <c r="X740" t="str">
        <f>IF(AND($A740&lt;&gt;"",ISNUMBER($C740),$C740&gt;=DATE(2003,1,1)),COUNTIFS($C$2:$C740,"&gt;="&amp;DATE(2003,1,1),$A$2:$A740,"&lt;&gt;"),"")</f>
        <v/>
      </c>
    </row>
    <row r="741" spans="1:24">
      <c r="A741" t="str">
        <f>IF(Kanatlar!A43="","",Kanatlar!A43)</f>
        <v>YOUSSOUPHA SANYANG</v>
      </c>
      <c r="B741" t="str">
        <f>IF(Kanatlar!B43="","",Kanatlar!B43)</f>
        <v>GAMBİYA</v>
      </c>
      <c r="C741" s="2">
        <f>IF(Kanatlar!C43="","",Kanatlar!C43)</f>
        <v>38595</v>
      </c>
      <c r="D741">
        <f ca="1">IF(Kanatlar!D43="","",Kanatlar!D43)</f>
        <v>21</v>
      </c>
      <c r="E741" t="str">
        <f>IF(Kanatlar!E43="","",Kanatlar!E43)</f>
        <v>Kanat</v>
      </c>
      <c r="F741" t="str">
        <f>IF(Kanatlar!G43="","",Kanatlar!G43)</f>
        <v>SLAVIA PRAG</v>
      </c>
      <c r="G741" s="2">
        <f>IF(Kanatlar!H43="","",Kanatlar!H43)</f>
        <v>47664</v>
      </c>
      <c r="H741" t="str">
        <f>IF(Kanatlar!I43="","",Kanatlar!I43)</f>
        <v/>
      </c>
      <c r="I741">
        <f>IF(Kanatlar!A43="","",Kanatlar!J43)</f>
        <v>0</v>
      </c>
      <c r="J741" t="str">
        <f>IF(Kanatlar!A43="","",Kanatlar!K43)</f>
        <v>https://www.transfermarkt.com.tr/youssoupha-sanyang/profil/spieler/1238634</v>
      </c>
      <c r="K741" t="str">
        <f>IF(Kanatlar!L43="","",Kanatlar!L43)</f>
        <v/>
      </c>
      <c r="L741" t="str">
        <f>IF(Kanatlar!M43="","",Kanatlar!M43)</f>
        <v/>
      </c>
      <c r="M741" t="str">
        <f>IF(Kanatlar!N43="","",Kanatlar!N43)</f>
        <v/>
      </c>
      <c r="N741" t="str">
        <f>IF(Kanatlar!O43="","",Kanatlar!O43)</f>
        <v/>
      </c>
      <c r="O741" t="str">
        <f>IF(Kanatlar!P43="","",Kanatlar!P43)</f>
        <v/>
      </c>
      <c r="P741" t="str">
        <f>IF(Kanatlar!Q43="","",Kanatlar!Q43)</f>
        <v/>
      </c>
      <c r="Q741" t="str">
        <f>IF(Kanatlar!R43="","",Kanatlar!R43)</f>
        <v/>
      </c>
      <c r="R741" t="str">
        <f>IF(Kanatlar!S43="","",Kanatlar!S43)</f>
        <v/>
      </c>
      <c r="S741" t="str">
        <f>IF(Kanatlar!T43="","",Kanatlar!T43)</f>
        <v/>
      </c>
      <c r="T741" s="2" t="str">
        <f>IF(Kanatlar!U43="","",Kanatlar!U43)</f>
        <v/>
      </c>
      <c r="U741" t="s">
        <v>933</v>
      </c>
      <c r="V741">
        <v>43</v>
      </c>
      <c r="W741" t="str">
        <f ca="1">IF(AND($A741&lt;&gt;"",ISNUMBER($G741),$G741&gt;=TODAY(),$G741&lt;=EDATE(TODAY(),12)),COUNTIFS($G$2:$G$1001,"&gt;="&amp;TODAY(),$G$2:$G$1001,"&lt;"&amp;$G741,$A$2:$A$1001,"&lt;&gt;")+COUNTIFS($G$2:$G741,$G741,$A$2:$A741,"&lt;&gt;"),"")</f>
        <v/>
      </c>
      <c r="X741">
        <f>IF(AND($A741&lt;&gt;"",ISNUMBER($C741),$C741&gt;=DATE(2003,1,1)),COUNTIFS($C$2:$C741,"&gt;="&amp;DATE(2003,1,1),$A$2:$A741,"&lt;&gt;"),"")</f>
        <v>45</v>
      </c>
    </row>
    <row r="742" spans="1:24">
      <c r="A742" t="str">
        <f>IF(Kanatlar!A44="","",Kanatlar!A44)</f>
        <v>TOMAS CHANCALAY</v>
      </c>
      <c r="B742" t="str">
        <f>IF(Kanatlar!B44="","",Kanatlar!B44)</f>
        <v>ARJANTİN</v>
      </c>
      <c r="C742" s="2">
        <f>IF(Kanatlar!C44="","",Kanatlar!C44)</f>
        <v>36161</v>
      </c>
      <c r="D742">
        <f ca="1">IF(Kanatlar!D44="","",Kanatlar!D44)</f>
        <v>27</v>
      </c>
      <c r="E742" t="str">
        <f>IF(Kanatlar!E44="","",Kanatlar!E44)</f>
        <v>Kanat</v>
      </c>
      <c r="F742" t="str">
        <f>IF(Kanatlar!G44="","",Kanatlar!G44)</f>
        <v>MINNESOTA UNITED</v>
      </c>
      <c r="G742" s="2">
        <f>IF(Kanatlar!H44="","",Kanatlar!H44)</f>
        <v>46934</v>
      </c>
      <c r="H742" t="str">
        <f>IF(Kanatlar!I44="","",Kanatlar!I44)</f>
        <v/>
      </c>
      <c r="I742">
        <f>IF(Kanatlar!A44="","",Kanatlar!J44)</f>
        <v>0</v>
      </c>
      <c r="J742" t="str">
        <f>IF(Kanatlar!A44="","",Kanatlar!K44)</f>
        <v>https://www.transfermarkt.com.tr/tomas-chancalay/profil/spieler/533565</v>
      </c>
      <c r="K742" t="str">
        <f>IF(Kanatlar!L44="","",Kanatlar!L44)</f>
        <v/>
      </c>
      <c r="L742" t="str">
        <f>IF(Kanatlar!M44="","",Kanatlar!M44)</f>
        <v/>
      </c>
      <c r="M742" t="str">
        <f>IF(Kanatlar!N44="","",Kanatlar!N44)</f>
        <v/>
      </c>
      <c r="N742" t="str">
        <f>IF(Kanatlar!O44="","",Kanatlar!O44)</f>
        <v/>
      </c>
      <c r="O742" t="str">
        <f>IF(Kanatlar!P44="","",Kanatlar!P44)</f>
        <v/>
      </c>
      <c r="P742" t="str">
        <f>IF(Kanatlar!Q44="","",Kanatlar!Q44)</f>
        <v/>
      </c>
      <c r="Q742" t="str">
        <f>IF(Kanatlar!R44="","",Kanatlar!R44)</f>
        <v/>
      </c>
      <c r="R742" t="str">
        <f>IF(Kanatlar!S44="","",Kanatlar!S44)</f>
        <v/>
      </c>
      <c r="S742" t="str">
        <f>IF(Kanatlar!T44="","",Kanatlar!T44)</f>
        <v/>
      </c>
      <c r="T742" s="2" t="str">
        <f>IF(Kanatlar!U44="","",Kanatlar!U44)</f>
        <v/>
      </c>
      <c r="U742" t="s">
        <v>933</v>
      </c>
      <c r="V742">
        <v>44</v>
      </c>
      <c r="W742" t="str">
        <f ca="1">IF(AND($A742&lt;&gt;"",ISNUMBER($G742),$G742&gt;=TODAY(),$G742&lt;=EDATE(TODAY(),12)),COUNTIFS($G$2:$G$1001,"&gt;="&amp;TODAY(),$G$2:$G$1001,"&lt;"&amp;$G742,$A$2:$A$1001,"&lt;&gt;")+COUNTIFS($G$2:$G742,$G742,$A$2:$A742,"&lt;&gt;"),"")</f>
        <v/>
      </c>
      <c r="X742" t="str">
        <f>IF(AND($A742&lt;&gt;"",ISNUMBER($C742),$C742&gt;=DATE(2003,1,1)),COUNTIFS($C$2:$C742,"&gt;="&amp;DATE(2003,1,1),$A$2:$A742,"&lt;&gt;"),"")</f>
        <v/>
      </c>
    </row>
    <row r="743" spans="1:24">
      <c r="A743" t="str">
        <f>IF(Kanatlar!A45="","",Kanatlar!A45)</f>
        <v>BONGOKUHLE HLONGWANE</v>
      </c>
      <c r="B743" t="str">
        <f>IF(Kanatlar!B45="","",Kanatlar!B45)</f>
        <v>GÜNEY AFRİKA</v>
      </c>
      <c r="C743" s="2">
        <f>IF(Kanatlar!C45="","",Kanatlar!C45)</f>
        <v>36697</v>
      </c>
      <c r="D743">
        <f ca="1">IF(Kanatlar!D45="","",Kanatlar!D45)</f>
        <v>26</v>
      </c>
      <c r="E743" t="str">
        <f>IF(Kanatlar!E45="","",Kanatlar!E45)</f>
        <v>Kanat</v>
      </c>
      <c r="F743" t="str">
        <f>IF(Kanatlar!G45="","",Kanatlar!G45)</f>
        <v>MINNESOTA UNITED</v>
      </c>
      <c r="G743" s="2">
        <f>IF(Kanatlar!H45="","",Kanatlar!H45)</f>
        <v>46752</v>
      </c>
      <c r="H743" t="str">
        <f>IF(Kanatlar!I45="","",Kanatlar!I45)</f>
        <v/>
      </c>
      <c r="I743">
        <f>IF(Kanatlar!A45="","",Kanatlar!J45)</f>
        <v>0</v>
      </c>
      <c r="J743" t="str">
        <f>IF(Kanatlar!A45="","",Kanatlar!K45)</f>
        <v>https://www.transfermarkt.com.tr/bongokuhle-hlongwane/profil/spieler/669202</v>
      </c>
      <c r="K743" t="str">
        <f>IF(Kanatlar!L45="","",Kanatlar!L45)</f>
        <v/>
      </c>
      <c r="L743" t="str">
        <f>IF(Kanatlar!M45="","",Kanatlar!M45)</f>
        <v/>
      </c>
      <c r="M743" t="str">
        <f>IF(Kanatlar!N45="","",Kanatlar!N45)</f>
        <v/>
      </c>
      <c r="N743" t="str">
        <f>IF(Kanatlar!O45="","",Kanatlar!O45)</f>
        <v/>
      </c>
      <c r="O743" t="str">
        <f>IF(Kanatlar!P45="","",Kanatlar!P45)</f>
        <v/>
      </c>
      <c r="P743" t="str">
        <f>IF(Kanatlar!Q45="","",Kanatlar!Q45)</f>
        <v/>
      </c>
      <c r="Q743" t="str">
        <f>IF(Kanatlar!R45="","",Kanatlar!R45)</f>
        <v/>
      </c>
      <c r="R743" t="str">
        <f>IF(Kanatlar!S45="","",Kanatlar!S45)</f>
        <v/>
      </c>
      <c r="S743" t="str">
        <f>IF(Kanatlar!T45="","",Kanatlar!T45)</f>
        <v/>
      </c>
      <c r="T743" s="2" t="str">
        <f>IF(Kanatlar!U45="","",Kanatlar!U45)</f>
        <v/>
      </c>
      <c r="U743" t="s">
        <v>933</v>
      </c>
      <c r="V743">
        <v>45</v>
      </c>
      <c r="W743" t="str">
        <f ca="1">IF(AND($A743&lt;&gt;"",ISNUMBER($G743),$G743&gt;=TODAY(),$G743&lt;=EDATE(TODAY(),12)),COUNTIFS($G$2:$G$1001,"&gt;="&amp;TODAY(),$G$2:$G$1001,"&lt;"&amp;$G743,$A$2:$A$1001,"&lt;&gt;")+COUNTIFS($G$2:$G743,$G743,$A$2:$A743,"&lt;&gt;"),"")</f>
        <v/>
      </c>
      <c r="X743" t="str">
        <f>IF(AND($A743&lt;&gt;"",ISNUMBER($C743),$C743&gt;=DATE(2003,1,1)),COUNTIFS($C$2:$C743,"&gt;="&amp;DATE(2003,1,1),$A$2:$A743,"&lt;&gt;"),"")</f>
        <v/>
      </c>
    </row>
    <row r="744" spans="1:24">
      <c r="A744" t="str">
        <f>IF(Kanatlar!A46="","",Kanatlar!A46)</f>
        <v>BERTRAND TRAORE</v>
      </c>
      <c r="B744" t="str">
        <f>IF(Kanatlar!B46="","",Kanatlar!B46)</f>
        <v>BURKİNA FASO</v>
      </c>
      <c r="C744" s="2">
        <f>IF(Kanatlar!C46="","",Kanatlar!C46)</f>
        <v>34948</v>
      </c>
      <c r="D744">
        <f ca="1">IF(Kanatlar!D46="","",Kanatlar!D46)</f>
        <v>31</v>
      </c>
      <c r="E744" t="str">
        <f>IF(Kanatlar!E46="","",Kanatlar!E46)</f>
        <v>Kanat</v>
      </c>
      <c r="F744" t="str">
        <f>IF(Kanatlar!G46="","",Kanatlar!G46)</f>
        <v>KULÜPSÜZ</v>
      </c>
      <c r="G744" s="2" t="str">
        <f>IF(Kanatlar!H46="","",Kanatlar!H46)</f>
        <v>-</v>
      </c>
      <c r="H744" t="str">
        <f>IF(Kanatlar!I46="","",Kanatlar!I46)</f>
        <v/>
      </c>
      <c r="I744">
        <f>IF(Kanatlar!A46="","",Kanatlar!J46)</f>
        <v>0</v>
      </c>
      <c r="J744" t="str">
        <f>IF(Kanatlar!A46="","",Kanatlar!K46)</f>
        <v>https://www.transfermarkt.com.tr/bertrand-traore/profil/spieler/131996</v>
      </c>
      <c r="K744" t="str">
        <f>IF(Kanatlar!L46="","",Kanatlar!L46)</f>
        <v/>
      </c>
      <c r="L744" t="str">
        <f>IF(Kanatlar!M46="","",Kanatlar!M46)</f>
        <v/>
      </c>
      <c r="M744" t="str">
        <f>IF(Kanatlar!N46="","",Kanatlar!N46)</f>
        <v/>
      </c>
      <c r="N744" t="str">
        <f>IF(Kanatlar!O46="","",Kanatlar!O46)</f>
        <v/>
      </c>
      <c r="O744" t="str">
        <f>IF(Kanatlar!P46="","",Kanatlar!P46)</f>
        <v/>
      </c>
      <c r="P744" t="str">
        <f>IF(Kanatlar!Q46="","",Kanatlar!Q46)</f>
        <v/>
      </c>
      <c r="Q744" t="str">
        <f>IF(Kanatlar!R46="","",Kanatlar!R46)</f>
        <v/>
      </c>
      <c r="R744" t="str">
        <f>IF(Kanatlar!S46="","",Kanatlar!S46)</f>
        <v/>
      </c>
      <c r="S744" t="str">
        <f>IF(Kanatlar!T46="","",Kanatlar!T46)</f>
        <v/>
      </c>
      <c r="T744" s="2" t="str">
        <f>IF(Kanatlar!U46="","",Kanatlar!U46)</f>
        <v/>
      </c>
      <c r="U744" t="s">
        <v>933</v>
      </c>
      <c r="V744">
        <v>46</v>
      </c>
      <c r="W744" t="str">
        <f ca="1">IF(AND($A744&lt;&gt;"",ISNUMBER($G744),$G744&gt;=TODAY(),$G744&lt;=EDATE(TODAY(),12)),COUNTIFS($G$2:$G$1001,"&gt;="&amp;TODAY(),$G$2:$G$1001,"&lt;"&amp;$G744,$A$2:$A$1001,"&lt;&gt;")+COUNTIFS($G$2:$G744,$G744,$A$2:$A744,"&lt;&gt;"),"")</f>
        <v/>
      </c>
      <c r="X744" t="str">
        <f>IF(AND($A744&lt;&gt;"",ISNUMBER($C744),$C744&gt;=DATE(2003,1,1)),COUNTIFS($C$2:$C744,"&gt;="&amp;DATE(2003,1,1),$A$2:$A744,"&lt;&gt;"),"")</f>
        <v/>
      </c>
    </row>
    <row r="745" spans="1:24">
      <c r="A745" t="str">
        <f>IF(Kanatlar!A47="","",Kanatlar!A47)</f>
        <v>IBRAHIM SADIQ</v>
      </c>
      <c r="B745" t="str">
        <f>IF(Kanatlar!B47="","",Kanatlar!B47)</f>
        <v>GANA</v>
      </c>
      <c r="C745" s="2">
        <f>IF(Kanatlar!C47="","",Kanatlar!C47)</f>
        <v>36653</v>
      </c>
      <c r="D745">
        <f ca="1">IF(Kanatlar!D47="","",Kanatlar!D47)</f>
        <v>26</v>
      </c>
      <c r="E745" t="str">
        <f>IF(Kanatlar!E47="","",Kanatlar!E47)</f>
        <v>Kanat</v>
      </c>
      <c r="F745" t="str">
        <f>IF(Kanatlar!G47="","",Kanatlar!G47)</f>
        <v>AZ ALKMAAR</v>
      </c>
      <c r="G745" s="2">
        <f>IF(Kanatlar!H47="","",Kanatlar!H47)</f>
        <v>46934</v>
      </c>
      <c r="H745" t="str">
        <f>IF(Kanatlar!I47="","",Kanatlar!I47)</f>
        <v/>
      </c>
      <c r="I745">
        <f>IF(Kanatlar!A47="","",Kanatlar!J47)</f>
        <v>0</v>
      </c>
      <c r="J745" t="str">
        <f>IF(Kanatlar!A47="","",Kanatlar!K47)</f>
        <v>https://www.transfermarkt.com/ibrahim-sadiq/profil/spieler/543501</v>
      </c>
      <c r="K745" t="str">
        <f>IF(Kanatlar!L47="","",Kanatlar!L47)</f>
        <v/>
      </c>
      <c r="L745" t="str">
        <f>IF(Kanatlar!M47="","",Kanatlar!M47)</f>
        <v/>
      </c>
      <c r="M745" t="str">
        <f>IF(Kanatlar!N47="","",Kanatlar!N47)</f>
        <v/>
      </c>
      <c r="N745" t="str">
        <f>IF(Kanatlar!O47="","",Kanatlar!O47)</f>
        <v/>
      </c>
      <c r="O745" t="str">
        <f>IF(Kanatlar!P47="","",Kanatlar!P47)</f>
        <v/>
      </c>
      <c r="P745" t="str">
        <f>IF(Kanatlar!Q47="","",Kanatlar!Q47)</f>
        <v/>
      </c>
      <c r="Q745" t="str">
        <f>IF(Kanatlar!R47="","",Kanatlar!R47)</f>
        <v/>
      </c>
      <c r="R745" t="str">
        <f>IF(Kanatlar!S47="","",Kanatlar!S47)</f>
        <v/>
      </c>
      <c r="S745" t="str">
        <f>IF(Kanatlar!T47="","",Kanatlar!T47)</f>
        <v/>
      </c>
      <c r="T745" s="2" t="str">
        <f>IF(Kanatlar!U47="","",Kanatlar!U47)</f>
        <v/>
      </c>
      <c r="U745" t="s">
        <v>933</v>
      </c>
      <c r="V745">
        <v>47</v>
      </c>
      <c r="W745" t="str">
        <f ca="1">IF(AND($A745&lt;&gt;"",ISNUMBER($G745),$G745&gt;=TODAY(),$G745&lt;=EDATE(TODAY(),12)),COUNTIFS($G$2:$G$1001,"&gt;="&amp;TODAY(),$G$2:$G$1001,"&lt;"&amp;$G745,$A$2:$A$1001,"&lt;&gt;")+COUNTIFS($G$2:$G745,$G745,$A$2:$A745,"&lt;&gt;"),"")</f>
        <v/>
      </c>
      <c r="X745" t="str">
        <f>IF(AND($A745&lt;&gt;"",ISNUMBER($C745),$C745&gt;=DATE(2003,1,1)),COUNTIFS($C$2:$C745,"&gt;="&amp;DATE(2003,1,1),$A$2:$A745,"&lt;&gt;"),"")</f>
        <v/>
      </c>
    </row>
    <row r="746" spans="1:24">
      <c r="A746" t="str">
        <f>IF(Kanatlar!A48="","",Kanatlar!A48)</f>
        <v>ISMAEL GHARBI</v>
      </c>
      <c r="B746" t="str">
        <f>IF(Kanatlar!B48="","",Kanatlar!B48)</f>
        <v>TUNUS / İSPANYA</v>
      </c>
      <c r="C746" s="2">
        <f>IF(Kanatlar!C48="","",Kanatlar!C48)</f>
        <v>38087</v>
      </c>
      <c r="D746">
        <f ca="1">IF(Kanatlar!D48="","",Kanatlar!D48)</f>
        <v>22</v>
      </c>
      <c r="E746" t="str">
        <f>IF(Kanatlar!E48="","",Kanatlar!E48)</f>
        <v>Kanat</v>
      </c>
      <c r="F746" t="str">
        <f>IF(Kanatlar!G48="","",Kanatlar!G48)</f>
        <v>SC BRAGA</v>
      </c>
      <c r="G746" s="2">
        <f>IF(Kanatlar!H48="","",Kanatlar!H48)</f>
        <v>47299</v>
      </c>
      <c r="H746" t="str">
        <f>IF(Kanatlar!I48="","",Kanatlar!I48)</f>
        <v/>
      </c>
      <c r="I746">
        <f>IF(Kanatlar!A48="","",Kanatlar!J48)</f>
        <v>0</v>
      </c>
      <c r="J746" t="str">
        <f>IF(Kanatlar!A48="","",Kanatlar!K48)</f>
        <v>https://www.transfermarkt.com/ismael-gharbi/profil/spieler/810096</v>
      </c>
      <c r="K746" t="str">
        <f>IF(Kanatlar!L48="","",Kanatlar!L48)</f>
        <v/>
      </c>
      <c r="L746" t="str">
        <f>IF(Kanatlar!M48="","",Kanatlar!M48)</f>
        <v/>
      </c>
      <c r="M746" t="str">
        <f>IF(Kanatlar!N48="","",Kanatlar!N48)</f>
        <v/>
      </c>
      <c r="N746" t="str">
        <f>IF(Kanatlar!O48="","",Kanatlar!O48)</f>
        <v/>
      </c>
      <c r="O746" t="str">
        <f>IF(Kanatlar!P48="","",Kanatlar!P48)</f>
        <v/>
      </c>
      <c r="P746" t="str">
        <f>IF(Kanatlar!Q48="","",Kanatlar!Q48)</f>
        <v/>
      </c>
      <c r="Q746" t="str">
        <f>IF(Kanatlar!R48="","",Kanatlar!R48)</f>
        <v/>
      </c>
      <c r="R746" t="str">
        <f>IF(Kanatlar!S48="","",Kanatlar!S48)</f>
        <v/>
      </c>
      <c r="S746" t="str">
        <f>IF(Kanatlar!T48="","",Kanatlar!T48)</f>
        <v/>
      </c>
      <c r="T746" s="2" t="str">
        <f>IF(Kanatlar!U48="","",Kanatlar!U48)</f>
        <v/>
      </c>
      <c r="U746" t="s">
        <v>933</v>
      </c>
      <c r="V746">
        <v>48</v>
      </c>
      <c r="W746" t="str">
        <f ca="1">IF(AND($A746&lt;&gt;"",ISNUMBER($G746),$G746&gt;=TODAY(),$G746&lt;=EDATE(TODAY(),12)),COUNTIFS($G$2:$G$1001,"&gt;="&amp;TODAY(),$G$2:$G$1001,"&lt;"&amp;$G746,$A$2:$A$1001,"&lt;&gt;")+COUNTIFS($G$2:$G746,$G746,$A$2:$A746,"&lt;&gt;"),"")</f>
        <v/>
      </c>
      <c r="X746">
        <f>IF(AND($A746&lt;&gt;"",ISNUMBER($C746),$C746&gt;=DATE(2003,1,1)),COUNTIFS($C$2:$C746,"&gt;="&amp;DATE(2003,1,1),$A$2:$A746,"&lt;&gt;"),"")</f>
        <v>46</v>
      </c>
    </row>
    <row r="747" spans="1:24">
      <c r="A747" t="str">
        <f>IF(Kanatlar!A49="","",Kanatlar!A49)</f>
        <v>JESÚS MEDINA</v>
      </c>
      <c r="B747" t="str">
        <f>IF(Kanatlar!B49="","",Kanatlar!B49)</f>
        <v>PARAGUAY</v>
      </c>
      <c r="C747" s="2">
        <f>IF(Kanatlar!C49="","",Kanatlar!C49)</f>
        <v>35550</v>
      </c>
      <c r="D747">
        <f ca="1">IF(Kanatlar!D49="","",Kanatlar!D49)</f>
        <v>29</v>
      </c>
      <c r="E747" t="str">
        <f>IF(Kanatlar!E49="","",Kanatlar!E49)</f>
        <v>Kanat</v>
      </c>
      <c r="F747" t="str">
        <f>IF(Kanatlar!G49="","",Kanatlar!G49)</f>
        <v>ATLÉTICO DE SAN LUIS</v>
      </c>
      <c r="G747" s="2" t="str">
        <f>IF(Kanatlar!H49="","",Kanatlar!H49)</f>
        <v>-</v>
      </c>
      <c r="H747" t="str">
        <f>IF(Kanatlar!I49="","",Kanatlar!I49)</f>
        <v/>
      </c>
      <c r="I747">
        <f>IF(Kanatlar!A49="","",Kanatlar!J49)</f>
        <v>0</v>
      </c>
      <c r="J747" t="str">
        <f>IF(Kanatlar!A49="","",Kanatlar!K49)</f>
        <v>Transfermarkt Profili</v>
      </c>
      <c r="K747" t="str">
        <f>IF(Kanatlar!L49="","",Kanatlar!L49)</f>
        <v/>
      </c>
      <c r="L747" t="str">
        <f>IF(Kanatlar!M49="","",Kanatlar!M49)</f>
        <v/>
      </c>
      <c r="M747" t="str">
        <f>IF(Kanatlar!N49="","",Kanatlar!N49)</f>
        <v/>
      </c>
      <c r="N747" t="str">
        <f>IF(Kanatlar!O49="","",Kanatlar!O49)</f>
        <v/>
      </c>
      <c r="O747" t="str">
        <f>IF(Kanatlar!P49="","",Kanatlar!P49)</f>
        <v/>
      </c>
      <c r="P747" t="str">
        <f>IF(Kanatlar!Q49="","",Kanatlar!Q49)</f>
        <v/>
      </c>
      <c r="Q747" t="str">
        <f>IF(Kanatlar!R49="","",Kanatlar!R49)</f>
        <v/>
      </c>
      <c r="R747" t="str">
        <f>IF(Kanatlar!S49="","",Kanatlar!S49)</f>
        <v/>
      </c>
      <c r="S747" t="str">
        <f>IF(Kanatlar!T49="","",Kanatlar!T49)</f>
        <v/>
      </c>
      <c r="T747" s="2" t="str">
        <f>IF(Kanatlar!U49="","",Kanatlar!U49)</f>
        <v/>
      </c>
      <c r="U747" t="s">
        <v>933</v>
      </c>
      <c r="V747">
        <v>49</v>
      </c>
      <c r="W747" t="str">
        <f ca="1">IF(AND($A747&lt;&gt;"",ISNUMBER($G747),$G747&gt;=TODAY(),$G747&lt;=EDATE(TODAY(),12)),COUNTIFS($G$2:$G$1001,"&gt;="&amp;TODAY(),$G$2:$G$1001,"&lt;"&amp;$G747,$A$2:$A$1001,"&lt;&gt;")+COUNTIFS($G$2:$G747,$G747,$A$2:$A747,"&lt;&gt;"),"")</f>
        <v/>
      </c>
      <c r="X747" t="str">
        <f>IF(AND($A747&lt;&gt;"",ISNUMBER($C747),$C747&gt;=DATE(2003,1,1)),COUNTIFS($C$2:$C747,"&gt;="&amp;DATE(2003,1,1),$A$2:$A747,"&lt;&gt;"),"")</f>
        <v/>
      </c>
    </row>
    <row r="748" spans="1:24">
      <c r="A748" t="str">
        <f>IF(Kanatlar!A50="","",Kanatlar!A50)</f>
        <v>YANN KARAMOH</v>
      </c>
      <c r="B748" t="str">
        <f>IF(Kanatlar!B50="","",Kanatlar!B50)</f>
        <v>FRANSA / FİLDİŞİ SAHİLİ</v>
      </c>
      <c r="C748" s="2">
        <f>IF(Kanatlar!C50="","",Kanatlar!C50)</f>
        <v>35984</v>
      </c>
      <c r="D748">
        <f ca="1">IF(Kanatlar!D50="","",Kanatlar!D50)</f>
        <v>28</v>
      </c>
      <c r="E748" t="str">
        <f>IF(Kanatlar!E50="","",Kanatlar!E50)</f>
        <v>Kanat</v>
      </c>
      <c r="F748" t="str">
        <f>IF(Kanatlar!G50="","",Kanatlar!G50)</f>
        <v>KULÜPSÜZ</v>
      </c>
      <c r="G748" s="2" t="str">
        <f>IF(Kanatlar!H50="","",Kanatlar!H50)</f>
        <v>-</v>
      </c>
      <c r="H748" t="str">
        <f>IF(Kanatlar!I50="","",Kanatlar!I50)</f>
        <v/>
      </c>
      <c r="I748">
        <f>IF(Kanatlar!A50="","",Kanatlar!J50)</f>
        <v>0</v>
      </c>
      <c r="J748" t="str">
        <f>IF(Kanatlar!A50="","",Kanatlar!K50)</f>
        <v>Transfermarkt Profili</v>
      </c>
      <c r="K748" t="str">
        <f>IF(Kanatlar!L50="","",Kanatlar!L50)</f>
        <v/>
      </c>
      <c r="L748" t="str">
        <f>IF(Kanatlar!M50="","",Kanatlar!M50)</f>
        <v/>
      </c>
      <c r="M748" t="str">
        <f>IF(Kanatlar!N50="","",Kanatlar!N50)</f>
        <v/>
      </c>
      <c r="N748" t="str">
        <f>IF(Kanatlar!O50="","",Kanatlar!O50)</f>
        <v/>
      </c>
      <c r="O748" t="str">
        <f>IF(Kanatlar!P50="","",Kanatlar!P50)</f>
        <v/>
      </c>
      <c r="P748" t="str">
        <f>IF(Kanatlar!Q50="","",Kanatlar!Q50)</f>
        <v/>
      </c>
      <c r="Q748" t="str">
        <f>IF(Kanatlar!R50="","",Kanatlar!R50)</f>
        <v/>
      </c>
      <c r="R748" t="str">
        <f>IF(Kanatlar!S50="","",Kanatlar!S50)</f>
        <v/>
      </c>
      <c r="S748" t="str">
        <f>IF(Kanatlar!T50="","",Kanatlar!T50)</f>
        <v/>
      </c>
      <c r="T748" s="2" t="str">
        <f>IF(Kanatlar!U50="","",Kanatlar!U50)</f>
        <v/>
      </c>
      <c r="U748" t="s">
        <v>933</v>
      </c>
      <c r="V748">
        <v>50</v>
      </c>
      <c r="W748" t="str">
        <f ca="1">IF(AND($A748&lt;&gt;"",ISNUMBER($G748),$G748&gt;=TODAY(),$G748&lt;=EDATE(TODAY(),12)),COUNTIFS($G$2:$G$1001,"&gt;="&amp;TODAY(),$G$2:$G$1001,"&lt;"&amp;$G748,$A$2:$A$1001,"&lt;&gt;")+COUNTIFS($G$2:$G748,$G748,$A$2:$A748,"&lt;&gt;"),"")</f>
        <v/>
      </c>
      <c r="X748" t="str">
        <f>IF(AND($A748&lt;&gt;"",ISNUMBER($C748),$C748&gt;=DATE(2003,1,1)),COUNTIFS($C$2:$C748,"&gt;="&amp;DATE(2003,1,1),$A$2:$A748,"&lt;&gt;"),"")</f>
        <v/>
      </c>
    </row>
    <row r="749" spans="1:24">
      <c r="A749" t="str">
        <f>IF(Kanatlar!A51="","",Kanatlar!A51)</f>
        <v>LECHI SADULAEV</v>
      </c>
      <c r="B749" t="str">
        <f>IF(Kanatlar!B51="","",Kanatlar!B51)</f>
        <v>RUSYA</v>
      </c>
      <c r="C749" s="2">
        <f>IF(Kanatlar!C51="","",Kanatlar!C51)</f>
        <v>36533</v>
      </c>
      <c r="D749">
        <f ca="1">IF(Kanatlar!D51="","",Kanatlar!D51)</f>
        <v>26</v>
      </c>
      <c r="E749" t="str">
        <f>IF(Kanatlar!E51="","",Kanatlar!E51)</f>
        <v>Kanat</v>
      </c>
      <c r="F749" t="str">
        <f>IF(Kanatlar!G51="","",Kanatlar!G51)</f>
        <v>AKHMAT GROZNY</v>
      </c>
      <c r="G749" s="2">
        <f>IF(Kanatlar!H51="","",Kanatlar!H51)</f>
        <v>46934</v>
      </c>
      <c r="H749" t="str">
        <f>IF(Kanatlar!I51="","",Kanatlar!I51)</f>
        <v/>
      </c>
      <c r="I749">
        <f>IF(Kanatlar!A51="","",Kanatlar!J51)</f>
        <v>0</v>
      </c>
      <c r="J749" t="str">
        <f>IF(Kanatlar!A51="","",Kanatlar!K51)</f>
        <v>Transfermarkt Profili</v>
      </c>
      <c r="K749" t="str">
        <f>IF(Kanatlar!L51="","",Kanatlar!L51)</f>
        <v/>
      </c>
      <c r="L749" t="str">
        <f>IF(Kanatlar!M51="","",Kanatlar!M51)</f>
        <v/>
      </c>
      <c r="M749" t="str">
        <f>IF(Kanatlar!N51="","",Kanatlar!N51)</f>
        <v/>
      </c>
      <c r="N749" t="str">
        <f>IF(Kanatlar!O51="","",Kanatlar!O51)</f>
        <v/>
      </c>
      <c r="O749" t="str">
        <f>IF(Kanatlar!P51="","",Kanatlar!P51)</f>
        <v/>
      </c>
      <c r="P749" t="str">
        <f>IF(Kanatlar!Q51="","",Kanatlar!Q51)</f>
        <v/>
      </c>
      <c r="Q749" t="str">
        <f>IF(Kanatlar!R51="","",Kanatlar!R51)</f>
        <v/>
      </c>
      <c r="R749" t="str">
        <f>IF(Kanatlar!S51="","",Kanatlar!S51)</f>
        <v/>
      </c>
      <c r="S749" t="str">
        <f>IF(Kanatlar!T51="","",Kanatlar!T51)</f>
        <v/>
      </c>
      <c r="T749" s="2" t="str">
        <f>IF(Kanatlar!U51="","",Kanatlar!U51)</f>
        <v/>
      </c>
      <c r="U749" t="s">
        <v>933</v>
      </c>
      <c r="V749">
        <v>51</v>
      </c>
      <c r="W749" t="str">
        <f ca="1">IF(AND($A749&lt;&gt;"",ISNUMBER($G749),$G749&gt;=TODAY(),$G749&lt;=EDATE(TODAY(),12)),COUNTIFS($G$2:$G$1001,"&gt;="&amp;TODAY(),$G$2:$G$1001,"&lt;"&amp;$G749,$A$2:$A$1001,"&lt;&gt;")+COUNTIFS($G$2:$G749,$G749,$A$2:$A749,"&lt;&gt;"),"")</f>
        <v/>
      </c>
      <c r="X749" t="str">
        <f>IF(AND($A749&lt;&gt;"",ISNUMBER($C749),$C749&gt;=DATE(2003,1,1)),COUNTIFS($C$2:$C749,"&gt;="&amp;DATE(2003,1,1),$A$2:$A749,"&lt;&gt;"),"")</f>
        <v/>
      </c>
    </row>
    <row r="750" spans="1:24">
      <c r="A750" t="str">
        <f>IF(Kanatlar!A52="","",Kanatlar!A52)</f>
        <v>MARCOS PAULO</v>
      </c>
      <c r="B750" t="str">
        <f>IF(Kanatlar!B52="","",Kanatlar!B52)</f>
        <v>PORTEKİZ / BREZİLYA</v>
      </c>
      <c r="C750" s="2">
        <f>IF(Kanatlar!C52="","",Kanatlar!C52)</f>
        <v>36923</v>
      </c>
      <c r="D750">
        <f ca="1">IF(Kanatlar!D52="","",Kanatlar!D52)</f>
        <v>25</v>
      </c>
      <c r="E750" t="str">
        <f>IF(Kanatlar!E52="","",Kanatlar!E52)</f>
        <v>Kanat</v>
      </c>
      <c r="F750" t="str">
        <f>IF(Kanatlar!G52="","",Kanatlar!G52)</f>
        <v>JUVENTUDE</v>
      </c>
      <c r="G750" s="2">
        <f>IF(Kanatlar!H52="","",Kanatlar!H52)</f>
        <v>46387</v>
      </c>
      <c r="H750" t="str">
        <f>IF(Kanatlar!I52="","",Kanatlar!I52)</f>
        <v/>
      </c>
      <c r="I750">
        <f>IF(Kanatlar!A52="","",Kanatlar!J52)</f>
        <v>0</v>
      </c>
      <c r="J750" t="str">
        <f>IF(Kanatlar!A52="","",Kanatlar!K52)</f>
        <v>Transfermarkt Profili</v>
      </c>
      <c r="K750" t="str">
        <f>IF(Kanatlar!L52="","",Kanatlar!L52)</f>
        <v/>
      </c>
      <c r="L750" t="str">
        <f>IF(Kanatlar!M52="","",Kanatlar!M52)</f>
        <v/>
      </c>
      <c r="M750" t="str">
        <f>IF(Kanatlar!N52="","",Kanatlar!N52)</f>
        <v/>
      </c>
      <c r="N750" t="str">
        <f>IF(Kanatlar!O52="","",Kanatlar!O52)</f>
        <v/>
      </c>
      <c r="O750" t="str">
        <f>IF(Kanatlar!P52="","",Kanatlar!P52)</f>
        <v/>
      </c>
      <c r="P750" t="str">
        <f>IF(Kanatlar!Q52="","",Kanatlar!Q52)</f>
        <v/>
      </c>
      <c r="Q750" t="str">
        <f>IF(Kanatlar!R52="","",Kanatlar!R52)</f>
        <v/>
      </c>
      <c r="R750" t="str">
        <f>IF(Kanatlar!S52="","",Kanatlar!S52)</f>
        <v/>
      </c>
      <c r="S750" t="str">
        <f>IF(Kanatlar!T52="","",Kanatlar!T52)</f>
        <v/>
      </c>
      <c r="T750" s="2" t="str">
        <f>IF(Kanatlar!U52="","",Kanatlar!U52)</f>
        <v/>
      </c>
      <c r="U750" t="s">
        <v>933</v>
      </c>
      <c r="V750">
        <v>52</v>
      </c>
      <c r="W750">
        <f ca="1">IF(AND($A750&lt;&gt;"",ISNUMBER($G750),$G750&gt;=TODAY(),$G750&lt;=EDATE(TODAY(),12)),COUNTIFS($G$2:$G$1001,"&gt;="&amp;TODAY(),$G$2:$G$1001,"&lt;"&amp;$G750,$A$2:$A$1001,"&lt;&gt;")+COUNTIFS($G$2:$G750,$G750,$A$2:$A750,"&lt;&gt;"),"")</f>
        <v>11</v>
      </c>
      <c r="X750" t="str">
        <f>IF(AND($A750&lt;&gt;"",ISNUMBER($C750),$C750&gt;=DATE(2003,1,1)),COUNTIFS($C$2:$C750,"&gt;="&amp;DATE(2003,1,1),$A$2:$A750,"&lt;&gt;"),"")</f>
        <v/>
      </c>
    </row>
    <row r="751" spans="1:24">
      <c r="A751" t="str">
        <f>IF(Kanatlar!A53="","",Kanatlar!A53)</f>
        <v>EHIJE UKAKI</v>
      </c>
      <c r="B751" t="str">
        <f>IF(Kanatlar!B53="","",Kanatlar!B53)</f>
        <v>NİJERYA</v>
      </c>
      <c r="C751" s="2">
        <f>IF(Kanatlar!C53="","",Kanatlar!C53)</f>
        <v>38262</v>
      </c>
      <c r="D751">
        <f ca="1">IF(Kanatlar!D53="","",Kanatlar!D53)</f>
        <v>22</v>
      </c>
      <c r="E751" t="str">
        <f>IF(Kanatlar!E53="","",Kanatlar!E53)</f>
        <v>Kanat</v>
      </c>
      <c r="F751" t="str">
        <f>IF(Kanatlar!G53="","",Kanatlar!G53)</f>
        <v>SHEFFIELD UNITED</v>
      </c>
      <c r="G751" s="2">
        <f>IF(Kanatlar!H53="","",Kanatlar!H53)</f>
        <v>46934</v>
      </c>
      <c r="H751" t="str">
        <f>IF(Kanatlar!I53="","",Kanatlar!I53)</f>
        <v/>
      </c>
      <c r="I751">
        <f>IF(Kanatlar!A53="","",Kanatlar!J53)</f>
        <v>0</v>
      </c>
      <c r="J751" t="str">
        <f>IF(Kanatlar!A53="","",Kanatlar!K53)</f>
        <v>Transfermarkt Profili</v>
      </c>
      <c r="K751" t="str">
        <f>IF(Kanatlar!L53="","",Kanatlar!L53)</f>
        <v/>
      </c>
      <c r="L751" t="str">
        <f>IF(Kanatlar!M53="","",Kanatlar!M53)</f>
        <v/>
      </c>
      <c r="M751" t="str">
        <f>IF(Kanatlar!N53="","",Kanatlar!N53)</f>
        <v/>
      </c>
      <c r="N751" t="str">
        <f>IF(Kanatlar!O53="","",Kanatlar!O53)</f>
        <v/>
      </c>
      <c r="O751" t="str">
        <f>IF(Kanatlar!P53="","",Kanatlar!P53)</f>
        <v/>
      </c>
      <c r="P751" t="str">
        <f>IF(Kanatlar!Q53="","",Kanatlar!Q53)</f>
        <v/>
      </c>
      <c r="Q751" t="str">
        <f>IF(Kanatlar!R53="","",Kanatlar!R53)</f>
        <v/>
      </c>
      <c r="R751" t="str">
        <f>IF(Kanatlar!S53="","",Kanatlar!S53)</f>
        <v/>
      </c>
      <c r="S751" t="str">
        <f>IF(Kanatlar!T53="","",Kanatlar!T53)</f>
        <v/>
      </c>
      <c r="T751" s="2" t="str">
        <f>IF(Kanatlar!U53="","",Kanatlar!U53)</f>
        <v/>
      </c>
      <c r="U751" t="s">
        <v>933</v>
      </c>
      <c r="V751">
        <v>53</v>
      </c>
      <c r="W751" t="str">
        <f ca="1">IF(AND($A751&lt;&gt;"",ISNUMBER($G751),$G751&gt;=TODAY(),$G751&lt;=EDATE(TODAY(),12)),COUNTIFS($G$2:$G$1001,"&gt;="&amp;TODAY(),$G$2:$G$1001,"&lt;"&amp;$G751,$A$2:$A$1001,"&lt;&gt;")+COUNTIFS($G$2:$G751,$G751,$A$2:$A751,"&lt;&gt;"),"")</f>
        <v/>
      </c>
      <c r="X751">
        <f>IF(AND($A751&lt;&gt;"",ISNUMBER($C751),$C751&gt;=DATE(2003,1,1)),COUNTIFS($C$2:$C751,"&gt;="&amp;DATE(2003,1,1),$A$2:$A751,"&lt;&gt;"),"")</f>
        <v>47</v>
      </c>
    </row>
    <row r="752" spans="1:24">
      <c r="A752" t="str">
        <f>IF(Kanatlar!A54="","",Kanatlar!A54)</f>
        <v>WELLITON</v>
      </c>
      <c r="B752" t="str">
        <f>IF(Kanatlar!B54="","",Kanatlar!B54)</f>
        <v>BREZİLYA</v>
      </c>
      <c r="C752" s="2">
        <f>IF(Kanatlar!C54="","",Kanatlar!C54)</f>
        <v>36721</v>
      </c>
      <c r="D752">
        <f ca="1">IF(Kanatlar!D54="","",Kanatlar!D54)</f>
        <v>26</v>
      </c>
      <c r="E752" t="str">
        <f>IF(Kanatlar!E54="","",Kanatlar!E54)</f>
        <v>Kanat</v>
      </c>
      <c r="F752" t="str">
        <f>IF(Kanatlar!G54="","",Kanatlar!G54)</f>
        <v>FORTALEZA</v>
      </c>
      <c r="G752" s="2">
        <f>IF(Kanatlar!H54="","",Kanatlar!H54)</f>
        <v>46356</v>
      </c>
      <c r="H752" t="str">
        <f>IF(Kanatlar!I54="","",Kanatlar!I54)</f>
        <v/>
      </c>
      <c r="I752">
        <f>IF(Kanatlar!A54="","",Kanatlar!J54)</f>
        <v>0</v>
      </c>
      <c r="J752" t="str">
        <f>IF(Kanatlar!A54="","",Kanatlar!K54)</f>
        <v>Transfermarkt Profili</v>
      </c>
      <c r="K752" t="str">
        <f>IF(Kanatlar!L54="","",Kanatlar!L54)</f>
        <v/>
      </c>
      <c r="L752" t="str">
        <f>IF(Kanatlar!M54="","",Kanatlar!M54)</f>
        <v/>
      </c>
      <c r="M752" t="str">
        <f>IF(Kanatlar!N54="","",Kanatlar!N54)</f>
        <v/>
      </c>
      <c r="N752" t="str">
        <f>IF(Kanatlar!O54="","",Kanatlar!O54)</f>
        <v/>
      </c>
      <c r="O752" t="str">
        <f>IF(Kanatlar!P54="","",Kanatlar!P54)</f>
        <v/>
      </c>
      <c r="P752" t="str">
        <f>IF(Kanatlar!Q54="","",Kanatlar!Q54)</f>
        <v/>
      </c>
      <c r="Q752" t="str">
        <f>IF(Kanatlar!R54="","",Kanatlar!R54)</f>
        <v/>
      </c>
      <c r="R752" t="str">
        <f>IF(Kanatlar!S54="","",Kanatlar!S54)</f>
        <v/>
      </c>
      <c r="S752" t="str">
        <f>IF(Kanatlar!T54="","",Kanatlar!T54)</f>
        <v/>
      </c>
      <c r="T752" s="2" t="str">
        <f>IF(Kanatlar!U54="","",Kanatlar!U54)</f>
        <v/>
      </c>
      <c r="U752" t="s">
        <v>933</v>
      </c>
      <c r="V752">
        <v>54</v>
      </c>
      <c r="W752">
        <f ca="1">IF(AND($A752&lt;&gt;"",ISNUMBER($G752),$G752&gt;=TODAY(),$G752&lt;=EDATE(TODAY(),12)),COUNTIFS($G$2:$G$1001,"&gt;="&amp;TODAY(),$G$2:$G$1001,"&lt;"&amp;$G752,$A$2:$A$1001,"&lt;&gt;")+COUNTIFS($G$2:$G752,$G752,$A$2:$A752,"&lt;&gt;"),"")</f>
        <v>1</v>
      </c>
      <c r="X752" t="str">
        <f>IF(AND($A752&lt;&gt;"",ISNUMBER($C752),$C752&gt;=DATE(2003,1,1)),COUNTIFS($C$2:$C752,"&gt;="&amp;DATE(2003,1,1),$A$2:$A752,"&lt;&gt;"),"")</f>
        <v/>
      </c>
    </row>
    <row r="753" spans="1:24">
      <c r="A753" t="str">
        <f>IF(Kanatlar!A55="","",Kanatlar!A55)</f>
        <v>ADRIANO</v>
      </c>
      <c r="B753" t="str">
        <f>IF(Kanatlar!B55="","",Kanatlar!B55)</f>
        <v>BREZİLYA</v>
      </c>
      <c r="C753" s="2">
        <f>IF(Kanatlar!C55="","",Kanatlar!C55)</f>
        <v>37302</v>
      </c>
      <c r="D753">
        <f ca="1">IF(Kanatlar!D55="","",Kanatlar!D55)</f>
        <v>24</v>
      </c>
      <c r="E753" t="str">
        <f>IF(Kanatlar!E55="","",Kanatlar!E55)</f>
        <v>Kanat</v>
      </c>
      <c r="F753" t="str">
        <f>IF(Kanatlar!G55="","",Kanatlar!G55)</f>
        <v>RAKÓW CZĘSTOCHOWA</v>
      </c>
      <c r="G753" s="2">
        <f>IF(Kanatlar!H55="","",Kanatlar!H55)</f>
        <v>46934</v>
      </c>
      <c r="H753" t="str">
        <f>IF(Kanatlar!I55="","",Kanatlar!I55)</f>
        <v/>
      </c>
      <c r="I753">
        <f>IF(Kanatlar!A55="","",Kanatlar!J55)</f>
        <v>0</v>
      </c>
      <c r="J753" t="str">
        <f>IF(Kanatlar!A55="","",Kanatlar!K55)</f>
        <v>Transfermarkt Profili</v>
      </c>
      <c r="K753" t="str">
        <f>IF(Kanatlar!L55="","",Kanatlar!L55)</f>
        <v/>
      </c>
      <c r="L753" t="str">
        <f>IF(Kanatlar!M55="","",Kanatlar!M55)</f>
        <v/>
      </c>
      <c r="M753" t="str">
        <f>IF(Kanatlar!N55="","",Kanatlar!N55)</f>
        <v/>
      </c>
      <c r="N753" t="str">
        <f>IF(Kanatlar!O55="","",Kanatlar!O55)</f>
        <v/>
      </c>
      <c r="O753" t="str">
        <f>IF(Kanatlar!P55="","",Kanatlar!P55)</f>
        <v/>
      </c>
      <c r="P753" t="str">
        <f>IF(Kanatlar!Q55="","",Kanatlar!Q55)</f>
        <v/>
      </c>
      <c r="Q753" t="str">
        <f>IF(Kanatlar!R55="","",Kanatlar!R55)</f>
        <v/>
      </c>
      <c r="R753" t="str">
        <f>IF(Kanatlar!S55="","",Kanatlar!S55)</f>
        <v/>
      </c>
      <c r="S753" t="str">
        <f>IF(Kanatlar!T55="","",Kanatlar!T55)</f>
        <v/>
      </c>
      <c r="T753" s="2" t="str">
        <f>IF(Kanatlar!U55="","",Kanatlar!U55)</f>
        <v/>
      </c>
      <c r="U753" t="s">
        <v>933</v>
      </c>
      <c r="V753">
        <v>55</v>
      </c>
      <c r="W753" t="str">
        <f ca="1">IF(AND($A753&lt;&gt;"",ISNUMBER($G753),$G753&gt;=TODAY(),$G753&lt;=EDATE(TODAY(),12)),COUNTIFS($G$2:$G$1001,"&gt;="&amp;TODAY(),$G$2:$G$1001,"&lt;"&amp;$G753,$A$2:$A$1001,"&lt;&gt;")+COUNTIFS($G$2:$G753,$G753,$A$2:$A753,"&lt;&gt;"),"")</f>
        <v/>
      </c>
      <c r="X753" t="str">
        <f>IF(AND($A753&lt;&gt;"",ISNUMBER($C753),$C753&gt;=DATE(2003,1,1)),COUNTIFS($C$2:$C753,"&gt;="&amp;DATE(2003,1,1),$A$2:$A753,"&lt;&gt;"),"")</f>
        <v/>
      </c>
    </row>
    <row r="754" spans="1:24">
      <c r="A754" t="str">
        <f>IF(Kanatlar!A56="","",Kanatlar!A56)</f>
        <v>FAROUCK ADEKAMI</v>
      </c>
      <c r="B754" t="str">
        <f>IF(Kanatlar!B56="","",Kanatlar!B56)</f>
        <v/>
      </c>
      <c r="C754" s="2" t="str">
        <f>IF(Kanatlar!C56="","",Kanatlar!C56)</f>
        <v/>
      </c>
      <c r="D754" t="str">
        <f ca="1">IF(Kanatlar!D56="","",Kanatlar!D56)</f>
        <v/>
      </c>
      <c r="E754" t="str">
        <f>IF(Kanatlar!E56="","",Kanatlar!E56)</f>
        <v>Kanat</v>
      </c>
      <c r="F754" t="str">
        <f>IF(Kanatlar!G56="","",Kanatlar!G56)</f>
        <v/>
      </c>
      <c r="G754" s="2" t="str">
        <f>IF(Kanatlar!H56="","",Kanatlar!H56)</f>
        <v>-</v>
      </c>
      <c r="H754" t="str">
        <f>IF(Kanatlar!I56="","",Kanatlar!I56)</f>
        <v/>
      </c>
      <c r="I754">
        <f>IF(Kanatlar!A56="","",Kanatlar!J56)</f>
        <v>0</v>
      </c>
      <c r="J754" t="str">
        <f>IF(Kanatlar!A56="","",Kanatlar!K56)</f>
        <v>https://www.transfermarkt.com/farouck-adekami/profil/spieler/1293796</v>
      </c>
      <c r="K754" t="str">
        <f>IF(Kanatlar!L56="","",Kanatlar!L56)</f>
        <v/>
      </c>
      <c r="L754" t="str">
        <f>IF(Kanatlar!M56="","",Kanatlar!M56)</f>
        <v/>
      </c>
      <c r="M754" t="str">
        <f>IF(Kanatlar!N56="","",Kanatlar!N56)</f>
        <v/>
      </c>
      <c r="N754" t="str">
        <f>IF(Kanatlar!O56="","",Kanatlar!O56)</f>
        <v/>
      </c>
      <c r="O754" t="str">
        <f>IF(Kanatlar!P56="","",Kanatlar!P56)</f>
        <v/>
      </c>
      <c r="P754" t="str">
        <f>IF(Kanatlar!Q56="","",Kanatlar!Q56)</f>
        <v/>
      </c>
      <c r="Q754" t="str">
        <f>IF(Kanatlar!R56="","",Kanatlar!R56)</f>
        <v/>
      </c>
      <c r="R754" t="str">
        <f>IF(Kanatlar!S56="","",Kanatlar!S56)</f>
        <v/>
      </c>
      <c r="S754" t="str">
        <f>IF(Kanatlar!T56="","",Kanatlar!T56)</f>
        <v/>
      </c>
      <c r="T754" s="2" t="str">
        <f>IF(Kanatlar!U56="","",Kanatlar!U56)</f>
        <v/>
      </c>
      <c r="U754" t="s">
        <v>933</v>
      </c>
      <c r="V754">
        <v>56</v>
      </c>
      <c r="W754" t="str">
        <f ca="1">IF(AND($A754&lt;&gt;"",ISNUMBER($G754),$G754&gt;=TODAY(),$G754&lt;=EDATE(TODAY(),12)),COUNTIFS($G$2:$G$1001,"&gt;="&amp;TODAY(),$G$2:$G$1001,"&lt;"&amp;$G754,$A$2:$A$1001,"&lt;&gt;")+COUNTIFS($G$2:$G754,$G754,$A$2:$A754,"&lt;&gt;"),"")</f>
        <v/>
      </c>
      <c r="X754" t="str">
        <f>IF(AND($A754&lt;&gt;"",ISNUMBER($C754),$C754&gt;=DATE(2003,1,1)),COUNTIFS($C$2:$C754,"&gt;="&amp;DATE(2003,1,1),$A$2:$A754,"&lt;&gt;"),"")</f>
        <v/>
      </c>
    </row>
    <row r="755" spans="1:24">
      <c r="A755" t="str">
        <f>IF(Kanatlar!A57="","",Kanatlar!A57)</f>
        <v>ADNANE ABID</v>
      </c>
      <c r="B755" t="str">
        <f>IF(Kanatlar!B57="","",Kanatlar!B57)</f>
        <v>BELÇİKA / FAS</v>
      </c>
      <c r="C755" s="2">
        <f>IF(Kanatlar!C57="","",Kanatlar!C57)</f>
        <v>37856</v>
      </c>
      <c r="D755">
        <f ca="1">IF(Kanatlar!D57="","",Kanatlar!D57)</f>
        <v>23</v>
      </c>
      <c r="E755" t="str">
        <f>IF(Kanatlar!E57="","",Kanatlar!E57)</f>
        <v>Kanat</v>
      </c>
      <c r="F755" t="str">
        <f>IF(Kanatlar!G57="","",Kanatlar!G57)</f>
        <v>STANDARD LIÈGE</v>
      </c>
      <c r="G755" s="2">
        <f>IF(Kanatlar!H57="","",Kanatlar!H57)</f>
        <v>47299</v>
      </c>
      <c r="H755" t="str">
        <f>IF(Kanatlar!I57="","",Kanatlar!I57)</f>
        <v/>
      </c>
      <c r="I755">
        <f>IF(Kanatlar!A57="","",Kanatlar!J57)</f>
        <v>0</v>
      </c>
      <c r="J755" t="str">
        <f>IF(Kanatlar!A57="","",Kanatlar!K57)</f>
        <v>https://www.transfermarkt.fr/adnane-abid/profil/spieler/583899</v>
      </c>
      <c r="K755" t="str">
        <f>IF(Kanatlar!L57="","",Kanatlar!L57)</f>
        <v/>
      </c>
      <c r="L755" t="str">
        <f>IF(Kanatlar!M57="","",Kanatlar!M57)</f>
        <v/>
      </c>
      <c r="M755" t="str">
        <f>IF(Kanatlar!N57="","",Kanatlar!N57)</f>
        <v/>
      </c>
      <c r="N755" t="str">
        <f>IF(Kanatlar!O57="","",Kanatlar!O57)</f>
        <v/>
      </c>
      <c r="O755" t="str">
        <f>IF(Kanatlar!P57="","",Kanatlar!P57)</f>
        <v/>
      </c>
      <c r="P755" t="str">
        <f>IF(Kanatlar!Q57="","",Kanatlar!Q57)</f>
        <v/>
      </c>
      <c r="Q755" t="str">
        <f>IF(Kanatlar!R57="","",Kanatlar!R57)</f>
        <v/>
      </c>
      <c r="R755" t="str">
        <f>IF(Kanatlar!S57="","",Kanatlar!S57)</f>
        <v/>
      </c>
      <c r="S755" t="str">
        <f>IF(Kanatlar!T57="","",Kanatlar!T57)</f>
        <v/>
      </c>
      <c r="T755" s="2" t="str">
        <f>IF(Kanatlar!U57="","",Kanatlar!U57)</f>
        <v/>
      </c>
      <c r="U755" t="s">
        <v>933</v>
      </c>
      <c r="V755">
        <v>57</v>
      </c>
      <c r="W755" t="str">
        <f ca="1">IF(AND($A755&lt;&gt;"",ISNUMBER($G755),$G755&gt;=TODAY(),$G755&lt;=EDATE(TODAY(),12)),COUNTIFS($G$2:$G$1001,"&gt;="&amp;TODAY(),$G$2:$G$1001,"&lt;"&amp;$G755,$A$2:$A$1001,"&lt;&gt;")+COUNTIFS($G$2:$G755,$G755,$A$2:$A755,"&lt;&gt;"),"")</f>
        <v/>
      </c>
      <c r="X755">
        <f>IF(AND($A755&lt;&gt;"",ISNUMBER($C755),$C755&gt;=DATE(2003,1,1)),COUNTIFS($C$2:$C755,"&gt;="&amp;DATE(2003,1,1),$A$2:$A755,"&lt;&gt;"),"")</f>
        <v>48</v>
      </c>
    </row>
    <row r="756" spans="1:24">
      <c r="A756" t="str">
        <f>IF(Kanatlar!A58="","",Kanatlar!A58)</f>
        <v>MYRON VAN BREDERODE</v>
      </c>
      <c r="B756" t="str">
        <f>IF(Kanatlar!B58="","",Kanatlar!B58)</f>
        <v>HOLLANDA</v>
      </c>
      <c r="C756" s="2">
        <f>IF(Kanatlar!C58="","",Kanatlar!C58)</f>
        <v>37808</v>
      </c>
      <c r="D756">
        <f ca="1">IF(Kanatlar!D58="","",Kanatlar!D58)</f>
        <v>23</v>
      </c>
      <c r="E756" t="str">
        <f>IF(Kanatlar!E58="","",Kanatlar!E58)</f>
        <v>Kanat</v>
      </c>
      <c r="F756" t="str">
        <f>IF(Kanatlar!G58="","",Kanatlar!G58)</f>
        <v>KV MECHELEN</v>
      </c>
      <c r="G756" s="2">
        <f>IF(Kanatlar!H58="","",Kanatlar!H58)</f>
        <v>47299</v>
      </c>
      <c r="H756" t="str">
        <f>IF(Kanatlar!I58="","",Kanatlar!I58)</f>
        <v/>
      </c>
      <c r="I756">
        <f>IF(Kanatlar!A58="","",Kanatlar!J58)</f>
        <v>0</v>
      </c>
      <c r="J756" t="str">
        <f>IF(Kanatlar!A58="","",Kanatlar!K58)</f>
        <v>https://www.transfermarkt.com.tr/myron-van-brederode/profil/spieler/650712</v>
      </c>
      <c r="K756" t="str">
        <f>IF(Kanatlar!L58="","",Kanatlar!L58)</f>
        <v/>
      </c>
      <c r="L756" t="str">
        <f>IF(Kanatlar!M58="","",Kanatlar!M58)</f>
        <v/>
      </c>
      <c r="M756" t="str">
        <f>IF(Kanatlar!N58="","",Kanatlar!N58)</f>
        <v/>
      </c>
      <c r="N756" t="str">
        <f>IF(Kanatlar!O58="","",Kanatlar!O58)</f>
        <v/>
      </c>
      <c r="O756" t="str">
        <f>IF(Kanatlar!P58="","",Kanatlar!P58)</f>
        <v/>
      </c>
      <c r="P756" t="str">
        <f>IF(Kanatlar!Q58="","",Kanatlar!Q58)</f>
        <v/>
      </c>
      <c r="Q756" t="str">
        <f>IF(Kanatlar!R58="","",Kanatlar!R58)</f>
        <v/>
      </c>
      <c r="R756" t="str">
        <f>IF(Kanatlar!S58="","",Kanatlar!S58)</f>
        <v/>
      </c>
      <c r="S756" t="str">
        <f>IF(Kanatlar!T58="","",Kanatlar!T58)</f>
        <v/>
      </c>
      <c r="T756" s="2" t="str">
        <f>IF(Kanatlar!U58="","",Kanatlar!U58)</f>
        <v/>
      </c>
      <c r="U756" t="s">
        <v>933</v>
      </c>
      <c r="V756">
        <v>58</v>
      </c>
      <c r="W756" t="str">
        <f ca="1">IF(AND($A756&lt;&gt;"",ISNUMBER($G756),$G756&gt;=TODAY(),$G756&lt;=EDATE(TODAY(),12)),COUNTIFS($G$2:$G$1001,"&gt;="&amp;TODAY(),$G$2:$G$1001,"&lt;"&amp;$G756,$A$2:$A$1001,"&lt;&gt;")+COUNTIFS($G$2:$G756,$G756,$A$2:$A756,"&lt;&gt;"),"")</f>
        <v/>
      </c>
      <c r="X756">
        <f>IF(AND($A756&lt;&gt;"",ISNUMBER($C756),$C756&gt;=DATE(2003,1,1)),COUNTIFS($C$2:$C756,"&gt;="&amp;DATE(2003,1,1),$A$2:$A756,"&lt;&gt;"),"")</f>
        <v>49</v>
      </c>
    </row>
    <row r="757" spans="1:24">
      <c r="A757" t="str">
        <f>IF(Kanatlar!A59="","",Kanatlar!A59)</f>
        <v>CEDRIC NUOZZI</v>
      </c>
      <c r="B757" t="str">
        <f>IF(Kanatlar!B59="","",Kanatlar!B59)</f>
        <v>BELÇİKA</v>
      </c>
      <c r="C757" s="2">
        <f>IF(Kanatlar!C59="","",Kanatlar!C59)</f>
        <v>38747</v>
      </c>
      <c r="D757">
        <f ca="1">IF(Kanatlar!D59="","",Kanatlar!D59)</f>
        <v>20</v>
      </c>
      <c r="E757" t="str">
        <f>IF(Kanatlar!E59="","",Kanatlar!E59)</f>
        <v>Kanat</v>
      </c>
      <c r="F757" t="str">
        <f>IF(Kanatlar!G59="","",Kanatlar!G59)</f>
        <v>FC ALVERCA</v>
      </c>
      <c r="G757" s="2">
        <f>IF(Kanatlar!H59="","",Kanatlar!H59)</f>
        <v>46934</v>
      </c>
      <c r="H757" t="str">
        <f>IF(Kanatlar!I59="","",Kanatlar!I59)</f>
        <v/>
      </c>
      <c r="I757">
        <f>IF(Kanatlar!A59="","",Kanatlar!J59)</f>
        <v>0</v>
      </c>
      <c r="J757" t="str">
        <f>IF(Kanatlar!A59="","",Kanatlar!K59)</f>
        <v>https://www.transfermarkt.com.tr/cedric-nuozzi/profil/spieler/859923</v>
      </c>
      <c r="K757" t="str">
        <f>IF(Kanatlar!L59="","",Kanatlar!L59)</f>
        <v/>
      </c>
      <c r="L757" t="str">
        <f>IF(Kanatlar!M59="","",Kanatlar!M59)</f>
        <v/>
      </c>
      <c r="M757" t="str">
        <f>IF(Kanatlar!N59="","",Kanatlar!N59)</f>
        <v/>
      </c>
      <c r="N757" t="str">
        <f>IF(Kanatlar!O59="","",Kanatlar!O59)</f>
        <v/>
      </c>
      <c r="O757" t="str">
        <f>IF(Kanatlar!P59="","",Kanatlar!P59)</f>
        <v/>
      </c>
      <c r="P757" t="str">
        <f>IF(Kanatlar!Q59="","",Kanatlar!Q59)</f>
        <v/>
      </c>
      <c r="Q757" t="str">
        <f>IF(Kanatlar!R59="","",Kanatlar!R59)</f>
        <v/>
      </c>
      <c r="R757" t="str">
        <f>IF(Kanatlar!S59="","",Kanatlar!S59)</f>
        <v/>
      </c>
      <c r="S757" t="str">
        <f>IF(Kanatlar!T59="","",Kanatlar!T59)</f>
        <v/>
      </c>
      <c r="T757" s="2" t="str">
        <f>IF(Kanatlar!U59="","",Kanatlar!U59)</f>
        <v/>
      </c>
      <c r="U757" t="s">
        <v>933</v>
      </c>
      <c r="V757">
        <v>59</v>
      </c>
      <c r="W757" t="str">
        <f ca="1">IF(AND($A757&lt;&gt;"",ISNUMBER($G757),$G757&gt;=TODAY(),$G757&lt;=EDATE(TODAY(),12)),COUNTIFS($G$2:$G$1001,"&gt;="&amp;TODAY(),$G$2:$G$1001,"&lt;"&amp;$G757,$A$2:$A$1001,"&lt;&gt;")+COUNTIFS($G$2:$G757,$G757,$A$2:$A757,"&lt;&gt;"),"")</f>
        <v/>
      </c>
      <c r="X757">
        <f>IF(AND($A757&lt;&gt;"",ISNUMBER($C757),$C757&gt;=DATE(2003,1,1)),COUNTIFS($C$2:$C757,"&gt;="&amp;DATE(2003,1,1),$A$2:$A757,"&lt;&gt;"),"")</f>
        <v>50</v>
      </c>
    </row>
    <row r="758" spans="1:24">
      <c r="A758" t="str">
        <f>IF(Kanatlar!A60="","",Kanatlar!A60)</f>
        <v>CHIQUINHO</v>
      </c>
      <c r="B758" t="str">
        <f>IF(Kanatlar!B60="","",Kanatlar!B60)</f>
        <v>PORTEKİZ / YEŞİL BURUN ADALARI</v>
      </c>
      <c r="C758" s="2">
        <f>IF(Kanatlar!C60="","",Kanatlar!C60)</f>
        <v>36561</v>
      </c>
      <c r="D758">
        <f ca="1">IF(Kanatlar!D60="","",Kanatlar!D60)</f>
        <v>26</v>
      </c>
      <c r="E758" t="str">
        <f>IF(Kanatlar!E60="","",Kanatlar!E60)</f>
        <v>Kanat</v>
      </c>
      <c r="F758" t="str">
        <f>IF(Kanatlar!G60="","",Kanatlar!G60)</f>
        <v>FC ALVERCA</v>
      </c>
      <c r="G758" s="2">
        <f>IF(Kanatlar!H60="","",Kanatlar!H60)</f>
        <v>46934</v>
      </c>
      <c r="H758" t="str">
        <f>IF(Kanatlar!I60="","",Kanatlar!I60)</f>
        <v/>
      </c>
      <c r="I758">
        <f>IF(Kanatlar!A60="","",Kanatlar!J60)</f>
        <v>0</v>
      </c>
      <c r="J758" t="str">
        <f>IF(Kanatlar!A60="","",Kanatlar!K60)</f>
        <v>https://www.transfermarkt.com.tr/chiquinho/profil/spieler/695454</v>
      </c>
      <c r="K758" t="str">
        <f>IF(Kanatlar!L60="","",Kanatlar!L60)</f>
        <v/>
      </c>
      <c r="L758" t="str">
        <f>IF(Kanatlar!M60="","",Kanatlar!M60)</f>
        <v/>
      </c>
      <c r="M758" t="str">
        <f>IF(Kanatlar!N60="","",Kanatlar!N60)</f>
        <v/>
      </c>
      <c r="N758" t="str">
        <f>IF(Kanatlar!O60="","",Kanatlar!O60)</f>
        <v/>
      </c>
      <c r="O758" t="str">
        <f>IF(Kanatlar!P60="","",Kanatlar!P60)</f>
        <v/>
      </c>
      <c r="P758" t="str">
        <f>IF(Kanatlar!Q60="","",Kanatlar!Q60)</f>
        <v/>
      </c>
      <c r="Q758" t="str">
        <f>IF(Kanatlar!R60="","",Kanatlar!R60)</f>
        <v/>
      </c>
      <c r="R758" t="str">
        <f>IF(Kanatlar!S60="","",Kanatlar!S60)</f>
        <v/>
      </c>
      <c r="S758" t="str">
        <f>IF(Kanatlar!T60="","",Kanatlar!T60)</f>
        <v/>
      </c>
      <c r="T758" s="2" t="str">
        <f>IF(Kanatlar!U60="","",Kanatlar!U60)</f>
        <v/>
      </c>
      <c r="U758" t="s">
        <v>933</v>
      </c>
      <c r="V758">
        <v>60</v>
      </c>
      <c r="W758" t="str">
        <f ca="1">IF(AND($A758&lt;&gt;"",ISNUMBER($G758),$G758&gt;=TODAY(),$G758&lt;=EDATE(TODAY(),12)),COUNTIFS($G$2:$G$1001,"&gt;="&amp;TODAY(),$G$2:$G$1001,"&lt;"&amp;$G758,$A$2:$A$1001,"&lt;&gt;")+COUNTIFS($G$2:$G758,$G758,$A$2:$A758,"&lt;&gt;"),"")</f>
        <v/>
      </c>
      <c r="X758" t="str">
        <f>IF(AND($A758&lt;&gt;"",ISNUMBER($C758),$C758&gt;=DATE(2003,1,1)),COUNTIFS($C$2:$C758,"&gt;="&amp;DATE(2003,1,1),$A$2:$A758,"&lt;&gt;"),"")</f>
        <v/>
      </c>
    </row>
    <row r="759" spans="1:24">
      <c r="A759" t="str">
        <f>IF(Kanatlar!A61="","",Kanatlar!A61)</f>
        <v>SULEMAN SANI</v>
      </c>
      <c r="B759" t="str">
        <f>IF(Kanatlar!B61="","",Kanatlar!B61)</f>
        <v>NİJERYA</v>
      </c>
      <c r="C759" s="2">
        <f>IF(Kanatlar!C61="","",Kanatlar!C61)</f>
        <v>38961</v>
      </c>
      <c r="D759">
        <f ca="1">IF(Kanatlar!D61="","",Kanatlar!D61)</f>
        <v>20</v>
      </c>
      <c r="E759" t="str">
        <f>IF(Kanatlar!E61="","",Kanatlar!E61)</f>
        <v>Kanat</v>
      </c>
      <c r="F759" t="str">
        <f>IF(Kanatlar!G61="","",Kanatlar!G61)</f>
        <v>RB LEIPZIG</v>
      </c>
      <c r="G759" s="2">
        <f>IF(Kanatlar!H61="","",Kanatlar!H61)</f>
        <v>48029</v>
      </c>
      <c r="H759" t="str">
        <f>IF(Kanatlar!I61="","",Kanatlar!I61)</f>
        <v/>
      </c>
      <c r="I759">
        <f>IF(Kanatlar!A61="","",Kanatlar!J61)</f>
        <v>0</v>
      </c>
      <c r="J759" t="str">
        <f>IF(Kanatlar!A61="","",Kanatlar!K61)</f>
        <v>https://www.transfermarkt.com/suleman-sani/profil/spieler/1235583</v>
      </c>
      <c r="K759" t="str">
        <f>IF(Kanatlar!L61="","",Kanatlar!L61)</f>
        <v/>
      </c>
      <c r="L759" t="str">
        <f>IF(Kanatlar!M61="","",Kanatlar!M61)</f>
        <v/>
      </c>
      <c r="M759" t="str">
        <f>IF(Kanatlar!N61="","",Kanatlar!N61)</f>
        <v/>
      </c>
      <c r="N759" t="str">
        <f>IF(Kanatlar!O61="","",Kanatlar!O61)</f>
        <v/>
      </c>
      <c r="O759" t="str">
        <f>IF(Kanatlar!P61="","",Kanatlar!P61)</f>
        <v/>
      </c>
      <c r="P759" t="str">
        <f>IF(Kanatlar!Q61="","",Kanatlar!Q61)</f>
        <v/>
      </c>
      <c r="Q759" t="str">
        <f>IF(Kanatlar!R61="","",Kanatlar!R61)</f>
        <v/>
      </c>
      <c r="R759" t="str">
        <f>IF(Kanatlar!S61="","",Kanatlar!S61)</f>
        <v/>
      </c>
      <c r="S759" t="str">
        <f>IF(Kanatlar!T61="","",Kanatlar!T61)</f>
        <v/>
      </c>
      <c r="T759" s="2" t="str">
        <f>IF(Kanatlar!U61="","",Kanatlar!U61)</f>
        <v/>
      </c>
      <c r="U759" t="s">
        <v>933</v>
      </c>
      <c r="V759">
        <v>61</v>
      </c>
      <c r="W759" t="str">
        <f ca="1">IF(AND($A759&lt;&gt;"",ISNUMBER($G759),$G759&gt;=TODAY(),$G759&lt;=EDATE(TODAY(),12)),COUNTIFS($G$2:$G$1001,"&gt;="&amp;TODAY(),$G$2:$G$1001,"&lt;"&amp;$G759,$A$2:$A$1001,"&lt;&gt;")+COUNTIFS($G$2:$G759,$G759,$A$2:$A759,"&lt;&gt;"),"")</f>
        <v/>
      </c>
      <c r="X759">
        <f>IF(AND($A759&lt;&gt;"",ISNUMBER($C759),$C759&gt;=DATE(2003,1,1)),COUNTIFS($C$2:$C759,"&gt;="&amp;DATE(2003,1,1),$A$2:$A759,"&lt;&gt;"),"")</f>
        <v>51</v>
      </c>
    </row>
    <row r="760" spans="1:24">
      <c r="A760" t="str">
        <f>IF(Kanatlar!A62="","",Kanatlar!A62)</f>
        <v>ZAKARIA ABOUKHLAL</v>
      </c>
      <c r="B760" t="str">
        <f>IF(Kanatlar!B62="","",Kanatlar!B62)</f>
        <v>FAS / HOLLANDA</v>
      </c>
      <c r="C760" s="2">
        <f>IF(Kanatlar!C62="","",Kanatlar!C62)</f>
        <v>36574</v>
      </c>
      <c r="D760">
        <f ca="1">IF(Kanatlar!D62="","",Kanatlar!D62)</f>
        <v>26</v>
      </c>
      <c r="E760" t="str">
        <f>IF(Kanatlar!E62="","",Kanatlar!E62)</f>
        <v>Kanat</v>
      </c>
      <c r="F760" t="str">
        <f>IF(Kanatlar!G62="","",Kanatlar!G62)</f>
        <v>TORINO FC</v>
      </c>
      <c r="G760" s="2">
        <f>IF(Kanatlar!H62="","",Kanatlar!H62)</f>
        <v>47299</v>
      </c>
      <c r="H760" t="str">
        <f>IF(Kanatlar!I62="","",Kanatlar!I62)</f>
        <v/>
      </c>
      <c r="I760">
        <f>IF(Kanatlar!A62="","",Kanatlar!J62)</f>
        <v>0</v>
      </c>
      <c r="J760" t="str">
        <f>IF(Kanatlar!A62="","",Kanatlar!K62)</f>
        <v>https://www.transfermarkt.com.tr/zakaria-aboukhlal/leistungsdatendetails/spieler/393238</v>
      </c>
      <c r="K760" t="str">
        <f>IF(Kanatlar!L62="","",Kanatlar!L62)</f>
        <v/>
      </c>
      <c r="L760" t="str">
        <f>IF(Kanatlar!M62="","",Kanatlar!M62)</f>
        <v/>
      </c>
      <c r="M760" t="str">
        <f>IF(Kanatlar!N62="","",Kanatlar!N62)</f>
        <v/>
      </c>
      <c r="N760" t="str">
        <f>IF(Kanatlar!O62="","",Kanatlar!O62)</f>
        <v/>
      </c>
      <c r="O760" t="str">
        <f>IF(Kanatlar!P62="","",Kanatlar!P62)</f>
        <v/>
      </c>
      <c r="P760" t="str">
        <f>IF(Kanatlar!Q62="","",Kanatlar!Q62)</f>
        <v/>
      </c>
      <c r="Q760" t="str">
        <f>IF(Kanatlar!R62="","",Kanatlar!R62)</f>
        <v/>
      </c>
      <c r="R760" t="str">
        <f>IF(Kanatlar!S62="","",Kanatlar!S62)</f>
        <v/>
      </c>
      <c r="S760" t="str">
        <f>IF(Kanatlar!T62="","",Kanatlar!T62)</f>
        <v/>
      </c>
      <c r="T760" s="2" t="str">
        <f>IF(Kanatlar!U62="","",Kanatlar!U62)</f>
        <v/>
      </c>
      <c r="U760" t="s">
        <v>933</v>
      </c>
      <c r="V760">
        <v>62</v>
      </c>
      <c r="W760" t="str">
        <f ca="1">IF(AND($A760&lt;&gt;"",ISNUMBER($G760),$G760&gt;=TODAY(),$G760&lt;=EDATE(TODAY(),12)),COUNTIFS($G$2:$G$1001,"&gt;="&amp;TODAY(),$G$2:$G$1001,"&lt;"&amp;$G760,$A$2:$A$1001,"&lt;&gt;")+COUNTIFS($G$2:$G760,$G760,$A$2:$A760,"&lt;&gt;"),"")</f>
        <v/>
      </c>
      <c r="X760" t="str">
        <f>IF(AND($A760&lt;&gt;"",ISNUMBER($C760),$C760&gt;=DATE(2003,1,1)),COUNTIFS($C$2:$C760,"&gt;="&amp;DATE(2003,1,1),$A$2:$A760,"&lt;&gt;"),"")</f>
        <v/>
      </c>
    </row>
    <row r="761" spans="1:24">
      <c r="A761" t="str">
        <f>IF(Kanatlar!A63="","",Kanatlar!A63)</f>
        <v>FABRICE TAMBA</v>
      </c>
      <c r="B761" t="str">
        <f>IF(Kanatlar!B63="","",Kanatlar!B63)</f>
        <v>SENEGAL</v>
      </c>
      <c r="C761" s="2">
        <f>IF(Kanatlar!C63="","",Kanatlar!C63)</f>
        <v>38010</v>
      </c>
      <c r="D761">
        <f ca="1">IF(Kanatlar!D63="","",Kanatlar!D63)</f>
        <v>22</v>
      </c>
      <c r="E761" t="str">
        <f>IF(Kanatlar!E63="","",Kanatlar!E63)</f>
        <v>Kanat</v>
      </c>
      <c r="F761" t="str">
        <f>IF(Kanatlar!G63="","",Kanatlar!G63)</f>
        <v>SHKENDIJA TETOVO</v>
      </c>
      <c r="G761" s="2">
        <f>IF(Kanatlar!H63="","",Kanatlar!H63)</f>
        <v>46934</v>
      </c>
      <c r="H761" t="str">
        <f>IF(Kanatlar!I63="","",Kanatlar!I63)</f>
        <v/>
      </c>
      <c r="I761">
        <f>IF(Kanatlar!A63="","",Kanatlar!J63)</f>
        <v>0</v>
      </c>
      <c r="J761" t="str">
        <f>IF(Kanatlar!A63="","",Kanatlar!K63)</f>
        <v>https://www.transfermarkt.com.tr/fabrice-tamba/profil/spieler/1008877</v>
      </c>
      <c r="K761" t="str">
        <f>IF(Kanatlar!L63="","",Kanatlar!L63)</f>
        <v/>
      </c>
      <c r="L761" t="str">
        <f>IF(Kanatlar!M63="","",Kanatlar!M63)</f>
        <v/>
      </c>
      <c r="M761" t="str">
        <f>IF(Kanatlar!N63="","",Kanatlar!N63)</f>
        <v/>
      </c>
      <c r="N761" t="str">
        <f>IF(Kanatlar!O63="","",Kanatlar!O63)</f>
        <v/>
      </c>
      <c r="O761" t="str">
        <f>IF(Kanatlar!P63="","",Kanatlar!P63)</f>
        <v/>
      </c>
      <c r="P761" t="str">
        <f>IF(Kanatlar!Q63="","",Kanatlar!Q63)</f>
        <v/>
      </c>
      <c r="Q761" t="str">
        <f>IF(Kanatlar!R63="","",Kanatlar!R63)</f>
        <v/>
      </c>
      <c r="R761" t="str">
        <f>IF(Kanatlar!S63="","",Kanatlar!S63)</f>
        <v/>
      </c>
      <c r="S761" t="str">
        <f>IF(Kanatlar!T63="","",Kanatlar!T63)</f>
        <v/>
      </c>
      <c r="T761" s="2" t="str">
        <f>IF(Kanatlar!U63="","",Kanatlar!U63)</f>
        <v/>
      </c>
      <c r="U761" t="s">
        <v>933</v>
      </c>
      <c r="V761">
        <v>63</v>
      </c>
      <c r="W761" t="str">
        <f ca="1">IF(AND($A761&lt;&gt;"",ISNUMBER($G761),$G761&gt;=TODAY(),$G761&lt;=EDATE(TODAY(),12)),COUNTIFS($G$2:$G$1001,"&gt;="&amp;TODAY(),$G$2:$G$1001,"&lt;"&amp;$G761,$A$2:$A$1001,"&lt;&gt;")+COUNTIFS($G$2:$G761,$G761,$A$2:$A761,"&lt;&gt;"),"")</f>
        <v/>
      </c>
      <c r="X761">
        <f>IF(AND($A761&lt;&gt;"",ISNUMBER($C761),$C761&gt;=DATE(2003,1,1)),COUNTIFS($C$2:$C761,"&gt;="&amp;DATE(2003,1,1),$A$2:$A761,"&lt;&gt;"),"")</f>
        <v>52</v>
      </c>
    </row>
    <row r="762" spans="1:24">
      <c r="A762" t="str">
        <f>IF(Kanatlar!A64="","",Kanatlar!A64)</f>
        <v>LUCA OYEN</v>
      </c>
      <c r="B762" t="str">
        <f>IF(Kanatlar!B64="","",Kanatlar!B64)</f>
        <v>BELÇİKA</v>
      </c>
      <c r="C762" s="2">
        <f>IF(Kanatlar!C64="","",Kanatlar!C64)</f>
        <v>37694</v>
      </c>
      <c r="D762">
        <f ca="1">IF(Kanatlar!D64="","",Kanatlar!D64)</f>
        <v>23</v>
      </c>
      <c r="E762" t="str">
        <f>IF(Kanatlar!E64="","",Kanatlar!E64)</f>
        <v>Kanat</v>
      </c>
      <c r="F762" t="str">
        <f>IF(Kanatlar!G64="","",Kanatlar!G64)</f>
        <v>SC HEERENVEEN</v>
      </c>
      <c r="G762" s="2">
        <f>IF(Kanatlar!H64="","",Kanatlar!H64)</f>
        <v>47299</v>
      </c>
      <c r="H762" t="str">
        <f>IF(Kanatlar!I64="","",Kanatlar!I64)</f>
        <v/>
      </c>
      <c r="I762">
        <f>IF(Kanatlar!A64="","",Kanatlar!J64)</f>
        <v>0</v>
      </c>
      <c r="J762" t="str">
        <f>IF(Kanatlar!A64="","",Kanatlar!K64)</f>
        <v>https://www.transfermarkt.com.tr/luca-oyen/profil/spieler/551085</v>
      </c>
      <c r="K762" t="str">
        <f>IF(Kanatlar!L64="","",Kanatlar!L64)</f>
        <v/>
      </c>
      <c r="L762" t="str">
        <f>IF(Kanatlar!M64="","",Kanatlar!M64)</f>
        <v/>
      </c>
      <c r="M762" t="str">
        <f>IF(Kanatlar!N64="","",Kanatlar!N64)</f>
        <v/>
      </c>
      <c r="N762" t="str">
        <f>IF(Kanatlar!O64="","",Kanatlar!O64)</f>
        <v/>
      </c>
      <c r="O762" t="str">
        <f>IF(Kanatlar!P64="","",Kanatlar!P64)</f>
        <v/>
      </c>
      <c r="P762" t="str">
        <f>IF(Kanatlar!Q64="","",Kanatlar!Q64)</f>
        <v/>
      </c>
      <c r="Q762" t="str">
        <f>IF(Kanatlar!R64="","",Kanatlar!R64)</f>
        <v/>
      </c>
      <c r="R762" t="str">
        <f>IF(Kanatlar!S64="","",Kanatlar!S64)</f>
        <v/>
      </c>
      <c r="S762" t="str">
        <f>IF(Kanatlar!T64="","",Kanatlar!T64)</f>
        <v/>
      </c>
      <c r="T762" s="2" t="str">
        <f>IF(Kanatlar!U64="","",Kanatlar!U64)</f>
        <v/>
      </c>
      <c r="U762" t="s">
        <v>933</v>
      </c>
      <c r="V762">
        <v>64</v>
      </c>
      <c r="W762" t="str">
        <f ca="1">IF(AND($A762&lt;&gt;"",ISNUMBER($G762),$G762&gt;=TODAY(),$G762&lt;=EDATE(TODAY(),12)),COUNTIFS($G$2:$G$1001,"&gt;="&amp;TODAY(),$G$2:$G$1001,"&lt;"&amp;$G762,$A$2:$A$1001,"&lt;&gt;")+COUNTIFS($G$2:$G762,$G762,$A$2:$A762,"&lt;&gt;"),"")</f>
        <v/>
      </c>
      <c r="X762">
        <f>IF(AND($A762&lt;&gt;"",ISNUMBER($C762),$C762&gt;=DATE(2003,1,1)),COUNTIFS($C$2:$C762,"&gt;="&amp;DATE(2003,1,1),$A$2:$A762,"&lt;&gt;"),"")</f>
        <v>53</v>
      </c>
    </row>
    <row r="763" spans="1:24">
      <c r="A763" t="str">
        <f>IF(Kanatlar!A65="","",Kanatlar!A65)</f>
        <v>NICOLAS VALLEJO</v>
      </c>
      <c r="B763" t="str">
        <f>IF(Kanatlar!B65="","",Kanatlar!B65)</f>
        <v/>
      </c>
      <c r="C763" s="2" t="str">
        <f>IF(Kanatlar!C65="","",Kanatlar!C65)</f>
        <v/>
      </c>
      <c r="D763" t="str">
        <f ca="1">IF(Kanatlar!D65="","",Kanatlar!D65)</f>
        <v/>
      </c>
      <c r="E763" t="str">
        <f>IF(Kanatlar!E65="","",Kanatlar!E65)</f>
        <v>Kanat</v>
      </c>
      <c r="F763" t="str">
        <f>IF(Kanatlar!G65="","",Kanatlar!G65)</f>
        <v/>
      </c>
      <c r="G763" s="2" t="str">
        <f>IF(Kanatlar!H65="","",Kanatlar!H65)</f>
        <v>-</v>
      </c>
      <c r="H763" t="str">
        <f>IF(Kanatlar!I65="","",Kanatlar!I65)</f>
        <v/>
      </c>
      <c r="I763">
        <f>IF(Kanatlar!A65="","",Kanatlar!J65)</f>
        <v>0</v>
      </c>
      <c r="J763" t="str">
        <f>IF(Kanatlar!A65="","",Kanatlar!K65)</f>
        <v>https://www.transfermarkt.com.ar/nicolas-vallejo/profil/spieler/1040204</v>
      </c>
      <c r="K763" t="str">
        <f>IF(Kanatlar!L65="","",Kanatlar!L65)</f>
        <v/>
      </c>
      <c r="L763" t="str">
        <f>IF(Kanatlar!M65="","",Kanatlar!M65)</f>
        <v/>
      </c>
      <c r="M763" t="str">
        <f>IF(Kanatlar!N65="","",Kanatlar!N65)</f>
        <v/>
      </c>
      <c r="N763" t="str">
        <f>IF(Kanatlar!O65="","",Kanatlar!O65)</f>
        <v/>
      </c>
      <c r="O763" t="str">
        <f>IF(Kanatlar!P65="","",Kanatlar!P65)</f>
        <v/>
      </c>
      <c r="P763" t="str">
        <f>IF(Kanatlar!Q65="","",Kanatlar!Q65)</f>
        <v/>
      </c>
      <c r="Q763" t="str">
        <f>IF(Kanatlar!R65="","",Kanatlar!R65)</f>
        <v/>
      </c>
      <c r="R763" t="str">
        <f>IF(Kanatlar!S65="","",Kanatlar!S65)</f>
        <v/>
      </c>
      <c r="S763" t="str">
        <f>IF(Kanatlar!T65="","",Kanatlar!T65)</f>
        <v/>
      </c>
      <c r="T763" s="2" t="str">
        <f>IF(Kanatlar!U65="","",Kanatlar!U65)</f>
        <v/>
      </c>
      <c r="U763" t="s">
        <v>933</v>
      </c>
      <c r="V763">
        <v>65</v>
      </c>
      <c r="W763" t="str">
        <f ca="1">IF(AND($A763&lt;&gt;"",ISNUMBER($G763),$G763&gt;=TODAY(),$G763&lt;=EDATE(TODAY(),12)),COUNTIFS($G$2:$G$1001,"&gt;="&amp;TODAY(),$G$2:$G$1001,"&lt;"&amp;$G763,$A$2:$A$1001,"&lt;&gt;")+COUNTIFS($G$2:$G763,$G763,$A$2:$A763,"&lt;&gt;"),"")</f>
        <v/>
      </c>
      <c r="X763" t="str">
        <f>IF(AND($A763&lt;&gt;"",ISNUMBER($C763),$C763&gt;=DATE(2003,1,1)),COUNTIFS($C$2:$C763,"&gt;="&amp;DATE(2003,1,1),$A$2:$A763,"&lt;&gt;"),"")</f>
        <v/>
      </c>
    </row>
    <row r="764" spans="1:24">
      <c r="A764" t="str">
        <f>IF(Kanatlar!A66="","",Kanatlar!A66)</f>
        <v>NEMANJA TRIFUNOVIC</v>
      </c>
      <c r="B764" t="str">
        <f>IF(Kanatlar!B66="","",Kanatlar!B66)</f>
        <v>SIRBİSTAN</v>
      </c>
      <c r="C764" s="2">
        <f>IF(Kanatlar!C66="","",Kanatlar!C66)</f>
        <v>38167</v>
      </c>
      <c r="D764">
        <f ca="1">IF(Kanatlar!D66="","",Kanatlar!D66)</f>
        <v>22</v>
      </c>
      <c r="E764" t="str">
        <f>IF(Kanatlar!E66="","",Kanatlar!E66)</f>
        <v>Kanat</v>
      </c>
      <c r="F764" t="str">
        <f>IF(Kanatlar!G66="","",Kanatlar!G66)</f>
        <v>PARTIZAN</v>
      </c>
      <c r="G764" s="2">
        <f>IF(Kanatlar!H66="","",Kanatlar!H66)</f>
        <v>46934</v>
      </c>
      <c r="H764" t="str">
        <f>IF(Kanatlar!I66="","",Kanatlar!I66)</f>
        <v/>
      </c>
      <c r="I764">
        <f>IF(Kanatlar!A66="","",Kanatlar!J66)</f>
        <v>0</v>
      </c>
      <c r="J764" t="str">
        <f>IF(Kanatlar!A66="","",Kanatlar!K66)</f>
        <v>https://www.transfermarkt.com/nemanja-trifunovic/profil/spieler/848660</v>
      </c>
      <c r="K764" t="str">
        <f>IF(Kanatlar!L66="","",Kanatlar!L66)</f>
        <v/>
      </c>
      <c r="L764" t="str">
        <f>IF(Kanatlar!M66="","",Kanatlar!M66)</f>
        <v/>
      </c>
      <c r="M764" t="str">
        <f>IF(Kanatlar!N66="","",Kanatlar!N66)</f>
        <v/>
      </c>
      <c r="N764" t="str">
        <f>IF(Kanatlar!O66="","",Kanatlar!O66)</f>
        <v/>
      </c>
      <c r="O764" t="str">
        <f>IF(Kanatlar!P66="","",Kanatlar!P66)</f>
        <v/>
      </c>
      <c r="P764" t="str">
        <f>IF(Kanatlar!Q66="","",Kanatlar!Q66)</f>
        <v/>
      </c>
      <c r="Q764" t="str">
        <f>IF(Kanatlar!R66="","",Kanatlar!R66)</f>
        <v/>
      </c>
      <c r="R764" t="str">
        <f>IF(Kanatlar!S66="","",Kanatlar!S66)</f>
        <v/>
      </c>
      <c r="S764" t="str">
        <f>IF(Kanatlar!T66="","",Kanatlar!T66)</f>
        <v/>
      </c>
      <c r="T764" s="2" t="str">
        <f>IF(Kanatlar!U66="","",Kanatlar!U66)</f>
        <v/>
      </c>
      <c r="U764" t="s">
        <v>933</v>
      </c>
      <c r="V764">
        <v>66</v>
      </c>
      <c r="W764" t="str">
        <f ca="1">IF(AND($A764&lt;&gt;"",ISNUMBER($G764),$G764&gt;=TODAY(),$G764&lt;=EDATE(TODAY(),12)),COUNTIFS($G$2:$G$1001,"&gt;="&amp;TODAY(),$G$2:$G$1001,"&lt;"&amp;$G764,$A$2:$A$1001,"&lt;&gt;")+COUNTIFS($G$2:$G764,$G764,$A$2:$A764,"&lt;&gt;"),"")</f>
        <v/>
      </c>
      <c r="X764">
        <f>IF(AND($A764&lt;&gt;"",ISNUMBER($C764),$C764&gt;=DATE(2003,1,1)),COUNTIFS($C$2:$C764,"&gt;="&amp;DATE(2003,1,1),$A$2:$A764,"&lt;&gt;"),"")</f>
        <v>54</v>
      </c>
    </row>
    <row r="765" spans="1:24">
      <c r="A765" t="str">
        <f>IF(Kanatlar!A67="","",Kanatlar!A67)</f>
        <v>ADRIAN BLAKE</v>
      </c>
      <c r="B765" t="str">
        <f>IF(Kanatlar!B67="","",Kanatlar!B67)</f>
        <v>İNGİLTERE / JAMAİKA</v>
      </c>
      <c r="C765" s="2">
        <f>IF(Kanatlar!C67="","",Kanatlar!C67)</f>
        <v>38548</v>
      </c>
      <c r="D765">
        <f ca="1">IF(Kanatlar!D67="","",Kanatlar!D67)</f>
        <v>21</v>
      </c>
      <c r="E765" t="str">
        <f>IF(Kanatlar!E67="","",Kanatlar!E67)</f>
        <v>Kanat</v>
      </c>
      <c r="F765" t="str">
        <f>IF(Kanatlar!G67="","",Kanatlar!G67)</f>
        <v>FC UTRECHT</v>
      </c>
      <c r="G765" s="2">
        <f>IF(Kanatlar!H67="","",Kanatlar!H67)</f>
        <v>46568</v>
      </c>
      <c r="H765" t="str">
        <f>IF(Kanatlar!I67="","",Kanatlar!I67)</f>
        <v/>
      </c>
      <c r="I765">
        <f>IF(Kanatlar!A67="","",Kanatlar!J67)</f>
        <v>0</v>
      </c>
      <c r="J765" t="str">
        <f>IF(Kanatlar!A67="","",Kanatlar!K67)</f>
        <v>https://www.transfermarkt.com.tr/adrian-blake/profil/spieler/875581</v>
      </c>
      <c r="K765" t="str">
        <f>IF(Kanatlar!L67="","",Kanatlar!L67)</f>
        <v/>
      </c>
      <c r="L765" t="str">
        <f>IF(Kanatlar!M67="","",Kanatlar!M67)</f>
        <v/>
      </c>
      <c r="M765" t="str">
        <f>IF(Kanatlar!N67="","",Kanatlar!N67)</f>
        <v/>
      </c>
      <c r="N765" t="str">
        <f>IF(Kanatlar!O67="","",Kanatlar!O67)</f>
        <v/>
      </c>
      <c r="O765" t="str">
        <f>IF(Kanatlar!P67="","",Kanatlar!P67)</f>
        <v/>
      </c>
      <c r="P765" t="str">
        <f>IF(Kanatlar!Q67="","",Kanatlar!Q67)</f>
        <v/>
      </c>
      <c r="Q765" t="str">
        <f>IF(Kanatlar!R67="","",Kanatlar!R67)</f>
        <v/>
      </c>
      <c r="R765" t="str">
        <f>IF(Kanatlar!S67="","",Kanatlar!S67)</f>
        <v/>
      </c>
      <c r="S765" t="str">
        <f>IF(Kanatlar!T67="","",Kanatlar!T67)</f>
        <v/>
      </c>
      <c r="T765" s="2" t="str">
        <f>IF(Kanatlar!U67="","",Kanatlar!U67)</f>
        <v/>
      </c>
      <c r="U765" t="s">
        <v>933</v>
      </c>
      <c r="V765">
        <v>67</v>
      </c>
      <c r="W765">
        <f ca="1">IF(AND($A765&lt;&gt;"",ISNUMBER($G765),$G765&gt;=TODAY(),$G765&lt;=EDATE(TODAY(),12)),COUNTIFS($G$2:$G$1001,"&gt;="&amp;TODAY(),$G$2:$G$1001,"&lt;"&amp;$G765,$A$2:$A$1001,"&lt;&gt;")+COUNTIFS($G$2:$G765,$G765,$A$2:$A765,"&lt;&gt;"),"")</f>
        <v>53</v>
      </c>
      <c r="X765">
        <f>IF(AND($A765&lt;&gt;"",ISNUMBER($C765),$C765&gt;=DATE(2003,1,1)),COUNTIFS($C$2:$C765,"&gt;="&amp;DATE(2003,1,1),$A$2:$A765,"&lt;&gt;"),"")</f>
        <v>55</v>
      </c>
    </row>
    <row r="766" spans="1:24">
      <c r="A766" t="str">
        <f>IF(Kanatlar!A68="","",Kanatlar!A68)</f>
        <v>VITINHO MOTA</v>
      </c>
      <c r="B766" t="str">
        <f>IF(Kanatlar!B68="","",Kanatlar!B68)</f>
        <v/>
      </c>
      <c r="C766" s="2" t="str">
        <f>IF(Kanatlar!C68="","",Kanatlar!C68)</f>
        <v/>
      </c>
      <c r="D766" t="str">
        <f ca="1">IF(Kanatlar!D68="","",Kanatlar!D68)</f>
        <v/>
      </c>
      <c r="E766" t="str">
        <f>IF(Kanatlar!E68="","",Kanatlar!E68)</f>
        <v>Kanat</v>
      </c>
      <c r="F766" t="str">
        <f>IF(Kanatlar!G68="","",Kanatlar!G68)</f>
        <v/>
      </c>
      <c r="G766" s="2" t="str">
        <f>IF(Kanatlar!H68="","",Kanatlar!H68)</f>
        <v>-</v>
      </c>
      <c r="H766" t="str">
        <f>IF(Kanatlar!I68="","",Kanatlar!I68)</f>
        <v/>
      </c>
      <c r="I766">
        <f>IF(Kanatlar!A68="","",Kanatlar!J68)</f>
        <v>0</v>
      </c>
      <c r="J766" t="str">
        <f>IF(Kanatlar!A68="","",Kanatlar!K68)</f>
        <v>https://www.transfermarkt.com.br/vitinho-mota/profil/spieler/1090856</v>
      </c>
      <c r="K766" t="str">
        <f>IF(Kanatlar!L68="","",Kanatlar!L68)</f>
        <v/>
      </c>
      <c r="L766" t="str">
        <f>IF(Kanatlar!M68="","",Kanatlar!M68)</f>
        <v/>
      </c>
      <c r="M766" t="str">
        <f>IF(Kanatlar!N68="","",Kanatlar!N68)</f>
        <v/>
      </c>
      <c r="N766" t="str">
        <f>IF(Kanatlar!O68="","",Kanatlar!O68)</f>
        <v/>
      </c>
      <c r="O766" t="str">
        <f>IF(Kanatlar!P68="","",Kanatlar!P68)</f>
        <v/>
      </c>
      <c r="P766" t="str">
        <f>IF(Kanatlar!Q68="","",Kanatlar!Q68)</f>
        <v/>
      </c>
      <c r="Q766" t="str">
        <f>IF(Kanatlar!R68="","",Kanatlar!R68)</f>
        <v/>
      </c>
      <c r="R766" t="str">
        <f>IF(Kanatlar!S68="","",Kanatlar!S68)</f>
        <v/>
      </c>
      <c r="S766" t="str">
        <f>IF(Kanatlar!T68="","",Kanatlar!T68)</f>
        <v/>
      </c>
      <c r="T766" s="2" t="str">
        <f>IF(Kanatlar!U68="","",Kanatlar!U68)</f>
        <v/>
      </c>
      <c r="U766" t="s">
        <v>933</v>
      </c>
      <c r="V766">
        <v>68</v>
      </c>
      <c r="W766" t="str">
        <f ca="1">IF(AND($A766&lt;&gt;"",ISNUMBER($G766),$G766&gt;=TODAY(),$G766&lt;=EDATE(TODAY(),12)),COUNTIFS($G$2:$G$1001,"&gt;="&amp;TODAY(),$G$2:$G$1001,"&lt;"&amp;$G766,$A$2:$A$1001,"&lt;&gt;")+COUNTIFS($G$2:$G766,$G766,$A$2:$A766,"&lt;&gt;"),"")</f>
        <v/>
      </c>
      <c r="X766" t="str">
        <f>IF(AND($A766&lt;&gt;"",ISNUMBER($C766),$C766&gt;=DATE(2003,1,1)),COUNTIFS($C$2:$C766,"&gt;="&amp;DATE(2003,1,1),$A$2:$A766,"&lt;&gt;"),"")</f>
        <v/>
      </c>
    </row>
    <row r="767" spans="1:24">
      <c r="A767" t="str">
        <f>IF(Kanatlar!A69="","",Kanatlar!A69)</f>
        <v>WARREN MADRIGAL</v>
      </c>
      <c r="B767" t="str">
        <f>IF(Kanatlar!B69="","",Kanatlar!B69)</f>
        <v>KOSTA RİKA</v>
      </c>
      <c r="C767" s="2">
        <f>IF(Kanatlar!C69="","",Kanatlar!C69)</f>
        <v>38192</v>
      </c>
      <c r="D767">
        <f ca="1">IF(Kanatlar!D69="","",Kanatlar!D69)</f>
        <v>22</v>
      </c>
      <c r="E767" t="str">
        <f>IF(Kanatlar!E69="","",Kanatlar!E69)</f>
        <v>Kanat</v>
      </c>
      <c r="F767" t="str">
        <f>IF(Kanatlar!G69="","",Kanatlar!G69)</f>
        <v>NASHVILLE SC</v>
      </c>
      <c r="G767" s="2">
        <f>IF(Kanatlar!H69="","",Kanatlar!H69)</f>
        <v>47299</v>
      </c>
      <c r="H767" t="str">
        <f>IF(Kanatlar!I69="","",Kanatlar!I69)</f>
        <v/>
      </c>
      <c r="I767">
        <f>IF(Kanatlar!A69="","",Kanatlar!J69)</f>
        <v>0</v>
      </c>
      <c r="J767" t="str">
        <f>IF(Kanatlar!A69="","",Kanatlar!K69)</f>
        <v>https://www.transfermarkt.com.tr/warren-madrigal/profil/spieler/799682</v>
      </c>
      <c r="K767" t="str">
        <f>IF(Kanatlar!L69="","",Kanatlar!L69)</f>
        <v/>
      </c>
      <c r="L767" t="str">
        <f>IF(Kanatlar!M69="","",Kanatlar!M69)</f>
        <v/>
      </c>
      <c r="M767" t="str">
        <f>IF(Kanatlar!N69="","",Kanatlar!N69)</f>
        <v/>
      </c>
      <c r="N767" t="str">
        <f>IF(Kanatlar!O69="","",Kanatlar!O69)</f>
        <v/>
      </c>
      <c r="O767" t="str">
        <f>IF(Kanatlar!P69="","",Kanatlar!P69)</f>
        <v/>
      </c>
      <c r="P767" t="str">
        <f>IF(Kanatlar!Q69="","",Kanatlar!Q69)</f>
        <v/>
      </c>
      <c r="Q767" t="str">
        <f>IF(Kanatlar!R69="","",Kanatlar!R69)</f>
        <v/>
      </c>
      <c r="R767" t="str">
        <f>IF(Kanatlar!S69="","",Kanatlar!S69)</f>
        <v/>
      </c>
      <c r="S767" t="str">
        <f>IF(Kanatlar!T69="","",Kanatlar!T69)</f>
        <v/>
      </c>
      <c r="T767" s="2" t="str">
        <f>IF(Kanatlar!U69="","",Kanatlar!U69)</f>
        <v/>
      </c>
      <c r="U767" t="s">
        <v>933</v>
      </c>
      <c r="V767">
        <v>69</v>
      </c>
      <c r="W767" t="str">
        <f ca="1">IF(AND($A767&lt;&gt;"",ISNUMBER($G767),$G767&gt;=TODAY(),$G767&lt;=EDATE(TODAY(),12)),COUNTIFS($G$2:$G$1001,"&gt;="&amp;TODAY(),$G$2:$G$1001,"&lt;"&amp;$G767,$A$2:$A$1001,"&lt;&gt;")+COUNTIFS($G$2:$G767,$G767,$A$2:$A767,"&lt;&gt;"),"")</f>
        <v/>
      </c>
      <c r="X767">
        <f>IF(AND($A767&lt;&gt;"",ISNUMBER($C767),$C767&gt;=DATE(2003,1,1)),COUNTIFS($C$2:$C767,"&gt;="&amp;DATE(2003,1,1),$A$2:$A767,"&lt;&gt;"),"")</f>
        <v>56</v>
      </c>
    </row>
    <row r="768" spans="1:24">
      <c r="A768" t="str">
        <f>IF(Kanatlar!A70="","",Kanatlar!A70)</f>
        <v>JOB OCHIENG</v>
      </c>
      <c r="B768" t="str">
        <f>IF(Kanatlar!B70="","",Kanatlar!B70)</f>
        <v>KENYA</v>
      </c>
      <c r="C768" s="2">
        <f>IF(Kanatlar!C70="","",Kanatlar!C70)</f>
        <v>37638</v>
      </c>
      <c r="D768">
        <f ca="1">IF(Kanatlar!D70="","",Kanatlar!D70)</f>
        <v>23</v>
      </c>
      <c r="E768" t="str">
        <f>IF(Kanatlar!E70="","",Kanatlar!E70)</f>
        <v>Kanat</v>
      </c>
      <c r="F768" t="str">
        <f>IF(Kanatlar!G70="","",Kanatlar!G70)</f>
        <v>REAL SOCIEDAD B</v>
      </c>
      <c r="G768" s="2">
        <f>IF(Kanatlar!H70="","",Kanatlar!H70)</f>
        <v>46934</v>
      </c>
      <c r="H768" t="str">
        <f>IF(Kanatlar!I70="","",Kanatlar!I70)</f>
        <v/>
      </c>
      <c r="I768">
        <f>IF(Kanatlar!A70="","",Kanatlar!J70)</f>
        <v>0</v>
      </c>
      <c r="J768" t="str">
        <f>IF(Kanatlar!A70="","",Kanatlar!K70)</f>
        <v>https://www.transfermarkt.com.tr/job-ochieng/profil/spieler/1105810</v>
      </c>
      <c r="K768" t="str">
        <f>IF(Kanatlar!L70="","",Kanatlar!L70)</f>
        <v/>
      </c>
      <c r="L768" t="str">
        <f>IF(Kanatlar!M70="","",Kanatlar!M70)</f>
        <v/>
      </c>
      <c r="M768" t="str">
        <f>IF(Kanatlar!N70="","",Kanatlar!N70)</f>
        <v/>
      </c>
      <c r="N768" t="str">
        <f>IF(Kanatlar!O70="","",Kanatlar!O70)</f>
        <v/>
      </c>
      <c r="O768" t="str">
        <f>IF(Kanatlar!P70="","",Kanatlar!P70)</f>
        <v/>
      </c>
      <c r="P768" t="str">
        <f>IF(Kanatlar!Q70="","",Kanatlar!Q70)</f>
        <v/>
      </c>
      <c r="Q768" t="str">
        <f>IF(Kanatlar!R70="","",Kanatlar!R70)</f>
        <v/>
      </c>
      <c r="R768" t="str">
        <f>IF(Kanatlar!S70="","",Kanatlar!S70)</f>
        <v/>
      </c>
      <c r="S768" t="str">
        <f>IF(Kanatlar!T70="","",Kanatlar!T70)</f>
        <v/>
      </c>
      <c r="T768" s="2" t="str">
        <f>IF(Kanatlar!U70="","",Kanatlar!U70)</f>
        <v/>
      </c>
      <c r="U768" t="s">
        <v>933</v>
      </c>
      <c r="V768">
        <v>70</v>
      </c>
      <c r="W768" t="str">
        <f ca="1">IF(AND($A768&lt;&gt;"",ISNUMBER($G768),$G768&gt;=TODAY(),$G768&lt;=EDATE(TODAY(),12)),COUNTIFS($G$2:$G$1001,"&gt;="&amp;TODAY(),$G$2:$G$1001,"&lt;"&amp;$G768,$A$2:$A$1001,"&lt;&gt;")+COUNTIFS($G$2:$G768,$G768,$A$2:$A768,"&lt;&gt;"),"")</f>
        <v/>
      </c>
      <c r="X768">
        <f>IF(AND($A768&lt;&gt;"",ISNUMBER($C768),$C768&gt;=DATE(2003,1,1)),COUNTIFS($C$2:$C768,"&gt;="&amp;DATE(2003,1,1),$A$2:$A768,"&lt;&gt;"),"")</f>
        <v>57</v>
      </c>
    </row>
    <row r="769" spans="1:24">
      <c r="A769" t="str">
        <f>IF(Kanatlar!A71="","",Kanatlar!A71)</f>
        <v>NINO MARCELLI</v>
      </c>
      <c r="B769" t="str">
        <f>IF(Kanatlar!B71="","",Kanatlar!B71)</f>
        <v/>
      </c>
      <c r="C769" s="2" t="str">
        <f>IF(Kanatlar!C71="","",Kanatlar!C71)</f>
        <v/>
      </c>
      <c r="D769" t="str">
        <f ca="1">IF(Kanatlar!D71="","",Kanatlar!D71)</f>
        <v/>
      </c>
      <c r="E769" t="str">
        <f>IF(Kanatlar!E71="","",Kanatlar!E71)</f>
        <v>Kanat</v>
      </c>
      <c r="F769" t="str">
        <f>IF(Kanatlar!G71="","",Kanatlar!G71)</f>
        <v/>
      </c>
      <c r="G769" s="2" t="str">
        <f>IF(Kanatlar!H71="","",Kanatlar!H71)</f>
        <v>-</v>
      </c>
      <c r="H769" t="str">
        <f>IF(Kanatlar!I71="","",Kanatlar!I71)</f>
        <v/>
      </c>
      <c r="I769">
        <f>IF(Kanatlar!A71="","",Kanatlar!J71)</f>
        <v>0</v>
      </c>
      <c r="J769" t="str">
        <f>IF(Kanatlar!A71="","",Kanatlar!K71)</f>
        <v>https://www.transfermarkt.com.tr/nino-marcelli/profil/spieler/726661</v>
      </c>
      <c r="K769" t="str">
        <f>IF(Kanatlar!L71="","",Kanatlar!L71)</f>
        <v/>
      </c>
      <c r="L769" t="str">
        <f>IF(Kanatlar!M71="","",Kanatlar!M71)</f>
        <v/>
      </c>
      <c r="M769" t="str">
        <f>IF(Kanatlar!N71="","",Kanatlar!N71)</f>
        <v/>
      </c>
      <c r="N769" t="str">
        <f>IF(Kanatlar!O71="","",Kanatlar!O71)</f>
        <v/>
      </c>
      <c r="O769" t="str">
        <f>IF(Kanatlar!P71="","",Kanatlar!P71)</f>
        <v/>
      </c>
      <c r="P769" t="str">
        <f>IF(Kanatlar!Q71="","",Kanatlar!Q71)</f>
        <v/>
      </c>
      <c r="Q769" t="str">
        <f>IF(Kanatlar!R71="","",Kanatlar!R71)</f>
        <v/>
      </c>
      <c r="R769" t="str">
        <f>IF(Kanatlar!S71="","",Kanatlar!S71)</f>
        <v/>
      </c>
      <c r="S769" t="str">
        <f>IF(Kanatlar!T71="","",Kanatlar!T71)</f>
        <v/>
      </c>
      <c r="T769" s="2" t="str">
        <f>IF(Kanatlar!U71="","",Kanatlar!U71)</f>
        <v/>
      </c>
      <c r="U769" t="s">
        <v>933</v>
      </c>
      <c r="V769">
        <v>71</v>
      </c>
      <c r="W769" t="str">
        <f ca="1">IF(AND($A769&lt;&gt;"",ISNUMBER($G769),$G769&gt;=TODAY(),$G769&lt;=EDATE(TODAY(),12)),COUNTIFS($G$2:$G$1001,"&gt;="&amp;TODAY(),$G$2:$G$1001,"&lt;"&amp;$G769,$A$2:$A$1001,"&lt;&gt;")+COUNTIFS($G$2:$G769,$G769,$A$2:$A769,"&lt;&gt;"),"")</f>
        <v/>
      </c>
      <c r="X769" t="str">
        <f>IF(AND($A769&lt;&gt;"",ISNUMBER($C769),$C769&gt;=DATE(2003,1,1)),COUNTIFS($C$2:$C769,"&gt;="&amp;DATE(2003,1,1),$A$2:$A769,"&lt;&gt;"),"")</f>
        <v/>
      </c>
    </row>
    <row r="770" spans="1:24">
      <c r="A770" t="str">
        <f>IF(Kanatlar!A72="","",Kanatlar!A72)</f>
        <v>GUILHERME BIRO</v>
      </c>
      <c r="B770" t="str">
        <f>IF(Kanatlar!B72="","",Kanatlar!B72)</f>
        <v>BREZİLYA</v>
      </c>
      <c r="C770" s="2">
        <f>IF(Kanatlar!C72="","",Kanatlar!C72)</f>
        <v>38097</v>
      </c>
      <c r="D770">
        <f ca="1">IF(Kanatlar!D72="","",Kanatlar!D72)</f>
        <v>22</v>
      </c>
      <c r="E770" t="str">
        <f>IF(Kanatlar!E72="","",Kanatlar!E72)</f>
        <v>Kanat</v>
      </c>
      <c r="F770" t="str">
        <f>IF(Kanatlar!G72="","",Kanatlar!G72)</f>
        <v>SHARJAH FC</v>
      </c>
      <c r="G770" s="2">
        <f>IF(Kanatlar!H72="","",Kanatlar!H72)</f>
        <v>47299</v>
      </c>
      <c r="H770" t="str">
        <f>IF(Kanatlar!I72="","",Kanatlar!I72)</f>
        <v/>
      </c>
      <c r="I770">
        <f>IF(Kanatlar!A72="","",Kanatlar!J72)</f>
        <v>0</v>
      </c>
      <c r="J770" t="str">
        <f>IF(Kanatlar!A72="","",Kanatlar!K72)</f>
        <v>https://www.transfermarkt.com.tr/guilherme-biro/profil/spieler/743590</v>
      </c>
      <c r="K770" t="str">
        <f>IF(Kanatlar!L72="","",Kanatlar!L72)</f>
        <v/>
      </c>
      <c r="L770" t="str">
        <f>IF(Kanatlar!M72="","",Kanatlar!M72)</f>
        <v/>
      </c>
      <c r="M770" t="str">
        <f>IF(Kanatlar!N72="","",Kanatlar!N72)</f>
        <v/>
      </c>
      <c r="N770" t="str">
        <f>IF(Kanatlar!O72="","",Kanatlar!O72)</f>
        <v/>
      </c>
      <c r="O770" t="str">
        <f>IF(Kanatlar!P72="","",Kanatlar!P72)</f>
        <v/>
      </c>
      <c r="P770" t="str">
        <f>IF(Kanatlar!Q72="","",Kanatlar!Q72)</f>
        <v/>
      </c>
      <c r="Q770" t="str">
        <f>IF(Kanatlar!R72="","",Kanatlar!R72)</f>
        <v/>
      </c>
      <c r="R770" t="str">
        <f>IF(Kanatlar!S72="","",Kanatlar!S72)</f>
        <v/>
      </c>
      <c r="S770" t="str">
        <f>IF(Kanatlar!T72="","",Kanatlar!T72)</f>
        <v/>
      </c>
      <c r="T770" s="2" t="str">
        <f>IF(Kanatlar!U72="","",Kanatlar!U72)</f>
        <v/>
      </c>
      <c r="U770" t="s">
        <v>933</v>
      </c>
      <c r="V770">
        <v>72</v>
      </c>
      <c r="W770" t="str">
        <f ca="1">IF(AND($A770&lt;&gt;"",ISNUMBER($G770),$G770&gt;=TODAY(),$G770&lt;=EDATE(TODAY(),12)),COUNTIFS($G$2:$G$1001,"&gt;="&amp;TODAY(),$G$2:$G$1001,"&lt;"&amp;$G770,$A$2:$A$1001,"&lt;&gt;")+COUNTIFS($G$2:$G770,$G770,$A$2:$A770,"&lt;&gt;"),"")</f>
        <v/>
      </c>
      <c r="X770">
        <f>IF(AND($A770&lt;&gt;"",ISNUMBER($C770),$C770&gt;=DATE(2003,1,1)),COUNTIFS($C$2:$C770,"&gt;="&amp;DATE(2003,1,1),$A$2:$A770,"&lt;&gt;"),"")</f>
        <v>58</v>
      </c>
    </row>
    <row r="771" spans="1:24">
      <c r="A771" t="str">
        <f>IF(Kanatlar!A73="","",Kanatlar!A73)</f>
        <v>LUKA ROMERO</v>
      </c>
      <c r="B771" t="str">
        <f>IF(Kanatlar!B73="","",Kanatlar!B73)</f>
        <v>ARJANTİN / İSPANYA</v>
      </c>
      <c r="C771" s="2">
        <f>IF(Kanatlar!C73="","",Kanatlar!C73)</f>
        <v>38309</v>
      </c>
      <c r="D771">
        <f ca="1">IF(Kanatlar!D73="","",Kanatlar!D73)</f>
        <v>21</v>
      </c>
      <c r="E771" t="str">
        <f>IF(Kanatlar!E73="","",Kanatlar!E73)</f>
        <v>Kanat</v>
      </c>
      <c r="F771" t="str">
        <f>IF(Kanatlar!G73="","",Kanatlar!G73)</f>
        <v>CRUZ AZUL</v>
      </c>
      <c r="G771" s="2">
        <f>IF(Kanatlar!H73="","",Kanatlar!H73)</f>
        <v>47664</v>
      </c>
      <c r="H771" t="str">
        <f>IF(Kanatlar!I73="","",Kanatlar!I73)</f>
        <v/>
      </c>
      <c r="I771">
        <f>IF(Kanatlar!A73="","",Kanatlar!J73)</f>
        <v>0</v>
      </c>
      <c r="J771" t="str">
        <f>IF(Kanatlar!A73="","",Kanatlar!K73)</f>
        <v>https://www.transfermarkt.com.tr/luka-romero/profil/spieler/769063</v>
      </c>
      <c r="K771" t="str">
        <f>IF(Kanatlar!L73="","",Kanatlar!L73)</f>
        <v/>
      </c>
      <c r="L771" t="str">
        <f>IF(Kanatlar!M73="","",Kanatlar!M73)</f>
        <v/>
      </c>
      <c r="M771" t="str">
        <f>IF(Kanatlar!N73="","",Kanatlar!N73)</f>
        <v/>
      </c>
      <c r="N771" t="str">
        <f>IF(Kanatlar!O73="","",Kanatlar!O73)</f>
        <v/>
      </c>
      <c r="O771" t="str">
        <f>IF(Kanatlar!P73="","",Kanatlar!P73)</f>
        <v/>
      </c>
      <c r="P771" t="str">
        <f>IF(Kanatlar!Q73="","",Kanatlar!Q73)</f>
        <v/>
      </c>
      <c r="Q771" t="str">
        <f>IF(Kanatlar!R73="","",Kanatlar!R73)</f>
        <v/>
      </c>
      <c r="R771" t="str">
        <f>IF(Kanatlar!S73="","",Kanatlar!S73)</f>
        <v/>
      </c>
      <c r="S771" t="str">
        <f>IF(Kanatlar!T73="","",Kanatlar!T73)</f>
        <v/>
      </c>
      <c r="T771" s="2" t="str">
        <f>IF(Kanatlar!U73="","",Kanatlar!U73)</f>
        <v/>
      </c>
      <c r="U771" t="s">
        <v>933</v>
      </c>
      <c r="V771">
        <v>73</v>
      </c>
      <c r="W771" t="str">
        <f ca="1">IF(AND($A771&lt;&gt;"",ISNUMBER($G771),$G771&gt;=TODAY(),$G771&lt;=EDATE(TODAY(),12)),COUNTIFS($G$2:$G$1001,"&gt;="&amp;TODAY(),$G$2:$G$1001,"&lt;"&amp;$G771,$A$2:$A$1001,"&lt;&gt;")+COUNTIFS($G$2:$G771,$G771,$A$2:$A771,"&lt;&gt;"),"")</f>
        <v/>
      </c>
      <c r="X771">
        <f>IF(AND($A771&lt;&gt;"",ISNUMBER($C771),$C771&gt;=DATE(2003,1,1)),COUNTIFS($C$2:$C771,"&gt;="&amp;DATE(2003,1,1),$A$2:$A771,"&lt;&gt;"),"")</f>
        <v>59</v>
      </c>
    </row>
    <row r="772" spans="1:24">
      <c r="A772" t="str">
        <f>IF(Kanatlar!A74="","",Kanatlar!A74)</f>
        <v>MAURO COUTO</v>
      </c>
      <c r="B772" t="str">
        <f>IF(Kanatlar!B74="","",Kanatlar!B74)</f>
        <v/>
      </c>
      <c r="C772" s="2" t="str">
        <f>IF(Kanatlar!C74="","",Kanatlar!C74)</f>
        <v/>
      </c>
      <c r="D772" t="str">
        <f ca="1">IF(Kanatlar!D74="","",Kanatlar!D74)</f>
        <v/>
      </c>
      <c r="E772" t="str">
        <f>IF(Kanatlar!E74="","",Kanatlar!E74)</f>
        <v>Kanat</v>
      </c>
      <c r="F772" t="str">
        <f>IF(Kanatlar!G74="","",Kanatlar!G74)</f>
        <v/>
      </c>
      <c r="G772" s="2" t="str">
        <f>IF(Kanatlar!H74="","",Kanatlar!H74)</f>
        <v>-</v>
      </c>
      <c r="H772" t="str">
        <f>IF(Kanatlar!I74="","",Kanatlar!I74)</f>
        <v/>
      </c>
      <c r="I772">
        <f>IF(Kanatlar!A74="","",Kanatlar!J74)</f>
        <v>0</v>
      </c>
      <c r="J772" t="str">
        <f>IF(Kanatlar!A74="","",Kanatlar!K74)</f>
        <v>https://www.transfermarkt.com.tr/mauro-couto/profil/spieler/1056907</v>
      </c>
      <c r="K772" t="str">
        <f>IF(Kanatlar!L74="","",Kanatlar!L74)</f>
        <v/>
      </c>
      <c r="L772" t="str">
        <f>IF(Kanatlar!M74="","",Kanatlar!M74)</f>
        <v/>
      </c>
      <c r="M772" t="str">
        <f>IF(Kanatlar!N74="","",Kanatlar!N74)</f>
        <v/>
      </c>
      <c r="N772" t="str">
        <f>IF(Kanatlar!O74="","",Kanatlar!O74)</f>
        <v/>
      </c>
      <c r="O772" t="str">
        <f>IF(Kanatlar!P74="","",Kanatlar!P74)</f>
        <v/>
      </c>
      <c r="P772" t="str">
        <f>IF(Kanatlar!Q74="","",Kanatlar!Q74)</f>
        <v/>
      </c>
      <c r="Q772" t="str">
        <f>IF(Kanatlar!R74="","",Kanatlar!R74)</f>
        <v/>
      </c>
      <c r="R772" t="str">
        <f>IF(Kanatlar!S74="","",Kanatlar!S74)</f>
        <v/>
      </c>
      <c r="S772" t="str">
        <f>IF(Kanatlar!T74="","",Kanatlar!T74)</f>
        <v/>
      </c>
      <c r="T772" s="2" t="str">
        <f>IF(Kanatlar!U74="","",Kanatlar!U74)</f>
        <v/>
      </c>
      <c r="U772" t="s">
        <v>933</v>
      </c>
      <c r="V772">
        <v>74</v>
      </c>
      <c r="W772" t="str">
        <f ca="1">IF(AND($A772&lt;&gt;"",ISNUMBER($G772),$G772&gt;=TODAY(),$G772&lt;=EDATE(TODAY(),12)),COUNTIFS($G$2:$G$1001,"&gt;="&amp;TODAY(),$G$2:$G$1001,"&lt;"&amp;$G772,$A$2:$A$1001,"&lt;&gt;")+COUNTIFS($G$2:$G772,$G772,$A$2:$A772,"&lt;&gt;"),"")</f>
        <v/>
      </c>
      <c r="X772" t="str">
        <f>IF(AND($A772&lt;&gt;"",ISNUMBER($C772),$C772&gt;=DATE(2003,1,1)),COUNTIFS($C$2:$C772,"&gt;="&amp;DATE(2003,1,1),$A$2:$A772,"&lt;&gt;"),"")</f>
        <v/>
      </c>
    </row>
    <row r="773" spans="1:24">
      <c r="A773" t="str">
        <f>IF(Kanatlar!A75="","",Kanatlar!A75)</f>
        <v>OSCAR KABWIT</v>
      </c>
      <c r="B773" t="str">
        <f>IF(Kanatlar!B75="","",Kanatlar!B75)</f>
        <v/>
      </c>
      <c r="C773" s="2" t="str">
        <f>IF(Kanatlar!C75="","",Kanatlar!C75)</f>
        <v/>
      </c>
      <c r="D773" t="str">
        <f ca="1">IF(Kanatlar!D75="","",Kanatlar!D75)</f>
        <v/>
      </c>
      <c r="E773" t="str">
        <f>IF(Kanatlar!E75="","",Kanatlar!E75)</f>
        <v>Kanat</v>
      </c>
      <c r="F773" t="str">
        <f>IF(Kanatlar!G75="","",Kanatlar!G75)</f>
        <v/>
      </c>
      <c r="G773" s="2" t="str">
        <f>IF(Kanatlar!H75="","",Kanatlar!H75)</f>
        <v>-</v>
      </c>
      <c r="H773" t="str">
        <f>IF(Kanatlar!I75="","",Kanatlar!I75)</f>
        <v/>
      </c>
      <c r="I773">
        <f>IF(Kanatlar!A75="","",Kanatlar!J75)</f>
        <v>0</v>
      </c>
      <c r="J773" t="str">
        <f>IF(Kanatlar!A75="","",Kanatlar!K75)</f>
        <v>https://www.transfermarkt.com.tr/oscar-kabwit/leistungsdatendetails/spieler/1087164</v>
      </c>
      <c r="K773" t="str">
        <f>IF(Kanatlar!L75="","",Kanatlar!L75)</f>
        <v/>
      </c>
      <c r="L773" t="str">
        <f>IF(Kanatlar!M75="","",Kanatlar!M75)</f>
        <v/>
      </c>
      <c r="M773" t="str">
        <f>IF(Kanatlar!N75="","",Kanatlar!N75)</f>
        <v/>
      </c>
      <c r="N773" t="str">
        <f>IF(Kanatlar!O75="","",Kanatlar!O75)</f>
        <v/>
      </c>
      <c r="O773" t="str">
        <f>IF(Kanatlar!P75="","",Kanatlar!P75)</f>
        <v/>
      </c>
      <c r="P773" t="str">
        <f>IF(Kanatlar!Q75="","",Kanatlar!Q75)</f>
        <v/>
      </c>
      <c r="Q773" t="str">
        <f>IF(Kanatlar!R75="","",Kanatlar!R75)</f>
        <v/>
      </c>
      <c r="R773" t="str">
        <f>IF(Kanatlar!S75="","",Kanatlar!S75)</f>
        <v/>
      </c>
      <c r="S773" t="str">
        <f>IF(Kanatlar!T75="","",Kanatlar!T75)</f>
        <v/>
      </c>
      <c r="T773" s="2" t="str">
        <f>IF(Kanatlar!U75="","",Kanatlar!U75)</f>
        <v/>
      </c>
      <c r="U773" t="s">
        <v>933</v>
      </c>
      <c r="V773">
        <v>75</v>
      </c>
      <c r="W773" t="str">
        <f ca="1">IF(AND($A773&lt;&gt;"",ISNUMBER($G773),$G773&gt;=TODAY(),$G773&lt;=EDATE(TODAY(),12)),COUNTIFS($G$2:$G$1001,"&gt;="&amp;TODAY(),$G$2:$G$1001,"&lt;"&amp;$G773,$A$2:$A$1001,"&lt;&gt;")+COUNTIFS($G$2:$G773,$G773,$A$2:$A773,"&lt;&gt;"),"")</f>
        <v/>
      </c>
      <c r="X773" t="str">
        <f>IF(AND($A773&lt;&gt;"",ISNUMBER($C773),$C773&gt;=DATE(2003,1,1)),COUNTIFS($C$2:$C773,"&gt;="&amp;DATE(2003,1,1),$A$2:$A773,"&lt;&gt;"),"")</f>
        <v/>
      </c>
    </row>
    <row r="774" spans="1:24">
      <c r="A774" t="str">
        <f>IF(Kanatlar!A76="","",Kanatlar!A76)</f>
        <v>ANTHONY VALENCIA</v>
      </c>
      <c r="B774" t="str">
        <f>IF(Kanatlar!B76="","",Kanatlar!B76)</f>
        <v>EKVADOR</v>
      </c>
      <c r="C774" s="2">
        <f>IF(Kanatlar!C76="","",Kanatlar!C76)</f>
        <v>37823</v>
      </c>
      <c r="D774">
        <f ca="1">IF(Kanatlar!D76="","",Kanatlar!D76)</f>
        <v>23</v>
      </c>
      <c r="E774" t="str">
        <f>IF(Kanatlar!E76="","",Kanatlar!E76)</f>
        <v>Kanat</v>
      </c>
      <c r="F774" t="str">
        <f>IF(Kanatlar!G76="","",Kanatlar!G76)</f>
        <v>ROYAL ANTWERP</v>
      </c>
      <c r="G774" s="2">
        <f>IF(Kanatlar!H76="","",Kanatlar!H76)</f>
        <v>46203</v>
      </c>
      <c r="H774" t="str">
        <f>IF(Kanatlar!I76="","",Kanatlar!I76)</f>
        <v/>
      </c>
      <c r="I774">
        <f>IF(Kanatlar!A76="","",Kanatlar!J76)</f>
        <v>0</v>
      </c>
      <c r="J774" t="str">
        <f>IF(Kanatlar!A76="","",Kanatlar!K76)</f>
        <v>https://www.transfermarkt.de/anthony-valencia/profil/spieler/974374</v>
      </c>
      <c r="K774" t="str">
        <f>IF(Kanatlar!L76="","",Kanatlar!L76)</f>
        <v/>
      </c>
      <c r="L774" t="str">
        <f>IF(Kanatlar!M76="","",Kanatlar!M76)</f>
        <v/>
      </c>
      <c r="M774" t="str">
        <f>IF(Kanatlar!N76="","",Kanatlar!N76)</f>
        <v/>
      </c>
      <c r="N774" t="str">
        <f>IF(Kanatlar!O76="","",Kanatlar!O76)</f>
        <v/>
      </c>
      <c r="O774" t="str">
        <f>IF(Kanatlar!P76="","",Kanatlar!P76)</f>
        <v/>
      </c>
      <c r="P774" t="str">
        <f>IF(Kanatlar!Q76="","",Kanatlar!Q76)</f>
        <v/>
      </c>
      <c r="Q774" t="str">
        <f>IF(Kanatlar!R76="","",Kanatlar!R76)</f>
        <v/>
      </c>
      <c r="R774" t="str">
        <f>IF(Kanatlar!S76="","",Kanatlar!S76)</f>
        <v/>
      </c>
      <c r="S774" t="str">
        <f>IF(Kanatlar!T76="","",Kanatlar!T76)</f>
        <v/>
      </c>
      <c r="T774" s="2" t="str">
        <f>IF(Kanatlar!U76="","",Kanatlar!U76)</f>
        <v/>
      </c>
      <c r="U774" t="s">
        <v>933</v>
      </c>
      <c r="V774">
        <v>76</v>
      </c>
      <c r="W774" t="str">
        <f ca="1">IF(AND($A774&lt;&gt;"",ISNUMBER($G774),$G774&gt;=TODAY(),$G774&lt;=EDATE(TODAY(),12)),COUNTIFS($G$2:$G$1001,"&gt;="&amp;TODAY(),$G$2:$G$1001,"&lt;"&amp;$G774,$A$2:$A$1001,"&lt;&gt;")+COUNTIFS($G$2:$G774,$G774,$A$2:$A774,"&lt;&gt;"),"")</f>
        <v/>
      </c>
      <c r="X774">
        <f>IF(AND($A774&lt;&gt;"",ISNUMBER($C774),$C774&gt;=DATE(2003,1,1)),COUNTIFS($C$2:$C774,"&gt;="&amp;DATE(2003,1,1),$A$2:$A774,"&lt;&gt;"),"")</f>
        <v>60</v>
      </c>
    </row>
    <row r="775" spans="1:24">
      <c r="A775" t="str">
        <f>IF(Kanatlar!A77="","",Kanatlar!A77)</f>
        <v>UMEH EMMANUEL</v>
      </c>
      <c r="B775" t="str">
        <f>IF(Kanatlar!B77="","",Kanatlar!B77)</f>
        <v/>
      </c>
      <c r="C775" s="2" t="str">
        <f>IF(Kanatlar!C77="","",Kanatlar!C77)</f>
        <v/>
      </c>
      <c r="D775" t="str">
        <f ca="1">IF(Kanatlar!D77="","",Kanatlar!D77)</f>
        <v/>
      </c>
      <c r="E775" t="str">
        <f>IF(Kanatlar!E77="","",Kanatlar!E77)</f>
        <v>Kanat</v>
      </c>
      <c r="F775" t="str">
        <f>IF(Kanatlar!G77="","",Kanatlar!G77)</f>
        <v/>
      </c>
      <c r="G775" s="2" t="str">
        <f>IF(Kanatlar!H77="","",Kanatlar!H77)</f>
        <v>-</v>
      </c>
      <c r="H775" t="str">
        <f>IF(Kanatlar!I77="","",Kanatlar!I77)</f>
        <v/>
      </c>
      <c r="I775">
        <f>IF(Kanatlar!A77="","",Kanatlar!J77)</f>
        <v>0</v>
      </c>
      <c r="J775" t="str">
        <f>IF(Kanatlar!A77="","",Kanatlar!K77)</f>
        <v>https://www.transfermarkt.com/umeh-emmanuel/profil/spieler/1068245</v>
      </c>
      <c r="K775" t="str">
        <f>IF(Kanatlar!L77="","",Kanatlar!L77)</f>
        <v/>
      </c>
      <c r="L775" t="str">
        <f>IF(Kanatlar!M77="","",Kanatlar!M77)</f>
        <v/>
      </c>
      <c r="M775" t="str">
        <f>IF(Kanatlar!N77="","",Kanatlar!N77)</f>
        <v/>
      </c>
      <c r="N775" t="str">
        <f>IF(Kanatlar!O77="","",Kanatlar!O77)</f>
        <v/>
      </c>
      <c r="O775" t="str">
        <f>IF(Kanatlar!P77="","",Kanatlar!P77)</f>
        <v/>
      </c>
      <c r="P775" t="str">
        <f>IF(Kanatlar!Q77="","",Kanatlar!Q77)</f>
        <v/>
      </c>
      <c r="Q775" t="str">
        <f>IF(Kanatlar!R77="","",Kanatlar!R77)</f>
        <v/>
      </c>
      <c r="R775" t="str">
        <f>IF(Kanatlar!S77="","",Kanatlar!S77)</f>
        <v/>
      </c>
      <c r="S775" t="str">
        <f>IF(Kanatlar!T77="","",Kanatlar!T77)</f>
        <v/>
      </c>
      <c r="T775" s="2" t="str">
        <f>IF(Kanatlar!U77="","",Kanatlar!U77)</f>
        <v/>
      </c>
      <c r="U775" t="s">
        <v>933</v>
      </c>
      <c r="V775">
        <v>77</v>
      </c>
      <c r="W775" t="str">
        <f ca="1">IF(AND($A775&lt;&gt;"",ISNUMBER($G775),$G775&gt;=TODAY(),$G775&lt;=EDATE(TODAY(),12)),COUNTIFS($G$2:$G$1001,"&gt;="&amp;TODAY(),$G$2:$G$1001,"&lt;"&amp;$G775,$A$2:$A$1001,"&lt;&gt;")+COUNTIFS($G$2:$G775,$G775,$A$2:$A775,"&lt;&gt;"),"")</f>
        <v/>
      </c>
      <c r="X775" t="str">
        <f>IF(AND($A775&lt;&gt;"",ISNUMBER($C775),$C775&gt;=DATE(2003,1,1)),COUNTIFS($C$2:$C775,"&gt;="&amp;DATE(2003,1,1),$A$2:$A775,"&lt;&gt;"),"")</f>
        <v/>
      </c>
    </row>
    <row r="776" spans="1:24">
      <c r="A776" t="str">
        <f>IF(Kanatlar!A78="","",Kanatlar!A78)</f>
        <v>MARQUINHOS</v>
      </c>
      <c r="B776" t="str">
        <f>IF(Kanatlar!B78="","",Kanatlar!B78)</f>
        <v>BREZİLYA</v>
      </c>
      <c r="C776" s="2">
        <f>IF(Kanatlar!C78="","",Kanatlar!C78)</f>
        <v>37718</v>
      </c>
      <c r="D776">
        <f ca="1">IF(Kanatlar!D78="","",Kanatlar!D78)</f>
        <v>23</v>
      </c>
      <c r="E776" t="str">
        <f>IF(Kanatlar!E78="","",Kanatlar!E78)</f>
        <v>Kanat</v>
      </c>
      <c r="F776" t="str">
        <f>IF(Kanatlar!G78="","",Kanatlar!G78)</f>
        <v>CRUZEIRO</v>
      </c>
      <c r="G776" s="2">
        <f>IF(Kanatlar!H78="","",Kanatlar!H78)</f>
        <v>47118</v>
      </c>
      <c r="H776" t="str">
        <f>IF(Kanatlar!I78="","",Kanatlar!I78)</f>
        <v/>
      </c>
      <c r="I776">
        <f>IF(Kanatlar!A78="","",Kanatlar!J78)</f>
        <v>0</v>
      </c>
      <c r="J776" t="str">
        <f>IF(Kanatlar!A78="","",Kanatlar!K78)</f>
        <v>https://www.transfermarkt.com.br/marquinhos/profil/spieler/668268</v>
      </c>
      <c r="K776" t="str">
        <f>IF(Kanatlar!L78="","",Kanatlar!L78)</f>
        <v/>
      </c>
      <c r="L776" t="str">
        <f>IF(Kanatlar!M78="","",Kanatlar!M78)</f>
        <v/>
      </c>
      <c r="M776" t="str">
        <f>IF(Kanatlar!N78="","",Kanatlar!N78)</f>
        <v/>
      </c>
      <c r="N776" t="str">
        <f>IF(Kanatlar!O78="","",Kanatlar!O78)</f>
        <v/>
      </c>
      <c r="O776" t="str">
        <f>IF(Kanatlar!P78="","",Kanatlar!P78)</f>
        <v/>
      </c>
      <c r="P776" t="str">
        <f>IF(Kanatlar!Q78="","",Kanatlar!Q78)</f>
        <v/>
      </c>
      <c r="Q776" t="str">
        <f>IF(Kanatlar!R78="","",Kanatlar!R78)</f>
        <v/>
      </c>
      <c r="R776" t="str">
        <f>IF(Kanatlar!S78="","",Kanatlar!S78)</f>
        <v/>
      </c>
      <c r="S776" t="str">
        <f>IF(Kanatlar!T78="","",Kanatlar!T78)</f>
        <v/>
      </c>
      <c r="T776" s="2" t="str">
        <f>IF(Kanatlar!U78="","",Kanatlar!U78)</f>
        <v/>
      </c>
      <c r="U776" t="s">
        <v>933</v>
      </c>
      <c r="V776">
        <v>78</v>
      </c>
      <c r="W776" t="str">
        <f ca="1">IF(AND($A776&lt;&gt;"",ISNUMBER($G776),$G776&gt;=TODAY(),$G776&lt;=EDATE(TODAY(),12)),COUNTIFS($G$2:$G$1001,"&gt;="&amp;TODAY(),$G$2:$G$1001,"&lt;"&amp;$G776,$A$2:$A$1001,"&lt;&gt;")+COUNTIFS($G$2:$G776,$G776,$A$2:$A776,"&lt;&gt;"),"")</f>
        <v/>
      </c>
      <c r="X776">
        <f>IF(AND($A776&lt;&gt;"",ISNUMBER($C776),$C776&gt;=DATE(2003,1,1)),COUNTIFS($C$2:$C776,"&gt;="&amp;DATE(2003,1,1),$A$2:$A776,"&lt;&gt;"),"")</f>
        <v>61</v>
      </c>
    </row>
    <row r="777" spans="1:24">
      <c r="A777" t="str">
        <f>IF(Kanatlar!A79="","",Kanatlar!A79)</f>
        <v>RENE</v>
      </c>
      <c r="B777" t="str">
        <f>IF(Kanatlar!B79="","",Kanatlar!B79)</f>
        <v/>
      </c>
      <c r="C777" s="2" t="str">
        <f>IF(Kanatlar!C79="","",Kanatlar!C79)</f>
        <v/>
      </c>
      <c r="D777" t="str">
        <f ca="1">IF(Kanatlar!D79="","",Kanatlar!D79)</f>
        <v/>
      </c>
      <c r="E777" t="str">
        <f>IF(Kanatlar!E79="","",Kanatlar!E79)</f>
        <v>Kanat</v>
      </c>
      <c r="F777" t="str">
        <f>IF(Kanatlar!G79="","",Kanatlar!G79)</f>
        <v/>
      </c>
      <c r="G777" s="2" t="str">
        <f>IF(Kanatlar!H79="","",Kanatlar!H79)</f>
        <v>-</v>
      </c>
      <c r="H777" t="str">
        <f>IF(Kanatlar!I79="","",Kanatlar!I79)</f>
        <v/>
      </c>
      <c r="I777">
        <f>IF(Kanatlar!A79="","",Kanatlar!J79)</f>
        <v>0</v>
      </c>
      <c r="J777" t="str">
        <f>IF(Kanatlar!A79="","",Kanatlar!K79)</f>
        <v>https://www.transfermarkt.com.br/rene/profil/spieler/1093951</v>
      </c>
      <c r="K777" t="str">
        <f>IF(Kanatlar!L79="","",Kanatlar!L79)</f>
        <v/>
      </c>
      <c r="L777" t="str">
        <f>IF(Kanatlar!M79="","",Kanatlar!M79)</f>
        <v/>
      </c>
      <c r="M777" t="str">
        <f>IF(Kanatlar!N79="","",Kanatlar!N79)</f>
        <v/>
      </c>
      <c r="N777" t="str">
        <f>IF(Kanatlar!O79="","",Kanatlar!O79)</f>
        <v/>
      </c>
      <c r="O777" t="str">
        <f>IF(Kanatlar!P79="","",Kanatlar!P79)</f>
        <v/>
      </c>
      <c r="P777" t="str">
        <f>IF(Kanatlar!Q79="","",Kanatlar!Q79)</f>
        <v/>
      </c>
      <c r="Q777" t="str">
        <f>IF(Kanatlar!R79="","",Kanatlar!R79)</f>
        <v/>
      </c>
      <c r="R777" t="str">
        <f>IF(Kanatlar!S79="","",Kanatlar!S79)</f>
        <v/>
      </c>
      <c r="S777" t="str">
        <f>IF(Kanatlar!T79="","",Kanatlar!T79)</f>
        <v/>
      </c>
      <c r="T777" s="2" t="str">
        <f>IF(Kanatlar!U79="","",Kanatlar!U79)</f>
        <v/>
      </c>
      <c r="U777" t="s">
        <v>933</v>
      </c>
      <c r="V777">
        <v>79</v>
      </c>
      <c r="W777" t="str">
        <f ca="1">IF(AND($A777&lt;&gt;"",ISNUMBER($G777),$G777&gt;=TODAY(),$G777&lt;=EDATE(TODAY(),12)),COUNTIFS($G$2:$G$1001,"&gt;="&amp;TODAY(),$G$2:$G$1001,"&lt;"&amp;$G777,$A$2:$A$1001,"&lt;&gt;")+COUNTIFS($G$2:$G777,$G777,$A$2:$A777,"&lt;&gt;"),"")</f>
        <v/>
      </c>
      <c r="X777" t="str">
        <f>IF(AND($A777&lt;&gt;"",ISNUMBER($C777),$C777&gt;=DATE(2003,1,1)),COUNTIFS($C$2:$C777,"&gt;="&amp;DATE(2003,1,1),$A$2:$A777,"&lt;&gt;"),"")</f>
        <v/>
      </c>
    </row>
    <row r="778" spans="1:24">
      <c r="A778" t="str">
        <f>IF(Kanatlar!A80="","",Kanatlar!A80)</f>
        <v>LOIC ESSOMBA</v>
      </c>
      <c r="B778" t="str">
        <f>IF(Kanatlar!B80="","",Kanatlar!B80)</f>
        <v/>
      </c>
      <c r="C778" s="2" t="str">
        <f>IF(Kanatlar!C80="","",Kanatlar!C80)</f>
        <v/>
      </c>
      <c r="D778" t="str">
        <f ca="1">IF(Kanatlar!D80="","",Kanatlar!D80)</f>
        <v/>
      </c>
      <c r="E778" t="str">
        <f>IF(Kanatlar!E80="","",Kanatlar!E80)</f>
        <v>Kanat</v>
      </c>
      <c r="F778" t="str">
        <f>IF(Kanatlar!G80="","",Kanatlar!G80)</f>
        <v/>
      </c>
      <c r="G778" s="2" t="str">
        <f>IF(Kanatlar!H80="","",Kanatlar!H80)</f>
        <v>-</v>
      </c>
      <c r="H778" t="str">
        <f>IF(Kanatlar!I80="","",Kanatlar!I80)</f>
        <v/>
      </c>
      <c r="I778">
        <f>IF(Kanatlar!A80="","",Kanatlar!J80)</f>
        <v>0</v>
      </c>
      <c r="J778" t="str">
        <f>IF(Kanatlar!A80="","",Kanatlar!K80)</f>
        <v>https://www.transfermarkt.com.tr/loic-essomba/profil/spieler/1040825</v>
      </c>
      <c r="K778" t="str">
        <f>IF(Kanatlar!L80="","",Kanatlar!L80)</f>
        <v/>
      </c>
      <c r="L778" t="str">
        <f>IF(Kanatlar!M80="","",Kanatlar!M80)</f>
        <v/>
      </c>
      <c r="M778" t="str">
        <f>IF(Kanatlar!N80="","",Kanatlar!N80)</f>
        <v/>
      </c>
      <c r="N778" t="str">
        <f>IF(Kanatlar!O80="","",Kanatlar!O80)</f>
        <v/>
      </c>
      <c r="O778" t="str">
        <f>IF(Kanatlar!P80="","",Kanatlar!P80)</f>
        <v/>
      </c>
      <c r="P778" t="str">
        <f>IF(Kanatlar!Q80="","",Kanatlar!Q80)</f>
        <v/>
      </c>
      <c r="Q778" t="str">
        <f>IF(Kanatlar!R80="","",Kanatlar!R80)</f>
        <v/>
      </c>
      <c r="R778" t="str">
        <f>IF(Kanatlar!S80="","",Kanatlar!S80)</f>
        <v/>
      </c>
      <c r="S778" t="str">
        <f>IF(Kanatlar!T80="","",Kanatlar!T80)</f>
        <v/>
      </c>
      <c r="T778" s="2" t="str">
        <f>IF(Kanatlar!U80="","",Kanatlar!U80)</f>
        <v/>
      </c>
      <c r="U778" t="s">
        <v>933</v>
      </c>
      <c r="V778">
        <v>80</v>
      </c>
      <c r="W778" t="str">
        <f ca="1">IF(AND($A778&lt;&gt;"",ISNUMBER($G778),$G778&gt;=TODAY(),$G778&lt;=EDATE(TODAY(),12)),COUNTIFS($G$2:$G$1001,"&gt;="&amp;TODAY(),$G$2:$G$1001,"&lt;"&amp;$G778,$A$2:$A$1001,"&lt;&gt;")+COUNTIFS($G$2:$G778,$G778,$A$2:$A778,"&lt;&gt;"),"")</f>
        <v/>
      </c>
      <c r="X778" t="str">
        <f>IF(AND($A778&lt;&gt;"",ISNUMBER($C778),$C778&gt;=DATE(2003,1,1)),COUNTIFS($C$2:$C778,"&gt;="&amp;DATE(2003,1,1),$A$2:$A778,"&lt;&gt;"),"")</f>
        <v/>
      </c>
    </row>
    <row r="779" spans="1:24">
      <c r="A779" t="str">
        <f>IF(Kanatlar!A81="","",Kanatlar!A81)</f>
        <v>MAXIMILIANO GUTIERREZ</v>
      </c>
      <c r="B779" t="str">
        <f>IF(Kanatlar!B81="","",Kanatlar!B81)</f>
        <v/>
      </c>
      <c r="C779" s="2" t="str">
        <f>IF(Kanatlar!C81="","",Kanatlar!C81)</f>
        <v/>
      </c>
      <c r="D779" t="str">
        <f ca="1">IF(Kanatlar!D81="","",Kanatlar!D81)</f>
        <v/>
      </c>
      <c r="E779" t="str">
        <f>IF(Kanatlar!E81="","",Kanatlar!E81)</f>
        <v>Kanat</v>
      </c>
      <c r="F779" t="str">
        <f>IF(Kanatlar!G81="","",Kanatlar!G81)</f>
        <v/>
      </c>
      <c r="G779" s="2" t="str">
        <f>IF(Kanatlar!H81="","",Kanatlar!H81)</f>
        <v>-</v>
      </c>
      <c r="H779" t="str">
        <f>IF(Kanatlar!I81="","",Kanatlar!I81)</f>
        <v/>
      </c>
      <c r="I779">
        <f>IF(Kanatlar!A81="","",Kanatlar!J81)</f>
        <v>0</v>
      </c>
      <c r="J779" t="str">
        <f>IF(Kanatlar!A81="","",Kanatlar!K81)</f>
        <v>https://www.transfermarkt.es/maximiliano-gutierrez/profil/spieler/965323</v>
      </c>
      <c r="K779" t="str">
        <f>IF(Kanatlar!L81="","",Kanatlar!L81)</f>
        <v/>
      </c>
      <c r="L779" t="str">
        <f>IF(Kanatlar!M81="","",Kanatlar!M81)</f>
        <v/>
      </c>
      <c r="M779" t="str">
        <f>IF(Kanatlar!N81="","",Kanatlar!N81)</f>
        <v/>
      </c>
      <c r="N779" t="str">
        <f>IF(Kanatlar!O81="","",Kanatlar!O81)</f>
        <v/>
      </c>
      <c r="O779" t="str">
        <f>IF(Kanatlar!P81="","",Kanatlar!P81)</f>
        <v/>
      </c>
      <c r="P779" t="str">
        <f>IF(Kanatlar!Q81="","",Kanatlar!Q81)</f>
        <v/>
      </c>
      <c r="Q779" t="str">
        <f>IF(Kanatlar!R81="","",Kanatlar!R81)</f>
        <v/>
      </c>
      <c r="R779" t="str">
        <f>IF(Kanatlar!S81="","",Kanatlar!S81)</f>
        <v/>
      </c>
      <c r="S779" t="str">
        <f>IF(Kanatlar!T81="","",Kanatlar!T81)</f>
        <v/>
      </c>
      <c r="T779" s="2" t="str">
        <f>IF(Kanatlar!U81="","",Kanatlar!U81)</f>
        <v/>
      </c>
      <c r="U779" t="s">
        <v>933</v>
      </c>
      <c r="V779">
        <v>81</v>
      </c>
      <c r="W779" t="str">
        <f ca="1">IF(AND($A779&lt;&gt;"",ISNUMBER($G779),$G779&gt;=TODAY(),$G779&lt;=EDATE(TODAY(),12)),COUNTIFS($G$2:$G$1001,"&gt;="&amp;TODAY(),$G$2:$G$1001,"&lt;"&amp;$G779,$A$2:$A$1001,"&lt;&gt;")+COUNTIFS($G$2:$G779,$G779,$A$2:$A779,"&lt;&gt;"),"")</f>
        <v/>
      </c>
      <c r="X779" t="str">
        <f>IF(AND($A779&lt;&gt;"",ISNUMBER($C779),$C779&gt;=DATE(2003,1,1)),COUNTIFS($C$2:$C779,"&gt;="&amp;DATE(2003,1,1),$A$2:$A779,"&lt;&gt;"),"")</f>
        <v/>
      </c>
    </row>
    <row r="780" spans="1:24">
      <c r="A780" t="str">
        <f>IF(Kanatlar!A82="","",Kanatlar!A82)</f>
        <v>JORDHY THOMPSON</v>
      </c>
      <c r="B780" t="str">
        <f>IF(Kanatlar!B82="","",Kanatlar!B82)</f>
        <v/>
      </c>
      <c r="C780" s="2" t="str">
        <f>IF(Kanatlar!C82="","",Kanatlar!C82)</f>
        <v/>
      </c>
      <c r="D780" t="str">
        <f ca="1">IF(Kanatlar!D82="","",Kanatlar!D82)</f>
        <v/>
      </c>
      <c r="E780" t="str">
        <f>IF(Kanatlar!E82="","",Kanatlar!E82)</f>
        <v>Kanat</v>
      </c>
      <c r="F780" t="str">
        <f>IF(Kanatlar!G82="","",Kanatlar!G82)</f>
        <v/>
      </c>
      <c r="G780" s="2" t="str">
        <f>IF(Kanatlar!H82="","",Kanatlar!H82)</f>
        <v>-</v>
      </c>
      <c r="H780" t="str">
        <f>IF(Kanatlar!I82="","",Kanatlar!I82)</f>
        <v/>
      </c>
      <c r="I780">
        <f>IF(Kanatlar!A82="","",Kanatlar!J82)</f>
        <v>0</v>
      </c>
      <c r="J780" t="str">
        <f>IF(Kanatlar!A82="","",Kanatlar!K82)</f>
        <v>https://www.transfermarkt.com/jordhy-thompson/profil/spieler/889462</v>
      </c>
      <c r="K780" t="str">
        <f>IF(Kanatlar!L82="","",Kanatlar!L82)</f>
        <v/>
      </c>
      <c r="L780" t="str">
        <f>IF(Kanatlar!M82="","",Kanatlar!M82)</f>
        <v/>
      </c>
      <c r="M780" t="str">
        <f>IF(Kanatlar!N82="","",Kanatlar!N82)</f>
        <v/>
      </c>
      <c r="N780" t="str">
        <f>IF(Kanatlar!O82="","",Kanatlar!O82)</f>
        <v/>
      </c>
      <c r="O780" t="str">
        <f>IF(Kanatlar!P82="","",Kanatlar!P82)</f>
        <v/>
      </c>
      <c r="P780" t="str">
        <f>IF(Kanatlar!Q82="","",Kanatlar!Q82)</f>
        <v/>
      </c>
      <c r="Q780" t="str">
        <f>IF(Kanatlar!R82="","",Kanatlar!R82)</f>
        <v/>
      </c>
      <c r="R780" t="str">
        <f>IF(Kanatlar!S82="","",Kanatlar!S82)</f>
        <v/>
      </c>
      <c r="S780" t="str">
        <f>IF(Kanatlar!T82="","",Kanatlar!T82)</f>
        <v/>
      </c>
      <c r="T780" s="2" t="str">
        <f>IF(Kanatlar!U82="","",Kanatlar!U82)</f>
        <v/>
      </c>
      <c r="U780" t="s">
        <v>933</v>
      </c>
      <c r="V780">
        <v>82</v>
      </c>
      <c r="W780" t="str">
        <f ca="1">IF(AND($A780&lt;&gt;"",ISNUMBER($G780),$G780&gt;=TODAY(),$G780&lt;=EDATE(TODAY(),12)),COUNTIFS($G$2:$G$1001,"&gt;="&amp;TODAY(),$G$2:$G$1001,"&lt;"&amp;$G780,$A$2:$A$1001,"&lt;&gt;")+COUNTIFS($G$2:$G780,$G780,$A$2:$A780,"&lt;&gt;"),"")</f>
        <v/>
      </c>
      <c r="X780" t="str">
        <f>IF(AND($A780&lt;&gt;"",ISNUMBER($C780),$C780&gt;=DATE(2003,1,1)),COUNTIFS($C$2:$C780,"&gt;="&amp;DATE(2003,1,1),$A$2:$A780,"&lt;&gt;"),"")</f>
        <v/>
      </c>
    </row>
    <row r="781" spans="1:24">
      <c r="A781" t="str">
        <f>IF(Kanatlar!A83="","",Kanatlar!A83)</f>
        <v>LUCA ORELLANO</v>
      </c>
      <c r="B781" t="str">
        <f>IF(Kanatlar!B83="","",Kanatlar!B83)</f>
        <v/>
      </c>
      <c r="C781" s="2" t="str">
        <f>IF(Kanatlar!C83="","",Kanatlar!C83)</f>
        <v/>
      </c>
      <c r="D781" t="str">
        <f ca="1">IF(Kanatlar!D83="","",Kanatlar!D83)</f>
        <v/>
      </c>
      <c r="E781" t="str">
        <f>IF(Kanatlar!E83="","",Kanatlar!E83)</f>
        <v>Kanat</v>
      </c>
      <c r="F781" t="str">
        <f>IF(Kanatlar!G83="","",Kanatlar!G83)</f>
        <v/>
      </c>
      <c r="G781" s="2" t="str">
        <f>IF(Kanatlar!H83="","",Kanatlar!H83)</f>
        <v>-</v>
      </c>
      <c r="H781" t="str">
        <f>IF(Kanatlar!I83="","",Kanatlar!I83)</f>
        <v/>
      </c>
      <c r="I781">
        <f>IF(Kanatlar!A83="","",Kanatlar!J83)</f>
        <v>0</v>
      </c>
      <c r="J781" t="str">
        <f>IF(Kanatlar!A83="","",Kanatlar!K83)</f>
        <v>https://www.transfermarkt.co.uk/luca-orellano/profil/spieler/636784</v>
      </c>
      <c r="K781" t="str">
        <f>IF(Kanatlar!L83="","",Kanatlar!L83)</f>
        <v/>
      </c>
      <c r="L781" t="str">
        <f>IF(Kanatlar!M83="","",Kanatlar!M83)</f>
        <v/>
      </c>
      <c r="M781" t="str">
        <f>IF(Kanatlar!N83="","",Kanatlar!N83)</f>
        <v/>
      </c>
      <c r="N781" t="str">
        <f>IF(Kanatlar!O83="","",Kanatlar!O83)</f>
        <v/>
      </c>
      <c r="O781" t="str">
        <f>IF(Kanatlar!P83="","",Kanatlar!P83)</f>
        <v/>
      </c>
      <c r="P781" t="str">
        <f>IF(Kanatlar!Q83="","",Kanatlar!Q83)</f>
        <v/>
      </c>
      <c r="Q781" t="str">
        <f>IF(Kanatlar!R83="","",Kanatlar!R83)</f>
        <v/>
      </c>
      <c r="R781" t="str">
        <f>IF(Kanatlar!S83="","",Kanatlar!S83)</f>
        <v/>
      </c>
      <c r="S781" t="str">
        <f>IF(Kanatlar!T83="","",Kanatlar!T83)</f>
        <v/>
      </c>
      <c r="T781" s="2" t="str">
        <f>IF(Kanatlar!U83="","",Kanatlar!U83)</f>
        <v/>
      </c>
      <c r="U781" t="s">
        <v>933</v>
      </c>
      <c r="V781">
        <v>83</v>
      </c>
      <c r="W781" t="str">
        <f ca="1">IF(AND($A781&lt;&gt;"",ISNUMBER($G781),$G781&gt;=TODAY(),$G781&lt;=EDATE(TODAY(),12)),COUNTIFS($G$2:$G$1001,"&gt;="&amp;TODAY(),$G$2:$G$1001,"&lt;"&amp;$G781,$A$2:$A$1001,"&lt;&gt;")+COUNTIFS($G$2:$G781,$G781,$A$2:$A781,"&lt;&gt;"),"")</f>
        <v/>
      </c>
      <c r="X781" t="str">
        <f>IF(AND($A781&lt;&gt;"",ISNUMBER($C781),$C781&gt;=DATE(2003,1,1)),COUNTIFS($C$2:$C781,"&gt;="&amp;DATE(2003,1,1),$A$2:$A781,"&lt;&gt;"),"")</f>
        <v/>
      </c>
    </row>
    <row r="782" spans="1:24">
      <c r="A782" t="str">
        <f>IF(Kanatlar!A84="","",Kanatlar!A84)</f>
        <v>DANIO DJASSI</v>
      </c>
      <c r="B782" t="str">
        <f>IF(Kanatlar!B84="","",Kanatlar!B84)</f>
        <v/>
      </c>
      <c r="C782" s="2" t="str">
        <f>IF(Kanatlar!C84="","",Kanatlar!C84)</f>
        <v/>
      </c>
      <c r="D782" t="str">
        <f ca="1">IF(Kanatlar!D84="","",Kanatlar!D84)</f>
        <v/>
      </c>
      <c r="E782" t="str">
        <f>IF(Kanatlar!E84="","",Kanatlar!E84)</f>
        <v>Kanat</v>
      </c>
      <c r="F782" t="str">
        <f>IF(Kanatlar!G84="","",Kanatlar!G84)</f>
        <v/>
      </c>
      <c r="G782" s="2" t="str">
        <f>IF(Kanatlar!H84="","",Kanatlar!H84)</f>
        <v>-</v>
      </c>
      <c r="H782" t="str">
        <f>IF(Kanatlar!I84="","",Kanatlar!I84)</f>
        <v/>
      </c>
      <c r="I782">
        <f>IF(Kanatlar!A84="","",Kanatlar!J84)</f>
        <v>0</v>
      </c>
      <c r="J782" t="str">
        <f>IF(Kanatlar!A84="","",Kanatlar!K84)</f>
        <v>https://www.transfermarkt.com.tr/danio-djassi/profil/spieler/1294213</v>
      </c>
      <c r="K782" t="str">
        <f>IF(Kanatlar!L84="","",Kanatlar!L84)</f>
        <v/>
      </c>
      <c r="L782" t="str">
        <f>IF(Kanatlar!M84="","",Kanatlar!M84)</f>
        <v/>
      </c>
      <c r="M782" t="str">
        <f>IF(Kanatlar!N84="","",Kanatlar!N84)</f>
        <v/>
      </c>
      <c r="N782" t="str">
        <f>IF(Kanatlar!O84="","",Kanatlar!O84)</f>
        <v/>
      </c>
      <c r="O782" t="str">
        <f>IF(Kanatlar!P84="","",Kanatlar!P84)</f>
        <v/>
      </c>
      <c r="P782" t="str">
        <f>IF(Kanatlar!Q84="","",Kanatlar!Q84)</f>
        <v/>
      </c>
      <c r="Q782" t="str">
        <f>IF(Kanatlar!R84="","",Kanatlar!R84)</f>
        <v/>
      </c>
      <c r="R782" t="str">
        <f>IF(Kanatlar!S84="","",Kanatlar!S84)</f>
        <v/>
      </c>
      <c r="S782" t="str">
        <f>IF(Kanatlar!T84="","",Kanatlar!T84)</f>
        <v/>
      </c>
      <c r="T782" s="2" t="str">
        <f>IF(Kanatlar!U84="","",Kanatlar!U84)</f>
        <v/>
      </c>
      <c r="U782" t="s">
        <v>933</v>
      </c>
      <c r="V782">
        <v>84</v>
      </c>
      <c r="W782" t="str">
        <f ca="1">IF(AND($A782&lt;&gt;"",ISNUMBER($G782),$G782&gt;=TODAY(),$G782&lt;=EDATE(TODAY(),12)),COUNTIFS($G$2:$G$1001,"&gt;="&amp;TODAY(),$G$2:$G$1001,"&lt;"&amp;$G782,$A$2:$A$1001,"&lt;&gt;")+COUNTIFS($G$2:$G782,$G782,$A$2:$A782,"&lt;&gt;"),"")</f>
        <v/>
      </c>
      <c r="X782" t="str">
        <f>IF(AND($A782&lt;&gt;"",ISNUMBER($C782),$C782&gt;=DATE(2003,1,1)),COUNTIFS($C$2:$C782,"&gt;="&amp;DATE(2003,1,1),$A$2:$A782,"&lt;&gt;"),"")</f>
        <v/>
      </c>
    </row>
    <row r="783" spans="1:24">
      <c r="A783" t="str">
        <f>IF(Kanatlar!A85="","",Kanatlar!A85)</f>
        <v>LEONARDO BOVIO</v>
      </c>
      <c r="B783" t="str">
        <f>IF(Kanatlar!B85="","",Kanatlar!B85)</f>
        <v/>
      </c>
      <c r="C783" s="2" t="str">
        <f>IF(Kanatlar!C85="","",Kanatlar!C85)</f>
        <v/>
      </c>
      <c r="D783" t="str">
        <f ca="1">IF(Kanatlar!D85="","",Kanatlar!D85)</f>
        <v/>
      </c>
      <c r="E783" t="str">
        <f>IF(Kanatlar!E85="","",Kanatlar!E85)</f>
        <v>Kanat</v>
      </c>
      <c r="F783" t="str">
        <f>IF(Kanatlar!G85="","",Kanatlar!G85)</f>
        <v/>
      </c>
      <c r="G783" s="2" t="str">
        <f>IF(Kanatlar!H85="","",Kanatlar!H85)</f>
        <v>-</v>
      </c>
      <c r="H783" t="str">
        <f>IF(Kanatlar!I85="","",Kanatlar!I85)</f>
        <v/>
      </c>
      <c r="I783">
        <f>IF(Kanatlar!A85="","",Kanatlar!J85)</f>
        <v>0</v>
      </c>
      <c r="J783" t="str">
        <f>IF(Kanatlar!A85="","",Kanatlar!K85)</f>
        <v>https://www.transfermarkt.com/leonardo-bovio/profil/spieler/1058350</v>
      </c>
      <c r="K783" t="str">
        <f>IF(Kanatlar!L85="","",Kanatlar!L85)</f>
        <v/>
      </c>
      <c r="L783" t="str">
        <f>IF(Kanatlar!M85="","",Kanatlar!M85)</f>
        <v/>
      </c>
      <c r="M783" t="str">
        <f>IF(Kanatlar!N85="","",Kanatlar!N85)</f>
        <v/>
      </c>
      <c r="N783" t="str">
        <f>IF(Kanatlar!O85="","",Kanatlar!O85)</f>
        <v/>
      </c>
      <c r="O783" t="str">
        <f>IF(Kanatlar!P85="","",Kanatlar!P85)</f>
        <v/>
      </c>
      <c r="P783" t="str">
        <f>IF(Kanatlar!Q85="","",Kanatlar!Q85)</f>
        <v/>
      </c>
      <c r="Q783" t="str">
        <f>IF(Kanatlar!R85="","",Kanatlar!R85)</f>
        <v/>
      </c>
      <c r="R783" t="str">
        <f>IF(Kanatlar!S85="","",Kanatlar!S85)</f>
        <v/>
      </c>
      <c r="S783" t="str">
        <f>IF(Kanatlar!T85="","",Kanatlar!T85)</f>
        <v/>
      </c>
      <c r="T783" s="2" t="str">
        <f>IF(Kanatlar!U85="","",Kanatlar!U85)</f>
        <v/>
      </c>
      <c r="U783" t="s">
        <v>933</v>
      </c>
      <c r="V783">
        <v>85</v>
      </c>
      <c r="W783" t="str">
        <f ca="1">IF(AND($A783&lt;&gt;"",ISNUMBER($G783),$G783&gt;=TODAY(),$G783&lt;=EDATE(TODAY(),12)),COUNTIFS($G$2:$G$1001,"&gt;="&amp;TODAY(),$G$2:$G$1001,"&lt;"&amp;$G783,$A$2:$A$1001,"&lt;&gt;")+COUNTIFS($G$2:$G783,$G783,$A$2:$A783,"&lt;&gt;"),"")</f>
        <v/>
      </c>
      <c r="X783" t="str">
        <f>IF(AND($A783&lt;&gt;"",ISNUMBER($C783),$C783&gt;=DATE(2003,1,1)),COUNTIFS($C$2:$C783,"&gt;="&amp;DATE(2003,1,1),$A$2:$A783,"&lt;&gt;"),"")</f>
        <v/>
      </c>
    </row>
    <row r="784" spans="1:24">
      <c r="A784" t="str">
        <f>IF(Kanatlar!A86="","",Kanatlar!A86)</f>
        <v>SAMUEL AKERE</v>
      </c>
      <c r="B784" t="str">
        <f>IF(Kanatlar!B86="","",Kanatlar!B86)</f>
        <v/>
      </c>
      <c r="C784" s="2" t="str">
        <f>IF(Kanatlar!C86="","",Kanatlar!C86)</f>
        <v/>
      </c>
      <c r="D784" t="str">
        <f ca="1">IF(Kanatlar!D86="","",Kanatlar!D86)</f>
        <v/>
      </c>
      <c r="E784" t="str">
        <f>IF(Kanatlar!E86="","",Kanatlar!E86)</f>
        <v>Kanat</v>
      </c>
      <c r="F784" t="str">
        <f>IF(Kanatlar!G86="","",Kanatlar!G86)</f>
        <v/>
      </c>
      <c r="G784" s="2" t="str">
        <f>IF(Kanatlar!H86="","",Kanatlar!H86)</f>
        <v>-</v>
      </c>
      <c r="H784" t="str">
        <f>IF(Kanatlar!I86="","",Kanatlar!I86)</f>
        <v/>
      </c>
      <c r="I784">
        <f>IF(Kanatlar!A86="","",Kanatlar!J86)</f>
        <v>0</v>
      </c>
      <c r="J784" t="str">
        <f>IF(Kanatlar!A86="","",Kanatlar!K86)</f>
        <v>https://www.transfermarkt.com.tr/samuel-akere/profil/spieler/1012052</v>
      </c>
      <c r="K784" t="str">
        <f>IF(Kanatlar!L86="","",Kanatlar!L86)</f>
        <v/>
      </c>
      <c r="L784" t="str">
        <f>IF(Kanatlar!M86="","",Kanatlar!M86)</f>
        <v/>
      </c>
      <c r="M784" t="str">
        <f>IF(Kanatlar!N86="","",Kanatlar!N86)</f>
        <v/>
      </c>
      <c r="N784" t="str">
        <f>IF(Kanatlar!O86="","",Kanatlar!O86)</f>
        <v/>
      </c>
      <c r="O784" t="str">
        <f>IF(Kanatlar!P86="","",Kanatlar!P86)</f>
        <v/>
      </c>
      <c r="P784" t="str">
        <f>IF(Kanatlar!Q86="","",Kanatlar!Q86)</f>
        <v/>
      </c>
      <c r="Q784" t="str">
        <f>IF(Kanatlar!R86="","",Kanatlar!R86)</f>
        <v/>
      </c>
      <c r="R784" t="str">
        <f>IF(Kanatlar!S86="","",Kanatlar!S86)</f>
        <v/>
      </c>
      <c r="S784" t="str">
        <f>IF(Kanatlar!T86="","",Kanatlar!T86)</f>
        <v/>
      </c>
      <c r="T784" s="2" t="str">
        <f>IF(Kanatlar!U86="","",Kanatlar!U86)</f>
        <v/>
      </c>
      <c r="U784" t="s">
        <v>933</v>
      </c>
      <c r="V784">
        <v>86</v>
      </c>
      <c r="W784" t="str">
        <f ca="1">IF(AND($A784&lt;&gt;"",ISNUMBER($G784),$G784&gt;=TODAY(),$G784&lt;=EDATE(TODAY(),12)),COUNTIFS($G$2:$G$1001,"&gt;="&amp;TODAY(),$G$2:$G$1001,"&lt;"&amp;$G784,$A$2:$A$1001,"&lt;&gt;")+COUNTIFS($G$2:$G784,$G784,$A$2:$A784,"&lt;&gt;"),"")</f>
        <v/>
      </c>
      <c r="X784" t="str">
        <f>IF(AND($A784&lt;&gt;"",ISNUMBER($C784),$C784&gt;=DATE(2003,1,1)),COUNTIFS($C$2:$C784,"&gt;="&amp;DATE(2003,1,1),$A$2:$A784,"&lt;&gt;"),"")</f>
        <v/>
      </c>
    </row>
    <row r="785" spans="1:24">
      <c r="A785" t="str">
        <f>IF(Kanatlar!A87="","",Kanatlar!A87)</f>
        <v>JORGE MEIRELES</v>
      </c>
      <c r="B785" t="str">
        <f>IF(Kanatlar!B87="","",Kanatlar!B87)</f>
        <v>PORTEKİZ</v>
      </c>
      <c r="C785" s="2">
        <f>IF(Kanatlar!C87="","",Kanatlar!C87)</f>
        <v>38081</v>
      </c>
      <c r="D785">
        <f ca="1">IF(Kanatlar!D87="","",Kanatlar!D87)</f>
        <v>22</v>
      </c>
      <c r="E785" t="str">
        <f>IF(Kanatlar!E87="","",Kanatlar!E87)</f>
        <v>Kanat</v>
      </c>
      <c r="F785" t="str">
        <f>IF(Kanatlar!G87="","",Kanatlar!G87)</f>
        <v>ESTRELA AMADORA</v>
      </c>
      <c r="G785" s="2">
        <f>IF(Kanatlar!H87="","",Kanatlar!H87)</f>
        <v>46934</v>
      </c>
      <c r="H785" t="str">
        <f>IF(Kanatlar!I87="","",Kanatlar!I87)</f>
        <v/>
      </c>
      <c r="I785">
        <f>IF(Kanatlar!A87="","",Kanatlar!J87)</f>
        <v>0</v>
      </c>
      <c r="J785" t="str">
        <f>IF(Kanatlar!A87="","",Kanatlar!K87)</f>
        <v>https://www.transfermarkt.com.tr/jorge-meireles/profil/spieler/742454</v>
      </c>
      <c r="K785" t="str">
        <f>IF(Kanatlar!L87="","",Kanatlar!L87)</f>
        <v/>
      </c>
      <c r="L785" t="str">
        <f>IF(Kanatlar!M87="","",Kanatlar!M87)</f>
        <v/>
      </c>
      <c r="M785" t="str">
        <f>IF(Kanatlar!N87="","",Kanatlar!N87)</f>
        <v/>
      </c>
      <c r="N785" t="str">
        <f>IF(Kanatlar!O87="","",Kanatlar!O87)</f>
        <v/>
      </c>
      <c r="O785" t="str">
        <f>IF(Kanatlar!P87="","",Kanatlar!P87)</f>
        <v/>
      </c>
      <c r="P785" t="str">
        <f>IF(Kanatlar!Q87="","",Kanatlar!Q87)</f>
        <v/>
      </c>
      <c r="Q785" t="str">
        <f>IF(Kanatlar!R87="","",Kanatlar!R87)</f>
        <v/>
      </c>
      <c r="R785" t="str">
        <f>IF(Kanatlar!S87="","",Kanatlar!S87)</f>
        <v/>
      </c>
      <c r="S785" t="str">
        <f>IF(Kanatlar!T87="","",Kanatlar!T87)</f>
        <v/>
      </c>
      <c r="T785" s="2" t="str">
        <f>IF(Kanatlar!U87="","",Kanatlar!U87)</f>
        <v/>
      </c>
      <c r="U785" t="s">
        <v>933</v>
      </c>
      <c r="V785">
        <v>87</v>
      </c>
      <c r="W785" t="str">
        <f ca="1">IF(AND($A785&lt;&gt;"",ISNUMBER($G785),$G785&gt;=TODAY(),$G785&lt;=EDATE(TODAY(),12)),COUNTIFS($G$2:$G$1001,"&gt;="&amp;TODAY(),$G$2:$G$1001,"&lt;"&amp;$G785,$A$2:$A$1001,"&lt;&gt;")+COUNTIFS($G$2:$G785,$G785,$A$2:$A785,"&lt;&gt;"),"")</f>
        <v/>
      </c>
      <c r="X785">
        <f>IF(AND($A785&lt;&gt;"",ISNUMBER($C785),$C785&gt;=DATE(2003,1,1)),COUNTIFS($C$2:$C785,"&gt;="&amp;DATE(2003,1,1),$A$2:$A785,"&lt;&gt;"),"")</f>
        <v>62</v>
      </c>
    </row>
    <row r="786" spans="1:24">
      <c r="A786" t="str">
        <f>IF(Kanatlar!A88="","",Kanatlar!A88)</f>
        <v>HERBA GUIRASSY</v>
      </c>
      <c r="B786" t="str">
        <f>IF(Kanatlar!B88="","",Kanatlar!B88)</f>
        <v/>
      </c>
      <c r="C786" s="2" t="str">
        <f>IF(Kanatlar!C88="","",Kanatlar!C88)</f>
        <v/>
      </c>
      <c r="D786" t="str">
        <f ca="1">IF(Kanatlar!D88="","",Kanatlar!D88)</f>
        <v/>
      </c>
      <c r="E786" t="str">
        <f>IF(Kanatlar!E88="","",Kanatlar!E88)</f>
        <v>Kanat</v>
      </c>
      <c r="F786" t="str">
        <f>IF(Kanatlar!G88="","",Kanatlar!G88)</f>
        <v/>
      </c>
      <c r="G786" s="2" t="str">
        <f>IF(Kanatlar!H88="","",Kanatlar!H88)</f>
        <v>-</v>
      </c>
      <c r="H786" t="str">
        <f>IF(Kanatlar!I88="","",Kanatlar!I88)</f>
        <v/>
      </c>
      <c r="I786">
        <f>IF(Kanatlar!A88="","",Kanatlar!J88)</f>
        <v>0</v>
      </c>
      <c r="J786" t="str">
        <f>IF(Kanatlar!A88="","",Kanatlar!K88)</f>
        <v>https://www.transfermarkt.us/herba-guirassy/profil/spieler/1119453</v>
      </c>
      <c r="K786" t="str">
        <f>IF(Kanatlar!L88="","",Kanatlar!L88)</f>
        <v/>
      </c>
      <c r="L786" t="str">
        <f>IF(Kanatlar!M88="","",Kanatlar!M88)</f>
        <v/>
      </c>
      <c r="M786" t="str">
        <f>IF(Kanatlar!N88="","",Kanatlar!N88)</f>
        <v/>
      </c>
      <c r="N786" t="str">
        <f>IF(Kanatlar!O88="","",Kanatlar!O88)</f>
        <v/>
      </c>
      <c r="O786" t="str">
        <f>IF(Kanatlar!P88="","",Kanatlar!P88)</f>
        <v/>
      </c>
      <c r="P786" t="str">
        <f>IF(Kanatlar!Q88="","",Kanatlar!Q88)</f>
        <v/>
      </c>
      <c r="Q786" t="str">
        <f>IF(Kanatlar!R88="","",Kanatlar!R88)</f>
        <v/>
      </c>
      <c r="R786" t="str">
        <f>IF(Kanatlar!S88="","",Kanatlar!S88)</f>
        <v/>
      </c>
      <c r="S786" t="str">
        <f>IF(Kanatlar!T88="","",Kanatlar!T88)</f>
        <v/>
      </c>
      <c r="T786" s="2" t="str">
        <f>IF(Kanatlar!U88="","",Kanatlar!U88)</f>
        <v/>
      </c>
      <c r="U786" t="s">
        <v>933</v>
      </c>
      <c r="V786">
        <v>88</v>
      </c>
      <c r="W786" t="str">
        <f ca="1">IF(AND($A786&lt;&gt;"",ISNUMBER($G786),$G786&gt;=TODAY(),$G786&lt;=EDATE(TODAY(),12)),COUNTIFS($G$2:$G$1001,"&gt;="&amp;TODAY(),$G$2:$G$1001,"&lt;"&amp;$G786,$A$2:$A$1001,"&lt;&gt;")+COUNTIFS($G$2:$G786,$G786,$A$2:$A786,"&lt;&gt;"),"")</f>
        <v/>
      </c>
      <c r="X786" t="str">
        <f>IF(AND($A786&lt;&gt;"",ISNUMBER($C786),$C786&gt;=DATE(2003,1,1)),COUNTIFS($C$2:$C786,"&gt;="&amp;DATE(2003,1,1),$A$2:$A786,"&lt;&gt;"),"")</f>
        <v/>
      </c>
    </row>
    <row r="787" spans="1:24">
      <c r="A787" t="str">
        <f>IF(Kanatlar!A89="","",Kanatlar!A89)</f>
        <v>LAZAR RANDJELOVIC</v>
      </c>
      <c r="B787" t="str">
        <f>IF(Kanatlar!B89="","",Kanatlar!B89)</f>
        <v/>
      </c>
      <c r="C787" s="2" t="str">
        <f>IF(Kanatlar!C89="","",Kanatlar!C89)</f>
        <v/>
      </c>
      <c r="D787" t="str">
        <f ca="1">IF(Kanatlar!D89="","",Kanatlar!D89)</f>
        <v/>
      </c>
      <c r="E787" t="str">
        <f>IF(Kanatlar!E89="","",Kanatlar!E89)</f>
        <v>Kanat</v>
      </c>
      <c r="F787" t="str">
        <f>IF(Kanatlar!G89="","",Kanatlar!G89)</f>
        <v/>
      </c>
      <c r="G787" s="2" t="str">
        <f>IF(Kanatlar!H89="","",Kanatlar!H89)</f>
        <v>-</v>
      </c>
      <c r="H787" t="str">
        <f>IF(Kanatlar!I89="","",Kanatlar!I89)</f>
        <v/>
      </c>
      <c r="I787">
        <f>IF(Kanatlar!A89="","",Kanatlar!J89)</f>
        <v>0</v>
      </c>
      <c r="J787" t="str">
        <f>IF(Kanatlar!A89="","",Kanatlar!K89)</f>
        <v>https://www.transfermarkt.com.tr/lazar-randjelovic/profil/spieler/512394</v>
      </c>
      <c r="K787" t="str">
        <f>IF(Kanatlar!L89="","",Kanatlar!L89)</f>
        <v/>
      </c>
      <c r="L787" t="str">
        <f>IF(Kanatlar!M89="","",Kanatlar!M89)</f>
        <v/>
      </c>
      <c r="M787" t="str">
        <f>IF(Kanatlar!N89="","",Kanatlar!N89)</f>
        <v/>
      </c>
      <c r="N787" t="str">
        <f>IF(Kanatlar!O89="","",Kanatlar!O89)</f>
        <v/>
      </c>
      <c r="O787" t="str">
        <f>IF(Kanatlar!P89="","",Kanatlar!P89)</f>
        <v/>
      </c>
      <c r="P787" t="str">
        <f>IF(Kanatlar!Q89="","",Kanatlar!Q89)</f>
        <v/>
      </c>
      <c r="Q787" t="str">
        <f>IF(Kanatlar!R89="","",Kanatlar!R89)</f>
        <v/>
      </c>
      <c r="R787" t="str">
        <f>IF(Kanatlar!S89="","",Kanatlar!S89)</f>
        <v/>
      </c>
      <c r="S787" t="str">
        <f>IF(Kanatlar!T89="","",Kanatlar!T89)</f>
        <v/>
      </c>
      <c r="T787" s="2" t="str">
        <f>IF(Kanatlar!U89="","",Kanatlar!U89)</f>
        <v/>
      </c>
      <c r="U787" t="s">
        <v>933</v>
      </c>
      <c r="V787">
        <v>89</v>
      </c>
      <c r="W787" t="str">
        <f ca="1">IF(AND($A787&lt;&gt;"",ISNUMBER($G787),$G787&gt;=TODAY(),$G787&lt;=EDATE(TODAY(),12)),COUNTIFS($G$2:$G$1001,"&gt;="&amp;TODAY(),$G$2:$G$1001,"&lt;"&amp;$G787,$A$2:$A$1001,"&lt;&gt;")+COUNTIFS($G$2:$G787,$G787,$A$2:$A787,"&lt;&gt;"),"")</f>
        <v/>
      </c>
      <c r="X787" t="str">
        <f>IF(AND($A787&lt;&gt;"",ISNUMBER($C787),$C787&gt;=DATE(2003,1,1)),COUNTIFS($C$2:$C787,"&gt;="&amp;DATE(2003,1,1),$A$2:$A787,"&lt;&gt;"),"")</f>
        <v/>
      </c>
    </row>
    <row r="788" spans="1:24">
      <c r="A788" t="str">
        <f>IF(Kanatlar!A90="","",Kanatlar!A90)</f>
        <v>YANNICK CARRASCO</v>
      </c>
      <c r="B788" t="str">
        <f>IF(Kanatlar!B90="","",Kanatlar!B90)</f>
        <v>BELÇİKA</v>
      </c>
      <c r="C788" s="2">
        <f>IF(Kanatlar!C90="","",Kanatlar!C90)</f>
        <v>34216</v>
      </c>
      <c r="D788">
        <f ca="1">IF(Kanatlar!D90="","",Kanatlar!D90)</f>
        <v>33</v>
      </c>
      <c r="E788" t="str">
        <f>IF(Kanatlar!E90="","",Kanatlar!E90)</f>
        <v>Kanat</v>
      </c>
      <c r="F788" t="str">
        <f>IF(Kanatlar!G90="","",Kanatlar!G90)</f>
        <v/>
      </c>
      <c r="G788" s="2" t="str">
        <f>IF(Kanatlar!H90="","",Kanatlar!H90)</f>
        <v>-</v>
      </c>
      <c r="H788" t="str">
        <f>IF(Kanatlar!I90="","",Kanatlar!I90)</f>
        <v/>
      </c>
      <c r="I788">
        <f>IF(Kanatlar!A90="","",Kanatlar!J90)</f>
        <v>0</v>
      </c>
      <c r="J788" t="str">
        <f>IF(Kanatlar!A90="","",Kanatlar!K90)</f>
        <v>https://www.transfermarkt.de/yannick-carrasco/profil/spieler/140776</v>
      </c>
      <c r="K788" t="str">
        <f>IF(Kanatlar!L90="","",Kanatlar!L90)</f>
        <v/>
      </c>
      <c r="L788" t="str">
        <f>IF(Kanatlar!M90="","",Kanatlar!M90)</f>
        <v/>
      </c>
      <c r="M788" t="str">
        <f>IF(Kanatlar!N90="","",Kanatlar!N90)</f>
        <v/>
      </c>
      <c r="N788" t="str">
        <f>IF(Kanatlar!O90="","",Kanatlar!O90)</f>
        <v/>
      </c>
      <c r="O788" t="str">
        <f>IF(Kanatlar!P90="","",Kanatlar!P90)</f>
        <v/>
      </c>
      <c r="P788" t="str">
        <f>IF(Kanatlar!Q90="","",Kanatlar!Q90)</f>
        <v/>
      </c>
      <c r="Q788" t="str">
        <f>IF(Kanatlar!R90="","",Kanatlar!R90)</f>
        <v/>
      </c>
      <c r="R788" t="str">
        <f>IF(Kanatlar!S90="","",Kanatlar!S90)</f>
        <v/>
      </c>
      <c r="S788" t="str">
        <f>IF(Kanatlar!T90="","",Kanatlar!T90)</f>
        <v/>
      </c>
      <c r="T788" s="2" t="str">
        <f>IF(Kanatlar!U90="","",Kanatlar!U90)</f>
        <v/>
      </c>
      <c r="U788" t="s">
        <v>933</v>
      </c>
      <c r="V788">
        <v>90</v>
      </c>
      <c r="W788" t="str">
        <f ca="1">IF(AND($A788&lt;&gt;"",ISNUMBER($G788),$G788&gt;=TODAY(),$G788&lt;=EDATE(TODAY(),12)),COUNTIFS($G$2:$G$1001,"&gt;="&amp;TODAY(),$G$2:$G$1001,"&lt;"&amp;$G788,$A$2:$A$1001,"&lt;&gt;")+COUNTIFS($G$2:$G788,$G788,$A$2:$A788,"&lt;&gt;"),"")</f>
        <v/>
      </c>
      <c r="X788" t="str">
        <f>IF(AND($A788&lt;&gt;"",ISNUMBER($C788),$C788&gt;=DATE(2003,1,1)),COUNTIFS($C$2:$C788,"&gt;="&amp;DATE(2003,1,1),$A$2:$A788,"&lt;&gt;"),"")</f>
        <v/>
      </c>
    </row>
    <row r="789" spans="1:24">
      <c r="A789" t="str">
        <f>IF(Kanatlar!A91="","",Kanatlar!A91)</f>
        <v>KREPIN DIATTA</v>
      </c>
      <c r="B789" t="str">
        <f>IF(Kanatlar!B91="","",Kanatlar!B91)</f>
        <v>SENEGAL</v>
      </c>
      <c r="C789" s="2">
        <f>IF(Kanatlar!C91="","",Kanatlar!C91)</f>
        <v>36216</v>
      </c>
      <c r="D789">
        <f ca="1">IF(Kanatlar!D91="","",Kanatlar!D91)</f>
        <v>27</v>
      </c>
      <c r="E789" t="str">
        <f>IF(Kanatlar!E91="","",Kanatlar!E91)</f>
        <v>Kanat</v>
      </c>
      <c r="F789" t="str">
        <f>IF(Kanatlar!G91="","",Kanatlar!G91)</f>
        <v>KULÜPSÜZ</v>
      </c>
      <c r="G789" s="2" t="str">
        <f>IF(Kanatlar!H91="","",Kanatlar!H91)</f>
        <v>-</v>
      </c>
      <c r="H789" t="str">
        <f>IF(Kanatlar!I91="","",Kanatlar!I91)</f>
        <v/>
      </c>
      <c r="I789">
        <f>IF(Kanatlar!A91="","",Kanatlar!J91)</f>
        <v>0</v>
      </c>
      <c r="J789" t="str">
        <f>IF(Kanatlar!A91="","",Kanatlar!K91)</f>
        <v>https://www.transfermarkt.com.tr/krepin-diatta/profil/spieler/490426</v>
      </c>
      <c r="K789" t="str">
        <f>IF(Kanatlar!L91="","",Kanatlar!L91)</f>
        <v/>
      </c>
      <c r="L789" t="str">
        <f>IF(Kanatlar!M91="","",Kanatlar!M91)</f>
        <v/>
      </c>
      <c r="M789" t="str">
        <f>IF(Kanatlar!N91="","",Kanatlar!N91)</f>
        <v/>
      </c>
      <c r="N789" t="str">
        <f>IF(Kanatlar!O91="","",Kanatlar!O91)</f>
        <v/>
      </c>
      <c r="O789" t="str">
        <f>IF(Kanatlar!P91="","",Kanatlar!P91)</f>
        <v/>
      </c>
      <c r="P789" t="str">
        <f>IF(Kanatlar!Q91="","",Kanatlar!Q91)</f>
        <v/>
      </c>
      <c r="Q789" t="str">
        <f>IF(Kanatlar!R91="","",Kanatlar!R91)</f>
        <v/>
      </c>
      <c r="R789" t="str">
        <f>IF(Kanatlar!S91="","",Kanatlar!S91)</f>
        <v/>
      </c>
      <c r="S789" t="str">
        <f>IF(Kanatlar!T91="","",Kanatlar!T91)</f>
        <v/>
      </c>
      <c r="T789" s="2" t="str">
        <f>IF(Kanatlar!U91="","",Kanatlar!U91)</f>
        <v/>
      </c>
      <c r="U789" t="s">
        <v>933</v>
      </c>
      <c r="V789">
        <v>91</v>
      </c>
      <c r="W789" t="str">
        <f ca="1">IF(AND($A789&lt;&gt;"",ISNUMBER($G789),$G789&gt;=TODAY(),$G789&lt;=EDATE(TODAY(),12)),COUNTIFS($G$2:$G$1001,"&gt;="&amp;TODAY(),$G$2:$G$1001,"&lt;"&amp;$G789,$A$2:$A$1001,"&lt;&gt;")+COUNTIFS($G$2:$G789,$G789,$A$2:$A789,"&lt;&gt;"),"")</f>
        <v/>
      </c>
      <c r="X789" t="str">
        <f>IF(AND($A789&lt;&gt;"",ISNUMBER($C789),$C789&gt;=DATE(2003,1,1)),COUNTIFS($C$2:$C789,"&gt;="&amp;DATE(2003,1,1),$A$2:$A789,"&lt;&gt;"),"")</f>
        <v/>
      </c>
    </row>
    <row r="790" spans="1:24">
      <c r="A790" t="str">
        <f>IF(Kanatlar!A92="","",Kanatlar!A92)</f>
        <v>JAMINTON CAMPAZ</v>
      </c>
      <c r="B790" t="str">
        <f>IF(Kanatlar!B92="","",Kanatlar!B92)</f>
        <v>KOLOMBİYA</v>
      </c>
      <c r="C790" s="2">
        <f>IF(Kanatlar!C92="","",Kanatlar!C92)</f>
        <v>36670</v>
      </c>
      <c r="D790">
        <f ca="1">IF(Kanatlar!D92="","",Kanatlar!D92)</f>
        <v>26</v>
      </c>
      <c r="E790" t="str">
        <f>IF(Kanatlar!E92="","",Kanatlar!E92)</f>
        <v>Kanat</v>
      </c>
      <c r="F790" t="str">
        <f>IF(Kanatlar!G92="","",Kanatlar!G92)</f>
        <v>ROSARIO CENTRAL</v>
      </c>
      <c r="G790" s="2">
        <f>IF(Kanatlar!H92="","",Kanatlar!H92)</f>
        <v>46387</v>
      </c>
      <c r="H790" t="str">
        <f>IF(Kanatlar!I92="","",Kanatlar!I92)</f>
        <v/>
      </c>
      <c r="I790">
        <f>IF(Kanatlar!A92="","",Kanatlar!J92)</f>
        <v>0</v>
      </c>
      <c r="J790" t="str">
        <f>IF(Kanatlar!A92="","",Kanatlar!K92)</f>
        <v>https://www.transfermarkt.us/jaminton-campaz/profil/spieler/491553</v>
      </c>
      <c r="K790" t="str">
        <f>IF(Kanatlar!L92="","",Kanatlar!L92)</f>
        <v/>
      </c>
      <c r="L790" t="str">
        <f>IF(Kanatlar!M92="","",Kanatlar!M92)</f>
        <v/>
      </c>
      <c r="M790" t="str">
        <f>IF(Kanatlar!N92="","",Kanatlar!N92)</f>
        <v/>
      </c>
      <c r="N790" t="str">
        <f>IF(Kanatlar!O92="","",Kanatlar!O92)</f>
        <v/>
      </c>
      <c r="O790" t="str">
        <f>IF(Kanatlar!P92="","",Kanatlar!P92)</f>
        <v/>
      </c>
      <c r="P790" t="str">
        <f>IF(Kanatlar!Q92="","",Kanatlar!Q92)</f>
        <v/>
      </c>
      <c r="Q790" t="str">
        <f>IF(Kanatlar!R92="","",Kanatlar!R92)</f>
        <v/>
      </c>
      <c r="R790" t="str">
        <f>IF(Kanatlar!S92="","",Kanatlar!S92)</f>
        <v/>
      </c>
      <c r="S790" t="str">
        <f>IF(Kanatlar!T92="","",Kanatlar!T92)</f>
        <v/>
      </c>
      <c r="T790" s="2" t="str">
        <f>IF(Kanatlar!U92="","",Kanatlar!U92)</f>
        <v/>
      </c>
      <c r="U790" t="s">
        <v>933</v>
      </c>
      <c r="V790">
        <v>92</v>
      </c>
      <c r="W790">
        <f ca="1">IF(AND($A790&lt;&gt;"",ISNUMBER($G790),$G790&gt;=TODAY(),$G790&lt;=EDATE(TODAY(),12)),COUNTIFS($G$2:$G$1001,"&gt;="&amp;TODAY(),$G$2:$G$1001,"&lt;"&amp;$G790,$A$2:$A$1001,"&lt;&gt;")+COUNTIFS($G$2:$G790,$G790,$A$2:$A790,"&lt;&gt;"),"")</f>
        <v>12</v>
      </c>
      <c r="X790" t="str">
        <f>IF(AND($A790&lt;&gt;"",ISNUMBER($C790),$C790&gt;=DATE(2003,1,1)),COUNTIFS($C$2:$C790,"&gt;="&amp;DATE(2003,1,1),$A$2:$A790,"&lt;&gt;"),"")</f>
        <v/>
      </c>
    </row>
    <row r="791" spans="1:24">
      <c r="A791" t="str">
        <f>IF(Kanatlar!A93="","",Kanatlar!A93)</f>
        <v>RAMIRO ARCIGA</v>
      </c>
      <c r="B791" t="str">
        <f>IF(Kanatlar!B93="","",Kanatlar!B93)</f>
        <v>MEKSİKA</v>
      </c>
      <c r="C791" s="2" t="str">
        <f>IF(Kanatlar!C93="","",Kanatlar!C93)</f>
        <v/>
      </c>
      <c r="D791" t="str">
        <f ca="1">IF(Kanatlar!D93="","",Kanatlar!D93)</f>
        <v/>
      </c>
      <c r="E791" t="str">
        <f>IF(Kanatlar!E93="","",Kanatlar!E93)</f>
        <v>Kanat</v>
      </c>
      <c r="F791" t="str">
        <f>IF(Kanatlar!G93="","",Kanatlar!G93)</f>
        <v/>
      </c>
      <c r="G791" s="2" t="str">
        <f>IF(Kanatlar!H93="","",Kanatlar!H93)</f>
        <v>-</v>
      </c>
      <c r="H791" t="str">
        <f>IF(Kanatlar!I93="","",Kanatlar!I93)</f>
        <v/>
      </c>
      <c r="I791">
        <f>IF(Kanatlar!A93="","",Kanatlar!J93)</f>
        <v>0</v>
      </c>
      <c r="J791" t="str">
        <f>IF(Kanatlar!A93="","",Kanatlar!K93)</f>
        <v>https://www.transfermarkt.com.tr/ramiro-arciga/profil/spieler/1087349</v>
      </c>
      <c r="K791" t="str">
        <f>IF(Kanatlar!L93="","",Kanatlar!L93)</f>
        <v/>
      </c>
      <c r="L791" t="str">
        <f>IF(Kanatlar!M93="","",Kanatlar!M93)</f>
        <v/>
      </c>
      <c r="M791" t="str">
        <f>IF(Kanatlar!N93="","",Kanatlar!N93)</f>
        <v/>
      </c>
      <c r="N791" t="str">
        <f>IF(Kanatlar!O93="","",Kanatlar!O93)</f>
        <v/>
      </c>
      <c r="O791" t="str">
        <f>IF(Kanatlar!P93="","",Kanatlar!P93)</f>
        <v/>
      </c>
      <c r="P791" t="str">
        <f>IF(Kanatlar!Q93="","",Kanatlar!Q93)</f>
        <v/>
      </c>
      <c r="Q791" t="str">
        <f>IF(Kanatlar!R93="","",Kanatlar!R93)</f>
        <v/>
      </c>
      <c r="R791" t="str">
        <f>IF(Kanatlar!S93="","",Kanatlar!S93)</f>
        <v/>
      </c>
      <c r="S791" t="str">
        <f>IF(Kanatlar!T93="","",Kanatlar!T93)</f>
        <v/>
      </c>
      <c r="T791" s="2" t="str">
        <f>IF(Kanatlar!U93="","",Kanatlar!U93)</f>
        <v/>
      </c>
      <c r="U791" t="s">
        <v>933</v>
      </c>
      <c r="V791">
        <v>93</v>
      </c>
      <c r="W791" t="str">
        <f ca="1">IF(AND($A791&lt;&gt;"",ISNUMBER($G791),$G791&gt;=TODAY(),$G791&lt;=EDATE(TODAY(),12)),COUNTIFS($G$2:$G$1001,"&gt;="&amp;TODAY(),$G$2:$G$1001,"&lt;"&amp;$G791,$A$2:$A$1001,"&lt;&gt;")+COUNTIFS($G$2:$G791,$G791,$A$2:$A791,"&lt;&gt;"),"")</f>
        <v/>
      </c>
      <c r="X791" t="str">
        <f>IF(AND($A791&lt;&gt;"",ISNUMBER($C791),$C791&gt;=DATE(2003,1,1)),COUNTIFS($C$2:$C791,"&gt;="&amp;DATE(2003,1,1),$A$2:$A791,"&lt;&gt;"),"")</f>
        <v/>
      </c>
    </row>
    <row r="792" spans="1:24">
      <c r="A792" t="str">
        <f>IF(Kanatlar!A94="","",Kanatlar!A94)</f>
        <v>DANTE SEALY</v>
      </c>
      <c r="B792" t="str">
        <f>IF(Kanatlar!B94="","",Kanatlar!B94)</f>
        <v>TRİNİDAD VE TOBAGO</v>
      </c>
      <c r="C792" s="2">
        <f>IF(Kanatlar!C94="","",Kanatlar!C94)</f>
        <v>37728</v>
      </c>
      <c r="D792">
        <f ca="1">IF(Kanatlar!D94="","",Kanatlar!D94)</f>
        <v>23</v>
      </c>
      <c r="E792" t="str">
        <f>IF(Kanatlar!E94="","",Kanatlar!E94)</f>
        <v>Kanat</v>
      </c>
      <c r="F792" t="str">
        <f>IF(Kanatlar!G94="","",Kanatlar!G94)</f>
        <v>COLORADO RAPIDS</v>
      </c>
      <c r="G792" s="2">
        <f>IF(Kanatlar!H94="","",Kanatlar!H94)</f>
        <v>46387</v>
      </c>
      <c r="H792" t="str">
        <f>IF(Kanatlar!I94="","",Kanatlar!I94)</f>
        <v/>
      </c>
      <c r="I792">
        <f>IF(Kanatlar!A94="","",Kanatlar!J94)</f>
        <v>0</v>
      </c>
      <c r="J792" t="str">
        <f>IF(Kanatlar!A94="","",Kanatlar!K94)</f>
        <v>https://www.transfermarkt.com.tr/dante-sealy/profil/spieler/568179</v>
      </c>
      <c r="K792" t="str">
        <f>IF(Kanatlar!L94="","",Kanatlar!L94)</f>
        <v/>
      </c>
      <c r="L792" t="str">
        <f>IF(Kanatlar!M94="","",Kanatlar!M94)</f>
        <v/>
      </c>
      <c r="M792" t="str">
        <f>IF(Kanatlar!N94="","",Kanatlar!N94)</f>
        <v/>
      </c>
      <c r="N792" t="str">
        <f>IF(Kanatlar!O94="","",Kanatlar!O94)</f>
        <v/>
      </c>
      <c r="O792" t="str">
        <f>IF(Kanatlar!P94="","",Kanatlar!P94)</f>
        <v/>
      </c>
      <c r="P792" t="str">
        <f>IF(Kanatlar!Q94="","",Kanatlar!Q94)</f>
        <v/>
      </c>
      <c r="Q792" t="str">
        <f>IF(Kanatlar!R94="","",Kanatlar!R94)</f>
        <v/>
      </c>
      <c r="R792" t="str">
        <f>IF(Kanatlar!S94="","",Kanatlar!S94)</f>
        <v/>
      </c>
      <c r="S792" t="str">
        <f>IF(Kanatlar!T94="","",Kanatlar!T94)</f>
        <v/>
      </c>
      <c r="T792" s="2" t="str">
        <f>IF(Kanatlar!U94="","",Kanatlar!U94)</f>
        <v/>
      </c>
      <c r="U792" t="s">
        <v>933</v>
      </c>
      <c r="V792">
        <v>94</v>
      </c>
      <c r="W792">
        <f ca="1">IF(AND($A792&lt;&gt;"",ISNUMBER($G792),$G792&gt;=TODAY(),$G792&lt;=EDATE(TODAY(),12)),COUNTIFS($G$2:$G$1001,"&gt;="&amp;TODAY(),$G$2:$G$1001,"&lt;"&amp;$G792,$A$2:$A$1001,"&lt;&gt;")+COUNTIFS($G$2:$G792,$G792,$A$2:$A792,"&lt;&gt;"),"")</f>
        <v>13</v>
      </c>
      <c r="X792">
        <f>IF(AND($A792&lt;&gt;"",ISNUMBER($C792),$C792&gt;=DATE(2003,1,1)),COUNTIFS($C$2:$C792,"&gt;="&amp;DATE(2003,1,1),$A$2:$A792,"&lt;&gt;"),"")</f>
        <v>63</v>
      </c>
    </row>
    <row r="793" spans="1:24">
      <c r="A793" t="str">
        <f>IF(Kanatlar!A95="","",Kanatlar!A95)</f>
        <v>MOMOH KAMARA</v>
      </c>
      <c r="B793" t="str">
        <f>IF(Kanatlar!B95="","",Kanatlar!B95)</f>
        <v/>
      </c>
      <c r="C793" s="2" t="str">
        <f>IF(Kanatlar!C95="","",Kanatlar!C95)</f>
        <v/>
      </c>
      <c r="D793" t="str">
        <f ca="1">IF(Kanatlar!D95="","",Kanatlar!D95)</f>
        <v/>
      </c>
      <c r="E793" t="str">
        <f>IF(Kanatlar!E95="","",Kanatlar!E95)</f>
        <v>Kanat</v>
      </c>
      <c r="F793" t="str">
        <f>IF(Kanatlar!G95="","",Kanatlar!G95)</f>
        <v/>
      </c>
      <c r="G793" s="2" t="str">
        <f>IF(Kanatlar!H95="","",Kanatlar!H95)</f>
        <v>-</v>
      </c>
      <c r="H793" t="str">
        <f>IF(Kanatlar!I95="","",Kanatlar!I95)</f>
        <v/>
      </c>
      <c r="I793">
        <f>IF(Kanatlar!A95="","",Kanatlar!J95)</f>
        <v>0</v>
      </c>
      <c r="J793" t="str">
        <f>IF(Kanatlar!A95="","",Kanatlar!K95)</f>
        <v>https://www.transfermarkt.com.tr/momoh-kamara/profil/spieler/1129935</v>
      </c>
      <c r="K793" t="str">
        <f>IF(Kanatlar!L95="","",Kanatlar!L95)</f>
        <v/>
      </c>
      <c r="L793" t="str">
        <f>IF(Kanatlar!M95="","",Kanatlar!M95)</f>
        <v/>
      </c>
      <c r="M793" t="str">
        <f>IF(Kanatlar!N95="","",Kanatlar!N95)</f>
        <v/>
      </c>
      <c r="N793" t="str">
        <f>IF(Kanatlar!O95="","",Kanatlar!O95)</f>
        <v/>
      </c>
      <c r="O793" t="str">
        <f>IF(Kanatlar!P95="","",Kanatlar!P95)</f>
        <v/>
      </c>
      <c r="P793" t="str">
        <f>IF(Kanatlar!Q95="","",Kanatlar!Q95)</f>
        <v/>
      </c>
      <c r="Q793" t="str">
        <f>IF(Kanatlar!R95="","",Kanatlar!R95)</f>
        <v/>
      </c>
      <c r="R793" t="str">
        <f>IF(Kanatlar!S95="","",Kanatlar!S95)</f>
        <v/>
      </c>
      <c r="S793" t="str">
        <f>IF(Kanatlar!T95="","",Kanatlar!T95)</f>
        <v/>
      </c>
      <c r="T793" s="2" t="str">
        <f>IF(Kanatlar!U95="","",Kanatlar!U95)</f>
        <v/>
      </c>
      <c r="U793" t="s">
        <v>933</v>
      </c>
      <c r="V793">
        <v>95</v>
      </c>
      <c r="W793" t="str">
        <f ca="1">IF(AND($A793&lt;&gt;"",ISNUMBER($G793),$G793&gt;=TODAY(),$G793&lt;=EDATE(TODAY(),12)),COUNTIFS($G$2:$G$1001,"&gt;="&amp;TODAY(),$G$2:$G$1001,"&lt;"&amp;$G793,$A$2:$A$1001,"&lt;&gt;")+COUNTIFS($G$2:$G793,$G793,$A$2:$A793,"&lt;&gt;"),"")</f>
        <v/>
      </c>
      <c r="X793" t="str">
        <f>IF(AND($A793&lt;&gt;"",ISNUMBER($C793),$C793&gt;=DATE(2003,1,1)),COUNTIFS($C$2:$C793,"&gt;="&amp;DATE(2003,1,1),$A$2:$A793,"&lt;&gt;"),"")</f>
        <v/>
      </c>
    </row>
    <row r="794" spans="1:24">
      <c r="A794" t="str">
        <f>IF(Kanatlar!A96="","",Kanatlar!A96)</f>
        <v>NUNO MOREIRA</v>
      </c>
      <c r="B794" t="str">
        <f>IF(Kanatlar!B96="","",Kanatlar!B96)</f>
        <v>PORTEKİZ</v>
      </c>
      <c r="C794" s="2" t="str">
        <f>IF(Kanatlar!C96="","",Kanatlar!C96)</f>
        <v/>
      </c>
      <c r="D794" t="str">
        <f ca="1">IF(Kanatlar!D96="","",Kanatlar!D96)</f>
        <v/>
      </c>
      <c r="E794" t="str">
        <f>IF(Kanatlar!E96="","",Kanatlar!E96)</f>
        <v>Kanat</v>
      </c>
      <c r="F794" t="str">
        <f>IF(Kanatlar!G96="","",Kanatlar!G96)</f>
        <v/>
      </c>
      <c r="G794" s="2" t="str">
        <f>IF(Kanatlar!H96="","",Kanatlar!H96)</f>
        <v>-</v>
      </c>
      <c r="H794" t="str">
        <f>IF(Kanatlar!I96="","",Kanatlar!I96)</f>
        <v/>
      </c>
      <c r="I794">
        <f>IF(Kanatlar!A96="","",Kanatlar!J96)</f>
        <v>0</v>
      </c>
      <c r="J794" t="str">
        <f>IF(Kanatlar!A96="","",Kanatlar!K96)</f>
        <v>https://www.transfermarkt.com.tr/nuno-moreira/profil/spieler/461937</v>
      </c>
      <c r="K794" t="str">
        <f>IF(Kanatlar!L96="","",Kanatlar!L96)</f>
        <v/>
      </c>
      <c r="L794" t="str">
        <f>IF(Kanatlar!M96="","",Kanatlar!M96)</f>
        <v/>
      </c>
      <c r="M794" t="str">
        <f>IF(Kanatlar!N96="","",Kanatlar!N96)</f>
        <v/>
      </c>
      <c r="N794" t="str">
        <f>IF(Kanatlar!O96="","",Kanatlar!O96)</f>
        <v/>
      </c>
      <c r="O794" t="str">
        <f>IF(Kanatlar!P96="","",Kanatlar!P96)</f>
        <v/>
      </c>
      <c r="P794" t="str">
        <f>IF(Kanatlar!Q96="","",Kanatlar!Q96)</f>
        <v/>
      </c>
      <c r="Q794" t="str">
        <f>IF(Kanatlar!R96="","",Kanatlar!R96)</f>
        <v/>
      </c>
      <c r="R794" t="str">
        <f>IF(Kanatlar!S96="","",Kanatlar!S96)</f>
        <v/>
      </c>
      <c r="S794" t="str">
        <f>IF(Kanatlar!T96="","",Kanatlar!T96)</f>
        <v/>
      </c>
      <c r="T794" s="2" t="str">
        <f>IF(Kanatlar!U96="","",Kanatlar!U96)</f>
        <v/>
      </c>
      <c r="U794" t="s">
        <v>933</v>
      </c>
      <c r="V794">
        <v>96</v>
      </c>
      <c r="W794" t="str">
        <f ca="1">IF(AND($A794&lt;&gt;"",ISNUMBER($G794),$G794&gt;=TODAY(),$G794&lt;=EDATE(TODAY(),12)),COUNTIFS($G$2:$G$1001,"&gt;="&amp;TODAY(),$G$2:$G$1001,"&lt;"&amp;$G794,$A$2:$A$1001,"&lt;&gt;")+COUNTIFS($G$2:$G794,$G794,$A$2:$A794,"&lt;&gt;"),"")</f>
        <v/>
      </c>
      <c r="X794" t="str">
        <f>IF(AND($A794&lt;&gt;"",ISNUMBER($C794),$C794&gt;=DATE(2003,1,1)),COUNTIFS($C$2:$C794,"&gt;="&amp;DATE(2003,1,1),$A$2:$A794,"&lt;&gt;"),"")</f>
        <v/>
      </c>
    </row>
    <row r="795" spans="1:24">
      <c r="A795" t="str">
        <f>IF(Kanatlar!A97="","",Kanatlar!A97)</f>
        <v>MARCO PASALIC</v>
      </c>
      <c r="B795" t="str">
        <f>IF(Kanatlar!B97="","",Kanatlar!B97)</f>
        <v>HIRVATİSTAN / ALMANYA</v>
      </c>
      <c r="C795" s="2">
        <f>IF(Kanatlar!C97="","",Kanatlar!C97)</f>
        <v>36783</v>
      </c>
      <c r="D795">
        <f ca="1">IF(Kanatlar!D97="","",Kanatlar!D97)</f>
        <v>26</v>
      </c>
      <c r="E795" t="str">
        <f>IF(Kanatlar!E97="","",Kanatlar!E97)</f>
        <v>Kanat</v>
      </c>
      <c r="F795" t="str">
        <f>IF(Kanatlar!G97="","",Kanatlar!G97)</f>
        <v>ORLANDO CITY</v>
      </c>
      <c r="G795" s="2">
        <f>IF(Kanatlar!H97="","",Kanatlar!H97)</f>
        <v>46752</v>
      </c>
      <c r="H795" t="str">
        <f>IF(Kanatlar!I97="","",Kanatlar!I97)</f>
        <v/>
      </c>
      <c r="I795">
        <f>IF(Kanatlar!A97="","",Kanatlar!J97)</f>
        <v>0</v>
      </c>
      <c r="J795" t="str">
        <f>IF(Kanatlar!A97="","",Kanatlar!K97)</f>
        <v>https://www.transfermarkt.com/marco-pasalic/profil/spieler/395928</v>
      </c>
      <c r="K795" t="str">
        <f>IF(Kanatlar!L97="","",Kanatlar!L97)</f>
        <v/>
      </c>
      <c r="L795" t="str">
        <f>IF(Kanatlar!M97="","",Kanatlar!M97)</f>
        <v/>
      </c>
      <c r="M795" t="str">
        <f>IF(Kanatlar!N97="","",Kanatlar!N97)</f>
        <v/>
      </c>
      <c r="N795" t="str">
        <f>IF(Kanatlar!O97="","",Kanatlar!O97)</f>
        <v/>
      </c>
      <c r="O795" t="str">
        <f>IF(Kanatlar!P97="","",Kanatlar!P97)</f>
        <v/>
      </c>
      <c r="P795" t="str">
        <f>IF(Kanatlar!Q97="","",Kanatlar!Q97)</f>
        <v/>
      </c>
      <c r="Q795" t="str">
        <f>IF(Kanatlar!R97="","",Kanatlar!R97)</f>
        <v/>
      </c>
      <c r="R795" t="str">
        <f>IF(Kanatlar!S97="","",Kanatlar!S97)</f>
        <v/>
      </c>
      <c r="S795" t="str">
        <f>IF(Kanatlar!T97="","",Kanatlar!T97)</f>
        <v/>
      </c>
      <c r="T795" s="2" t="str">
        <f>IF(Kanatlar!U97="","",Kanatlar!U97)</f>
        <v/>
      </c>
      <c r="U795" t="s">
        <v>933</v>
      </c>
      <c r="V795">
        <v>97</v>
      </c>
      <c r="W795" t="str">
        <f ca="1">IF(AND($A795&lt;&gt;"",ISNUMBER($G795),$G795&gt;=TODAY(),$G795&lt;=EDATE(TODAY(),12)),COUNTIFS($G$2:$G$1001,"&gt;="&amp;TODAY(),$G$2:$G$1001,"&lt;"&amp;$G795,$A$2:$A$1001,"&lt;&gt;")+COUNTIFS($G$2:$G795,$G795,$A$2:$A795,"&lt;&gt;"),"")</f>
        <v/>
      </c>
      <c r="X795" t="str">
        <f>IF(AND($A795&lt;&gt;"",ISNUMBER($C795),$C795&gt;=DATE(2003,1,1)),COUNTIFS($C$2:$C795,"&gt;="&amp;DATE(2003,1,1),$A$2:$A795,"&lt;&gt;"),"")</f>
        <v/>
      </c>
    </row>
    <row r="796" spans="1:24">
      <c r="A796" t="str">
        <f>IF(Kanatlar!A98="","",Kanatlar!A98)</f>
        <v>SANKARA KARAMOKO</v>
      </c>
      <c r="B796" t="str">
        <f>IF(Kanatlar!B98="","",Kanatlar!B98)</f>
        <v/>
      </c>
      <c r="C796" s="2" t="str">
        <f>IF(Kanatlar!C98="","",Kanatlar!C98)</f>
        <v/>
      </c>
      <c r="D796" t="str">
        <f ca="1">IF(Kanatlar!D98="","",Kanatlar!D98)</f>
        <v/>
      </c>
      <c r="E796" t="str">
        <f>IF(Kanatlar!E98="","",Kanatlar!E98)</f>
        <v>Kanat</v>
      </c>
      <c r="F796" t="str">
        <f>IF(Kanatlar!G98="","",Kanatlar!G98)</f>
        <v/>
      </c>
      <c r="G796" s="2" t="str">
        <f>IF(Kanatlar!H98="","",Kanatlar!H98)</f>
        <v>-</v>
      </c>
      <c r="H796" t="str">
        <f>IF(Kanatlar!I98="","",Kanatlar!I98)</f>
        <v/>
      </c>
      <c r="I796">
        <f>IF(Kanatlar!A98="","",Kanatlar!J98)</f>
        <v>0</v>
      </c>
      <c r="J796" t="str">
        <f>IF(Kanatlar!A98="","",Kanatlar!K98)</f>
        <v>https://www.transfermarkt.co.uk/sankara-karamoko/profil/spieler/1067902</v>
      </c>
      <c r="K796" t="str">
        <f>IF(Kanatlar!L98="","",Kanatlar!L98)</f>
        <v/>
      </c>
      <c r="L796" t="str">
        <f>IF(Kanatlar!M98="","",Kanatlar!M98)</f>
        <v/>
      </c>
      <c r="M796" t="str">
        <f>IF(Kanatlar!N98="","",Kanatlar!N98)</f>
        <v/>
      </c>
      <c r="N796" t="str">
        <f>IF(Kanatlar!O98="","",Kanatlar!O98)</f>
        <v/>
      </c>
      <c r="O796" t="str">
        <f>IF(Kanatlar!P98="","",Kanatlar!P98)</f>
        <v/>
      </c>
      <c r="P796" t="str">
        <f>IF(Kanatlar!Q98="","",Kanatlar!Q98)</f>
        <v/>
      </c>
      <c r="Q796" t="str">
        <f>IF(Kanatlar!R98="","",Kanatlar!R98)</f>
        <v/>
      </c>
      <c r="R796" t="str">
        <f>IF(Kanatlar!S98="","",Kanatlar!S98)</f>
        <v/>
      </c>
      <c r="S796" t="str">
        <f>IF(Kanatlar!T98="","",Kanatlar!T98)</f>
        <v/>
      </c>
      <c r="T796" s="2" t="str">
        <f>IF(Kanatlar!U98="","",Kanatlar!U98)</f>
        <v/>
      </c>
      <c r="U796" t="s">
        <v>933</v>
      </c>
      <c r="V796">
        <v>98</v>
      </c>
      <c r="W796" t="str">
        <f ca="1">IF(AND($A796&lt;&gt;"",ISNUMBER($G796),$G796&gt;=TODAY(),$G796&lt;=EDATE(TODAY(),12)),COUNTIFS($G$2:$G$1001,"&gt;="&amp;TODAY(),$G$2:$G$1001,"&lt;"&amp;$G796,$A$2:$A$1001,"&lt;&gt;")+COUNTIFS($G$2:$G796,$G796,$A$2:$A796,"&lt;&gt;"),"")</f>
        <v/>
      </c>
      <c r="X796" t="str">
        <f>IF(AND($A796&lt;&gt;"",ISNUMBER($C796),$C796&gt;=DATE(2003,1,1)),COUNTIFS($C$2:$C796,"&gt;="&amp;DATE(2003,1,1),$A$2:$A796,"&lt;&gt;"),"")</f>
        <v/>
      </c>
    </row>
    <row r="797" spans="1:24">
      <c r="A797" t="str">
        <f>IF(Kanatlar!A99="","",Kanatlar!A99)</f>
        <v>LORENZO BILIBOC</v>
      </c>
      <c r="B797" t="str">
        <f>IF(Kanatlar!B99="","",Kanatlar!B99)</f>
        <v/>
      </c>
      <c r="C797" s="2" t="str">
        <f>IF(Kanatlar!C99="","",Kanatlar!C99)</f>
        <v/>
      </c>
      <c r="D797" t="str">
        <f ca="1">IF(Kanatlar!D99="","",Kanatlar!D99)</f>
        <v/>
      </c>
      <c r="E797" t="str">
        <f>IF(Kanatlar!E99="","",Kanatlar!E99)</f>
        <v>Kanat</v>
      </c>
      <c r="F797" t="str">
        <f>IF(Kanatlar!G99="","",Kanatlar!G99)</f>
        <v/>
      </c>
      <c r="G797" s="2" t="str">
        <f>IF(Kanatlar!H99="","",Kanatlar!H99)</f>
        <v>-</v>
      </c>
      <c r="H797" t="str">
        <f>IF(Kanatlar!I99="","",Kanatlar!I99)</f>
        <v/>
      </c>
      <c r="I797">
        <f>IF(Kanatlar!A99="","",Kanatlar!J99)</f>
        <v>0</v>
      </c>
      <c r="J797" t="str">
        <f>IF(Kanatlar!A99="","",Kanatlar!K99)</f>
        <v>https://www.transfermarkt.com/lorenzo-biliboc/profil/spieler/993687</v>
      </c>
      <c r="K797" t="str">
        <f>IF(Kanatlar!L99="","",Kanatlar!L99)</f>
        <v/>
      </c>
      <c r="L797" t="str">
        <f>IF(Kanatlar!M99="","",Kanatlar!M99)</f>
        <v/>
      </c>
      <c r="M797" t="str">
        <f>IF(Kanatlar!N99="","",Kanatlar!N99)</f>
        <v/>
      </c>
      <c r="N797" t="str">
        <f>IF(Kanatlar!O99="","",Kanatlar!O99)</f>
        <v/>
      </c>
      <c r="O797" t="str">
        <f>IF(Kanatlar!P99="","",Kanatlar!P99)</f>
        <v/>
      </c>
      <c r="P797" t="str">
        <f>IF(Kanatlar!Q99="","",Kanatlar!Q99)</f>
        <v/>
      </c>
      <c r="Q797" t="str">
        <f>IF(Kanatlar!R99="","",Kanatlar!R99)</f>
        <v/>
      </c>
      <c r="R797" t="str">
        <f>IF(Kanatlar!S99="","",Kanatlar!S99)</f>
        <v/>
      </c>
      <c r="S797" t="str">
        <f>IF(Kanatlar!T99="","",Kanatlar!T99)</f>
        <v/>
      </c>
      <c r="T797" s="2" t="str">
        <f>IF(Kanatlar!U99="","",Kanatlar!U99)</f>
        <v/>
      </c>
      <c r="U797" t="s">
        <v>933</v>
      </c>
      <c r="V797">
        <v>99</v>
      </c>
      <c r="W797" t="str">
        <f ca="1">IF(AND($A797&lt;&gt;"",ISNUMBER($G797),$G797&gt;=TODAY(),$G797&lt;=EDATE(TODAY(),12)),COUNTIFS($G$2:$G$1001,"&gt;="&amp;TODAY(),$G$2:$G$1001,"&lt;"&amp;$G797,$A$2:$A$1001,"&lt;&gt;")+COUNTIFS($G$2:$G797,$G797,$A$2:$A797,"&lt;&gt;"),"")</f>
        <v/>
      </c>
      <c r="X797" t="str">
        <f>IF(AND($A797&lt;&gt;"",ISNUMBER($C797),$C797&gt;=DATE(2003,1,1)),COUNTIFS($C$2:$C797,"&gt;="&amp;DATE(2003,1,1),$A$2:$A797,"&lt;&gt;"),"")</f>
        <v/>
      </c>
    </row>
    <row r="798" spans="1:24">
      <c r="A798" t="str">
        <f>IF(Kanatlar!A100="","",Kanatlar!A100)</f>
        <v>SILVA KANI</v>
      </c>
      <c r="B798" t="str">
        <f>IF(Kanatlar!B100="","",Kanatlar!B100)</f>
        <v>İSRAİL</v>
      </c>
      <c r="C798" s="2" t="str">
        <f>IF(Kanatlar!C100="","",Kanatlar!C100)</f>
        <v/>
      </c>
      <c r="D798" t="str">
        <f ca="1">IF(Kanatlar!D100="","",Kanatlar!D100)</f>
        <v/>
      </c>
      <c r="E798" t="str">
        <f>IF(Kanatlar!E100="","",Kanatlar!E100)</f>
        <v>Kanat</v>
      </c>
      <c r="F798" t="str">
        <f>IF(Kanatlar!G100="","",Kanatlar!G100)</f>
        <v/>
      </c>
      <c r="G798" s="2" t="str">
        <f>IF(Kanatlar!H100="","",Kanatlar!H100)</f>
        <v>-</v>
      </c>
      <c r="H798" t="str">
        <f>IF(Kanatlar!I100="","",Kanatlar!I100)</f>
        <v/>
      </c>
      <c r="I798">
        <f>IF(Kanatlar!A100="","",Kanatlar!J100)</f>
        <v>0</v>
      </c>
      <c r="J798" t="str">
        <f>IF(Kanatlar!A100="","",Kanatlar!K100)</f>
        <v>https://www.transfermarkt.com.tr/silva-kani/profil/spieler/783327</v>
      </c>
      <c r="K798" t="str">
        <f>IF(Kanatlar!L100="","",Kanatlar!L100)</f>
        <v/>
      </c>
      <c r="L798" t="str">
        <f>IF(Kanatlar!M100="","",Kanatlar!M100)</f>
        <v/>
      </c>
      <c r="M798" t="str">
        <f>IF(Kanatlar!N100="","",Kanatlar!N100)</f>
        <v/>
      </c>
      <c r="N798" t="str">
        <f>IF(Kanatlar!O100="","",Kanatlar!O100)</f>
        <v/>
      </c>
      <c r="O798" t="str">
        <f>IF(Kanatlar!P100="","",Kanatlar!P100)</f>
        <v/>
      </c>
      <c r="P798" t="str">
        <f>IF(Kanatlar!Q100="","",Kanatlar!Q100)</f>
        <v/>
      </c>
      <c r="Q798" t="str">
        <f>IF(Kanatlar!R100="","",Kanatlar!R100)</f>
        <v/>
      </c>
      <c r="R798" t="str">
        <f>IF(Kanatlar!S100="","",Kanatlar!S100)</f>
        <v/>
      </c>
      <c r="S798" t="str">
        <f>IF(Kanatlar!T100="","",Kanatlar!T100)</f>
        <v/>
      </c>
      <c r="T798" s="2" t="str">
        <f>IF(Kanatlar!U100="","",Kanatlar!U100)</f>
        <v/>
      </c>
      <c r="U798" t="s">
        <v>933</v>
      </c>
      <c r="V798">
        <v>100</v>
      </c>
      <c r="W798" t="str">
        <f ca="1">IF(AND($A798&lt;&gt;"",ISNUMBER($G798),$G798&gt;=TODAY(),$G798&lt;=EDATE(TODAY(),12)),COUNTIFS($G$2:$G$1001,"&gt;="&amp;TODAY(),$G$2:$G$1001,"&lt;"&amp;$G798,$A$2:$A$1001,"&lt;&gt;")+COUNTIFS($G$2:$G798,$G798,$A$2:$A798,"&lt;&gt;"),"")</f>
        <v/>
      </c>
      <c r="X798" t="str">
        <f>IF(AND($A798&lt;&gt;"",ISNUMBER($C798),$C798&gt;=DATE(2003,1,1)),COUNTIFS($C$2:$C798,"&gt;="&amp;DATE(2003,1,1),$A$2:$A798,"&lt;&gt;"),"")</f>
        <v/>
      </c>
    </row>
    <row r="799" spans="1:24">
      <c r="A799" t="str">
        <f>IF(Kanatlar!A101="","",Kanatlar!A101)</f>
        <v/>
      </c>
      <c r="B799" t="str">
        <f>IF(Kanatlar!B101="","",Kanatlar!B101)</f>
        <v/>
      </c>
      <c r="C799" s="2" t="str">
        <f>IF(Kanatlar!C101="","",Kanatlar!C101)</f>
        <v/>
      </c>
      <c r="D799" t="str">
        <f ca="1">IF(Kanatlar!D101="","",Kanatlar!D101)</f>
        <v/>
      </c>
      <c r="E799" t="str">
        <f>IF(Kanatlar!E101="","",Kanatlar!E101)</f>
        <v>Kanat</v>
      </c>
      <c r="F799" t="str">
        <f>IF(Kanatlar!G101="","",Kanatlar!G101)</f>
        <v/>
      </c>
      <c r="G799" s="2" t="str">
        <f>IF(Kanatlar!H101="","",Kanatlar!H101)</f>
        <v/>
      </c>
      <c r="H799" t="str">
        <f>IF(Kanatlar!I101="","",Kanatlar!I101)</f>
        <v/>
      </c>
      <c r="I799" t="str">
        <f>IF(Kanatlar!A101="","",Kanatlar!J101)</f>
        <v/>
      </c>
      <c r="J799" t="str">
        <f>IF(Kanatlar!A101="","",Kanatlar!K101)</f>
        <v/>
      </c>
      <c r="K799" t="str">
        <f>IF(Kanatlar!L101="","",Kanatlar!L101)</f>
        <v/>
      </c>
      <c r="L799" t="str">
        <f>IF(Kanatlar!M101="","",Kanatlar!M101)</f>
        <v/>
      </c>
      <c r="M799" t="str">
        <f>IF(Kanatlar!N101="","",Kanatlar!N101)</f>
        <v/>
      </c>
      <c r="N799" t="str">
        <f>IF(Kanatlar!O101="","",Kanatlar!O101)</f>
        <v/>
      </c>
      <c r="O799" t="str">
        <f>IF(Kanatlar!P101="","",Kanatlar!P101)</f>
        <v/>
      </c>
      <c r="P799" t="str">
        <f>IF(Kanatlar!Q101="","",Kanatlar!Q101)</f>
        <v/>
      </c>
      <c r="Q799" t="str">
        <f>IF(Kanatlar!R101="","",Kanatlar!R101)</f>
        <v/>
      </c>
      <c r="R799" t="str">
        <f>IF(Kanatlar!S101="","",Kanatlar!S101)</f>
        <v/>
      </c>
      <c r="S799" t="str">
        <f>IF(Kanatlar!T101="","",Kanatlar!T101)</f>
        <v/>
      </c>
      <c r="T799" s="2" t="str">
        <f>IF(Kanatlar!U101="","",Kanatlar!U101)</f>
        <v/>
      </c>
      <c r="U799" t="s">
        <v>933</v>
      </c>
      <c r="V799">
        <v>101</v>
      </c>
      <c r="W799" t="str">
        <f ca="1">IF(AND($A799&lt;&gt;"",ISNUMBER($G799),$G799&gt;=TODAY(),$G799&lt;=EDATE(TODAY(),12)),COUNTIFS($G$2:$G$1001,"&gt;="&amp;TODAY(),$G$2:$G$1001,"&lt;"&amp;$G799,$A$2:$A$1001,"&lt;&gt;")+COUNTIFS($G$2:$G799,$G799,$A$2:$A799,"&lt;&gt;"),"")</f>
        <v/>
      </c>
      <c r="X799" t="str">
        <f>IF(AND($A799&lt;&gt;"",ISNUMBER($C799),$C799&gt;=DATE(2003,1,1)),COUNTIFS($C$2:$C799,"&gt;="&amp;DATE(2003,1,1),$A$2:$A799,"&lt;&gt;"),"")</f>
        <v/>
      </c>
    </row>
    <row r="800" spans="1:24">
      <c r="A800" t="str">
        <f>IF(Kanatlar!A102="","",Kanatlar!A102)</f>
        <v/>
      </c>
      <c r="B800" t="str">
        <f>IF(Kanatlar!B102="","",Kanatlar!B102)</f>
        <v/>
      </c>
      <c r="C800" s="2" t="str">
        <f>IF(Kanatlar!C102="","",Kanatlar!C102)</f>
        <v/>
      </c>
      <c r="D800" t="str">
        <f ca="1">IF(Kanatlar!D102="","",Kanatlar!D102)</f>
        <v/>
      </c>
      <c r="E800" t="str">
        <f>IF(Kanatlar!E102="","",Kanatlar!E102)</f>
        <v>Kanat</v>
      </c>
      <c r="F800" t="str">
        <f>IF(Kanatlar!G102="","",Kanatlar!G102)</f>
        <v/>
      </c>
      <c r="G800" s="2" t="str">
        <f>IF(Kanatlar!H102="","",Kanatlar!H102)</f>
        <v/>
      </c>
      <c r="H800" t="str">
        <f>IF(Kanatlar!I102="","",Kanatlar!I102)</f>
        <v/>
      </c>
      <c r="I800" t="str">
        <f>IF(Kanatlar!A102="","",Kanatlar!J102)</f>
        <v/>
      </c>
      <c r="J800" t="str">
        <f>IF(Kanatlar!A102="","",Kanatlar!K102)</f>
        <v/>
      </c>
      <c r="K800" t="str">
        <f>IF(Kanatlar!L102="","",Kanatlar!L102)</f>
        <v/>
      </c>
      <c r="L800" t="str">
        <f>IF(Kanatlar!M102="","",Kanatlar!M102)</f>
        <v/>
      </c>
      <c r="M800" t="str">
        <f>IF(Kanatlar!N102="","",Kanatlar!N102)</f>
        <v/>
      </c>
      <c r="N800" t="str">
        <f>IF(Kanatlar!O102="","",Kanatlar!O102)</f>
        <v/>
      </c>
      <c r="O800" t="str">
        <f>IF(Kanatlar!P102="","",Kanatlar!P102)</f>
        <v/>
      </c>
      <c r="P800" t="str">
        <f>IF(Kanatlar!Q102="","",Kanatlar!Q102)</f>
        <v/>
      </c>
      <c r="Q800" t="str">
        <f>IF(Kanatlar!R102="","",Kanatlar!R102)</f>
        <v/>
      </c>
      <c r="R800" t="str">
        <f>IF(Kanatlar!S102="","",Kanatlar!S102)</f>
        <v/>
      </c>
      <c r="S800" t="str">
        <f>IF(Kanatlar!T102="","",Kanatlar!T102)</f>
        <v/>
      </c>
      <c r="T800" s="2" t="str">
        <f>IF(Kanatlar!U102="","",Kanatlar!U102)</f>
        <v/>
      </c>
      <c r="U800" t="s">
        <v>933</v>
      </c>
      <c r="V800">
        <v>102</v>
      </c>
      <c r="W800" t="str">
        <f ca="1">IF(AND($A800&lt;&gt;"",ISNUMBER($G800),$G800&gt;=TODAY(),$G800&lt;=EDATE(TODAY(),12)),COUNTIFS($G$2:$G$1001,"&gt;="&amp;TODAY(),$G$2:$G$1001,"&lt;"&amp;$G800,$A$2:$A$1001,"&lt;&gt;")+COUNTIFS($G$2:$G800,$G800,$A$2:$A800,"&lt;&gt;"),"")</f>
        <v/>
      </c>
      <c r="X800" t="str">
        <f>IF(AND($A800&lt;&gt;"",ISNUMBER($C800),$C800&gt;=DATE(2003,1,1)),COUNTIFS($C$2:$C800,"&gt;="&amp;DATE(2003,1,1),$A$2:$A800,"&lt;&gt;"),"")</f>
        <v/>
      </c>
    </row>
    <row r="801" spans="1:24">
      <c r="A801" t="str">
        <f>IF(Kanatlar!A103="","",Kanatlar!A103)</f>
        <v/>
      </c>
      <c r="B801" t="str">
        <f>IF(Kanatlar!B103="","",Kanatlar!B103)</f>
        <v/>
      </c>
      <c r="C801" s="2" t="str">
        <f>IF(Kanatlar!C103="","",Kanatlar!C103)</f>
        <v/>
      </c>
      <c r="D801" t="str">
        <f ca="1">IF(Kanatlar!D103="","",Kanatlar!D103)</f>
        <v/>
      </c>
      <c r="E801" t="str">
        <f>IF(Kanatlar!E103="","",Kanatlar!E103)</f>
        <v>Kanat</v>
      </c>
      <c r="F801" t="str">
        <f>IF(Kanatlar!G103="","",Kanatlar!G103)</f>
        <v/>
      </c>
      <c r="G801" s="2" t="str">
        <f>IF(Kanatlar!H103="","",Kanatlar!H103)</f>
        <v/>
      </c>
      <c r="H801" t="str">
        <f>IF(Kanatlar!I103="","",Kanatlar!I103)</f>
        <v/>
      </c>
      <c r="I801" t="str">
        <f>IF(Kanatlar!A103="","",Kanatlar!J103)</f>
        <v/>
      </c>
      <c r="J801" t="str">
        <f>IF(Kanatlar!A103="","",Kanatlar!K103)</f>
        <v/>
      </c>
      <c r="K801" t="str">
        <f>IF(Kanatlar!L103="","",Kanatlar!L103)</f>
        <v/>
      </c>
      <c r="L801" t="str">
        <f>IF(Kanatlar!M103="","",Kanatlar!M103)</f>
        <v/>
      </c>
      <c r="M801" t="str">
        <f>IF(Kanatlar!N103="","",Kanatlar!N103)</f>
        <v/>
      </c>
      <c r="N801" t="str">
        <f>IF(Kanatlar!O103="","",Kanatlar!O103)</f>
        <v/>
      </c>
      <c r="O801" t="str">
        <f>IF(Kanatlar!P103="","",Kanatlar!P103)</f>
        <v/>
      </c>
      <c r="P801" t="str">
        <f>IF(Kanatlar!Q103="","",Kanatlar!Q103)</f>
        <v/>
      </c>
      <c r="Q801" t="str">
        <f>IF(Kanatlar!R103="","",Kanatlar!R103)</f>
        <v/>
      </c>
      <c r="R801" t="str">
        <f>IF(Kanatlar!S103="","",Kanatlar!S103)</f>
        <v/>
      </c>
      <c r="S801" t="str">
        <f>IF(Kanatlar!T103="","",Kanatlar!T103)</f>
        <v/>
      </c>
      <c r="T801" s="2" t="str">
        <f>IF(Kanatlar!U103="","",Kanatlar!U103)</f>
        <v/>
      </c>
      <c r="U801" t="s">
        <v>933</v>
      </c>
      <c r="V801">
        <v>103</v>
      </c>
      <c r="W801" t="str">
        <f ca="1">IF(AND($A801&lt;&gt;"",ISNUMBER($G801),$G801&gt;=TODAY(),$G801&lt;=EDATE(TODAY(),12)),COUNTIFS($G$2:$G$1001,"&gt;="&amp;TODAY(),$G$2:$G$1001,"&lt;"&amp;$G801,$A$2:$A$1001,"&lt;&gt;")+COUNTIFS($G$2:$G801,$G801,$A$2:$A801,"&lt;&gt;"),"")</f>
        <v/>
      </c>
      <c r="X801" t="str">
        <f>IF(AND($A801&lt;&gt;"",ISNUMBER($C801),$C801&gt;=DATE(2003,1,1)),COUNTIFS($C$2:$C801,"&gt;="&amp;DATE(2003,1,1),$A$2:$A801,"&lt;&gt;"),"")</f>
        <v/>
      </c>
    </row>
    <row r="802" spans="1:24">
      <c r="A802" t="str">
        <f>IF(Forvetler!A4="","",Forvetler!A4)</f>
        <v>FILIP AKDEMIR</v>
      </c>
      <c r="B802" t="str">
        <f>IF(Forvetler!B4="","",Forvetler!B4)</f>
        <v>TÜRKİYE</v>
      </c>
      <c r="C802" s="2">
        <f>IF(Forvetler!C4="","",Forvetler!C4)</f>
        <v>38367</v>
      </c>
      <c r="D802">
        <f ca="1">IF(Forvetler!D4="","",Forvetler!D4)</f>
        <v>21</v>
      </c>
      <c r="E802" t="str">
        <f>IF(Forvetler!E4="","",Forvetler!E4)</f>
        <v>Forvet</v>
      </c>
      <c r="F802" t="str">
        <f>IF(Forvetler!G4="","",Forvetler!G4)</f>
        <v>LUNDS BK</v>
      </c>
      <c r="G802" s="2">
        <f>IF(Forvetler!H4="","",Forvetler!H4)</f>
        <v>46356</v>
      </c>
      <c r="H802" t="str">
        <f>IF(Forvetler!I4="","",Forvetler!I4)</f>
        <v>Sarı</v>
      </c>
      <c r="I802">
        <f>IF(Forvetler!A4="","",Forvetler!J4)</f>
        <v>0</v>
      </c>
      <c r="J802">
        <f>IF(Forvetler!A4="","",Forvetler!K4)</f>
        <v>0</v>
      </c>
      <c r="K802" t="str">
        <f>IF(Forvetler!L4="","",Forvetler!L4)</f>
        <v/>
      </c>
      <c r="L802" t="str">
        <f>IF(Forvetler!M4="","",Forvetler!M4)</f>
        <v/>
      </c>
      <c r="M802" t="str">
        <f>IF(Forvetler!N4="","",Forvetler!N4)</f>
        <v/>
      </c>
      <c r="N802" t="str">
        <f>IF(Forvetler!O4="","",Forvetler!O4)</f>
        <v/>
      </c>
      <c r="O802" t="str">
        <f>IF(Forvetler!P4="","",Forvetler!P4)</f>
        <v/>
      </c>
      <c r="P802" t="str">
        <f>IF(Forvetler!Q4="","",Forvetler!Q4)</f>
        <v/>
      </c>
      <c r="Q802" t="str">
        <f>IF(Forvetler!R4="","",Forvetler!R4)</f>
        <v/>
      </c>
      <c r="R802" t="str">
        <f>IF(Forvetler!S4="","",Forvetler!S4)</f>
        <v/>
      </c>
      <c r="S802" t="str">
        <f>IF(Forvetler!T4="","",Forvetler!T4)</f>
        <v>Takip</v>
      </c>
      <c r="T802" s="2" t="str">
        <f>IF(Forvetler!U4="","",Forvetler!U4)</f>
        <v/>
      </c>
      <c r="U802" t="s">
        <v>934</v>
      </c>
      <c r="V802">
        <v>4</v>
      </c>
      <c r="W802">
        <f ca="1">IF(AND($A802&lt;&gt;"",ISNUMBER($G802),$G802&gt;=TODAY(),$G802&lt;=EDATE(TODAY(),12)),COUNTIFS($G$2:$G$1001,"&gt;="&amp;TODAY(),$G$2:$G$1001,"&lt;"&amp;$G802,$A$2:$A$1001,"&lt;&gt;")+COUNTIFS($G$2:$G802,$G802,$A$2:$A802,"&lt;&gt;"),"")</f>
        <v>2</v>
      </c>
      <c r="X802">
        <f>IF(AND($A802&lt;&gt;"",ISNUMBER($C802),$C802&gt;=DATE(2003,1,1)),COUNTIFS($C$2:$C802,"&gt;="&amp;DATE(2003,1,1),$A$2:$A802,"&lt;&gt;"),"")</f>
        <v>64</v>
      </c>
    </row>
    <row r="803" spans="1:24">
      <c r="A803" t="str">
        <f>IF(Forvetler!A5="","",Forvetler!A5)</f>
        <v>KELECHI IHEANACHO</v>
      </c>
      <c r="B803" t="str">
        <f>IF(Forvetler!B5="","",Forvetler!B5)</f>
        <v>NİJERYA</v>
      </c>
      <c r="C803" s="2">
        <f>IF(Forvetler!C5="","",Forvetler!C5)</f>
        <v>35341</v>
      </c>
      <c r="D803">
        <f ca="1">IF(Forvetler!D5="","",Forvetler!D5)</f>
        <v>30</v>
      </c>
      <c r="E803" t="str">
        <f>IF(Forvetler!E5="","",Forvetler!E5)</f>
        <v>Forvet</v>
      </c>
      <c r="F803" t="str">
        <f>IF(Forvetler!G5="","",Forvetler!G5)</f>
        <v>BURSASPOR</v>
      </c>
      <c r="G803" s="2">
        <f>IF(Forvetler!H5="","",Forvetler!H5)</f>
        <v>47299</v>
      </c>
      <c r="H803" t="str">
        <f>IF(Forvetler!I5="","",Forvetler!I5)</f>
        <v>Kırmızı</v>
      </c>
      <c r="I803">
        <f>IF(Forvetler!A5="","",Forvetler!J5)</f>
        <v>0</v>
      </c>
      <c r="J803">
        <f>IF(Forvetler!A5="","",Forvetler!K5)</f>
        <v>0</v>
      </c>
      <c r="K803" t="str">
        <f>IF(Forvetler!L5="","",Forvetler!L5)</f>
        <v/>
      </c>
      <c r="L803" t="str">
        <f>IF(Forvetler!M5="","",Forvetler!M5)</f>
        <v/>
      </c>
      <c r="M803" t="str">
        <f>IF(Forvetler!N5="","",Forvetler!N5)</f>
        <v/>
      </c>
      <c r="N803" t="str">
        <f>IF(Forvetler!O5="","",Forvetler!O5)</f>
        <v/>
      </c>
      <c r="O803" t="str">
        <f>IF(Forvetler!P5="","",Forvetler!P5)</f>
        <v/>
      </c>
      <c r="P803" t="str">
        <f>IF(Forvetler!Q5="","",Forvetler!Q5)</f>
        <v/>
      </c>
      <c r="Q803" t="str">
        <f>IF(Forvetler!R5="","",Forvetler!R5)</f>
        <v/>
      </c>
      <c r="R803" t="str">
        <f>IF(Forvetler!S5="","",Forvetler!S5)</f>
        <v/>
      </c>
      <c r="S803" t="str">
        <f>IF(Forvetler!T5="","",Forvetler!T5)</f>
        <v>Ele</v>
      </c>
      <c r="T803" s="2" t="str">
        <f>IF(Forvetler!U5="","",Forvetler!U5)</f>
        <v/>
      </c>
      <c r="U803" t="s">
        <v>934</v>
      </c>
      <c r="V803">
        <v>5</v>
      </c>
      <c r="W803" t="str">
        <f ca="1">IF(AND($A803&lt;&gt;"",ISNUMBER($G803),$G803&gt;=TODAY(),$G803&lt;=EDATE(TODAY(),12)),COUNTIFS($G$2:$G$1001,"&gt;="&amp;TODAY(),$G$2:$G$1001,"&lt;"&amp;$G803,$A$2:$A$1001,"&lt;&gt;")+COUNTIFS($G$2:$G803,$G803,$A$2:$A803,"&lt;&gt;"),"")</f>
        <v/>
      </c>
      <c r="X803" t="str">
        <f>IF(AND($A803&lt;&gt;"",ISNUMBER($C803),$C803&gt;=DATE(2003,1,1)),COUNTIFS($C$2:$C803,"&gt;="&amp;DATE(2003,1,1),$A$2:$A803,"&lt;&gt;"),"")</f>
        <v/>
      </c>
    </row>
    <row r="804" spans="1:24">
      <c r="A804" t="str">
        <f>IF(Forvetler!A6="","",Forvetler!A6)</f>
        <v>BISMARK EDJEODJI</v>
      </c>
      <c r="B804" t="str">
        <f>IF(Forvetler!B6="","",Forvetler!B6)</f>
        <v>GANA</v>
      </c>
      <c r="C804" s="2">
        <f>IF(Forvetler!C6="","",Forvetler!C6)</f>
        <v>39196</v>
      </c>
      <c r="D804">
        <f ca="1">IF(Forvetler!D6="","",Forvetler!D6)</f>
        <v>19</v>
      </c>
      <c r="E804" t="str">
        <f>IF(Forvetler!E6="","",Forvetler!E6)</f>
        <v>Forvet</v>
      </c>
      <c r="F804" t="str">
        <f>IF(Forvetler!G6="","",Forvetler!G6)</f>
        <v>VEJLE</v>
      </c>
      <c r="G804" s="2">
        <f>IF(Forvetler!H6="","",Forvetler!H6)</f>
        <v>47664</v>
      </c>
      <c r="H804" t="str">
        <f>IF(Forvetler!I6="","",Forvetler!I6)</f>
        <v>Sarı</v>
      </c>
      <c r="I804">
        <f>IF(Forvetler!A6="","",Forvetler!J6)</f>
        <v>0</v>
      </c>
      <c r="J804">
        <f>IF(Forvetler!A6="","",Forvetler!K6)</f>
        <v>0</v>
      </c>
      <c r="K804" t="str">
        <f>IF(Forvetler!L6="","",Forvetler!L6)</f>
        <v/>
      </c>
      <c r="L804" t="str">
        <f>IF(Forvetler!M6="","",Forvetler!M6)</f>
        <v/>
      </c>
      <c r="M804" t="str">
        <f>IF(Forvetler!N6="","",Forvetler!N6)</f>
        <v/>
      </c>
      <c r="N804" t="str">
        <f>IF(Forvetler!O6="","",Forvetler!O6)</f>
        <v/>
      </c>
      <c r="O804" t="str">
        <f>IF(Forvetler!P6="","",Forvetler!P6)</f>
        <v/>
      </c>
      <c r="P804" t="str">
        <f>IF(Forvetler!Q6="","",Forvetler!Q6)</f>
        <v/>
      </c>
      <c r="Q804" t="str">
        <f>IF(Forvetler!R6="","",Forvetler!R6)</f>
        <v/>
      </c>
      <c r="R804" t="str">
        <f>IF(Forvetler!S6="","",Forvetler!S6)</f>
        <v/>
      </c>
      <c r="S804" t="str">
        <f>IF(Forvetler!T6="","",Forvetler!T6)</f>
        <v>Tekrar İzle</v>
      </c>
      <c r="T804" s="2" t="str">
        <f>IF(Forvetler!U6="","",Forvetler!U6)</f>
        <v/>
      </c>
      <c r="U804" t="s">
        <v>934</v>
      </c>
      <c r="V804">
        <v>6</v>
      </c>
      <c r="W804" t="str">
        <f ca="1">IF(AND($A804&lt;&gt;"",ISNUMBER($G804),$G804&gt;=TODAY(),$G804&lt;=EDATE(TODAY(),12)),COUNTIFS($G$2:$G$1001,"&gt;="&amp;TODAY(),$G$2:$G$1001,"&lt;"&amp;$G804,$A$2:$A$1001,"&lt;&gt;")+COUNTIFS($G$2:$G804,$G804,$A$2:$A804,"&lt;&gt;"),"")</f>
        <v/>
      </c>
      <c r="X804">
        <f>IF(AND($A804&lt;&gt;"",ISNUMBER($C804),$C804&gt;=DATE(2003,1,1)),COUNTIFS($C$2:$C804,"&gt;="&amp;DATE(2003,1,1),$A$2:$A804,"&lt;&gt;"),"")</f>
        <v>65</v>
      </c>
    </row>
    <row r="805" spans="1:24">
      <c r="A805" t="str">
        <f>IF(Forvetler!A7="","",Forvetler!A7)</f>
        <v>TAWANDA MASWANHISE</v>
      </c>
      <c r="B805" t="str">
        <f>IF(Forvetler!B7="","",Forvetler!B7)</f>
        <v>ZİMBABVE</v>
      </c>
      <c r="C805" s="2">
        <f>IF(Forvetler!C7="","",Forvetler!C7)</f>
        <v>37580</v>
      </c>
      <c r="D805">
        <f ca="1">IF(Forvetler!D7="","",Forvetler!D7)</f>
        <v>23</v>
      </c>
      <c r="E805" t="str">
        <f>IF(Forvetler!E7="","",Forvetler!E7)</f>
        <v>Forvet</v>
      </c>
      <c r="F805" t="str">
        <f>IF(Forvetler!G7="","",Forvetler!G7)</f>
        <v>MOTHERWELL</v>
      </c>
      <c r="G805" s="2">
        <f>IF(Forvetler!H7="","",Forvetler!H7)</f>
        <v>46538</v>
      </c>
      <c r="H805" t="str">
        <f>IF(Forvetler!I7="","",Forvetler!I7)</f>
        <v>Yeşil</v>
      </c>
      <c r="I805">
        <f>IF(Forvetler!A7="","",Forvetler!J7)</f>
        <v>0</v>
      </c>
      <c r="J805">
        <f>IF(Forvetler!A7="","",Forvetler!K7)</f>
        <v>0</v>
      </c>
      <c r="K805" t="str">
        <f>IF(Forvetler!L7="","",Forvetler!L7)</f>
        <v/>
      </c>
      <c r="L805" t="str">
        <f>IF(Forvetler!M7="","",Forvetler!M7)</f>
        <v/>
      </c>
      <c r="M805" t="str">
        <f>IF(Forvetler!N7="","",Forvetler!N7)</f>
        <v/>
      </c>
      <c r="N805" t="str">
        <f>IF(Forvetler!O7="","",Forvetler!O7)</f>
        <v/>
      </c>
      <c r="O805" t="str">
        <f>IF(Forvetler!P7="","",Forvetler!P7)</f>
        <v/>
      </c>
      <c r="P805" t="str">
        <f>IF(Forvetler!Q7="","",Forvetler!Q7)</f>
        <v/>
      </c>
      <c r="Q805" t="str">
        <f>IF(Forvetler!R7="","",Forvetler!R7)</f>
        <v/>
      </c>
      <c r="R805" t="str">
        <f>IF(Forvetler!S7="","",Forvetler!S7)</f>
        <v/>
      </c>
      <c r="S805" t="str">
        <f>IF(Forvetler!T7="","",Forvetler!T7)</f>
        <v>A Liste</v>
      </c>
      <c r="T805" s="2" t="str">
        <f>IF(Forvetler!U7="","",Forvetler!U7)</f>
        <v/>
      </c>
      <c r="U805" t="s">
        <v>934</v>
      </c>
      <c r="V805">
        <v>7</v>
      </c>
      <c r="W805">
        <f ca="1">IF(AND($A805&lt;&gt;"",ISNUMBER($G805),$G805&gt;=TODAY(),$G805&lt;=EDATE(TODAY(),12)),COUNTIFS($G$2:$G$1001,"&gt;="&amp;TODAY(),$G$2:$G$1001,"&lt;"&amp;$G805,$A$2:$A$1001,"&lt;&gt;")+COUNTIFS($G$2:$G805,$G805,$A$2:$A805,"&lt;&gt;"),"")</f>
        <v>14</v>
      </c>
      <c r="X805" t="str">
        <f>IF(AND($A805&lt;&gt;"",ISNUMBER($C805),$C805&gt;=DATE(2003,1,1)),COUNTIFS($C$2:$C805,"&gt;="&amp;DATE(2003,1,1),$A$2:$A805,"&lt;&gt;"),"")</f>
        <v/>
      </c>
    </row>
    <row r="806" spans="1:24">
      <c r="A806" t="str">
        <f>IF(Forvetler!A8="","",Forvetler!A8)</f>
        <v>GUI NEGAO</v>
      </c>
      <c r="B806" t="str">
        <f>IF(Forvetler!B8="","",Forvetler!B8)</f>
        <v>BREZİLYA</v>
      </c>
      <c r="C806" s="2">
        <f>IF(Forvetler!C8="","",Forvetler!C8)</f>
        <v>39119</v>
      </c>
      <c r="D806">
        <f ca="1">IF(Forvetler!D8="","",Forvetler!D8)</f>
        <v>19</v>
      </c>
      <c r="E806" t="str">
        <f>IF(Forvetler!E8="","",Forvetler!E8)</f>
        <v>Forvet</v>
      </c>
      <c r="F806" t="str">
        <f>IF(Forvetler!G8="","",Forvetler!G8)</f>
        <v>CORİNTHİANS</v>
      </c>
      <c r="G806" s="2">
        <f>IF(Forvetler!H8="","",Forvetler!H8)</f>
        <v>47664</v>
      </c>
      <c r="H806" t="str">
        <f>IF(Forvetler!I8="","",Forvetler!I8)</f>
        <v>Sarı</v>
      </c>
      <c r="I806">
        <f>IF(Forvetler!A8="","",Forvetler!J8)</f>
        <v>0</v>
      </c>
      <c r="J806">
        <f>IF(Forvetler!A8="","",Forvetler!K8)</f>
        <v>0</v>
      </c>
      <c r="K806" t="str">
        <f>IF(Forvetler!L8="","",Forvetler!L8)</f>
        <v/>
      </c>
      <c r="L806" t="str">
        <f>IF(Forvetler!M8="","",Forvetler!M8)</f>
        <v/>
      </c>
      <c r="M806" t="str">
        <f>IF(Forvetler!N8="","",Forvetler!N8)</f>
        <v/>
      </c>
      <c r="N806" t="str">
        <f>IF(Forvetler!O8="","",Forvetler!O8)</f>
        <v/>
      </c>
      <c r="O806" t="str">
        <f>IF(Forvetler!P8="","",Forvetler!P8)</f>
        <v/>
      </c>
      <c r="P806" t="str">
        <f>IF(Forvetler!Q8="","",Forvetler!Q8)</f>
        <v/>
      </c>
      <c r="Q806" t="str">
        <f>IF(Forvetler!R8="","",Forvetler!R8)</f>
        <v/>
      </c>
      <c r="R806" t="str">
        <f>IF(Forvetler!S8="","",Forvetler!S8)</f>
        <v/>
      </c>
      <c r="S806" t="str">
        <f>IF(Forvetler!T8="","",Forvetler!T8)</f>
        <v>Takip</v>
      </c>
      <c r="T806" s="2" t="str">
        <f>IF(Forvetler!U8="","",Forvetler!U8)</f>
        <v/>
      </c>
      <c r="U806" t="s">
        <v>934</v>
      </c>
      <c r="V806">
        <v>8</v>
      </c>
      <c r="W806" t="str">
        <f ca="1">IF(AND($A806&lt;&gt;"",ISNUMBER($G806),$G806&gt;=TODAY(),$G806&lt;=EDATE(TODAY(),12)),COUNTIFS($G$2:$G$1001,"&gt;="&amp;TODAY(),$G$2:$G$1001,"&lt;"&amp;$G806,$A$2:$A$1001,"&lt;&gt;")+COUNTIFS($G$2:$G806,$G806,$A$2:$A806,"&lt;&gt;"),"")</f>
        <v/>
      </c>
      <c r="X806">
        <f>IF(AND($A806&lt;&gt;"",ISNUMBER($C806),$C806&gt;=DATE(2003,1,1)),COUNTIFS($C$2:$C806,"&gt;="&amp;DATE(2003,1,1),$A$2:$A806,"&lt;&gt;"),"")</f>
        <v>66</v>
      </c>
    </row>
    <row r="807" spans="1:24">
      <c r="A807" t="str">
        <f>IF(Forvetler!A9="","",Forvetler!A9)</f>
        <v>ABDOUL KARIM TRAORE</v>
      </c>
      <c r="B807" t="str">
        <f>IF(Forvetler!B9="","",Forvetler!B9)</f>
        <v>GİNE</v>
      </c>
      <c r="C807" s="2">
        <f>IF(Forvetler!C9="","",Forvetler!C9)</f>
        <v>39094</v>
      </c>
      <c r="D807">
        <f ca="1">IF(Forvetler!D9="","",Forvetler!D9)</f>
        <v>19</v>
      </c>
      <c r="E807" t="str">
        <f>IF(Forvetler!E9="","",Forvetler!E9)</f>
        <v>Forvet</v>
      </c>
      <c r="F807" t="str">
        <f>IF(Forvetler!G9="","",Forvetler!G9)</f>
        <v>OH LEUVEN</v>
      </c>
      <c r="G807" s="2">
        <f>IF(Forvetler!H9="","",Forvetler!H9)</f>
        <v>46934</v>
      </c>
      <c r="H807" t="str">
        <f>IF(Forvetler!I9="","",Forvetler!I9)</f>
        <v>Yeşil</v>
      </c>
      <c r="I807">
        <f>IF(Forvetler!A9="","",Forvetler!J9)</f>
        <v>0</v>
      </c>
      <c r="J807">
        <f>IF(Forvetler!A9="","",Forvetler!K9)</f>
        <v>0</v>
      </c>
      <c r="K807" t="str">
        <f>IF(Forvetler!L9="","",Forvetler!L9)</f>
        <v/>
      </c>
      <c r="L807" t="str">
        <f>IF(Forvetler!M9="","",Forvetler!M9)</f>
        <v/>
      </c>
      <c r="M807" t="str">
        <f>IF(Forvetler!N9="","",Forvetler!N9)</f>
        <v/>
      </c>
      <c r="N807" t="str">
        <f>IF(Forvetler!O9="","",Forvetler!O9)</f>
        <v/>
      </c>
      <c r="O807" t="str">
        <f>IF(Forvetler!P9="","",Forvetler!P9)</f>
        <v/>
      </c>
      <c r="P807" t="str">
        <f>IF(Forvetler!Q9="","",Forvetler!Q9)</f>
        <v/>
      </c>
      <c r="Q807" t="str">
        <f>IF(Forvetler!R9="","",Forvetler!R9)</f>
        <v/>
      </c>
      <c r="R807" t="str">
        <f>IF(Forvetler!S9="","",Forvetler!S9)</f>
        <v/>
      </c>
      <c r="S807" t="str">
        <f>IF(Forvetler!T9="","",Forvetler!T9)</f>
        <v>A Liste</v>
      </c>
      <c r="T807" s="2" t="str">
        <f>IF(Forvetler!U9="","",Forvetler!U9)</f>
        <v/>
      </c>
      <c r="U807" t="s">
        <v>934</v>
      </c>
      <c r="V807">
        <v>9</v>
      </c>
      <c r="W807" t="str">
        <f ca="1">IF(AND($A807&lt;&gt;"",ISNUMBER($G807),$G807&gt;=TODAY(),$G807&lt;=EDATE(TODAY(),12)),COUNTIFS($G$2:$G$1001,"&gt;="&amp;TODAY(),$G$2:$G$1001,"&lt;"&amp;$G807,$A$2:$A$1001,"&lt;&gt;")+COUNTIFS($G$2:$G807,$G807,$A$2:$A807,"&lt;&gt;"),"")</f>
        <v/>
      </c>
      <c r="X807">
        <f>IF(AND($A807&lt;&gt;"",ISNUMBER($C807),$C807&gt;=DATE(2003,1,1)),COUNTIFS($C$2:$C807,"&gt;="&amp;DATE(2003,1,1),$A$2:$A807,"&lt;&gt;"),"")</f>
        <v>67</v>
      </c>
    </row>
    <row r="808" spans="1:24">
      <c r="A808" t="str">
        <f>IF(Forvetler!A10="","",Forvetler!A10)</f>
        <v>MOCTAR DIOP</v>
      </c>
      <c r="B808" t="str">
        <f>IF(Forvetler!B10="","",Forvetler!B10)</f>
        <v>SENEGAL</v>
      </c>
      <c r="C808" s="2">
        <f>IF(Forvetler!C10="","",Forvetler!C10)</f>
        <v>38358</v>
      </c>
      <c r="D808">
        <f ca="1">IF(Forvetler!D10="","",Forvetler!D10)</f>
        <v>21</v>
      </c>
      <c r="E808" t="str">
        <f>IF(Forvetler!E10="","",Forvetler!E10)</f>
        <v>Forvet</v>
      </c>
      <c r="F808" t="str">
        <f>IF(Forvetler!G10="","",Forvetler!G10)</f>
        <v xml:space="preserve">GENT II </v>
      </c>
      <c r="G808" s="2">
        <f>IF(Forvetler!H10="","",Forvetler!H10)</f>
        <v>47299</v>
      </c>
      <c r="H808" t="str">
        <f>IF(Forvetler!I10="","",Forvetler!I10)</f>
        <v>Kırmızı</v>
      </c>
      <c r="I808">
        <f>IF(Forvetler!A10="","",Forvetler!J10)</f>
        <v>0</v>
      </c>
      <c r="J808">
        <f>IF(Forvetler!A10="","",Forvetler!K10)</f>
        <v>0</v>
      </c>
      <c r="K808" t="str">
        <f>IF(Forvetler!L10="","",Forvetler!L10)</f>
        <v/>
      </c>
      <c r="L808" t="str">
        <f>IF(Forvetler!M10="","",Forvetler!M10)</f>
        <v/>
      </c>
      <c r="M808" t="str">
        <f>IF(Forvetler!N10="","",Forvetler!N10)</f>
        <v/>
      </c>
      <c r="N808" t="str">
        <f>IF(Forvetler!O10="","",Forvetler!O10)</f>
        <v/>
      </c>
      <c r="O808" t="str">
        <f>IF(Forvetler!P10="","",Forvetler!P10)</f>
        <v/>
      </c>
      <c r="P808" t="str">
        <f>IF(Forvetler!Q10="","",Forvetler!Q10)</f>
        <v/>
      </c>
      <c r="Q808" t="str">
        <f>IF(Forvetler!R10="","",Forvetler!R10)</f>
        <v/>
      </c>
      <c r="R808" t="str">
        <f>IF(Forvetler!S10="","",Forvetler!S10)</f>
        <v/>
      </c>
      <c r="S808" t="str">
        <f>IF(Forvetler!T10="","",Forvetler!T10)</f>
        <v>Tekrar İzle</v>
      </c>
      <c r="T808" s="2" t="str">
        <f>IF(Forvetler!U10="","",Forvetler!U10)</f>
        <v/>
      </c>
      <c r="U808" t="s">
        <v>934</v>
      </c>
      <c r="V808">
        <v>10</v>
      </c>
      <c r="W808" t="str">
        <f ca="1">IF(AND($A808&lt;&gt;"",ISNUMBER($G808),$G808&gt;=TODAY(),$G808&lt;=EDATE(TODAY(),12)),COUNTIFS($G$2:$G$1001,"&gt;="&amp;TODAY(),$G$2:$G$1001,"&lt;"&amp;$G808,$A$2:$A$1001,"&lt;&gt;")+COUNTIFS($G$2:$G808,$G808,$A$2:$A808,"&lt;&gt;"),"")</f>
        <v/>
      </c>
      <c r="X808">
        <f>IF(AND($A808&lt;&gt;"",ISNUMBER($C808),$C808&gt;=DATE(2003,1,1)),COUNTIFS($C$2:$C808,"&gt;="&amp;DATE(2003,1,1),$A$2:$A808,"&lt;&gt;"),"")</f>
        <v>68</v>
      </c>
    </row>
    <row r="809" spans="1:24">
      <c r="A809" t="str">
        <f>IF(Forvetler!A11="","",Forvetler!A11)</f>
        <v>BİL NSONGO</v>
      </c>
      <c r="B809" t="str">
        <f>IF(Forvetler!B11="","",Forvetler!B11)</f>
        <v>KAMERUN</v>
      </c>
      <c r="C809" s="2">
        <f>IF(Forvetler!C11="","",Forvetler!C11)</f>
        <v>38251</v>
      </c>
      <c r="D809">
        <f ca="1">IF(Forvetler!D11="","",Forvetler!D11)</f>
        <v>22</v>
      </c>
      <c r="E809" t="str">
        <f>IF(Forvetler!E11="","",Forvetler!E11)</f>
        <v>Forvet</v>
      </c>
      <c r="F809" t="str">
        <f>IF(Forvetler!G11="","",Forvetler!G11)</f>
        <v>DEPORTİVO</v>
      </c>
      <c r="G809" s="2">
        <f>IF(Forvetler!H11="","",Forvetler!H11)</f>
        <v>47664</v>
      </c>
      <c r="H809" t="str">
        <f>IF(Forvetler!I11="","",Forvetler!I11)</f>
        <v>Yeşil</v>
      </c>
      <c r="I809">
        <f>IF(Forvetler!A11="","",Forvetler!J11)</f>
        <v>0</v>
      </c>
      <c r="J809" t="str">
        <f>IF(Forvetler!A11="","",Forvetler!K11)</f>
        <v>https://www.transfermarkt.com.tr/bil-nsongo/profil/spieler/1299392#google_vignette</v>
      </c>
      <c r="K809" t="str">
        <f>IF(Forvetler!L11="","",Forvetler!L11)</f>
        <v/>
      </c>
      <c r="L809" t="str">
        <f>IF(Forvetler!M11="","",Forvetler!M11)</f>
        <v/>
      </c>
      <c r="M809" t="str">
        <f>IF(Forvetler!N11="","",Forvetler!N11)</f>
        <v/>
      </c>
      <c r="N809" t="str">
        <f>IF(Forvetler!O11="","",Forvetler!O11)</f>
        <v/>
      </c>
      <c r="O809" t="str">
        <f>IF(Forvetler!P11="","",Forvetler!P11)</f>
        <v/>
      </c>
      <c r="P809" t="str">
        <f>IF(Forvetler!Q11="","",Forvetler!Q11)</f>
        <v/>
      </c>
      <c r="Q809" t="str">
        <f>IF(Forvetler!R11="","",Forvetler!R11)</f>
        <v/>
      </c>
      <c r="R809" t="str">
        <f>IF(Forvetler!S11="","",Forvetler!S11)</f>
        <v/>
      </c>
      <c r="S809" t="str">
        <f>IF(Forvetler!T11="","",Forvetler!T11)</f>
        <v>A Liste</v>
      </c>
      <c r="T809" s="2" t="str">
        <f>IF(Forvetler!U11="","",Forvetler!U11)</f>
        <v/>
      </c>
      <c r="U809" t="s">
        <v>934</v>
      </c>
      <c r="V809">
        <v>11</v>
      </c>
      <c r="W809" t="str">
        <f ca="1">IF(AND($A809&lt;&gt;"",ISNUMBER($G809),$G809&gt;=TODAY(),$G809&lt;=EDATE(TODAY(),12)),COUNTIFS($G$2:$G$1001,"&gt;="&amp;TODAY(),$G$2:$G$1001,"&lt;"&amp;$G809,$A$2:$A$1001,"&lt;&gt;")+COUNTIFS($G$2:$G809,$G809,$A$2:$A809,"&lt;&gt;"),"")</f>
        <v/>
      </c>
      <c r="X809">
        <f>IF(AND($A809&lt;&gt;"",ISNUMBER($C809),$C809&gt;=DATE(2003,1,1)),COUNTIFS($C$2:$C809,"&gt;="&amp;DATE(2003,1,1),$A$2:$A809,"&lt;&gt;"),"")</f>
        <v>69</v>
      </c>
    </row>
    <row r="810" spans="1:24">
      <c r="A810" t="str">
        <f>IF(Forvetler!A12="","",Forvetler!A12)</f>
        <v>IKER BRAVO</v>
      </c>
      <c r="B810" t="str">
        <f>IF(Forvetler!B12="","",Forvetler!B12)</f>
        <v>İSPANYA</v>
      </c>
      <c r="C810" s="2">
        <f>IF(Forvetler!C12="","",Forvetler!C12)</f>
        <v>38365</v>
      </c>
      <c r="D810">
        <f ca="1">IF(Forvetler!D12="","",Forvetler!D12)</f>
        <v>21</v>
      </c>
      <c r="E810" t="str">
        <f>IF(Forvetler!E12="","",Forvetler!E12)</f>
        <v>Forvet</v>
      </c>
      <c r="F810" t="str">
        <f>IF(Forvetler!G12="","",Forvetler!G12)</f>
        <v>WATFORD</v>
      </c>
      <c r="G810" s="2">
        <f>IF(Forvetler!H12="","",Forvetler!H12)</f>
        <v>46568</v>
      </c>
      <c r="H810" t="str">
        <f>IF(Forvetler!I12="","",Forvetler!I12)</f>
        <v>Sarı</v>
      </c>
      <c r="I810">
        <f>IF(Forvetler!A12="","",Forvetler!J12)</f>
        <v>0</v>
      </c>
      <c r="J810" t="str">
        <f>IF(Forvetler!A12="","",Forvetler!K12)</f>
        <v>https://www.transfermarkt.com.tr/iker-bravo/profil/spieler/741292/from/newsansicht</v>
      </c>
      <c r="K810" t="str">
        <f>IF(Forvetler!L12="","",Forvetler!L12)</f>
        <v/>
      </c>
      <c r="L810" t="str">
        <f>IF(Forvetler!M12="","",Forvetler!M12)</f>
        <v/>
      </c>
      <c r="M810" t="str">
        <f>IF(Forvetler!N12="","",Forvetler!N12)</f>
        <v/>
      </c>
      <c r="N810" t="str">
        <f>IF(Forvetler!O12="","",Forvetler!O12)</f>
        <v/>
      </c>
      <c r="O810" t="str">
        <f>IF(Forvetler!P12="","",Forvetler!P12)</f>
        <v/>
      </c>
      <c r="P810" t="str">
        <f>IF(Forvetler!Q12="","",Forvetler!Q12)</f>
        <v/>
      </c>
      <c r="Q810" t="str">
        <f>IF(Forvetler!R12="","",Forvetler!R12)</f>
        <v/>
      </c>
      <c r="R810" t="str">
        <f>IF(Forvetler!S12="","",Forvetler!S12)</f>
        <v/>
      </c>
      <c r="S810" t="str">
        <f>IF(Forvetler!T12="","",Forvetler!T12)</f>
        <v>Tekrar İzle</v>
      </c>
      <c r="T810" s="2" t="str">
        <f>IF(Forvetler!U12="","",Forvetler!U12)</f>
        <v/>
      </c>
      <c r="U810" t="s">
        <v>934</v>
      </c>
      <c r="V810">
        <v>12</v>
      </c>
      <c r="W810">
        <f ca="1">IF(AND($A810&lt;&gt;"",ISNUMBER($G810),$G810&gt;=TODAY(),$G810&lt;=EDATE(TODAY(),12)),COUNTIFS($G$2:$G$1001,"&gt;="&amp;TODAY(),$G$2:$G$1001,"&lt;"&amp;$G810,$A$2:$A$1001,"&lt;&gt;")+COUNTIFS($G$2:$G810,$G810,$A$2:$A810,"&lt;&gt;"),"")</f>
        <v>54</v>
      </c>
      <c r="X810">
        <f>IF(AND($A810&lt;&gt;"",ISNUMBER($C810),$C810&gt;=DATE(2003,1,1)),COUNTIFS($C$2:$C810,"&gt;="&amp;DATE(2003,1,1),$A$2:$A810,"&lt;&gt;"),"")</f>
        <v>70</v>
      </c>
    </row>
    <row r="811" spans="1:24">
      <c r="A811" t="str">
        <f>IF(Forvetler!A13="","",Forvetler!A13)</f>
        <v>FARIS MOUMBAGNA</v>
      </c>
      <c r="B811" t="str">
        <f>IF(Forvetler!B13="","",Forvetler!B13)</f>
        <v>KAMERUN</v>
      </c>
      <c r="C811" s="2">
        <f>IF(Forvetler!C13="","",Forvetler!C13)</f>
        <v>36708</v>
      </c>
      <c r="D811">
        <f ca="1">IF(Forvetler!D13="","",Forvetler!D13)</f>
        <v>26</v>
      </c>
      <c r="E811" t="str">
        <f>IF(Forvetler!E13="","",Forvetler!E13)</f>
        <v>Forvet</v>
      </c>
      <c r="F811" t="str">
        <f>IF(Forvetler!G13="","",Forvetler!G13)</f>
        <v>MARSİLYA</v>
      </c>
      <c r="G811" s="2">
        <f>IF(Forvetler!H13="","",Forvetler!H13)</f>
        <v>46934</v>
      </c>
      <c r="H811" t="str">
        <f>IF(Forvetler!I13="","",Forvetler!I13)</f>
        <v>Yeşil</v>
      </c>
      <c r="I811">
        <f>IF(Forvetler!A13="","",Forvetler!J13)</f>
        <v>0</v>
      </c>
      <c r="J811" t="str">
        <f>IF(Forvetler!A13="","",Forvetler!K13)</f>
        <v>https://www.transfermarkt.com.tr/faris-moumbagna/profil/spieler/599663</v>
      </c>
      <c r="K811" t="str">
        <f>IF(Forvetler!L13="","",Forvetler!L13)</f>
        <v/>
      </c>
      <c r="L811" t="str">
        <f>IF(Forvetler!M13="","",Forvetler!M13)</f>
        <v/>
      </c>
      <c r="M811" t="str">
        <f>IF(Forvetler!N13="","",Forvetler!N13)</f>
        <v/>
      </c>
      <c r="N811" t="str">
        <f>IF(Forvetler!O13="","",Forvetler!O13)</f>
        <v/>
      </c>
      <c r="O811" t="str">
        <f>IF(Forvetler!P13="","",Forvetler!P13)</f>
        <v/>
      </c>
      <c r="P811" t="str">
        <f>IF(Forvetler!Q13="","",Forvetler!Q13)</f>
        <v/>
      </c>
      <c r="Q811" t="str">
        <f>IF(Forvetler!R13="","",Forvetler!R13)</f>
        <v/>
      </c>
      <c r="R811" t="str">
        <f>IF(Forvetler!S13="","",Forvetler!S13)</f>
        <v/>
      </c>
      <c r="S811" t="str">
        <f>IF(Forvetler!T13="","",Forvetler!T13)</f>
        <v>B Liste</v>
      </c>
      <c r="T811" s="2" t="str">
        <f>IF(Forvetler!U13="","",Forvetler!U13)</f>
        <v/>
      </c>
      <c r="U811" t="s">
        <v>934</v>
      </c>
      <c r="V811">
        <v>13</v>
      </c>
      <c r="W811" t="str">
        <f ca="1">IF(AND($A811&lt;&gt;"",ISNUMBER($G811),$G811&gt;=TODAY(),$G811&lt;=EDATE(TODAY(),12)),COUNTIFS($G$2:$G$1001,"&gt;="&amp;TODAY(),$G$2:$G$1001,"&lt;"&amp;$G811,$A$2:$A$1001,"&lt;&gt;")+COUNTIFS($G$2:$G811,$G811,$A$2:$A811,"&lt;&gt;"),"")</f>
        <v/>
      </c>
      <c r="X811" t="str">
        <f>IF(AND($A811&lt;&gt;"",ISNUMBER($C811),$C811&gt;=DATE(2003,1,1)),COUNTIFS($C$2:$C811,"&gt;="&amp;DATE(2003,1,1),$A$2:$A811,"&lt;&gt;"),"")</f>
        <v/>
      </c>
    </row>
    <row r="812" spans="1:24">
      <c r="A812" t="str">
        <f>IF(Forvetler!A14="","",Forvetler!A14)</f>
        <v>VLADISLAV BLANUTA</v>
      </c>
      <c r="B812" t="str">
        <f>IF(Forvetler!B14="","",Forvetler!B14)</f>
        <v>ROMANYA</v>
      </c>
      <c r="C812" s="2">
        <f>IF(Forvetler!C14="","",Forvetler!C14)</f>
        <v>37268</v>
      </c>
      <c r="D812">
        <f ca="1">IF(Forvetler!D14="","",Forvetler!D14)</f>
        <v>24</v>
      </c>
      <c r="E812" t="str">
        <f>IF(Forvetler!E14="","",Forvetler!E14)</f>
        <v>Forvet</v>
      </c>
      <c r="F812" t="str">
        <f>IF(Forvetler!G14="","",Forvetler!G14)</f>
        <v>LECHIA GDANSK</v>
      </c>
      <c r="G812" s="2">
        <f>IF(Forvetler!H14="","",Forvetler!H14)</f>
        <v>48029</v>
      </c>
      <c r="H812" t="str">
        <f>IF(Forvetler!I14="","",Forvetler!I14)</f>
        <v>Kırmızı</v>
      </c>
      <c r="I812">
        <f>IF(Forvetler!A14="","",Forvetler!J14)</f>
        <v>0</v>
      </c>
      <c r="J812" t="str">
        <f>IF(Forvetler!A14="","",Forvetler!K14)</f>
        <v>https://www.transfermarkt.com.tr/vladislav-blanuta/profil/spieler/706166</v>
      </c>
      <c r="K812" t="str">
        <f>IF(Forvetler!L14="","",Forvetler!L14)</f>
        <v/>
      </c>
      <c r="L812" t="str">
        <f>IF(Forvetler!M14="","",Forvetler!M14)</f>
        <v/>
      </c>
      <c r="M812" t="str">
        <f>IF(Forvetler!N14="","",Forvetler!N14)</f>
        <v/>
      </c>
      <c r="N812" t="str">
        <f>IF(Forvetler!O14="","",Forvetler!O14)</f>
        <v/>
      </c>
      <c r="O812" t="str">
        <f>IF(Forvetler!P14="","",Forvetler!P14)</f>
        <v/>
      </c>
      <c r="P812" t="str">
        <f>IF(Forvetler!Q14="","",Forvetler!Q14)</f>
        <v/>
      </c>
      <c r="Q812" t="str">
        <f>IF(Forvetler!R14="","",Forvetler!R14)</f>
        <v/>
      </c>
      <c r="R812" t="str">
        <f>IF(Forvetler!S14="","",Forvetler!S14)</f>
        <v/>
      </c>
      <c r="S812" t="str">
        <f>IF(Forvetler!T14="","",Forvetler!T14)</f>
        <v>Ele</v>
      </c>
      <c r="T812" s="2" t="str">
        <f>IF(Forvetler!U14="","",Forvetler!U14)</f>
        <v/>
      </c>
      <c r="U812" t="s">
        <v>934</v>
      </c>
      <c r="V812">
        <v>14</v>
      </c>
      <c r="W812" t="str">
        <f ca="1">IF(AND($A812&lt;&gt;"",ISNUMBER($G812),$G812&gt;=TODAY(),$G812&lt;=EDATE(TODAY(),12)),COUNTIFS($G$2:$G$1001,"&gt;="&amp;TODAY(),$G$2:$G$1001,"&lt;"&amp;$G812,$A$2:$A$1001,"&lt;&gt;")+COUNTIFS($G$2:$G812,$G812,$A$2:$A812,"&lt;&gt;"),"")</f>
        <v/>
      </c>
      <c r="X812" t="str">
        <f>IF(AND($A812&lt;&gt;"",ISNUMBER($C812),$C812&gt;=DATE(2003,1,1)),COUNTIFS($C$2:$C812,"&gt;="&amp;DATE(2003,1,1),$A$2:$A812,"&lt;&gt;"),"")</f>
        <v/>
      </c>
    </row>
    <row r="813" spans="1:24">
      <c r="A813" t="str">
        <f>IF(Forvetler!A15="","",Forvetler!A15)</f>
        <v>BRAYAN ALEXANDER GIL</v>
      </c>
      <c r="B813" t="str">
        <f>IF(Forvetler!B15="","",Forvetler!B15)</f>
        <v>EL SALVADOR</v>
      </c>
      <c r="C813" s="2">
        <f>IF(Forvetler!C15="","",Forvetler!C15)</f>
        <v>37070</v>
      </c>
      <c r="D813">
        <f ca="1">IF(Forvetler!D15="","",Forvetler!D15)</f>
        <v>25</v>
      </c>
      <c r="E813" t="str">
        <f>IF(Forvetler!E15="","",Forvetler!E15)</f>
        <v>Forvet</v>
      </c>
      <c r="F813" t="str">
        <f>IF(Forvetler!G15="","",Forvetler!G15)</f>
        <v>BALTIKA</v>
      </c>
      <c r="G813" s="2">
        <f>IF(Forvetler!H15="","",Forvetler!H15)</f>
        <v>47269</v>
      </c>
      <c r="H813" t="str">
        <f>IF(Forvetler!I15="","",Forvetler!I15)</f>
        <v>Sarı</v>
      </c>
      <c r="I813">
        <f>IF(Forvetler!A15="","",Forvetler!J15)</f>
        <v>0</v>
      </c>
      <c r="J813" t="str">
        <f>IF(Forvetler!A15="","",Forvetler!K15)</f>
        <v>https://www.transfermarkt.com.tr/brayan-gil/profil/spieler/736202</v>
      </c>
      <c r="K813" t="str">
        <f>IF(Forvetler!L15="","",Forvetler!L15)</f>
        <v/>
      </c>
      <c r="L813" t="str">
        <f>IF(Forvetler!M15="","",Forvetler!M15)</f>
        <v/>
      </c>
      <c r="M813" t="str">
        <f>IF(Forvetler!N15="","",Forvetler!N15)</f>
        <v/>
      </c>
      <c r="N813" t="str">
        <f>IF(Forvetler!O15="","",Forvetler!O15)</f>
        <v/>
      </c>
      <c r="O813" t="str">
        <f>IF(Forvetler!P15="","",Forvetler!P15)</f>
        <v/>
      </c>
      <c r="P813" t="str">
        <f>IF(Forvetler!Q15="","",Forvetler!Q15)</f>
        <v/>
      </c>
      <c r="Q813" t="str">
        <f>IF(Forvetler!R15="","",Forvetler!R15)</f>
        <v/>
      </c>
      <c r="R813" t="str">
        <f>IF(Forvetler!S15="","",Forvetler!S15)</f>
        <v/>
      </c>
      <c r="S813" t="str">
        <f>IF(Forvetler!T15="","",Forvetler!T15)</f>
        <v>Tekrar İzle</v>
      </c>
      <c r="T813" s="2" t="str">
        <f>IF(Forvetler!U15="","",Forvetler!U15)</f>
        <v/>
      </c>
      <c r="U813" t="s">
        <v>934</v>
      </c>
      <c r="V813">
        <v>15</v>
      </c>
      <c r="W813" t="str">
        <f ca="1">IF(AND($A813&lt;&gt;"",ISNUMBER($G813),$G813&gt;=TODAY(),$G813&lt;=EDATE(TODAY(),12)),COUNTIFS($G$2:$G$1001,"&gt;="&amp;TODAY(),$G$2:$G$1001,"&lt;"&amp;$G813,$A$2:$A$1001,"&lt;&gt;")+COUNTIFS($G$2:$G813,$G813,$A$2:$A813,"&lt;&gt;"),"")</f>
        <v/>
      </c>
      <c r="X813" t="str">
        <f>IF(AND($A813&lt;&gt;"",ISNUMBER($C813),$C813&gt;=DATE(2003,1,1)),COUNTIFS($C$2:$C813,"&gt;="&amp;DATE(2003,1,1),$A$2:$A813,"&lt;&gt;"),"")</f>
        <v/>
      </c>
    </row>
    <row r="814" spans="1:24">
      <c r="A814" t="str">
        <f>IF(Forvetler!A16="","",Forvetler!A16)</f>
        <v>GIFT ORBAN</v>
      </c>
      <c r="B814" t="str">
        <f>IF(Forvetler!B16="","",Forvetler!B16)</f>
        <v>NİJERYA</v>
      </c>
      <c r="C814" s="2">
        <f>IF(Forvetler!C16="","",Forvetler!C16)</f>
        <v>37454</v>
      </c>
      <c r="D814">
        <f ca="1">IF(Forvetler!D16="","",Forvetler!D16)</f>
        <v>24</v>
      </c>
      <c r="E814" t="str">
        <f>IF(Forvetler!E16="","",Forvetler!E16)</f>
        <v>Forvet</v>
      </c>
      <c r="F814" t="str">
        <f>IF(Forvetler!G16="","",Forvetler!G16)</f>
        <v>AMED</v>
      </c>
      <c r="G814" s="2">
        <f>IF(Forvetler!H16="","",Forvetler!H16)</f>
        <v>46568</v>
      </c>
      <c r="H814" t="str">
        <f>IF(Forvetler!I16="","",Forvetler!I16)</f>
        <v>Kırmızı</v>
      </c>
      <c r="I814">
        <f>IF(Forvetler!A16="","",Forvetler!J16)</f>
        <v>0</v>
      </c>
      <c r="J814" t="str">
        <f>IF(Forvetler!A16="","",Forvetler!K16)</f>
        <v>https://www.transfermarkt.com.tr/gift-orban/profil/spieler/1018259</v>
      </c>
      <c r="K814" t="str">
        <f>IF(Forvetler!L16="","",Forvetler!L16)</f>
        <v/>
      </c>
      <c r="L814" t="str">
        <f>IF(Forvetler!M16="","",Forvetler!M16)</f>
        <v/>
      </c>
      <c r="M814" t="str">
        <f>IF(Forvetler!N16="","",Forvetler!N16)</f>
        <v/>
      </c>
      <c r="N814" t="str">
        <f>IF(Forvetler!O16="","",Forvetler!O16)</f>
        <v/>
      </c>
      <c r="O814" t="str">
        <f>IF(Forvetler!P16="","",Forvetler!P16)</f>
        <v/>
      </c>
      <c r="P814" t="str">
        <f>IF(Forvetler!Q16="","",Forvetler!Q16)</f>
        <v/>
      </c>
      <c r="Q814" t="str">
        <f>IF(Forvetler!R16="","",Forvetler!R16)</f>
        <v/>
      </c>
      <c r="R814" t="str">
        <f>IF(Forvetler!S16="","",Forvetler!S16)</f>
        <v/>
      </c>
      <c r="S814" t="str">
        <f>IF(Forvetler!T16="","",Forvetler!T16)</f>
        <v>Ele</v>
      </c>
      <c r="T814" s="2" t="str">
        <f>IF(Forvetler!U16="","",Forvetler!U16)</f>
        <v/>
      </c>
      <c r="U814" t="s">
        <v>934</v>
      </c>
      <c r="V814">
        <v>16</v>
      </c>
      <c r="W814">
        <f ca="1">IF(AND($A814&lt;&gt;"",ISNUMBER($G814),$G814&gt;=TODAY(),$G814&lt;=EDATE(TODAY(),12)),COUNTIFS($G$2:$G$1001,"&gt;="&amp;TODAY(),$G$2:$G$1001,"&lt;"&amp;$G814,$A$2:$A$1001,"&lt;&gt;")+COUNTIFS($G$2:$G814,$G814,$A$2:$A814,"&lt;&gt;"),"")</f>
        <v>55</v>
      </c>
      <c r="X814" t="str">
        <f>IF(AND($A814&lt;&gt;"",ISNUMBER($C814),$C814&gt;=DATE(2003,1,1)),COUNTIFS($C$2:$C814,"&gt;="&amp;DATE(2003,1,1),$A$2:$A814,"&lt;&gt;"),"")</f>
        <v/>
      </c>
    </row>
    <row r="815" spans="1:24">
      <c r="A815" t="str">
        <f>IF(Forvetler!A17="","",Forvetler!A17)</f>
        <v>RAFA MIR</v>
      </c>
      <c r="B815" t="str">
        <f>IF(Forvetler!B17="","",Forvetler!B17)</f>
        <v>İSPANYA</v>
      </c>
      <c r="C815" s="2">
        <f>IF(Forvetler!C17="","",Forvetler!C17)</f>
        <v>35599</v>
      </c>
      <c r="D815">
        <f ca="1">IF(Forvetler!D17="","",Forvetler!D17)</f>
        <v>29</v>
      </c>
      <c r="E815" t="str">
        <f>IF(Forvetler!E17="","",Forvetler!E17)</f>
        <v>Forvet</v>
      </c>
      <c r="F815" t="str">
        <f>IF(Forvetler!G17="","",Forvetler!G17)</f>
        <v>ARIS</v>
      </c>
      <c r="G815" s="2">
        <f>IF(Forvetler!H17="","",Forvetler!H17)</f>
        <v>46568</v>
      </c>
      <c r="H815" t="str">
        <f>IF(Forvetler!I17="","",Forvetler!I17)</f>
        <v>Yeşil</v>
      </c>
      <c r="I815">
        <f>IF(Forvetler!A17="","",Forvetler!J17)</f>
        <v>0</v>
      </c>
      <c r="J815" t="str">
        <f>IF(Forvetler!A17="","",Forvetler!K17)</f>
        <v>https://www.transfermarkt.com.tr/rafa-mir/profil/spieler/361254</v>
      </c>
      <c r="K815" t="str">
        <f>IF(Forvetler!L17="","",Forvetler!L17)</f>
        <v/>
      </c>
      <c r="L815" t="str">
        <f>IF(Forvetler!M17="","",Forvetler!M17)</f>
        <v/>
      </c>
      <c r="M815" t="str">
        <f>IF(Forvetler!N17="","",Forvetler!N17)</f>
        <v/>
      </c>
      <c r="N815" t="str">
        <f>IF(Forvetler!O17="","",Forvetler!O17)</f>
        <v/>
      </c>
      <c r="O815" t="str">
        <f>IF(Forvetler!P17="","",Forvetler!P17)</f>
        <v/>
      </c>
      <c r="P815" t="str">
        <f>IF(Forvetler!Q17="","",Forvetler!Q17)</f>
        <v/>
      </c>
      <c r="Q815" t="str">
        <f>IF(Forvetler!R17="","",Forvetler!R17)</f>
        <v/>
      </c>
      <c r="R815" t="str">
        <f>IF(Forvetler!S17="","",Forvetler!S17)</f>
        <v/>
      </c>
      <c r="S815" t="str">
        <f>IF(Forvetler!T17="","",Forvetler!T17)</f>
        <v>B Liste</v>
      </c>
      <c r="T815" s="2" t="str">
        <f>IF(Forvetler!U17="","",Forvetler!U17)</f>
        <v/>
      </c>
      <c r="U815" t="s">
        <v>934</v>
      </c>
      <c r="V815">
        <v>17</v>
      </c>
      <c r="W815">
        <f ca="1">IF(AND($A815&lt;&gt;"",ISNUMBER($G815),$G815&gt;=TODAY(),$G815&lt;=EDATE(TODAY(),12)),COUNTIFS($G$2:$G$1001,"&gt;="&amp;TODAY(),$G$2:$G$1001,"&lt;"&amp;$G815,$A$2:$A$1001,"&lt;&gt;")+COUNTIFS($G$2:$G815,$G815,$A$2:$A815,"&lt;&gt;"),"")</f>
        <v>56</v>
      </c>
      <c r="X815" t="str">
        <f>IF(AND($A815&lt;&gt;"",ISNUMBER($C815),$C815&gt;=DATE(2003,1,1)),COUNTIFS($C$2:$C815,"&gt;="&amp;DATE(2003,1,1),$A$2:$A815,"&lt;&gt;"),"")</f>
        <v/>
      </c>
    </row>
    <row r="816" spans="1:24">
      <c r="A816" t="str">
        <f>IF(Forvetler!A18="","",Forvetler!A18)</f>
        <v>ANGEL RODADO</v>
      </c>
      <c r="B816" t="str">
        <f>IF(Forvetler!B18="","",Forvetler!B18)</f>
        <v>İSPANYA</v>
      </c>
      <c r="C816" s="2">
        <f>IF(Forvetler!C18="","",Forvetler!C18)</f>
        <v>35496</v>
      </c>
      <c r="D816">
        <f ca="1">IF(Forvetler!D18="","",Forvetler!D18)</f>
        <v>29</v>
      </c>
      <c r="E816" t="str">
        <f>IF(Forvetler!E18="","",Forvetler!E18)</f>
        <v>Forvet</v>
      </c>
      <c r="F816" t="str">
        <f>IF(Forvetler!G18="","",Forvetler!G18)</f>
        <v>WISLA KRAKOW</v>
      </c>
      <c r="G816" s="2">
        <f>IF(Forvetler!H18="","",Forvetler!H18)</f>
        <v>47664</v>
      </c>
      <c r="H816" t="str">
        <f>IF(Forvetler!I18="","",Forvetler!I18)</f>
        <v>Yeşil</v>
      </c>
      <c r="I816">
        <f>IF(Forvetler!A18="","",Forvetler!J18)</f>
        <v>0</v>
      </c>
      <c r="J816" t="str">
        <f>IF(Forvetler!A18="","",Forvetler!K18)</f>
        <v>https://www.transfermarkt.com.tr/angel-rodado/profil/spieler/440332</v>
      </c>
      <c r="K816" t="str">
        <f>IF(Forvetler!L18="","",Forvetler!L18)</f>
        <v/>
      </c>
      <c r="L816" t="str">
        <f>IF(Forvetler!M18="","",Forvetler!M18)</f>
        <v/>
      </c>
      <c r="M816" t="str">
        <f>IF(Forvetler!N18="","",Forvetler!N18)</f>
        <v/>
      </c>
      <c r="N816" t="str">
        <f>IF(Forvetler!O18="","",Forvetler!O18)</f>
        <v/>
      </c>
      <c r="O816" t="str">
        <f>IF(Forvetler!P18="","",Forvetler!P18)</f>
        <v/>
      </c>
      <c r="P816" t="str">
        <f>IF(Forvetler!Q18="","",Forvetler!Q18)</f>
        <v/>
      </c>
      <c r="Q816" t="str">
        <f>IF(Forvetler!R18="","",Forvetler!R18)</f>
        <v/>
      </c>
      <c r="R816" t="str">
        <f>IF(Forvetler!S18="","",Forvetler!S18)</f>
        <v/>
      </c>
      <c r="S816" t="str">
        <f>IF(Forvetler!T18="","",Forvetler!T18)</f>
        <v>B Liste</v>
      </c>
      <c r="T816" s="2" t="str">
        <f>IF(Forvetler!U18="","",Forvetler!U18)</f>
        <v/>
      </c>
      <c r="U816" t="s">
        <v>934</v>
      </c>
      <c r="V816">
        <v>18</v>
      </c>
      <c r="W816" t="str">
        <f ca="1">IF(AND($A816&lt;&gt;"",ISNUMBER($G816),$G816&gt;=TODAY(),$G816&lt;=EDATE(TODAY(),12)),COUNTIFS($G$2:$G$1001,"&gt;="&amp;TODAY(),$G$2:$G$1001,"&lt;"&amp;$G816,$A$2:$A$1001,"&lt;&gt;")+COUNTIFS($G$2:$G816,$G816,$A$2:$A816,"&lt;&gt;"),"")</f>
        <v/>
      </c>
      <c r="X816" t="str">
        <f>IF(AND($A816&lt;&gt;"",ISNUMBER($C816),$C816&gt;=DATE(2003,1,1)),COUNTIFS($C$2:$C816,"&gt;="&amp;DATE(2003,1,1),$A$2:$A816,"&lt;&gt;"),"")</f>
        <v/>
      </c>
    </row>
    <row r="817" spans="1:24">
      <c r="A817" t="str">
        <f>IF(Forvetler!A19="","",Forvetler!A19)</f>
        <v>SAMUEL ADENIRAN</v>
      </c>
      <c r="B817" t="str">
        <f>IF(Forvetler!B19="","",Forvetler!B19)</f>
        <v>ABD</v>
      </c>
      <c r="C817" s="2">
        <f>IF(Forvetler!C19="","",Forvetler!C19)</f>
        <v>36068</v>
      </c>
      <c r="D817">
        <f ca="1">IF(Forvetler!D19="","",Forvetler!D19)</f>
        <v>28</v>
      </c>
      <c r="E817" t="str">
        <f>IF(Forvetler!E19="","",Forvetler!E19)</f>
        <v>Forvet</v>
      </c>
      <c r="F817" t="str">
        <f>IF(Forvetler!G19="","",Forvetler!G19)</f>
        <v>LASK</v>
      </c>
      <c r="G817" s="2">
        <f>IF(Forvetler!H19="","",Forvetler!H19)</f>
        <v>46894</v>
      </c>
      <c r="H817" t="str">
        <f>IF(Forvetler!I19="","",Forvetler!I19)</f>
        <v>Sarı</v>
      </c>
      <c r="I817">
        <f>IF(Forvetler!A19="","",Forvetler!J19)</f>
        <v>0</v>
      </c>
      <c r="J817" t="str">
        <f>IF(Forvetler!A19="","",Forvetler!K19)</f>
        <v>https://www.transfermarkt.com.tr/samuel-adeniran/profil/spieler/643088</v>
      </c>
      <c r="K817" t="str">
        <f>IF(Forvetler!L19="","",Forvetler!L19)</f>
        <v/>
      </c>
      <c r="L817" t="str">
        <f>IF(Forvetler!M19="","",Forvetler!M19)</f>
        <v/>
      </c>
      <c r="M817" t="str">
        <f>IF(Forvetler!N19="","",Forvetler!N19)</f>
        <v/>
      </c>
      <c r="N817" t="str">
        <f>IF(Forvetler!O19="","",Forvetler!O19)</f>
        <v/>
      </c>
      <c r="O817" t="str">
        <f>IF(Forvetler!P19="","",Forvetler!P19)</f>
        <v/>
      </c>
      <c r="P817" t="str">
        <f>IF(Forvetler!Q19="","",Forvetler!Q19)</f>
        <v/>
      </c>
      <c r="Q817" t="str">
        <f>IF(Forvetler!R19="","",Forvetler!R19)</f>
        <v/>
      </c>
      <c r="R817" t="str">
        <f>IF(Forvetler!S19="","",Forvetler!S19)</f>
        <v/>
      </c>
      <c r="S817" t="str">
        <f>IF(Forvetler!T19="","",Forvetler!T19)</f>
        <v>Tekrar İzle</v>
      </c>
      <c r="T817" s="2" t="str">
        <f>IF(Forvetler!U19="","",Forvetler!U19)</f>
        <v/>
      </c>
      <c r="U817" t="s">
        <v>934</v>
      </c>
      <c r="V817">
        <v>19</v>
      </c>
      <c r="W817" t="str">
        <f ca="1">IF(AND($A817&lt;&gt;"",ISNUMBER($G817),$G817&gt;=TODAY(),$G817&lt;=EDATE(TODAY(),12)),COUNTIFS($G$2:$G$1001,"&gt;="&amp;TODAY(),$G$2:$G$1001,"&lt;"&amp;$G817,$A$2:$A$1001,"&lt;&gt;")+COUNTIFS($G$2:$G817,$G817,$A$2:$A817,"&lt;&gt;"),"")</f>
        <v/>
      </c>
      <c r="X817" t="str">
        <f>IF(AND($A817&lt;&gt;"",ISNUMBER($C817),$C817&gt;=DATE(2003,1,1)),COUNTIFS($C$2:$C817,"&gt;="&amp;DATE(2003,1,1),$A$2:$A817,"&lt;&gt;"),"")</f>
        <v/>
      </c>
    </row>
    <row r="818" spans="1:24">
      <c r="A818" t="str">
        <f>IF(Forvetler!A20="","",Forvetler!A20)</f>
        <v>CHRISTIAN BENTEKE</v>
      </c>
      <c r="B818" t="str">
        <f>IF(Forvetler!B20="","",Forvetler!B20)</f>
        <v>BELÇİKA</v>
      </c>
      <c r="C818" s="2">
        <f>IF(Forvetler!C20="","",Forvetler!C20)</f>
        <v>33210</v>
      </c>
      <c r="D818">
        <f ca="1">IF(Forvetler!D20="","",Forvetler!D20)</f>
        <v>35</v>
      </c>
      <c r="E818" t="str">
        <f>IF(Forvetler!E20="","",Forvetler!E20)</f>
        <v>Forvet</v>
      </c>
      <c r="F818" t="str">
        <f>IF(Forvetler!G20="","",Forvetler!G20)</f>
        <v>AL WAHDA</v>
      </c>
      <c r="G818" s="2">
        <f>IF(Forvetler!H20="","",Forvetler!H20)</f>
        <v>46568</v>
      </c>
      <c r="H818" t="str">
        <f>IF(Forvetler!I20="","",Forvetler!I20)</f>
        <v>Kırmızı</v>
      </c>
      <c r="I818">
        <f>IF(Forvetler!A20="","",Forvetler!J20)</f>
        <v>0</v>
      </c>
      <c r="J818" t="str">
        <f>IF(Forvetler!A20="","",Forvetler!K20)</f>
        <v>https://www.transfermarkt.com.tr/christian-benteke/profil/spieler/50201</v>
      </c>
      <c r="K818" t="str">
        <f>IF(Forvetler!L20="","",Forvetler!L20)</f>
        <v/>
      </c>
      <c r="L818" t="str">
        <f>IF(Forvetler!M20="","",Forvetler!M20)</f>
        <v/>
      </c>
      <c r="M818" t="str">
        <f>IF(Forvetler!N20="","",Forvetler!N20)</f>
        <v/>
      </c>
      <c r="N818" t="str">
        <f>IF(Forvetler!O20="","",Forvetler!O20)</f>
        <v/>
      </c>
      <c r="O818" t="str">
        <f>IF(Forvetler!P20="","",Forvetler!P20)</f>
        <v/>
      </c>
      <c r="P818" t="str">
        <f>IF(Forvetler!Q20="","",Forvetler!Q20)</f>
        <v/>
      </c>
      <c r="Q818" t="str">
        <f>IF(Forvetler!R20="","",Forvetler!R20)</f>
        <v/>
      </c>
      <c r="R818" t="str">
        <f>IF(Forvetler!S20="","",Forvetler!S20)</f>
        <v/>
      </c>
      <c r="S818" t="str">
        <f>IF(Forvetler!T20="","",Forvetler!T20)</f>
        <v>Ele</v>
      </c>
      <c r="T818" s="2" t="str">
        <f>IF(Forvetler!U20="","",Forvetler!U20)</f>
        <v/>
      </c>
      <c r="U818" t="s">
        <v>934</v>
      </c>
      <c r="V818">
        <v>20</v>
      </c>
      <c r="W818">
        <f ca="1">IF(AND($A818&lt;&gt;"",ISNUMBER($G818),$G818&gt;=TODAY(),$G818&lt;=EDATE(TODAY(),12)),COUNTIFS($G$2:$G$1001,"&gt;="&amp;TODAY(),$G$2:$G$1001,"&lt;"&amp;$G818,$A$2:$A$1001,"&lt;&gt;")+COUNTIFS($G$2:$G818,$G818,$A$2:$A818,"&lt;&gt;"),"")</f>
        <v>57</v>
      </c>
      <c r="X818" t="str">
        <f>IF(AND($A818&lt;&gt;"",ISNUMBER($C818),$C818&gt;=DATE(2003,1,1)),COUNTIFS($C$2:$C818,"&gt;="&amp;DATE(2003,1,1),$A$2:$A818,"&lt;&gt;"),"")</f>
        <v/>
      </c>
    </row>
    <row r="819" spans="1:24">
      <c r="A819" t="str">
        <f>IF(Forvetler!A21="","",Forvetler!A21)</f>
        <v>CHUKWUBUIKEM IKWUEMESI</v>
      </c>
      <c r="B819" t="str">
        <f>IF(Forvetler!B21="","",Forvetler!B21)</f>
        <v>NİJERYA</v>
      </c>
      <c r="C819" s="2">
        <f>IF(Forvetler!C21="","",Forvetler!C21)</f>
        <v>37108</v>
      </c>
      <c r="D819">
        <f ca="1">IF(Forvetler!D21="","",Forvetler!D21)</f>
        <v>25</v>
      </c>
      <c r="E819" t="str">
        <f>IF(Forvetler!E21="","",Forvetler!E21)</f>
        <v>Forvet</v>
      </c>
      <c r="F819" t="str">
        <f>IF(Forvetler!G21="","",Forvetler!G21)</f>
        <v>OH LEUVEN</v>
      </c>
      <c r="G819" s="2">
        <f>IF(Forvetler!H21="","",Forvetler!H21)</f>
        <v>46934</v>
      </c>
      <c r="H819" t="str">
        <f>IF(Forvetler!I21="","",Forvetler!I21)</f>
        <v>Sarı</v>
      </c>
      <c r="I819">
        <f>IF(Forvetler!A21="","",Forvetler!J21)</f>
        <v>0</v>
      </c>
      <c r="J819" t="str">
        <f>IF(Forvetler!A21="","",Forvetler!K21)</f>
        <v>https://www.transfermarkt.com.tr/chukwubuikem-ikwuemesi/profil/spieler/929494</v>
      </c>
      <c r="K819" t="str">
        <f>IF(Forvetler!L21="","",Forvetler!L21)</f>
        <v/>
      </c>
      <c r="L819" t="str">
        <f>IF(Forvetler!M21="","",Forvetler!M21)</f>
        <v/>
      </c>
      <c r="M819" t="str">
        <f>IF(Forvetler!N21="","",Forvetler!N21)</f>
        <v/>
      </c>
      <c r="N819" t="str">
        <f>IF(Forvetler!O21="","",Forvetler!O21)</f>
        <v/>
      </c>
      <c r="O819" t="str">
        <f>IF(Forvetler!P21="","",Forvetler!P21)</f>
        <v/>
      </c>
      <c r="P819" t="str">
        <f>IF(Forvetler!Q21="","",Forvetler!Q21)</f>
        <v/>
      </c>
      <c r="Q819" t="str">
        <f>IF(Forvetler!R21="","",Forvetler!R21)</f>
        <v/>
      </c>
      <c r="R819" t="str">
        <f>IF(Forvetler!S21="","",Forvetler!S21)</f>
        <v/>
      </c>
      <c r="S819" t="str">
        <f>IF(Forvetler!T21="","",Forvetler!T21)</f>
        <v>Takip</v>
      </c>
      <c r="T819" s="2" t="str">
        <f>IF(Forvetler!U21="","",Forvetler!U21)</f>
        <v/>
      </c>
      <c r="U819" t="s">
        <v>934</v>
      </c>
      <c r="V819">
        <v>21</v>
      </c>
      <c r="W819" t="str">
        <f ca="1">IF(AND($A819&lt;&gt;"",ISNUMBER($G819),$G819&gt;=TODAY(),$G819&lt;=EDATE(TODAY(),12)),COUNTIFS($G$2:$G$1001,"&gt;="&amp;TODAY(),$G$2:$G$1001,"&lt;"&amp;$G819,$A$2:$A$1001,"&lt;&gt;")+COUNTIFS($G$2:$G819,$G819,$A$2:$A819,"&lt;&gt;"),"")</f>
        <v/>
      </c>
      <c r="X819" t="str">
        <f>IF(AND($A819&lt;&gt;"",ISNUMBER($C819),$C819&gt;=DATE(2003,1,1)),COUNTIFS($C$2:$C819,"&gt;="&amp;DATE(2003,1,1),$A$2:$A819,"&lt;&gt;"),"")</f>
        <v/>
      </c>
    </row>
    <row r="820" spans="1:24">
      <c r="A820" t="str">
        <f>IF(Forvetler!A22="","",Forvetler!A22)</f>
        <v>ROMAN YAREMCHUK</v>
      </c>
      <c r="B820" t="str">
        <f>IF(Forvetler!B22="","",Forvetler!B22)</f>
        <v>UKRAYNA</v>
      </c>
      <c r="C820" s="2">
        <f>IF(Forvetler!C22="","",Forvetler!C22)</f>
        <v>35030</v>
      </c>
      <c r="D820">
        <f ca="1">IF(Forvetler!D22="","",Forvetler!D22)</f>
        <v>30</v>
      </c>
      <c r="E820" t="str">
        <f>IF(Forvetler!E22="","",Forvetler!E22)</f>
        <v>Forvet</v>
      </c>
      <c r="F820" t="str">
        <f>IF(Forvetler!G22="","",Forvetler!G22)</f>
        <v>OLYMPIAKOS</v>
      </c>
      <c r="G820" s="2">
        <f>IF(Forvetler!H22="","",Forvetler!H22)</f>
        <v>46934</v>
      </c>
      <c r="H820" t="str">
        <f>IF(Forvetler!I22="","",Forvetler!I22)</f>
        <v>Sarı</v>
      </c>
      <c r="I820">
        <f>IF(Forvetler!A22="","",Forvetler!J22)</f>
        <v>0</v>
      </c>
      <c r="J820" t="str">
        <f>IF(Forvetler!A22="","",Forvetler!K22)</f>
        <v>https://www.transfermarkt.com.tr/roman-yaremchuk/profil/spieler/221958</v>
      </c>
      <c r="K820" t="str">
        <f>IF(Forvetler!L22="","",Forvetler!L22)</f>
        <v/>
      </c>
      <c r="L820" t="str">
        <f>IF(Forvetler!M22="","",Forvetler!M22)</f>
        <v/>
      </c>
      <c r="M820" t="str">
        <f>IF(Forvetler!N22="","",Forvetler!N22)</f>
        <v/>
      </c>
      <c r="N820" t="str">
        <f>IF(Forvetler!O22="","",Forvetler!O22)</f>
        <v/>
      </c>
      <c r="O820" t="str">
        <f>IF(Forvetler!P22="","",Forvetler!P22)</f>
        <v/>
      </c>
      <c r="P820" t="str">
        <f>IF(Forvetler!Q22="","",Forvetler!Q22)</f>
        <v/>
      </c>
      <c r="Q820" t="str">
        <f>IF(Forvetler!R22="","",Forvetler!R22)</f>
        <v/>
      </c>
      <c r="R820" t="str">
        <f>IF(Forvetler!S22="","",Forvetler!S22)</f>
        <v/>
      </c>
      <c r="S820" t="str">
        <f>IF(Forvetler!T22="","",Forvetler!T22)</f>
        <v>Tekrar İzle</v>
      </c>
      <c r="T820" s="2" t="str">
        <f>IF(Forvetler!U22="","",Forvetler!U22)</f>
        <v/>
      </c>
      <c r="U820" t="s">
        <v>934</v>
      </c>
      <c r="V820">
        <v>22</v>
      </c>
      <c r="W820" t="str">
        <f ca="1">IF(AND($A820&lt;&gt;"",ISNUMBER($G820),$G820&gt;=TODAY(),$G820&lt;=EDATE(TODAY(),12)),COUNTIFS($G$2:$G$1001,"&gt;="&amp;TODAY(),$G$2:$G$1001,"&lt;"&amp;$G820,$A$2:$A$1001,"&lt;&gt;")+COUNTIFS($G$2:$G820,$G820,$A$2:$A820,"&lt;&gt;"),"")</f>
        <v/>
      </c>
      <c r="X820" t="str">
        <f>IF(AND($A820&lt;&gt;"",ISNUMBER($C820),$C820&gt;=DATE(2003,1,1)),COUNTIFS($C$2:$C820,"&gt;="&amp;DATE(2003,1,1),$A$2:$A820,"&lt;&gt;"),"")</f>
        <v/>
      </c>
    </row>
    <row r="821" spans="1:24">
      <c r="A821" t="str">
        <f>IF(Forvetler!A23="","",Forvetler!A23)</f>
        <v>BIL NSONGO</v>
      </c>
      <c r="B821" t="str">
        <f>IF(Forvetler!B23="","",Forvetler!B23)</f>
        <v>KAMERUN</v>
      </c>
      <c r="C821" s="2">
        <f>IF(Forvetler!C23="","",Forvetler!C23)</f>
        <v>38251</v>
      </c>
      <c r="D821">
        <f ca="1">IF(Forvetler!D23="","",Forvetler!D23)</f>
        <v>22</v>
      </c>
      <c r="E821" t="str">
        <f>IF(Forvetler!E23="","",Forvetler!E23)</f>
        <v>Forvet</v>
      </c>
      <c r="F821" t="str">
        <f>IF(Forvetler!G23="","",Forvetler!G23)</f>
        <v>DEPORTIVO A CORUÑA</v>
      </c>
      <c r="G821" s="2">
        <f>IF(Forvetler!H23="","",Forvetler!H23)</f>
        <v>47664</v>
      </c>
      <c r="H821" t="str">
        <f>IF(Forvetler!I23="","",Forvetler!I23)</f>
        <v/>
      </c>
      <c r="I821">
        <f>IF(Forvetler!A23="","",Forvetler!J23)</f>
        <v>0</v>
      </c>
      <c r="J821" t="str">
        <f>IF(Forvetler!A23="","",Forvetler!K23)</f>
        <v>https://www.transfermarkt.com.tr/bil-nsongo/profil/spieler/1299392</v>
      </c>
      <c r="K821" t="str">
        <f>IF(Forvetler!L23="","",Forvetler!L23)</f>
        <v/>
      </c>
      <c r="L821" t="str">
        <f>IF(Forvetler!M23="","",Forvetler!M23)</f>
        <v/>
      </c>
      <c r="M821" t="str">
        <f>IF(Forvetler!N23="","",Forvetler!N23)</f>
        <v/>
      </c>
      <c r="N821" t="str">
        <f>IF(Forvetler!O23="","",Forvetler!O23)</f>
        <v/>
      </c>
      <c r="O821" t="str">
        <f>IF(Forvetler!P23="","",Forvetler!P23)</f>
        <v/>
      </c>
      <c r="P821" t="str">
        <f>IF(Forvetler!Q23="","",Forvetler!Q23)</f>
        <v/>
      </c>
      <c r="Q821" t="str">
        <f>IF(Forvetler!R23="","",Forvetler!R23)</f>
        <v/>
      </c>
      <c r="R821" t="str">
        <f>IF(Forvetler!S23="","",Forvetler!S23)</f>
        <v/>
      </c>
      <c r="S821" t="str">
        <f>IF(Forvetler!T23="","",Forvetler!T23)</f>
        <v/>
      </c>
      <c r="T821" s="2" t="str">
        <f>IF(Forvetler!U23="","",Forvetler!U23)</f>
        <v/>
      </c>
      <c r="U821" t="s">
        <v>934</v>
      </c>
      <c r="V821">
        <v>23</v>
      </c>
      <c r="W821" t="str">
        <f ca="1">IF(AND($A821&lt;&gt;"",ISNUMBER($G821),$G821&gt;=TODAY(),$G821&lt;=EDATE(TODAY(),12)),COUNTIFS($G$2:$G$1001,"&gt;="&amp;TODAY(),$G$2:$G$1001,"&lt;"&amp;$G821,$A$2:$A$1001,"&lt;&gt;")+COUNTIFS($G$2:$G821,$G821,$A$2:$A821,"&lt;&gt;"),"")</f>
        <v/>
      </c>
      <c r="X821">
        <f>IF(AND($A821&lt;&gt;"",ISNUMBER($C821),$C821&gt;=DATE(2003,1,1)),COUNTIFS($C$2:$C821,"&gt;="&amp;DATE(2003,1,1),$A$2:$A821,"&lt;&gt;"),"")</f>
        <v>71</v>
      </c>
    </row>
    <row r="822" spans="1:24">
      <c r="A822" t="str">
        <f>IF(Forvetler!A24="","",Forvetler!A24)</f>
        <v>RONY</v>
      </c>
      <c r="B822" t="str">
        <f>IF(Forvetler!B24="","",Forvetler!B24)</f>
        <v>BREZİLYA</v>
      </c>
      <c r="C822" s="2">
        <f>IF(Forvetler!C24="","",Forvetler!C24)</f>
        <v>34830</v>
      </c>
      <c r="D822">
        <f ca="1">IF(Forvetler!D24="","",Forvetler!D24)</f>
        <v>31</v>
      </c>
      <c r="E822" t="str">
        <f>IF(Forvetler!E24="","",Forvetler!E24)</f>
        <v>Forvet</v>
      </c>
      <c r="F822" t="str">
        <f>IF(Forvetler!G24="","",Forvetler!G24)</f>
        <v>SANTOS FC</v>
      </c>
      <c r="G822" s="2">
        <f>IF(Forvetler!H24="","",Forvetler!H24)</f>
        <v>47483</v>
      </c>
      <c r="H822" t="str">
        <f>IF(Forvetler!I24="","",Forvetler!I24)</f>
        <v/>
      </c>
      <c r="I822">
        <f>IF(Forvetler!A24="","",Forvetler!J24)</f>
        <v>0</v>
      </c>
      <c r="J822" t="str">
        <f>IF(Forvetler!A24="","",Forvetler!K24)</f>
        <v>https://www.transfermarkt.com.br/rony/profil/spieler/371009</v>
      </c>
      <c r="K822" t="str">
        <f>IF(Forvetler!L24="","",Forvetler!L24)</f>
        <v/>
      </c>
      <c r="L822" t="str">
        <f>IF(Forvetler!M24="","",Forvetler!M24)</f>
        <v/>
      </c>
      <c r="M822" t="str">
        <f>IF(Forvetler!N24="","",Forvetler!N24)</f>
        <v/>
      </c>
      <c r="N822" t="str">
        <f>IF(Forvetler!O24="","",Forvetler!O24)</f>
        <v/>
      </c>
      <c r="O822" t="str">
        <f>IF(Forvetler!P24="","",Forvetler!P24)</f>
        <v/>
      </c>
      <c r="P822" t="str">
        <f>IF(Forvetler!Q24="","",Forvetler!Q24)</f>
        <v/>
      </c>
      <c r="Q822" t="str">
        <f>IF(Forvetler!R24="","",Forvetler!R24)</f>
        <v/>
      </c>
      <c r="R822" t="str">
        <f>IF(Forvetler!S24="","",Forvetler!S24)</f>
        <v/>
      </c>
      <c r="S822" t="str">
        <f>IF(Forvetler!T24="","",Forvetler!T24)</f>
        <v/>
      </c>
      <c r="T822" s="2" t="str">
        <f>IF(Forvetler!U24="","",Forvetler!U24)</f>
        <v/>
      </c>
      <c r="U822" t="s">
        <v>934</v>
      </c>
      <c r="V822">
        <v>24</v>
      </c>
      <c r="W822" t="str">
        <f ca="1">IF(AND($A822&lt;&gt;"",ISNUMBER($G822),$G822&gt;=TODAY(),$G822&lt;=EDATE(TODAY(),12)),COUNTIFS($G$2:$G$1001,"&gt;="&amp;TODAY(),$G$2:$G$1001,"&lt;"&amp;$G822,$A$2:$A$1001,"&lt;&gt;")+COUNTIFS($G$2:$G822,$G822,$A$2:$A822,"&lt;&gt;"),"")</f>
        <v/>
      </c>
      <c r="X822" t="str">
        <f>IF(AND($A822&lt;&gt;"",ISNUMBER($C822),$C822&gt;=DATE(2003,1,1)),COUNTIFS($C$2:$C822,"&gt;="&amp;DATE(2003,1,1),$A$2:$A822,"&lt;&gt;"),"")</f>
        <v/>
      </c>
    </row>
    <row r="823" spans="1:24">
      <c r="A823" t="str">
        <f>IF(Forvetler!A25="","",Forvetler!A25)</f>
        <v>LUIS SEMEDO</v>
      </c>
      <c r="B823" t="str">
        <f>IF(Forvetler!B25="","",Forvetler!B25)</f>
        <v>PORTEKİZ / YEŞİL BURUN ADALARI</v>
      </c>
      <c r="C823" s="2">
        <f>IF(Forvetler!C25="","",Forvetler!C25)</f>
        <v>37844</v>
      </c>
      <c r="D823">
        <f ca="1">IF(Forvetler!D25="","",Forvetler!D25)</f>
        <v>23</v>
      </c>
      <c r="E823" t="str">
        <f>IF(Forvetler!E25="","",Forvetler!E25)</f>
        <v>Forvet</v>
      </c>
      <c r="F823" t="str">
        <f>IF(Forvetler!G25="","",Forvetler!G25)</f>
        <v>SUNDERLAND AFC</v>
      </c>
      <c r="G823" s="2">
        <f>IF(Forvetler!H25="","",Forvetler!H25)</f>
        <v>46934</v>
      </c>
      <c r="H823" t="str">
        <f>IF(Forvetler!I25="","",Forvetler!I25)</f>
        <v/>
      </c>
      <c r="I823">
        <f>IF(Forvetler!A25="","",Forvetler!J25)</f>
        <v>0</v>
      </c>
      <c r="J823" t="str">
        <f>IF(Forvetler!A25="","",Forvetler!K25)</f>
        <v>https://www.transfermarkt.de/luis-semedo/profil/spieler/840687</v>
      </c>
      <c r="K823" t="str">
        <f>IF(Forvetler!L25="","",Forvetler!L25)</f>
        <v/>
      </c>
      <c r="L823" t="str">
        <f>IF(Forvetler!M25="","",Forvetler!M25)</f>
        <v/>
      </c>
      <c r="M823" t="str">
        <f>IF(Forvetler!N25="","",Forvetler!N25)</f>
        <v/>
      </c>
      <c r="N823" t="str">
        <f>IF(Forvetler!O25="","",Forvetler!O25)</f>
        <v/>
      </c>
      <c r="O823" t="str">
        <f>IF(Forvetler!P25="","",Forvetler!P25)</f>
        <v/>
      </c>
      <c r="P823" t="str">
        <f>IF(Forvetler!Q25="","",Forvetler!Q25)</f>
        <v/>
      </c>
      <c r="Q823" t="str">
        <f>IF(Forvetler!R25="","",Forvetler!R25)</f>
        <v/>
      </c>
      <c r="R823" t="str">
        <f>IF(Forvetler!S25="","",Forvetler!S25)</f>
        <v/>
      </c>
      <c r="S823" t="str">
        <f>IF(Forvetler!T25="","",Forvetler!T25)</f>
        <v/>
      </c>
      <c r="T823" s="2" t="str">
        <f>IF(Forvetler!U25="","",Forvetler!U25)</f>
        <v/>
      </c>
      <c r="U823" t="s">
        <v>934</v>
      </c>
      <c r="V823">
        <v>25</v>
      </c>
      <c r="W823" t="str">
        <f ca="1">IF(AND($A823&lt;&gt;"",ISNUMBER($G823),$G823&gt;=TODAY(),$G823&lt;=EDATE(TODAY(),12)),COUNTIFS($G$2:$G$1001,"&gt;="&amp;TODAY(),$G$2:$G$1001,"&lt;"&amp;$G823,$A$2:$A$1001,"&lt;&gt;")+COUNTIFS($G$2:$G823,$G823,$A$2:$A823,"&lt;&gt;"),"")</f>
        <v/>
      </c>
      <c r="X823">
        <f>IF(AND($A823&lt;&gt;"",ISNUMBER($C823),$C823&gt;=DATE(2003,1,1)),COUNTIFS($C$2:$C823,"&gt;="&amp;DATE(2003,1,1),$A$2:$A823,"&lt;&gt;"),"")</f>
        <v>72</v>
      </c>
    </row>
    <row r="824" spans="1:24">
      <c r="A824" t="str">
        <f>IF(Forvetler!A26="","",Forvetler!A26)</f>
        <v>ANTHONY MARTIAL</v>
      </c>
      <c r="B824" t="str">
        <f>IF(Forvetler!B26="","",Forvetler!B26)</f>
        <v>FRANSA / GUADELOUPE</v>
      </c>
      <c r="C824" s="2">
        <f>IF(Forvetler!C26="","",Forvetler!C26)</f>
        <v>35038</v>
      </c>
      <c r="D824">
        <f ca="1">IF(Forvetler!D26="","",Forvetler!D26)</f>
        <v>30</v>
      </c>
      <c r="E824" t="str">
        <f>IF(Forvetler!E26="","",Forvetler!E26)</f>
        <v>Forvet</v>
      </c>
      <c r="F824" t="str">
        <f>IF(Forvetler!G26="","",Forvetler!G26)</f>
        <v>KULÜPSÜZ</v>
      </c>
      <c r="G824" s="2" t="str">
        <f>IF(Forvetler!H26="","",Forvetler!H26)</f>
        <v>-</v>
      </c>
      <c r="H824" t="str">
        <f>IF(Forvetler!I26="","",Forvetler!I26)</f>
        <v/>
      </c>
      <c r="I824">
        <f>IF(Forvetler!A26="","",Forvetler!J26)</f>
        <v>0</v>
      </c>
      <c r="J824" t="str">
        <f>IF(Forvetler!A26="","",Forvetler!K26)</f>
        <v>https://www.transfermarkt.fr/anthony-martial/profil/spieler/182877</v>
      </c>
      <c r="K824" t="str">
        <f>IF(Forvetler!L26="","",Forvetler!L26)</f>
        <v/>
      </c>
      <c r="L824" t="str">
        <f>IF(Forvetler!M26="","",Forvetler!M26)</f>
        <v/>
      </c>
      <c r="M824" t="str">
        <f>IF(Forvetler!N26="","",Forvetler!N26)</f>
        <v/>
      </c>
      <c r="N824" t="str">
        <f>IF(Forvetler!O26="","",Forvetler!O26)</f>
        <v/>
      </c>
      <c r="O824" t="str">
        <f>IF(Forvetler!P26="","",Forvetler!P26)</f>
        <v/>
      </c>
      <c r="P824" t="str">
        <f>IF(Forvetler!Q26="","",Forvetler!Q26)</f>
        <v/>
      </c>
      <c r="Q824" t="str">
        <f>IF(Forvetler!R26="","",Forvetler!R26)</f>
        <v/>
      </c>
      <c r="R824" t="str">
        <f>IF(Forvetler!S26="","",Forvetler!S26)</f>
        <v/>
      </c>
      <c r="S824" t="str">
        <f>IF(Forvetler!T26="","",Forvetler!T26)</f>
        <v/>
      </c>
      <c r="T824" s="2" t="str">
        <f>IF(Forvetler!U26="","",Forvetler!U26)</f>
        <v/>
      </c>
      <c r="U824" t="s">
        <v>934</v>
      </c>
      <c r="V824">
        <v>26</v>
      </c>
      <c r="W824" t="str">
        <f ca="1">IF(AND($A824&lt;&gt;"",ISNUMBER($G824),$G824&gt;=TODAY(),$G824&lt;=EDATE(TODAY(),12)),COUNTIFS($G$2:$G$1001,"&gt;="&amp;TODAY(),$G$2:$G$1001,"&lt;"&amp;$G824,$A$2:$A$1001,"&lt;&gt;")+COUNTIFS($G$2:$G824,$G824,$A$2:$A824,"&lt;&gt;"),"")</f>
        <v/>
      </c>
      <c r="X824" t="str">
        <f>IF(AND($A824&lt;&gt;"",ISNUMBER($C824),$C824&gt;=DATE(2003,1,1)),COUNTIFS($C$2:$C824,"&gt;="&amp;DATE(2003,1,1),$A$2:$A824,"&lt;&gt;"),"")</f>
        <v/>
      </c>
    </row>
    <row r="825" spans="1:24">
      <c r="A825" t="str">
        <f>IF(Forvetler!A27="","",Forvetler!A27)</f>
        <v>LEVI GARCIA</v>
      </c>
      <c r="B825" t="str">
        <f>IF(Forvetler!B27="","",Forvetler!B27)</f>
        <v>TRİNİDAD VE TOBAGO</v>
      </c>
      <c r="C825" s="2">
        <f>IF(Forvetler!C27="","",Forvetler!C27)</f>
        <v>35754</v>
      </c>
      <c r="D825">
        <f ca="1">IF(Forvetler!D27="","",Forvetler!D27)</f>
        <v>28</v>
      </c>
      <c r="E825" t="str">
        <f>IF(Forvetler!E27="","",Forvetler!E27)</f>
        <v>Forvet</v>
      </c>
      <c r="F825" t="str">
        <f>IF(Forvetler!G27="","",Forvetler!G27)</f>
        <v>SPARTAK MOSKOVA</v>
      </c>
      <c r="G825" s="2" t="str">
        <f>IF(Forvetler!H27="","",Forvetler!H27)</f>
        <v>-</v>
      </c>
      <c r="H825" t="str">
        <f>IF(Forvetler!I27="","",Forvetler!I27)</f>
        <v/>
      </c>
      <c r="I825">
        <f>IF(Forvetler!A27="","",Forvetler!J27)</f>
        <v>0</v>
      </c>
      <c r="J825" t="str">
        <f>IF(Forvetler!A27="","",Forvetler!K27)</f>
        <v>https://www.transfermarkt.nl/levi-garcia/profil/spieler/354587</v>
      </c>
      <c r="K825" t="str">
        <f>IF(Forvetler!L27="","",Forvetler!L27)</f>
        <v/>
      </c>
      <c r="L825" t="str">
        <f>IF(Forvetler!M27="","",Forvetler!M27)</f>
        <v/>
      </c>
      <c r="M825" t="str">
        <f>IF(Forvetler!N27="","",Forvetler!N27)</f>
        <v/>
      </c>
      <c r="N825" t="str">
        <f>IF(Forvetler!O27="","",Forvetler!O27)</f>
        <v/>
      </c>
      <c r="O825" t="str">
        <f>IF(Forvetler!P27="","",Forvetler!P27)</f>
        <v/>
      </c>
      <c r="P825" t="str">
        <f>IF(Forvetler!Q27="","",Forvetler!Q27)</f>
        <v/>
      </c>
      <c r="Q825" t="str">
        <f>IF(Forvetler!R27="","",Forvetler!R27)</f>
        <v/>
      </c>
      <c r="R825" t="str">
        <f>IF(Forvetler!S27="","",Forvetler!S27)</f>
        <v/>
      </c>
      <c r="S825" t="str">
        <f>IF(Forvetler!T27="","",Forvetler!T27)</f>
        <v/>
      </c>
      <c r="T825" s="2" t="str">
        <f>IF(Forvetler!U27="","",Forvetler!U27)</f>
        <v/>
      </c>
      <c r="U825" t="s">
        <v>934</v>
      </c>
      <c r="V825">
        <v>27</v>
      </c>
      <c r="W825" t="str">
        <f ca="1">IF(AND($A825&lt;&gt;"",ISNUMBER($G825),$G825&gt;=TODAY(),$G825&lt;=EDATE(TODAY(),12)),COUNTIFS($G$2:$G$1001,"&gt;="&amp;TODAY(),$G$2:$G$1001,"&lt;"&amp;$G825,$A$2:$A$1001,"&lt;&gt;")+COUNTIFS($G$2:$G825,$G825,$A$2:$A825,"&lt;&gt;"),"")</f>
        <v/>
      </c>
      <c r="X825" t="str">
        <f>IF(AND($A825&lt;&gt;"",ISNUMBER($C825),$C825&gt;=DATE(2003,1,1)),COUNTIFS($C$2:$C825,"&gt;="&amp;DATE(2003,1,1),$A$2:$A825,"&lt;&gt;"),"")</f>
        <v/>
      </c>
    </row>
    <row r="826" spans="1:24">
      <c r="A826" t="str">
        <f>IF(Forvetler!A28="","",Forvetler!A28)</f>
        <v>DAVID DATRO FOFANA</v>
      </c>
      <c r="B826" t="str">
        <f>IF(Forvetler!B28="","",Forvetler!B28)</f>
        <v>FİLDİŞİ SAHİLİ</v>
      </c>
      <c r="C826" s="2">
        <f>IF(Forvetler!C28="","",Forvetler!C28)</f>
        <v>37612</v>
      </c>
      <c r="D826">
        <f ca="1">IF(Forvetler!D28="","",Forvetler!D28)</f>
        <v>23</v>
      </c>
      <c r="E826" t="str">
        <f>IF(Forvetler!E28="","",Forvetler!E28)</f>
        <v>Forvet</v>
      </c>
      <c r="F826" t="str">
        <f>IF(Forvetler!G28="","",Forvetler!G28)</f>
        <v>CHELSEA FC</v>
      </c>
      <c r="G826" s="2">
        <f>IF(Forvetler!H28="","",Forvetler!H28)</f>
        <v>47299</v>
      </c>
      <c r="H826" t="str">
        <f>IF(Forvetler!I28="","",Forvetler!I28)</f>
        <v/>
      </c>
      <c r="I826">
        <f>IF(Forvetler!A28="","",Forvetler!J28)</f>
        <v>0</v>
      </c>
      <c r="J826" t="str">
        <f>IF(Forvetler!A28="","",Forvetler!K28)</f>
        <v>Transfermarkt Profili</v>
      </c>
      <c r="K826" t="str">
        <f>IF(Forvetler!L28="","",Forvetler!L28)</f>
        <v/>
      </c>
      <c r="L826" t="str">
        <f>IF(Forvetler!M28="","",Forvetler!M28)</f>
        <v/>
      </c>
      <c r="M826" t="str">
        <f>IF(Forvetler!N28="","",Forvetler!N28)</f>
        <v/>
      </c>
      <c r="N826" t="str">
        <f>IF(Forvetler!O28="","",Forvetler!O28)</f>
        <v/>
      </c>
      <c r="O826" t="str">
        <f>IF(Forvetler!P28="","",Forvetler!P28)</f>
        <v/>
      </c>
      <c r="P826" t="str">
        <f>IF(Forvetler!Q28="","",Forvetler!Q28)</f>
        <v/>
      </c>
      <c r="Q826" t="str">
        <f>IF(Forvetler!R28="","",Forvetler!R28)</f>
        <v/>
      </c>
      <c r="R826" t="str">
        <f>IF(Forvetler!S28="","",Forvetler!S28)</f>
        <v/>
      </c>
      <c r="S826" t="str">
        <f>IF(Forvetler!T28="","",Forvetler!T28)</f>
        <v/>
      </c>
      <c r="T826" s="2" t="str">
        <f>IF(Forvetler!U28="","",Forvetler!U28)</f>
        <v/>
      </c>
      <c r="U826" t="s">
        <v>934</v>
      </c>
      <c r="V826">
        <v>28</v>
      </c>
      <c r="W826" t="str">
        <f ca="1">IF(AND($A826&lt;&gt;"",ISNUMBER($G826),$G826&gt;=TODAY(),$G826&lt;=EDATE(TODAY(),12)),COUNTIFS($G$2:$G$1001,"&gt;="&amp;TODAY(),$G$2:$G$1001,"&lt;"&amp;$G826,$A$2:$A$1001,"&lt;&gt;")+COUNTIFS($G$2:$G826,$G826,$A$2:$A826,"&lt;&gt;"),"")</f>
        <v/>
      </c>
      <c r="X826" t="str">
        <f>IF(AND($A826&lt;&gt;"",ISNUMBER($C826),$C826&gt;=DATE(2003,1,1)),COUNTIFS($C$2:$C826,"&gt;="&amp;DATE(2003,1,1),$A$2:$A826,"&lt;&gt;"),"")</f>
        <v/>
      </c>
    </row>
    <row r="827" spans="1:24">
      <c r="A827" t="str">
        <f>IF(Forvetler!A29="","",Forvetler!A29)</f>
        <v>YOSHAN VALOIS</v>
      </c>
      <c r="B827" t="str">
        <f>IF(Forvetler!B29="","",Forvetler!B29)</f>
        <v>KOLOMBİYA</v>
      </c>
      <c r="C827" s="2">
        <f>IF(Forvetler!C29="","",Forvetler!C29)</f>
        <v>38264</v>
      </c>
      <c r="D827">
        <f ca="1">IF(Forvetler!D29="","",Forvetler!D29)</f>
        <v>22</v>
      </c>
      <c r="E827" t="str">
        <f>IF(Forvetler!E29="","",Forvetler!E29)</f>
        <v>Forvet</v>
      </c>
      <c r="F827" t="str">
        <f>IF(Forvetler!G29="","",Forvetler!G29)</f>
        <v>CA LANÚS</v>
      </c>
      <c r="G827" s="2">
        <f>IF(Forvetler!H29="","",Forvetler!H29)</f>
        <v>47483</v>
      </c>
      <c r="H827" t="str">
        <f>IF(Forvetler!I29="","",Forvetler!I29)</f>
        <v/>
      </c>
      <c r="I827">
        <f>IF(Forvetler!A29="","",Forvetler!J29)</f>
        <v>0</v>
      </c>
      <c r="J827" t="str">
        <f>IF(Forvetler!A29="","",Forvetler!K29)</f>
        <v>https://www.transfermarkt.com.tr/yoshan-valois/leistungsdatendetails/spieler/1258292</v>
      </c>
      <c r="K827" t="str">
        <f>IF(Forvetler!L29="","",Forvetler!L29)</f>
        <v/>
      </c>
      <c r="L827" t="str">
        <f>IF(Forvetler!M29="","",Forvetler!M29)</f>
        <v/>
      </c>
      <c r="M827" t="str">
        <f>IF(Forvetler!N29="","",Forvetler!N29)</f>
        <v/>
      </c>
      <c r="N827" t="str">
        <f>IF(Forvetler!O29="","",Forvetler!O29)</f>
        <v/>
      </c>
      <c r="O827" t="str">
        <f>IF(Forvetler!P29="","",Forvetler!P29)</f>
        <v/>
      </c>
      <c r="P827" t="str">
        <f>IF(Forvetler!Q29="","",Forvetler!Q29)</f>
        <v/>
      </c>
      <c r="Q827" t="str">
        <f>IF(Forvetler!R29="","",Forvetler!R29)</f>
        <v/>
      </c>
      <c r="R827" t="str">
        <f>IF(Forvetler!S29="","",Forvetler!S29)</f>
        <v/>
      </c>
      <c r="S827" t="str">
        <f>IF(Forvetler!T29="","",Forvetler!T29)</f>
        <v/>
      </c>
      <c r="T827" s="2" t="str">
        <f>IF(Forvetler!U29="","",Forvetler!U29)</f>
        <v/>
      </c>
      <c r="U827" t="s">
        <v>934</v>
      </c>
      <c r="V827">
        <v>29</v>
      </c>
      <c r="W827" t="str">
        <f ca="1">IF(AND($A827&lt;&gt;"",ISNUMBER($G827),$G827&gt;=TODAY(),$G827&lt;=EDATE(TODAY(),12)),COUNTIFS($G$2:$G$1001,"&gt;="&amp;TODAY(),$G$2:$G$1001,"&lt;"&amp;$G827,$A$2:$A$1001,"&lt;&gt;")+COUNTIFS($G$2:$G827,$G827,$A$2:$A827,"&lt;&gt;"),"")</f>
        <v/>
      </c>
      <c r="X827">
        <f>IF(AND($A827&lt;&gt;"",ISNUMBER($C827),$C827&gt;=DATE(2003,1,1)),COUNTIFS($C$2:$C827,"&gt;="&amp;DATE(2003,1,1),$A$2:$A827,"&lt;&gt;"),"")</f>
        <v>73</v>
      </c>
    </row>
    <row r="828" spans="1:24">
      <c r="A828" t="str">
        <f>IF(Forvetler!A30="","",Forvetler!A30)</f>
        <v>STIVEN SHPENDI</v>
      </c>
      <c r="B828" t="str">
        <f>IF(Forvetler!B30="","",Forvetler!B30)</f>
        <v>ARNAVUTLUK / İTALYA</v>
      </c>
      <c r="C828" s="2">
        <f>IF(Forvetler!C30="","",Forvetler!C30)</f>
        <v>37760</v>
      </c>
      <c r="D828">
        <f ca="1">IF(Forvetler!D30="","",Forvetler!D30)</f>
        <v>23</v>
      </c>
      <c r="E828" t="str">
        <f>IF(Forvetler!E30="","",Forvetler!E30)</f>
        <v>Forvet</v>
      </c>
      <c r="F828" t="str">
        <f>IF(Forvetler!G30="","",Forvetler!G30)</f>
        <v>EMPOLI FC</v>
      </c>
      <c r="G828" s="2">
        <f>IF(Forvetler!H30="","",Forvetler!H30)</f>
        <v>47299</v>
      </c>
      <c r="H828" t="str">
        <f>IF(Forvetler!I30="","",Forvetler!I30)</f>
        <v/>
      </c>
      <c r="I828">
        <f>IF(Forvetler!A30="","",Forvetler!J30)</f>
        <v>0</v>
      </c>
      <c r="J828" t="str">
        <f>IF(Forvetler!A30="","",Forvetler!K30)</f>
        <v>https://www.transfermarkt.com.tr/stiven-shpendi/leistungsdatendetails/spieler/931567</v>
      </c>
      <c r="K828" t="str">
        <f>IF(Forvetler!L30="","",Forvetler!L30)</f>
        <v/>
      </c>
      <c r="L828" t="str">
        <f>IF(Forvetler!M30="","",Forvetler!M30)</f>
        <v/>
      </c>
      <c r="M828" t="str">
        <f>IF(Forvetler!N30="","",Forvetler!N30)</f>
        <v/>
      </c>
      <c r="N828" t="str">
        <f>IF(Forvetler!O30="","",Forvetler!O30)</f>
        <v/>
      </c>
      <c r="O828" t="str">
        <f>IF(Forvetler!P30="","",Forvetler!P30)</f>
        <v/>
      </c>
      <c r="P828" t="str">
        <f>IF(Forvetler!Q30="","",Forvetler!Q30)</f>
        <v/>
      </c>
      <c r="Q828" t="str">
        <f>IF(Forvetler!R30="","",Forvetler!R30)</f>
        <v/>
      </c>
      <c r="R828" t="str">
        <f>IF(Forvetler!S30="","",Forvetler!S30)</f>
        <v/>
      </c>
      <c r="S828" t="str">
        <f>IF(Forvetler!T30="","",Forvetler!T30)</f>
        <v/>
      </c>
      <c r="T828" s="2" t="str">
        <f>IF(Forvetler!U30="","",Forvetler!U30)</f>
        <v/>
      </c>
      <c r="U828" t="s">
        <v>934</v>
      </c>
      <c r="V828">
        <v>30</v>
      </c>
      <c r="W828" t="str">
        <f ca="1">IF(AND($A828&lt;&gt;"",ISNUMBER($G828),$G828&gt;=TODAY(),$G828&lt;=EDATE(TODAY(),12)),COUNTIFS($G$2:$G$1001,"&gt;="&amp;TODAY(),$G$2:$G$1001,"&lt;"&amp;$G828,$A$2:$A$1001,"&lt;&gt;")+COUNTIFS($G$2:$G828,$G828,$A$2:$A828,"&lt;&gt;"),"")</f>
        <v/>
      </c>
      <c r="X828">
        <f>IF(AND($A828&lt;&gt;"",ISNUMBER($C828),$C828&gt;=DATE(2003,1,1)),COUNTIFS($C$2:$C828,"&gt;="&amp;DATE(2003,1,1),$A$2:$A828,"&lt;&gt;"),"")</f>
        <v>74</v>
      </c>
    </row>
    <row r="829" spans="1:24">
      <c r="A829" t="str">
        <f>IF(Forvetler!A31="","",Forvetler!A31)</f>
        <v>MAX DEAN</v>
      </c>
      <c r="B829" t="str">
        <f>IF(Forvetler!B31="","",Forvetler!B31)</f>
        <v>İNGİLTERE</v>
      </c>
      <c r="C829" s="2">
        <f>IF(Forvetler!C31="","",Forvetler!C31)</f>
        <v>38038</v>
      </c>
      <c r="D829">
        <f ca="1">IF(Forvetler!D31="","",Forvetler!D31)</f>
        <v>22</v>
      </c>
      <c r="E829" t="str">
        <f>IF(Forvetler!E31="","",Forvetler!E31)</f>
        <v>Forvet</v>
      </c>
      <c r="F829" t="str">
        <f>IF(Forvetler!G31="","",Forvetler!G31)</f>
        <v>KAA GENT</v>
      </c>
      <c r="G829" s="2">
        <f>IF(Forvetler!H31="","",Forvetler!H31)</f>
        <v>46934</v>
      </c>
      <c r="H829" t="str">
        <f>IF(Forvetler!I31="","",Forvetler!I31)</f>
        <v/>
      </c>
      <c r="I829">
        <f>IF(Forvetler!A31="","",Forvetler!J31)</f>
        <v>0</v>
      </c>
      <c r="J829" t="str">
        <f>IF(Forvetler!A31="","",Forvetler!K31)</f>
        <v>https://www.transfermarkt.de/max-dean/profil/spieler/805889</v>
      </c>
      <c r="K829" t="str">
        <f>IF(Forvetler!L31="","",Forvetler!L31)</f>
        <v/>
      </c>
      <c r="L829" t="str">
        <f>IF(Forvetler!M31="","",Forvetler!M31)</f>
        <v/>
      </c>
      <c r="M829" t="str">
        <f>IF(Forvetler!N31="","",Forvetler!N31)</f>
        <v/>
      </c>
      <c r="N829" t="str">
        <f>IF(Forvetler!O31="","",Forvetler!O31)</f>
        <v/>
      </c>
      <c r="O829" t="str">
        <f>IF(Forvetler!P31="","",Forvetler!P31)</f>
        <v/>
      </c>
      <c r="P829" t="str">
        <f>IF(Forvetler!Q31="","",Forvetler!Q31)</f>
        <v/>
      </c>
      <c r="Q829" t="str">
        <f>IF(Forvetler!R31="","",Forvetler!R31)</f>
        <v/>
      </c>
      <c r="R829" t="str">
        <f>IF(Forvetler!S31="","",Forvetler!S31)</f>
        <v/>
      </c>
      <c r="S829" t="str">
        <f>IF(Forvetler!T31="","",Forvetler!T31)</f>
        <v/>
      </c>
      <c r="T829" s="2" t="str">
        <f>IF(Forvetler!U31="","",Forvetler!U31)</f>
        <v/>
      </c>
      <c r="U829" t="s">
        <v>934</v>
      </c>
      <c r="V829">
        <v>31</v>
      </c>
      <c r="W829" t="str">
        <f ca="1">IF(AND($A829&lt;&gt;"",ISNUMBER($G829),$G829&gt;=TODAY(),$G829&lt;=EDATE(TODAY(),12)),COUNTIFS($G$2:$G$1001,"&gt;="&amp;TODAY(),$G$2:$G$1001,"&lt;"&amp;$G829,$A$2:$A$1001,"&lt;&gt;")+COUNTIFS($G$2:$G829,$G829,$A$2:$A829,"&lt;&gt;"),"")</f>
        <v/>
      </c>
      <c r="X829">
        <f>IF(AND($A829&lt;&gt;"",ISNUMBER($C829),$C829&gt;=DATE(2003,1,1)),COUNTIFS($C$2:$C829,"&gt;="&amp;DATE(2003,1,1),$A$2:$A829,"&lt;&gt;"),"")</f>
        <v>75</v>
      </c>
    </row>
    <row r="830" spans="1:24">
      <c r="A830" t="str">
        <f>IF(Forvetler!A32="","",Forvetler!A32)</f>
        <v>MEISSA DIOP</v>
      </c>
      <c r="B830" t="str">
        <f>IF(Forvetler!B32="","",Forvetler!B32)</f>
        <v/>
      </c>
      <c r="C830" s="2" t="str">
        <f>IF(Forvetler!C32="","",Forvetler!C32)</f>
        <v/>
      </c>
      <c r="D830" t="str">
        <f ca="1">IF(Forvetler!D32="","",Forvetler!D32)</f>
        <v/>
      </c>
      <c r="E830" t="str">
        <f>IF(Forvetler!E32="","",Forvetler!E32)</f>
        <v>Forvet</v>
      </c>
      <c r="F830" t="str">
        <f>IF(Forvetler!G32="","",Forvetler!G32)</f>
        <v/>
      </c>
      <c r="G830" s="2" t="str">
        <f>IF(Forvetler!H32="","",Forvetler!H32)</f>
        <v>-</v>
      </c>
      <c r="H830" t="str">
        <f>IF(Forvetler!I32="","",Forvetler!I32)</f>
        <v/>
      </c>
      <c r="I830">
        <f>IF(Forvetler!A32="","",Forvetler!J32)</f>
        <v>0</v>
      </c>
      <c r="J830" t="str">
        <f>IF(Forvetler!A32="","",Forvetler!K32)</f>
        <v>https://www.transfermarkt.com/meissa-diop/profil/spieler/880102</v>
      </c>
      <c r="K830" t="str">
        <f>IF(Forvetler!L32="","",Forvetler!L32)</f>
        <v/>
      </c>
      <c r="L830" t="str">
        <f>IF(Forvetler!M32="","",Forvetler!M32)</f>
        <v/>
      </c>
      <c r="M830" t="str">
        <f>IF(Forvetler!N32="","",Forvetler!N32)</f>
        <v/>
      </c>
      <c r="N830" t="str">
        <f>IF(Forvetler!O32="","",Forvetler!O32)</f>
        <v/>
      </c>
      <c r="O830" t="str">
        <f>IF(Forvetler!P32="","",Forvetler!P32)</f>
        <v/>
      </c>
      <c r="P830" t="str">
        <f>IF(Forvetler!Q32="","",Forvetler!Q32)</f>
        <v/>
      </c>
      <c r="Q830" t="str">
        <f>IF(Forvetler!R32="","",Forvetler!R32)</f>
        <v/>
      </c>
      <c r="R830" t="str">
        <f>IF(Forvetler!S32="","",Forvetler!S32)</f>
        <v/>
      </c>
      <c r="S830" t="str">
        <f>IF(Forvetler!T32="","",Forvetler!T32)</f>
        <v/>
      </c>
      <c r="T830" s="2" t="str">
        <f>IF(Forvetler!U32="","",Forvetler!U32)</f>
        <v/>
      </c>
      <c r="U830" t="s">
        <v>934</v>
      </c>
      <c r="V830">
        <v>32</v>
      </c>
      <c r="W830" t="str">
        <f ca="1">IF(AND($A830&lt;&gt;"",ISNUMBER($G830),$G830&gt;=TODAY(),$G830&lt;=EDATE(TODAY(),12)),COUNTIFS($G$2:$G$1001,"&gt;="&amp;TODAY(),$G$2:$G$1001,"&lt;"&amp;$G830,$A$2:$A$1001,"&lt;&gt;")+COUNTIFS($G$2:$G830,$G830,$A$2:$A830,"&lt;&gt;"),"")</f>
        <v/>
      </c>
      <c r="X830" t="str">
        <f>IF(AND($A830&lt;&gt;"",ISNUMBER($C830),$C830&gt;=DATE(2003,1,1)),COUNTIFS($C$2:$C830,"&gt;="&amp;DATE(2003,1,1),$A$2:$A830,"&lt;&gt;"),"")</f>
        <v/>
      </c>
    </row>
    <row r="831" spans="1:24">
      <c r="A831" t="str">
        <f>IF(Forvetler!A33="","",Forvetler!A33)</f>
        <v>ABUBAKAR ABDULLAHI</v>
      </c>
      <c r="B831" t="str">
        <f>IF(Forvetler!B33="","",Forvetler!B33)</f>
        <v/>
      </c>
      <c r="C831" s="2" t="str">
        <f>IF(Forvetler!C33="","",Forvetler!C33)</f>
        <v/>
      </c>
      <c r="D831" t="str">
        <f ca="1">IF(Forvetler!D33="","",Forvetler!D33)</f>
        <v/>
      </c>
      <c r="E831" t="str">
        <f>IF(Forvetler!E33="","",Forvetler!E33)</f>
        <v>Forvet</v>
      </c>
      <c r="F831" t="str">
        <f>IF(Forvetler!G33="","",Forvetler!G33)</f>
        <v/>
      </c>
      <c r="G831" s="2" t="str">
        <f>IF(Forvetler!H33="","",Forvetler!H33)</f>
        <v>-</v>
      </c>
      <c r="H831" t="str">
        <f>IF(Forvetler!I33="","",Forvetler!I33)</f>
        <v/>
      </c>
      <c r="I831">
        <f>IF(Forvetler!A33="","",Forvetler!J33)</f>
        <v>0</v>
      </c>
      <c r="J831" t="str">
        <f>IF(Forvetler!A33="","",Forvetler!K33)</f>
        <v>https://www.transfermarkt.us/abubakar-abdullahi/profil/spieler/1133955</v>
      </c>
      <c r="K831" t="str">
        <f>IF(Forvetler!L33="","",Forvetler!L33)</f>
        <v/>
      </c>
      <c r="L831" t="str">
        <f>IF(Forvetler!M33="","",Forvetler!M33)</f>
        <v/>
      </c>
      <c r="M831" t="str">
        <f>IF(Forvetler!N33="","",Forvetler!N33)</f>
        <v/>
      </c>
      <c r="N831" t="str">
        <f>IF(Forvetler!O33="","",Forvetler!O33)</f>
        <v/>
      </c>
      <c r="O831" t="str">
        <f>IF(Forvetler!P33="","",Forvetler!P33)</f>
        <v/>
      </c>
      <c r="P831" t="str">
        <f>IF(Forvetler!Q33="","",Forvetler!Q33)</f>
        <v/>
      </c>
      <c r="Q831" t="str">
        <f>IF(Forvetler!R33="","",Forvetler!R33)</f>
        <v/>
      </c>
      <c r="R831" t="str">
        <f>IF(Forvetler!S33="","",Forvetler!S33)</f>
        <v/>
      </c>
      <c r="S831" t="str">
        <f>IF(Forvetler!T33="","",Forvetler!T33)</f>
        <v/>
      </c>
      <c r="T831" s="2" t="str">
        <f>IF(Forvetler!U33="","",Forvetler!U33)</f>
        <v/>
      </c>
      <c r="U831" t="s">
        <v>934</v>
      </c>
      <c r="V831">
        <v>33</v>
      </c>
      <c r="W831" t="str">
        <f ca="1">IF(AND($A831&lt;&gt;"",ISNUMBER($G831),$G831&gt;=TODAY(),$G831&lt;=EDATE(TODAY(),12)),COUNTIFS($G$2:$G$1001,"&gt;="&amp;TODAY(),$G$2:$G$1001,"&lt;"&amp;$G831,$A$2:$A$1001,"&lt;&gt;")+COUNTIFS($G$2:$G831,$G831,$A$2:$A831,"&lt;&gt;"),"")</f>
        <v/>
      </c>
      <c r="X831" t="str">
        <f>IF(AND($A831&lt;&gt;"",ISNUMBER($C831),$C831&gt;=DATE(2003,1,1)),COUNTIFS($C$2:$C831,"&gt;="&amp;DATE(2003,1,1),$A$2:$A831,"&lt;&gt;"),"")</f>
        <v/>
      </c>
    </row>
    <row r="832" spans="1:24">
      <c r="A832" t="str">
        <f>IF(Forvetler!A34="","",Forvetler!A34)</f>
        <v>HALIL OZDEMIR</v>
      </c>
      <c r="B832" t="str">
        <f>IF(Forvetler!B34="","",Forvetler!B34)</f>
        <v/>
      </c>
      <c r="C832" s="2" t="str">
        <f>IF(Forvetler!C34="","",Forvetler!C34)</f>
        <v/>
      </c>
      <c r="D832" t="str">
        <f ca="1">IF(Forvetler!D34="","",Forvetler!D34)</f>
        <v/>
      </c>
      <c r="E832" t="str">
        <f>IF(Forvetler!E34="","",Forvetler!E34)</f>
        <v>Forvet</v>
      </c>
      <c r="F832" t="str">
        <f>IF(Forvetler!G34="","",Forvetler!G34)</f>
        <v/>
      </c>
      <c r="G832" s="2" t="str">
        <f>IF(Forvetler!H34="","",Forvetler!H34)</f>
        <v>-</v>
      </c>
      <c r="H832" t="str">
        <f>IF(Forvetler!I34="","",Forvetler!I34)</f>
        <v/>
      </c>
      <c r="I832">
        <f>IF(Forvetler!A34="","",Forvetler!J34)</f>
        <v>0</v>
      </c>
      <c r="J832" t="str">
        <f>IF(Forvetler!A34="","",Forvetler!K34)</f>
        <v>https://www.transfermarkt.com.tr/halil-ozdemir/profil/spieler/988711</v>
      </c>
      <c r="K832" t="str">
        <f>IF(Forvetler!L34="","",Forvetler!L34)</f>
        <v/>
      </c>
      <c r="L832" t="str">
        <f>IF(Forvetler!M34="","",Forvetler!M34)</f>
        <v/>
      </c>
      <c r="M832" t="str">
        <f>IF(Forvetler!N34="","",Forvetler!N34)</f>
        <v/>
      </c>
      <c r="N832" t="str">
        <f>IF(Forvetler!O34="","",Forvetler!O34)</f>
        <v/>
      </c>
      <c r="O832" t="str">
        <f>IF(Forvetler!P34="","",Forvetler!P34)</f>
        <v/>
      </c>
      <c r="P832" t="str">
        <f>IF(Forvetler!Q34="","",Forvetler!Q34)</f>
        <v/>
      </c>
      <c r="Q832" t="str">
        <f>IF(Forvetler!R34="","",Forvetler!R34)</f>
        <v/>
      </c>
      <c r="R832" t="str">
        <f>IF(Forvetler!S34="","",Forvetler!S34)</f>
        <v/>
      </c>
      <c r="S832" t="str">
        <f>IF(Forvetler!T34="","",Forvetler!T34)</f>
        <v/>
      </c>
      <c r="T832" s="2" t="str">
        <f>IF(Forvetler!U34="","",Forvetler!U34)</f>
        <v/>
      </c>
      <c r="U832" t="s">
        <v>934</v>
      </c>
      <c r="V832">
        <v>34</v>
      </c>
      <c r="W832" t="str">
        <f ca="1">IF(AND($A832&lt;&gt;"",ISNUMBER($G832),$G832&gt;=TODAY(),$G832&lt;=EDATE(TODAY(),12)),COUNTIFS($G$2:$G$1001,"&gt;="&amp;TODAY(),$G$2:$G$1001,"&lt;"&amp;$G832,$A$2:$A$1001,"&lt;&gt;")+COUNTIFS($G$2:$G832,$G832,$A$2:$A832,"&lt;&gt;"),"")</f>
        <v/>
      </c>
      <c r="X832" t="str">
        <f>IF(AND($A832&lt;&gt;"",ISNUMBER($C832),$C832&gt;=DATE(2003,1,1)),COUNTIFS($C$2:$C832,"&gt;="&amp;DATE(2003,1,1),$A$2:$A832,"&lt;&gt;"),"")</f>
        <v/>
      </c>
    </row>
    <row r="833" spans="1:24">
      <c r="A833" t="str">
        <f>IF(Forvetler!A35="","",Forvetler!A35)</f>
        <v>JEREMY AREVALO</v>
      </c>
      <c r="B833" t="str">
        <f>IF(Forvetler!B35="","",Forvetler!B35)</f>
        <v>EKVADOR / İSPANYA</v>
      </c>
      <c r="C833" s="2">
        <f>IF(Forvetler!C35="","",Forvetler!C35)</f>
        <v>38430</v>
      </c>
      <c r="D833">
        <f ca="1">IF(Forvetler!D35="","",Forvetler!D35)</f>
        <v>21</v>
      </c>
      <c r="E833" t="str">
        <f>IF(Forvetler!E35="","",Forvetler!E35)</f>
        <v>Forvet</v>
      </c>
      <c r="F833" t="str">
        <f>IF(Forvetler!G35="","",Forvetler!G35)</f>
        <v>VFB STUTTGART</v>
      </c>
      <c r="G833" s="2">
        <f>IF(Forvetler!H35="","",Forvetler!H35)</f>
        <v>48029</v>
      </c>
      <c r="H833" t="str">
        <f>IF(Forvetler!I35="","",Forvetler!I35)</f>
        <v/>
      </c>
      <c r="I833">
        <f>IF(Forvetler!A35="","",Forvetler!J35)</f>
        <v>0</v>
      </c>
      <c r="J833" t="str">
        <f>IF(Forvetler!A35="","",Forvetler!K35)</f>
        <v>https://www.transfermarkt.com.tr/jeremy-arevalo/profil/spieler/971663</v>
      </c>
      <c r="K833" t="str">
        <f>IF(Forvetler!L35="","",Forvetler!L35)</f>
        <v/>
      </c>
      <c r="L833" t="str">
        <f>IF(Forvetler!M35="","",Forvetler!M35)</f>
        <v/>
      </c>
      <c r="M833" t="str">
        <f>IF(Forvetler!N35="","",Forvetler!N35)</f>
        <v/>
      </c>
      <c r="N833" t="str">
        <f>IF(Forvetler!O35="","",Forvetler!O35)</f>
        <v/>
      </c>
      <c r="O833" t="str">
        <f>IF(Forvetler!P35="","",Forvetler!P35)</f>
        <v/>
      </c>
      <c r="P833" t="str">
        <f>IF(Forvetler!Q35="","",Forvetler!Q35)</f>
        <v/>
      </c>
      <c r="Q833" t="str">
        <f>IF(Forvetler!R35="","",Forvetler!R35)</f>
        <v/>
      </c>
      <c r="R833" t="str">
        <f>IF(Forvetler!S35="","",Forvetler!S35)</f>
        <v/>
      </c>
      <c r="S833" t="str">
        <f>IF(Forvetler!T35="","",Forvetler!T35)</f>
        <v/>
      </c>
      <c r="T833" s="2" t="str">
        <f>IF(Forvetler!U35="","",Forvetler!U35)</f>
        <v/>
      </c>
      <c r="U833" t="s">
        <v>934</v>
      </c>
      <c r="V833">
        <v>35</v>
      </c>
      <c r="W833" t="str">
        <f ca="1">IF(AND($A833&lt;&gt;"",ISNUMBER($G833),$G833&gt;=TODAY(),$G833&lt;=EDATE(TODAY(),12)),COUNTIFS($G$2:$G$1001,"&gt;="&amp;TODAY(),$G$2:$G$1001,"&lt;"&amp;$G833,$A$2:$A$1001,"&lt;&gt;")+COUNTIFS($G$2:$G833,$G833,$A$2:$A833,"&lt;&gt;"),"")</f>
        <v/>
      </c>
      <c r="X833">
        <f>IF(AND($A833&lt;&gt;"",ISNUMBER($C833),$C833&gt;=DATE(2003,1,1)),COUNTIFS($C$2:$C833,"&gt;="&amp;DATE(2003,1,1),$A$2:$A833,"&lt;&gt;"),"")</f>
        <v>76</v>
      </c>
    </row>
    <row r="834" spans="1:24">
      <c r="A834" t="str">
        <f>IF(Forvetler!A36="","",Forvetler!A36)</f>
        <v>TAWFIK BENTAYEB</v>
      </c>
      <c r="B834" t="str">
        <f>IF(Forvetler!B36="","",Forvetler!B36)</f>
        <v/>
      </c>
      <c r="C834" s="2" t="str">
        <f>IF(Forvetler!C36="","",Forvetler!C36)</f>
        <v/>
      </c>
      <c r="D834" t="str">
        <f ca="1">IF(Forvetler!D36="","",Forvetler!D36)</f>
        <v/>
      </c>
      <c r="E834" t="str">
        <f>IF(Forvetler!E36="","",Forvetler!E36)</f>
        <v>Forvet</v>
      </c>
      <c r="F834" t="str">
        <f>IF(Forvetler!G36="","",Forvetler!G36)</f>
        <v/>
      </c>
      <c r="G834" s="2" t="str">
        <f>IF(Forvetler!H36="","",Forvetler!H36)</f>
        <v>-</v>
      </c>
      <c r="H834" t="str">
        <f>IF(Forvetler!I36="","",Forvetler!I36)</f>
        <v/>
      </c>
      <c r="I834">
        <f>IF(Forvetler!A36="","",Forvetler!J36)</f>
        <v>0</v>
      </c>
      <c r="J834" t="str">
        <f>IF(Forvetler!A36="","",Forvetler!K36)</f>
        <v>https://www.transfermarkt.com.tr/tawfik-bentayeb/profil/spieler/667995</v>
      </c>
      <c r="K834" t="str">
        <f>IF(Forvetler!L36="","",Forvetler!L36)</f>
        <v/>
      </c>
      <c r="L834" t="str">
        <f>IF(Forvetler!M36="","",Forvetler!M36)</f>
        <v/>
      </c>
      <c r="M834" t="str">
        <f>IF(Forvetler!N36="","",Forvetler!N36)</f>
        <v/>
      </c>
      <c r="N834" t="str">
        <f>IF(Forvetler!O36="","",Forvetler!O36)</f>
        <v/>
      </c>
      <c r="O834" t="str">
        <f>IF(Forvetler!P36="","",Forvetler!P36)</f>
        <v/>
      </c>
      <c r="P834" t="str">
        <f>IF(Forvetler!Q36="","",Forvetler!Q36)</f>
        <v/>
      </c>
      <c r="Q834" t="str">
        <f>IF(Forvetler!R36="","",Forvetler!R36)</f>
        <v/>
      </c>
      <c r="R834" t="str">
        <f>IF(Forvetler!S36="","",Forvetler!S36)</f>
        <v/>
      </c>
      <c r="S834" t="str">
        <f>IF(Forvetler!T36="","",Forvetler!T36)</f>
        <v/>
      </c>
      <c r="T834" s="2" t="str">
        <f>IF(Forvetler!U36="","",Forvetler!U36)</f>
        <v/>
      </c>
      <c r="U834" t="s">
        <v>934</v>
      </c>
      <c r="V834">
        <v>36</v>
      </c>
      <c r="W834" t="str">
        <f ca="1">IF(AND($A834&lt;&gt;"",ISNUMBER($G834),$G834&gt;=TODAY(),$G834&lt;=EDATE(TODAY(),12)),COUNTIFS($G$2:$G$1001,"&gt;="&amp;TODAY(),$G$2:$G$1001,"&lt;"&amp;$G834,$A$2:$A$1001,"&lt;&gt;")+COUNTIFS($G$2:$G834,$G834,$A$2:$A834,"&lt;&gt;"),"")</f>
        <v/>
      </c>
      <c r="X834" t="str">
        <f>IF(AND($A834&lt;&gt;"",ISNUMBER($C834),$C834&gt;=DATE(2003,1,1)),COUNTIFS($C$2:$C834,"&gt;="&amp;DATE(2003,1,1),$A$2:$A834,"&lt;&gt;"),"")</f>
        <v/>
      </c>
    </row>
    <row r="835" spans="1:24">
      <c r="A835" t="str">
        <f>IF(Forvetler!A37="","",Forvetler!A37)</f>
        <v>ZSOMBOR GRUBER</v>
      </c>
      <c r="B835" t="str">
        <f>IF(Forvetler!B37="","",Forvetler!B37)</f>
        <v>MACARİSTAN</v>
      </c>
      <c r="C835" s="2">
        <f>IF(Forvetler!C37="","",Forvetler!C37)</f>
        <v>38237</v>
      </c>
      <c r="D835">
        <f ca="1">IF(Forvetler!D37="","",Forvetler!D37)</f>
        <v>22</v>
      </c>
      <c r="E835" t="str">
        <f>IF(Forvetler!E37="","",Forvetler!E37)</f>
        <v>Forvet</v>
      </c>
      <c r="F835" t="str">
        <f>IF(Forvetler!G37="","",Forvetler!G37)</f>
        <v>FERENCVÁROS</v>
      </c>
      <c r="G835" s="2">
        <f>IF(Forvetler!H37="","",Forvetler!H37)</f>
        <v>46934</v>
      </c>
      <c r="H835" t="str">
        <f>IF(Forvetler!I37="","",Forvetler!I37)</f>
        <v/>
      </c>
      <c r="I835">
        <f>IF(Forvetler!A37="","",Forvetler!J37)</f>
        <v>0</v>
      </c>
      <c r="J835" t="str">
        <f>IF(Forvetler!A37="","",Forvetler!K37)</f>
        <v>https://www.transfermarkt.com/zsombor-gruber/profil/spieler/648895</v>
      </c>
      <c r="K835" t="str">
        <f>IF(Forvetler!L37="","",Forvetler!L37)</f>
        <v/>
      </c>
      <c r="L835" t="str">
        <f>IF(Forvetler!M37="","",Forvetler!M37)</f>
        <v/>
      </c>
      <c r="M835" t="str">
        <f>IF(Forvetler!N37="","",Forvetler!N37)</f>
        <v/>
      </c>
      <c r="N835" t="str">
        <f>IF(Forvetler!O37="","",Forvetler!O37)</f>
        <v/>
      </c>
      <c r="O835" t="str">
        <f>IF(Forvetler!P37="","",Forvetler!P37)</f>
        <v/>
      </c>
      <c r="P835" t="str">
        <f>IF(Forvetler!Q37="","",Forvetler!Q37)</f>
        <v/>
      </c>
      <c r="Q835" t="str">
        <f>IF(Forvetler!R37="","",Forvetler!R37)</f>
        <v/>
      </c>
      <c r="R835" t="str">
        <f>IF(Forvetler!S37="","",Forvetler!S37)</f>
        <v/>
      </c>
      <c r="S835" t="str">
        <f>IF(Forvetler!T37="","",Forvetler!T37)</f>
        <v/>
      </c>
      <c r="T835" s="2" t="str">
        <f>IF(Forvetler!U37="","",Forvetler!U37)</f>
        <v/>
      </c>
      <c r="U835" t="s">
        <v>934</v>
      </c>
      <c r="V835">
        <v>37</v>
      </c>
      <c r="W835" t="str">
        <f ca="1">IF(AND($A835&lt;&gt;"",ISNUMBER($G835),$G835&gt;=TODAY(),$G835&lt;=EDATE(TODAY(),12)),COUNTIFS($G$2:$G$1001,"&gt;="&amp;TODAY(),$G$2:$G$1001,"&lt;"&amp;$G835,$A$2:$A$1001,"&lt;&gt;")+COUNTIFS($G$2:$G835,$G835,$A$2:$A835,"&lt;&gt;"),"")</f>
        <v/>
      </c>
      <c r="X835">
        <f>IF(AND($A835&lt;&gt;"",ISNUMBER($C835),$C835&gt;=DATE(2003,1,1)),COUNTIFS($C$2:$C835,"&gt;="&amp;DATE(2003,1,1),$A$2:$A835,"&lt;&gt;"),"")</f>
        <v>77</v>
      </c>
    </row>
    <row r="836" spans="1:24">
      <c r="A836" t="str">
        <f>IF(Forvetler!A38="","",Forvetler!A38)</f>
        <v>MUHAMET HAJDARI</v>
      </c>
      <c r="B836" t="str">
        <f>IF(Forvetler!B38="","",Forvetler!B38)</f>
        <v/>
      </c>
      <c r="C836" s="2" t="str">
        <f>IF(Forvetler!C38="","",Forvetler!C38)</f>
        <v/>
      </c>
      <c r="D836" t="str">
        <f ca="1">IF(Forvetler!D38="","",Forvetler!D38)</f>
        <v/>
      </c>
      <c r="E836" t="str">
        <f>IF(Forvetler!E38="","",Forvetler!E38)</f>
        <v>Forvet</v>
      </c>
      <c r="F836" t="str">
        <f>IF(Forvetler!G38="","",Forvetler!G38)</f>
        <v/>
      </c>
      <c r="G836" s="2" t="str">
        <f>IF(Forvetler!H38="","",Forvetler!H38)</f>
        <v>-</v>
      </c>
      <c r="H836" t="str">
        <f>IF(Forvetler!I38="","",Forvetler!I38)</f>
        <v/>
      </c>
      <c r="I836">
        <f>IF(Forvetler!A38="","",Forvetler!J38)</f>
        <v>0</v>
      </c>
      <c r="J836" t="str">
        <f>IF(Forvetler!A38="","",Forvetler!K38)</f>
        <v>https://www.transfermarkt.at/muhamet-hajdari/profil/spieler/1055036</v>
      </c>
      <c r="K836" t="str">
        <f>IF(Forvetler!L38="","",Forvetler!L38)</f>
        <v/>
      </c>
      <c r="L836" t="str">
        <f>IF(Forvetler!M38="","",Forvetler!M38)</f>
        <v/>
      </c>
      <c r="M836" t="str">
        <f>IF(Forvetler!N38="","",Forvetler!N38)</f>
        <v/>
      </c>
      <c r="N836" t="str">
        <f>IF(Forvetler!O38="","",Forvetler!O38)</f>
        <v/>
      </c>
      <c r="O836" t="str">
        <f>IF(Forvetler!P38="","",Forvetler!P38)</f>
        <v/>
      </c>
      <c r="P836" t="str">
        <f>IF(Forvetler!Q38="","",Forvetler!Q38)</f>
        <v/>
      </c>
      <c r="Q836" t="str">
        <f>IF(Forvetler!R38="","",Forvetler!R38)</f>
        <v/>
      </c>
      <c r="R836" t="str">
        <f>IF(Forvetler!S38="","",Forvetler!S38)</f>
        <v/>
      </c>
      <c r="S836" t="str">
        <f>IF(Forvetler!T38="","",Forvetler!T38)</f>
        <v/>
      </c>
      <c r="T836" s="2" t="str">
        <f>IF(Forvetler!U38="","",Forvetler!U38)</f>
        <v/>
      </c>
      <c r="U836" t="s">
        <v>934</v>
      </c>
      <c r="V836">
        <v>38</v>
      </c>
      <c r="W836" t="str">
        <f ca="1">IF(AND($A836&lt;&gt;"",ISNUMBER($G836),$G836&gt;=TODAY(),$G836&lt;=EDATE(TODAY(),12)),COUNTIFS($G$2:$G$1001,"&gt;="&amp;TODAY(),$G$2:$G$1001,"&lt;"&amp;$G836,$A$2:$A$1001,"&lt;&gt;")+COUNTIFS($G$2:$G836,$G836,$A$2:$A836,"&lt;&gt;"),"")</f>
        <v/>
      </c>
      <c r="X836" t="str">
        <f>IF(AND($A836&lt;&gt;"",ISNUMBER($C836),$C836&gt;=DATE(2003,1,1)),COUNTIFS($C$2:$C836,"&gt;="&amp;DATE(2003,1,1),$A$2:$A836,"&lt;&gt;"),"")</f>
        <v/>
      </c>
    </row>
    <row r="837" spans="1:24">
      <c r="A837" t="str">
        <f>IF(Forvetler!A39="","",Forvetler!A39)</f>
        <v>MOHAMED EL AMINE RAMDAOUI</v>
      </c>
      <c r="B837" t="str">
        <f>IF(Forvetler!B39="","",Forvetler!B39)</f>
        <v/>
      </c>
      <c r="C837" s="2" t="str">
        <f>IF(Forvetler!C39="","",Forvetler!C39)</f>
        <v/>
      </c>
      <c r="D837" t="str">
        <f ca="1">IF(Forvetler!D39="","",Forvetler!D39)</f>
        <v/>
      </c>
      <c r="E837" t="str">
        <f>IF(Forvetler!E39="","",Forvetler!E39)</f>
        <v>Forvet</v>
      </c>
      <c r="F837" t="str">
        <f>IF(Forvetler!G39="","",Forvetler!G39)</f>
        <v/>
      </c>
      <c r="G837" s="2" t="str">
        <f>IF(Forvetler!H39="","",Forvetler!H39)</f>
        <v>-</v>
      </c>
      <c r="H837" t="str">
        <f>IF(Forvetler!I39="","",Forvetler!I39)</f>
        <v/>
      </c>
      <c r="I837">
        <f>IF(Forvetler!A39="","",Forvetler!J39)</f>
        <v>0</v>
      </c>
      <c r="J837" t="str">
        <f>IF(Forvetler!A39="","",Forvetler!K39)</f>
        <v>https://www.transfermarkt.com.tr/mohamed-el-amine-ramdaoui/profil/spieler/1133118</v>
      </c>
      <c r="K837" t="str">
        <f>IF(Forvetler!L39="","",Forvetler!L39)</f>
        <v/>
      </c>
      <c r="L837" t="str">
        <f>IF(Forvetler!M39="","",Forvetler!M39)</f>
        <v/>
      </c>
      <c r="M837" t="str">
        <f>IF(Forvetler!N39="","",Forvetler!N39)</f>
        <v/>
      </c>
      <c r="N837" t="str">
        <f>IF(Forvetler!O39="","",Forvetler!O39)</f>
        <v/>
      </c>
      <c r="O837" t="str">
        <f>IF(Forvetler!P39="","",Forvetler!P39)</f>
        <v/>
      </c>
      <c r="P837" t="str">
        <f>IF(Forvetler!Q39="","",Forvetler!Q39)</f>
        <v/>
      </c>
      <c r="Q837" t="str">
        <f>IF(Forvetler!R39="","",Forvetler!R39)</f>
        <v/>
      </c>
      <c r="R837" t="str">
        <f>IF(Forvetler!S39="","",Forvetler!S39)</f>
        <v/>
      </c>
      <c r="S837" t="str">
        <f>IF(Forvetler!T39="","",Forvetler!T39)</f>
        <v/>
      </c>
      <c r="T837" s="2" t="str">
        <f>IF(Forvetler!U39="","",Forvetler!U39)</f>
        <v/>
      </c>
      <c r="U837" t="s">
        <v>934</v>
      </c>
      <c r="V837">
        <v>39</v>
      </c>
      <c r="W837" t="str">
        <f ca="1">IF(AND($A837&lt;&gt;"",ISNUMBER($G837),$G837&gt;=TODAY(),$G837&lt;=EDATE(TODAY(),12)),COUNTIFS($G$2:$G$1001,"&gt;="&amp;TODAY(),$G$2:$G$1001,"&lt;"&amp;$G837,$A$2:$A$1001,"&lt;&gt;")+COUNTIFS($G$2:$G837,$G837,$A$2:$A837,"&lt;&gt;"),"")</f>
        <v/>
      </c>
      <c r="X837" t="str">
        <f>IF(AND($A837&lt;&gt;"",ISNUMBER($C837),$C837&gt;=DATE(2003,1,1)),COUNTIFS($C$2:$C837,"&gt;="&amp;DATE(2003,1,1),$A$2:$A837,"&lt;&gt;"),"")</f>
        <v/>
      </c>
    </row>
    <row r="838" spans="1:24">
      <c r="A838" t="str">
        <f>IF(Forvetler!A40="","",Forvetler!A40)</f>
        <v>ROBIN MIRISOLA</v>
      </c>
      <c r="B838" t="str">
        <f>IF(Forvetler!B40="","",Forvetler!B40)</f>
        <v>ALMANYA</v>
      </c>
      <c r="C838" s="2" t="str">
        <f>IF(Forvetler!C40="","",Forvetler!C40)</f>
        <v/>
      </c>
      <c r="D838" t="str">
        <f ca="1">IF(Forvetler!D40="","",Forvetler!D40)</f>
        <v/>
      </c>
      <c r="E838" t="str">
        <f>IF(Forvetler!E40="","",Forvetler!E40)</f>
        <v>Forvet</v>
      </c>
      <c r="F838" t="str">
        <f>IF(Forvetler!G40="","",Forvetler!G40)</f>
        <v/>
      </c>
      <c r="G838" s="2" t="str">
        <f>IF(Forvetler!H40="","",Forvetler!H40)</f>
        <v>-</v>
      </c>
      <c r="H838" t="str">
        <f>IF(Forvetler!I40="","",Forvetler!I40)</f>
        <v/>
      </c>
      <c r="I838">
        <f>IF(Forvetler!A40="","",Forvetler!J40)</f>
        <v>0</v>
      </c>
      <c r="J838" t="str">
        <f>IF(Forvetler!A40="","",Forvetler!K40)</f>
        <v>https://www.transfermarkt.de/robin-mirisola/profil/spieler/952439</v>
      </c>
      <c r="K838" t="str">
        <f>IF(Forvetler!L40="","",Forvetler!L40)</f>
        <v/>
      </c>
      <c r="L838" t="str">
        <f>IF(Forvetler!M40="","",Forvetler!M40)</f>
        <v/>
      </c>
      <c r="M838" t="str">
        <f>IF(Forvetler!N40="","",Forvetler!N40)</f>
        <v/>
      </c>
      <c r="N838" t="str">
        <f>IF(Forvetler!O40="","",Forvetler!O40)</f>
        <v/>
      </c>
      <c r="O838" t="str">
        <f>IF(Forvetler!P40="","",Forvetler!P40)</f>
        <v/>
      </c>
      <c r="P838" t="str">
        <f>IF(Forvetler!Q40="","",Forvetler!Q40)</f>
        <v/>
      </c>
      <c r="Q838" t="str">
        <f>IF(Forvetler!R40="","",Forvetler!R40)</f>
        <v/>
      </c>
      <c r="R838" t="str">
        <f>IF(Forvetler!S40="","",Forvetler!S40)</f>
        <v/>
      </c>
      <c r="S838" t="str">
        <f>IF(Forvetler!T40="","",Forvetler!T40)</f>
        <v/>
      </c>
      <c r="T838" s="2" t="str">
        <f>IF(Forvetler!U40="","",Forvetler!U40)</f>
        <v/>
      </c>
      <c r="U838" t="s">
        <v>934</v>
      </c>
      <c r="V838">
        <v>40</v>
      </c>
      <c r="W838" t="str">
        <f ca="1">IF(AND($A838&lt;&gt;"",ISNUMBER($G838),$G838&gt;=TODAY(),$G838&lt;=EDATE(TODAY(),12)),COUNTIFS($G$2:$G$1001,"&gt;="&amp;TODAY(),$G$2:$G$1001,"&lt;"&amp;$G838,$A$2:$A$1001,"&lt;&gt;")+COUNTIFS($G$2:$G838,$G838,$A$2:$A838,"&lt;&gt;"),"")</f>
        <v/>
      </c>
      <c r="X838" t="str">
        <f>IF(AND($A838&lt;&gt;"",ISNUMBER($C838),$C838&gt;=DATE(2003,1,1)),COUNTIFS($C$2:$C838,"&gt;="&amp;DATE(2003,1,1),$A$2:$A838,"&lt;&gt;"),"")</f>
        <v/>
      </c>
    </row>
    <row r="839" spans="1:24">
      <c r="A839" t="str">
        <f>IF(Forvetler!A41="","",Forvetler!A41)</f>
        <v>WALLACE YAN</v>
      </c>
      <c r="B839" t="str">
        <f>IF(Forvetler!B41="","",Forvetler!B41)</f>
        <v>BREZİLYA</v>
      </c>
      <c r="C839" s="2" t="str">
        <f>IF(Forvetler!C41="","",Forvetler!C41)</f>
        <v/>
      </c>
      <c r="D839" t="str">
        <f ca="1">IF(Forvetler!D41="","",Forvetler!D41)</f>
        <v/>
      </c>
      <c r="E839" t="str">
        <f>IF(Forvetler!E41="","",Forvetler!E41)</f>
        <v>Forvet</v>
      </c>
      <c r="F839" t="str">
        <f>IF(Forvetler!G41="","",Forvetler!G41)</f>
        <v/>
      </c>
      <c r="G839" s="2" t="str">
        <f>IF(Forvetler!H41="","",Forvetler!H41)</f>
        <v>-</v>
      </c>
      <c r="H839" t="str">
        <f>IF(Forvetler!I41="","",Forvetler!I41)</f>
        <v/>
      </c>
      <c r="I839">
        <f>IF(Forvetler!A41="","",Forvetler!J41)</f>
        <v>0</v>
      </c>
      <c r="J839" t="str">
        <f>IF(Forvetler!A41="","",Forvetler!K41)</f>
        <v>https://www.transfermarkt.com.br/wallace-yan/profil/spieler/1082602</v>
      </c>
      <c r="K839" t="str">
        <f>IF(Forvetler!L41="","",Forvetler!L41)</f>
        <v/>
      </c>
      <c r="L839" t="str">
        <f>IF(Forvetler!M41="","",Forvetler!M41)</f>
        <v/>
      </c>
      <c r="M839" t="str">
        <f>IF(Forvetler!N41="","",Forvetler!N41)</f>
        <v/>
      </c>
      <c r="N839" t="str">
        <f>IF(Forvetler!O41="","",Forvetler!O41)</f>
        <v/>
      </c>
      <c r="O839" t="str">
        <f>IF(Forvetler!P41="","",Forvetler!P41)</f>
        <v/>
      </c>
      <c r="P839" t="str">
        <f>IF(Forvetler!Q41="","",Forvetler!Q41)</f>
        <v/>
      </c>
      <c r="Q839" t="str">
        <f>IF(Forvetler!R41="","",Forvetler!R41)</f>
        <v/>
      </c>
      <c r="R839" t="str">
        <f>IF(Forvetler!S41="","",Forvetler!S41)</f>
        <v/>
      </c>
      <c r="S839" t="str">
        <f>IF(Forvetler!T41="","",Forvetler!T41)</f>
        <v/>
      </c>
      <c r="T839" s="2" t="str">
        <f>IF(Forvetler!U41="","",Forvetler!U41)</f>
        <v/>
      </c>
      <c r="U839" t="s">
        <v>934</v>
      </c>
      <c r="V839">
        <v>41</v>
      </c>
      <c r="W839" t="str">
        <f ca="1">IF(AND($A839&lt;&gt;"",ISNUMBER($G839),$G839&gt;=TODAY(),$G839&lt;=EDATE(TODAY(),12)),COUNTIFS($G$2:$G$1001,"&gt;="&amp;TODAY(),$G$2:$G$1001,"&lt;"&amp;$G839,$A$2:$A$1001,"&lt;&gt;")+COUNTIFS($G$2:$G839,$G839,$A$2:$A839,"&lt;&gt;"),"")</f>
        <v/>
      </c>
      <c r="X839" t="str">
        <f>IF(AND($A839&lt;&gt;"",ISNUMBER($C839),$C839&gt;=DATE(2003,1,1)),COUNTIFS($C$2:$C839,"&gt;="&amp;DATE(2003,1,1),$A$2:$A839,"&lt;&gt;"),"")</f>
        <v/>
      </c>
    </row>
    <row r="840" spans="1:24">
      <c r="A840" t="str">
        <f>IF(Forvetler!A42="","",Forvetler!A42)</f>
        <v/>
      </c>
      <c r="B840" t="str">
        <f>IF(Forvetler!B42="","",Forvetler!B42)</f>
        <v/>
      </c>
      <c r="C840" s="2" t="str">
        <f>IF(Forvetler!C42="","",Forvetler!C42)</f>
        <v/>
      </c>
      <c r="D840" t="str">
        <f ca="1">IF(Forvetler!D42="","",Forvetler!D42)</f>
        <v/>
      </c>
      <c r="E840" t="str">
        <f>IF(Forvetler!E42="","",Forvetler!E42)</f>
        <v>Forvet</v>
      </c>
      <c r="F840" t="str">
        <f>IF(Forvetler!G42="","",Forvetler!G42)</f>
        <v/>
      </c>
      <c r="G840" s="2" t="str">
        <f>IF(Forvetler!H42="","",Forvetler!H42)</f>
        <v/>
      </c>
      <c r="H840" t="str">
        <f>IF(Forvetler!I42="","",Forvetler!I42)</f>
        <v/>
      </c>
      <c r="I840" t="str">
        <f>IF(Forvetler!A42="","",Forvetler!J42)</f>
        <v/>
      </c>
      <c r="J840" t="str">
        <f>IF(Forvetler!A42="","",Forvetler!K42)</f>
        <v/>
      </c>
      <c r="K840" t="str">
        <f>IF(Forvetler!L42="","",Forvetler!L42)</f>
        <v/>
      </c>
      <c r="L840" t="str">
        <f>IF(Forvetler!M42="","",Forvetler!M42)</f>
        <v/>
      </c>
      <c r="M840" t="str">
        <f>IF(Forvetler!N42="","",Forvetler!N42)</f>
        <v/>
      </c>
      <c r="N840" t="str">
        <f>IF(Forvetler!O42="","",Forvetler!O42)</f>
        <v/>
      </c>
      <c r="O840" t="str">
        <f>IF(Forvetler!P42="","",Forvetler!P42)</f>
        <v/>
      </c>
      <c r="P840" t="str">
        <f>IF(Forvetler!Q42="","",Forvetler!Q42)</f>
        <v/>
      </c>
      <c r="Q840" t="str">
        <f>IF(Forvetler!R42="","",Forvetler!R42)</f>
        <v/>
      </c>
      <c r="R840" t="str">
        <f>IF(Forvetler!S42="","",Forvetler!S42)</f>
        <v/>
      </c>
      <c r="S840" t="str">
        <f>IF(Forvetler!T42="","",Forvetler!T42)</f>
        <v/>
      </c>
      <c r="T840" s="2" t="str">
        <f>IF(Forvetler!U42="","",Forvetler!U42)</f>
        <v/>
      </c>
      <c r="U840" t="s">
        <v>934</v>
      </c>
      <c r="V840">
        <v>42</v>
      </c>
      <c r="W840" t="str">
        <f ca="1">IF(AND($A840&lt;&gt;"",ISNUMBER($G840),$G840&gt;=TODAY(),$G840&lt;=EDATE(TODAY(),12)),COUNTIFS($G$2:$G$1001,"&gt;="&amp;TODAY(),$G$2:$G$1001,"&lt;"&amp;$G840,$A$2:$A$1001,"&lt;&gt;")+COUNTIFS($G$2:$G840,$G840,$A$2:$A840,"&lt;&gt;"),"")</f>
        <v/>
      </c>
      <c r="X840" t="str">
        <f>IF(AND($A840&lt;&gt;"",ISNUMBER($C840),$C840&gt;=DATE(2003,1,1)),COUNTIFS($C$2:$C840,"&gt;="&amp;DATE(2003,1,1),$A$2:$A840,"&lt;&gt;"),"")</f>
        <v/>
      </c>
    </row>
    <row r="841" spans="1:24">
      <c r="A841" t="str">
        <f>IF(Forvetler!A43="","",Forvetler!A43)</f>
        <v/>
      </c>
      <c r="B841" t="str">
        <f>IF(Forvetler!B43="","",Forvetler!B43)</f>
        <v/>
      </c>
      <c r="C841" s="2" t="str">
        <f>IF(Forvetler!C43="","",Forvetler!C43)</f>
        <v/>
      </c>
      <c r="D841" t="str">
        <f ca="1">IF(Forvetler!D43="","",Forvetler!D43)</f>
        <v/>
      </c>
      <c r="E841" t="str">
        <f>IF(Forvetler!E43="","",Forvetler!E43)</f>
        <v>Forvet</v>
      </c>
      <c r="F841" t="str">
        <f>IF(Forvetler!G43="","",Forvetler!G43)</f>
        <v/>
      </c>
      <c r="G841" s="2" t="str">
        <f>IF(Forvetler!H43="","",Forvetler!H43)</f>
        <v/>
      </c>
      <c r="H841" t="str">
        <f>IF(Forvetler!I43="","",Forvetler!I43)</f>
        <v/>
      </c>
      <c r="I841" t="str">
        <f>IF(Forvetler!A43="","",Forvetler!J43)</f>
        <v/>
      </c>
      <c r="J841" t="str">
        <f>IF(Forvetler!A43="","",Forvetler!K43)</f>
        <v/>
      </c>
      <c r="K841" t="str">
        <f>IF(Forvetler!L43="","",Forvetler!L43)</f>
        <v/>
      </c>
      <c r="L841" t="str">
        <f>IF(Forvetler!M43="","",Forvetler!M43)</f>
        <v/>
      </c>
      <c r="M841" t="str">
        <f>IF(Forvetler!N43="","",Forvetler!N43)</f>
        <v/>
      </c>
      <c r="N841" t="str">
        <f>IF(Forvetler!O43="","",Forvetler!O43)</f>
        <v/>
      </c>
      <c r="O841" t="str">
        <f>IF(Forvetler!P43="","",Forvetler!P43)</f>
        <v/>
      </c>
      <c r="P841" t="str">
        <f>IF(Forvetler!Q43="","",Forvetler!Q43)</f>
        <v/>
      </c>
      <c r="Q841" t="str">
        <f>IF(Forvetler!R43="","",Forvetler!R43)</f>
        <v/>
      </c>
      <c r="R841" t="str">
        <f>IF(Forvetler!S43="","",Forvetler!S43)</f>
        <v/>
      </c>
      <c r="S841" t="str">
        <f>IF(Forvetler!T43="","",Forvetler!T43)</f>
        <v/>
      </c>
      <c r="T841" s="2" t="str">
        <f>IF(Forvetler!U43="","",Forvetler!U43)</f>
        <v/>
      </c>
      <c r="U841" t="s">
        <v>934</v>
      </c>
      <c r="V841">
        <v>43</v>
      </c>
      <c r="W841" t="str">
        <f ca="1">IF(AND($A841&lt;&gt;"",ISNUMBER($G841),$G841&gt;=TODAY(),$G841&lt;=EDATE(TODAY(),12)),COUNTIFS($G$2:$G$1001,"&gt;="&amp;TODAY(),$G$2:$G$1001,"&lt;"&amp;$G841,$A$2:$A$1001,"&lt;&gt;")+COUNTIFS($G$2:$G841,$G841,$A$2:$A841,"&lt;&gt;"),"")</f>
        <v/>
      </c>
      <c r="X841" t="str">
        <f>IF(AND($A841&lt;&gt;"",ISNUMBER($C841),$C841&gt;=DATE(2003,1,1)),COUNTIFS($C$2:$C841,"&gt;="&amp;DATE(2003,1,1),$A$2:$A841,"&lt;&gt;"),"")</f>
        <v/>
      </c>
    </row>
    <row r="842" spans="1:24">
      <c r="A842" t="str">
        <f>IF(Forvetler!A44="","",Forvetler!A44)</f>
        <v/>
      </c>
      <c r="B842" t="str">
        <f>IF(Forvetler!B44="","",Forvetler!B44)</f>
        <v/>
      </c>
      <c r="C842" s="2" t="str">
        <f>IF(Forvetler!C44="","",Forvetler!C44)</f>
        <v/>
      </c>
      <c r="D842" t="str">
        <f ca="1">IF(Forvetler!D44="","",Forvetler!D44)</f>
        <v/>
      </c>
      <c r="E842" t="str">
        <f>IF(Forvetler!E44="","",Forvetler!E44)</f>
        <v>Forvet</v>
      </c>
      <c r="F842" t="str">
        <f>IF(Forvetler!G44="","",Forvetler!G44)</f>
        <v/>
      </c>
      <c r="G842" s="2" t="str">
        <f>IF(Forvetler!H44="","",Forvetler!H44)</f>
        <v/>
      </c>
      <c r="H842" t="str">
        <f>IF(Forvetler!I44="","",Forvetler!I44)</f>
        <v/>
      </c>
      <c r="I842" t="str">
        <f>IF(Forvetler!A44="","",Forvetler!J44)</f>
        <v/>
      </c>
      <c r="J842" t="str">
        <f>IF(Forvetler!A44="","",Forvetler!K44)</f>
        <v/>
      </c>
      <c r="K842" t="str">
        <f>IF(Forvetler!L44="","",Forvetler!L44)</f>
        <v/>
      </c>
      <c r="L842" t="str">
        <f>IF(Forvetler!M44="","",Forvetler!M44)</f>
        <v/>
      </c>
      <c r="M842" t="str">
        <f>IF(Forvetler!N44="","",Forvetler!N44)</f>
        <v/>
      </c>
      <c r="N842" t="str">
        <f>IF(Forvetler!O44="","",Forvetler!O44)</f>
        <v/>
      </c>
      <c r="O842" t="str">
        <f>IF(Forvetler!P44="","",Forvetler!P44)</f>
        <v/>
      </c>
      <c r="P842" t="str">
        <f>IF(Forvetler!Q44="","",Forvetler!Q44)</f>
        <v/>
      </c>
      <c r="Q842" t="str">
        <f>IF(Forvetler!R44="","",Forvetler!R44)</f>
        <v/>
      </c>
      <c r="R842" t="str">
        <f>IF(Forvetler!S44="","",Forvetler!S44)</f>
        <v/>
      </c>
      <c r="S842" t="str">
        <f>IF(Forvetler!T44="","",Forvetler!T44)</f>
        <v/>
      </c>
      <c r="T842" s="2" t="str">
        <f>IF(Forvetler!U44="","",Forvetler!U44)</f>
        <v/>
      </c>
      <c r="U842" t="s">
        <v>934</v>
      </c>
      <c r="V842">
        <v>44</v>
      </c>
      <c r="W842" t="str">
        <f ca="1">IF(AND($A842&lt;&gt;"",ISNUMBER($G842),$G842&gt;=TODAY(),$G842&lt;=EDATE(TODAY(),12)),COUNTIFS($G$2:$G$1001,"&gt;="&amp;TODAY(),$G$2:$G$1001,"&lt;"&amp;$G842,$A$2:$A$1001,"&lt;&gt;")+COUNTIFS($G$2:$G842,$G842,$A$2:$A842,"&lt;&gt;"),"")</f>
        <v/>
      </c>
      <c r="X842" t="str">
        <f>IF(AND($A842&lt;&gt;"",ISNUMBER($C842),$C842&gt;=DATE(2003,1,1)),COUNTIFS($C$2:$C842,"&gt;="&amp;DATE(2003,1,1),$A$2:$A842,"&lt;&gt;"),"")</f>
        <v/>
      </c>
    </row>
    <row r="843" spans="1:24">
      <c r="A843" t="str">
        <f>IF(Forvetler!A45="","",Forvetler!A45)</f>
        <v/>
      </c>
      <c r="B843" t="str">
        <f>IF(Forvetler!B45="","",Forvetler!B45)</f>
        <v/>
      </c>
      <c r="C843" s="2" t="str">
        <f>IF(Forvetler!C45="","",Forvetler!C45)</f>
        <v/>
      </c>
      <c r="D843" t="str">
        <f ca="1">IF(Forvetler!D45="","",Forvetler!D45)</f>
        <v/>
      </c>
      <c r="E843" t="str">
        <f>IF(Forvetler!E45="","",Forvetler!E45)</f>
        <v>Forvet</v>
      </c>
      <c r="F843" t="str">
        <f>IF(Forvetler!G45="","",Forvetler!G45)</f>
        <v/>
      </c>
      <c r="G843" s="2" t="str">
        <f>IF(Forvetler!H45="","",Forvetler!H45)</f>
        <v/>
      </c>
      <c r="H843" t="str">
        <f>IF(Forvetler!I45="","",Forvetler!I45)</f>
        <v/>
      </c>
      <c r="I843" t="str">
        <f>IF(Forvetler!A45="","",Forvetler!J45)</f>
        <v/>
      </c>
      <c r="J843" t="str">
        <f>IF(Forvetler!A45="","",Forvetler!K45)</f>
        <v/>
      </c>
      <c r="K843" t="str">
        <f>IF(Forvetler!L45="","",Forvetler!L45)</f>
        <v/>
      </c>
      <c r="L843" t="str">
        <f>IF(Forvetler!M45="","",Forvetler!M45)</f>
        <v/>
      </c>
      <c r="M843" t="str">
        <f>IF(Forvetler!N45="","",Forvetler!N45)</f>
        <v/>
      </c>
      <c r="N843" t="str">
        <f>IF(Forvetler!O45="","",Forvetler!O45)</f>
        <v/>
      </c>
      <c r="O843" t="str">
        <f>IF(Forvetler!P45="","",Forvetler!P45)</f>
        <v/>
      </c>
      <c r="P843" t="str">
        <f>IF(Forvetler!Q45="","",Forvetler!Q45)</f>
        <v/>
      </c>
      <c r="Q843" t="str">
        <f>IF(Forvetler!R45="","",Forvetler!R45)</f>
        <v/>
      </c>
      <c r="R843" t="str">
        <f>IF(Forvetler!S45="","",Forvetler!S45)</f>
        <v/>
      </c>
      <c r="S843" t="str">
        <f>IF(Forvetler!T45="","",Forvetler!T45)</f>
        <v/>
      </c>
      <c r="T843" s="2" t="str">
        <f>IF(Forvetler!U45="","",Forvetler!U45)</f>
        <v/>
      </c>
      <c r="U843" t="s">
        <v>934</v>
      </c>
      <c r="V843">
        <v>45</v>
      </c>
      <c r="W843" t="str">
        <f ca="1">IF(AND($A843&lt;&gt;"",ISNUMBER($G843),$G843&gt;=TODAY(),$G843&lt;=EDATE(TODAY(),12)),COUNTIFS($G$2:$G$1001,"&gt;="&amp;TODAY(),$G$2:$G$1001,"&lt;"&amp;$G843,$A$2:$A$1001,"&lt;&gt;")+COUNTIFS($G$2:$G843,$G843,$A$2:$A843,"&lt;&gt;"),"")</f>
        <v/>
      </c>
      <c r="X843" t="str">
        <f>IF(AND($A843&lt;&gt;"",ISNUMBER($C843),$C843&gt;=DATE(2003,1,1)),COUNTIFS($C$2:$C843,"&gt;="&amp;DATE(2003,1,1),$A$2:$A843,"&lt;&gt;"),"")</f>
        <v/>
      </c>
    </row>
    <row r="844" spans="1:24">
      <c r="A844" t="str">
        <f>IF(Forvetler!A46="","",Forvetler!A46)</f>
        <v/>
      </c>
      <c r="B844" t="str">
        <f>IF(Forvetler!B46="","",Forvetler!B46)</f>
        <v/>
      </c>
      <c r="C844" s="2" t="str">
        <f>IF(Forvetler!C46="","",Forvetler!C46)</f>
        <v/>
      </c>
      <c r="D844" t="str">
        <f ca="1">IF(Forvetler!D46="","",Forvetler!D46)</f>
        <v/>
      </c>
      <c r="E844" t="str">
        <f>IF(Forvetler!E46="","",Forvetler!E46)</f>
        <v>Forvet</v>
      </c>
      <c r="F844" t="str">
        <f>IF(Forvetler!G46="","",Forvetler!G46)</f>
        <v/>
      </c>
      <c r="G844" s="2" t="str">
        <f>IF(Forvetler!H46="","",Forvetler!H46)</f>
        <v/>
      </c>
      <c r="H844" t="str">
        <f>IF(Forvetler!I46="","",Forvetler!I46)</f>
        <v/>
      </c>
      <c r="I844" t="str">
        <f>IF(Forvetler!A46="","",Forvetler!J46)</f>
        <v/>
      </c>
      <c r="J844" t="str">
        <f>IF(Forvetler!A46="","",Forvetler!K46)</f>
        <v/>
      </c>
      <c r="K844" t="str">
        <f>IF(Forvetler!L46="","",Forvetler!L46)</f>
        <v/>
      </c>
      <c r="L844" t="str">
        <f>IF(Forvetler!M46="","",Forvetler!M46)</f>
        <v/>
      </c>
      <c r="M844" t="str">
        <f>IF(Forvetler!N46="","",Forvetler!N46)</f>
        <v/>
      </c>
      <c r="N844" t="str">
        <f>IF(Forvetler!O46="","",Forvetler!O46)</f>
        <v/>
      </c>
      <c r="O844" t="str">
        <f>IF(Forvetler!P46="","",Forvetler!P46)</f>
        <v/>
      </c>
      <c r="P844" t="str">
        <f>IF(Forvetler!Q46="","",Forvetler!Q46)</f>
        <v/>
      </c>
      <c r="Q844" t="str">
        <f>IF(Forvetler!R46="","",Forvetler!R46)</f>
        <v/>
      </c>
      <c r="R844" t="str">
        <f>IF(Forvetler!S46="","",Forvetler!S46)</f>
        <v/>
      </c>
      <c r="S844" t="str">
        <f>IF(Forvetler!T46="","",Forvetler!T46)</f>
        <v/>
      </c>
      <c r="T844" s="2" t="str">
        <f>IF(Forvetler!U46="","",Forvetler!U46)</f>
        <v/>
      </c>
      <c r="U844" t="s">
        <v>934</v>
      </c>
      <c r="V844">
        <v>46</v>
      </c>
      <c r="W844" t="str">
        <f ca="1">IF(AND($A844&lt;&gt;"",ISNUMBER($G844),$G844&gt;=TODAY(),$G844&lt;=EDATE(TODAY(),12)),COUNTIFS($G$2:$G$1001,"&gt;="&amp;TODAY(),$G$2:$G$1001,"&lt;"&amp;$G844,$A$2:$A$1001,"&lt;&gt;")+COUNTIFS($G$2:$G844,$G844,$A$2:$A844,"&lt;&gt;"),"")</f>
        <v/>
      </c>
      <c r="X844" t="str">
        <f>IF(AND($A844&lt;&gt;"",ISNUMBER($C844),$C844&gt;=DATE(2003,1,1)),COUNTIFS($C$2:$C844,"&gt;="&amp;DATE(2003,1,1),$A$2:$A844,"&lt;&gt;"),"")</f>
        <v/>
      </c>
    </row>
    <row r="845" spans="1:24">
      <c r="A845" t="str">
        <f>IF(Forvetler!A47="","",Forvetler!A47)</f>
        <v/>
      </c>
      <c r="B845" t="str">
        <f>IF(Forvetler!B47="","",Forvetler!B47)</f>
        <v/>
      </c>
      <c r="C845" s="2" t="str">
        <f>IF(Forvetler!C47="","",Forvetler!C47)</f>
        <v/>
      </c>
      <c r="D845" t="str">
        <f ca="1">IF(Forvetler!D47="","",Forvetler!D47)</f>
        <v/>
      </c>
      <c r="E845" t="str">
        <f>IF(Forvetler!E47="","",Forvetler!E47)</f>
        <v>Forvet</v>
      </c>
      <c r="F845" t="str">
        <f>IF(Forvetler!G47="","",Forvetler!G47)</f>
        <v/>
      </c>
      <c r="G845" s="2" t="str">
        <f>IF(Forvetler!H47="","",Forvetler!H47)</f>
        <v/>
      </c>
      <c r="H845" t="str">
        <f>IF(Forvetler!I47="","",Forvetler!I47)</f>
        <v/>
      </c>
      <c r="I845" t="str">
        <f>IF(Forvetler!A47="","",Forvetler!J47)</f>
        <v/>
      </c>
      <c r="J845" t="str">
        <f>IF(Forvetler!A47="","",Forvetler!K47)</f>
        <v/>
      </c>
      <c r="K845" t="str">
        <f>IF(Forvetler!L47="","",Forvetler!L47)</f>
        <v/>
      </c>
      <c r="L845" t="str">
        <f>IF(Forvetler!M47="","",Forvetler!M47)</f>
        <v/>
      </c>
      <c r="M845" t="str">
        <f>IF(Forvetler!N47="","",Forvetler!N47)</f>
        <v/>
      </c>
      <c r="N845" t="str">
        <f>IF(Forvetler!O47="","",Forvetler!O47)</f>
        <v/>
      </c>
      <c r="O845" t="str">
        <f>IF(Forvetler!P47="","",Forvetler!P47)</f>
        <v/>
      </c>
      <c r="P845" t="str">
        <f>IF(Forvetler!Q47="","",Forvetler!Q47)</f>
        <v/>
      </c>
      <c r="Q845" t="str">
        <f>IF(Forvetler!R47="","",Forvetler!R47)</f>
        <v/>
      </c>
      <c r="R845" t="str">
        <f>IF(Forvetler!S47="","",Forvetler!S47)</f>
        <v/>
      </c>
      <c r="S845" t="str">
        <f>IF(Forvetler!T47="","",Forvetler!T47)</f>
        <v/>
      </c>
      <c r="T845" s="2" t="str">
        <f>IF(Forvetler!U47="","",Forvetler!U47)</f>
        <v/>
      </c>
      <c r="U845" t="s">
        <v>934</v>
      </c>
      <c r="V845">
        <v>47</v>
      </c>
      <c r="W845" t="str">
        <f ca="1">IF(AND($A845&lt;&gt;"",ISNUMBER($G845),$G845&gt;=TODAY(),$G845&lt;=EDATE(TODAY(),12)),COUNTIFS($G$2:$G$1001,"&gt;="&amp;TODAY(),$G$2:$G$1001,"&lt;"&amp;$G845,$A$2:$A$1001,"&lt;&gt;")+COUNTIFS($G$2:$G845,$G845,$A$2:$A845,"&lt;&gt;"),"")</f>
        <v/>
      </c>
      <c r="X845" t="str">
        <f>IF(AND($A845&lt;&gt;"",ISNUMBER($C845),$C845&gt;=DATE(2003,1,1)),COUNTIFS($C$2:$C845,"&gt;="&amp;DATE(2003,1,1),$A$2:$A845,"&lt;&gt;"),"")</f>
        <v/>
      </c>
    </row>
    <row r="846" spans="1:24">
      <c r="A846" t="str">
        <f>IF(Forvetler!A48="","",Forvetler!A48)</f>
        <v/>
      </c>
      <c r="B846" t="str">
        <f>IF(Forvetler!B48="","",Forvetler!B48)</f>
        <v/>
      </c>
      <c r="C846" s="2" t="str">
        <f>IF(Forvetler!C48="","",Forvetler!C48)</f>
        <v/>
      </c>
      <c r="D846" t="str">
        <f ca="1">IF(Forvetler!D48="","",Forvetler!D48)</f>
        <v/>
      </c>
      <c r="E846" t="str">
        <f>IF(Forvetler!E48="","",Forvetler!E48)</f>
        <v>Forvet</v>
      </c>
      <c r="F846" t="str">
        <f>IF(Forvetler!G48="","",Forvetler!G48)</f>
        <v/>
      </c>
      <c r="G846" s="2" t="str">
        <f>IF(Forvetler!H48="","",Forvetler!H48)</f>
        <v/>
      </c>
      <c r="H846" t="str">
        <f>IF(Forvetler!I48="","",Forvetler!I48)</f>
        <v/>
      </c>
      <c r="I846" t="str">
        <f>IF(Forvetler!A48="","",Forvetler!J48)</f>
        <v/>
      </c>
      <c r="J846" t="str">
        <f>IF(Forvetler!A48="","",Forvetler!K48)</f>
        <v/>
      </c>
      <c r="K846" t="str">
        <f>IF(Forvetler!L48="","",Forvetler!L48)</f>
        <v/>
      </c>
      <c r="L846" t="str">
        <f>IF(Forvetler!M48="","",Forvetler!M48)</f>
        <v/>
      </c>
      <c r="M846" t="str">
        <f>IF(Forvetler!N48="","",Forvetler!N48)</f>
        <v/>
      </c>
      <c r="N846" t="str">
        <f>IF(Forvetler!O48="","",Forvetler!O48)</f>
        <v/>
      </c>
      <c r="O846" t="str">
        <f>IF(Forvetler!P48="","",Forvetler!P48)</f>
        <v/>
      </c>
      <c r="P846" t="str">
        <f>IF(Forvetler!Q48="","",Forvetler!Q48)</f>
        <v/>
      </c>
      <c r="Q846" t="str">
        <f>IF(Forvetler!R48="","",Forvetler!R48)</f>
        <v/>
      </c>
      <c r="R846" t="str">
        <f>IF(Forvetler!S48="","",Forvetler!S48)</f>
        <v/>
      </c>
      <c r="S846" t="str">
        <f>IF(Forvetler!T48="","",Forvetler!T48)</f>
        <v/>
      </c>
      <c r="T846" s="2" t="str">
        <f>IF(Forvetler!U48="","",Forvetler!U48)</f>
        <v/>
      </c>
      <c r="U846" t="s">
        <v>934</v>
      </c>
      <c r="V846">
        <v>48</v>
      </c>
      <c r="W846" t="str">
        <f ca="1">IF(AND($A846&lt;&gt;"",ISNUMBER($G846),$G846&gt;=TODAY(),$G846&lt;=EDATE(TODAY(),12)),COUNTIFS($G$2:$G$1001,"&gt;="&amp;TODAY(),$G$2:$G$1001,"&lt;"&amp;$G846,$A$2:$A$1001,"&lt;&gt;")+COUNTIFS($G$2:$G846,$G846,$A$2:$A846,"&lt;&gt;"),"")</f>
        <v/>
      </c>
      <c r="X846" t="str">
        <f>IF(AND($A846&lt;&gt;"",ISNUMBER($C846),$C846&gt;=DATE(2003,1,1)),COUNTIFS($C$2:$C846,"&gt;="&amp;DATE(2003,1,1),$A$2:$A846,"&lt;&gt;"),"")</f>
        <v/>
      </c>
    </row>
    <row r="847" spans="1:24">
      <c r="A847" t="str">
        <f>IF(Forvetler!A49="","",Forvetler!A49)</f>
        <v/>
      </c>
      <c r="B847" t="str">
        <f>IF(Forvetler!B49="","",Forvetler!B49)</f>
        <v/>
      </c>
      <c r="C847" s="2" t="str">
        <f>IF(Forvetler!C49="","",Forvetler!C49)</f>
        <v/>
      </c>
      <c r="D847" t="str">
        <f ca="1">IF(Forvetler!D49="","",Forvetler!D49)</f>
        <v/>
      </c>
      <c r="E847" t="str">
        <f>IF(Forvetler!E49="","",Forvetler!E49)</f>
        <v>Forvet</v>
      </c>
      <c r="F847" t="str">
        <f>IF(Forvetler!G49="","",Forvetler!G49)</f>
        <v/>
      </c>
      <c r="G847" s="2" t="str">
        <f>IF(Forvetler!H49="","",Forvetler!H49)</f>
        <v/>
      </c>
      <c r="H847" t="str">
        <f>IF(Forvetler!I49="","",Forvetler!I49)</f>
        <v/>
      </c>
      <c r="I847" t="str">
        <f>IF(Forvetler!A49="","",Forvetler!J49)</f>
        <v/>
      </c>
      <c r="J847" t="str">
        <f>IF(Forvetler!A49="","",Forvetler!K49)</f>
        <v/>
      </c>
      <c r="K847" t="str">
        <f>IF(Forvetler!L49="","",Forvetler!L49)</f>
        <v/>
      </c>
      <c r="L847" t="str">
        <f>IF(Forvetler!M49="","",Forvetler!M49)</f>
        <v/>
      </c>
      <c r="M847" t="str">
        <f>IF(Forvetler!N49="","",Forvetler!N49)</f>
        <v/>
      </c>
      <c r="N847" t="str">
        <f>IF(Forvetler!O49="","",Forvetler!O49)</f>
        <v/>
      </c>
      <c r="O847" t="str">
        <f>IF(Forvetler!P49="","",Forvetler!P49)</f>
        <v/>
      </c>
      <c r="P847" t="str">
        <f>IF(Forvetler!Q49="","",Forvetler!Q49)</f>
        <v/>
      </c>
      <c r="Q847" t="str">
        <f>IF(Forvetler!R49="","",Forvetler!R49)</f>
        <v/>
      </c>
      <c r="R847" t="str">
        <f>IF(Forvetler!S49="","",Forvetler!S49)</f>
        <v/>
      </c>
      <c r="S847" t="str">
        <f>IF(Forvetler!T49="","",Forvetler!T49)</f>
        <v/>
      </c>
      <c r="T847" s="2" t="str">
        <f>IF(Forvetler!U49="","",Forvetler!U49)</f>
        <v/>
      </c>
      <c r="U847" t="s">
        <v>934</v>
      </c>
      <c r="V847">
        <v>49</v>
      </c>
      <c r="W847" t="str">
        <f ca="1">IF(AND($A847&lt;&gt;"",ISNUMBER($G847),$G847&gt;=TODAY(),$G847&lt;=EDATE(TODAY(),12)),COUNTIFS($G$2:$G$1001,"&gt;="&amp;TODAY(),$G$2:$G$1001,"&lt;"&amp;$G847,$A$2:$A$1001,"&lt;&gt;")+COUNTIFS($G$2:$G847,$G847,$A$2:$A847,"&lt;&gt;"),"")</f>
        <v/>
      </c>
      <c r="X847" t="str">
        <f>IF(AND($A847&lt;&gt;"",ISNUMBER($C847),$C847&gt;=DATE(2003,1,1)),COUNTIFS($C$2:$C847,"&gt;="&amp;DATE(2003,1,1),$A$2:$A847,"&lt;&gt;"),"")</f>
        <v/>
      </c>
    </row>
    <row r="848" spans="1:24">
      <c r="A848" t="str">
        <f>IF(Forvetler!A50="","",Forvetler!A50)</f>
        <v/>
      </c>
      <c r="B848" t="str">
        <f>IF(Forvetler!B50="","",Forvetler!B50)</f>
        <v/>
      </c>
      <c r="C848" s="2" t="str">
        <f>IF(Forvetler!C50="","",Forvetler!C50)</f>
        <v/>
      </c>
      <c r="D848" t="str">
        <f ca="1">IF(Forvetler!D50="","",Forvetler!D50)</f>
        <v/>
      </c>
      <c r="E848" t="str">
        <f>IF(Forvetler!E50="","",Forvetler!E50)</f>
        <v>Forvet</v>
      </c>
      <c r="F848" t="str">
        <f>IF(Forvetler!G50="","",Forvetler!G50)</f>
        <v/>
      </c>
      <c r="G848" s="2" t="str">
        <f>IF(Forvetler!H50="","",Forvetler!H50)</f>
        <v/>
      </c>
      <c r="H848" t="str">
        <f>IF(Forvetler!I50="","",Forvetler!I50)</f>
        <v/>
      </c>
      <c r="I848" t="str">
        <f>IF(Forvetler!A50="","",Forvetler!J50)</f>
        <v/>
      </c>
      <c r="J848" t="str">
        <f>IF(Forvetler!A50="","",Forvetler!K50)</f>
        <v/>
      </c>
      <c r="K848" t="str">
        <f>IF(Forvetler!L50="","",Forvetler!L50)</f>
        <v/>
      </c>
      <c r="L848" t="str">
        <f>IF(Forvetler!M50="","",Forvetler!M50)</f>
        <v/>
      </c>
      <c r="M848" t="str">
        <f>IF(Forvetler!N50="","",Forvetler!N50)</f>
        <v/>
      </c>
      <c r="N848" t="str">
        <f>IF(Forvetler!O50="","",Forvetler!O50)</f>
        <v/>
      </c>
      <c r="O848" t="str">
        <f>IF(Forvetler!P50="","",Forvetler!P50)</f>
        <v/>
      </c>
      <c r="P848" t="str">
        <f>IF(Forvetler!Q50="","",Forvetler!Q50)</f>
        <v/>
      </c>
      <c r="Q848" t="str">
        <f>IF(Forvetler!R50="","",Forvetler!R50)</f>
        <v/>
      </c>
      <c r="R848" t="str">
        <f>IF(Forvetler!S50="","",Forvetler!S50)</f>
        <v/>
      </c>
      <c r="S848" t="str">
        <f>IF(Forvetler!T50="","",Forvetler!T50)</f>
        <v/>
      </c>
      <c r="T848" s="2" t="str">
        <f>IF(Forvetler!U50="","",Forvetler!U50)</f>
        <v/>
      </c>
      <c r="U848" t="s">
        <v>934</v>
      </c>
      <c r="V848">
        <v>50</v>
      </c>
      <c r="W848" t="str">
        <f ca="1">IF(AND($A848&lt;&gt;"",ISNUMBER($G848),$G848&gt;=TODAY(),$G848&lt;=EDATE(TODAY(),12)),COUNTIFS($G$2:$G$1001,"&gt;="&amp;TODAY(),$G$2:$G$1001,"&lt;"&amp;$G848,$A$2:$A$1001,"&lt;&gt;")+COUNTIFS($G$2:$G848,$G848,$A$2:$A848,"&lt;&gt;"),"")</f>
        <v/>
      </c>
      <c r="X848" t="str">
        <f>IF(AND($A848&lt;&gt;"",ISNUMBER($C848),$C848&gt;=DATE(2003,1,1)),COUNTIFS($C$2:$C848,"&gt;="&amp;DATE(2003,1,1),$A$2:$A848,"&lt;&gt;"),"")</f>
        <v/>
      </c>
    </row>
    <row r="849" spans="1:24">
      <c r="A849" t="str">
        <f>IF(Forvetler!A51="","",Forvetler!A51)</f>
        <v/>
      </c>
      <c r="B849" t="str">
        <f>IF(Forvetler!B51="","",Forvetler!B51)</f>
        <v/>
      </c>
      <c r="C849" s="2" t="str">
        <f>IF(Forvetler!C51="","",Forvetler!C51)</f>
        <v/>
      </c>
      <c r="D849" t="str">
        <f ca="1">IF(Forvetler!D51="","",Forvetler!D51)</f>
        <v/>
      </c>
      <c r="E849" t="str">
        <f>IF(Forvetler!E51="","",Forvetler!E51)</f>
        <v>Forvet</v>
      </c>
      <c r="F849" t="str">
        <f>IF(Forvetler!G51="","",Forvetler!G51)</f>
        <v/>
      </c>
      <c r="G849" s="2" t="str">
        <f>IF(Forvetler!H51="","",Forvetler!H51)</f>
        <v/>
      </c>
      <c r="H849" t="str">
        <f>IF(Forvetler!I51="","",Forvetler!I51)</f>
        <v/>
      </c>
      <c r="I849" t="str">
        <f>IF(Forvetler!A51="","",Forvetler!J51)</f>
        <v/>
      </c>
      <c r="J849" t="str">
        <f>IF(Forvetler!A51="","",Forvetler!K51)</f>
        <v/>
      </c>
      <c r="K849" t="str">
        <f>IF(Forvetler!L51="","",Forvetler!L51)</f>
        <v/>
      </c>
      <c r="L849" t="str">
        <f>IF(Forvetler!M51="","",Forvetler!M51)</f>
        <v/>
      </c>
      <c r="M849" t="str">
        <f>IF(Forvetler!N51="","",Forvetler!N51)</f>
        <v/>
      </c>
      <c r="N849" t="str">
        <f>IF(Forvetler!O51="","",Forvetler!O51)</f>
        <v/>
      </c>
      <c r="O849" t="str">
        <f>IF(Forvetler!P51="","",Forvetler!P51)</f>
        <v/>
      </c>
      <c r="P849" t="str">
        <f>IF(Forvetler!Q51="","",Forvetler!Q51)</f>
        <v/>
      </c>
      <c r="Q849" t="str">
        <f>IF(Forvetler!R51="","",Forvetler!R51)</f>
        <v/>
      </c>
      <c r="R849" t="str">
        <f>IF(Forvetler!S51="","",Forvetler!S51)</f>
        <v/>
      </c>
      <c r="S849" t="str">
        <f>IF(Forvetler!T51="","",Forvetler!T51)</f>
        <v/>
      </c>
      <c r="T849" s="2" t="str">
        <f>IF(Forvetler!U51="","",Forvetler!U51)</f>
        <v/>
      </c>
      <c r="U849" t="s">
        <v>934</v>
      </c>
      <c r="V849">
        <v>51</v>
      </c>
      <c r="W849" t="str">
        <f ca="1">IF(AND($A849&lt;&gt;"",ISNUMBER($G849),$G849&gt;=TODAY(),$G849&lt;=EDATE(TODAY(),12)),COUNTIFS($G$2:$G$1001,"&gt;="&amp;TODAY(),$G$2:$G$1001,"&lt;"&amp;$G849,$A$2:$A$1001,"&lt;&gt;")+COUNTIFS($G$2:$G849,$G849,$A$2:$A849,"&lt;&gt;"),"")</f>
        <v/>
      </c>
      <c r="X849" t="str">
        <f>IF(AND($A849&lt;&gt;"",ISNUMBER($C849),$C849&gt;=DATE(2003,1,1)),COUNTIFS($C$2:$C849,"&gt;="&amp;DATE(2003,1,1),$A$2:$A849,"&lt;&gt;"),"")</f>
        <v/>
      </c>
    </row>
    <row r="850" spans="1:24">
      <c r="A850" t="str">
        <f>IF(Forvetler!A52="","",Forvetler!A52)</f>
        <v/>
      </c>
      <c r="B850" t="str">
        <f>IF(Forvetler!B52="","",Forvetler!B52)</f>
        <v/>
      </c>
      <c r="C850" s="2" t="str">
        <f>IF(Forvetler!C52="","",Forvetler!C52)</f>
        <v/>
      </c>
      <c r="D850" t="str">
        <f ca="1">IF(Forvetler!D52="","",Forvetler!D52)</f>
        <v/>
      </c>
      <c r="E850" t="str">
        <f>IF(Forvetler!E52="","",Forvetler!E52)</f>
        <v>Forvet</v>
      </c>
      <c r="F850" t="str">
        <f>IF(Forvetler!G52="","",Forvetler!G52)</f>
        <v/>
      </c>
      <c r="G850" s="2" t="str">
        <f>IF(Forvetler!H52="","",Forvetler!H52)</f>
        <v/>
      </c>
      <c r="H850" t="str">
        <f>IF(Forvetler!I52="","",Forvetler!I52)</f>
        <v/>
      </c>
      <c r="I850" t="str">
        <f>IF(Forvetler!A52="","",Forvetler!J52)</f>
        <v/>
      </c>
      <c r="J850" t="str">
        <f>IF(Forvetler!A52="","",Forvetler!K52)</f>
        <v/>
      </c>
      <c r="K850" t="str">
        <f>IF(Forvetler!L52="","",Forvetler!L52)</f>
        <v/>
      </c>
      <c r="L850" t="str">
        <f>IF(Forvetler!M52="","",Forvetler!M52)</f>
        <v/>
      </c>
      <c r="M850" t="str">
        <f>IF(Forvetler!N52="","",Forvetler!N52)</f>
        <v/>
      </c>
      <c r="N850" t="str">
        <f>IF(Forvetler!O52="","",Forvetler!O52)</f>
        <v/>
      </c>
      <c r="O850" t="str">
        <f>IF(Forvetler!P52="","",Forvetler!P52)</f>
        <v/>
      </c>
      <c r="P850" t="str">
        <f>IF(Forvetler!Q52="","",Forvetler!Q52)</f>
        <v/>
      </c>
      <c r="Q850" t="str">
        <f>IF(Forvetler!R52="","",Forvetler!R52)</f>
        <v/>
      </c>
      <c r="R850" t="str">
        <f>IF(Forvetler!S52="","",Forvetler!S52)</f>
        <v/>
      </c>
      <c r="S850" t="str">
        <f>IF(Forvetler!T52="","",Forvetler!T52)</f>
        <v/>
      </c>
      <c r="T850" s="2" t="str">
        <f>IF(Forvetler!U52="","",Forvetler!U52)</f>
        <v/>
      </c>
      <c r="U850" t="s">
        <v>934</v>
      </c>
      <c r="V850">
        <v>52</v>
      </c>
      <c r="W850" t="str">
        <f ca="1">IF(AND($A850&lt;&gt;"",ISNUMBER($G850),$G850&gt;=TODAY(),$G850&lt;=EDATE(TODAY(),12)),COUNTIFS($G$2:$G$1001,"&gt;="&amp;TODAY(),$G$2:$G$1001,"&lt;"&amp;$G850,$A$2:$A$1001,"&lt;&gt;")+COUNTIFS($G$2:$G850,$G850,$A$2:$A850,"&lt;&gt;"),"")</f>
        <v/>
      </c>
      <c r="X850" t="str">
        <f>IF(AND($A850&lt;&gt;"",ISNUMBER($C850),$C850&gt;=DATE(2003,1,1)),COUNTIFS($C$2:$C850,"&gt;="&amp;DATE(2003,1,1),$A$2:$A850,"&lt;&gt;"),"")</f>
        <v/>
      </c>
    </row>
    <row r="851" spans="1:24">
      <c r="A851" t="str">
        <f>IF(Forvetler!A53="","",Forvetler!A53)</f>
        <v/>
      </c>
      <c r="B851" t="str">
        <f>IF(Forvetler!B53="","",Forvetler!B53)</f>
        <v/>
      </c>
      <c r="C851" s="2" t="str">
        <f>IF(Forvetler!C53="","",Forvetler!C53)</f>
        <v/>
      </c>
      <c r="D851" t="str">
        <f ca="1">IF(Forvetler!D53="","",Forvetler!D53)</f>
        <v/>
      </c>
      <c r="E851" t="str">
        <f>IF(Forvetler!E53="","",Forvetler!E53)</f>
        <v>Forvet</v>
      </c>
      <c r="F851" t="str">
        <f>IF(Forvetler!G53="","",Forvetler!G53)</f>
        <v/>
      </c>
      <c r="G851" s="2" t="str">
        <f>IF(Forvetler!H53="","",Forvetler!H53)</f>
        <v/>
      </c>
      <c r="H851" t="str">
        <f>IF(Forvetler!I53="","",Forvetler!I53)</f>
        <v/>
      </c>
      <c r="I851" t="str">
        <f>IF(Forvetler!A53="","",Forvetler!J53)</f>
        <v/>
      </c>
      <c r="J851" t="str">
        <f>IF(Forvetler!A53="","",Forvetler!K53)</f>
        <v/>
      </c>
      <c r="K851" t="str">
        <f>IF(Forvetler!L53="","",Forvetler!L53)</f>
        <v/>
      </c>
      <c r="L851" t="str">
        <f>IF(Forvetler!M53="","",Forvetler!M53)</f>
        <v/>
      </c>
      <c r="M851" t="str">
        <f>IF(Forvetler!N53="","",Forvetler!N53)</f>
        <v/>
      </c>
      <c r="N851" t="str">
        <f>IF(Forvetler!O53="","",Forvetler!O53)</f>
        <v/>
      </c>
      <c r="O851" t="str">
        <f>IF(Forvetler!P53="","",Forvetler!P53)</f>
        <v/>
      </c>
      <c r="P851" t="str">
        <f>IF(Forvetler!Q53="","",Forvetler!Q53)</f>
        <v/>
      </c>
      <c r="Q851" t="str">
        <f>IF(Forvetler!R53="","",Forvetler!R53)</f>
        <v/>
      </c>
      <c r="R851" t="str">
        <f>IF(Forvetler!S53="","",Forvetler!S53)</f>
        <v/>
      </c>
      <c r="S851" t="str">
        <f>IF(Forvetler!T53="","",Forvetler!T53)</f>
        <v/>
      </c>
      <c r="T851" s="2" t="str">
        <f>IF(Forvetler!U53="","",Forvetler!U53)</f>
        <v/>
      </c>
      <c r="U851" t="s">
        <v>934</v>
      </c>
      <c r="V851">
        <v>53</v>
      </c>
      <c r="W851" t="str">
        <f ca="1">IF(AND($A851&lt;&gt;"",ISNUMBER($G851),$G851&gt;=TODAY(),$G851&lt;=EDATE(TODAY(),12)),COUNTIFS($G$2:$G$1001,"&gt;="&amp;TODAY(),$G$2:$G$1001,"&lt;"&amp;$G851,$A$2:$A$1001,"&lt;&gt;")+COUNTIFS($G$2:$G851,$G851,$A$2:$A851,"&lt;&gt;"),"")</f>
        <v/>
      </c>
      <c r="X851" t="str">
        <f>IF(AND($A851&lt;&gt;"",ISNUMBER($C851),$C851&gt;=DATE(2003,1,1)),COUNTIFS($C$2:$C851,"&gt;="&amp;DATE(2003,1,1),$A$2:$A851,"&lt;&gt;"),"")</f>
        <v/>
      </c>
    </row>
    <row r="852" spans="1:24">
      <c r="A852" t="str">
        <f>IF(Forvetler!A54="","",Forvetler!A54)</f>
        <v/>
      </c>
      <c r="B852" t="str">
        <f>IF(Forvetler!B54="","",Forvetler!B54)</f>
        <v/>
      </c>
      <c r="C852" s="2" t="str">
        <f>IF(Forvetler!C54="","",Forvetler!C54)</f>
        <v/>
      </c>
      <c r="D852" t="str">
        <f ca="1">IF(Forvetler!D54="","",Forvetler!D54)</f>
        <v/>
      </c>
      <c r="E852" t="str">
        <f>IF(Forvetler!E54="","",Forvetler!E54)</f>
        <v>Forvet</v>
      </c>
      <c r="F852" t="str">
        <f>IF(Forvetler!G54="","",Forvetler!G54)</f>
        <v/>
      </c>
      <c r="G852" s="2" t="str">
        <f>IF(Forvetler!H54="","",Forvetler!H54)</f>
        <v/>
      </c>
      <c r="H852" t="str">
        <f>IF(Forvetler!I54="","",Forvetler!I54)</f>
        <v/>
      </c>
      <c r="I852" t="str">
        <f>IF(Forvetler!A54="","",Forvetler!J54)</f>
        <v/>
      </c>
      <c r="J852" t="str">
        <f>IF(Forvetler!A54="","",Forvetler!K54)</f>
        <v/>
      </c>
      <c r="K852" t="str">
        <f>IF(Forvetler!L54="","",Forvetler!L54)</f>
        <v/>
      </c>
      <c r="L852" t="str">
        <f>IF(Forvetler!M54="","",Forvetler!M54)</f>
        <v/>
      </c>
      <c r="M852" t="str">
        <f>IF(Forvetler!N54="","",Forvetler!N54)</f>
        <v/>
      </c>
      <c r="N852" t="str">
        <f>IF(Forvetler!O54="","",Forvetler!O54)</f>
        <v/>
      </c>
      <c r="O852" t="str">
        <f>IF(Forvetler!P54="","",Forvetler!P54)</f>
        <v/>
      </c>
      <c r="P852" t="str">
        <f>IF(Forvetler!Q54="","",Forvetler!Q54)</f>
        <v/>
      </c>
      <c r="Q852" t="str">
        <f>IF(Forvetler!R54="","",Forvetler!R54)</f>
        <v/>
      </c>
      <c r="R852" t="str">
        <f>IF(Forvetler!S54="","",Forvetler!S54)</f>
        <v/>
      </c>
      <c r="S852" t="str">
        <f>IF(Forvetler!T54="","",Forvetler!T54)</f>
        <v/>
      </c>
      <c r="T852" s="2" t="str">
        <f>IF(Forvetler!U54="","",Forvetler!U54)</f>
        <v/>
      </c>
      <c r="U852" t="s">
        <v>934</v>
      </c>
      <c r="V852">
        <v>54</v>
      </c>
      <c r="W852" t="str">
        <f ca="1">IF(AND($A852&lt;&gt;"",ISNUMBER($G852),$G852&gt;=TODAY(),$G852&lt;=EDATE(TODAY(),12)),COUNTIFS($G$2:$G$1001,"&gt;="&amp;TODAY(),$G$2:$G$1001,"&lt;"&amp;$G852,$A$2:$A$1001,"&lt;&gt;")+COUNTIFS($G$2:$G852,$G852,$A$2:$A852,"&lt;&gt;"),"")</f>
        <v/>
      </c>
      <c r="X852" t="str">
        <f>IF(AND($A852&lt;&gt;"",ISNUMBER($C852),$C852&gt;=DATE(2003,1,1)),COUNTIFS($C$2:$C852,"&gt;="&amp;DATE(2003,1,1),$A$2:$A852,"&lt;&gt;"),"")</f>
        <v/>
      </c>
    </row>
    <row r="853" spans="1:24">
      <c r="A853" t="str">
        <f>IF(Forvetler!A55="","",Forvetler!A55)</f>
        <v/>
      </c>
      <c r="B853" t="str">
        <f>IF(Forvetler!B55="","",Forvetler!B55)</f>
        <v/>
      </c>
      <c r="C853" s="2" t="str">
        <f>IF(Forvetler!C55="","",Forvetler!C55)</f>
        <v/>
      </c>
      <c r="D853" t="str">
        <f ca="1">IF(Forvetler!D55="","",Forvetler!D55)</f>
        <v/>
      </c>
      <c r="E853" t="str">
        <f>IF(Forvetler!E55="","",Forvetler!E55)</f>
        <v>Forvet</v>
      </c>
      <c r="F853" t="str">
        <f>IF(Forvetler!G55="","",Forvetler!G55)</f>
        <v/>
      </c>
      <c r="G853" s="2" t="str">
        <f>IF(Forvetler!H55="","",Forvetler!H55)</f>
        <v/>
      </c>
      <c r="H853" t="str">
        <f>IF(Forvetler!I55="","",Forvetler!I55)</f>
        <v/>
      </c>
      <c r="I853" t="str">
        <f>IF(Forvetler!A55="","",Forvetler!J55)</f>
        <v/>
      </c>
      <c r="J853" t="str">
        <f>IF(Forvetler!A55="","",Forvetler!K55)</f>
        <v/>
      </c>
      <c r="K853" t="str">
        <f>IF(Forvetler!L55="","",Forvetler!L55)</f>
        <v/>
      </c>
      <c r="L853" t="str">
        <f>IF(Forvetler!M55="","",Forvetler!M55)</f>
        <v/>
      </c>
      <c r="M853" t="str">
        <f>IF(Forvetler!N55="","",Forvetler!N55)</f>
        <v/>
      </c>
      <c r="N853" t="str">
        <f>IF(Forvetler!O55="","",Forvetler!O55)</f>
        <v/>
      </c>
      <c r="O853" t="str">
        <f>IF(Forvetler!P55="","",Forvetler!P55)</f>
        <v/>
      </c>
      <c r="P853" t="str">
        <f>IF(Forvetler!Q55="","",Forvetler!Q55)</f>
        <v/>
      </c>
      <c r="Q853" t="str">
        <f>IF(Forvetler!R55="","",Forvetler!R55)</f>
        <v/>
      </c>
      <c r="R853" t="str">
        <f>IF(Forvetler!S55="","",Forvetler!S55)</f>
        <v/>
      </c>
      <c r="S853" t="str">
        <f>IF(Forvetler!T55="","",Forvetler!T55)</f>
        <v/>
      </c>
      <c r="T853" s="2" t="str">
        <f>IF(Forvetler!U55="","",Forvetler!U55)</f>
        <v/>
      </c>
      <c r="U853" t="s">
        <v>934</v>
      </c>
      <c r="V853">
        <v>55</v>
      </c>
      <c r="W853" t="str">
        <f ca="1">IF(AND($A853&lt;&gt;"",ISNUMBER($G853),$G853&gt;=TODAY(),$G853&lt;=EDATE(TODAY(),12)),COUNTIFS($G$2:$G$1001,"&gt;="&amp;TODAY(),$G$2:$G$1001,"&lt;"&amp;$G853,$A$2:$A$1001,"&lt;&gt;")+COUNTIFS($G$2:$G853,$G853,$A$2:$A853,"&lt;&gt;"),"")</f>
        <v/>
      </c>
      <c r="X853" t="str">
        <f>IF(AND($A853&lt;&gt;"",ISNUMBER($C853),$C853&gt;=DATE(2003,1,1)),COUNTIFS($C$2:$C853,"&gt;="&amp;DATE(2003,1,1),$A$2:$A853,"&lt;&gt;"),"")</f>
        <v/>
      </c>
    </row>
    <row r="854" spans="1:24">
      <c r="A854" t="str">
        <f>IF(Forvetler!A56="","",Forvetler!A56)</f>
        <v/>
      </c>
      <c r="B854" t="str">
        <f>IF(Forvetler!B56="","",Forvetler!B56)</f>
        <v/>
      </c>
      <c r="C854" s="2" t="str">
        <f>IF(Forvetler!C56="","",Forvetler!C56)</f>
        <v/>
      </c>
      <c r="D854" t="str">
        <f ca="1">IF(Forvetler!D56="","",Forvetler!D56)</f>
        <v/>
      </c>
      <c r="E854" t="str">
        <f>IF(Forvetler!E56="","",Forvetler!E56)</f>
        <v>Forvet</v>
      </c>
      <c r="F854" t="str">
        <f>IF(Forvetler!G56="","",Forvetler!G56)</f>
        <v/>
      </c>
      <c r="G854" s="2" t="str">
        <f>IF(Forvetler!H56="","",Forvetler!H56)</f>
        <v/>
      </c>
      <c r="H854" t="str">
        <f>IF(Forvetler!I56="","",Forvetler!I56)</f>
        <v/>
      </c>
      <c r="I854" t="str">
        <f>IF(Forvetler!A56="","",Forvetler!J56)</f>
        <v/>
      </c>
      <c r="J854" t="str">
        <f>IF(Forvetler!A56="","",Forvetler!K56)</f>
        <v/>
      </c>
      <c r="K854" t="str">
        <f>IF(Forvetler!L56="","",Forvetler!L56)</f>
        <v/>
      </c>
      <c r="L854" t="str">
        <f>IF(Forvetler!M56="","",Forvetler!M56)</f>
        <v/>
      </c>
      <c r="M854" t="str">
        <f>IF(Forvetler!N56="","",Forvetler!N56)</f>
        <v/>
      </c>
      <c r="N854" t="str">
        <f>IF(Forvetler!O56="","",Forvetler!O56)</f>
        <v/>
      </c>
      <c r="O854" t="str">
        <f>IF(Forvetler!P56="","",Forvetler!P56)</f>
        <v/>
      </c>
      <c r="P854" t="str">
        <f>IF(Forvetler!Q56="","",Forvetler!Q56)</f>
        <v/>
      </c>
      <c r="Q854" t="str">
        <f>IF(Forvetler!R56="","",Forvetler!R56)</f>
        <v/>
      </c>
      <c r="R854" t="str">
        <f>IF(Forvetler!S56="","",Forvetler!S56)</f>
        <v/>
      </c>
      <c r="S854" t="str">
        <f>IF(Forvetler!T56="","",Forvetler!T56)</f>
        <v/>
      </c>
      <c r="T854" s="2" t="str">
        <f>IF(Forvetler!U56="","",Forvetler!U56)</f>
        <v/>
      </c>
      <c r="U854" t="s">
        <v>934</v>
      </c>
      <c r="V854">
        <v>56</v>
      </c>
      <c r="W854" t="str">
        <f ca="1">IF(AND($A854&lt;&gt;"",ISNUMBER($G854),$G854&gt;=TODAY(),$G854&lt;=EDATE(TODAY(),12)),COUNTIFS($G$2:$G$1001,"&gt;="&amp;TODAY(),$G$2:$G$1001,"&lt;"&amp;$G854,$A$2:$A$1001,"&lt;&gt;")+COUNTIFS($G$2:$G854,$G854,$A$2:$A854,"&lt;&gt;"),"")</f>
        <v/>
      </c>
      <c r="X854" t="str">
        <f>IF(AND($A854&lt;&gt;"",ISNUMBER($C854),$C854&gt;=DATE(2003,1,1)),COUNTIFS($C$2:$C854,"&gt;="&amp;DATE(2003,1,1),$A$2:$A854,"&lt;&gt;"),"")</f>
        <v/>
      </c>
    </row>
    <row r="855" spans="1:24">
      <c r="A855" t="str">
        <f>IF(Forvetler!A57="","",Forvetler!A57)</f>
        <v/>
      </c>
      <c r="B855" t="str">
        <f>IF(Forvetler!B57="","",Forvetler!B57)</f>
        <v/>
      </c>
      <c r="C855" s="2" t="str">
        <f>IF(Forvetler!C57="","",Forvetler!C57)</f>
        <v/>
      </c>
      <c r="D855" t="str">
        <f ca="1">IF(Forvetler!D57="","",Forvetler!D57)</f>
        <v/>
      </c>
      <c r="E855" t="str">
        <f>IF(Forvetler!E57="","",Forvetler!E57)</f>
        <v>Forvet</v>
      </c>
      <c r="F855" t="str">
        <f>IF(Forvetler!G57="","",Forvetler!G57)</f>
        <v/>
      </c>
      <c r="G855" s="2" t="str">
        <f>IF(Forvetler!H57="","",Forvetler!H57)</f>
        <v/>
      </c>
      <c r="H855" t="str">
        <f>IF(Forvetler!I57="","",Forvetler!I57)</f>
        <v/>
      </c>
      <c r="I855" t="str">
        <f>IF(Forvetler!A57="","",Forvetler!J57)</f>
        <v/>
      </c>
      <c r="J855" t="str">
        <f>IF(Forvetler!A57="","",Forvetler!K57)</f>
        <v/>
      </c>
      <c r="K855" t="str">
        <f>IF(Forvetler!L57="","",Forvetler!L57)</f>
        <v/>
      </c>
      <c r="L855" t="str">
        <f>IF(Forvetler!M57="","",Forvetler!M57)</f>
        <v/>
      </c>
      <c r="M855" t="str">
        <f>IF(Forvetler!N57="","",Forvetler!N57)</f>
        <v/>
      </c>
      <c r="N855" t="str">
        <f>IF(Forvetler!O57="","",Forvetler!O57)</f>
        <v/>
      </c>
      <c r="O855" t="str">
        <f>IF(Forvetler!P57="","",Forvetler!P57)</f>
        <v/>
      </c>
      <c r="P855" t="str">
        <f>IF(Forvetler!Q57="","",Forvetler!Q57)</f>
        <v/>
      </c>
      <c r="Q855" t="str">
        <f>IF(Forvetler!R57="","",Forvetler!R57)</f>
        <v/>
      </c>
      <c r="R855" t="str">
        <f>IF(Forvetler!S57="","",Forvetler!S57)</f>
        <v/>
      </c>
      <c r="S855" t="str">
        <f>IF(Forvetler!T57="","",Forvetler!T57)</f>
        <v/>
      </c>
      <c r="T855" s="2" t="str">
        <f>IF(Forvetler!U57="","",Forvetler!U57)</f>
        <v/>
      </c>
      <c r="U855" t="s">
        <v>934</v>
      </c>
      <c r="V855">
        <v>57</v>
      </c>
      <c r="W855" t="str">
        <f ca="1">IF(AND($A855&lt;&gt;"",ISNUMBER($G855),$G855&gt;=TODAY(),$G855&lt;=EDATE(TODAY(),12)),COUNTIFS($G$2:$G$1001,"&gt;="&amp;TODAY(),$G$2:$G$1001,"&lt;"&amp;$G855,$A$2:$A$1001,"&lt;&gt;")+COUNTIFS($G$2:$G855,$G855,$A$2:$A855,"&lt;&gt;"),"")</f>
        <v/>
      </c>
      <c r="X855" t="str">
        <f>IF(AND($A855&lt;&gt;"",ISNUMBER($C855),$C855&gt;=DATE(2003,1,1)),COUNTIFS($C$2:$C855,"&gt;="&amp;DATE(2003,1,1),$A$2:$A855,"&lt;&gt;"),"")</f>
        <v/>
      </c>
    </row>
    <row r="856" spans="1:24">
      <c r="A856" t="str">
        <f>IF(Forvetler!A58="","",Forvetler!A58)</f>
        <v/>
      </c>
      <c r="B856" t="str">
        <f>IF(Forvetler!B58="","",Forvetler!B58)</f>
        <v/>
      </c>
      <c r="C856" s="2" t="str">
        <f>IF(Forvetler!C58="","",Forvetler!C58)</f>
        <v/>
      </c>
      <c r="D856" t="str">
        <f ca="1">IF(Forvetler!D58="","",Forvetler!D58)</f>
        <v/>
      </c>
      <c r="E856" t="str">
        <f>IF(Forvetler!E58="","",Forvetler!E58)</f>
        <v>Forvet</v>
      </c>
      <c r="F856" t="str">
        <f>IF(Forvetler!G58="","",Forvetler!G58)</f>
        <v/>
      </c>
      <c r="G856" s="2" t="str">
        <f>IF(Forvetler!H58="","",Forvetler!H58)</f>
        <v/>
      </c>
      <c r="H856" t="str">
        <f>IF(Forvetler!I58="","",Forvetler!I58)</f>
        <v/>
      </c>
      <c r="I856" t="str">
        <f>IF(Forvetler!A58="","",Forvetler!J58)</f>
        <v/>
      </c>
      <c r="J856" t="str">
        <f>IF(Forvetler!A58="","",Forvetler!K58)</f>
        <v/>
      </c>
      <c r="K856" t="str">
        <f>IF(Forvetler!L58="","",Forvetler!L58)</f>
        <v/>
      </c>
      <c r="L856" t="str">
        <f>IF(Forvetler!M58="","",Forvetler!M58)</f>
        <v/>
      </c>
      <c r="M856" t="str">
        <f>IF(Forvetler!N58="","",Forvetler!N58)</f>
        <v/>
      </c>
      <c r="N856" t="str">
        <f>IF(Forvetler!O58="","",Forvetler!O58)</f>
        <v/>
      </c>
      <c r="O856" t="str">
        <f>IF(Forvetler!P58="","",Forvetler!P58)</f>
        <v/>
      </c>
      <c r="P856" t="str">
        <f>IF(Forvetler!Q58="","",Forvetler!Q58)</f>
        <v/>
      </c>
      <c r="Q856" t="str">
        <f>IF(Forvetler!R58="","",Forvetler!R58)</f>
        <v/>
      </c>
      <c r="R856" t="str">
        <f>IF(Forvetler!S58="","",Forvetler!S58)</f>
        <v/>
      </c>
      <c r="S856" t="str">
        <f>IF(Forvetler!T58="","",Forvetler!T58)</f>
        <v/>
      </c>
      <c r="T856" s="2" t="str">
        <f>IF(Forvetler!U58="","",Forvetler!U58)</f>
        <v/>
      </c>
      <c r="U856" t="s">
        <v>934</v>
      </c>
      <c r="V856">
        <v>58</v>
      </c>
      <c r="W856" t="str">
        <f ca="1">IF(AND($A856&lt;&gt;"",ISNUMBER($G856),$G856&gt;=TODAY(),$G856&lt;=EDATE(TODAY(),12)),COUNTIFS($G$2:$G$1001,"&gt;="&amp;TODAY(),$G$2:$G$1001,"&lt;"&amp;$G856,$A$2:$A$1001,"&lt;&gt;")+COUNTIFS($G$2:$G856,$G856,$A$2:$A856,"&lt;&gt;"),"")</f>
        <v/>
      </c>
      <c r="X856" t="str">
        <f>IF(AND($A856&lt;&gt;"",ISNUMBER($C856),$C856&gt;=DATE(2003,1,1)),COUNTIFS($C$2:$C856,"&gt;="&amp;DATE(2003,1,1),$A$2:$A856,"&lt;&gt;"),"")</f>
        <v/>
      </c>
    </row>
    <row r="857" spans="1:24">
      <c r="A857" t="str">
        <f>IF(Forvetler!A59="","",Forvetler!A59)</f>
        <v/>
      </c>
      <c r="B857" t="str">
        <f>IF(Forvetler!B59="","",Forvetler!B59)</f>
        <v/>
      </c>
      <c r="C857" s="2" t="str">
        <f>IF(Forvetler!C59="","",Forvetler!C59)</f>
        <v/>
      </c>
      <c r="D857" t="str">
        <f ca="1">IF(Forvetler!D59="","",Forvetler!D59)</f>
        <v/>
      </c>
      <c r="E857" t="str">
        <f>IF(Forvetler!E59="","",Forvetler!E59)</f>
        <v>Forvet</v>
      </c>
      <c r="F857" t="str">
        <f>IF(Forvetler!G59="","",Forvetler!G59)</f>
        <v/>
      </c>
      <c r="G857" s="2" t="str">
        <f>IF(Forvetler!H59="","",Forvetler!H59)</f>
        <v/>
      </c>
      <c r="H857" t="str">
        <f>IF(Forvetler!I59="","",Forvetler!I59)</f>
        <v/>
      </c>
      <c r="I857" t="str">
        <f>IF(Forvetler!A59="","",Forvetler!J59)</f>
        <v/>
      </c>
      <c r="J857" t="str">
        <f>IF(Forvetler!A59="","",Forvetler!K59)</f>
        <v/>
      </c>
      <c r="K857" t="str">
        <f>IF(Forvetler!L59="","",Forvetler!L59)</f>
        <v/>
      </c>
      <c r="L857" t="str">
        <f>IF(Forvetler!M59="","",Forvetler!M59)</f>
        <v/>
      </c>
      <c r="M857" t="str">
        <f>IF(Forvetler!N59="","",Forvetler!N59)</f>
        <v/>
      </c>
      <c r="N857" t="str">
        <f>IF(Forvetler!O59="","",Forvetler!O59)</f>
        <v/>
      </c>
      <c r="O857" t="str">
        <f>IF(Forvetler!P59="","",Forvetler!P59)</f>
        <v/>
      </c>
      <c r="P857" t="str">
        <f>IF(Forvetler!Q59="","",Forvetler!Q59)</f>
        <v/>
      </c>
      <c r="Q857" t="str">
        <f>IF(Forvetler!R59="","",Forvetler!R59)</f>
        <v/>
      </c>
      <c r="R857" t="str">
        <f>IF(Forvetler!S59="","",Forvetler!S59)</f>
        <v/>
      </c>
      <c r="S857" t="str">
        <f>IF(Forvetler!T59="","",Forvetler!T59)</f>
        <v/>
      </c>
      <c r="T857" s="2" t="str">
        <f>IF(Forvetler!U59="","",Forvetler!U59)</f>
        <v/>
      </c>
      <c r="U857" t="s">
        <v>934</v>
      </c>
      <c r="V857">
        <v>59</v>
      </c>
      <c r="W857" t="str">
        <f ca="1">IF(AND($A857&lt;&gt;"",ISNUMBER($G857),$G857&gt;=TODAY(),$G857&lt;=EDATE(TODAY(),12)),COUNTIFS($G$2:$G$1001,"&gt;="&amp;TODAY(),$G$2:$G$1001,"&lt;"&amp;$G857,$A$2:$A$1001,"&lt;&gt;")+COUNTIFS($G$2:$G857,$G857,$A$2:$A857,"&lt;&gt;"),"")</f>
        <v/>
      </c>
      <c r="X857" t="str">
        <f>IF(AND($A857&lt;&gt;"",ISNUMBER($C857),$C857&gt;=DATE(2003,1,1)),COUNTIFS($C$2:$C857,"&gt;="&amp;DATE(2003,1,1),$A$2:$A857,"&lt;&gt;"),"")</f>
        <v/>
      </c>
    </row>
    <row r="858" spans="1:24">
      <c r="A858" t="str">
        <f>IF(Forvetler!A60="","",Forvetler!A60)</f>
        <v/>
      </c>
      <c r="B858" t="str">
        <f>IF(Forvetler!B60="","",Forvetler!B60)</f>
        <v/>
      </c>
      <c r="C858" s="2" t="str">
        <f>IF(Forvetler!C60="","",Forvetler!C60)</f>
        <v/>
      </c>
      <c r="D858" t="str">
        <f ca="1">IF(Forvetler!D60="","",Forvetler!D60)</f>
        <v/>
      </c>
      <c r="E858" t="str">
        <f>IF(Forvetler!E60="","",Forvetler!E60)</f>
        <v>Forvet</v>
      </c>
      <c r="F858" t="str">
        <f>IF(Forvetler!G60="","",Forvetler!G60)</f>
        <v/>
      </c>
      <c r="G858" s="2" t="str">
        <f>IF(Forvetler!H60="","",Forvetler!H60)</f>
        <v/>
      </c>
      <c r="H858" t="str">
        <f>IF(Forvetler!I60="","",Forvetler!I60)</f>
        <v/>
      </c>
      <c r="I858" t="str">
        <f>IF(Forvetler!A60="","",Forvetler!J60)</f>
        <v/>
      </c>
      <c r="J858" t="str">
        <f>IF(Forvetler!A60="","",Forvetler!K60)</f>
        <v/>
      </c>
      <c r="K858" t="str">
        <f>IF(Forvetler!L60="","",Forvetler!L60)</f>
        <v/>
      </c>
      <c r="L858" t="str">
        <f>IF(Forvetler!M60="","",Forvetler!M60)</f>
        <v/>
      </c>
      <c r="M858" t="str">
        <f>IF(Forvetler!N60="","",Forvetler!N60)</f>
        <v/>
      </c>
      <c r="N858" t="str">
        <f>IF(Forvetler!O60="","",Forvetler!O60)</f>
        <v/>
      </c>
      <c r="O858" t="str">
        <f>IF(Forvetler!P60="","",Forvetler!P60)</f>
        <v/>
      </c>
      <c r="P858" t="str">
        <f>IF(Forvetler!Q60="","",Forvetler!Q60)</f>
        <v/>
      </c>
      <c r="Q858" t="str">
        <f>IF(Forvetler!R60="","",Forvetler!R60)</f>
        <v/>
      </c>
      <c r="R858" t="str">
        <f>IF(Forvetler!S60="","",Forvetler!S60)</f>
        <v/>
      </c>
      <c r="S858" t="str">
        <f>IF(Forvetler!T60="","",Forvetler!T60)</f>
        <v/>
      </c>
      <c r="T858" s="2" t="str">
        <f>IF(Forvetler!U60="","",Forvetler!U60)</f>
        <v/>
      </c>
      <c r="U858" t="s">
        <v>934</v>
      </c>
      <c r="V858">
        <v>60</v>
      </c>
      <c r="W858" t="str">
        <f ca="1">IF(AND($A858&lt;&gt;"",ISNUMBER($G858),$G858&gt;=TODAY(),$G858&lt;=EDATE(TODAY(),12)),COUNTIFS($G$2:$G$1001,"&gt;="&amp;TODAY(),$G$2:$G$1001,"&lt;"&amp;$G858,$A$2:$A$1001,"&lt;&gt;")+COUNTIFS($G$2:$G858,$G858,$A$2:$A858,"&lt;&gt;"),"")</f>
        <v/>
      </c>
      <c r="X858" t="str">
        <f>IF(AND($A858&lt;&gt;"",ISNUMBER($C858),$C858&gt;=DATE(2003,1,1)),COUNTIFS($C$2:$C858,"&gt;="&amp;DATE(2003,1,1),$A$2:$A858,"&lt;&gt;"),"")</f>
        <v/>
      </c>
    </row>
    <row r="859" spans="1:24">
      <c r="A859" t="str">
        <f>IF(Forvetler!A61="","",Forvetler!A61)</f>
        <v/>
      </c>
      <c r="B859" t="str">
        <f>IF(Forvetler!B61="","",Forvetler!B61)</f>
        <v/>
      </c>
      <c r="C859" s="2" t="str">
        <f>IF(Forvetler!C61="","",Forvetler!C61)</f>
        <v/>
      </c>
      <c r="D859" t="str">
        <f ca="1">IF(Forvetler!D61="","",Forvetler!D61)</f>
        <v/>
      </c>
      <c r="E859" t="str">
        <f>IF(Forvetler!E61="","",Forvetler!E61)</f>
        <v>Forvet</v>
      </c>
      <c r="F859" t="str">
        <f>IF(Forvetler!G61="","",Forvetler!G61)</f>
        <v/>
      </c>
      <c r="G859" s="2" t="str">
        <f>IF(Forvetler!H61="","",Forvetler!H61)</f>
        <v/>
      </c>
      <c r="H859" t="str">
        <f>IF(Forvetler!I61="","",Forvetler!I61)</f>
        <v/>
      </c>
      <c r="I859" t="str">
        <f>IF(Forvetler!A61="","",Forvetler!J61)</f>
        <v/>
      </c>
      <c r="J859" t="str">
        <f>IF(Forvetler!A61="","",Forvetler!K61)</f>
        <v/>
      </c>
      <c r="K859" t="str">
        <f>IF(Forvetler!L61="","",Forvetler!L61)</f>
        <v/>
      </c>
      <c r="L859" t="str">
        <f>IF(Forvetler!M61="","",Forvetler!M61)</f>
        <v/>
      </c>
      <c r="M859" t="str">
        <f>IF(Forvetler!N61="","",Forvetler!N61)</f>
        <v/>
      </c>
      <c r="N859" t="str">
        <f>IF(Forvetler!O61="","",Forvetler!O61)</f>
        <v/>
      </c>
      <c r="O859" t="str">
        <f>IF(Forvetler!P61="","",Forvetler!P61)</f>
        <v/>
      </c>
      <c r="P859" t="str">
        <f>IF(Forvetler!Q61="","",Forvetler!Q61)</f>
        <v/>
      </c>
      <c r="Q859" t="str">
        <f>IF(Forvetler!R61="","",Forvetler!R61)</f>
        <v/>
      </c>
      <c r="R859" t="str">
        <f>IF(Forvetler!S61="","",Forvetler!S61)</f>
        <v/>
      </c>
      <c r="S859" t="str">
        <f>IF(Forvetler!T61="","",Forvetler!T61)</f>
        <v/>
      </c>
      <c r="T859" s="2" t="str">
        <f>IF(Forvetler!U61="","",Forvetler!U61)</f>
        <v/>
      </c>
      <c r="U859" t="s">
        <v>934</v>
      </c>
      <c r="V859">
        <v>61</v>
      </c>
      <c r="W859" t="str">
        <f ca="1">IF(AND($A859&lt;&gt;"",ISNUMBER($G859),$G859&gt;=TODAY(),$G859&lt;=EDATE(TODAY(),12)),COUNTIFS($G$2:$G$1001,"&gt;="&amp;TODAY(),$G$2:$G$1001,"&lt;"&amp;$G859,$A$2:$A$1001,"&lt;&gt;")+COUNTIFS($G$2:$G859,$G859,$A$2:$A859,"&lt;&gt;"),"")</f>
        <v/>
      </c>
      <c r="X859" t="str">
        <f>IF(AND($A859&lt;&gt;"",ISNUMBER($C859),$C859&gt;=DATE(2003,1,1)),COUNTIFS($C$2:$C859,"&gt;="&amp;DATE(2003,1,1),$A$2:$A859,"&lt;&gt;"),"")</f>
        <v/>
      </c>
    </row>
    <row r="860" spans="1:24">
      <c r="A860" t="str">
        <f>IF(Forvetler!A62="","",Forvetler!A62)</f>
        <v/>
      </c>
      <c r="B860" t="str">
        <f>IF(Forvetler!B62="","",Forvetler!B62)</f>
        <v/>
      </c>
      <c r="C860" s="2" t="str">
        <f>IF(Forvetler!C62="","",Forvetler!C62)</f>
        <v/>
      </c>
      <c r="D860" t="str">
        <f ca="1">IF(Forvetler!D62="","",Forvetler!D62)</f>
        <v/>
      </c>
      <c r="E860" t="str">
        <f>IF(Forvetler!E62="","",Forvetler!E62)</f>
        <v>Forvet</v>
      </c>
      <c r="F860" t="str">
        <f>IF(Forvetler!G62="","",Forvetler!G62)</f>
        <v/>
      </c>
      <c r="G860" s="2" t="str">
        <f>IF(Forvetler!H62="","",Forvetler!H62)</f>
        <v/>
      </c>
      <c r="H860" t="str">
        <f>IF(Forvetler!I62="","",Forvetler!I62)</f>
        <v/>
      </c>
      <c r="I860" t="str">
        <f>IF(Forvetler!A62="","",Forvetler!J62)</f>
        <v/>
      </c>
      <c r="J860" t="str">
        <f>IF(Forvetler!A62="","",Forvetler!K62)</f>
        <v/>
      </c>
      <c r="K860" t="str">
        <f>IF(Forvetler!L62="","",Forvetler!L62)</f>
        <v/>
      </c>
      <c r="L860" t="str">
        <f>IF(Forvetler!M62="","",Forvetler!M62)</f>
        <v/>
      </c>
      <c r="M860" t="str">
        <f>IF(Forvetler!N62="","",Forvetler!N62)</f>
        <v/>
      </c>
      <c r="N860" t="str">
        <f>IF(Forvetler!O62="","",Forvetler!O62)</f>
        <v/>
      </c>
      <c r="O860" t="str">
        <f>IF(Forvetler!P62="","",Forvetler!P62)</f>
        <v/>
      </c>
      <c r="P860" t="str">
        <f>IF(Forvetler!Q62="","",Forvetler!Q62)</f>
        <v/>
      </c>
      <c r="Q860" t="str">
        <f>IF(Forvetler!R62="","",Forvetler!R62)</f>
        <v/>
      </c>
      <c r="R860" t="str">
        <f>IF(Forvetler!S62="","",Forvetler!S62)</f>
        <v/>
      </c>
      <c r="S860" t="str">
        <f>IF(Forvetler!T62="","",Forvetler!T62)</f>
        <v/>
      </c>
      <c r="T860" s="2" t="str">
        <f>IF(Forvetler!U62="","",Forvetler!U62)</f>
        <v/>
      </c>
      <c r="U860" t="s">
        <v>934</v>
      </c>
      <c r="V860">
        <v>62</v>
      </c>
      <c r="W860" t="str">
        <f ca="1">IF(AND($A860&lt;&gt;"",ISNUMBER($G860),$G860&gt;=TODAY(),$G860&lt;=EDATE(TODAY(),12)),COUNTIFS($G$2:$G$1001,"&gt;="&amp;TODAY(),$G$2:$G$1001,"&lt;"&amp;$G860,$A$2:$A$1001,"&lt;&gt;")+COUNTIFS($G$2:$G860,$G860,$A$2:$A860,"&lt;&gt;"),"")</f>
        <v/>
      </c>
      <c r="X860" t="str">
        <f>IF(AND($A860&lt;&gt;"",ISNUMBER($C860),$C860&gt;=DATE(2003,1,1)),COUNTIFS($C$2:$C860,"&gt;="&amp;DATE(2003,1,1),$A$2:$A860,"&lt;&gt;"),"")</f>
        <v/>
      </c>
    </row>
    <row r="861" spans="1:24">
      <c r="A861" t="str">
        <f>IF(Forvetler!A63="","",Forvetler!A63)</f>
        <v/>
      </c>
      <c r="B861" t="str">
        <f>IF(Forvetler!B63="","",Forvetler!B63)</f>
        <v/>
      </c>
      <c r="C861" s="2" t="str">
        <f>IF(Forvetler!C63="","",Forvetler!C63)</f>
        <v/>
      </c>
      <c r="D861" t="str">
        <f ca="1">IF(Forvetler!D63="","",Forvetler!D63)</f>
        <v/>
      </c>
      <c r="E861" t="str">
        <f>IF(Forvetler!E63="","",Forvetler!E63)</f>
        <v>Forvet</v>
      </c>
      <c r="F861" t="str">
        <f>IF(Forvetler!G63="","",Forvetler!G63)</f>
        <v/>
      </c>
      <c r="G861" s="2" t="str">
        <f>IF(Forvetler!H63="","",Forvetler!H63)</f>
        <v/>
      </c>
      <c r="H861" t="str">
        <f>IF(Forvetler!I63="","",Forvetler!I63)</f>
        <v/>
      </c>
      <c r="I861" t="str">
        <f>IF(Forvetler!A63="","",Forvetler!J63)</f>
        <v/>
      </c>
      <c r="J861" t="str">
        <f>IF(Forvetler!A63="","",Forvetler!K63)</f>
        <v/>
      </c>
      <c r="K861" t="str">
        <f>IF(Forvetler!L63="","",Forvetler!L63)</f>
        <v/>
      </c>
      <c r="L861" t="str">
        <f>IF(Forvetler!M63="","",Forvetler!M63)</f>
        <v/>
      </c>
      <c r="M861" t="str">
        <f>IF(Forvetler!N63="","",Forvetler!N63)</f>
        <v/>
      </c>
      <c r="N861" t="str">
        <f>IF(Forvetler!O63="","",Forvetler!O63)</f>
        <v/>
      </c>
      <c r="O861" t="str">
        <f>IF(Forvetler!P63="","",Forvetler!P63)</f>
        <v/>
      </c>
      <c r="P861" t="str">
        <f>IF(Forvetler!Q63="","",Forvetler!Q63)</f>
        <v/>
      </c>
      <c r="Q861" t="str">
        <f>IF(Forvetler!R63="","",Forvetler!R63)</f>
        <v/>
      </c>
      <c r="R861" t="str">
        <f>IF(Forvetler!S63="","",Forvetler!S63)</f>
        <v/>
      </c>
      <c r="S861" t="str">
        <f>IF(Forvetler!T63="","",Forvetler!T63)</f>
        <v/>
      </c>
      <c r="T861" s="2" t="str">
        <f>IF(Forvetler!U63="","",Forvetler!U63)</f>
        <v/>
      </c>
      <c r="U861" t="s">
        <v>934</v>
      </c>
      <c r="V861">
        <v>63</v>
      </c>
      <c r="W861" t="str">
        <f ca="1">IF(AND($A861&lt;&gt;"",ISNUMBER($G861),$G861&gt;=TODAY(),$G861&lt;=EDATE(TODAY(),12)),COUNTIFS($G$2:$G$1001,"&gt;="&amp;TODAY(),$G$2:$G$1001,"&lt;"&amp;$G861,$A$2:$A$1001,"&lt;&gt;")+COUNTIFS($G$2:$G861,$G861,$A$2:$A861,"&lt;&gt;"),"")</f>
        <v/>
      </c>
      <c r="X861" t="str">
        <f>IF(AND($A861&lt;&gt;"",ISNUMBER($C861),$C861&gt;=DATE(2003,1,1)),COUNTIFS($C$2:$C861,"&gt;="&amp;DATE(2003,1,1),$A$2:$A861,"&lt;&gt;"),"")</f>
        <v/>
      </c>
    </row>
    <row r="862" spans="1:24">
      <c r="A862" t="str">
        <f>IF(Forvetler!A64="","",Forvetler!A64)</f>
        <v/>
      </c>
      <c r="B862" t="str">
        <f>IF(Forvetler!B64="","",Forvetler!B64)</f>
        <v/>
      </c>
      <c r="C862" s="2" t="str">
        <f>IF(Forvetler!C64="","",Forvetler!C64)</f>
        <v/>
      </c>
      <c r="D862" t="str">
        <f ca="1">IF(Forvetler!D64="","",Forvetler!D64)</f>
        <v/>
      </c>
      <c r="E862" t="str">
        <f>IF(Forvetler!E64="","",Forvetler!E64)</f>
        <v>Forvet</v>
      </c>
      <c r="F862" t="str">
        <f>IF(Forvetler!G64="","",Forvetler!G64)</f>
        <v/>
      </c>
      <c r="G862" s="2" t="str">
        <f>IF(Forvetler!H64="","",Forvetler!H64)</f>
        <v/>
      </c>
      <c r="H862" t="str">
        <f>IF(Forvetler!I64="","",Forvetler!I64)</f>
        <v/>
      </c>
      <c r="I862" t="str">
        <f>IF(Forvetler!A64="","",Forvetler!J64)</f>
        <v/>
      </c>
      <c r="J862" t="str">
        <f>IF(Forvetler!A64="","",Forvetler!K64)</f>
        <v/>
      </c>
      <c r="K862" t="str">
        <f>IF(Forvetler!L64="","",Forvetler!L64)</f>
        <v/>
      </c>
      <c r="L862" t="str">
        <f>IF(Forvetler!M64="","",Forvetler!M64)</f>
        <v/>
      </c>
      <c r="M862" t="str">
        <f>IF(Forvetler!N64="","",Forvetler!N64)</f>
        <v/>
      </c>
      <c r="N862" t="str">
        <f>IF(Forvetler!O64="","",Forvetler!O64)</f>
        <v/>
      </c>
      <c r="O862" t="str">
        <f>IF(Forvetler!P64="","",Forvetler!P64)</f>
        <v/>
      </c>
      <c r="P862" t="str">
        <f>IF(Forvetler!Q64="","",Forvetler!Q64)</f>
        <v/>
      </c>
      <c r="Q862" t="str">
        <f>IF(Forvetler!R64="","",Forvetler!R64)</f>
        <v/>
      </c>
      <c r="R862" t="str">
        <f>IF(Forvetler!S64="","",Forvetler!S64)</f>
        <v/>
      </c>
      <c r="S862" t="str">
        <f>IF(Forvetler!T64="","",Forvetler!T64)</f>
        <v/>
      </c>
      <c r="T862" s="2" t="str">
        <f>IF(Forvetler!U64="","",Forvetler!U64)</f>
        <v/>
      </c>
      <c r="U862" t="s">
        <v>934</v>
      </c>
      <c r="V862">
        <v>64</v>
      </c>
      <c r="W862" t="str">
        <f ca="1">IF(AND($A862&lt;&gt;"",ISNUMBER($G862),$G862&gt;=TODAY(),$G862&lt;=EDATE(TODAY(),12)),COUNTIFS($G$2:$G$1001,"&gt;="&amp;TODAY(),$G$2:$G$1001,"&lt;"&amp;$G862,$A$2:$A$1001,"&lt;&gt;")+COUNTIFS($G$2:$G862,$G862,$A$2:$A862,"&lt;&gt;"),"")</f>
        <v/>
      </c>
      <c r="X862" t="str">
        <f>IF(AND($A862&lt;&gt;"",ISNUMBER($C862),$C862&gt;=DATE(2003,1,1)),COUNTIFS($C$2:$C862,"&gt;="&amp;DATE(2003,1,1),$A$2:$A862,"&lt;&gt;"),"")</f>
        <v/>
      </c>
    </row>
    <row r="863" spans="1:24">
      <c r="A863" t="str">
        <f>IF(Forvetler!A65="","",Forvetler!A65)</f>
        <v/>
      </c>
      <c r="B863" t="str">
        <f>IF(Forvetler!B65="","",Forvetler!B65)</f>
        <v/>
      </c>
      <c r="C863" s="2" t="str">
        <f>IF(Forvetler!C65="","",Forvetler!C65)</f>
        <v/>
      </c>
      <c r="D863" t="str">
        <f ca="1">IF(Forvetler!D65="","",Forvetler!D65)</f>
        <v/>
      </c>
      <c r="E863" t="str">
        <f>IF(Forvetler!E65="","",Forvetler!E65)</f>
        <v>Forvet</v>
      </c>
      <c r="F863" t="str">
        <f>IF(Forvetler!G65="","",Forvetler!G65)</f>
        <v/>
      </c>
      <c r="G863" s="2" t="str">
        <f>IF(Forvetler!H65="","",Forvetler!H65)</f>
        <v/>
      </c>
      <c r="H863" t="str">
        <f>IF(Forvetler!I65="","",Forvetler!I65)</f>
        <v/>
      </c>
      <c r="I863" t="str">
        <f>IF(Forvetler!A65="","",Forvetler!J65)</f>
        <v/>
      </c>
      <c r="J863" t="str">
        <f>IF(Forvetler!A65="","",Forvetler!K65)</f>
        <v/>
      </c>
      <c r="K863" t="str">
        <f>IF(Forvetler!L65="","",Forvetler!L65)</f>
        <v/>
      </c>
      <c r="L863" t="str">
        <f>IF(Forvetler!M65="","",Forvetler!M65)</f>
        <v/>
      </c>
      <c r="M863" t="str">
        <f>IF(Forvetler!N65="","",Forvetler!N65)</f>
        <v/>
      </c>
      <c r="N863" t="str">
        <f>IF(Forvetler!O65="","",Forvetler!O65)</f>
        <v/>
      </c>
      <c r="O863" t="str">
        <f>IF(Forvetler!P65="","",Forvetler!P65)</f>
        <v/>
      </c>
      <c r="P863" t="str">
        <f>IF(Forvetler!Q65="","",Forvetler!Q65)</f>
        <v/>
      </c>
      <c r="Q863" t="str">
        <f>IF(Forvetler!R65="","",Forvetler!R65)</f>
        <v/>
      </c>
      <c r="R863" t="str">
        <f>IF(Forvetler!S65="","",Forvetler!S65)</f>
        <v/>
      </c>
      <c r="S863" t="str">
        <f>IF(Forvetler!T65="","",Forvetler!T65)</f>
        <v/>
      </c>
      <c r="T863" s="2" t="str">
        <f>IF(Forvetler!U65="","",Forvetler!U65)</f>
        <v/>
      </c>
      <c r="U863" t="s">
        <v>934</v>
      </c>
      <c r="V863">
        <v>65</v>
      </c>
      <c r="W863" t="str">
        <f ca="1">IF(AND($A863&lt;&gt;"",ISNUMBER($G863),$G863&gt;=TODAY(),$G863&lt;=EDATE(TODAY(),12)),COUNTIFS($G$2:$G$1001,"&gt;="&amp;TODAY(),$G$2:$G$1001,"&lt;"&amp;$G863,$A$2:$A$1001,"&lt;&gt;")+COUNTIFS($G$2:$G863,$G863,$A$2:$A863,"&lt;&gt;"),"")</f>
        <v/>
      </c>
      <c r="X863" t="str">
        <f>IF(AND($A863&lt;&gt;"",ISNUMBER($C863),$C863&gt;=DATE(2003,1,1)),COUNTIFS($C$2:$C863,"&gt;="&amp;DATE(2003,1,1),$A$2:$A863,"&lt;&gt;"),"")</f>
        <v/>
      </c>
    </row>
    <row r="864" spans="1:24">
      <c r="A864" t="str">
        <f>IF(Forvetler!A66="","",Forvetler!A66)</f>
        <v/>
      </c>
      <c r="B864" t="str">
        <f>IF(Forvetler!B66="","",Forvetler!B66)</f>
        <v/>
      </c>
      <c r="C864" s="2" t="str">
        <f>IF(Forvetler!C66="","",Forvetler!C66)</f>
        <v/>
      </c>
      <c r="D864" t="str">
        <f ca="1">IF(Forvetler!D66="","",Forvetler!D66)</f>
        <v/>
      </c>
      <c r="E864" t="str">
        <f>IF(Forvetler!E66="","",Forvetler!E66)</f>
        <v>Forvet</v>
      </c>
      <c r="F864" t="str">
        <f>IF(Forvetler!G66="","",Forvetler!G66)</f>
        <v/>
      </c>
      <c r="G864" s="2" t="str">
        <f>IF(Forvetler!H66="","",Forvetler!H66)</f>
        <v/>
      </c>
      <c r="H864" t="str">
        <f>IF(Forvetler!I66="","",Forvetler!I66)</f>
        <v/>
      </c>
      <c r="I864" t="str">
        <f>IF(Forvetler!A66="","",Forvetler!J66)</f>
        <v/>
      </c>
      <c r="J864" t="str">
        <f>IF(Forvetler!A66="","",Forvetler!K66)</f>
        <v/>
      </c>
      <c r="K864" t="str">
        <f>IF(Forvetler!L66="","",Forvetler!L66)</f>
        <v/>
      </c>
      <c r="L864" t="str">
        <f>IF(Forvetler!M66="","",Forvetler!M66)</f>
        <v/>
      </c>
      <c r="M864" t="str">
        <f>IF(Forvetler!N66="","",Forvetler!N66)</f>
        <v/>
      </c>
      <c r="N864" t="str">
        <f>IF(Forvetler!O66="","",Forvetler!O66)</f>
        <v/>
      </c>
      <c r="O864" t="str">
        <f>IF(Forvetler!P66="","",Forvetler!P66)</f>
        <v/>
      </c>
      <c r="P864" t="str">
        <f>IF(Forvetler!Q66="","",Forvetler!Q66)</f>
        <v/>
      </c>
      <c r="Q864" t="str">
        <f>IF(Forvetler!R66="","",Forvetler!R66)</f>
        <v/>
      </c>
      <c r="R864" t="str">
        <f>IF(Forvetler!S66="","",Forvetler!S66)</f>
        <v/>
      </c>
      <c r="S864" t="str">
        <f>IF(Forvetler!T66="","",Forvetler!T66)</f>
        <v/>
      </c>
      <c r="T864" s="2" t="str">
        <f>IF(Forvetler!U66="","",Forvetler!U66)</f>
        <v/>
      </c>
      <c r="U864" t="s">
        <v>934</v>
      </c>
      <c r="V864">
        <v>66</v>
      </c>
      <c r="W864" t="str">
        <f ca="1">IF(AND($A864&lt;&gt;"",ISNUMBER($G864),$G864&gt;=TODAY(),$G864&lt;=EDATE(TODAY(),12)),COUNTIFS($G$2:$G$1001,"&gt;="&amp;TODAY(),$G$2:$G$1001,"&lt;"&amp;$G864,$A$2:$A$1001,"&lt;&gt;")+COUNTIFS($G$2:$G864,$G864,$A$2:$A864,"&lt;&gt;"),"")</f>
        <v/>
      </c>
      <c r="X864" t="str">
        <f>IF(AND($A864&lt;&gt;"",ISNUMBER($C864),$C864&gt;=DATE(2003,1,1)),COUNTIFS($C$2:$C864,"&gt;="&amp;DATE(2003,1,1),$A$2:$A864,"&lt;&gt;"),"")</f>
        <v/>
      </c>
    </row>
    <row r="865" spans="1:24">
      <c r="A865" t="str">
        <f>IF(Forvetler!A67="","",Forvetler!A67)</f>
        <v/>
      </c>
      <c r="B865" t="str">
        <f>IF(Forvetler!B67="","",Forvetler!B67)</f>
        <v/>
      </c>
      <c r="C865" s="2" t="str">
        <f>IF(Forvetler!C67="","",Forvetler!C67)</f>
        <v/>
      </c>
      <c r="D865" t="str">
        <f ca="1">IF(Forvetler!D67="","",Forvetler!D67)</f>
        <v/>
      </c>
      <c r="E865" t="str">
        <f>IF(Forvetler!E67="","",Forvetler!E67)</f>
        <v>Forvet</v>
      </c>
      <c r="F865" t="str">
        <f>IF(Forvetler!G67="","",Forvetler!G67)</f>
        <v/>
      </c>
      <c r="G865" s="2" t="str">
        <f>IF(Forvetler!H67="","",Forvetler!H67)</f>
        <v/>
      </c>
      <c r="H865" t="str">
        <f>IF(Forvetler!I67="","",Forvetler!I67)</f>
        <v/>
      </c>
      <c r="I865" t="str">
        <f>IF(Forvetler!A67="","",Forvetler!J67)</f>
        <v/>
      </c>
      <c r="J865" t="str">
        <f>IF(Forvetler!A67="","",Forvetler!K67)</f>
        <v/>
      </c>
      <c r="K865" t="str">
        <f>IF(Forvetler!L67="","",Forvetler!L67)</f>
        <v/>
      </c>
      <c r="L865" t="str">
        <f>IF(Forvetler!M67="","",Forvetler!M67)</f>
        <v/>
      </c>
      <c r="M865" t="str">
        <f>IF(Forvetler!N67="","",Forvetler!N67)</f>
        <v/>
      </c>
      <c r="N865" t="str">
        <f>IF(Forvetler!O67="","",Forvetler!O67)</f>
        <v/>
      </c>
      <c r="O865" t="str">
        <f>IF(Forvetler!P67="","",Forvetler!P67)</f>
        <v/>
      </c>
      <c r="P865" t="str">
        <f>IF(Forvetler!Q67="","",Forvetler!Q67)</f>
        <v/>
      </c>
      <c r="Q865" t="str">
        <f>IF(Forvetler!R67="","",Forvetler!R67)</f>
        <v/>
      </c>
      <c r="R865" t="str">
        <f>IF(Forvetler!S67="","",Forvetler!S67)</f>
        <v/>
      </c>
      <c r="S865" t="str">
        <f>IF(Forvetler!T67="","",Forvetler!T67)</f>
        <v/>
      </c>
      <c r="T865" s="2" t="str">
        <f>IF(Forvetler!U67="","",Forvetler!U67)</f>
        <v/>
      </c>
      <c r="U865" t="s">
        <v>934</v>
      </c>
      <c r="V865">
        <v>67</v>
      </c>
      <c r="W865" t="str">
        <f ca="1">IF(AND($A865&lt;&gt;"",ISNUMBER($G865),$G865&gt;=TODAY(),$G865&lt;=EDATE(TODAY(),12)),COUNTIFS($G$2:$G$1001,"&gt;="&amp;TODAY(),$G$2:$G$1001,"&lt;"&amp;$G865,$A$2:$A$1001,"&lt;&gt;")+COUNTIFS($G$2:$G865,$G865,$A$2:$A865,"&lt;&gt;"),"")</f>
        <v/>
      </c>
      <c r="X865" t="str">
        <f>IF(AND($A865&lt;&gt;"",ISNUMBER($C865),$C865&gt;=DATE(2003,1,1)),COUNTIFS($C$2:$C865,"&gt;="&amp;DATE(2003,1,1),$A$2:$A865,"&lt;&gt;"),"")</f>
        <v/>
      </c>
    </row>
    <row r="866" spans="1:24">
      <c r="A866" t="str">
        <f>IF(Forvetler!A68="","",Forvetler!A68)</f>
        <v/>
      </c>
      <c r="B866" t="str">
        <f>IF(Forvetler!B68="","",Forvetler!B68)</f>
        <v/>
      </c>
      <c r="C866" s="2" t="str">
        <f>IF(Forvetler!C68="","",Forvetler!C68)</f>
        <v/>
      </c>
      <c r="D866" t="str">
        <f ca="1">IF(Forvetler!D68="","",Forvetler!D68)</f>
        <v/>
      </c>
      <c r="E866" t="str">
        <f>IF(Forvetler!E68="","",Forvetler!E68)</f>
        <v>Forvet</v>
      </c>
      <c r="F866" t="str">
        <f>IF(Forvetler!G68="","",Forvetler!G68)</f>
        <v/>
      </c>
      <c r="G866" s="2" t="str">
        <f>IF(Forvetler!H68="","",Forvetler!H68)</f>
        <v/>
      </c>
      <c r="H866" t="str">
        <f>IF(Forvetler!I68="","",Forvetler!I68)</f>
        <v/>
      </c>
      <c r="I866" t="str">
        <f>IF(Forvetler!A68="","",Forvetler!J68)</f>
        <v/>
      </c>
      <c r="J866" t="str">
        <f>IF(Forvetler!A68="","",Forvetler!K68)</f>
        <v/>
      </c>
      <c r="K866" t="str">
        <f>IF(Forvetler!L68="","",Forvetler!L68)</f>
        <v/>
      </c>
      <c r="L866" t="str">
        <f>IF(Forvetler!M68="","",Forvetler!M68)</f>
        <v/>
      </c>
      <c r="M866" t="str">
        <f>IF(Forvetler!N68="","",Forvetler!N68)</f>
        <v/>
      </c>
      <c r="N866" t="str">
        <f>IF(Forvetler!O68="","",Forvetler!O68)</f>
        <v/>
      </c>
      <c r="O866" t="str">
        <f>IF(Forvetler!P68="","",Forvetler!P68)</f>
        <v/>
      </c>
      <c r="P866" t="str">
        <f>IF(Forvetler!Q68="","",Forvetler!Q68)</f>
        <v/>
      </c>
      <c r="Q866" t="str">
        <f>IF(Forvetler!R68="","",Forvetler!R68)</f>
        <v/>
      </c>
      <c r="R866" t="str">
        <f>IF(Forvetler!S68="","",Forvetler!S68)</f>
        <v/>
      </c>
      <c r="S866" t="str">
        <f>IF(Forvetler!T68="","",Forvetler!T68)</f>
        <v/>
      </c>
      <c r="T866" s="2" t="str">
        <f>IF(Forvetler!U68="","",Forvetler!U68)</f>
        <v/>
      </c>
      <c r="U866" t="s">
        <v>934</v>
      </c>
      <c r="V866">
        <v>68</v>
      </c>
      <c r="W866" t="str">
        <f ca="1">IF(AND($A866&lt;&gt;"",ISNUMBER($G866),$G866&gt;=TODAY(),$G866&lt;=EDATE(TODAY(),12)),COUNTIFS($G$2:$G$1001,"&gt;="&amp;TODAY(),$G$2:$G$1001,"&lt;"&amp;$G866,$A$2:$A$1001,"&lt;&gt;")+COUNTIFS($G$2:$G866,$G866,$A$2:$A866,"&lt;&gt;"),"")</f>
        <v/>
      </c>
      <c r="X866" t="str">
        <f>IF(AND($A866&lt;&gt;"",ISNUMBER($C866),$C866&gt;=DATE(2003,1,1)),COUNTIFS($C$2:$C866,"&gt;="&amp;DATE(2003,1,1),$A$2:$A866,"&lt;&gt;"),"")</f>
        <v/>
      </c>
    </row>
    <row r="867" spans="1:24">
      <c r="A867" t="str">
        <f>IF(Forvetler!A69="","",Forvetler!A69)</f>
        <v/>
      </c>
      <c r="B867" t="str">
        <f>IF(Forvetler!B69="","",Forvetler!B69)</f>
        <v/>
      </c>
      <c r="C867" s="2" t="str">
        <f>IF(Forvetler!C69="","",Forvetler!C69)</f>
        <v/>
      </c>
      <c r="D867" t="str">
        <f ca="1">IF(Forvetler!D69="","",Forvetler!D69)</f>
        <v/>
      </c>
      <c r="E867" t="str">
        <f>IF(Forvetler!E69="","",Forvetler!E69)</f>
        <v>Forvet</v>
      </c>
      <c r="F867" t="str">
        <f>IF(Forvetler!G69="","",Forvetler!G69)</f>
        <v/>
      </c>
      <c r="G867" s="2" t="str">
        <f>IF(Forvetler!H69="","",Forvetler!H69)</f>
        <v/>
      </c>
      <c r="H867" t="str">
        <f>IF(Forvetler!I69="","",Forvetler!I69)</f>
        <v/>
      </c>
      <c r="I867" t="str">
        <f>IF(Forvetler!A69="","",Forvetler!J69)</f>
        <v/>
      </c>
      <c r="J867" t="str">
        <f>IF(Forvetler!A69="","",Forvetler!K69)</f>
        <v/>
      </c>
      <c r="K867" t="str">
        <f>IF(Forvetler!L69="","",Forvetler!L69)</f>
        <v/>
      </c>
      <c r="L867" t="str">
        <f>IF(Forvetler!M69="","",Forvetler!M69)</f>
        <v/>
      </c>
      <c r="M867" t="str">
        <f>IF(Forvetler!N69="","",Forvetler!N69)</f>
        <v/>
      </c>
      <c r="N867" t="str">
        <f>IF(Forvetler!O69="","",Forvetler!O69)</f>
        <v/>
      </c>
      <c r="O867" t="str">
        <f>IF(Forvetler!P69="","",Forvetler!P69)</f>
        <v/>
      </c>
      <c r="P867" t="str">
        <f>IF(Forvetler!Q69="","",Forvetler!Q69)</f>
        <v/>
      </c>
      <c r="Q867" t="str">
        <f>IF(Forvetler!R69="","",Forvetler!R69)</f>
        <v/>
      </c>
      <c r="R867" t="str">
        <f>IF(Forvetler!S69="","",Forvetler!S69)</f>
        <v/>
      </c>
      <c r="S867" t="str">
        <f>IF(Forvetler!T69="","",Forvetler!T69)</f>
        <v/>
      </c>
      <c r="T867" s="2" t="str">
        <f>IF(Forvetler!U69="","",Forvetler!U69)</f>
        <v/>
      </c>
      <c r="U867" t="s">
        <v>934</v>
      </c>
      <c r="V867">
        <v>69</v>
      </c>
      <c r="W867" t="str">
        <f ca="1">IF(AND($A867&lt;&gt;"",ISNUMBER($G867),$G867&gt;=TODAY(),$G867&lt;=EDATE(TODAY(),12)),COUNTIFS($G$2:$G$1001,"&gt;="&amp;TODAY(),$G$2:$G$1001,"&lt;"&amp;$G867,$A$2:$A$1001,"&lt;&gt;")+COUNTIFS($G$2:$G867,$G867,$A$2:$A867,"&lt;&gt;"),"")</f>
        <v/>
      </c>
      <c r="X867" t="str">
        <f>IF(AND($A867&lt;&gt;"",ISNUMBER($C867),$C867&gt;=DATE(2003,1,1)),COUNTIFS($C$2:$C867,"&gt;="&amp;DATE(2003,1,1),$A$2:$A867,"&lt;&gt;"),"")</f>
        <v/>
      </c>
    </row>
    <row r="868" spans="1:24">
      <c r="A868" t="str">
        <f>IF(Forvetler!A70="","",Forvetler!A70)</f>
        <v/>
      </c>
      <c r="B868" t="str">
        <f>IF(Forvetler!B70="","",Forvetler!B70)</f>
        <v/>
      </c>
      <c r="C868" s="2" t="str">
        <f>IF(Forvetler!C70="","",Forvetler!C70)</f>
        <v/>
      </c>
      <c r="D868" t="str">
        <f ca="1">IF(Forvetler!D70="","",Forvetler!D70)</f>
        <v/>
      </c>
      <c r="E868" t="str">
        <f>IF(Forvetler!E70="","",Forvetler!E70)</f>
        <v>Forvet</v>
      </c>
      <c r="F868" t="str">
        <f>IF(Forvetler!G70="","",Forvetler!G70)</f>
        <v/>
      </c>
      <c r="G868" s="2" t="str">
        <f>IF(Forvetler!H70="","",Forvetler!H70)</f>
        <v/>
      </c>
      <c r="H868" t="str">
        <f>IF(Forvetler!I70="","",Forvetler!I70)</f>
        <v/>
      </c>
      <c r="I868" t="str">
        <f>IF(Forvetler!A70="","",Forvetler!J70)</f>
        <v/>
      </c>
      <c r="J868" t="str">
        <f>IF(Forvetler!A70="","",Forvetler!K70)</f>
        <v/>
      </c>
      <c r="K868" t="str">
        <f>IF(Forvetler!L70="","",Forvetler!L70)</f>
        <v/>
      </c>
      <c r="L868" t="str">
        <f>IF(Forvetler!M70="","",Forvetler!M70)</f>
        <v/>
      </c>
      <c r="M868" t="str">
        <f>IF(Forvetler!N70="","",Forvetler!N70)</f>
        <v/>
      </c>
      <c r="N868" t="str">
        <f>IF(Forvetler!O70="","",Forvetler!O70)</f>
        <v/>
      </c>
      <c r="O868" t="str">
        <f>IF(Forvetler!P70="","",Forvetler!P70)</f>
        <v/>
      </c>
      <c r="P868" t="str">
        <f>IF(Forvetler!Q70="","",Forvetler!Q70)</f>
        <v/>
      </c>
      <c r="Q868" t="str">
        <f>IF(Forvetler!R70="","",Forvetler!R70)</f>
        <v/>
      </c>
      <c r="R868" t="str">
        <f>IF(Forvetler!S70="","",Forvetler!S70)</f>
        <v/>
      </c>
      <c r="S868" t="str">
        <f>IF(Forvetler!T70="","",Forvetler!T70)</f>
        <v/>
      </c>
      <c r="T868" s="2" t="str">
        <f>IF(Forvetler!U70="","",Forvetler!U70)</f>
        <v/>
      </c>
      <c r="U868" t="s">
        <v>934</v>
      </c>
      <c r="V868">
        <v>70</v>
      </c>
      <c r="W868" t="str">
        <f ca="1">IF(AND($A868&lt;&gt;"",ISNUMBER($G868),$G868&gt;=TODAY(),$G868&lt;=EDATE(TODAY(),12)),COUNTIFS($G$2:$G$1001,"&gt;="&amp;TODAY(),$G$2:$G$1001,"&lt;"&amp;$G868,$A$2:$A$1001,"&lt;&gt;")+COUNTIFS($G$2:$G868,$G868,$A$2:$A868,"&lt;&gt;"),"")</f>
        <v/>
      </c>
      <c r="X868" t="str">
        <f>IF(AND($A868&lt;&gt;"",ISNUMBER($C868),$C868&gt;=DATE(2003,1,1)),COUNTIFS($C$2:$C868,"&gt;="&amp;DATE(2003,1,1),$A$2:$A868,"&lt;&gt;"),"")</f>
        <v/>
      </c>
    </row>
    <row r="869" spans="1:24">
      <c r="A869" t="str">
        <f>IF(Forvetler!A71="","",Forvetler!A71)</f>
        <v/>
      </c>
      <c r="B869" t="str">
        <f>IF(Forvetler!B71="","",Forvetler!B71)</f>
        <v/>
      </c>
      <c r="C869" s="2" t="str">
        <f>IF(Forvetler!C71="","",Forvetler!C71)</f>
        <v/>
      </c>
      <c r="D869" t="str">
        <f ca="1">IF(Forvetler!D71="","",Forvetler!D71)</f>
        <v/>
      </c>
      <c r="E869" t="str">
        <f>IF(Forvetler!E71="","",Forvetler!E71)</f>
        <v>Forvet</v>
      </c>
      <c r="F869" t="str">
        <f>IF(Forvetler!G71="","",Forvetler!G71)</f>
        <v/>
      </c>
      <c r="G869" s="2" t="str">
        <f>IF(Forvetler!H71="","",Forvetler!H71)</f>
        <v/>
      </c>
      <c r="H869" t="str">
        <f>IF(Forvetler!I71="","",Forvetler!I71)</f>
        <v/>
      </c>
      <c r="I869" t="str">
        <f>IF(Forvetler!A71="","",Forvetler!J71)</f>
        <v/>
      </c>
      <c r="J869" t="str">
        <f>IF(Forvetler!A71="","",Forvetler!K71)</f>
        <v/>
      </c>
      <c r="K869" t="str">
        <f>IF(Forvetler!L71="","",Forvetler!L71)</f>
        <v/>
      </c>
      <c r="L869" t="str">
        <f>IF(Forvetler!M71="","",Forvetler!M71)</f>
        <v/>
      </c>
      <c r="M869" t="str">
        <f>IF(Forvetler!N71="","",Forvetler!N71)</f>
        <v/>
      </c>
      <c r="N869" t="str">
        <f>IF(Forvetler!O71="","",Forvetler!O71)</f>
        <v/>
      </c>
      <c r="O869" t="str">
        <f>IF(Forvetler!P71="","",Forvetler!P71)</f>
        <v/>
      </c>
      <c r="P869" t="str">
        <f>IF(Forvetler!Q71="","",Forvetler!Q71)</f>
        <v/>
      </c>
      <c r="Q869" t="str">
        <f>IF(Forvetler!R71="","",Forvetler!R71)</f>
        <v/>
      </c>
      <c r="R869" t="str">
        <f>IF(Forvetler!S71="","",Forvetler!S71)</f>
        <v/>
      </c>
      <c r="S869" t="str">
        <f>IF(Forvetler!T71="","",Forvetler!T71)</f>
        <v/>
      </c>
      <c r="T869" s="2" t="str">
        <f>IF(Forvetler!U71="","",Forvetler!U71)</f>
        <v/>
      </c>
      <c r="U869" t="s">
        <v>934</v>
      </c>
      <c r="V869">
        <v>71</v>
      </c>
      <c r="W869" t="str">
        <f ca="1">IF(AND($A869&lt;&gt;"",ISNUMBER($G869),$G869&gt;=TODAY(),$G869&lt;=EDATE(TODAY(),12)),COUNTIFS($G$2:$G$1001,"&gt;="&amp;TODAY(),$G$2:$G$1001,"&lt;"&amp;$G869,$A$2:$A$1001,"&lt;&gt;")+COUNTIFS($G$2:$G869,$G869,$A$2:$A869,"&lt;&gt;"),"")</f>
        <v/>
      </c>
      <c r="X869" t="str">
        <f>IF(AND($A869&lt;&gt;"",ISNUMBER($C869),$C869&gt;=DATE(2003,1,1)),COUNTIFS($C$2:$C869,"&gt;="&amp;DATE(2003,1,1),$A$2:$A869,"&lt;&gt;"),"")</f>
        <v/>
      </c>
    </row>
    <row r="870" spans="1:24">
      <c r="A870" t="str">
        <f>IF(Forvetler!A72="","",Forvetler!A72)</f>
        <v/>
      </c>
      <c r="B870" t="str">
        <f>IF(Forvetler!B72="","",Forvetler!B72)</f>
        <v/>
      </c>
      <c r="C870" s="2" t="str">
        <f>IF(Forvetler!C72="","",Forvetler!C72)</f>
        <v/>
      </c>
      <c r="D870" t="str">
        <f ca="1">IF(Forvetler!D72="","",Forvetler!D72)</f>
        <v/>
      </c>
      <c r="E870" t="str">
        <f>IF(Forvetler!E72="","",Forvetler!E72)</f>
        <v>Forvet</v>
      </c>
      <c r="F870" t="str">
        <f>IF(Forvetler!G72="","",Forvetler!G72)</f>
        <v/>
      </c>
      <c r="G870" s="2" t="str">
        <f>IF(Forvetler!H72="","",Forvetler!H72)</f>
        <v/>
      </c>
      <c r="H870" t="str">
        <f>IF(Forvetler!I72="","",Forvetler!I72)</f>
        <v/>
      </c>
      <c r="I870" t="str">
        <f>IF(Forvetler!A72="","",Forvetler!J72)</f>
        <v/>
      </c>
      <c r="J870" t="str">
        <f>IF(Forvetler!A72="","",Forvetler!K72)</f>
        <v/>
      </c>
      <c r="K870" t="str">
        <f>IF(Forvetler!L72="","",Forvetler!L72)</f>
        <v/>
      </c>
      <c r="L870" t="str">
        <f>IF(Forvetler!M72="","",Forvetler!M72)</f>
        <v/>
      </c>
      <c r="M870" t="str">
        <f>IF(Forvetler!N72="","",Forvetler!N72)</f>
        <v/>
      </c>
      <c r="N870" t="str">
        <f>IF(Forvetler!O72="","",Forvetler!O72)</f>
        <v/>
      </c>
      <c r="O870" t="str">
        <f>IF(Forvetler!P72="","",Forvetler!P72)</f>
        <v/>
      </c>
      <c r="P870" t="str">
        <f>IF(Forvetler!Q72="","",Forvetler!Q72)</f>
        <v/>
      </c>
      <c r="Q870" t="str">
        <f>IF(Forvetler!R72="","",Forvetler!R72)</f>
        <v/>
      </c>
      <c r="R870" t="str">
        <f>IF(Forvetler!S72="","",Forvetler!S72)</f>
        <v/>
      </c>
      <c r="S870" t="str">
        <f>IF(Forvetler!T72="","",Forvetler!T72)</f>
        <v/>
      </c>
      <c r="T870" s="2" t="str">
        <f>IF(Forvetler!U72="","",Forvetler!U72)</f>
        <v/>
      </c>
      <c r="U870" t="s">
        <v>934</v>
      </c>
      <c r="V870">
        <v>72</v>
      </c>
      <c r="W870" t="str">
        <f ca="1">IF(AND($A870&lt;&gt;"",ISNUMBER($G870),$G870&gt;=TODAY(),$G870&lt;=EDATE(TODAY(),12)),COUNTIFS($G$2:$G$1001,"&gt;="&amp;TODAY(),$G$2:$G$1001,"&lt;"&amp;$G870,$A$2:$A$1001,"&lt;&gt;")+COUNTIFS($G$2:$G870,$G870,$A$2:$A870,"&lt;&gt;"),"")</f>
        <v/>
      </c>
      <c r="X870" t="str">
        <f>IF(AND($A870&lt;&gt;"",ISNUMBER($C870),$C870&gt;=DATE(2003,1,1)),COUNTIFS($C$2:$C870,"&gt;="&amp;DATE(2003,1,1),$A$2:$A870,"&lt;&gt;"),"")</f>
        <v/>
      </c>
    </row>
    <row r="871" spans="1:24">
      <c r="A871" t="str">
        <f>IF(Forvetler!A73="","",Forvetler!A73)</f>
        <v/>
      </c>
      <c r="B871" t="str">
        <f>IF(Forvetler!B73="","",Forvetler!B73)</f>
        <v/>
      </c>
      <c r="C871" s="2" t="str">
        <f>IF(Forvetler!C73="","",Forvetler!C73)</f>
        <v/>
      </c>
      <c r="D871" t="str">
        <f ca="1">IF(Forvetler!D73="","",Forvetler!D73)</f>
        <v/>
      </c>
      <c r="E871" t="str">
        <f>IF(Forvetler!E73="","",Forvetler!E73)</f>
        <v>Forvet</v>
      </c>
      <c r="F871" t="str">
        <f>IF(Forvetler!G73="","",Forvetler!G73)</f>
        <v/>
      </c>
      <c r="G871" s="2" t="str">
        <f>IF(Forvetler!H73="","",Forvetler!H73)</f>
        <v/>
      </c>
      <c r="H871" t="str">
        <f>IF(Forvetler!I73="","",Forvetler!I73)</f>
        <v/>
      </c>
      <c r="I871" t="str">
        <f>IF(Forvetler!A73="","",Forvetler!J73)</f>
        <v/>
      </c>
      <c r="J871" t="str">
        <f>IF(Forvetler!A73="","",Forvetler!K73)</f>
        <v/>
      </c>
      <c r="K871" t="str">
        <f>IF(Forvetler!L73="","",Forvetler!L73)</f>
        <v/>
      </c>
      <c r="L871" t="str">
        <f>IF(Forvetler!M73="","",Forvetler!M73)</f>
        <v/>
      </c>
      <c r="M871" t="str">
        <f>IF(Forvetler!N73="","",Forvetler!N73)</f>
        <v/>
      </c>
      <c r="N871" t="str">
        <f>IF(Forvetler!O73="","",Forvetler!O73)</f>
        <v/>
      </c>
      <c r="O871" t="str">
        <f>IF(Forvetler!P73="","",Forvetler!P73)</f>
        <v/>
      </c>
      <c r="P871" t="str">
        <f>IF(Forvetler!Q73="","",Forvetler!Q73)</f>
        <v/>
      </c>
      <c r="Q871" t="str">
        <f>IF(Forvetler!R73="","",Forvetler!R73)</f>
        <v/>
      </c>
      <c r="R871" t="str">
        <f>IF(Forvetler!S73="","",Forvetler!S73)</f>
        <v/>
      </c>
      <c r="S871" t="str">
        <f>IF(Forvetler!T73="","",Forvetler!T73)</f>
        <v/>
      </c>
      <c r="T871" s="2" t="str">
        <f>IF(Forvetler!U73="","",Forvetler!U73)</f>
        <v/>
      </c>
      <c r="U871" t="s">
        <v>934</v>
      </c>
      <c r="V871">
        <v>73</v>
      </c>
      <c r="W871" t="str">
        <f ca="1">IF(AND($A871&lt;&gt;"",ISNUMBER($G871),$G871&gt;=TODAY(),$G871&lt;=EDATE(TODAY(),12)),COUNTIFS($G$2:$G$1001,"&gt;="&amp;TODAY(),$G$2:$G$1001,"&lt;"&amp;$G871,$A$2:$A$1001,"&lt;&gt;")+COUNTIFS($G$2:$G871,$G871,$A$2:$A871,"&lt;&gt;"),"")</f>
        <v/>
      </c>
      <c r="X871" t="str">
        <f>IF(AND($A871&lt;&gt;"",ISNUMBER($C871),$C871&gt;=DATE(2003,1,1)),COUNTIFS($C$2:$C871,"&gt;="&amp;DATE(2003,1,1),$A$2:$A871,"&lt;&gt;"),"")</f>
        <v/>
      </c>
    </row>
    <row r="872" spans="1:24">
      <c r="A872" t="str">
        <f>IF(Forvetler!A74="","",Forvetler!A74)</f>
        <v/>
      </c>
      <c r="B872" t="str">
        <f>IF(Forvetler!B74="","",Forvetler!B74)</f>
        <v/>
      </c>
      <c r="C872" s="2" t="str">
        <f>IF(Forvetler!C74="","",Forvetler!C74)</f>
        <v/>
      </c>
      <c r="D872" t="str">
        <f ca="1">IF(Forvetler!D74="","",Forvetler!D74)</f>
        <v/>
      </c>
      <c r="E872" t="str">
        <f>IF(Forvetler!E74="","",Forvetler!E74)</f>
        <v>Forvet</v>
      </c>
      <c r="F872" t="str">
        <f>IF(Forvetler!G74="","",Forvetler!G74)</f>
        <v/>
      </c>
      <c r="G872" s="2" t="str">
        <f>IF(Forvetler!H74="","",Forvetler!H74)</f>
        <v/>
      </c>
      <c r="H872" t="str">
        <f>IF(Forvetler!I74="","",Forvetler!I74)</f>
        <v/>
      </c>
      <c r="I872" t="str">
        <f>IF(Forvetler!A74="","",Forvetler!J74)</f>
        <v/>
      </c>
      <c r="J872" t="str">
        <f>IF(Forvetler!A74="","",Forvetler!K74)</f>
        <v/>
      </c>
      <c r="K872" t="str">
        <f>IF(Forvetler!L74="","",Forvetler!L74)</f>
        <v/>
      </c>
      <c r="L872" t="str">
        <f>IF(Forvetler!M74="","",Forvetler!M74)</f>
        <v/>
      </c>
      <c r="M872" t="str">
        <f>IF(Forvetler!N74="","",Forvetler!N74)</f>
        <v/>
      </c>
      <c r="N872" t="str">
        <f>IF(Forvetler!O74="","",Forvetler!O74)</f>
        <v/>
      </c>
      <c r="O872" t="str">
        <f>IF(Forvetler!P74="","",Forvetler!P74)</f>
        <v/>
      </c>
      <c r="P872" t="str">
        <f>IF(Forvetler!Q74="","",Forvetler!Q74)</f>
        <v/>
      </c>
      <c r="Q872" t="str">
        <f>IF(Forvetler!R74="","",Forvetler!R74)</f>
        <v/>
      </c>
      <c r="R872" t="str">
        <f>IF(Forvetler!S74="","",Forvetler!S74)</f>
        <v/>
      </c>
      <c r="S872" t="str">
        <f>IF(Forvetler!T74="","",Forvetler!T74)</f>
        <v/>
      </c>
      <c r="T872" s="2" t="str">
        <f>IF(Forvetler!U74="","",Forvetler!U74)</f>
        <v/>
      </c>
      <c r="U872" t="s">
        <v>934</v>
      </c>
      <c r="V872">
        <v>74</v>
      </c>
      <c r="W872" t="str">
        <f ca="1">IF(AND($A872&lt;&gt;"",ISNUMBER($G872),$G872&gt;=TODAY(),$G872&lt;=EDATE(TODAY(),12)),COUNTIFS($G$2:$G$1001,"&gt;="&amp;TODAY(),$G$2:$G$1001,"&lt;"&amp;$G872,$A$2:$A$1001,"&lt;&gt;")+COUNTIFS($G$2:$G872,$G872,$A$2:$A872,"&lt;&gt;"),"")</f>
        <v/>
      </c>
      <c r="X872" t="str">
        <f>IF(AND($A872&lt;&gt;"",ISNUMBER($C872),$C872&gt;=DATE(2003,1,1)),COUNTIFS($C$2:$C872,"&gt;="&amp;DATE(2003,1,1),$A$2:$A872,"&lt;&gt;"),"")</f>
        <v/>
      </c>
    </row>
    <row r="873" spans="1:24">
      <c r="A873" t="str">
        <f>IF(Forvetler!A75="","",Forvetler!A75)</f>
        <v/>
      </c>
      <c r="B873" t="str">
        <f>IF(Forvetler!B75="","",Forvetler!B75)</f>
        <v/>
      </c>
      <c r="C873" s="2" t="str">
        <f>IF(Forvetler!C75="","",Forvetler!C75)</f>
        <v/>
      </c>
      <c r="D873" t="str">
        <f ca="1">IF(Forvetler!D75="","",Forvetler!D75)</f>
        <v/>
      </c>
      <c r="E873" t="str">
        <f>IF(Forvetler!E75="","",Forvetler!E75)</f>
        <v>Forvet</v>
      </c>
      <c r="F873" t="str">
        <f>IF(Forvetler!G75="","",Forvetler!G75)</f>
        <v/>
      </c>
      <c r="G873" s="2" t="str">
        <f>IF(Forvetler!H75="","",Forvetler!H75)</f>
        <v/>
      </c>
      <c r="H873" t="str">
        <f>IF(Forvetler!I75="","",Forvetler!I75)</f>
        <v/>
      </c>
      <c r="I873" t="str">
        <f>IF(Forvetler!A75="","",Forvetler!J75)</f>
        <v/>
      </c>
      <c r="J873" t="str">
        <f>IF(Forvetler!A75="","",Forvetler!K75)</f>
        <v/>
      </c>
      <c r="K873" t="str">
        <f>IF(Forvetler!L75="","",Forvetler!L75)</f>
        <v/>
      </c>
      <c r="L873" t="str">
        <f>IF(Forvetler!M75="","",Forvetler!M75)</f>
        <v/>
      </c>
      <c r="M873" t="str">
        <f>IF(Forvetler!N75="","",Forvetler!N75)</f>
        <v/>
      </c>
      <c r="N873" t="str">
        <f>IF(Forvetler!O75="","",Forvetler!O75)</f>
        <v/>
      </c>
      <c r="O873" t="str">
        <f>IF(Forvetler!P75="","",Forvetler!P75)</f>
        <v/>
      </c>
      <c r="P873" t="str">
        <f>IF(Forvetler!Q75="","",Forvetler!Q75)</f>
        <v/>
      </c>
      <c r="Q873" t="str">
        <f>IF(Forvetler!R75="","",Forvetler!R75)</f>
        <v/>
      </c>
      <c r="R873" t="str">
        <f>IF(Forvetler!S75="","",Forvetler!S75)</f>
        <v/>
      </c>
      <c r="S873" t="str">
        <f>IF(Forvetler!T75="","",Forvetler!T75)</f>
        <v/>
      </c>
      <c r="T873" s="2" t="str">
        <f>IF(Forvetler!U75="","",Forvetler!U75)</f>
        <v/>
      </c>
      <c r="U873" t="s">
        <v>934</v>
      </c>
      <c r="V873">
        <v>75</v>
      </c>
      <c r="W873" t="str">
        <f ca="1">IF(AND($A873&lt;&gt;"",ISNUMBER($G873),$G873&gt;=TODAY(),$G873&lt;=EDATE(TODAY(),12)),COUNTIFS($G$2:$G$1001,"&gt;="&amp;TODAY(),$G$2:$G$1001,"&lt;"&amp;$G873,$A$2:$A$1001,"&lt;&gt;")+COUNTIFS($G$2:$G873,$G873,$A$2:$A873,"&lt;&gt;"),"")</f>
        <v/>
      </c>
      <c r="X873" t="str">
        <f>IF(AND($A873&lt;&gt;"",ISNUMBER($C873),$C873&gt;=DATE(2003,1,1)),COUNTIFS($C$2:$C873,"&gt;="&amp;DATE(2003,1,1),$A$2:$A873,"&lt;&gt;"),"")</f>
        <v/>
      </c>
    </row>
    <row r="874" spans="1:24">
      <c r="A874" t="str">
        <f>IF(Forvetler!A76="","",Forvetler!A76)</f>
        <v/>
      </c>
      <c r="B874" t="str">
        <f>IF(Forvetler!B76="","",Forvetler!B76)</f>
        <v/>
      </c>
      <c r="C874" s="2" t="str">
        <f>IF(Forvetler!C76="","",Forvetler!C76)</f>
        <v/>
      </c>
      <c r="D874" t="str">
        <f ca="1">IF(Forvetler!D76="","",Forvetler!D76)</f>
        <v/>
      </c>
      <c r="E874" t="str">
        <f>IF(Forvetler!E76="","",Forvetler!E76)</f>
        <v>Forvet</v>
      </c>
      <c r="F874" t="str">
        <f>IF(Forvetler!G76="","",Forvetler!G76)</f>
        <v/>
      </c>
      <c r="G874" s="2" t="str">
        <f>IF(Forvetler!H76="","",Forvetler!H76)</f>
        <v/>
      </c>
      <c r="H874" t="str">
        <f>IF(Forvetler!I76="","",Forvetler!I76)</f>
        <v/>
      </c>
      <c r="I874" t="str">
        <f>IF(Forvetler!A76="","",Forvetler!J76)</f>
        <v/>
      </c>
      <c r="J874" t="str">
        <f>IF(Forvetler!A76="","",Forvetler!K76)</f>
        <v/>
      </c>
      <c r="K874" t="str">
        <f>IF(Forvetler!L76="","",Forvetler!L76)</f>
        <v/>
      </c>
      <c r="L874" t="str">
        <f>IF(Forvetler!M76="","",Forvetler!M76)</f>
        <v/>
      </c>
      <c r="M874" t="str">
        <f>IF(Forvetler!N76="","",Forvetler!N76)</f>
        <v/>
      </c>
      <c r="N874" t="str">
        <f>IF(Forvetler!O76="","",Forvetler!O76)</f>
        <v/>
      </c>
      <c r="O874" t="str">
        <f>IF(Forvetler!P76="","",Forvetler!P76)</f>
        <v/>
      </c>
      <c r="P874" t="str">
        <f>IF(Forvetler!Q76="","",Forvetler!Q76)</f>
        <v/>
      </c>
      <c r="Q874" t="str">
        <f>IF(Forvetler!R76="","",Forvetler!R76)</f>
        <v/>
      </c>
      <c r="R874" t="str">
        <f>IF(Forvetler!S76="","",Forvetler!S76)</f>
        <v/>
      </c>
      <c r="S874" t="str">
        <f>IF(Forvetler!T76="","",Forvetler!T76)</f>
        <v/>
      </c>
      <c r="T874" s="2" t="str">
        <f>IF(Forvetler!U76="","",Forvetler!U76)</f>
        <v/>
      </c>
      <c r="U874" t="s">
        <v>934</v>
      </c>
      <c r="V874">
        <v>76</v>
      </c>
      <c r="W874" t="str">
        <f ca="1">IF(AND($A874&lt;&gt;"",ISNUMBER($G874),$G874&gt;=TODAY(),$G874&lt;=EDATE(TODAY(),12)),COUNTIFS($G$2:$G$1001,"&gt;="&amp;TODAY(),$G$2:$G$1001,"&lt;"&amp;$G874,$A$2:$A$1001,"&lt;&gt;")+COUNTIFS($G$2:$G874,$G874,$A$2:$A874,"&lt;&gt;"),"")</f>
        <v/>
      </c>
      <c r="X874" t="str">
        <f>IF(AND($A874&lt;&gt;"",ISNUMBER($C874),$C874&gt;=DATE(2003,1,1)),COUNTIFS($C$2:$C874,"&gt;="&amp;DATE(2003,1,1),$A$2:$A874,"&lt;&gt;"),"")</f>
        <v/>
      </c>
    </row>
    <row r="875" spans="1:24">
      <c r="A875" t="str">
        <f>IF(Forvetler!A77="","",Forvetler!A77)</f>
        <v/>
      </c>
      <c r="B875" t="str">
        <f>IF(Forvetler!B77="","",Forvetler!B77)</f>
        <v/>
      </c>
      <c r="C875" s="2" t="str">
        <f>IF(Forvetler!C77="","",Forvetler!C77)</f>
        <v/>
      </c>
      <c r="D875" t="str">
        <f ca="1">IF(Forvetler!D77="","",Forvetler!D77)</f>
        <v/>
      </c>
      <c r="E875" t="str">
        <f>IF(Forvetler!E77="","",Forvetler!E77)</f>
        <v>Forvet</v>
      </c>
      <c r="F875" t="str">
        <f>IF(Forvetler!G77="","",Forvetler!G77)</f>
        <v/>
      </c>
      <c r="G875" s="2" t="str">
        <f>IF(Forvetler!H77="","",Forvetler!H77)</f>
        <v/>
      </c>
      <c r="H875" t="str">
        <f>IF(Forvetler!I77="","",Forvetler!I77)</f>
        <v/>
      </c>
      <c r="I875" t="str">
        <f>IF(Forvetler!A77="","",Forvetler!J77)</f>
        <v/>
      </c>
      <c r="J875" t="str">
        <f>IF(Forvetler!A77="","",Forvetler!K77)</f>
        <v/>
      </c>
      <c r="K875" t="str">
        <f>IF(Forvetler!L77="","",Forvetler!L77)</f>
        <v/>
      </c>
      <c r="L875" t="str">
        <f>IF(Forvetler!M77="","",Forvetler!M77)</f>
        <v/>
      </c>
      <c r="M875" t="str">
        <f>IF(Forvetler!N77="","",Forvetler!N77)</f>
        <v/>
      </c>
      <c r="N875" t="str">
        <f>IF(Forvetler!O77="","",Forvetler!O77)</f>
        <v/>
      </c>
      <c r="O875" t="str">
        <f>IF(Forvetler!P77="","",Forvetler!P77)</f>
        <v/>
      </c>
      <c r="P875" t="str">
        <f>IF(Forvetler!Q77="","",Forvetler!Q77)</f>
        <v/>
      </c>
      <c r="Q875" t="str">
        <f>IF(Forvetler!R77="","",Forvetler!R77)</f>
        <v/>
      </c>
      <c r="R875" t="str">
        <f>IF(Forvetler!S77="","",Forvetler!S77)</f>
        <v/>
      </c>
      <c r="S875" t="str">
        <f>IF(Forvetler!T77="","",Forvetler!T77)</f>
        <v/>
      </c>
      <c r="T875" s="2" t="str">
        <f>IF(Forvetler!U77="","",Forvetler!U77)</f>
        <v/>
      </c>
      <c r="U875" t="s">
        <v>934</v>
      </c>
      <c r="V875">
        <v>77</v>
      </c>
      <c r="W875" t="str">
        <f ca="1">IF(AND($A875&lt;&gt;"",ISNUMBER($G875),$G875&gt;=TODAY(),$G875&lt;=EDATE(TODAY(),12)),COUNTIFS($G$2:$G$1001,"&gt;="&amp;TODAY(),$G$2:$G$1001,"&lt;"&amp;$G875,$A$2:$A$1001,"&lt;&gt;")+COUNTIFS($G$2:$G875,$G875,$A$2:$A875,"&lt;&gt;"),"")</f>
        <v/>
      </c>
      <c r="X875" t="str">
        <f>IF(AND($A875&lt;&gt;"",ISNUMBER($C875),$C875&gt;=DATE(2003,1,1)),COUNTIFS($C$2:$C875,"&gt;="&amp;DATE(2003,1,1),$A$2:$A875,"&lt;&gt;"),"")</f>
        <v/>
      </c>
    </row>
    <row r="876" spans="1:24">
      <c r="A876" t="str">
        <f>IF(Forvetler!A78="","",Forvetler!A78)</f>
        <v/>
      </c>
      <c r="B876" t="str">
        <f>IF(Forvetler!B78="","",Forvetler!B78)</f>
        <v/>
      </c>
      <c r="C876" s="2" t="str">
        <f>IF(Forvetler!C78="","",Forvetler!C78)</f>
        <v/>
      </c>
      <c r="D876" t="str">
        <f ca="1">IF(Forvetler!D78="","",Forvetler!D78)</f>
        <v/>
      </c>
      <c r="E876" t="str">
        <f>IF(Forvetler!E78="","",Forvetler!E78)</f>
        <v>Forvet</v>
      </c>
      <c r="F876" t="str">
        <f>IF(Forvetler!G78="","",Forvetler!G78)</f>
        <v/>
      </c>
      <c r="G876" s="2" t="str">
        <f>IF(Forvetler!H78="","",Forvetler!H78)</f>
        <v/>
      </c>
      <c r="H876" t="str">
        <f>IF(Forvetler!I78="","",Forvetler!I78)</f>
        <v/>
      </c>
      <c r="I876" t="str">
        <f>IF(Forvetler!A78="","",Forvetler!J78)</f>
        <v/>
      </c>
      <c r="J876" t="str">
        <f>IF(Forvetler!A78="","",Forvetler!K78)</f>
        <v/>
      </c>
      <c r="K876" t="str">
        <f>IF(Forvetler!L78="","",Forvetler!L78)</f>
        <v/>
      </c>
      <c r="L876" t="str">
        <f>IF(Forvetler!M78="","",Forvetler!M78)</f>
        <v/>
      </c>
      <c r="M876" t="str">
        <f>IF(Forvetler!N78="","",Forvetler!N78)</f>
        <v/>
      </c>
      <c r="N876" t="str">
        <f>IF(Forvetler!O78="","",Forvetler!O78)</f>
        <v/>
      </c>
      <c r="O876" t="str">
        <f>IF(Forvetler!P78="","",Forvetler!P78)</f>
        <v/>
      </c>
      <c r="P876" t="str">
        <f>IF(Forvetler!Q78="","",Forvetler!Q78)</f>
        <v/>
      </c>
      <c r="Q876" t="str">
        <f>IF(Forvetler!R78="","",Forvetler!R78)</f>
        <v/>
      </c>
      <c r="R876" t="str">
        <f>IF(Forvetler!S78="","",Forvetler!S78)</f>
        <v/>
      </c>
      <c r="S876" t="str">
        <f>IF(Forvetler!T78="","",Forvetler!T78)</f>
        <v/>
      </c>
      <c r="T876" s="2" t="str">
        <f>IF(Forvetler!U78="","",Forvetler!U78)</f>
        <v/>
      </c>
      <c r="U876" t="s">
        <v>934</v>
      </c>
      <c r="V876">
        <v>78</v>
      </c>
      <c r="W876" t="str">
        <f ca="1">IF(AND($A876&lt;&gt;"",ISNUMBER($G876),$G876&gt;=TODAY(),$G876&lt;=EDATE(TODAY(),12)),COUNTIFS($G$2:$G$1001,"&gt;="&amp;TODAY(),$G$2:$G$1001,"&lt;"&amp;$G876,$A$2:$A$1001,"&lt;&gt;")+COUNTIFS($G$2:$G876,$G876,$A$2:$A876,"&lt;&gt;"),"")</f>
        <v/>
      </c>
      <c r="X876" t="str">
        <f>IF(AND($A876&lt;&gt;"",ISNUMBER($C876),$C876&gt;=DATE(2003,1,1)),COUNTIFS($C$2:$C876,"&gt;="&amp;DATE(2003,1,1),$A$2:$A876,"&lt;&gt;"),"")</f>
        <v/>
      </c>
    </row>
    <row r="877" spans="1:24">
      <c r="A877" t="str">
        <f>IF(Forvetler!A79="","",Forvetler!A79)</f>
        <v/>
      </c>
      <c r="B877" t="str">
        <f>IF(Forvetler!B79="","",Forvetler!B79)</f>
        <v/>
      </c>
      <c r="C877" s="2" t="str">
        <f>IF(Forvetler!C79="","",Forvetler!C79)</f>
        <v/>
      </c>
      <c r="D877" t="str">
        <f ca="1">IF(Forvetler!D79="","",Forvetler!D79)</f>
        <v/>
      </c>
      <c r="E877" t="str">
        <f>IF(Forvetler!E79="","",Forvetler!E79)</f>
        <v>Forvet</v>
      </c>
      <c r="F877" t="str">
        <f>IF(Forvetler!G79="","",Forvetler!G79)</f>
        <v/>
      </c>
      <c r="G877" s="2" t="str">
        <f>IF(Forvetler!H79="","",Forvetler!H79)</f>
        <v/>
      </c>
      <c r="H877" t="str">
        <f>IF(Forvetler!I79="","",Forvetler!I79)</f>
        <v/>
      </c>
      <c r="I877" t="str">
        <f>IF(Forvetler!A79="","",Forvetler!J79)</f>
        <v/>
      </c>
      <c r="J877" t="str">
        <f>IF(Forvetler!A79="","",Forvetler!K79)</f>
        <v/>
      </c>
      <c r="K877" t="str">
        <f>IF(Forvetler!L79="","",Forvetler!L79)</f>
        <v/>
      </c>
      <c r="L877" t="str">
        <f>IF(Forvetler!M79="","",Forvetler!M79)</f>
        <v/>
      </c>
      <c r="M877" t="str">
        <f>IF(Forvetler!N79="","",Forvetler!N79)</f>
        <v/>
      </c>
      <c r="N877" t="str">
        <f>IF(Forvetler!O79="","",Forvetler!O79)</f>
        <v/>
      </c>
      <c r="O877" t="str">
        <f>IF(Forvetler!P79="","",Forvetler!P79)</f>
        <v/>
      </c>
      <c r="P877" t="str">
        <f>IF(Forvetler!Q79="","",Forvetler!Q79)</f>
        <v/>
      </c>
      <c r="Q877" t="str">
        <f>IF(Forvetler!R79="","",Forvetler!R79)</f>
        <v/>
      </c>
      <c r="R877" t="str">
        <f>IF(Forvetler!S79="","",Forvetler!S79)</f>
        <v/>
      </c>
      <c r="S877" t="str">
        <f>IF(Forvetler!T79="","",Forvetler!T79)</f>
        <v/>
      </c>
      <c r="T877" s="2" t="str">
        <f>IF(Forvetler!U79="","",Forvetler!U79)</f>
        <v/>
      </c>
      <c r="U877" t="s">
        <v>934</v>
      </c>
      <c r="V877">
        <v>79</v>
      </c>
      <c r="W877" t="str">
        <f ca="1">IF(AND($A877&lt;&gt;"",ISNUMBER($G877),$G877&gt;=TODAY(),$G877&lt;=EDATE(TODAY(),12)),COUNTIFS($G$2:$G$1001,"&gt;="&amp;TODAY(),$G$2:$G$1001,"&lt;"&amp;$G877,$A$2:$A$1001,"&lt;&gt;")+COUNTIFS($G$2:$G877,$G877,$A$2:$A877,"&lt;&gt;"),"")</f>
        <v/>
      </c>
      <c r="X877" t="str">
        <f>IF(AND($A877&lt;&gt;"",ISNUMBER($C877),$C877&gt;=DATE(2003,1,1)),COUNTIFS($C$2:$C877,"&gt;="&amp;DATE(2003,1,1),$A$2:$A877,"&lt;&gt;"),"")</f>
        <v/>
      </c>
    </row>
    <row r="878" spans="1:24">
      <c r="A878" t="str">
        <f>IF(Forvetler!A80="","",Forvetler!A80)</f>
        <v/>
      </c>
      <c r="B878" t="str">
        <f>IF(Forvetler!B80="","",Forvetler!B80)</f>
        <v/>
      </c>
      <c r="C878" s="2" t="str">
        <f>IF(Forvetler!C80="","",Forvetler!C80)</f>
        <v/>
      </c>
      <c r="D878" t="str">
        <f ca="1">IF(Forvetler!D80="","",Forvetler!D80)</f>
        <v/>
      </c>
      <c r="E878" t="str">
        <f>IF(Forvetler!E80="","",Forvetler!E80)</f>
        <v>Forvet</v>
      </c>
      <c r="F878" t="str">
        <f>IF(Forvetler!G80="","",Forvetler!G80)</f>
        <v/>
      </c>
      <c r="G878" s="2" t="str">
        <f>IF(Forvetler!H80="","",Forvetler!H80)</f>
        <v/>
      </c>
      <c r="H878" t="str">
        <f>IF(Forvetler!I80="","",Forvetler!I80)</f>
        <v/>
      </c>
      <c r="I878" t="str">
        <f>IF(Forvetler!A80="","",Forvetler!J80)</f>
        <v/>
      </c>
      <c r="J878" t="str">
        <f>IF(Forvetler!A80="","",Forvetler!K80)</f>
        <v/>
      </c>
      <c r="K878" t="str">
        <f>IF(Forvetler!L80="","",Forvetler!L80)</f>
        <v/>
      </c>
      <c r="L878" t="str">
        <f>IF(Forvetler!M80="","",Forvetler!M80)</f>
        <v/>
      </c>
      <c r="M878" t="str">
        <f>IF(Forvetler!N80="","",Forvetler!N80)</f>
        <v/>
      </c>
      <c r="N878" t="str">
        <f>IF(Forvetler!O80="","",Forvetler!O80)</f>
        <v/>
      </c>
      <c r="O878" t="str">
        <f>IF(Forvetler!P80="","",Forvetler!P80)</f>
        <v/>
      </c>
      <c r="P878" t="str">
        <f>IF(Forvetler!Q80="","",Forvetler!Q80)</f>
        <v/>
      </c>
      <c r="Q878" t="str">
        <f>IF(Forvetler!R80="","",Forvetler!R80)</f>
        <v/>
      </c>
      <c r="R878" t="str">
        <f>IF(Forvetler!S80="","",Forvetler!S80)</f>
        <v/>
      </c>
      <c r="S878" t="str">
        <f>IF(Forvetler!T80="","",Forvetler!T80)</f>
        <v/>
      </c>
      <c r="T878" s="2" t="str">
        <f>IF(Forvetler!U80="","",Forvetler!U80)</f>
        <v/>
      </c>
      <c r="U878" t="s">
        <v>934</v>
      </c>
      <c r="V878">
        <v>80</v>
      </c>
      <c r="W878" t="str">
        <f ca="1">IF(AND($A878&lt;&gt;"",ISNUMBER($G878),$G878&gt;=TODAY(),$G878&lt;=EDATE(TODAY(),12)),COUNTIFS($G$2:$G$1001,"&gt;="&amp;TODAY(),$G$2:$G$1001,"&lt;"&amp;$G878,$A$2:$A$1001,"&lt;&gt;")+COUNTIFS($G$2:$G878,$G878,$A$2:$A878,"&lt;&gt;"),"")</f>
        <v/>
      </c>
      <c r="X878" t="str">
        <f>IF(AND($A878&lt;&gt;"",ISNUMBER($C878),$C878&gt;=DATE(2003,1,1)),COUNTIFS($C$2:$C878,"&gt;="&amp;DATE(2003,1,1),$A$2:$A878,"&lt;&gt;"),"")</f>
        <v/>
      </c>
    </row>
    <row r="879" spans="1:24">
      <c r="A879" t="str">
        <f>IF(Forvetler!A81="","",Forvetler!A81)</f>
        <v/>
      </c>
      <c r="B879" t="str">
        <f>IF(Forvetler!B81="","",Forvetler!B81)</f>
        <v/>
      </c>
      <c r="C879" s="2" t="str">
        <f>IF(Forvetler!C81="","",Forvetler!C81)</f>
        <v/>
      </c>
      <c r="D879" t="str">
        <f ca="1">IF(Forvetler!D81="","",Forvetler!D81)</f>
        <v/>
      </c>
      <c r="E879" t="str">
        <f>IF(Forvetler!E81="","",Forvetler!E81)</f>
        <v>Forvet</v>
      </c>
      <c r="F879" t="str">
        <f>IF(Forvetler!G81="","",Forvetler!G81)</f>
        <v/>
      </c>
      <c r="G879" s="2" t="str">
        <f>IF(Forvetler!H81="","",Forvetler!H81)</f>
        <v/>
      </c>
      <c r="H879" t="str">
        <f>IF(Forvetler!I81="","",Forvetler!I81)</f>
        <v/>
      </c>
      <c r="I879" t="str">
        <f>IF(Forvetler!A81="","",Forvetler!J81)</f>
        <v/>
      </c>
      <c r="J879" t="str">
        <f>IF(Forvetler!A81="","",Forvetler!K81)</f>
        <v/>
      </c>
      <c r="K879" t="str">
        <f>IF(Forvetler!L81="","",Forvetler!L81)</f>
        <v/>
      </c>
      <c r="L879" t="str">
        <f>IF(Forvetler!M81="","",Forvetler!M81)</f>
        <v/>
      </c>
      <c r="M879" t="str">
        <f>IF(Forvetler!N81="","",Forvetler!N81)</f>
        <v/>
      </c>
      <c r="N879" t="str">
        <f>IF(Forvetler!O81="","",Forvetler!O81)</f>
        <v/>
      </c>
      <c r="O879" t="str">
        <f>IF(Forvetler!P81="","",Forvetler!P81)</f>
        <v/>
      </c>
      <c r="P879" t="str">
        <f>IF(Forvetler!Q81="","",Forvetler!Q81)</f>
        <v/>
      </c>
      <c r="Q879" t="str">
        <f>IF(Forvetler!R81="","",Forvetler!R81)</f>
        <v/>
      </c>
      <c r="R879" t="str">
        <f>IF(Forvetler!S81="","",Forvetler!S81)</f>
        <v/>
      </c>
      <c r="S879" t="str">
        <f>IF(Forvetler!T81="","",Forvetler!T81)</f>
        <v/>
      </c>
      <c r="T879" s="2" t="str">
        <f>IF(Forvetler!U81="","",Forvetler!U81)</f>
        <v/>
      </c>
      <c r="U879" t="s">
        <v>934</v>
      </c>
      <c r="V879">
        <v>81</v>
      </c>
      <c r="W879" t="str">
        <f ca="1">IF(AND($A879&lt;&gt;"",ISNUMBER($G879),$G879&gt;=TODAY(),$G879&lt;=EDATE(TODAY(),12)),COUNTIFS($G$2:$G$1001,"&gt;="&amp;TODAY(),$G$2:$G$1001,"&lt;"&amp;$G879,$A$2:$A$1001,"&lt;&gt;")+COUNTIFS($G$2:$G879,$G879,$A$2:$A879,"&lt;&gt;"),"")</f>
        <v/>
      </c>
      <c r="X879" t="str">
        <f>IF(AND($A879&lt;&gt;"",ISNUMBER($C879),$C879&gt;=DATE(2003,1,1)),COUNTIFS($C$2:$C879,"&gt;="&amp;DATE(2003,1,1),$A$2:$A879,"&lt;&gt;"),"")</f>
        <v/>
      </c>
    </row>
    <row r="880" spans="1:24">
      <c r="A880" t="str">
        <f>IF(Forvetler!A82="","",Forvetler!A82)</f>
        <v/>
      </c>
      <c r="B880" t="str">
        <f>IF(Forvetler!B82="","",Forvetler!B82)</f>
        <v/>
      </c>
      <c r="C880" s="2" t="str">
        <f>IF(Forvetler!C82="","",Forvetler!C82)</f>
        <v/>
      </c>
      <c r="D880" t="str">
        <f ca="1">IF(Forvetler!D82="","",Forvetler!D82)</f>
        <v/>
      </c>
      <c r="E880" t="str">
        <f>IF(Forvetler!E82="","",Forvetler!E82)</f>
        <v>Forvet</v>
      </c>
      <c r="F880" t="str">
        <f>IF(Forvetler!G82="","",Forvetler!G82)</f>
        <v/>
      </c>
      <c r="G880" s="2" t="str">
        <f>IF(Forvetler!H82="","",Forvetler!H82)</f>
        <v/>
      </c>
      <c r="H880" t="str">
        <f>IF(Forvetler!I82="","",Forvetler!I82)</f>
        <v/>
      </c>
      <c r="I880" t="str">
        <f>IF(Forvetler!A82="","",Forvetler!J82)</f>
        <v/>
      </c>
      <c r="J880" t="str">
        <f>IF(Forvetler!A82="","",Forvetler!K82)</f>
        <v/>
      </c>
      <c r="K880" t="str">
        <f>IF(Forvetler!L82="","",Forvetler!L82)</f>
        <v/>
      </c>
      <c r="L880" t="str">
        <f>IF(Forvetler!M82="","",Forvetler!M82)</f>
        <v/>
      </c>
      <c r="M880" t="str">
        <f>IF(Forvetler!N82="","",Forvetler!N82)</f>
        <v/>
      </c>
      <c r="N880" t="str">
        <f>IF(Forvetler!O82="","",Forvetler!O82)</f>
        <v/>
      </c>
      <c r="O880" t="str">
        <f>IF(Forvetler!P82="","",Forvetler!P82)</f>
        <v/>
      </c>
      <c r="P880" t="str">
        <f>IF(Forvetler!Q82="","",Forvetler!Q82)</f>
        <v/>
      </c>
      <c r="Q880" t="str">
        <f>IF(Forvetler!R82="","",Forvetler!R82)</f>
        <v/>
      </c>
      <c r="R880" t="str">
        <f>IF(Forvetler!S82="","",Forvetler!S82)</f>
        <v/>
      </c>
      <c r="S880" t="str">
        <f>IF(Forvetler!T82="","",Forvetler!T82)</f>
        <v/>
      </c>
      <c r="T880" s="2" t="str">
        <f>IF(Forvetler!U82="","",Forvetler!U82)</f>
        <v/>
      </c>
      <c r="U880" t="s">
        <v>934</v>
      </c>
      <c r="V880">
        <v>82</v>
      </c>
      <c r="W880" t="str">
        <f ca="1">IF(AND($A880&lt;&gt;"",ISNUMBER($G880),$G880&gt;=TODAY(),$G880&lt;=EDATE(TODAY(),12)),COUNTIFS($G$2:$G$1001,"&gt;="&amp;TODAY(),$G$2:$G$1001,"&lt;"&amp;$G880,$A$2:$A$1001,"&lt;&gt;")+COUNTIFS($G$2:$G880,$G880,$A$2:$A880,"&lt;&gt;"),"")</f>
        <v/>
      </c>
      <c r="X880" t="str">
        <f>IF(AND($A880&lt;&gt;"",ISNUMBER($C880),$C880&gt;=DATE(2003,1,1)),COUNTIFS($C$2:$C880,"&gt;="&amp;DATE(2003,1,1),$A$2:$A880,"&lt;&gt;"),"")</f>
        <v/>
      </c>
    </row>
    <row r="881" spans="1:24">
      <c r="A881" t="str">
        <f>IF(Forvetler!A83="","",Forvetler!A83)</f>
        <v/>
      </c>
      <c r="B881" t="str">
        <f>IF(Forvetler!B83="","",Forvetler!B83)</f>
        <v/>
      </c>
      <c r="C881" s="2" t="str">
        <f>IF(Forvetler!C83="","",Forvetler!C83)</f>
        <v/>
      </c>
      <c r="D881" t="str">
        <f ca="1">IF(Forvetler!D83="","",Forvetler!D83)</f>
        <v/>
      </c>
      <c r="E881" t="str">
        <f>IF(Forvetler!E83="","",Forvetler!E83)</f>
        <v>Forvet</v>
      </c>
      <c r="F881" t="str">
        <f>IF(Forvetler!G83="","",Forvetler!G83)</f>
        <v/>
      </c>
      <c r="G881" s="2" t="str">
        <f>IF(Forvetler!H83="","",Forvetler!H83)</f>
        <v/>
      </c>
      <c r="H881" t="str">
        <f>IF(Forvetler!I83="","",Forvetler!I83)</f>
        <v/>
      </c>
      <c r="I881" t="str">
        <f>IF(Forvetler!A83="","",Forvetler!J83)</f>
        <v/>
      </c>
      <c r="J881" t="str">
        <f>IF(Forvetler!A83="","",Forvetler!K83)</f>
        <v/>
      </c>
      <c r="K881" t="str">
        <f>IF(Forvetler!L83="","",Forvetler!L83)</f>
        <v/>
      </c>
      <c r="L881" t="str">
        <f>IF(Forvetler!M83="","",Forvetler!M83)</f>
        <v/>
      </c>
      <c r="M881" t="str">
        <f>IF(Forvetler!N83="","",Forvetler!N83)</f>
        <v/>
      </c>
      <c r="N881" t="str">
        <f>IF(Forvetler!O83="","",Forvetler!O83)</f>
        <v/>
      </c>
      <c r="O881" t="str">
        <f>IF(Forvetler!P83="","",Forvetler!P83)</f>
        <v/>
      </c>
      <c r="P881" t="str">
        <f>IF(Forvetler!Q83="","",Forvetler!Q83)</f>
        <v/>
      </c>
      <c r="Q881" t="str">
        <f>IF(Forvetler!R83="","",Forvetler!R83)</f>
        <v/>
      </c>
      <c r="R881" t="str">
        <f>IF(Forvetler!S83="","",Forvetler!S83)</f>
        <v/>
      </c>
      <c r="S881" t="str">
        <f>IF(Forvetler!T83="","",Forvetler!T83)</f>
        <v/>
      </c>
      <c r="T881" s="2" t="str">
        <f>IF(Forvetler!U83="","",Forvetler!U83)</f>
        <v/>
      </c>
      <c r="U881" t="s">
        <v>934</v>
      </c>
      <c r="V881">
        <v>83</v>
      </c>
      <c r="W881" t="str">
        <f ca="1">IF(AND($A881&lt;&gt;"",ISNUMBER($G881),$G881&gt;=TODAY(),$G881&lt;=EDATE(TODAY(),12)),COUNTIFS($G$2:$G$1001,"&gt;="&amp;TODAY(),$G$2:$G$1001,"&lt;"&amp;$G881,$A$2:$A$1001,"&lt;&gt;")+COUNTIFS($G$2:$G881,$G881,$A$2:$A881,"&lt;&gt;"),"")</f>
        <v/>
      </c>
      <c r="X881" t="str">
        <f>IF(AND($A881&lt;&gt;"",ISNUMBER($C881),$C881&gt;=DATE(2003,1,1)),COUNTIFS($C$2:$C881,"&gt;="&amp;DATE(2003,1,1),$A$2:$A881,"&lt;&gt;"),"")</f>
        <v/>
      </c>
    </row>
    <row r="882" spans="1:24">
      <c r="A882" t="str">
        <f>IF(Forvetler!A84="","",Forvetler!A84)</f>
        <v/>
      </c>
      <c r="B882" t="str">
        <f>IF(Forvetler!B84="","",Forvetler!B84)</f>
        <v/>
      </c>
      <c r="C882" s="2" t="str">
        <f>IF(Forvetler!C84="","",Forvetler!C84)</f>
        <v/>
      </c>
      <c r="D882" t="str">
        <f ca="1">IF(Forvetler!D84="","",Forvetler!D84)</f>
        <v/>
      </c>
      <c r="E882" t="str">
        <f>IF(Forvetler!E84="","",Forvetler!E84)</f>
        <v>Forvet</v>
      </c>
      <c r="F882" t="str">
        <f>IF(Forvetler!G84="","",Forvetler!G84)</f>
        <v/>
      </c>
      <c r="G882" s="2" t="str">
        <f>IF(Forvetler!H84="","",Forvetler!H84)</f>
        <v/>
      </c>
      <c r="H882" t="str">
        <f>IF(Forvetler!I84="","",Forvetler!I84)</f>
        <v/>
      </c>
      <c r="I882" t="str">
        <f>IF(Forvetler!A84="","",Forvetler!J84)</f>
        <v/>
      </c>
      <c r="J882" t="str">
        <f>IF(Forvetler!A84="","",Forvetler!K84)</f>
        <v/>
      </c>
      <c r="K882" t="str">
        <f>IF(Forvetler!L84="","",Forvetler!L84)</f>
        <v/>
      </c>
      <c r="L882" t="str">
        <f>IF(Forvetler!M84="","",Forvetler!M84)</f>
        <v/>
      </c>
      <c r="M882" t="str">
        <f>IF(Forvetler!N84="","",Forvetler!N84)</f>
        <v/>
      </c>
      <c r="N882" t="str">
        <f>IF(Forvetler!O84="","",Forvetler!O84)</f>
        <v/>
      </c>
      <c r="O882" t="str">
        <f>IF(Forvetler!P84="","",Forvetler!P84)</f>
        <v/>
      </c>
      <c r="P882" t="str">
        <f>IF(Forvetler!Q84="","",Forvetler!Q84)</f>
        <v/>
      </c>
      <c r="Q882" t="str">
        <f>IF(Forvetler!R84="","",Forvetler!R84)</f>
        <v/>
      </c>
      <c r="R882" t="str">
        <f>IF(Forvetler!S84="","",Forvetler!S84)</f>
        <v/>
      </c>
      <c r="S882" t="str">
        <f>IF(Forvetler!T84="","",Forvetler!T84)</f>
        <v/>
      </c>
      <c r="T882" s="2" t="str">
        <f>IF(Forvetler!U84="","",Forvetler!U84)</f>
        <v/>
      </c>
      <c r="U882" t="s">
        <v>934</v>
      </c>
      <c r="V882">
        <v>84</v>
      </c>
      <c r="W882" t="str">
        <f ca="1">IF(AND($A882&lt;&gt;"",ISNUMBER($G882),$G882&gt;=TODAY(),$G882&lt;=EDATE(TODAY(),12)),COUNTIFS($G$2:$G$1001,"&gt;="&amp;TODAY(),$G$2:$G$1001,"&lt;"&amp;$G882,$A$2:$A$1001,"&lt;&gt;")+COUNTIFS($G$2:$G882,$G882,$A$2:$A882,"&lt;&gt;"),"")</f>
        <v/>
      </c>
      <c r="X882" t="str">
        <f>IF(AND($A882&lt;&gt;"",ISNUMBER($C882),$C882&gt;=DATE(2003,1,1)),COUNTIFS($C$2:$C882,"&gt;="&amp;DATE(2003,1,1),$A$2:$A882,"&lt;&gt;"),"")</f>
        <v/>
      </c>
    </row>
    <row r="883" spans="1:24">
      <c r="A883" t="str">
        <f>IF(Forvetler!A85="","",Forvetler!A85)</f>
        <v/>
      </c>
      <c r="B883" t="str">
        <f>IF(Forvetler!B85="","",Forvetler!B85)</f>
        <v/>
      </c>
      <c r="C883" s="2" t="str">
        <f>IF(Forvetler!C85="","",Forvetler!C85)</f>
        <v/>
      </c>
      <c r="D883" t="str">
        <f ca="1">IF(Forvetler!D85="","",Forvetler!D85)</f>
        <v/>
      </c>
      <c r="E883" t="str">
        <f>IF(Forvetler!E85="","",Forvetler!E85)</f>
        <v>Forvet</v>
      </c>
      <c r="F883" t="str">
        <f>IF(Forvetler!G85="","",Forvetler!G85)</f>
        <v/>
      </c>
      <c r="G883" s="2" t="str">
        <f>IF(Forvetler!H85="","",Forvetler!H85)</f>
        <v/>
      </c>
      <c r="H883" t="str">
        <f>IF(Forvetler!I85="","",Forvetler!I85)</f>
        <v/>
      </c>
      <c r="I883" t="str">
        <f>IF(Forvetler!A85="","",Forvetler!J85)</f>
        <v/>
      </c>
      <c r="J883" t="str">
        <f>IF(Forvetler!A85="","",Forvetler!K85)</f>
        <v/>
      </c>
      <c r="K883" t="str">
        <f>IF(Forvetler!L85="","",Forvetler!L85)</f>
        <v/>
      </c>
      <c r="L883" t="str">
        <f>IF(Forvetler!M85="","",Forvetler!M85)</f>
        <v/>
      </c>
      <c r="M883" t="str">
        <f>IF(Forvetler!N85="","",Forvetler!N85)</f>
        <v/>
      </c>
      <c r="N883" t="str">
        <f>IF(Forvetler!O85="","",Forvetler!O85)</f>
        <v/>
      </c>
      <c r="O883" t="str">
        <f>IF(Forvetler!P85="","",Forvetler!P85)</f>
        <v/>
      </c>
      <c r="P883" t="str">
        <f>IF(Forvetler!Q85="","",Forvetler!Q85)</f>
        <v/>
      </c>
      <c r="Q883" t="str">
        <f>IF(Forvetler!R85="","",Forvetler!R85)</f>
        <v/>
      </c>
      <c r="R883" t="str">
        <f>IF(Forvetler!S85="","",Forvetler!S85)</f>
        <v/>
      </c>
      <c r="S883" t="str">
        <f>IF(Forvetler!T85="","",Forvetler!T85)</f>
        <v/>
      </c>
      <c r="T883" s="2" t="str">
        <f>IF(Forvetler!U85="","",Forvetler!U85)</f>
        <v/>
      </c>
      <c r="U883" t="s">
        <v>934</v>
      </c>
      <c r="V883">
        <v>85</v>
      </c>
      <c r="W883" t="str">
        <f ca="1">IF(AND($A883&lt;&gt;"",ISNUMBER($G883),$G883&gt;=TODAY(),$G883&lt;=EDATE(TODAY(),12)),COUNTIFS($G$2:$G$1001,"&gt;="&amp;TODAY(),$G$2:$G$1001,"&lt;"&amp;$G883,$A$2:$A$1001,"&lt;&gt;")+COUNTIFS($G$2:$G883,$G883,$A$2:$A883,"&lt;&gt;"),"")</f>
        <v/>
      </c>
      <c r="X883" t="str">
        <f>IF(AND($A883&lt;&gt;"",ISNUMBER($C883),$C883&gt;=DATE(2003,1,1)),COUNTIFS($C$2:$C883,"&gt;="&amp;DATE(2003,1,1),$A$2:$A883,"&lt;&gt;"),"")</f>
        <v/>
      </c>
    </row>
    <row r="884" spans="1:24">
      <c r="A884" t="str">
        <f>IF(Forvetler!A86="","",Forvetler!A86)</f>
        <v/>
      </c>
      <c r="B884" t="str">
        <f>IF(Forvetler!B86="","",Forvetler!B86)</f>
        <v/>
      </c>
      <c r="C884" s="2" t="str">
        <f>IF(Forvetler!C86="","",Forvetler!C86)</f>
        <v/>
      </c>
      <c r="D884" t="str">
        <f ca="1">IF(Forvetler!D86="","",Forvetler!D86)</f>
        <v/>
      </c>
      <c r="E884" t="str">
        <f>IF(Forvetler!E86="","",Forvetler!E86)</f>
        <v>Forvet</v>
      </c>
      <c r="F884" t="str">
        <f>IF(Forvetler!G86="","",Forvetler!G86)</f>
        <v/>
      </c>
      <c r="G884" s="2" t="str">
        <f>IF(Forvetler!H86="","",Forvetler!H86)</f>
        <v/>
      </c>
      <c r="H884" t="str">
        <f>IF(Forvetler!I86="","",Forvetler!I86)</f>
        <v/>
      </c>
      <c r="I884" t="str">
        <f>IF(Forvetler!A86="","",Forvetler!J86)</f>
        <v/>
      </c>
      <c r="J884" t="str">
        <f>IF(Forvetler!A86="","",Forvetler!K86)</f>
        <v/>
      </c>
      <c r="K884" t="str">
        <f>IF(Forvetler!L86="","",Forvetler!L86)</f>
        <v/>
      </c>
      <c r="L884" t="str">
        <f>IF(Forvetler!M86="","",Forvetler!M86)</f>
        <v/>
      </c>
      <c r="M884" t="str">
        <f>IF(Forvetler!N86="","",Forvetler!N86)</f>
        <v/>
      </c>
      <c r="N884" t="str">
        <f>IF(Forvetler!O86="","",Forvetler!O86)</f>
        <v/>
      </c>
      <c r="O884" t="str">
        <f>IF(Forvetler!P86="","",Forvetler!P86)</f>
        <v/>
      </c>
      <c r="P884" t="str">
        <f>IF(Forvetler!Q86="","",Forvetler!Q86)</f>
        <v/>
      </c>
      <c r="Q884" t="str">
        <f>IF(Forvetler!R86="","",Forvetler!R86)</f>
        <v/>
      </c>
      <c r="R884" t="str">
        <f>IF(Forvetler!S86="","",Forvetler!S86)</f>
        <v/>
      </c>
      <c r="S884" t="str">
        <f>IF(Forvetler!T86="","",Forvetler!T86)</f>
        <v/>
      </c>
      <c r="T884" s="2" t="str">
        <f>IF(Forvetler!U86="","",Forvetler!U86)</f>
        <v/>
      </c>
      <c r="U884" t="s">
        <v>934</v>
      </c>
      <c r="V884">
        <v>86</v>
      </c>
      <c r="W884" t="str">
        <f ca="1">IF(AND($A884&lt;&gt;"",ISNUMBER($G884),$G884&gt;=TODAY(),$G884&lt;=EDATE(TODAY(),12)),COUNTIFS($G$2:$G$1001,"&gt;="&amp;TODAY(),$G$2:$G$1001,"&lt;"&amp;$G884,$A$2:$A$1001,"&lt;&gt;")+COUNTIFS($G$2:$G884,$G884,$A$2:$A884,"&lt;&gt;"),"")</f>
        <v/>
      </c>
      <c r="X884" t="str">
        <f>IF(AND($A884&lt;&gt;"",ISNUMBER($C884),$C884&gt;=DATE(2003,1,1)),COUNTIFS($C$2:$C884,"&gt;="&amp;DATE(2003,1,1),$A$2:$A884,"&lt;&gt;"),"")</f>
        <v/>
      </c>
    </row>
    <row r="885" spans="1:24">
      <c r="A885" t="str">
        <f>IF(Forvetler!A87="","",Forvetler!A87)</f>
        <v/>
      </c>
      <c r="B885" t="str">
        <f>IF(Forvetler!B87="","",Forvetler!B87)</f>
        <v/>
      </c>
      <c r="C885" s="2" t="str">
        <f>IF(Forvetler!C87="","",Forvetler!C87)</f>
        <v/>
      </c>
      <c r="D885" t="str">
        <f ca="1">IF(Forvetler!D87="","",Forvetler!D87)</f>
        <v/>
      </c>
      <c r="E885" t="str">
        <f>IF(Forvetler!E87="","",Forvetler!E87)</f>
        <v>Forvet</v>
      </c>
      <c r="F885" t="str">
        <f>IF(Forvetler!G87="","",Forvetler!G87)</f>
        <v/>
      </c>
      <c r="G885" s="2" t="str">
        <f>IF(Forvetler!H87="","",Forvetler!H87)</f>
        <v/>
      </c>
      <c r="H885" t="str">
        <f>IF(Forvetler!I87="","",Forvetler!I87)</f>
        <v/>
      </c>
      <c r="I885" t="str">
        <f>IF(Forvetler!A87="","",Forvetler!J87)</f>
        <v/>
      </c>
      <c r="J885" t="str">
        <f>IF(Forvetler!A87="","",Forvetler!K87)</f>
        <v/>
      </c>
      <c r="K885" t="str">
        <f>IF(Forvetler!L87="","",Forvetler!L87)</f>
        <v/>
      </c>
      <c r="L885" t="str">
        <f>IF(Forvetler!M87="","",Forvetler!M87)</f>
        <v/>
      </c>
      <c r="M885" t="str">
        <f>IF(Forvetler!N87="","",Forvetler!N87)</f>
        <v/>
      </c>
      <c r="N885" t="str">
        <f>IF(Forvetler!O87="","",Forvetler!O87)</f>
        <v/>
      </c>
      <c r="O885" t="str">
        <f>IF(Forvetler!P87="","",Forvetler!P87)</f>
        <v/>
      </c>
      <c r="P885" t="str">
        <f>IF(Forvetler!Q87="","",Forvetler!Q87)</f>
        <v/>
      </c>
      <c r="Q885" t="str">
        <f>IF(Forvetler!R87="","",Forvetler!R87)</f>
        <v/>
      </c>
      <c r="R885" t="str">
        <f>IF(Forvetler!S87="","",Forvetler!S87)</f>
        <v/>
      </c>
      <c r="S885" t="str">
        <f>IF(Forvetler!T87="","",Forvetler!T87)</f>
        <v/>
      </c>
      <c r="T885" s="2" t="str">
        <f>IF(Forvetler!U87="","",Forvetler!U87)</f>
        <v/>
      </c>
      <c r="U885" t="s">
        <v>934</v>
      </c>
      <c r="V885">
        <v>87</v>
      </c>
      <c r="W885" t="str">
        <f ca="1">IF(AND($A885&lt;&gt;"",ISNUMBER($G885),$G885&gt;=TODAY(),$G885&lt;=EDATE(TODAY(),12)),COUNTIFS($G$2:$G$1001,"&gt;="&amp;TODAY(),$G$2:$G$1001,"&lt;"&amp;$G885,$A$2:$A$1001,"&lt;&gt;")+COUNTIFS($G$2:$G885,$G885,$A$2:$A885,"&lt;&gt;"),"")</f>
        <v/>
      </c>
      <c r="X885" t="str">
        <f>IF(AND($A885&lt;&gt;"",ISNUMBER($C885),$C885&gt;=DATE(2003,1,1)),COUNTIFS($C$2:$C885,"&gt;="&amp;DATE(2003,1,1),$A$2:$A885,"&lt;&gt;"),"")</f>
        <v/>
      </c>
    </row>
    <row r="886" spans="1:24">
      <c r="A886" t="str">
        <f>IF(Forvetler!A88="","",Forvetler!A88)</f>
        <v/>
      </c>
      <c r="B886" t="str">
        <f>IF(Forvetler!B88="","",Forvetler!B88)</f>
        <v/>
      </c>
      <c r="C886" s="2" t="str">
        <f>IF(Forvetler!C88="","",Forvetler!C88)</f>
        <v/>
      </c>
      <c r="D886" t="str">
        <f ca="1">IF(Forvetler!D88="","",Forvetler!D88)</f>
        <v/>
      </c>
      <c r="E886" t="str">
        <f>IF(Forvetler!E88="","",Forvetler!E88)</f>
        <v>Forvet</v>
      </c>
      <c r="F886" t="str">
        <f>IF(Forvetler!G88="","",Forvetler!G88)</f>
        <v/>
      </c>
      <c r="G886" s="2" t="str">
        <f>IF(Forvetler!H88="","",Forvetler!H88)</f>
        <v/>
      </c>
      <c r="H886" t="str">
        <f>IF(Forvetler!I88="","",Forvetler!I88)</f>
        <v/>
      </c>
      <c r="I886" t="str">
        <f>IF(Forvetler!A88="","",Forvetler!J88)</f>
        <v/>
      </c>
      <c r="J886" t="str">
        <f>IF(Forvetler!A88="","",Forvetler!K88)</f>
        <v/>
      </c>
      <c r="K886" t="str">
        <f>IF(Forvetler!L88="","",Forvetler!L88)</f>
        <v/>
      </c>
      <c r="L886" t="str">
        <f>IF(Forvetler!M88="","",Forvetler!M88)</f>
        <v/>
      </c>
      <c r="M886" t="str">
        <f>IF(Forvetler!N88="","",Forvetler!N88)</f>
        <v/>
      </c>
      <c r="N886" t="str">
        <f>IF(Forvetler!O88="","",Forvetler!O88)</f>
        <v/>
      </c>
      <c r="O886" t="str">
        <f>IF(Forvetler!P88="","",Forvetler!P88)</f>
        <v/>
      </c>
      <c r="P886" t="str">
        <f>IF(Forvetler!Q88="","",Forvetler!Q88)</f>
        <v/>
      </c>
      <c r="Q886" t="str">
        <f>IF(Forvetler!R88="","",Forvetler!R88)</f>
        <v/>
      </c>
      <c r="R886" t="str">
        <f>IF(Forvetler!S88="","",Forvetler!S88)</f>
        <v/>
      </c>
      <c r="S886" t="str">
        <f>IF(Forvetler!T88="","",Forvetler!T88)</f>
        <v/>
      </c>
      <c r="T886" s="2" t="str">
        <f>IF(Forvetler!U88="","",Forvetler!U88)</f>
        <v/>
      </c>
      <c r="U886" t="s">
        <v>934</v>
      </c>
      <c r="V886">
        <v>88</v>
      </c>
      <c r="W886" t="str">
        <f ca="1">IF(AND($A886&lt;&gt;"",ISNUMBER($G886),$G886&gt;=TODAY(),$G886&lt;=EDATE(TODAY(),12)),COUNTIFS($G$2:$G$1001,"&gt;="&amp;TODAY(),$G$2:$G$1001,"&lt;"&amp;$G886,$A$2:$A$1001,"&lt;&gt;")+COUNTIFS($G$2:$G886,$G886,$A$2:$A886,"&lt;&gt;"),"")</f>
        <v/>
      </c>
      <c r="X886" t="str">
        <f>IF(AND($A886&lt;&gt;"",ISNUMBER($C886),$C886&gt;=DATE(2003,1,1)),COUNTIFS($C$2:$C886,"&gt;="&amp;DATE(2003,1,1),$A$2:$A886,"&lt;&gt;"),"")</f>
        <v/>
      </c>
    </row>
    <row r="887" spans="1:24">
      <c r="A887" t="str">
        <f>IF(Forvetler!A89="","",Forvetler!A89)</f>
        <v/>
      </c>
      <c r="B887" t="str">
        <f>IF(Forvetler!B89="","",Forvetler!B89)</f>
        <v/>
      </c>
      <c r="C887" s="2" t="str">
        <f>IF(Forvetler!C89="","",Forvetler!C89)</f>
        <v/>
      </c>
      <c r="D887" t="str">
        <f ca="1">IF(Forvetler!D89="","",Forvetler!D89)</f>
        <v/>
      </c>
      <c r="E887" t="str">
        <f>IF(Forvetler!E89="","",Forvetler!E89)</f>
        <v>Forvet</v>
      </c>
      <c r="F887" t="str">
        <f>IF(Forvetler!G89="","",Forvetler!G89)</f>
        <v/>
      </c>
      <c r="G887" s="2" t="str">
        <f>IF(Forvetler!H89="","",Forvetler!H89)</f>
        <v/>
      </c>
      <c r="H887" t="str">
        <f>IF(Forvetler!I89="","",Forvetler!I89)</f>
        <v/>
      </c>
      <c r="I887" t="str">
        <f>IF(Forvetler!A89="","",Forvetler!J89)</f>
        <v/>
      </c>
      <c r="J887" t="str">
        <f>IF(Forvetler!A89="","",Forvetler!K89)</f>
        <v/>
      </c>
      <c r="K887" t="str">
        <f>IF(Forvetler!L89="","",Forvetler!L89)</f>
        <v/>
      </c>
      <c r="L887" t="str">
        <f>IF(Forvetler!M89="","",Forvetler!M89)</f>
        <v/>
      </c>
      <c r="M887" t="str">
        <f>IF(Forvetler!N89="","",Forvetler!N89)</f>
        <v/>
      </c>
      <c r="N887" t="str">
        <f>IF(Forvetler!O89="","",Forvetler!O89)</f>
        <v/>
      </c>
      <c r="O887" t="str">
        <f>IF(Forvetler!P89="","",Forvetler!P89)</f>
        <v/>
      </c>
      <c r="P887" t="str">
        <f>IF(Forvetler!Q89="","",Forvetler!Q89)</f>
        <v/>
      </c>
      <c r="Q887" t="str">
        <f>IF(Forvetler!R89="","",Forvetler!R89)</f>
        <v/>
      </c>
      <c r="R887" t="str">
        <f>IF(Forvetler!S89="","",Forvetler!S89)</f>
        <v/>
      </c>
      <c r="S887" t="str">
        <f>IF(Forvetler!T89="","",Forvetler!T89)</f>
        <v/>
      </c>
      <c r="T887" s="2" t="str">
        <f>IF(Forvetler!U89="","",Forvetler!U89)</f>
        <v/>
      </c>
      <c r="U887" t="s">
        <v>934</v>
      </c>
      <c r="V887">
        <v>89</v>
      </c>
      <c r="W887" t="str">
        <f ca="1">IF(AND($A887&lt;&gt;"",ISNUMBER($G887),$G887&gt;=TODAY(),$G887&lt;=EDATE(TODAY(),12)),COUNTIFS($G$2:$G$1001,"&gt;="&amp;TODAY(),$G$2:$G$1001,"&lt;"&amp;$G887,$A$2:$A$1001,"&lt;&gt;")+COUNTIFS($G$2:$G887,$G887,$A$2:$A887,"&lt;&gt;"),"")</f>
        <v/>
      </c>
      <c r="X887" t="str">
        <f>IF(AND($A887&lt;&gt;"",ISNUMBER($C887),$C887&gt;=DATE(2003,1,1)),COUNTIFS($C$2:$C887,"&gt;="&amp;DATE(2003,1,1),$A$2:$A887,"&lt;&gt;"),"")</f>
        <v/>
      </c>
    </row>
    <row r="888" spans="1:24">
      <c r="A888" t="str">
        <f>IF(Forvetler!A90="","",Forvetler!A90)</f>
        <v/>
      </c>
      <c r="B888" t="str">
        <f>IF(Forvetler!B90="","",Forvetler!B90)</f>
        <v/>
      </c>
      <c r="C888" s="2" t="str">
        <f>IF(Forvetler!C90="","",Forvetler!C90)</f>
        <v/>
      </c>
      <c r="D888" t="str">
        <f ca="1">IF(Forvetler!D90="","",Forvetler!D90)</f>
        <v/>
      </c>
      <c r="E888" t="str">
        <f>IF(Forvetler!E90="","",Forvetler!E90)</f>
        <v>Forvet</v>
      </c>
      <c r="F888" t="str">
        <f>IF(Forvetler!G90="","",Forvetler!G90)</f>
        <v/>
      </c>
      <c r="G888" s="2" t="str">
        <f>IF(Forvetler!H90="","",Forvetler!H90)</f>
        <v/>
      </c>
      <c r="H888" t="str">
        <f>IF(Forvetler!I90="","",Forvetler!I90)</f>
        <v/>
      </c>
      <c r="I888" t="str">
        <f>IF(Forvetler!A90="","",Forvetler!J90)</f>
        <v/>
      </c>
      <c r="J888" t="str">
        <f>IF(Forvetler!A90="","",Forvetler!K90)</f>
        <v/>
      </c>
      <c r="K888" t="str">
        <f>IF(Forvetler!L90="","",Forvetler!L90)</f>
        <v/>
      </c>
      <c r="L888" t="str">
        <f>IF(Forvetler!M90="","",Forvetler!M90)</f>
        <v/>
      </c>
      <c r="M888" t="str">
        <f>IF(Forvetler!N90="","",Forvetler!N90)</f>
        <v/>
      </c>
      <c r="N888" t="str">
        <f>IF(Forvetler!O90="","",Forvetler!O90)</f>
        <v/>
      </c>
      <c r="O888" t="str">
        <f>IF(Forvetler!P90="","",Forvetler!P90)</f>
        <v/>
      </c>
      <c r="P888" t="str">
        <f>IF(Forvetler!Q90="","",Forvetler!Q90)</f>
        <v/>
      </c>
      <c r="Q888" t="str">
        <f>IF(Forvetler!R90="","",Forvetler!R90)</f>
        <v/>
      </c>
      <c r="R888" t="str">
        <f>IF(Forvetler!S90="","",Forvetler!S90)</f>
        <v/>
      </c>
      <c r="S888" t="str">
        <f>IF(Forvetler!T90="","",Forvetler!T90)</f>
        <v/>
      </c>
      <c r="T888" s="2" t="str">
        <f>IF(Forvetler!U90="","",Forvetler!U90)</f>
        <v/>
      </c>
      <c r="U888" t="s">
        <v>934</v>
      </c>
      <c r="V888">
        <v>90</v>
      </c>
      <c r="W888" t="str">
        <f ca="1">IF(AND($A888&lt;&gt;"",ISNUMBER($G888),$G888&gt;=TODAY(),$G888&lt;=EDATE(TODAY(),12)),COUNTIFS($G$2:$G$1001,"&gt;="&amp;TODAY(),$G$2:$G$1001,"&lt;"&amp;$G888,$A$2:$A$1001,"&lt;&gt;")+COUNTIFS($G$2:$G888,$G888,$A$2:$A888,"&lt;&gt;"),"")</f>
        <v/>
      </c>
      <c r="X888" t="str">
        <f>IF(AND($A888&lt;&gt;"",ISNUMBER($C888),$C888&gt;=DATE(2003,1,1)),COUNTIFS($C$2:$C888,"&gt;="&amp;DATE(2003,1,1),$A$2:$A888,"&lt;&gt;"),"")</f>
        <v/>
      </c>
    </row>
    <row r="889" spans="1:24">
      <c r="A889" t="str">
        <f>IF(Forvetler!A91="","",Forvetler!A91)</f>
        <v/>
      </c>
      <c r="B889" t="str">
        <f>IF(Forvetler!B91="","",Forvetler!B91)</f>
        <v/>
      </c>
      <c r="C889" s="2" t="str">
        <f>IF(Forvetler!C91="","",Forvetler!C91)</f>
        <v/>
      </c>
      <c r="D889" t="str">
        <f ca="1">IF(Forvetler!D91="","",Forvetler!D91)</f>
        <v/>
      </c>
      <c r="E889" t="str">
        <f>IF(Forvetler!E91="","",Forvetler!E91)</f>
        <v>Forvet</v>
      </c>
      <c r="F889" t="str">
        <f>IF(Forvetler!G91="","",Forvetler!G91)</f>
        <v/>
      </c>
      <c r="G889" s="2" t="str">
        <f>IF(Forvetler!H91="","",Forvetler!H91)</f>
        <v/>
      </c>
      <c r="H889" t="str">
        <f>IF(Forvetler!I91="","",Forvetler!I91)</f>
        <v/>
      </c>
      <c r="I889" t="str">
        <f>IF(Forvetler!A91="","",Forvetler!J91)</f>
        <v/>
      </c>
      <c r="J889" t="str">
        <f>IF(Forvetler!A91="","",Forvetler!K91)</f>
        <v/>
      </c>
      <c r="K889" t="str">
        <f>IF(Forvetler!L91="","",Forvetler!L91)</f>
        <v/>
      </c>
      <c r="L889" t="str">
        <f>IF(Forvetler!M91="","",Forvetler!M91)</f>
        <v/>
      </c>
      <c r="M889" t="str">
        <f>IF(Forvetler!N91="","",Forvetler!N91)</f>
        <v/>
      </c>
      <c r="N889" t="str">
        <f>IF(Forvetler!O91="","",Forvetler!O91)</f>
        <v/>
      </c>
      <c r="O889" t="str">
        <f>IF(Forvetler!P91="","",Forvetler!P91)</f>
        <v/>
      </c>
      <c r="P889" t="str">
        <f>IF(Forvetler!Q91="","",Forvetler!Q91)</f>
        <v/>
      </c>
      <c r="Q889" t="str">
        <f>IF(Forvetler!R91="","",Forvetler!R91)</f>
        <v/>
      </c>
      <c r="R889" t="str">
        <f>IF(Forvetler!S91="","",Forvetler!S91)</f>
        <v/>
      </c>
      <c r="S889" t="str">
        <f>IF(Forvetler!T91="","",Forvetler!T91)</f>
        <v/>
      </c>
      <c r="T889" s="2" t="str">
        <f>IF(Forvetler!U91="","",Forvetler!U91)</f>
        <v/>
      </c>
      <c r="U889" t="s">
        <v>934</v>
      </c>
      <c r="V889">
        <v>91</v>
      </c>
      <c r="W889" t="str">
        <f ca="1">IF(AND($A889&lt;&gt;"",ISNUMBER($G889),$G889&gt;=TODAY(),$G889&lt;=EDATE(TODAY(),12)),COUNTIFS($G$2:$G$1001,"&gt;="&amp;TODAY(),$G$2:$G$1001,"&lt;"&amp;$G889,$A$2:$A$1001,"&lt;&gt;")+COUNTIFS($G$2:$G889,$G889,$A$2:$A889,"&lt;&gt;"),"")</f>
        <v/>
      </c>
      <c r="X889" t="str">
        <f>IF(AND($A889&lt;&gt;"",ISNUMBER($C889),$C889&gt;=DATE(2003,1,1)),COUNTIFS($C$2:$C889,"&gt;="&amp;DATE(2003,1,1),$A$2:$A889,"&lt;&gt;"),"")</f>
        <v/>
      </c>
    </row>
    <row r="890" spans="1:24">
      <c r="A890" t="str">
        <f>IF(Forvetler!A92="","",Forvetler!A92)</f>
        <v/>
      </c>
      <c r="B890" t="str">
        <f>IF(Forvetler!B92="","",Forvetler!B92)</f>
        <v/>
      </c>
      <c r="C890" s="2" t="str">
        <f>IF(Forvetler!C92="","",Forvetler!C92)</f>
        <v/>
      </c>
      <c r="D890" t="str">
        <f ca="1">IF(Forvetler!D92="","",Forvetler!D92)</f>
        <v/>
      </c>
      <c r="E890" t="str">
        <f>IF(Forvetler!E92="","",Forvetler!E92)</f>
        <v>Forvet</v>
      </c>
      <c r="F890" t="str">
        <f>IF(Forvetler!G92="","",Forvetler!G92)</f>
        <v/>
      </c>
      <c r="G890" s="2" t="str">
        <f>IF(Forvetler!H92="","",Forvetler!H92)</f>
        <v/>
      </c>
      <c r="H890" t="str">
        <f>IF(Forvetler!I92="","",Forvetler!I92)</f>
        <v/>
      </c>
      <c r="I890" t="str">
        <f>IF(Forvetler!A92="","",Forvetler!J92)</f>
        <v/>
      </c>
      <c r="J890" t="str">
        <f>IF(Forvetler!A92="","",Forvetler!K92)</f>
        <v/>
      </c>
      <c r="K890" t="str">
        <f>IF(Forvetler!L92="","",Forvetler!L92)</f>
        <v/>
      </c>
      <c r="L890" t="str">
        <f>IF(Forvetler!M92="","",Forvetler!M92)</f>
        <v/>
      </c>
      <c r="M890" t="str">
        <f>IF(Forvetler!N92="","",Forvetler!N92)</f>
        <v/>
      </c>
      <c r="N890" t="str">
        <f>IF(Forvetler!O92="","",Forvetler!O92)</f>
        <v/>
      </c>
      <c r="O890" t="str">
        <f>IF(Forvetler!P92="","",Forvetler!P92)</f>
        <v/>
      </c>
      <c r="P890" t="str">
        <f>IF(Forvetler!Q92="","",Forvetler!Q92)</f>
        <v/>
      </c>
      <c r="Q890" t="str">
        <f>IF(Forvetler!R92="","",Forvetler!R92)</f>
        <v/>
      </c>
      <c r="R890" t="str">
        <f>IF(Forvetler!S92="","",Forvetler!S92)</f>
        <v/>
      </c>
      <c r="S890" t="str">
        <f>IF(Forvetler!T92="","",Forvetler!T92)</f>
        <v/>
      </c>
      <c r="T890" s="2" t="str">
        <f>IF(Forvetler!U92="","",Forvetler!U92)</f>
        <v/>
      </c>
      <c r="U890" t="s">
        <v>934</v>
      </c>
      <c r="V890">
        <v>92</v>
      </c>
      <c r="W890" t="str">
        <f ca="1">IF(AND($A890&lt;&gt;"",ISNUMBER($G890),$G890&gt;=TODAY(),$G890&lt;=EDATE(TODAY(),12)),COUNTIFS($G$2:$G$1001,"&gt;="&amp;TODAY(),$G$2:$G$1001,"&lt;"&amp;$G890,$A$2:$A$1001,"&lt;&gt;")+COUNTIFS($G$2:$G890,$G890,$A$2:$A890,"&lt;&gt;"),"")</f>
        <v/>
      </c>
      <c r="X890" t="str">
        <f>IF(AND($A890&lt;&gt;"",ISNUMBER($C890),$C890&gt;=DATE(2003,1,1)),COUNTIFS($C$2:$C890,"&gt;="&amp;DATE(2003,1,1),$A$2:$A890,"&lt;&gt;"),"")</f>
        <v/>
      </c>
    </row>
    <row r="891" spans="1:24">
      <c r="A891" t="str">
        <f>IF(Forvetler!A93="","",Forvetler!A93)</f>
        <v/>
      </c>
      <c r="B891" t="str">
        <f>IF(Forvetler!B93="","",Forvetler!B93)</f>
        <v/>
      </c>
      <c r="C891" s="2" t="str">
        <f>IF(Forvetler!C93="","",Forvetler!C93)</f>
        <v/>
      </c>
      <c r="D891" t="str">
        <f ca="1">IF(Forvetler!D93="","",Forvetler!D93)</f>
        <v/>
      </c>
      <c r="E891" t="str">
        <f>IF(Forvetler!E93="","",Forvetler!E93)</f>
        <v>Forvet</v>
      </c>
      <c r="F891" t="str">
        <f>IF(Forvetler!G93="","",Forvetler!G93)</f>
        <v/>
      </c>
      <c r="G891" s="2" t="str">
        <f>IF(Forvetler!H93="","",Forvetler!H93)</f>
        <v/>
      </c>
      <c r="H891" t="str">
        <f>IF(Forvetler!I93="","",Forvetler!I93)</f>
        <v/>
      </c>
      <c r="I891" t="str">
        <f>IF(Forvetler!A93="","",Forvetler!J93)</f>
        <v/>
      </c>
      <c r="J891" t="str">
        <f>IF(Forvetler!A93="","",Forvetler!K93)</f>
        <v/>
      </c>
      <c r="K891" t="str">
        <f>IF(Forvetler!L93="","",Forvetler!L93)</f>
        <v/>
      </c>
      <c r="L891" t="str">
        <f>IF(Forvetler!M93="","",Forvetler!M93)</f>
        <v/>
      </c>
      <c r="M891" t="str">
        <f>IF(Forvetler!N93="","",Forvetler!N93)</f>
        <v/>
      </c>
      <c r="N891" t="str">
        <f>IF(Forvetler!O93="","",Forvetler!O93)</f>
        <v/>
      </c>
      <c r="O891" t="str">
        <f>IF(Forvetler!P93="","",Forvetler!P93)</f>
        <v/>
      </c>
      <c r="P891" t="str">
        <f>IF(Forvetler!Q93="","",Forvetler!Q93)</f>
        <v/>
      </c>
      <c r="Q891" t="str">
        <f>IF(Forvetler!R93="","",Forvetler!R93)</f>
        <v/>
      </c>
      <c r="R891" t="str">
        <f>IF(Forvetler!S93="","",Forvetler!S93)</f>
        <v/>
      </c>
      <c r="S891" t="str">
        <f>IF(Forvetler!T93="","",Forvetler!T93)</f>
        <v/>
      </c>
      <c r="T891" s="2" t="str">
        <f>IF(Forvetler!U93="","",Forvetler!U93)</f>
        <v/>
      </c>
      <c r="U891" t="s">
        <v>934</v>
      </c>
      <c r="V891">
        <v>93</v>
      </c>
      <c r="W891" t="str">
        <f ca="1">IF(AND($A891&lt;&gt;"",ISNUMBER($G891),$G891&gt;=TODAY(),$G891&lt;=EDATE(TODAY(),12)),COUNTIFS($G$2:$G$1001,"&gt;="&amp;TODAY(),$G$2:$G$1001,"&lt;"&amp;$G891,$A$2:$A$1001,"&lt;&gt;")+COUNTIFS($G$2:$G891,$G891,$A$2:$A891,"&lt;&gt;"),"")</f>
        <v/>
      </c>
      <c r="X891" t="str">
        <f>IF(AND($A891&lt;&gt;"",ISNUMBER($C891),$C891&gt;=DATE(2003,1,1)),COUNTIFS($C$2:$C891,"&gt;="&amp;DATE(2003,1,1),$A$2:$A891,"&lt;&gt;"),"")</f>
        <v/>
      </c>
    </row>
    <row r="892" spans="1:24">
      <c r="A892" t="str">
        <f>IF(Forvetler!A94="","",Forvetler!A94)</f>
        <v/>
      </c>
      <c r="B892" t="str">
        <f>IF(Forvetler!B94="","",Forvetler!B94)</f>
        <v/>
      </c>
      <c r="C892" s="2" t="str">
        <f>IF(Forvetler!C94="","",Forvetler!C94)</f>
        <v/>
      </c>
      <c r="D892" t="str">
        <f ca="1">IF(Forvetler!D94="","",Forvetler!D94)</f>
        <v/>
      </c>
      <c r="E892" t="str">
        <f>IF(Forvetler!E94="","",Forvetler!E94)</f>
        <v>Forvet</v>
      </c>
      <c r="F892" t="str">
        <f>IF(Forvetler!G94="","",Forvetler!G94)</f>
        <v/>
      </c>
      <c r="G892" s="2" t="str">
        <f>IF(Forvetler!H94="","",Forvetler!H94)</f>
        <v/>
      </c>
      <c r="H892" t="str">
        <f>IF(Forvetler!I94="","",Forvetler!I94)</f>
        <v/>
      </c>
      <c r="I892" t="str">
        <f>IF(Forvetler!A94="","",Forvetler!J94)</f>
        <v/>
      </c>
      <c r="J892" t="str">
        <f>IF(Forvetler!A94="","",Forvetler!K94)</f>
        <v/>
      </c>
      <c r="K892" t="str">
        <f>IF(Forvetler!L94="","",Forvetler!L94)</f>
        <v/>
      </c>
      <c r="L892" t="str">
        <f>IF(Forvetler!M94="","",Forvetler!M94)</f>
        <v/>
      </c>
      <c r="M892" t="str">
        <f>IF(Forvetler!N94="","",Forvetler!N94)</f>
        <v/>
      </c>
      <c r="N892" t="str">
        <f>IF(Forvetler!O94="","",Forvetler!O94)</f>
        <v/>
      </c>
      <c r="O892" t="str">
        <f>IF(Forvetler!P94="","",Forvetler!P94)</f>
        <v/>
      </c>
      <c r="P892" t="str">
        <f>IF(Forvetler!Q94="","",Forvetler!Q94)</f>
        <v/>
      </c>
      <c r="Q892" t="str">
        <f>IF(Forvetler!R94="","",Forvetler!R94)</f>
        <v/>
      </c>
      <c r="R892" t="str">
        <f>IF(Forvetler!S94="","",Forvetler!S94)</f>
        <v/>
      </c>
      <c r="S892" t="str">
        <f>IF(Forvetler!T94="","",Forvetler!T94)</f>
        <v/>
      </c>
      <c r="T892" s="2" t="str">
        <f>IF(Forvetler!U94="","",Forvetler!U94)</f>
        <v/>
      </c>
      <c r="U892" t="s">
        <v>934</v>
      </c>
      <c r="V892">
        <v>94</v>
      </c>
      <c r="W892" t="str">
        <f ca="1">IF(AND($A892&lt;&gt;"",ISNUMBER($G892),$G892&gt;=TODAY(),$G892&lt;=EDATE(TODAY(),12)),COUNTIFS($G$2:$G$1001,"&gt;="&amp;TODAY(),$G$2:$G$1001,"&lt;"&amp;$G892,$A$2:$A$1001,"&lt;&gt;")+COUNTIFS($G$2:$G892,$G892,$A$2:$A892,"&lt;&gt;"),"")</f>
        <v/>
      </c>
      <c r="X892" t="str">
        <f>IF(AND($A892&lt;&gt;"",ISNUMBER($C892),$C892&gt;=DATE(2003,1,1)),COUNTIFS($C$2:$C892,"&gt;="&amp;DATE(2003,1,1),$A$2:$A892,"&lt;&gt;"),"")</f>
        <v/>
      </c>
    </row>
    <row r="893" spans="1:24">
      <c r="A893" t="str">
        <f>IF(Forvetler!A95="","",Forvetler!A95)</f>
        <v/>
      </c>
      <c r="B893" t="str">
        <f>IF(Forvetler!B95="","",Forvetler!B95)</f>
        <v/>
      </c>
      <c r="C893" s="2" t="str">
        <f>IF(Forvetler!C95="","",Forvetler!C95)</f>
        <v/>
      </c>
      <c r="D893" t="str">
        <f ca="1">IF(Forvetler!D95="","",Forvetler!D95)</f>
        <v/>
      </c>
      <c r="E893" t="str">
        <f>IF(Forvetler!E95="","",Forvetler!E95)</f>
        <v>Forvet</v>
      </c>
      <c r="F893" t="str">
        <f>IF(Forvetler!G95="","",Forvetler!G95)</f>
        <v/>
      </c>
      <c r="G893" s="2" t="str">
        <f>IF(Forvetler!H95="","",Forvetler!H95)</f>
        <v/>
      </c>
      <c r="H893" t="str">
        <f>IF(Forvetler!I95="","",Forvetler!I95)</f>
        <v/>
      </c>
      <c r="I893" t="str">
        <f>IF(Forvetler!A95="","",Forvetler!J95)</f>
        <v/>
      </c>
      <c r="J893" t="str">
        <f>IF(Forvetler!A95="","",Forvetler!K95)</f>
        <v/>
      </c>
      <c r="K893" t="str">
        <f>IF(Forvetler!L95="","",Forvetler!L95)</f>
        <v/>
      </c>
      <c r="L893" t="str">
        <f>IF(Forvetler!M95="","",Forvetler!M95)</f>
        <v/>
      </c>
      <c r="M893" t="str">
        <f>IF(Forvetler!N95="","",Forvetler!N95)</f>
        <v/>
      </c>
      <c r="N893" t="str">
        <f>IF(Forvetler!O95="","",Forvetler!O95)</f>
        <v/>
      </c>
      <c r="O893" t="str">
        <f>IF(Forvetler!P95="","",Forvetler!P95)</f>
        <v/>
      </c>
      <c r="P893" t="str">
        <f>IF(Forvetler!Q95="","",Forvetler!Q95)</f>
        <v/>
      </c>
      <c r="Q893" t="str">
        <f>IF(Forvetler!R95="","",Forvetler!R95)</f>
        <v/>
      </c>
      <c r="R893" t="str">
        <f>IF(Forvetler!S95="","",Forvetler!S95)</f>
        <v/>
      </c>
      <c r="S893" t="str">
        <f>IF(Forvetler!T95="","",Forvetler!T95)</f>
        <v/>
      </c>
      <c r="T893" s="2" t="str">
        <f>IF(Forvetler!U95="","",Forvetler!U95)</f>
        <v/>
      </c>
      <c r="U893" t="s">
        <v>934</v>
      </c>
      <c r="V893">
        <v>95</v>
      </c>
      <c r="W893" t="str">
        <f ca="1">IF(AND($A893&lt;&gt;"",ISNUMBER($G893),$G893&gt;=TODAY(),$G893&lt;=EDATE(TODAY(),12)),COUNTIFS($G$2:$G$1001,"&gt;="&amp;TODAY(),$G$2:$G$1001,"&lt;"&amp;$G893,$A$2:$A$1001,"&lt;&gt;")+COUNTIFS($G$2:$G893,$G893,$A$2:$A893,"&lt;&gt;"),"")</f>
        <v/>
      </c>
      <c r="X893" t="str">
        <f>IF(AND($A893&lt;&gt;"",ISNUMBER($C893),$C893&gt;=DATE(2003,1,1)),COUNTIFS($C$2:$C893,"&gt;="&amp;DATE(2003,1,1),$A$2:$A893,"&lt;&gt;"),"")</f>
        <v/>
      </c>
    </row>
    <row r="894" spans="1:24">
      <c r="A894" t="str">
        <f>IF(Forvetler!A96="","",Forvetler!A96)</f>
        <v/>
      </c>
      <c r="B894" t="str">
        <f>IF(Forvetler!B96="","",Forvetler!B96)</f>
        <v/>
      </c>
      <c r="C894" s="2" t="str">
        <f>IF(Forvetler!C96="","",Forvetler!C96)</f>
        <v/>
      </c>
      <c r="D894" t="str">
        <f ca="1">IF(Forvetler!D96="","",Forvetler!D96)</f>
        <v/>
      </c>
      <c r="E894" t="str">
        <f>IF(Forvetler!E96="","",Forvetler!E96)</f>
        <v>Forvet</v>
      </c>
      <c r="F894" t="str">
        <f>IF(Forvetler!G96="","",Forvetler!G96)</f>
        <v/>
      </c>
      <c r="G894" s="2" t="str">
        <f>IF(Forvetler!H96="","",Forvetler!H96)</f>
        <v/>
      </c>
      <c r="H894" t="str">
        <f>IF(Forvetler!I96="","",Forvetler!I96)</f>
        <v/>
      </c>
      <c r="I894" t="str">
        <f>IF(Forvetler!A96="","",Forvetler!J96)</f>
        <v/>
      </c>
      <c r="J894" t="str">
        <f>IF(Forvetler!A96="","",Forvetler!K96)</f>
        <v/>
      </c>
      <c r="K894" t="str">
        <f>IF(Forvetler!L96="","",Forvetler!L96)</f>
        <v/>
      </c>
      <c r="L894" t="str">
        <f>IF(Forvetler!M96="","",Forvetler!M96)</f>
        <v/>
      </c>
      <c r="M894" t="str">
        <f>IF(Forvetler!N96="","",Forvetler!N96)</f>
        <v/>
      </c>
      <c r="N894" t="str">
        <f>IF(Forvetler!O96="","",Forvetler!O96)</f>
        <v/>
      </c>
      <c r="O894" t="str">
        <f>IF(Forvetler!P96="","",Forvetler!P96)</f>
        <v/>
      </c>
      <c r="P894" t="str">
        <f>IF(Forvetler!Q96="","",Forvetler!Q96)</f>
        <v/>
      </c>
      <c r="Q894" t="str">
        <f>IF(Forvetler!R96="","",Forvetler!R96)</f>
        <v/>
      </c>
      <c r="R894" t="str">
        <f>IF(Forvetler!S96="","",Forvetler!S96)</f>
        <v/>
      </c>
      <c r="S894" t="str">
        <f>IF(Forvetler!T96="","",Forvetler!T96)</f>
        <v/>
      </c>
      <c r="T894" s="2" t="str">
        <f>IF(Forvetler!U96="","",Forvetler!U96)</f>
        <v/>
      </c>
      <c r="U894" t="s">
        <v>934</v>
      </c>
      <c r="V894">
        <v>96</v>
      </c>
      <c r="W894" t="str">
        <f ca="1">IF(AND($A894&lt;&gt;"",ISNUMBER($G894),$G894&gt;=TODAY(),$G894&lt;=EDATE(TODAY(),12)),COUNTIFS($G$2:$G$1001,"&gt;="&amp;TODAY(),$G$2:$G$1001,"&lt;"&amp;$G894,$A$2:$A$1001,"&lt;&gt;")+COUNTIFS($G$2:$G894,$G894,$A$2:$A894,"&lt;&gt;"),"")</f>
        <v/>
      </c>
      <c r="X894" t="str">
        <f>IF(AND($A894&lt;&gt;"",ISNUMBER($C894),$C894&gt;=DATE(2003,1,1)),COUNTIFS($C$2:$C894,"&gt;="&amp;DATE(2003,1,1),$A$2:$A894,"&lt;&gt;"),"")</f>
        <v/>
      </c>
    </row>
    <row r="895" spans="1:24">
      <c r="A895" t="str">
        <f>IF(Forvetler!A97="","",Forvetler!A97)</f>
        <v/>
      </c>
      <c r="B895" t="str">
        <f>IF(Forvetler!B97="","",Forvetler!B97)</f>
        <v/>
      </c>
      <c r="C895" s="2" t="str">
        <f>IF(Forvetler!C97="","",Forvetler!C97)</f>
        <v/>
      </c>
      <c r="D895" t="str">
        <f ca="1">IF(Forvetler!D97="","",Forvetler!D97)</f>
        <v/>
      </c>
      <c r="E895" t="str">
        <f>IF(Forvetler!E97="","",Forvetler!E97)</f>
        <v>Forvet</v>
      </c>
      <c r="F895" t="str">
        <f>IF(Forvetler!G97="","",Forvetler!G97)</f>
        <v/>
      </c>
      <c r="G895" s="2" t="str">
        <f>IF(Forvetler!H97="","",Forvetler!H97)</f>
        <v/>
      </c>
      <c r="H895" t="str">
        <f>IF(Forvetler!I97="","",Forvetler!I97)</f>
        <v/>
      </c>
      <c r="I895" t="str">
        <f>IF(Forvetler!A97="","",Forvetler!J97)</f>
        <v/>
      </c>
      <c r="J895" t="str">
        <f>IF(Forvetler!A97="","",Forvetler!K97)</f>
        <v/>
      </c>
      <c r="K895" t="str">
        <f>IF(Forvetler!L97="","",Forvetler!L97)</f>
        <v/>
      </c>
      <c r="L895" t="str">
        <f>IF(Forvetler!M97="","",Forvetler!M97)</f>
        <v/>
      </c>
      <c r="M895" t="str">
        <f>IF(Forvetler!N97="","",Forvetler!N97)</f>
        <v/>
      </c>
      <c r="N895" t="str">
        <f>IF(Forvetler!O97="","",Forvetler!O97)</f>
        <v/>
      </c>
      <c r="O895" t="str">
        <f>IF(Forvetler!P97="","",Forvetler!P97)</f>
        <v/>
      </c>
      <c r="P895" t="str">
        <f>IF(Forvetler!Q97="","",Forvetler!Q97)</f>
        <v/>
      </c>
      <c r="Q895" t="str">
        <f>IF(Forvetler!R97="","",Forvetler!R97)</f>
        <v/>
      </c>
      <c r="R895" t="str">
        <f>IF(Forvetler!S97="","",Forvetler!S97)</f>
        <v/>
      </c>
      <c r="S895" t="str">
        <f>IF(Forvetler!T97="","",Forvetler!T97)</f>
        <v/>
      </c>
      <c r="T895" s="2" t="str">
        <f>IF(Forvetler!U97="","",Forvetler!U97)</f>
        <v/>
      </c>
      <c r="U895" t="s">
        <v>934</v>
      </c>
      <c r="V895">
        <v>97</v>
      </c>
      <c r="W895" t="str">
        <f ca="1">IF(AND($A895&lt;&gt;"",ISNUMBER($G895),$G895&gt;=TODAY(),$G895&lt;=EDATE(TODAY(),12)),COUNTIFS($G$2:$G$1001,"&gt;="&amp;TODAY(),$G$2:$G$1001,"&lt;"&amp;$G895,$A$2:$A$1001,"&lt;&gt;")+COUNTIFS($G$2:$G895,$G895,$A$2:$A895,"&lt;&gt;"),"")</f>
        <v/>
      </c>
      <c r="X895" t="str">
        <f>IF(AND($A895&lt;&gt;"",ISNUMBER($C895),$C895&gt;=DATE(2003,1,1)),COUNTIFS($C$2:$C895,"&gt;="&amp;DATE(2003,1,1),$A$2:$A895,"&lt;&gt;"),"")</f>
        <v/>
      </c>
    </row>
    <row r="896" spans="1:24">
      <c r="A896" t="str">
        <f>IF(Forvetler!A98="","",Forvetler!A98)</f>
        <v/>
      </c>
      <c r="B896" t="str">
        <f>IF(Forvetler!B98="","",Forvetler!B98)</f>
        <v/>
      </c>
      <c r="C896" s="2" t="str">
        <f>IF(Forvetler!C98="","",Forvetler!C98)</f>
        <v/>
      </c>
      <c r="D896" t="str">
        <f ca="1">IF(Forvetler!D98="","",Forvetler!D98)</f>
        <v/>
      </c>
      <c r="E896" t="str">
        <f>IF(Forvetler!E98="","",Forvetler!E98)</f>
        <v>Forvet</v>
      </c>
      <c r="F896" t="str">
        <f>IF(Forvetler!G98="","",Forvetler!G98)</f>
        <v/>
      </c>
      <c r="G896" s="2" t="str">
        <f>IF(Forvetler!H98="","",Forvetler!H98)</f>
        <v/>
      </c>
      <c r="H896" t="str">
        <f>IF(Forvetler!I98="","",Forvetler!I98)</f>
        <v/>
      </c>
      <c r="I896" t="str">
        <f>IF(Forvetler!A98="","",Forvetler!J98)</f>
        <v/>
      </c>
      <c r="J896" t="str">
        <f>IF(Forvetler!A98="","",Forvetler!K98)</f>
        <v/>
      </c>
      <c r="K896" t="str">
        <f>IF(Forvetler!L98="","",Forvetler!L98)</f>
        <v/>
      </c>
      <c r="L896" t="str">
        <f>IF(Forvetler!M98="","",Forvetler!M98)</f>
        <v/>
      </c>
      <c r="M896" t="str">
        <f>IF(Forvetler!N98="","",Forvetler!N98)</f>
        <v/>
      </c>
      <c r="N896" t="str">
        <f>IF(Forvetler!O98="","",Forvetler!O98)</f>
        <v/>
      </c>
      <c r="O896" t="str">
        <f>IF(Forvetler!P98="","",Forvetler!P98)</f>
        <v/>
      </c>
      <c r="P896" t="str">
        <f>IF(Forvetler!Q98="","",Forvetler!Q98)</f>
        <v/>
      </c>
      <c r="Q896" t="str">
        <f>IF(Forvetler!R98="","",Forvetler!R98)</f>
        <v/>
      </c>
      <c r="R896" t="str">
        <f>IF(Forvetler!S98="","",Forvetler!S98)</f>
        <v/>
      </c>
      <c r="S896" t="str">
        <f>IF(Forvetler!T98="","",Forvetler!T98)</f>
        <v/>
      </c>
      <c r="T896" s="2" t="str">
        <f>IF(Forvetler!U98="","",Forvetler!U98)</f>
        <v/>
      </c>
      <c r="U896" t="s">
        <v>934</v>
      </c>
      <c r="V896">
        <v>98</v>
      </c>
      <c r="W896" t="str">
        <f ca="1">IF(AND($A896&lt;&gt;"",ISNUMBER($G896),$G896&gt;=TODAY(),$G896&lt;=EDATE(TODAY(),12)),COUNTIFS($G$2:$G$1001,"&gt;="&amp;TODAY(),$G$2:$G$1001,"&lt;"&amp;$G896,$A$2:$A$1001,"&lt;&gt;")+COUNTIFS($G$2:$G896,$G896,$A$2:$A896,"&lt;&gt;"),"")</f>
        <v/>
      </c>
      <c r="X896" t="str">
        <f>IF(AND($A896&lt;&gt;"",ISNUMBER($C896),$C896&gt;=DATE(2003,1,1)),COUNTIFS($C$2:$C896,"&gt;="&amp;DATE(2003,1,1),$A$2:$A896,"&lt;&gt;"),"")</f>
        <v/>
      </c>
    </row>
    <row r="897" spans="1:24">
      <c r="A897" t="str">
        <f>IF(Forvetler!A99="","",Forvetler!A99)</f>
        <v/>
      </c>
      <c r="B897" t="str">
        <f>IF(Forvetler!B99="","",Forvetler!B99)</f>
        <v/>
      </c>
      <c r="C897" s="2" t="str">
        <f>IF(Forvetler!C99="","",Forvetler!C99)</f>
        <v/>
      </c>
      <c r="D897" t="str">
        <f ca="1">IF(Forvetler!D99="","",Forvetler!D99)</f>
        <v/>
      </c>
      <c r="E897" t="str">
        <f>IF(Forvetler!E99="","",Forvetler!E99)</f>
        <v>Forvet</v>
      </c>
      <c r="F897" t="str">
        <f>IF(Forvetler!G99="","",Forvetler!G99)</f>
        <v/>
      </c>
      <c r="G897" s="2" t="str">
        <f>IF(Forvetler!H99="","",Forvetler!H99)</f>
        <v/>
      </c>
      <c r="H897" t="str">
        <f>IF(Forvetler!I99="","",Forvetler!I99)</f>
        <v/>
      </c>
      <c r="I897" t="str">
        <f>IF(Forvetler!A99="","",Forvetler!J99)</f>
        <v/>
      </c>
      <c r="J897" t="str">
        <f>IF(Forvetler!A99="","",Forvetler!K99)</f>
        <v/>
      </c>
      <c r="K897" t="str">
        <f>IF(Forvetler!L99="","",Forvetler!L99)</f>
        <v/>
      </c>
      <c r="L897" t="str">
        <f>IF(Forvetler!M99="","",Forvetler!M99)</f>
        <v/>
      </c>
      <c r="M897" t="str">
        <f>IF(Forvetler!N99="","",Forvetler!N99)</f>
        <v/>
      </c>
      <c r="N897" t="str">
        <f>IF(Forvetler!O99="","",Forvetler!O99)</f>
        <v/>
      </c>
      <c r="O897" t="str">
        <f>IF(Forvetler!P99="","",Forvetler!P99)</f>
        <v/>
      </c>
      <c r="P897" t="str">
        <f>IF(Forvetler!Q99="","",Forvetler!Q99)</f>
        <v/>
      </c>
      <c r="Q897" t="str">
        <f>IF(Forvetler!R99="","",Forvetler!R99)</f>
        <v/>
      </c>
      <c r="R897" t="str">
        <f>IF(Forvetler!S99="","",Forvetler!S99)</f>
        <v/>
      </c>
      <c r="S897" t="str">
        <f>IF(Forvetler!T99="","",Forvetler!T99)</f>
        <v/>
      </c>
      <c r="T897" s="2" t="str">
        <f>IF(Forvetler!U99="","",Forvetler!U99)</f>
        <v/>
      </c>
      <c r="U897" t="s">
        <v>934</v>
      </c>
      <c r="V897">
        <v>99</v>
      </c>
      <c r="W897" t="str">
        <f ca="1">IF(AND($A897&lt;&gt;"",ISNUMBER($G897),$G897&gt;=TODAY(),$G897&lt;=EDATE(TODAY(),12)),COUNTIFS($G$2:$G$1001,"&gt;="&amp;TODAY(),$G$2:$G$1001,"&lt;"&amp;$G897,$A$2:$A$1001,"&lt;&gt;")+COUNTIFS($G$2:$G897,$G897,$A$2:$A897,"&lt;&gt;"),"")</f>
        <v/>
      </c>
      <c r="X897" t="str">
        <f>IF(AND($A897&lt;&gt;"",ISNUMBER($C897),$C897&gt;=DATE(2003,1,1)),COUNTIFS($C$2:$C897,"&gt;="&amp;DATE(2003,1,1),$A$2:$A897,"&lt;&gt;"),"")</f>
        <v/>
      </c>
    </row>
    <row r="898" spans="1:24">
      <c r="A898" t="str">
        <f>IF(Forvetler!A100="","",Forvetler!A100)</f>
        <v/>
      </c>
      <c r="B898" t="str">
        <f>IF(Forvetler!B100="","",Forvetler!B100)</f>
        <v/>
      </c>
      <c r="C898" s="2" t="str">
        <f>IF(Forvetler!C100="","",Forvetler!C100)</f>
        <v/>
      </c>
      <c r="D898" t="str">
        <f ca="1">IF(Forvetler!D100="","",Forvetler!D100)</f>
        <v/>
      </c>
      <c r="E898" t="str">
        <f>IF(Forvetler!E100="","",Forvetler!E100)</f>
        <v>Forvet</v>
      </c>
      <c r="F898" t="str">
        <f>IF(Forvetler!G100="","",Forvetler!G100)</f>
        <v/>
      </c>
      <c r="G898" s="2" t="str">
        <f>IF(Forvetler!H100="","",Forvetler!H100)</f>
        <v/>
      </c>
      <c r="H898" t="str">
        <f>IF(Forvetler!I100="","",Forvetler!I100)</f>
        <v/>
      </c>
      <c r="I898" t="str">
        <f>IF(Forvetler!A100="","",Forvetler!J100)</f>
        <v/>
      </c>
      <c r="J898" t="str">
        <f>IF(Forvetler!A100="","",Forvetler!K100)</f>
        <v/>
      </c>
      <c r="K898" t="str">
        <f>IF(Forvetler!L100="","",Forvetler!L100)</f>
        <v/>
      </c>
      <c r="L898" t="str">
        <f>IF(Forvetler!M100="","",Forvetler!M100)</f>
        <v/>
      </c>
      <c r="M898" t="str">
        <f>IF(Forvetler!N100="","",Forvetler!N100)</f>
        <v/>
      </c>
      <c r="N898" t="str">
        <f>IF(Forvetler!O100="","",Forvetler!O100)</f>
        <v/>
      </c>
      <c r="O898" t="str">
        <f>IF(Forvetler!P100="","",Forvetler!P100)</f>
        <v/>
      </c>
      <c r="P898" t="str">
        <f>IF(Forvetler!Q100="","",Forvetler!Q100)</f>
        <v/>
      </c>
      <c r="Q898" t="str">
        <f>IF(Forvetler!R100="","",Forvetler!R100)</f>
        <v/>
      </c>
      <c r="R898" t="str">
        <f>IF(Forvetler!S100="","",Forvetler!S100)</f>
        <v/>
      </c>
      <c r="S898" t="str">
        <f>IF(Forvetler!T100="","",Forvetler!T100)</f>
        <v/>
      </c>
      <c r="T898" s="2" t="str">
        <f>IF(Forvetler!U100="","",Forvetler!U100)</f>
        <v/>
      </c>
      <c r="U898" t="s">
        <v>934</v>
      </c>
      <c r="V898">
        <v>100</v>
      </c>
      <c r="W898" t="str">
        <f ca="1">IF(AND($A898&lt;&gt;"",ISNUMBER($G898),$G898&gt;=TODAY(),$G898&lt;=EDATE(TODAY(),12)),COUNTIFS($G$2:$G$1001,"&gt;="&amp;TODAY(),$G$2:$G$1001,"&lt;"&amp;$G898,$A$2:$A$1001,"&lt;&gt;")+COUNTIFS($G$2:$G898,$G898,$A$2:$A898,"&lt;&gt;"),"")</f>
        <v/>
      </c>
      <c r="X898" t="str">
        <f>IF(AND($A898&lt;&gt;"",ISNUMBER($C898),$C898&gt;=DATE(2003,1,1)),COUNTIFS($C$2:$C898,"&gt;="&amp;DATE(2003,1,1),$A$2:$A898,"&lt;&gt;"),"")</f>
        <v/>
      </c>
    </row>
    <row r="899" spans="1:24">
      <c r="A899" t="str">
        <f>IF(Forvetler!A101="","",Forvetler!A101)</f>
        <v/>
      </c>
      <c r="B899" t="str">
        <f>IF(Forvetler!B101="","",Forvetler!B101)</f>
        <v/>
      </c>
      <c r="C899" s="2" t="str">
        <f>IF(Forvetler!C101="","",Forvetler!C101)</f>
        <v/>
      </c>
      <c r="D899" t="str">
        <f ca="1">IF(Forvetler!D101="","",Forvetler!D101)</f>
        <v/>
      </c>
      <c r="E899" t="str">
        <f>IF(Forvetler!E101="","",Forvetler!E101)</f>
        <v>Forvet</v>
      </c>
      <c r="F899" t="str">
        <f>IF(Forvetler!G101="","",Forvetler!G101)</f>
        <v/>
      </c>
      <c r="G899" s="2" t="str">
        <f>IF(Forvetler!H101="","",Forvetler!H101)</f>
        <v/>
      </c>
      <c r="H899" t="str">
        <f>IF(Forvetler!I101="","",Forvetler!I101)</f>
        <v/>
      </c>
      <c r="I899" t="str">
        <f>IF(Forvetler!A101="","",Forvetler!J101)</f>
        <v/>
      </c>
      <c r="J899" t="str">
        <f>IF(Forvetler!A101="","",Forvetler!K101)</f>
        <v/>
      </c>
      <c r="K899" t="str">
        <f>IF(Forvetler!L101="","",Forvetler!L101)</f>
        <v/>
      </c>
      <c r="L899" t="str">
        <f>IF(Forvetler!M101="","",Forvetler!M101)</f>
        <v/>
      </c>
      <c r="M899" t="str">
        <f>IF(Forvetler!N101="","",Forvetler!N101)</f>
        <v/>
      </c>
      <c r="N899" t="str">
        <f>IF(Forvetler!O101="","",Forvetler!O101)</f>
        <v/>
      </c>
      <c r="O899" t="str">
        <f>IF(Forvetler!P101="","",Forvetler!P101)</f>
        <v/>
      </c>
      <c r="P899" t="str">
        <f>IF(Forvetler!Q101="","",Forvetler!Q101)</f>
        <v/>
      </c>
      <c r="Q899" t="str">
        <f>IF(Forvetler!R101="","",Forvetler!R101)</f>
        <v/>
      </c>
      <c r="R899" t="str">
        <f>IF(Forvetler!S101="","",Forvetler!S101)</f>
        <v/>
      </c>
      <c r="S899" t="str">
        <f>IF(Forvetler!T101="","",Forvetler!T101)</f>
        <v/>
      </c>
      <c r="T899" s="2" t="str">
        <f>IF(Forvetler!U101="","",Forvetler!U101)</f>
        <v/>
      </c>
      <c r="U899" t="s">
        <v>934</v>
      </c>
      <c r="V899">
        <v>101</v>
      </c>
      <c r="W899" t="str">
        <f ca="1">IF(AND($A899&lt;&gt;"",ISNUMBER($G899),$G899&gt;=TODAY(),$G899&lt;=EDATE(TODAY(),12)),COUNTIFS($G$2:$G$1001,"&gt;="&amp;TODAY(),$G$2:$G$1001,"&lt;"&amp;$G899,$A$2:$A$1001,"&lt;&gt;")+COUNTIFS($G$2:$G899,$G899,$A$2:$A899,"&lt;&gt;"),"")</f>
        <v/>
      </c>
      <c r="X899" t="str">
        <f>IF(AND($A899&lt;&gt;"",ISNUMBER($C899),$C899&gt;=DATE(2003,1,1)),COUNTIFS($C$2:$C899,"&gt;="&amp;DATE(2003,1,1),$A$2:$A899,"&lt;&gt;"),"")</f>
        <v/>
      </c>
    </row>
    <row r="900" spans="1:24">
      <c r="A900" t="str">
        <f>IF(Forvetler!A102="","",Forvetler!A102)</f>
        <v/>
      </c>
      <c r="B900" t="str">
        <f>IF(Forvetler!B102="","",Forvetler!B102)</f>
        <v/>
      </c>
      <c r="C900" s="2" t="str">
        <f>IF(Forvetler!C102="","",Forvetler!C102)</f>
        <v/>
      </c>
      <c r="D900" t="str">
        <f ca="1">IF(Forvetler!D102="","",Forvetler!D102)</f>
        <v/>
      </c>
      <c r="E900" t="str">
        <f>IF(Forvetler!E102="","",Forvetler!E102)</f>
        <v>Forvet</v>
      </c>
      <c r="F900" t="str">
        <f>IF(Forvetler!G102="","",Forvetler!G102)</f>
        <v/>
      </c>
      <c r="G900" s="2" t="str">
        <f>IF(Forvetler!H102="","",Forvetler!H102)</f>
        <v/>
      </c>
      <c r="H900" t="str">
        <f>IF(Forvetler!I102="","",Forvetler!I102)</f>
        <v/>
      </c>
      <c r="I900" t="str">
        <f>IF(Forvetler!A102="","",Forvetler!J102)</f>
        <v/>
      </c>
      <c r="J900" t="str">
        <f>IF(Forvetler!A102="","",Forvetler!K102)</f>
        <v/>
      </c>
      <c r="K900" t="str">
        <f>IF(Forvetler!L102="","",Forvetler!L102)</f>
        <v/>
      </c>
      <c r="L900" t="str">
        <f>IF(Forvetler!M102="","",Forvetler!M102)</f>
        <v/>
      </c>
      <c r="M900" t="str">
        <f>IF(Forvetler!N102="","",Forvetler!N102)</f>
        <v/>
      </c>
      <c r="N900" t="str">
        <f>IF(Forvetler!O102="","",Forvetler!O102)</f>
        <v/>
      </c>
      <c r="O900" t="str">
        <f>IF(Forvetler!P102="","",Forvetler!P102)</f>
        <v/>
      </c>
      <c r="P900" t="str">
        <f>IF(Forvetler!Q102="","",Forvetler!Q102)</f>
        <v/>
      </c>
      <c r="Q900" t="str">
        <f>IF(Forvetler!R102="","",Forvetler!R102)</f>
        <v/>
      </c>
      <c r="R900" t="str">
        <f>IF(Forvetler!S102="","",Forvetler!S102)</f>
        <v/>
      </c>
      <c r="S900" t="str">
        <f>IF(Forvetler!T102="","",Forvetler!T102)</f>
        <v/>
      </c>
      <c r="T900" s="2" t="str">
        <f>IF(Forvetler!U102="","",Forvetler!U102)</f>
        <v/>
      </c>
      <c r="U900" t="s">
        <v>934</v>
      </c>
      <c r="V900">
        <v>102</v>
      </c>
      <c r="W900" t="str">
        <f ca="1">IF(AND($A900&lt;&gt;"",ISNUMBER($G900),$G900&gt;=TODAY(),$G900&lt;=EDATE(TODAY(),12)),COUNTIFS($G$2:$G$1001,"&gt;="&amp;TODAY(),$G$2:$G$1001,"&lt;"&amp;$G900,$A$2:$A$1001,"&lt;&gt;")+COUNTIFS($G$2:$G900,$G900,$A$2:$A900,"&lt;&gt;"),"")</f>
        <v/>
      </c>
      <c r="X900" t="str">
        <f>IF(AND($A900&lt;&gt;"",ISNUMBER($C900),$C900&gt;=DATE(2003,1,1)),COUNTIFS($C$2:$C900,"&gt;="&amp;DATE(2003,1,1),$A$2:$A900,"&lt;&gt;"),"")</f>
        <v/>
      </c>
    </row>
    <row r="901" spans="1:24">
      <c r="A901" t="str">
        <f>IF(Forvetler!A103="","",Forvetler!A103)</f>
        <v/>
      </c>
      <c r="B901" t="str">
        <f>IF(Forvetler!B103="","",Forvetler!B103)</f>
        <v/>
      </c>
      <c r="C901" s="2" t="str">
        <f>IF(Forvetler!C103="","",Forvetler!C103)</f>
        <v/>
      </c>
      <c r="D901" t="str">
        <f ca="1">IF(Forvetler!D103="","",Forvetler!D103)</f>
        <v/>
      </c>
      <c r="E901" t="str">
        <f>IF(Forvetler!E103="","",Forvetler!E103)</f>
        <v>Forvet</v>
      </c>
      <c r="F901" t="str">
        <f>IF(Forvetler!G103="","",Forvetler!G103)</f>
        <v/>
      </c>
      <c r="G901" s="2" t="str">
        <f>IF(Forvetler!H103="","",Forvetler!H103)</f>
        <v/>
      </c>
      <c r="H901" t="str">
        <f>IF(Forvetler!I103="","",Forvetler!I103)</f>
        <v/>
      </c>
      <c r="I901" t="str">
        <f>IF(Forvetler!A103="","",Forvetler!J103)</f>
        <v/>
      </c>
      <c r="J901" t="str">
        <f>IF(Forvetler!A103="","",Forvetler!K103)</f>
        <v/>
      </c>
      <c r="K901" t="str">
        <f>IF(Forvetler!L103="","",Forvetler!L103)</f>
        <v/>
      </c>
      <c r="L901" t="str">
        <f>IF(Forvetler!M103="","",Forvetler!M103)</f>
        <v/>
      </c>
      <c r="M901" t="str">
        <f>IF(Forvetler!N103="","",Forvetler!N103)</f>
        <v/>
      </c>
      <c r="N901" t="str">
        <f>IF(Forvetler!O103="","",Forvetler!O103)</f>
        <v/>
      </c>
      <c r="O901" t="str">
        <f>IF(Forvetler!P103="","",Forvetler!P103)</f>
        <v/>
      </c>
      <c r="P901" t="str">
        <f>IF(Forvetler!Q103="","",Forvetler!Q103)</f>
        <v/>
      </c>
      <c r="Q901" t="str">
        <f>IF(Forvetler!R103="","",Forvetler!R103)</f>
        <v/>
      </c>
      <c r="R901" t="str">
        <f>IF(Forvetler!S103="","",Forvetler!S103)</f>
        <v/>
      </c>
      <c r="S901" t="str">
        <f>IF(Forvetler!T103="","",Forvetler!T103)</f>
        <v/>
      </c>
      <c r="T901" s="2" t="str">
        <f>IF(Forvetler!U103="","",Forvetler!U103)</f>
        <v/>
      </c>
      <c r="U901" t="s">
        <v>934</v>
      </c>
      <c r="V901">
        <v>103</v>
      </c>
      <c r="W901" t="str">
        <f ca="1">IF(AND($A901&lt;&gt;"",ISNUMBER($G901),$G901&gt;=TODAY(),$G901&lt;=EDATE(TODAY(),12)),COUNTIFS($G$2:$G$1001,"&gt;="&amp;TODAY(),$G$2:$G$1001,"&lt;"&amp;$G901,$A$2:$A$1001,"&lt;&gt;")+COUNTIFS($G$2:$G901,$G901,$A$2:$A901,"&lt;&gt;"),"")</f>
        <v/>
      </c>
      <c r="X901" t="str">
        <f>IF(AND($A901&lt;&gt;"",ISNUMBER($C901),$C901&gt;=DATE(2003,1,1)),COUNTIFS($C$2:$C901,"&gt;="&amp;DATE(2003,1,1),$A$2:$A901,"&lt;&gt;"),"")</f>
        <v/>
      </c>
    </row>
    <row r="902" spans="1:24">
      <c r="A902" t="str">
        <f>IF('Takip Edilen Türk Futbolcular'!A4="","",'Takip Edilen Türk Futbolcular'!A4)</f>
        <v/>
      </c>
      <c r="B902" t="str">
        <f>IF('Takip Edilen Türk Futbolcular'!B4="","",'Takip Edilen Türk Futbolcular'!B4)</f>
        <v/>
      </c>
      <c r="C902" s="2" t="str">
        <f>IF('Takip Edilen Türk Futbolcular'!C4="","",'Takip Edilen Türk Futbolcular'!C4)</f>
        <v/>
      </c>
      <c r="D902" t="str">
        <f ca="1">IF('Takip Edilen Türk Futbolcular'!D4="","",'Takip Edilen Türk Futbolcular'!D4)</f>
        <v/>
      </c>
      <c r="E902" t="str">
        <f>IF('Takip Edilen Türk Futbolcular'!E4="","",'Takip Edilen Türk Futbolcular'!E4)</f>
        <v/>
      </c>
      <c r="F902" t="str">
        <f>IF('Takip Edilen Türk Futbolcular'!F4="","",'Takip Edilen Türk Futbolcular'!F4)</f>
        <v/>
      </c>
      <c r="G902" s="2" t="str">
        <f>IF('Takip Edilen Türk Futbolcular'!G4="","",'Takip Edilen Türk Futbolcular'!G4)</f>
        <v/>
      </c>
      <c r="H902" t="str">
        <f>IF('Takip Edilen Türk Futbolcular'!H4="","",'Takip Edilen Türk Futbolcular'!H4)</f>
        <v/>
      </c>
      <c r="I902" t="str">
        <f>IF('Takip Edilen Türk Futbolcular'!A4="","",'Takip Edilen Türk Futbolcular'!I4)</f>
        <v/>
      </c>
      <c r="J902" t="str">
        <f>IF('Takip Edilen Türk Futbolcular'!A4="","",'Takip Edilen Türk Futbolcular'!J4)</f>
        <v/>
      </c>
      <c r="K902" t="str">
        <f>IF('Takip Edilen Türk Futbolcular'!K4="","",'Takip Edilen Türk Futbolcular'!K4)</f>
        <v/>
      </c>
      <c r="L902" t="str">
        <f>IF('Takip Edilen Türk Futbolcular'!L4="","",'Takip Edilen Türk Futbolcular'!L4)</f>
        <v/>
      </c>
      <c r="M902" t="str">
        <f>IF('Takip Edilen Türk Futbolcular'!M4="","",'Takip Edilen Türk Futbolcular'!M4)</f>
        <v/>
      </c>
      <c r="N902" t="str">
        <f>IF('Takip Edilen Türk Futbolcular'!N4="","",'Takip Edilen Türk Futbolcular'!N4)</f>
        <v/>
      </c>
      <c r="O902" t="str">
        <f>IF('Takip Edilen Türk Futbolcular'!O4="","",'Takip Edilen Türk Futbolcular'!O4)</f>
        <v/>
      </c>
      <c r="P902" t="str">
        <f>IF('Takip Edilen Türk Futbolcular'!P4="","",'Takip Edilen Türk Futbolcular'!P4)</f>
        <v/>
      </c>
      <c r="Q902" t="str">
        <f>IF('Takip Edilen Türk Futbolcular'!Q4="","",'Takip Edilen Türk Futbolcular'!Q4)</f>
        <v/>
      </c>
      <c r="R902" t="str">
        <f>IF('Takip Edilen Türk Futbolcular'!R4="","",'Takip Edilen Türk Futbolcular'!R4)</f>
        <v/>
      </c>
      <c r="S902" t="str">
        <f>IF('Takip Edilen Türk Futbolcular'!S4="","",'Takip Edilen Türk Futbolcular'!S4)</f>
        <v/>
      </c>
      <c r="T902" s="2" t="str">
        <f>IF('Takip Edilen Türk Futbolcular'!T4="","",'Takip Edilen Türk Futbolcular'!T4)</f>
        <v/>
      </c>
      <c r="U902" t="s">
        <v>935</v>
      </c>
      <c r="V902">
        <v>4</v>
      </c>
      <c r="W902" t="str">
        <f ca="1">IF(AND($A902&lt;&gt;"",ISNUMBER($G902),$G902&gt;=TODAY(),$G902&lt;=EDATE(TODAY(),12)),COUNTIFS($G$2:$G$1001,"&gt;="&amp;TODAY(),$G$2:$G$1001,"&lt;"&amp;$G902,$A$2:$A$1001,"&lt;&gt;")+COUNTIFS($G$2:$G902,$G902,$A$2:$A902,"&lt;&gt;"),"")</f>
        <v/>
      </c>
      <c r="X902" t="str">
        <f>IF(AND($A902&lt;&gt;"",ISNUMBER($C902),$C902&gt;=DATE(2003,1,1)),COUNTIFS($C$2:$C902,"&gt;="&amp;DATE(2003,1,1),$A$2:$A902,"&lt;&gt;"),"")</f>
        <v/>
      </c>
    </row>
    <row r="903" spans="1:24">
      <c r="A903" t="str">
        <f>IF('Takip Edilen Türk Futbolcular'!A5="","",'Takip Edilen Türk Futbolcular'!A5)</f>
        <v/>
      </c>
      <c r="B903" t="str">
        <f>IF('Takip Edilen Türk Futbolcular'!B5="","",'Takip Edilen Türk Futbolcular'!B5)</f>
        <v/>
      </c>
      <c r="C903" s="2" t="str">
        <f>IF('Takip Edilen Türk Futbolcular'!C5="","",'Takip Edilen Türk Futbolcular'!C5)</f>
        <v/>
      </c>
      <c r="D903" t="str">
        <f ca="1">IF('Takip Edilen Türk Futbolcular'!D5="","",'Takip Edilen Türk Futbolcular'!D5)</f>
        <v/>
      </c>
      <c r="E903" t="str">
        <f>IF('Takip Edilen Türk Futbolcular'!E5="","",'Takip Edilen Türk Futbolcular'!E5)</f>
        <v>Forvet</v>
      </c>
      <c r="F903" t="str">
        <f>IF('Takip Edilen Türk Futbolcular'!F5="","",'Takip Edilen Türk Futbolcular'!F5)</f>
        <v/>
      </c>
      <c r="G903" s="2" t="str">
        <f>IF('Takip Edilen Türk Futbolcular'!G5="","",'Takip Edilen Türk Futbolcular'!G5)</f>
        <v/>
      </c>
      <c r="H903" t="str">
        <f>IF('Takip Edilen Türk Futbolcular'!H5="","",'Takip Edilen Türk Futbolcular'!H5)</f>
        <v/>
      </c>
      <c r="I903" t="str">
        <f>IF('Takip Edilen Türk Futbolcular'!A5="","",'Takip Edilen Türk Futbolcular'!I5)</f>
        <v/>
      </c>
      <c r="J903" t="str">
        <f>IF('Takip Edilen Türk Futbolcular'!A5="","",'Takip Edilen Türk Futbolcular'!J5)</f>
        <v/>
      </c>
      <c r="K903" t="str">
        <f>IF('Takip Edilen Türk Futbolcular'!K5="","",'Takip Edilen Türk Futbolcular'!K5)</f>
        <v/>
      </c>
      <c r="L903" t="str">
        <f>IF('Takip Edilen Türk Futbolcular'!L5="","",'Takip Edilen Türk Futbolcular'!L5)</f>
        <v/>
      </c>
      <c r="M903" t="str">
        <f>IF('Takip Edilen Türk Futbolcular'!M5="","",'Takip Edilen Türk Futbolcular'!M5)</f>
        <v/>
      </c>
      <c r="N903" t="str">
        <f>IF('Takip Edilen Türk Futbolcular'!N5="","",'Takip Edilen Türk Futbolcular'!N5)</f>
        <v/>
      </c>
      <c r="O903" t="str">
        <f>IF('Takip Edilen Türk Futbolcular'!O5="","",'Takip Edilen Türk Futbolcular'!O5)</f>
        <v/>
      </c>
      <c r="P903" t="str">
        <f>IF('Takip Edilen Türk Futbolcular'!P5="","",'Takip Edilen Türk Futbolcular'!P5)</f>
        <v/>
      </c>
      <c r="Q903" t="str">
        <f>IF('Takip Edilen Türk Futbolcular'!Q5="","",'Takip Edilen Türk Futbolcular'!Q5)</f>
        <v/>
      </c>
      <c r="R903" t="str">
        <f>IF('Takip Edilen Türk Futbolcular'!R5="","",'Takip Edilen Türk Futbolcular'!R5)</f>
        <v/>
      </c>
      <c r="S903" t="str">
        <f>IF('Takip Edilen Türk Futbolcular'!S5="","",'Takip Edilen Türk Futbolcular'!S5)</f>
        <v/>
      </c>
      <c r="T903" s="2" t="str">
        <f>IF('Takip Edilen Türk Futbolcular'!T5="","",'Takip Edilen Türk Futbolcular'!T5)</f>
        <v/>
      </c>
      <c r="U903" t="s">
        <v>935</v>
      </c>
      <c r="V903">
        <v>5</v>
      </c>
      <c r="W903" t="str">
        <f ca="1">IF(AND($A903&lt;&gt;"",ISNUMBER($G903),$G903&gt;=TODAY(),$G903&lt;=EDATE(TODAY(),12)),COUNTIFS($G$2:$G$1001,"&gt;="&amp;TODAY(),$G$2:$G$1001,"&lt;"&amp;$G903,$A$2:$A$1001,"&lt;&gt;")+COUNTIFS($G$2:$G903,$G903,$A$2:$A903,"&lt;&gt;"),"")</f>
        <v/>
      </c>
      <c r="X903" t="str">
        <f>IF(AND($A903&lt;&gt;"",ISNUMBER($C903),$C903&gt;=DATE(2003,1,1)),COUNTIFS($C$2:$C903,"&gt;="&amp;DATE(2003,1,1),$A$2:$A903,"&lt;&gt;"),"")</f>
        <v/>
      </c>
    </row>
    <row r="904" spans="1:24">
      <c r="A904" t="str">
        <f>IF('Takip Edilen Türk Futbolcular'!A6="","",'Takip Edilen Türk Futbolcular'!A6)</f>
        <v/>
      </c>
      <c r="B904" t="str">
        <f>IF('Takip Edilen Türk Futbolcular'!B6="","",'Takip Edilen Türk Futbolcular'!B6)</f>
        <v/>
      </c>
      <c r="C904" s="2" t="str">
        <f>IF('Takip Edilen Türk Futbolcular'!C6="","",'Takip Edilen Türk Futbolcular'!C6)</f>
        <v/>
      </c>
      <c r="D904" t="str">
        <f ca="1">IF('Takip Edilen Türk Futbolcular'!D6="","",'Takip Edilen Türk Futbolcular'!D6)</f>
        <v/>
      </c>
      <c r="E904" t="str">
        <f>IF('Takip Edilen Türk Futbolcular'!E6="","",'Takip Edilen Türk Futbolcular'!E6)</f>
        <v>Forvet</v>
      </c>
      <c r="F904" t="str">
        <f>IF('Takip Edilen Türk Futbolcular'!F6="","",'Takip Edilen Türk Futbolcular'!F6)</f>
        <v/>
      </c>
      <c r="G904" s="2" t="str">
        <f>IF('Takip Edilen Türk Futbolcular'!G6="","",'Takip Edilen Türk Futbolcular'!G6)</f>
        <v/>
      </c>
      <c r="H904" t="str">
        <f>IF('Takip Edilen Türk Futbolcular'!H6="","",'Takip Edilen Türk Futbolcular'!H6)</f>
        <v/>
      </c>
      <c r="I904" t="str">
        <f>IF('Takip Edilen Türk Futbolcular'!A6="","",'Takip Edilen Türk Futbolcular'!I6)</f>
        <v/>
      </c>
      <c r="J904" t="str">
        <f>IF('Takip Edilen Türk Futbolcular'!A6="","",'Takip Edilen Türk Futbolcular'!J6)</f>
        <v/>
      </c>
      <c r="K904" t="str">
        <f>IF('Takip Edilen Türk Futbolcular'!K6="","",'Takip Edilen Türk Futbolcular'!K6)</f>
        <v/>
      </c>
      <c r="L904" t="str">
        <f>IF('Takip Edilen Türk Futbolcular'!L6="","",'Takip Edilen Türk Futbolcular'!L6)</f>
        <v/>
      </c>
      <c r="M904" t="str">
        <f>IF('Takip Edilen Türk Futbolcular'!M6="","",'Takip Edilen Türk Futbolcular'!M6)</f>
        <v/>
      </c>
      <c r="N904" t="str">
        <f>IF('Takip Edilen Türk Futbolcular'!N6="","",'Takip Edilen Türk Futbolcular'!N6)</f>
        <v/>
      </c>
      <c r="O904" t="str">
        <f>IF('Takip Edilen Türk Futbolcular'!O6="","",'Takip Edilen Türk Futbolcular'!O6)</f>
        <v/>
      </c>
      <c r="P904" t="str">
        <f>IF('Takip Edilen Türk Futbolcular'!P6="","",'Takip Edilen Türk Futbolcular'!P6)</f>
        <v/>
      </c>
      <c r="Q904" t="str">
        <f>IF('Takip Edilen Türk Futbolcular'!Q6="","",'Takip Edilen Türk Futbolcular'!Q6)</f>
        <v/>
      </c>
      <c r="R904" t="str">
        <f>IF('Takip Edilen Türk Futbolcular'!R6="","",'Takip Edilen Türk Futbolcular'!R6)</f>
        <v/>
      </c>
      <c r="S904" t="str">
        <f>IF('Takip Edilen Türk Futbolcular'!S6="","",'Takip Edilen Türk Futbolcular'!S6)</f>
        <v/>
      </c>
      <c r="T904" s="2" t="str">
        <f>IF('Takip Edilen Türk Futbolcular'!T6="","",'Takip Edilen Türk Futbolcular'!T6)</f>
        <v/>
      </c>
      <c r="U904" t="s">
        <v>935</v>
      </c>
      <c r="V904">
        <v>6</v>
      </c>
      <c r="W904" t="str">
        <f ca="1">IF(AND($A904&lt;&gt;"",ISNUMBER($G904),$G904&gt;=TODAY(),$G904&lt;=EDATE(TODAY(),12)),COUNTIFS($G$2:$G$1001,"&gt;="&amp;TODAY(),$G$2:$G$1001,"&lt;"&amp;$G904,$A$2:$A$1001,"&lt;&gt;")+COUNTIFS($G$2:$G904,$G904,$A$2:$A904,"&lt;&gt;"),"")</f>
        <v/>
      </c>
      <c r="X904" t="str">
        <f>IF(AND($A904&lt;&gt;"",ISNUMBER($C904),$C904&gt;=DATE(2003,1,1)),COUNTIFS($C$2:$C904,"&gt;="&amp;DATE(2003,1,1),$A$2:$A904,"&lt;&gt;"),"")</f>
        <v/>
      </c>
    </row>
    <row r="905" spans="1:24">
      <c r="A905" t="str">
        <f>IF('Takip Edilen Türk Futbolcular'!A7="","",'Takip Edilen Türk Futbolcular'!A7)</f>
        <v/>
      </c>
      <c r="B905" t="str">
        <f>IF('Takip Edilen Türk Futbolcular'!B7="","",'Takip Edilen Türk Futbolcular'!B7)</f>
        <v/>
      </c>
      <c r="C905" s="2" t="str">
        <f>IF('Takip Edilen Türk Futbolcular'!C7="","",'Takip Edilen Türk Futbolcular'!C7)</f>
        <v/>
      </c>
      <c r="D905" t="str">
        <f ca="1">IF('Takip Edilen Türk Futbolcular'!D7="","",'Takip Edilen Türk Futbolcular'!D7)</f>
        <v/>
      </c>
      <c r="E905" t="str">
        <f>IF('Takip Edilen Türk Futbolcular'!E7="","",'Takip Edilen Türk Futbolcular'!E7)</f>
        <v>Forvet</v>
      </c>
      <c r="F905" t="str">
        <f>IF('Takip Edilen Türk Futbolcular'!F7="","",'Takip Edilen Türk Futbolcular'!F7)</f>
        <v/>
      </c>
      <c r="G905" s="2" t="str">
        <f>IF('Takip Edilen Türk Futbolcular'!G7="","",'Takip Edilen Türk Futbolcular'!G7)</f>
        <v/>
      </c>
      <c r="H905" t="str">
        <f>IF('Takip Edilen Türk Futbolcular'!H7="","",'Takip Edilen Türk Futbolcular'!H7)</f>
        <v/>
      </c>
      <c r="I905" t="str">
        <f>IF('Takip Edilen Türk Futbolcular'!A7="","",'Takip Edilen Türk Futbolcular'!I7)</f>
        <v/>
      </c>
      <c r="J905" t="str">
        <f>IF('Takip Edilen Türk Futbolcular'!A7="","",'Takip Edilen Türk Futbolcular'!J7)</f>
        <v/>
      </c>
      <c r="K905" t="str">
        <f>IF('Takip Edilen Türk Futbolcular'!K7="","",'Takip Edilen Türk Futbolcular'!K7)</f>
        <v/>
      </c>
      <c r="L905" t="str">
        <f>IF('Takip Edilen Türk Futbolcular'!L7="","",'Takip Edilen Türk Futbolcular'!L7)</f>
        <v/>
      </c>
      <c r="M905" t="str">
        <f>IF('Takip Edilen Türk Futbolcular'!M7="","",'Takip Edilen Türk Futbolcular'!M7)</f>
        <v/>
      </c>
      <c r="N905" t="str">
        <f>IF('Takip Edilen Türk Futbolcular'!N7="","",'Takip Edilen Türk Futbolcular'!N7)</f>
        <v/>
      </c>
      <c r="O905" t="str">
        <f>IF('Takip Edilen Türk Futbolcular'!O7="","",'Takip Edilen Türk Futbolcular'!O7)</f>
        <v/>
      </c>
      <c r="P905" t="str">
        <f>IF('Takip Edilen Türk Futbolcular'!P7="","",'Takip Edilen Türk Futbolcular'!P7)</f>
        <v/>
      </c>
      <c r="Q905" t="str">
        <f>IF('Takip Edilen Türk Futbolcular'!Q7="","",'Takip Edilen Türk Futbolcular'!Q7)</f>
        <v/>
      </c>
      <c r="R905" t="str">
        <f>IF('Takip Edilen Türk Futbolcular'!R7="","",'Takip Edilen Türk Futbolcular'!R7)</f>
        <v/>
      </c>
      <c r="S905" t="str">
        <f>IF('Takip Edilen Türk Futbolcular'!S7="","",'Takip Edilen Türk Futbolcular'!S7)</f>
        <v/>
      </c>
      <c r="T905" s="2" t="str">
        <f>IF('Takip Edilen Türk Futbolcular'!T7="","",'Takip Edilen Türk Futbolcular'!T7)</f>
        <v/>
      </c>
      <c r="U905" t="s">
        <v>935</v>
      </c>
      <c r="V905">
        <v>7</v>
      </c>
      <c r="W905" t="str">
        <f ca="1">IF(AND($A905&lt;&gt;"",ISNUMBER($G905),$G905&gt;=TODAY(),$G905&lt;=EDATE(TODAY(),12)),COUNTIFS($G$2:$G$1001,"&gt;="&amp;TODAY(),$G$2:$G$1001,"&lt;"&amp;$G905,$A$2:$A$1001,"&lt;&gt;")+COUNTIFS($G$2:$G905,$G905,$A$2:$A905,"&lt;&gt;"),"")</f>
        <v/>
      </c>
      <c r="X905" t="str">
        <f>IF(AND($A905&lt;&gt;"",ISNUMBER($C905),$C905&gt;=DATE(2003,1,1)),COUNTIFS($C$2:$C905,"&gt;="&amp;DATE(2003,1,1),$A$2:$A905,"&lt;&gt;"),"")</f>
        <v/>
      </c>
    </row>
    <row r="906" spans="1:24">
      <c r="A906" t="str">
        <f>IF('Takip Edilen Türk Futbolcular'!A8="","",'Takip Edilen Türk Futbolcular'!A8)</f>
        <v/>
      </c>
      <c r="B906" t="str">
        <f>IF('Takip Edilen Türk Futbolcular'!B8="","",'Takip Edilen Türk Futbolcular'!B8)</f>
        <v/>
      </c>
      <c r="C906" s="2" t="str">
        <f>IF('Takip Edilen Türk Futbolcular'!C8="","",'Takip Edilen Türk Futbolcular'!C8)</f>
        <v/>
      </c>
      <c r="D906" t="str">
        <f ca="1">IF('Takip Edilen Türk Futbolcular'!D8="","",'Takip Edilen Türk Futbolcular'!D8)</f>
        <v/>
      </c>
      <c r="E906" t="str">
        <f>IF('Takip Edilen Türk Futbolcular'!E8="","",'Takip Edilen Türk Futbolcular'!E8)</f>
        <v>Forvet</v>
      </c>
      <c r="F906" t="str">
        <f>IF('Takip Edilen Türk Futbolcular'!F8="","",'Takip Edilen Türk Futbolcular'!F8)</f>
        <v/>
      </c>
      <c r="G906" s="2" t="str">
        <f>IF('Takip Edilen Türk Futbolcular'!G8="","",'Takip Edilen Türk Futbolcular'!G8)</f>
        <v/>
      </c>
      <c r="H906" t="str">
        <f>IF('Takip Edilen Türk Futbolcular'!H8="","",'Takip Edilen Türk Futbolcular'!H8)</f>
        <v/>
      </c>
      <c r="I906" t="str">
        <f>IF('Takip Edilen Türk Futbolcular'!A8="","",'Takip Edilen Türk Futbolcular'!I8)</f>
        <v/>
      </c>
      <c r="J906" t="str">
        <f>IF('Takip Edilen Türk Futbolcular'!A8="","",'Takip Edilen Türk Futbolcular'!J8)</f>
        <v/>
      </c>
      <c r="K906" t="str">
        <f>IF('Takip Edilen Türk Futbolcular'!K8="","",'Takip Edilen Türk Futbolcular'!K8)</f>
        <v/>
      </c>
      <c r="L906" t="str">
        <f>IF('Takip Edilen Türk Futbolcular'!L8="","",'Takip Edilen Türk Futbolcular'!L8)</f>
        <v/>
      </c>
      <c r="M906" t="str">
        <f>IF('Takip Edilen Türk Futbolcular'!M8="","",'Takip Edilen Türk Futbolcular'!M8)</f>
        <v/>
      </c>
      <c r="N906" t="str">
        <f>IF('Takip Edilen Türk Futbolcular'!N8="","",'Takip Edilen Türk Futbolcular'!N8)</f>
        <v/>
      </c>
      <c r="O906" t="str">
        <f>IF('Takip Edilen Türk Futbolcular'!O8="","",'Takip Edilen Türk Futbolcular'!O8)</f>
        <v/>
      </c>
      <c r="P906" t="str">
        <f>IF('Takip Edilen Türk Futbolcular'!P8="","",'Takip Edilen Türk Futbolcular'!P8)</f>
        <v/>
      </c>
      <c r="Q906" t="str">
        <f>IF('Takip Edilen Türk Futbolcular'!Q8="","",'Takip Edilen Türk Futbolcular'!Q8)</f>
        <v/>
      </c>
      <c r="R906" t="str">
        <f>IF('Takip Edilen Türk Futbolcular'!R8="","",'Takip Edilen Türk Futbolcular'!R8)</f>
        <v/>
      </c>
      <c r="S906" t="str">
        <f>IF('Takip Edilen Türk Futbolcular'!S8="","",'Takip Edilen Türk Futbolcular'!S8)</f>
        <v/>
      </c>
      <c r="T906" s="2" t="str">
        <f>IF('Takip Edilen Türk Futbolcular'!T8="","",'Takip Edilen Türk Futbolcular'!T8)</f>
        <v/>
      </c>
      <c r="U906" t="s">
        <v>935</v>
      </c>
      <c r="V906">
        <v>8</v>
      </c>
      <c r="W906" t="str">
        <f ca="1">IF(AND($A906&lt;&gt;"",ISNUMBER($G906),$G906&gt;=TODAY(),$G906&lt;=EDATE(TODAY(),12)),COUNTIFS($G$2:$G$1001,"&gt;="&amp;TODAY(),$G$2:$G$1001,"&lt;"&amp;$G906,$A$2:$A$1001,"&lt;&gt;")+COUNTIFS($G$2:$G906,$G906,$A$2:$A906,"&lt;&gt;"),"")</f>
        <v/>
      </c>
      <c r="X906" t="str">
        <f>IF(AND($A906&lt;&gt;"",ISNUMBER($C906),$C906&gt;=DATE(2003,1,1)),COUNTIFS($C$2:$C906,"&gt;="&amp;DATE(2003,1,1),$A$2:$A906,"&lt;&gt;"),"")</f>
        <v/>
      </c>
    </row>
    <row r="907" spans="1:24">
      <c r="A907" t="str">
        <f>IF('Takip Edilen Türk Futbolcular'!A9="","",'Takip Edilen Türk Futbolcular'!A9)</f>
        <v/>
      </c>
      <c r="B907" t="str">
        <f>IF('Takip Edilen Türk Futbolcular'!B9="","",'Takip Edilen Türk Futbolcular'!B9)</f>
        <v/>
      </c>
      <c r="C907" s="2" t="str">
        <f>IF('Takip Edilen Türk Futbolcular'!C9="","",'Takip Edilen Türk Futbolcular'!C9)</f>
        <v/>
      </c>
      <c r="D907" t="str">
        <f ca="1">IF('Takip Edilen Türk Futbolcular'!D9="","",'Takip Edilen Türk Futbolcular'!D9)</f>
        <v/>
      </c>
      <c r="E907" t="str">
        <f>IF('Takip Edilen Türk Futbolcular'!E9="","",'Takip Edilen Türk Futbolcular'!E9)</f>
        <v>Forvet</v>
      </c>
      <c r="F907" t="str">
        <f>IF('Takip Edilen Türk Futbolcular'!F9="","",'Takip Edilen Türk Futbolcular'!F9)</f>
        <v/>
      </c>
      <c r="G907" s="2" t="str">
        <f>IF('Takip Edilen Türk Futbolcular'!G9="","",'Takip Edilen Türk Futbolcular'!G9)</f>
        <v/>
      </c>
      <c r="H907" t="str">
        <f>IF('Takip Edilen Türk Futbolcular'!H9="","",'Takip Edilen Türk Futbolcular'!H9)</f>
        <v/>
      </c>
      <c r="I907" t="str">
        <f>IF('Takip Edilen Türk Futbolcular'!A9="","",'Takip Edilen Türk Futbolcular'!I9)</f>
        <v/>
      </c>
      <c r="J907" t="str">
        <f>IF('Takip Edilen Türk Futbolcular'!A9="","",'Takip Edilen Türk Futbolcular'!J9)</f>
        <v/>
      </c>
      <c r="K907" t="str">
        <f>IF('Takip Edilen Türk Futbolcular'!K9="","",'Takip Edilen Türk Futbolcular'!K9)</f>
        <v/>
      </c>
      <c r="L907" t="str">
        <f>IF('Takip Edilen Türk Futbolcular'!L9="","",'Takip Edilen Türk Futbolcular'!L9)</f>
        <v/>
      </c>
      <c r="M907" t="str">
        <f>IF('Takip Edilen Türk Futbolcular'!M9="","",'Takip Edilen Türk Futbolcular'!M9)</f>
        <v/>
      </c>
      <c r="N907" t="str">
        <f>IF('Takip Edilen Türk Futbolcular'!N9="","",'Takip Edilen Türk Futbolcular'!N9)</f>
        <v/>
      </c>
      <c r="O907" t="str">
        <f>IF('Takip Edilen Türk Futbolcular'!O9="","",'Takip Edilen Türk Futbolcular'!O9)</f>
        <v/>
      </c>
      <c r="P907" t="str">
        <f>IF('Takip Edilen Türk Futbolcular'!P9="","",'Takip Edilen Türk Futbolcular'!P9)</f>
        <v/>
      </c>
      <c r="Q907" t="str">
        <f>IF('Takip Edilen Türk Futbolcular'!Q9="","",'Takip Edilen Türk Futbolcular'!Q9)</f>
        <v/>
      </c>
      <c r="R907" t="str">
        <f>IF('Takip Edilen Türk Futbolcular'!R9="","",'Takip Edilen Türk Futbolcular'!R9)</f>
        <v/>
      </c>
      <c r="S907" t="str">
        <f>IF('Takip Edilen Türk Futbolcular'!S9="","",'Takip Edilen Türk Futbolcular'!S9)</f>
        <v/>
      </c>
      <c r="T907" s="2" t="str">
        <f>IF('Takip Edilen Türk Futbolcular'!T9="","",'Takip Edilen Türk Futbolcular'!T9)</f>
        <v/>
      </c>
      <c r="U907" t="s">
        <v>935</v>
      </c>
      <c r="V907">
        <v>9</v>
      </c>
      <c r="W907" t="str">
        <f ca="1">IF(AND($A907&lt;&gt;"",ISNUMBER($G907),$G907&gt;=TODAY(),$G907&lt;=EDATE(TODAY(),12)),COUNTIFS($G$2:$G$1001,"&gt;="&amp;TODAY(),$G$2:$G$1001,"&lt;"&amp;$G907,$A$2:$A$1001,"&lt;&gt;")+COUNTIFS($G$2:$G907,$G907,$A$2:$A907,"&lt;&gt;"),"")</f>
        <v/>
      </c>
      <c r="X907" t="str">
        <f>IF(AND($A907&lt;&gt;"",ISNUMBER($C907),$C907&gt;=DATE(2003,1,1)),COUNTIFS($C$2:$C907,"&gt;="&amp;DATE(2003,1,1),$A$2:$A907,"&lt;&gt;"),"")</f>
        <v/>
      </c>
    </row>
    <row r="908" spans="1:24">
      <c r="A908" t="str">
        <f>IF('Takip Edilen Türk Futbolcular'!A10="","",'Takip Edilen Türk Futbolcular'!A10)</f>
        <v/>
      </c>
      <c r="B908" t="str">
        <f>IF('Takip Edilen Türk Futbolcular'!B10="","",'Takip Edilen Türk Futbolcular'!B10)</f>
        <v/>
      </c>
      <c r="C908" s="2" t="str">
        <f>IF('Takip Edilen Türk Futbolcular'!C10="","",'Takip Edilen Türk Futbolcular'!C10)</f>
        <v/>
      </c>
      <c r="D908" t="str">
        <f ca="1">IF('Takip Edilen Türk Futbolcular'!D10="","",'Takip Edilen Türk Futbolcular'!D10)</f>
        <v/>
      </c>
      <c r="E908" t="str">
        <f>IF('Takip Edilen Türk Futbolcular'!E10="","",'Takip Edilen Türk Futbolcular'!E10)</f>
        <v>Forvet</v>
      </c>
      <c r="F908" t="str">
        <f>IF('Takip Edilen Türk Futbolcular'!F10="","",'Takip Edilen Türk Futbolcular'!F10)</f>
        <v/>
      </c>
      <c r="G908" s="2" t="str">
        <f>IF('Takip Edilen Türk Futbolcular'!G10="","",'Takip Edilen Türk Futbolcular'!G10)</f>
        <v/>
      </c>
      <c r="H908" t="str">
        <f>IF('Takip Edilen Türk Futbolcular'!H10="","",'Takip Edilen Türk Futbolcular'!H10)</f>
        <v/>
      </c>
      <c r="I908" t="str">
        <f>IF('Takip Edilen Türk Futbolcular'!A10="","",'Takip Edilen Türk Futbolcular'!I10)</f>
        <v/>
      </c>
      <c r="J908" t="str">
        <f>IF('Takip Edilen Türk Futbolcular'!A10="","",'Takip Edilen Türk Futbolcular'!J10)</f>
        <v/>
      </c>
      <c r="K908" t="str">
        <f>IF('Takip Edilen Türk Futbolcular'!K10="","",'Takip Edilen Türk Futbolcular'!K10)</f>
        <v/>
      </c>
      <c r="L908" t="str">
        <f>IF('Takip Edilen Türk Futbolcular'!L10="","",'Takip Edilen Türk Futbolcular'!L10)</f>
        <v/>
      </c>
      <c r="M908" t="str">
        <f>IF('Takip Edilen Türk Futbolcular'!M10="","",'Takip Edilen Türk Futbolcular'!M10)</f>
        <v/>
      </c>
      <c r="N908" t="str">
        <f>IF('Takip Edilen Türk Futbolcular'!N10="","",'Takip Edilen Türk Futbolcular'!N10)</f>
        <v/>
      </c>
      <c r="O908" t="str">
        <f>IF('Takip Edilen Türk Futbolcular'!O10="","",'Takip Edilen Türk Futbolcular'!O10)</f>
        <v/>
      </c>
      <c r="P908" t="str">
        <f>IF('Takip Edilen Türk Futbolcular'!P10="","",'Takip Edilen Türk Futbolcular'!P10)</f>
        <v/>
      </c>
      <c r="Q908" t="str">
        <f>IF('Takip Edilen Türk Futbolcular'!Q10="","",'Takip Edilen Türk Futbolcular'!Q10)</f>
        <v/>
      </c>
      <c r="R908" t="str">
        <f>IF('Takip Edilen Türk Futbolcular'!R10="","",'Takip Edilen Türk Futbolcular'!R10)</f>
        <v/>
      </c>
      <c r="S908" t="str">
        <f>IF('Takip Edilen Türk Futbolcular'!S10="","",'Takip Edilen Türk Futbolcular'!S10)</f>
        <v/>
      </c>
      <c r="T908" s="2" t="str">
        <f>IF('Takip Edilen Türk Futbolcular'!T10="","",'Takip Edilen Türk Futbolcular'!T10)</f>
        <v/>
      </c>
      <c r="U908" t="s">
        <v>935</v>
      </c>
      <c r="V908">
        <v>10</v>
      </c>
      <c r="W908" t="str">
        <f ca="1">IF(AND($A908&lt;&gt;"",ISNUMBER($G908),$G908&gt;=TODAY(),$G908&lt;=EDATE(TODAY(),12)),COUNTIFS($G$2:$G$1001,"&gt;="&amp;TODAY(),$G$2:$G$1001,"&lt;"&amp;$G908,$A$2:$A$1001,"&lt;&gt;")+COUNTIFS($G$2:$G908,$G908,$A$2:$A908,"&lt;&gt;"),"")</f>
        <v/>
      </c>
      <c r="X908" t="str">
        <f>IF(AND($A908&lt;&gt;"",ISNUMBER($C908),$C908&gt;=DATE(2003,1,1)),COUNTIFS($C$2:$C908,"&gt;="&amp;DATE(2003,1,1),$A$2:$A908,"&lt;&gt;"),"")</f>
        <v/>
      </c>
    </row>
    <row r="909" spans="1:24">
      <c r="A909" t="str">
        <f>IF('Takip Edilen Türk Futbolcular'!A11="","",'Takip Edilen Türk Futbolcular'!A11)</f>
        <v/>
      </c>
      <c r="B909" t="str">
        <f>IF('Takip Edilen Türk Futbolcular'!B11="","",'Takip Edilen Türk Futbolcular'!B11)</f>
        <v/>
      </c>
      <c r="C909" s="2" t="str">
        <f>IF('Takip Edilen Türk Futbolcular'!C11="","",'Takip Edilen Türk Futbolcular'!C11)</f>
        <v/>
      </c>
      <c r="D909" t="str">
        <f ca="1">IF('Takip Edilen Türk Futbolcular'!D11="","",'Takip Edilen Türk Futbolcular'!D11)</f>
        <v/>
      </c>
      <c r="E909" t="str">
        <f>IF('Takip Edilen Türk Futbolcular'!E11="","",'Takip Edilen Türk Futbolcular'!E11)</f>
        <v>Forvet</v>
      </c>
      <c r="F909" t="str">
        <f>IF('Takip Edilen Türk Futbolcular'!F11="","",'Takip Edilen Türk Futbolcular'!F11)</f>
        <v/>
      </c>
      <c r="G909" s="2" t="str">
        <f>IF('Takip Edilen Türk Futbolcular'!G11="","",'Takip Edilen Türk Futbolcular'!G11)</f>
        <v/>
      </c>
      <c r="H909" t="str">
        <f>IF('Takip Edilen Türk Futbolcular'!H11="","",'Takip Edilen Türk Futbolcular'!H11)</f>
        <v/>
      </c>
      <c r="I909" t="str">
        <f>IF('Takip Edilen Türk Futbolcular'!A11="","",'Takip Edilen Türk Futbolcular'!I11)</f>
        <v/>
      </c>
      <c r="J909" t="str">
        <f>IF('Takip Edilen Türk Futbolcular'!A11="","",'Takip Edilen Türk Futbolcular'!J11)</f>
        <v/>
      </c>
      <c r="K909" t="str">
        <f>IF('Takip Edilen Türk Futbolcular'!K11="","",'Takip Edilen Türk Futbolcular'!K11)</f>
        <v/>
      </c>
      <c r="L909" t="str">
        <f>IF('Takip Edilen Türk Futbolcular'!L11="","",'Takip Edilen Türk Futbolcular'!L11)</f>
        <v/>
      </c>
      <c r="M909" t="str">
        <f>IF('Takip Edilen Türk Futbolcular'!M11="","",'Takip Edilen Türk Futbolcular'!M11)</f>
        <v/>
      </c>
      <c r="N909" t="str">
        <f>IF('Takip Edilen Türk Futbolcular'!N11="","",'Takip Edilen Türk Futbolcular'!N11)</f>
        <v/>
      </c>
      <c r="O909" t="str">
        <f>IF('Takip Edilen Türk Futbolcular'!O11="","",'Takip Edilen Türk Futbolcular'!O11)</f>
        <v/>
      </c>
      <c r="P909" t="str">
        <f>IF('Takip Edilen Türk Futbolcular'!P11="","",'Takip Edilen Türk Futbolcular'!P11)</f>
        <v/>
      </c>
      <c r="Q909" t="str">
        <f>IF('Takip Edilen Türk Futbolcular'!Q11="","",'Takip Edilen Türk Futbolcular'!Q11)</f>
        <v/>
      </c>
      <c r="R909" t="str">
        <f>IF('Takip Edilen Türk Futbolcular'!R11="","",'Takip Edilen Türk Futbolcular'!R11)</f>
        <v/>
      </c>
      <c r="S909" t="str">
        <f>IF('Takip Edilen Türk Futbolcular'!S11="","",'Takip Edilen Türk Futbolcular'!S11)</f>
        <v/>
      </c>
      <c r="T909" s="2" t="str">
        <f>IF('Takip Edilen Türk Futbolcular'!T11="","",'Takip Edilen Türk Futbolcular'!T11)</f>
        <v/>
      </c>
      <c r="U909" t="s">
        <v>935</v>
      </c>
      <c r="V909">
        <v>11</v>
      </c>
      <c r="W909" t="str">
        <f ca="1">IF(AND($A909&lt;&gt;"",ISNUMBER($G909),$G909&gt;=TODAY(),$G909&lt;=EDATE(TODAY(),12)),COUNTIFS($G$2:$G$1001,"&gt;="&amp;TODAY(),$G$2:$G$1001,"&lt;"&amp;$G909,$A$2:$A$1001,"&lt;&gt;")+COUNTIFS($G$2:$G909,$G909,$A$2:$A909,"&lt;&gt;"),"")</f>
        <v/>
      </c>
      <c r="X909" t="str">
        <f>IF(AND($A909&lt;&gt;"",ISNUMBER($C909),$C909&gt;=DATE(2003,1,1)),COUNTIFS($C$2:$C909,"&gt;="&amp;DATE(2003,1,1),$A$2:$A909,"&lt;&gt;"),"")</f>
        <v/>
      </c>
    </row>
    <row r="910" spans="1:24">
      <c r="A910" t="str">
        <f>IF('Takip Edilen Türk Futbolcular'!A12="","",'Takip Edilen Türk Futbolcular'!A12)</f>
        <v/>
      </c>
      <c r="B910" t="str">
        <f>IF('Takip Edilen Türk Futbolcular'!B12="","",'Takip Edilen Türk Futbolcular'!B12)</f>
        <v/>
      </c>
      <c r="C910" s="2" t="str">
        <f>IF('Takip Edilen Türk Futbolcular'!C12="","",'Takip Edilen Türk Futbolcular'!C12)</f>
        <v/>
      </c>
      <c r="D910" t="str">
        <f ca="1">IF('Takip Edilen Türk Futbolcular'!D12="","",'Takip Edilen Türk Futbolcular'!D12)</f>
        <v/>
      </c>
      <c r="E910" t="str">
        <f>IF('Takip Edilen Türk Futbolcular'!E12="","",'Takip Edilen Türk Futbolcular'!E12)</f>
        <v>Forvet</v>
      </c>
      <c r="F910" t="str">
        <f>IF('Takip Edilen Türk Futbolcular'!F12="","",'Takip Edilen Türk Futbolcular'!F12)</f>
        <v/>
      </c>
      <c r="G910" s="2" t="str">
        <f>IF('Takip Edilen Türk Futbolcular'!G12="","",'Takip Edilen Türk Futbolcular'!G12)</f>
        <v/>
      </c>
      <c r="H910" t="str">
        <f>IF('Takip Edilen Türk Futbolcular'!H12="","",'Takip Edilen Türk Futbolcular'!H12)</f>
        <v/>
      </c>
      <c r="I910" t="str">
        <f>IF('Takip Edilen Türk Futbolcular'!A12="","",'Takip Edilen Türk Futbolcular'!I12)</f>
        <v/>
      </c>
      <c r="J910" t="str">
        <f>IF('Takip Edilen Türk Futbolcular'!A12="","",'Takip Edilen Türk Futbolcular'!J12)</f>
        <v/>
      </c>
      <c r="K910" t="str">
        <f>IF('Takip Edilen Türk Futbolcular'!K12="","",'Takip Edilen Türk Futbolcular'!K12)</f>
        <v/>
      </c>
      <c r="L910" t="str">
        <f>IF('Takip Edilen Türk Futbolcular'!L12="","",'Takip Edilen Türk Futbolcular'!L12)</f>
        <v/>
      </c>
      <c r="M910" t="str">
        <f>IF('Takip Edilen Türk Futbolcular'!M12="","",'Takip Edilen Türk Futbolcular'!M12)</f>
        <v/>
      </c>
      <c r="N910" t="str">
        <f>IF('Takip Edilen Türk Futbolcular'!N12="","",'Takip Edilen Türk Futbolcular'!N12)</f>
        <v/>
      </c>
      <c r="O910" t="str">
        <f>IF('Takip Edilen Türk Futbolcular'!O12="","",'Takip Edilen Türk Futbolcular'!O12)</f>
        <v/>
      </c>
      <c r="P910" t="str">
        <f>IF('Takip Edilen Türk Futbolcular'!P12="","",'Takip Edilen Türk Futbolcular'!P12)</f>
        <v/>
      </c>
      <c r="Q910" t="str">
        <f>IF('Takip Edilen Türk Futbolcular'!Q12="","",'Takip Edilen Türk Futbolcular'!Q12)</f>
        <v/>
      </c>
      <c r="R910" t="str">
        <f>IF('Takip Edilen Türk Futbolcular'!R12="","",'Takip Edilen Türk Futbolcular'!R12)</f>
        <v/>
      </c>
      <c r="S910" t="str">
        <f>IF('Takip Edilen Türk Futbolcular'!S12="","",'Takip Edilen Türk Futbolcular'!S12)</f>
        <v/>
      </c>
      <c r="T910" s="2" t="str">
        <f>IF('Takip Edilen Türk Futbolcular'!T12="","",'Takip Edilen Türk Futbolcular'!T12)</f>
        <v/>
      </c>
      <c r="U910" t="s">
        <v>935</v>
      </c>
      <c r="V910">
        <v>12</v>
      </c>
      <c r="W910" t="str">
        <f ca="1">IF(AND($A910&lt;&gt;"",ISNUMBER($G910),$G910&gt;=TODAY(),$G910&lt;=EDATE(TODAY(),12)),COUNTIFS($G$2:$G$1001,"&gt;="&amp;TODAY(),$G$2:$G$1001,"&lt;"&amp;$G910,$A$2:$A$1001,"&lt;&gt;")+COUNTIFS($G$2:$G910,$G910,$A$2:$A910,"&lt;&gt;"),"")</f>
        <v/>
      </c>
      <c r="X910" t="str">
        <f>IF(AND($A910&lt;&gt;"",ISNUMBER($C910),$C910&gt;=DATE(2003,1,1)),COUNTIFS($C$2:$C910,"&gt;="&amp;DATE(2003,1,1),$A$2:$A910,"&lt;&gt;"),"")</f>
        <v/>
      </c>
    </row>
    <row r="911" spans="1:24">
      <c r="A911" t="str">
        <f>IF('Takip Edilen Türk Futbolcular'!A13="","",'Takip Edilen Türk Futbolcular'!A13)</f>
        <v/>
      </c>
      <c r="B911" t="str">
        <f>IF('Takip Edilen Türk Futbolcular'!B13="","",'Takip Edilen Türk Futbolcular'!B13)</f>
        <v/>
      </c>
      <c r="C911" s="2" t="str">
        <f>IF('Takip Edilen Türk Futbolcular'!C13="","",'Takip Edilen Türk Futbolcular'!C13)</f>
        <v/>
      </c>
      <c r="D911" t="str">
        <f ca="1">IF('Takip Edilen Türk Futbolcular'!D13="","",'Takip Edilen Türk Futbolcular'!D13)</f>
        <v/>
      </c>
      <c r="E911" t="str">
        <f>IF('Takip Edilen Türk Futbolcular'!E13="","",'Takip Edilen Türk Futbolcular'!E13)</f>
        <v>Forvet</v>
      </c>
      <c r="F911" t="str">
        <f>IF('Takip Edilen Türk Futbolcular'!F13="","",'Takip Edilen Türk Futbolcular'!F13)</f>
        <v/>
      </c>
      <c r="G911" s="2" t="str">
        <f>IF('Takip Edilen Türk Futbolcular'!G13="","",'Takip Edilen Türk Futbolcular'!G13)</f>
        <v/>
      </c>
      <c r="H911" t="str">
        <f>IF('Takip Edilen Türk Futbolcular'!H13="","",'Takip Edilen Türk Futbolcular'!H13)</f>
        <v/>
      </c>
      <c r="I911" t="str">
        <f>IF('Takip Edilen Türk Futbolcular'!A13="","",'Takip Edilen Türk Futbolcular'!I13)</f>
        <v/>
      </c>
      <c r="J911" t="str">
        <f>IF('Takip Edilen Türk Futbolcular'!A13="","",'Takip Edilen Türk Futbolcular'!J13)</f>
        <v/>
      </c>
      <c r="K911" t="str">
        <f>IF('Takip Edilen Türk Futbolcular'!K13="","",'Takip Edilen Türk Futbolcular'!K13)</f>
        <v/>
      </c>
      <c r="L911" t="str">
        <f>IF('Takip Edilen Türk Futbolcular'!L13="","",'Takip Edilen Türk Futbolcular'!L13)</f>
        <v/>
      </c>
      <c r="M911" t="str">
        <f>IF('Takip Edilen Türk Futbolcular'!M13="","",'Takip Edilen Türk Futbolcular'!M13)</f>
        <v/>
      </c>
      <c r="N911" t="str">
        <f>IF('Takip Edilen Türk Futbolcular'!N13="","",'Takip Edilen Türk Futbolcular'!N13)</f>
        <v/>
      </c>
      <c r="O911" t="str">
        <f>IF('Takip Edilen Türk Futbolcular'!O13="","",'Takip Edilen Türk Futbolcular'!O13)</f>
        <v/>
      </c>
      <c r="P911" t="str">
        <f>IF('Takip Edilen Türk Futbolcular'!P13="","",'Takip Edilen Türk Futbolcular'!P13)</f>
        <v/>
      </c>
      <c r="Q911" t="str">
        <f>IF('Takip Edilen Türk Futbolcular'!Q13="","",'Takip Edilen Türk Futbolcular'!Q13)</f>
        <v/>
      </c>
      <c r="R911" t="str">
        <f>IF('Takip Edilen Türk Futbolcular'!R13="","",'Takip Edilen Türk Futbolcular'!R13)</f>
        <v/>
      </c>
      <c r="S911" t="str">
        <f>IF('Takip Edilen Türk Futbolcular'!S13="","",'Takip Edilen Türk Futbolcular'!S13)</f>
        <v/>
      </c>
      <c r="T911" s="2" t="str">
        <f>IF('Takip Edilen Türk Futbolcular'!T13="","",'Takip Edilen Türk Futbolcular'!T13)</f>
        <v/>
      </c>
      <c r="U911" t="s">
        <v>935</v>
      </c>
      <c r="V911">
        <v>13</v>
      </c>
      <c r="W911" t="str">
        <f ca="1">IF(AND($A911&lt;&gt;"",ISNUMBER($G911),$G911&gt;=TODAY(),$G911&lt;=EDATE(TODAY(),12)),COUNTIFS($G$2:$G$1001,"&gt;="&amp;TODAY(),$G$2:$G$1001,"&lt;"&amp;$G911,$A$2:$A$1001,"&lt;&gt;")+COUNTIFS($G$2:$G911,$G911,$A$2:$A911,"&lt;&gt;"),"")</f>
        <v/>
      </c>
      <c r="X911" t="str">
        <f>IF(AND($A911&lt;&gt;"",ISNUMBER($C911),$C911&gt;=DATE(2003,1,1)),COUNTIFS($C$2:$C911,"&gt;="&amp;DATE(2003,1,1),$A$2:$A911,"&lt;&gt;"),"")</f>
        <v/>
      </c>
    </row>
    <row r="912" spans="1:24">
      <c r="A912" t="str">
        <f>IF('Takip Edilen Türk Futbolcular'!A14="","",'Takip Edilen Türk Futbolcular'!A14)</f>
        <v/>
      </c>
      <c r="B912" t="str">
        <f>IF('Takip Edilen Türk Futbolcular'!B14="","",'Takip Edilen Türk Futbolcular'!B14)</f>
        <v/>
      </c>
      <c r="C912" s="2" t="str">
        <f>IF('Takip Edilen Türk Futbolcular'!C14="","",'Takip Edilen Türk Futbolcular'!C14)</f>
        <v/>
      </c>
      <c r="D912" t="str">
        <f ca="1">IF('Takip Edilen Türk Futbolcular'!D14="","",'Takip Edilen Türk Futbolcular'!D14)</f>
        <v/>
      </c>
      <c r="E912" t="str">
        <f>IF('Takip Edilen Türk Futbolcular'!E14="","",'Takip Edilen Türk Futbolcular'!E14)</f>
        <v>Forvet</v>
      </c>
      <c r="F912" t="str">
        <f>IF('Takip Edilen Türk Futbolcular'!F14="","",'Takip Edilen Türk Futbolcular'!F14)</f>
        <v/>
      </c>
      <c r="G912" s="2" t="str">
        <f>IF('Takip Edilen Türk Futbolcular'!G14="","",'Takip Edilen Türk Futbolcular'!G14)</f>
        <v/>
      </c>
      <c r="H912" t="str">
        <f>IF('Takip Edilen Türk Futbolcular'!H14="","",'Takip Edilen Türk Futbolcular'!H14)</f>
        <v/>
      </c>
      <c r="I912" t="str">
        <f>IF('Takip Edilen Türk Futbolcular'!A14="","",'Takip Edilen Türk Futbolcular'!I14)</f>
        <v/>
      </c>
      <c r="J912" t="str">
        <f>IF('Takip Edilen Türk Futbolcular'!A14="","",'Takip Edilen Türk Futbolcular'!J14)</f>
        <v/>
      </c>
      <c r="K912" t="str">
        <f>IF('Takip Edilen Türk Futbolcular'!K14="","",'Takip Edilen Türk Futbolcular'!K14)</f>
        <v/>
      </c>
      <c r="L912" t="str">
        <f>IF('Takip Edilen Türk Futbolcular'!L14="","",'Takip Edilen Türk Futbolcular'!L14)</f>
        <v/>
      </c>
      <c r="M912" t="str">
        <f>IF('Takip Edilen Türk Futbolcular'!M14="","",'Takip Edilen Türk Futbolcular'!M14)</f>
        <v/>
      </c>
      <c r="N912" t="str">
        <f>IF('Takip Edilen Türk Futbolcular'!N14="","",'Takip Edilen Türk Futbolcular'!N14)</f>
        <v/>
      </c>
      <c r="O912" t="str">
        <f>IF('Takip Edilen Türk Futbolcular'!O14="","",'Takip Edilen Türk Futbolcular'!O14)</f>
        <v/>
      </c>
      <c r="P912" t="str">
        <f>IF('Takip Edilen Türk Futbolcular'!P14="","",'Takip Edilen Türk Futbolcular'!P14)</f>
        <v/>
      </c>
      <c r="Q912" t="str">
        <f>IF('Takip Edilen Türk Futbolcular'!Q14="","",'Takip Edilen Türk Futbolcular'!Q14)</f>
        <v/>
      </c>
      <c r="R912" t="str">
        <f>IF('Takip Edilen Türk Futbolcular'!R14="","",'Takip Edilen Türk Futbolcular'!R14)</f>
        <v/>
      </c>
      <c r="S912" t="str">
        <f>IF('Takip Edilen Türk Futbolcular'!S14="","",'Takip Edilen Türk Futbolcular'!S14)</f>
        <v/>
      </c>
      <c r="T912" s="2" t="str">
        <f>IF('Takip Edilen Türk Futbolcular'!T14="","",'Takip Edilen Türk Futbolcular'!T14)</f>
        <v/>
      </c>
      <c r="U912" t="s">
        <v>935</v>
      </c>
      <c r="V912">
        <v>14</v>
      </c>
      <c r="W912" t="str">
        <f ca="1">IF(AND($A912&lt;&gt;"",ISNUMBER($G912),$G912&gt;=TODAY(),$G912&lt;=EDATE(TODAY(),12)),COUNTIFS($G$2:$G$1001,"&gt;="&amp;TODAY(),$G$2:$G$1001,"&lt;"&amp;$G912,$A$2:$A$1001,"&lt;&gt;")+COUNTIFS($G$2:$G912,$G912,$A$2:$A912,"&lt;&gt;"),"")</f>
        <v/>
      </c>
      <c r="X912" t="str">
        <f>IF(AND($A912&lt;&gt;"",ISNUMBER($C912),$C912&gt;=DATE(2003,1,1)),COUNTIFS($C$2:$C912,"&gt;="&amp;DATE(2003,1,1),$A$2:$A912,"&lt;&gt;"),"")</f>
        <v/>
      </c>
    </row>
    <row r="913" spans="1:24">
      <c r="A913" t="str">
        <f>IF('Takip Edilen Türk Futbolcular'!A15="","",'Takip Edilen Türk Futbolcular'!A15)</f>
        <v/>
      </c>
      <c r="B913" t="str">
        <f>IF('Takip Edilen Türk Futbolcular'!B15="","",'Takip Edilen Türk Futbolcular'!B15)</f>
        <v/>
      </c>
      <c r="C913" s="2" t="str">
        <f>IF('Takip Edilen Türk Futbolcular'!C15="","",'Takip Edilen Türk Futbolcular'!C15)</f>
        <v/>
      </c>
      <c r="D913" t="str">
        <f ca="1">IF('Takip Edilen Türk Futbolcular'!D15="","",'Takip Edilen Türk Futbolcular'!D15)</f>
        <v/>
      </c>
      <c r="E913" t="str">
        <f>IF('Takip Edilen Türk Futbolcular'!E15="","",'Takip Edilen Türk Futbolcular'!E15)</f>
        <v>Forvet</v>
      </c>
      <c r="F913" t="str">
        <f>IF('Takip Edilen Türk Futbolcular'!F15="","",'Takip Edilen Türk Futbolcular'!F15)</f>
        <v/>
      </c>
      <c r="G913" s="2" t="str">
        <f>IF('Takip Edilen Türk Futbolcular'!G15="","",'Takip Edilen Türk Futbolcular'!G15)</f>
        <v/>
      </c>
      <c r="H913" t="str">
        <f>IF('Takip Edilen Türk Futbolcular'!H15="","",'Takip Edilen Türk Futbolcular'!H15)</f>
        <v/>
      </c>
      <c r="I913" t="str">
        <f>IF('Takip Edilen Türk Futbolcular'!A15="","",'Takip Edilen Türk Futbolcular'!I15)</f>
        <v/>
      </c>
      <c r="J913" t="str">
        <f>IF('Takip Edilen Türk Futbolcular'!A15="","",'Takip Edilen Türk Futbolcular'!J15)</f>
        <v/>
      </c>
      <c r="K913" t="str">
        <f>IF('Takip Edilen Türk Futbolcular'!K15="","",'Takip Edilen Türk Futbolcular'!K15)</f>
        <v/>
      </c>
      <c r="L913" t="str">
        <f>IF('Takip Edilen Türk Futbolcular'!L15="","",'Takip Edilen Türk Futbolcular'!L15)</f>
        <v/>
      </c>
      <c r="M913" t="str">
        <f>IF('Takip Edilen Türk Futbolcular'!M15="","",'Takip Edilen Türk Futbolcular'!M15)</f>
        <v/>
      </c>
      <c r="N913" t="str">
        <f>IF('Takip Edilen Türk Futbolcular'!N15="","",'Takip Edilen Türk Futbolcular'!N15)</f>
        <v/>
      </c>
      <c r="O913" t="str">
        <f>IF('Takip Edilen Türk Futbolcular'!O15="","",'Takip Edilen Türk Futbolcular'!O15)</f>
        <v/>
      </c>
      <c r="P913" t="str">
        <f>IF('Takip Edilen Türk Futbolcular'!P15="","",'Takip Edilen Türk Futbolcular'!P15)</f>
        <v/>
      </c>
      <c r="Q913" t="str">
        <f>IF('Takip Edilen Türk Futbolcular'!Q15="","",'Takip Edilen Türk Futbolcular'!Q15)</f>
        <v/>
      </c>
      <c r="R913" t="str">
        <f>IF('Takip Edilen Türk Futbolcular'!R15="","",'Takip Edilen Türk Futbolcular'!R15)</f>
        <v/>
      </c>
      <c r="S913" t="str">
        <f>IF('Takip Edilen Türk Futbolcular'!S15="","",'Takip Edilen Türk Futbolcular'!S15)</f>
        <v/>
      </c>
      <c r="T913" s="2" t="str">
        <f>IF('Takip Edilen Türk Futbolcular'!T15="","",'Takip Edilen Türk Futbolcular'!T15)</f>
        <v/>
      </c>
      <c r="U913" t="s">
        <v>935</v>
      </c>
      <c r="V913">
        <v>15</v>
      </c>
      <c r="W913" t="str">
        <f ca="1">IF(AND($A913&lt;&gt;"",ISNUMBER($G913),$G913&gt;=TODAY(),$G913&lt;=EDATE(TODAY(),12)),COUNTIFS($G$2:$G$1001,"&gt;="&amp;TODAY(),$G$2:$G$1001,"&lt;"&amp;$G913,$A$2:$A$1001,"&lt;&gt;")+COUNTIFS($G$2:$G913,$G913,$A$2:$A913,"&lt;&gt;"),"")</f>
        <v/>
      </c>
      <c r="X913" t="str">
        <f>IF(AND($A913&lt;&gt;"",ISNUMBER($C913),$C913&gt;=DATE(2003,1,1)),COUNTIFS($C$2:$C913,"&gt;="&amp;DATE(2003,1,1),$A$2:$A913,"&lt;&gt;"),"")</f>
        <v/>
      </c>
    </row>
    <row r="914" spans="1:24">
      <c r="A914" t="str">
        <f>IF('Takip Edilen Türk Futbolcular'!A16="","",'Takip Edilen Türk Futbolcular'!A16)</f>
        <v/>
      </c>
      <c r="B914" t="str">
        <f>IF('Takip Edilen Türk Futbolcular'!B16="","",'Takip Edilen Türk Futbolcular'!B16)</f>
        <v/>
      </c>
      <c r="C914" s="2" t="str">
        <f>IF('Takip Edilen Türk Futbolcular'!C16="","",'Takip Edilen Türk Futbolcular'!C16)</f>
        <v/>
      </c>
      <c r="D914" t="str">
        <f ca="1">IF('Takip Edilen Türk Futbolcular'!D16="","",'Takip Edilen Türk Futbolcular'!D16)</f>
        <v/>
      </c>
      <c r="E914" t="str">
        <f>IF('Takip Edilen Türk Futbolcular'!E16="","",'Takip Edilen Türk Futbolcular'!E16)</f>
        <v>Forvet</v>
      </c>
      <c r="F914" t="str">
        <f>IF('Takip Edilen Türk Futbolcular'!F16="","",'Takip Edilen Türk Futbolcular'!F16)</f>
        <v/>
      </c>
      <c r="G914" s="2" t="str">
        <f>IF('Takip Edilen Türk Futbolcular'!G16="","",'Takip Edilen Türk Futbolcular'!G16)</f>
        <v/>
      </c>
      <c r="H914" t="str">
        <f>IF('Takip Edilen Türk Futbolcular'!H16="","",'Takip Edilen Türk Futbolcular'!H16)</f>
        <v/>
      </c>
      <c r="I914" t="str">
        <f>IF('Takip Edilen Türk Futbolcular'!A16="","",'Takip Edilen Türk Futbolcular'!I16)</f>
        <v/>
      </c>
      <c r="J914" t="str">
        <f>IF('Takip Edilen Türk Futbolcular'!A16="","",'Takip Edilen Türk Futbolcular'!J16)</f>
        <v/>
      </c>
      <c r="K914" t="str">
        <f>IF('Takip Edilen Türk Futbolcular'!K16="","",'Takip Edilen Türk Futbolcular'!K16)</f>
        <v/>
      </c>
      <c r="L914" t="str">
        <f>IF('Takip Edilen Türk Futbolcular'!L16="","",'Takip Edilen Türk Futbolcular'!L16)</f>
        <v/>
      </c>
      <c r="M914" t="str">
        <f>IF('Takip Edilen Türk Futbolcular'!M16="","",'Takip Edilen Türk Futbolcular'!M16)</f>
        <v/>
      </c>
      <c r="N914" t="str">
        <f>IF('Takip Edilen Türk Futbolcular'!N16="","",'Takip Edilen Türk Futbolcular'!N16)</f>
        <v/>
      </c>
      <c r="O914" t="str">
        <f>IF('Takip Edilen Türk Futbolcular'!O16="","",'Takip Edilen Türk Futbolcular'!O16)</f>
        <v/>
      </c>
      <c r="P914" t="str">
        <f>IF('Takip Edilen Türk Futbolcular'!P16="","",'Takip Edilen Türk Futbolcular'!P16)</f>
        <v/>
      </c>
      <c r="Q914" t="str">
        <f>IF('Takip Edilen Türk Futbolcular'!Q16="","",'Takip Edilen Türk Futbolcular'!Q16)</f>
        <v/>
      </c>
      <c r="R914" t="str">
        <f>IF('Takip Edilen Türk Futbolcular'!R16="","",'Takip Edilen Türk Futbolcular'!R16)</f>
        <v/>
      </c>
      <c r="S914" t="str">
        <f>IF('Takip Edilen Türk Futbolcular'!S16="","",'Takip Edilen Türk Futbolcular'!S16)</f>
        <v/>
      </c>
      <c r="T914" s="2" t="str">
        <f>IF('Takip Edilen Türk Futbolcular'!T16="","",'Takip Edilen Türk Futbolcular'!T16)</f>
        <v/>
      </c>
      <c r="U914" t="s">
        <v>935</v>
      </c>
      <c r="V914">
        <v>16</v>
      </c>
      <c r="W914" t="str">
        <f ca="1">IF(AND($A914&lt;&gt;"",ISNUMBER($G914),$G914&gt;=TODAY(),$G914&lt;=EDATE(TODAY(),12)),COUNTIFS($G$2:$G$1001,"&gt;="&amp;TODAY(),$G$2:$G$1001,"&lt;"&amp;$G914,$A$2:$A$1001,"&lt;&gt;")+COUNTIFS($G$2:$G914,$G914,$A$2:$A914,"&lt;&gt;"),"")</f>
        <v/>
      </c>
      <c r="X914" t="str">
        <f>IF(AND($A914&lt;&gt;"",ISNUMBER($C914),$C914&gt;=DATE(2003,1,1)),COUNTIFS($C$2:$C914,"&gt;="&amp;DATE(2003,1,1),$A$2:$A914,"&lt;&gt;"),"")</f>
        <v/>
      </c>
    </row>
    <row r="915" spans="1:24">
      <c r="A915" t="str">
        <f>IF('Takip Edilen Türk Futbolcular'!A17="","",'Takip Edilen Türk Futbolcular'!A17)</f>
        <v/>
      </c>
      <c r="B915" t="str">
        <f>IF('Takip Edilen Türk Futbolcular'!B17="","",'Takip Edilen Türk Futbolcular'!B17)</f>
        <v/>
      </c>
      <c r="C915" s="2" t="str">
        <f>IF('Takip Edilen Türk Futbolcular'!C17="","",'Takip Edilen Türk Futbolcular'!C17)</f>
        <v/>
      </c>
      <c r="D915" t="str">
        <f ca="1">IF('Takip Edilen Türk Futbolcular'!D17="","",'Takip Edilen Türk Futbolcular'!D17)</f>
        <v/>
      </c>
      <c r="E915" t="str">
        <f>IF('Takip Edilen Türk Futbolcular'!E17="","",'Takip Edilen Türk Futbolcular'!E17)</f>
        <v>Forvet</v>
      </c>
      <c r="F915" t="str">
        <f>IF('Takip Edilen Türk Futbolcular'!F17="","",'Takip Edilen Türk Futbolcular'!F17)</f>
        <v/>
      </c>
      <c r="G915" s="2" t="str">
        <f>IF('Takip Edilen Türk Futbolcular'!G17="","",'Takip Edilen Türk Futbolcular'!G17)</f>
        <v/>
      </c>
      <c r="H915" t="str">
        <f>IF('Takip Edilen Türk Futbolcular'!H17="","",'Takip Edilen Türk Futbolcular'!H17)</f>
        <v/>
      </c>
      <c r="I915" t="str">
        <f>IF('Takip Edilen Türk Futbolcular'!A17="","",'Takip Edilen Türk Futbolcular'!I17)</f>
        <v/>
      </c>
      <c r="J915" t="str">
        <f>IF('Takip Edilen Türk Futbolcular'!A17="","",'Takip Edilen Türk Futbolcular'!J17)</f>
        <v/>
      </c>
      <c r="K915" t="str">
        <f>IF('Takip Edilen Türk Futbolcular'!K17="","",'Takip Edilen Türk Futbolcular'!K17)</f>
        <v/>
      </c>
      <c r="L915" t="str">
        <f>IF('Takip Edilen Türk Futbolcular'!L17="","",'Takip Edilen Türk Futbolcular'!L17)</f>
        <v/>
      </c>
      <c r="M915" t="str">
        <f>IF('Takip Edilen Türk Futbolcular'!M17="","",'Takip Edilen Türk Futbolcular'!M17)</f>
        <v/>
      </c>
      <c r="N915" t="str">
        <f>IF('Takip Edilen Türk Futbolcular'!N17="","",'Takip Edilen Türk Futbolcular'!N17)</f>
        <v/>
      </c>
      <c r="O915" t="str">
        <f>IF('Takip Edilen Türk Futbolcular'!O17="","",'Takip Edilen Türk Futbolcular'!O17)</f>
        <v/>
      </c>
      <c r="P915" t="str">
        <f>IF('Takip Edilen Türk Futbolcular'!P17="","",'Takip Edilen Türk Futbolcular'!P17)</f>
        <v/>
      </c>
      <c r="Q915" t="str">
        <f>IF('Takip Edilen Türk Futbolcular'!Q17="","",'Takip Edilen Türk Futbolcular'!Q17)</f>
        <v/>
      </c>
      <c r="R915" t="str">
        <f>IF('Takip Edilen Türk Futbolcular'!R17="","",'Takip Edilen Türk Futbolcular'!R17)</f>
        <v/>
      </c>
      <c r="S915" t="str">
        <f>IF('Takip Edilen Türk Futbolcular'!S17="","",'Takip Edilen Türk Futbolcular'!S17)</f>
        <v/>
      </c>
      <c r="T915" s="2" t="str">
        <f>IF('Takip Edilen Türk Futbolcular'!T17="","",'Takip Edilen Türk Futbolcular'!T17)</f>
        <v/>
      </c>
      <c r="U915" t="s">
        <v>935</v>
      </c>
      <c r="V915">
        <v>17</v>
      </c>
      <c r="W915" t="str">
        <f ca="1">IF(AND($A915&lt;&gt;"",ISNUMBER($G915),$G915&gt;=TODAY(),$G915&lt;=EDATE(TODAY(),12)),COUNTIFS($G$2:$G$1001,"&gt;="&amp;TODAY(),$G$2:$G$1001,"&lt;"&amp;$G915,$A$2:$A$1001,"&lt;&gt;")+COUNTIFS($G$2:$G915,$G915,$A$2:$A915,"&lt;&gt;"),"")</f>
        <v/>
      </c>
      <c r="X915" t="str">
        <f>IF(AND($A915&lt;&gt;"",ISNUMBER($C915),$C915&gt;=DATE(2003,1,1)),COUNTIFS($C$2:$C915,"&gt;="&amp;DATE(2003,1,1),$A$2:$A915,"&lt;&gt;"),"")</f>
        <v/>
      </c>
    </row>
    <row r="916" spans="1:24">
      <c r="A916" t="str">
        <f>IF('Takip Edilen Türk Futbolcular'!A18="","",'Takip Edilen Türk Futbolcular'!A18)</f>
        <v/>
      </c>
      <c r="B916" t="str">
        <f>IF('Takip Edilen Türk Futbolcular'!B18="","",'Takip Edilen Türk Futbolcular'!B18)</f>
        <v/>
      </c>
      <c r="C916" s="2" t="str">
        <f>IF('Takip Edilen Türk Futbolcular'!C18="","",'Takip Edilen Türk Futbolcular'!C18)</f>
        <v/>
      </c>
      <c r="D916" t="str">
        <f ca="1">IF('Takip Edilen Türk Futbolcular'!D18="","",'Takip Edilen Türk Futbolcular'!D18)</f>
        <v/>
      </c>
      <c r="E916" t="str">
        <f>IF('Takip Edilen Türk Futbolcular'!E18="","",'Takip Edilen Türk Futbolcular'!E18)</f>
        <v>Forvet</v>
      </c>
      <c r="F916" t="str">
        <f>IF('Takip Edilen Türk Futbolcular'!F18="","",'Takip Edilen Türk Futbolcular'!F18)</f>
        <v/>
      </c>
      <c r="G916" s="2" t="str">
        <f>IF('Takip Edilen Türk Futbolcular'!G18="","",'Takip Edilen Türk Futbolcular'!G18)</f>
        <v/>
      </c>
      <c r="H916" t="str">
        <f>IF('Takip Edilen Türk Futbolcular'!H18="","",'Takip Edilen Türk Futbolcular'!H18)</f>
        <v/>
      </c>
      <c r="I916" t="str">
        <f>IF('Takip Edilen Türk Futbolcular'!A18="","",'Takip Edilen Türk Futbolcular'!I18)</f>
        <v/>
      </c>
      <c r="J916" t="str">
        <f>IF('Takip Edilen Türk Futbolcular'!A18="","",'Takip Edilen Türk Futbolcular'!J18)</f>
        <v/>
      </c>
      <c r="K916" t="str">
        <f>IF('Takip Edilen Türk Futbolcular'!K18="","",'Takip Edilen Türk Futbolcular'!K18)</f>
        <v/>
      </c>
      <c r="L916" t="str">
        <f>IF('Takip Edilen Türk Futbolcular'!L18="","",'Takip Edilen Türk Futbolcular'!L18)</f>
        <v/>
      </c>
      <c r="M916" t="str">
        <f>IF('Takip Edilen Türk Futbolcular'!M18="","",'Takip Edilen Türk Futbolcular'!M18)</f>
        <v/>
      </c>
      <c r="N916" t="str">
        <f>IF('Takip Edilen Türk Futbolcular'!N18="","",'Takip Edilen Türk Futbolcular'!N18)</f>
        <v/>
      </c>
      <c r="O916" t="str">
        <f>IF('Takip Edilen Türk Futbolcular'!O18="","",'Takip Edilen Türk Futbolcular'!O18)</f>
        <v/>
      </c>
      <c r="P916" t="str">
        <f>IF('Takip Edilen Türk Futbolcular'!P18="","",'Takip Edilen Türk Futbolcular'!P18)</f>
        <v/>
      </c>
      <c r="Q916" t="str">
        <f>IF('Takip Edilen Türk Futbolcular'!Q18="","",'Takip Edilen Türk Futbolcular'!Q18)</f>
        <v/>
      </c>
      <c r="R916" t="str">
        <f>IF('Takip Edilen Türk Futbolcular'!R18="","",'Takip Edilen Türk Futbolcular'!R18)</f>
        <v/>
      </c>
      <c r="S916" t="str">
        <f>IF('Takip Edilen Türk Futbolcular'!S18="","",'Takip Edilen Türk Futbolcular'!S18)</f>
        <v/>
      </c>
      <c r="T916" s="2" t="str">
        <f>IF('Takip Edilen Türk Futbolcular'!T18="","",'Takip Edilen Türk Futbolcular'!T18)</f>
        <v/>
      </c>
      <c r="U916" t="s">
        <v>935</v>
      </c>
      <c r="V916">
        <v>18</v>
      </c>
      <c r="W916" t="str">
        <f ca="1">IF(AND($A916&lt;&gt;"",ISNUMBER($G916),$G916&gt;=TODAY(),$G916&lt;=EDATE(TODAY(),12)),COUNTIFS($G$2:$G$1001,"&gt;="&amp;TODAY(),$G$2:$G$1001,"&lt;"&amp;$G916,$A$2:$A$1001,"&lt;&gt;")+COUNTIFS($G$2:$G916,$G916,$A$2:$A916,"&lt;&gt;"),"")</f>
        <v/>
      </c>
      <c r="X916" t="str">
        <f>IF(AND($A916&lt;&gt;"",ISNUMBER($C916),$C916&gt;=DATE(2003,1,1)),COUNTIFS($C$2:$C916,"&gt;="&amp;DATE(2003,1,1),$A$2:$A916,"&lt;&gt;"),"")</f>
        <v/>
      </c>
    </row>
    <row r="917" spans="1:24">
      <c r="A917" t="str">
        <f>IF('Takip Edilen Türk Futbolcular'!A19="","",'Takip Edilen Türk Futbolcular'!A19)</f>
        <v/>
      </c>
      <c r="B917" t="str">
        <f>IF('Takip Edilen Türk Futbolcular'!B19="","",'Takip Edilen Türk Futbolcular'!B19)</f>
        <v/>
      </c>
      <c r="C917" s="2" t="str">
        <f>IF('Takip Edilen Türk Futbolcular'!C19="","",'Takip Edilen Türk Futbolcular'!C19)</f>
        <v/>
      </c>
      <c r="D917" t="str">
        <f ca="1">IF('Takip Edilen Türk Futbolcular'!D19="","",'Takip Edilen Türk Futbolcular'!D19)</f>
        <v/>
      </c>
      <c r="E917" t="str">
        <f>IF('Takip Edilen Türk Futbolcular'!E19="","",'Takip Edilen Türk Futbolcular'!E19)</f>
        <v>Forvet</v>
      </c>
      <c r="F917" t="str">
        <f>IF('Takip Edilen Türk Futbolcular'!F19="","",'Takip Edilen Türk Futbolcular'!F19)</f>
        <v/>
      </c>
      <c r="G917" s="2" t="str">
        <f>IF('Takip Edilen Türk Futbolcular'!G19="","",'Takip Edilen Türk Futbolcular'!G19)</f>
        <v/>
      </c>
      <c r="H917" t="str">
        <f>IF('Takip Edilen Türk Futbolcular'!H19="","",'Takip Edilen Türk Futbolcular'!H19)</f>
        <v/>
      </c>
      <c r="I917" t="str">
        <f>IF('Takip Edilen Türk Futbolcular'!A19="","",'Takip Edilen Türk Futbolcular'!I19)</f>
        <v/>
      </c>
      <c r="J917" t="str">
        <f>IF('Takip Edilen Türk Futbolcular'!A19="","",'Takip Edilen Türk Futbolcular'!J19)</f>
        <v/>
      </c>
      <c r="K917" t="str">
        <f>IF('Takip Edilen Türk Futbolcular'!K19="","",'Takip Edilen Türk Futbolcular'!K19)</f>
        <v/>
      </c>
      <c r="L917" t="str">
        <f>IF('Takip Edilen Türk Futbolcular'!L19="","",'Takip Edilen Türk Futbolcular'!L19)</f>
        <v/>
      </c>
      <c r="M917" t="str">
        <f>IF('Takip Edilen Türk Futbolcular'!M19="","",'Takip Edilen Türk Futbolcular'!M19)</f>
        <v/>
      </c>
      <c r="N917" t="str">
        <f>IF('Takip Edilen Türk Futbolcular'!N19="","",'Takip Edilen Türk Futbolcular'!N19)</f>
        <v/>
      </c>
      <c r="O917" t="str">
        <f>IF('Takip Edilen Türk Futbolcular'!O19="","",'Takip Edilen Türk Futbolcular'!O19)</f>
        <v/>
      </c>
      <c r="P917" t="str">
        <f>IF('Takip Edilen Türk Futbolcular'!P19="","",'Takip Edilen Türk Futbolcular'!P19)</f>
        <v/>
      </c>
      <c r="Q917" t="str">
        <f>IF('Takip Edilen Türk Futbolcular'!Q19="","",'Takip Edilen Türk Futbolcular'!Q19)</f>
        <v/>
      </c>
      <c r="R917" t="str">
        <f>IF('Takip Edilen Türk Futbolcular'!R19="","",'Takip Edilen Türk Futbolcular'!R19)</f>
        <v/>
      </c>
      <c r="S917" t="str">
        <f>IF('Takip Edilen Türk Futbolcular'!S19="","",'Takip Edilen Türk Futbolcular'!S19)</f>
        <v/>
      </c>
      <c r="T917" s="2" t="str">
        <f>IF('Takip Edilen Türk Futbolcular'!T19="","",'Takip Edilen Türk Futbolcular'!T19)</f>
        <v/>
      </c>
      <c r="U917" t="s">
        <v>935</v>
      </c>
      <c r="V917">
        <v>19</v>
      </c>
      <c r="W917" t="str">
        <f ca="1">IF(AND($A917&lt;&gt;"",ISNUMBER($G917),$G917&gt;=TODAY(),$G917&lt;=EDATE(TODAY(),12)),COUNTIFS($G$2:$G$1001,"&gt;="&amp;TODAY(),$G$2:$G$1001,"&lt;"&amp;$G917,$A$2:$A$1001,"&lt;&gt;")+COUNTIFS($G$2:$G917,$G917,$A$2:$A917,"&lt;&gt;"),"")</f>
        <v/>
      </c>
      <c r="X917" t="str">
        <f>IF(AND($A917&lt;&gt;"",ISNUMBER($C917),$C917&gt;=DATE(2003,1,1)),COUNTIFS($C$2:$C917,"&gt;="&amp;DATE(2003,1,1),$A$2:$A917,"&lt;&gt;"),"")</f>
        <v/>
      </c>
    </row>
    <row r="918" spans="1:24">
      <c r="A918" t="str">
        <f>IF('Takip Edilen Türk Futbolcular'!A20="","",'Takip Edilen Türk Futbolcular'!A20)</f>
        <v/>
      </c>
      <c r="B918" t="str">
        <f>IF('Takip Edilen Türk Futbolcular'!B20="","",'Takip Edilen Türk Futbolcular'!B20)</f>
        <v/>
      </c>
      <c r="C918" s="2" t="str">
        <f>IF('Takip Edilen Türk Futbolcular'!C20="","",'Takip Edilen Türk Futbolcular'!C20)</f>
        <v/>
      </c>
      <c r="D918" t="str">
        <f ca="1">IF('Takip Edilen Türk Futbolcular'!D20="","",'Takip Edilen Türk Futbolcular'!D20)</f>
        <v/>
      </c>
      <c r="E918" t="str">
        <f>IF('Takip Edilen Türk Futbolcular'!E20="","",'Takip Edilen Türk Futbolcular'!E20)</f>
        <v>Forvet</v>
      </c>
      <c r="F918" t="str">
        <f>IF('Takip Edilen Türk Futbolcular'!F20="","",'Takip Edilen Türk Futbolcular'!F20)</f>
        <v/>
      </c>
      <c r="G918" s="2" t="str">
        <f>IF('Takip Edilen Türk Futbolcular'!G20="","",'Takip Edilen Türk Futbolcular'!G20)</f>
        <v/>
      </c>
      <c r="H918" t="str">
        <f>IF('Takip Edilen Türk Futbolcular'!H20="","",'Takip Edilen Türk Futbolcular'!H20)</f>
        <v/>
      </c>
      <c r="I918" t="str">
        <f>IF('Takip Edilen Türk Futbolcular'!A20="","",'Takip Edilen Türk Futbolcular'!I20)</f>
        <v/>
      </c>
      <c r="J918" t="str">
        <f>IF('Takip Edilen Türk Futbolcular'!A20="","",'Takip Edilen Türk Futbolcular'!J20)</f>
        <v/>
      </c>
      <c r="K918" t="str">
        <f>IF('Takip Edilen Türk Futbolcular'!K20="","",'Takip Edilen Türk Futbolcular'!K20)</f>
        <v/>
      </c>
      <c r="L918" t="str">
        <f>IF('Takip Edilen Türk Futbolcular'!L20="","",'Takip Edilen Türk Futbolcular'!L20)</f>
        <v/>
      </c>
      <c r="M918" t="str">
        <f>IF('Takip Edilen Türk Futbolcular'!M20="","",'Takip Edilen Türk Futbolcular'!M20)</f>
        <v/>
      </c>
      <c r="N918" t="str">
        <f>IF('Takip Edilen Türk Futbolcular'!N20="","",'Takip Edilen Türk Futbolcular'!N20)</f>
        <v/>
      </c>
      <c r="O918" t="str">
        <f>IF('Takip Edilen Türk Futbolcular'!O20="","",'Takip Edilen Türk Futbolcular'!O20)</f>
        <v/>
      </c>
      <c r="P918" t="str">
        <f>IF('Takip Edilen Türk Futbolcular'!P20="","",'Takip Edilen Türk Futbolcular'!P20)</f>
        <v/>
      </c>
      <c r="Q918" t="str">
        <f>IF('Takip Edilen Türk Futbolcular'!Q20="","",'Takip Edilen Türk Futbolcular'!Q20)</f>
        <v/>
      </c>
      <c r="R918" t="str">
        <f>IF('Takip Edilen Türk Futbolcular'!R20="","",'Takip Edilen Türk Futbolcular'!R20)</f>
        <v/>
      </c>
      <c r="S918" t="str">
        <f>IF('Takip Edilen Türk Futbolcular'!S20="","",'Takip Edilen Türk Futbolcular'!S20)</f>
        <v/>
      </c>
      <c r="T918" s="2" t="str">
        <f>IF('Takip Edilen Türk Futbolcular'!T20="","",'Takip Edilen Türk Futbolcular'!T20)</f>
        <v/>
      </c>
      <c r="U918" t="s">
        <v>935</v>
      </c>
      <c r="V918">
        <v>20</v>
      </c>
      <c r="W918" t="str">
        <f ca="1">IF(AND($A918&lt;&gt;"",ISNUMBER($G918),$G918&gt;=TODAY(),$G918&lt;=EDATE(TODAY(),12)),COUNTIFS($G$2:$G$1001,"&gt;="&amp;TODAY(),$G$2:$G$1001,"&lt;"&amp;$G918,$A$2:$A$1001,"&lt;&gt;")+COUNTIFS($G$2:$G918,$G918,$A$2:$A918,"&lt;&gt;"),"")</f>
        <v/>
      </c>
      <c r="X918" t="str">
        <f>IF(AND($A918&lt;&gt;"",ISNUMBER($C918),$C918&gt;=DATE(2003,1,1)),COUNTIFS($C$2:$C918,"&gt;="&amp;DATE(2003,1,1),$A$2:$A918,"&lt;&gt;"),"")</f>
        <v/>
      </c>
    </row>
    <row r="919" spans="1:24">
      <c r="A919" t="str">
        <f>IF('Takip Edilen Türk Futbolcular'!A21="","",'Takip Edilen Türk Futbolcular'!A21)</f>
        <v/>
      </c>
      <c r="B919" t="str">
        <f>IF('Takip Edilen Türk Futbolcular'!B21="","",'Takip Edilen Türk Futbolcular'!B21)</f>
        <v/>
      </c>
      <c r="C919" s="2" t="str">
        <f>IF('Takip Edilen Türk Futbolcular'!C21="","",'Takip Edilen Türk Futbolcular'!C21)</f>
        <v/>
      </c>
      <c r="D919" t="str">
        <f ca="1">IF('Takip Edilen Türk Futbolcular'!D21="","",'Takip Edilen Türk Futbolcular'!D21)</f>
        <v/>
      </c>
      <c r="E919" t="str">
        <f>IF('Takip Edilen Türk Futbolcular'!E21="","",'Takip Edilen Türk Futbolcular'!E21)</f>
        <v>Forvet</v>
      </c>
      <c r="F919" t="str">
        <f>IF('Takip Edilen Türk Futbolcular'!F21="","",'Takip Edilen Türk Futbolcular'!F21)</f>
        <v/>
      </c>
      <c r="G919" s="2" t="str">
        <f>IF('Takip Edilen Türk Futbolcular'!G21="","",'Takip Edilen Türk Futbolcular'!G21)</f>
        <v/>
      </c>
      <c r="H919" t="str">
        <f>IF('Takip Edilen Türk Futbolcular'!H21="","",'Takip Edilen Türk Futbolcular'!H21)</f>
        <v/>
      </c>
      <c r="I919" t="str">
        <f>IF('Takip Edilen Türk Futbolcular'!A21="","",'Takip Edilen Türk Futbolcular'!I21)</f>
        <v/>
      </c>
      <c r="J919" t="str">
        <f>IF('Takip Edilen Türk Futbolcular'!A21="","",'Takip Edilen Türk Futbolcular'!J21)</f>
        <v/>
      </c>
      <c r="K919" t="str">
        <f>IF('Takip Edilen Türk Futbolcular'!K21="","",'Takip Edilen Türk Futbolcular'!K21)</f>
        <v/>
      </c>
      <c r="L919" t="str">
        <f>IF('Takip Edilen Türk Futbolcular'!L21="","",'Takip Edilen Türk Futbolcular'!L21)</f>
        <v/>
      </c>
      <c r="M919" t="str">
        <f>IF('Takip Edilen Türk Futbolcular'!M21="","",'Takip Edilen Türk Futbolcular'!M21)</f>
        <v/>
      </c>
      <c r="N919" t="str">
        <f>IF('Takip Edilen Türk Futbolcular'!N21="","",'Takip Edilen Türk Futbolcular'!N21)</f>
        <v/>
      </c>
      <c r="O919" t="str">
        <f>IF('Takip Edilen Türk Futbolcular'!O21="","",'Takip Edilen Türk Futbolcular'!O21)</f>
        <v/>
      </c>
      <c r="P919" t="str">
        <f>IF('Takip Edilen Türk Futbolcular'!P21="","",'Takip Edilen Türk Futbolcular'!P21)</f>
        <v/>
      </c>
      <c r="Q919" t="str">
        <f>IF('Takip Edilen Türk Futbolcular'!Q21="","",'Takip Edilen Türk Futbolcular'!Q21)</f>
        <v/>
      </c>
      <c r="R919" t="str">
        <f>IF('Takip Edilen Türk Futbolcular'!R21="","",'Takip Edilen Türk Futbolcular'!R21)</f>
        <v/>
      </c>
      <c r="S919" t="str">
        <f>IF('Takip Edilen Türk Futbolcular'!S21="","",'Takip Edilen Türk Futbolcular'!S21)</f>
        <v/>
      </c>
      <c r="T919" s="2" t="str">
        <f>IF('Takip Edilen Türk Futbolcular'!T21="","",'Takip Edilen Türk Futbolcular'!T21)</f>
        <v/>
      </c>
      <c r="U919" t="s">
        <v>935</v>
      </c>
      <c r="V919">
        <v>21</v>
      </c>
      <c r="W919" t="str">
        <f ca="1">IF(AND($A919&lt;&gt;"",ISNUMBER($G919),$G919&gt;=TODAY(),$G919&lt;=EDATE(TODAY(),12)),COUNTIFS($G$2:$G$1001,"&gt;="&amp;TODAY(),$G$2:$G$1001,"&lt;"&amp;$G919,$A$2:$A$1001,"&lt;&gt;")+COUNTIFS($G$2:$G919,$G919,$A$2:$A919,"&lt;&gt;"),"")</f>
        <v/>
      </c>
      <c r="X919" t="str">
        <f>IF(AND($A919&lt;&gt;"",ISNUMBER($C919),$C919&gt;=DATE(2003,1,1)),COUNTIFS($C$2:$C919,"&gt;="&amp;DATE(2003,1,1),$A$2:$A919,"&lt;&gt;"),"")</f>
        <v/>
      </c>
    </row>
    <row r="920" spans="1:24">
      <c r="A920" t="str">
        <f>IF('Takip Edilen Türk Futbolcular'!A22="","",'Takip Edilen Türk Futbolcular'!A22)</f>
        <v/>
      </c>
      <c r="B920" t="str">
        <f>IF('Takip Edilen Türk Futbolcular'!B22="","",'Takip Edilen Türk Futbolcular'!B22)</f>
        <v/>
      </c>
      <c r="C920" s="2" t="str">
        <f>IF('Takip Edilen Türk Futbolcular'!C22="","",'Takip Edilen Türk Futbolcular'!C22)</f>
        <v/>
      </c>
      <c r="D920" t="str">
        <f ca="1">IF('Takip Edilen Türk Futbolcular'!D22="","",'Takip Edilen Türk Futbolcular'!D22)</f>
        <v/>
      </c>
      <c r="E920" t="str">
        <f>IF('Takip Edilen Türk Futbolcular'!E22="","",'Takip Edilen Türk Futbolcular'!E22)</f>
        <v>Forvet</v>
      </c>
      <c r="F920" t="str">
        <f>IF('Takip Edilen Türk Futbolcular'!F22="","",'Takip Edilen Türk Futbolcular'!F22)</f>
        <v/>
      </c>
      <c r="G920" s="2" t="str">
        <f>IF('Takip Edilen Türk Futbolcular'!G22="","",'Takip Edilen Türk Futbolcular'!G22)</f>
        <v/>
      </c>
      <c r="H920" t="str">
        <f>IF('Takip Edilen Türk Futbolcular'!H22="","",'Takip Edilen Türk Futbolcular'!H22)</f>
        <v/>
      </c>
      <c r="I920" t="str">
        <f>IF('Takip Edilen Türk Futbolcular'!A22="","",'Takip Edilen Türk Futbolcular'!I22)</f>
        <v/>
      </c>
      <c r="J920" t="str">
        <f>IF('Takip Edilen Türk Futbolcular'!A22="","",'Takip Edilen Türk Futbolcular'!J22)</f>
        <v/>
      </c>
      <c r="K920" t="str">
        <f>IF('Takip Edilen Türk Futbolcular'!K22="","",'Takip Edilen Türk Futbolcular'!K22)</f>
        <v/>
      </c>
      <c r="L920" t="str">
        <f>IF('Takip Edilen Türk Futbolcular'!L22="","",'Takip Edilen Türk Futbolcular'!L22)</f>
        <v/>
      </c>
      <c r="M920" t="str">
        <f>IF('Takip Edilen Türk Futbolcular'!M22="","",'Takip Edilen Türk Futbolcular'!M22)</f>
        <v/>
      </c>
      <c r="N920" t="str">
        <f>IF('Takip Edilen Türk Futbolcular'!N22="","",'Takip Edilen Türk Futbolcular'!N22)</f>
        <v/>
      </c>
      <c r="O920" t="str">
        <f>IF('Takip Edilen Türk Futbolcular'!O22="","",'Takip Edilen Türk Futbolcular'!O22)</f>
        <v/>
      </c>
      <c r="P920" t="str">
        <f>IF('Takip Edilen Türk Futbolcular'!P22="","",'Takip Edilen Türk Futbolcular'!P22)</f>
        <v/>
      </c>
      <c r="Q920" t="str">
        <f>IF('Takip Edilen Türk Futbolcular'!Q22="","",'Takip Edilen Türk Futbolcular'!Q22)</f>
        <v/>
      </c>
      <c r="R920" t="str">
        <f>IF('Takip Edilen Türk Futbolcular'!R22="","",'Takip Edilen Türk Futbolcular'!R22)</f>
        <v/>
      </c>
      <c r="S920" t="str">
        <f>IF('Takip Edilen Türk Futbolcular'!S22="","",'Takip Edilen Türk Futbolcular'!S22)</f>
        <v/>
      </c>
      <c r="T920" s="2" t="str">
        <f>IF('Takip Edilen Türk Futbolcular'!T22="","",'Takip Edilen Türk Futbolcular'!T22)</f>
        <v/>
      </c>
      <c r="U920" t="s">
        <v>935</v>
      </c>
      <c r="V920">
        <v>22</v>
      </c>
      <c r="W920" t="str">
        <f ca="1">IF(AND($A920&lt;&gt;"",ISNUMBER($G920),$G920&gt;=TODAY(),$G920&lt;=EDATE(TODAY(),12)),COUNTIFS($G$2:$G$1001,"&gt;="&amp;TODAY(),$G$2:$G$1001,"&lt;"&amp;$G920,$A$2:$A$1001,"&lt;&gt;")+COUNTIFS($G$2:$G920,$G920,$A$2:$A920,"&lt;&gt;"),"")</f>
        <v/>
      </c>
      <c r="X920" t="str">
        <f>IF(AND($A920&lt;&gt;"",ISNUMBER($C920),$C920&gt;=DATE(2003,1,1)),COUNTIFS($C$2:$C920,"&gt;="&amp;DATE(2003,1,1),$A$2:$A920,"&lt;&gt;"),"")</f>
        <v/>
      </c>
    </row>
    <row r="921" spans="1:24">
      <c r="A921" t="str">
        <f>IF('Takip Edilen Türk Futbolcular'!A23="","",'Takip Edilen Türk Futbolcular'!A23)</f>
        <v/>
      </c>
      <c r="B921" t="str">
        <f>IF('Takip Edilen Türk Futbolcular'!B23="","",'Takip Edilen Türk Futbolcular'!B23)</f>
        <v/>
      </c>
      <c r="C921" s="2" t="str">
        <f>IF('Takip Edilen Türk Futbolcular'!C23="","",'Takip Edilen Türk Futbolcular'!C23)</f>
        <v/>
      </c>
      <c r="D921" t="str">
        <f ca="1">IF('Takip Edilen Türk Futbolcular'!D23="","",'Takip Edilen Türk Futbolcular'!D23)</f>
        <v/>
      </c>
      <c r="E921" t="str">
        <f>IF('Takip Edilen Türk Futbolcular'!E23="","",'Takip Edilen Türk Futbolcular'!E23)</f>
        <v>Forvet</v>
      </c>
      <c r="F921" t="str">
        <f>IF('Takip Edilen Türk Futbolcular'!F23="","",'Takip Edilen Türk Futbolcular'!F23)</f>
        <v/>
      </c>
      <c r="G921" s="2" t="str">
        <f>IF('Takip Edilen Türk Futbolcular'!G23="","",'Takip Edilen Türk Futbolcular'!G23)</f>
        <v/>
      </c>
      <c r="H921" t="str">
        <f>IF('Takip Edilen Türk Futbolcular'!H23="","",'Takip Edilen Türk Futbolcular'!H23)</f>
        <v/>
      </c>
      <c r="I921" t="str">
        <f>IF('Takip Edilen Türk Futbolcular'!A23="","",'Takip Edilen Türk Futbolcular'!I23)</f>
        <v/>
      </c>
      <c r="J921" t="str">
        <f>IF('Takip Edilen Türk Futbolcular'!A23="","",'Takip Edilen Türk Futbolcular'!J23)</f>
        <v/>
      </c>
      <c r="K921" t="str">
        <f>IF('Takip Edilen Türk Futbolcular'!K23="","",'Takip Edilen Türk Futbolcular'!K23)</f>
        <v/>
      </c>
      <c r="L921" t="str">
        <f>IF('Takip Edilen Türk Futbolcular'!L23="","",'Takip Edilen Türk Futbolcular'!L23)</f>
        <v/>
      </c>
      <c r="M921" t="str">
        <f>IF('Takip Edilen Türk Futbolcular'!M23="","",'Takip Edilen Türk Futbolcular'!M23)</f>
        <v/>
      </c>
      <c r="N921" t="str">
        <f>IF('Takip Edilen Türk Futbolcular'!N23="","",'Takip Edilen Türk Futbolcular'!N23)</f>
        <v/>
      </c>
      <c r="O921" t="str">
        <f>IF('Takip Edilen Türk Futbolcular'!O23="","",'Takip Edilen Türk Futbolcular'!O23)</f>
        <v/>
      </c>
      <c r="P921" t="str">
        <f>IF('Takip Edilen Türk Futbolcular'!P23="","",'Takip Edilen Türk Futbolcular'!P23)</f>
        <v/>
      </c>
      <c r="Q921" t="str">
        <f>IF('Takip Edilen Türk Futbolcular'!Q23="","",'Takip Edilen Türk Futbolcular'!Q23)</f>
        <v/>
      </c>
      <c r="R921" t="str">
        <f>IF('Takip Edilen Türk Futbolcular'!R23="","",'Takip Edilen Türk Futbolcular'!R23)</f>
        <v/>
      </c>
      <c r="S921" t="str">
        <f>IF('Takip Edilen Türk Futbolcular'!S23="","",'Takip Edilen Türk Futbolcular'!S23)</f>
        <v/>
      </c>
      <c r="T921" s="2" t="str">
        <f>IF('Takip Edilen Türk Futbolcular'!T23="","",'Takip Edilen Türk Futbolcular'!T23)</f>
        <v/>
      </c>
      <c r="U921" t="s">
        <v>935</v>
      </c>
      <c r="V921">
        <v>23</v>
      </c>
      <c r="W921" t="str">
        <f ca="1">IF(AND($A921&lt;&gt;"",ISNUMBER($G921),$G921&gt;=TODAY(),$G921&lt;=EDATE(TODAY(),12)),COUNTIFS($G$2:$G$1001,"&gt;="&amp;TODAY(),$G$2:$G$1001,"&lt;"&amp;$G921,$A$2:$A$1001,"&lt;&gt;")+COUNTIFS($G$2:$G921,$G921,$A$2:$A921,"&lt;&gt;"),"")</f>
        <v/>
      </c>
      <c r="X921" t="str">
        <f>IF(AND($A921&lt;&gt;"",ISNUMBER($C921),$C921&gt;=DATE(2003,1,1)),COUNTIFS($C$2:$C921,"&gt;="&amp;DATE(2003,1,1),$A$2:$A921,"&lt;&gt;"),"")</f>
        <v/>
      </c>
    </row>
    <row r="922" spans="1:24">
      <c r="A922" t="str">
        <f>IF('Takip Edilen Türk Futbolcular'!A24="","",'Takip Edilen Türk Futbolcular'!A24)</f>
        <v/>
      </c>
      <c r="B922" t="str">
        <f>IF('Takip Edilen Türk Futbolcular'!B24="","",'Takip Edilen Türk Futbolcular'!B24)</f>
        <v/>
      </c>
      <c r="C922" s="2" t="str">
        <f>IF('Takip Edilen Türk Futbolcular'!C24="","",'Takip Edilen Türk Futbolcular'!C24)</f>
        <v/>
      </c>
      <c r="D922" t="str">
        <f ca="1">IF('Takip Edilen Türk Futbolcular'!D24="","",'Takip Edilen Türk Futbolcular'!D24)</f>
        <v/>
      </c>
      <c r="E922" t="str">
        <f>IF('Takip Edilen Türk Futbolcular'!E24="","",'Takip Edilen Türk Futbolcular'!E24)</f>
        <v>Forvet</v>
      </c>
      <c r="F922" t="str">
        <f>IF('Takip Edilen Türk Futbolcular'!F24="","",'Takip Edilen Türk Futbolcular'!F24)</f>
        <v/>
      </c>
      <c r="G922" s="2" t="str">
        <f>IF('Takip Edilen Türk Futbolcular'!G24="","",'Takip Edilen Türk Futbolcular'!G24)</f>
        <v/>
      </c>
      <c r="H922" t="str">
        <f>IF('Takip Edilen Türk Futbolcular'!H24="","",'Takip Edilen Türk Futbolcular'!H24)</f>
        <v/>
      </c>
      <c r="I922" t="str">
        <f>IF('Takip Edilen Türk Futbolcular'!A24="","",'Takip Edilen Türk Futbolcular'!I24)</f>
        <v/>
      </c>
      <c r="J922" t="str">
        <f>IF('Takip Edilen Türk Futbolcular'!A24="","",'Takip Edilen Türk Futbolcular'!J24)</f>
        <v/>
      </c>
      <c r="K922" t="str">
        <f>IF('Takip Edilen Türk Futbolcular'!K24="","",'Takip Edilen Türk Futbolcular'!K24)</f>
        <v/>
      </c>
      <c r="L922" t="str">
        <f>IF('Takip Edilen Türk Futbolcular'!L24="","",'Takip Edilen Türk Futbolcular'!L24)</f>
        <v/>
      </c>
      <c r="M922" t="str">
        <f>IF('Takip Edilen Türk Futbolcular'!M24="","",'Takip Edilen Türk Futbolcular'!M24)</f>
        <v/>
      </c>
      <c r="N922" t="str">
        <f>IF('Takip Edilen Türk Futbolcular'!N24="","",'Takip Edilen Türk Futbolcular'!N24)</f>
        <v/>
      </c>
      <c r="O922" t="str">
        <f>IF('Takip Edilen Türk Futbolcular'!O24="","",'Takip Edilen Türk Futbolcular'!O24)</f>
        <v/>
      </c>
      <c r="P922" t="str">
        <f>IF('Takip Edilen Türk Futbolcular'!P24="","",'Takip Edilen Türk Futbolcular'!P24)</f>
        <v/>
      </c>
      <c r="Q922" t="str">
        <f>IF('Takip Edilen Türk Futbolcular'!Q24="","",'Takip Edilen Türk Futbolcular'!Q24)</f>
        <v/>
      </c>
      <c r="R922" t="str">
        <f>IF('Takip Edilen Türk Futbolcular'!R24="","",'Takip Edilen Türk Futbolcular'!R24)</f>
        <v/>
      </c>
      <c r="S922" t="str">
        <f>IF('Takip Edilen Türk Futbolcular'!S24="","",'Takip Edilen Türk Futbolcular'!S24)</f>
        <v/>
      </c>
      <c r="T922" s="2" t="str">
        <f>IF('Takip Edilen Türk Futbolcular'!T24="","",'Takip Edilen Türk Futbolcular'!T24)</f>
        <v/>
      </c>
      <c r="U922" t="s">
        <v>935</v>
      </c>
      <c r="V922">
        <v>24</v>
      </c>
      <c r="W922" t="str">
        <f ca="1">IF(AND($A922&lt;&gt;"",ISNUMBER($G922),$G922&gt;=TODAY(),$G922&lt;=EDATE(TODAY(),12)),COUNTIFS($G$2:$G$1001,"&gt;="&amp;TODAY(),$G$2:$G$1001,"&lt;"&amp;$G922,$A$2:$A$1001,"&lt;&gt;")+COUNTIFS($G$2:$G922,$G922,$A$2:$A922,"&lt;&gt;"),"")</f>
        <v/>
      </c>
      <c r="X922" t="str">
        <f>IF(AND($A922&lt;&gt;"",ISNUMBER($C922),$C922&gt;=DATE(2003,1,1)),COUNTIFS($C$2:$C922,"&gt;="&amp;DATE(2003,1,1),$A$2:$A922,"&lt;&gt;"),"")</f>
        <v/>
      </c>
    </row>
    <row r="923" spans="1:24">
      <c r="A923" t="str">
        <f>IF('Takip Edilen Türk Futbolcular'!A25="","",'Takip Edilen Türk Futbolcular'!A25)</f>
        <v/>
      </c>
      <c r="B923" t="str">
        <f>IF('Takip Edilen Türk Futbolcular'!B25="","",'Takip Edilen Türk Futbolcular'!B25)</f>
        <v/>
      </c>
      <c r="C923" s="2" t="str">
        <f>IF('Takip Edilen Türk Futbolcular'!C25="","",'Takip Edilen Türk Futbolcular'!C25)</f>
        <v/>
      </c>
      <c r="D923" t="str">
        <f ca="1">IF('Takip Edilen Türk Futbolcular'!D25="","",'Takip Edilen Türk Futbolcular'!D25)</f>
        <v/>
      </c>
      <c r="E923" t="str">
        <f>IF('Takip Edilen Türk Futbolcular'!E25="","",'Takip Edilen Türk Futbolcular'!E25)</f>
        <v>Forvet</v>
      </c>
      <c r="F923" t="str">
        <f>IF('Takip Edilen Türk Futbolcular'!F25="","",'Takip Edilen Türk Futbolcular'!F25)</f>
        <v/>
      </c>
      <c r="G923" s="2" t="str">
        <f>IF('Takip Edilen Türk Futbolcular'!G25="","",'Takip Edilen Türk Futbolcular'!G25)</f>
        <v/>
      </c>
      <c r="H923" t="str">
        <f>IF('Takip Edilen Türk Futbolcular'!H25="","",'Takip Edilen Türk Futbolcular'!H25)</f>
        <v/>
      </c>
      <c r="I923" t="str">
        <f>IF('Takip Edilen Türk Futbolcular'!A25="","",'Takip Edilen Türk Futbolcular'!I25)</f>
        <v/>
      </c>
      <c r="J923" t="str">
        <f>IF('Takip Edilen Türk Futbolcular'!A25="","",'Takip Edilen Türk Futbolcular'!J25)</f>
        <v/>
      </c>
      <c r="K923" t="str">
        <f>IF('Takip Edilen Türk Futbolcular'!K25="","",'Takip Edilen Türk Futbolcular'!K25)</f>
        <v/>
      </c>
      <c r="L923" t="str">
        <f>IF('Takip Edilen Türk Futbolcular'!L25="","",'Takip Edilen Türk Futbolcular'!L25)</f>
        <v/>
      </c>
      <c r="M923" t="str">
        <f>IF('Takip Edilen Türk Futbolcular'!M25="","",'Takip Edilen Türk Futbolcular'!M25)</f>
        <v/>
      </c>
      <c r="N923" t="str">
        <f>IF('Takip Edilen Türk Futbolcular'!N25="","",'Takip Edilen Türk Futbolcular'!N25)</f>
        <v/>
      </c>
      <c r="O923" t="str">
        <f>IF('Takip Edilen Türk Futbolcular'!O25="","",'Takip Edilen Türk Futbolcular'!O25)</f>
        <v/>
      </c>
      <c r="P923" t="str">
        <f>IF('Takip Edilen Türk Futbolcular'!P25="","",'Takip Edilen Türk Futbolcular'!P25)</f>
        <v/>
      </c>
      <c r="Q923" t="str">
        <f>IF('Takip Edilen Türk Futbolcular'!Q25="","",'Takip Edilen Türk Futbolcular'!Q25)</f>
        <v/>
      </c>
      <c r="R923" t="str">
        <f>IF('Takip Edilen Türk Futbolcular'!R25="","",'Takip Edilen Türk Futbolcular'!R25)</f>
        <v/>
      </c>
      <c r="S923" t="str">
        <f>IF('Takip Edilen Türk Futbolcular'!S25="","",'Takip Edilen Türk Futbolcular'!S25)</f>
        <v/>
      </c>
      <c r="T923" s="2" t="str">
        <f>IF('Takip Edilen Türk Futbolcular'!T25="","",'Takip Edilen Türk Futbolcular'!T25)</f>
        <v/>
      </c>
      <c r="U923" t="s">
        <v>935</v>
      </c>
      <c r="V923">
        <v>25</v>
      </c>
      <c r="W923" t="str">
        <f ca="1">IF(AND($A923&lt;&gt;"",ISNUMBER($G923),$G923&gt;=TODAY(),$G923&lt;=EDATE(TODAY(),12)),COUNTIFS($G$2:$G$1001,"&gt;="&amp;TODAY(),$G$2:$G$1001,"&lt;"&amp;$G923,$A$2:$A$1001,"&lt;&gt;")+COUNTIFS($G$2:$G923,$G923,$A$2:$A923,"&lt;&gt;"),"")</f>
        <v/>
      </c>
      <c r="X923" t="str">
        <f>IF(AND($A923&lt;&gt;"",ISNUMBER($C923),$C923&gt;=DATE(2003,1,1)),COUNTIFS($C$2:$C923,"&gt;="&amp;DATE(2003,1,1),$A$2:$A923,"&lt;&gt;"),"")</f>
        <v/>
      </c>
    </row>
    <row r="924" spans="1:24">
      <c r="A924" t="str">
        <f>IF('Takip Edilen Türk Futbolcular'!A26="","",'Takip Edilen Türk Futbolcular'!A26)</f>
        <v/>
      </c>
      <c r="B924" t="str">
        <f>IF('Takip Edilen Türk Futbolcular'!B26="","",'Takip Edilen Türk Futbolcular'!B26)</f>
        <v/>
      </c>
      <c r="C924" s="2" t="str">
        <f>IF('Takip Edilen Türk Futbolcular'!C26="","",'Takip Edilen Türk Futbolcular'!C26)</f>
        <v/>
      </c>
      <c r="D924" t="str">
        <f ca="1">IF('Takip Edilen Türk Futbolcular'!D26="","",'Takip Edilen Türk Futbolcular'!D26)</f>
        <v/>
      </c>
      <c r="E924" t="str">
        <f>IF('Takip Edilen Türk Futbolcular'!E26="","",'Takip Edilen Türk Futbolcular'!E26)</f>
        <v>Forvet</v>
      </c>
      <c r="F924" t="str">
        <f>IF('Takip Edilen Türk Futbolcular'!F26="","",'Takip Edilen Türk Futbolcular'!F26)</f>
        <v/>
      </c>
      <c r="G924" s="2" t="str">
        <f>IF('Takip Edilen Türk Futbolcular'!G26="","",'Takip Edilen Türk Futbolcular'!G26)</f>
        <v/>
      </c>
      <c r="H924" t="str">
        <f>IF('Takip Edilen Türk Futbolcular'!H26="","",'Takip Edilen Türk Futbolcular'!H26)</f>
        <v/>
      </c>
      <c r="I924" t="str">
        <f>IF('Takip Edilen Türk Futbolcular'!A26="","",'Takip Edilen Türk Futbolcular'!I26)</f>
        <v/>
      </c>
      <c r="J924" t="str">
        <f>IF('Takip Edilen Türk Futbolcular'!A26="","",'Takip Edilen Türk Futbolcular'!J26)</f>
        <v/>
      </c>
      <c r="K924" t="str">
        <f>IF('Takip Edilen Türk Futbolcular'!K26="","",'Takip Edilen Türk Futbolcular'!K26)</f>
        <v/>
      </c>
      <c r="L924" t="str">
        <f>IF('Takip Edilen Türk Futbolcular'!L26="","",'Takip Edilen Türk Futbolcular'!L26)</f>
        <v/>
      </c>
      <c r="M924" t="str">
        <f>IF('Takip Edilen Türk Futbolcular'!M26="","",'Takip Edilen Türk Futbolcular'!M26)</f>
        <v/>
      </c>
      <c r="N924" t="str">
        <f>IF('Takip Edilen Türk Futbolcular'!N26="","",'Takip Edilen Türk Futbolcular'!N26)</f>
        <v/>
      </c>
      <c r="O924" t="str">
        <f>IF('Takip Edilen Türk Futbolcular'!O26="","",'Takip Edilen Türk Futbolcular'!O26)</f>
        <v/>
      </c>
      <c r="P924" t="str">
        <f>IF('Takip Edilen Türk Futbolcular'!P26="","",'Takip Edilen Türk Futbolcular'!P26)</f>
        <v/>
      </c>
      <c r="Q924" t="str">
        <f>IF('Takip Edilen Türk Futbolcular'!Q26="","",'Takip Edilen Türk Futbolcular'!Q26)</f>
        <v/>
      </c>
      <c r="R924" t="str">
        <f>IF('Takip Edilen Türk Futbolcular'!R26="","",'Takip Edilen Türk Futbolcular'!R26)</f>
        <v/>
      </c>
      <c r="S924" t="str">
        <f>IF('Takip Edilen Türk Futbolcular'!S26="","",'Takip Edilen Türk Futbolcular'!S26)</f>
        <v/>
      </c>
      <c r="T924" s="2" t="str">
        <f>IF('Takip Edilen Türk Futbolcular'!T26="","",'Takip Edilen Türk Futbolcular'!T26)</f>
        <v/>
      </c>
      <c r="U924" t="s">
        <v>935</v>
      </c>
      <c r="V924">
        <v>26</v>
      </c>
      <c r="W924" t="str">
        <f ca="1">IF(AND($A924&lt;&gt;"",ISNUMBER($G924),$G924&gt;=TODAY(),$G924&lt;=EDATE(TODAY(),12)),COUNTIFS($G$2:$G$1001,"&gt;="&amp;TODAY(),$G$2:$G$1001,"&lt;"&amp;$G924,$A$2:$A$1001,"&lt;&gt;")+COUNTIFS($G$2:$G924,$G924,$A$2:$A924,"&lt;&gt;"),"")</f>
        <v/>
      </c>
      <c r="X924" t="str">
        <f>IF(AND($A924&lt;&gt;"",ISNUMBER($C924),$C924&gt;=DATE(2003,1,1)),COUNTIFS($C$2:$C924,"&gt;="&amp;DATE(2003,1,1),$A$2:$A924,"&lt;&gt;"),"")</f>
        <v/>
      </c>
    </row>
    <row r="925" spans="1:24">
      <c r="A925" t="str">
        <f>IF('Takip Edilen Türk Futbolcular'!A27="","",'Takip Edilen Türk Futbolcular'!A27)</f>
        <v/>
      </c>
      <c r="B925" t="str">
        <f>IF('Takip Edilen Türk Futbolcular'!B27="","",'Takip Edilen Türk Futbolcular'!B27)</f>
        <v/>
      </c>
      <c r="C925" s="2" t="str">
        <f>IF('Takip Edilen Türk Futbolcular'!C27="","",'Takip Edilen Türk Futbolcular'!C27)</f>
        <v/>
      </c>
      <c r="D925" t="str">
        <f ca="1">IF('Takip Edilen Türk Futbolcular'!D27="","",'Takip Edilen Türk Futbolcular'!D27)</f>
        <v/>
      </c>
      <c r="E925" t="str">
        <f>IF('Takip Edilen Türk Futbolcular'!E27="","",'Takip Edilen Türk Futbolcular'!E27)</f>
        <v>Forvet</v>
      </c>
      <c r="F925" t="str">
        <f>IF('Takip Edilen Türk Futbolcular'!F27="","",'Takip Edilen Türk Futbolcular'!F27)</f>
        <v/>
      </c>
      <c r="G925" s="2" t="str">
        <f>IF('Takip Edilen Türk Futbolcular'!G27="","",'Takip Edilen Türk Futbolcular'!G27)</f>
        <v/>
      </c>
      <c r="H925" t="str">
        <f>IF('Takip Edilen Türk Futbolcular'!H27="","",'Takip Edilen Türk Futbolcular'!H27)</f>
        <v/>
      </c>
      <c r="I925" t="str">
        <f>IF('Takip Edilen Türk Futbolcular'!A27="","",'Takip Edilen Türk Futbolcular'!I27)</f>
        <v/>
      </c>
      <c r="J925" t="str">
        <f>IF('Takip Edilen Türk Futbolcular'!A27="","",'Takip Edilen Türk Futbolcular'!J27)</f>
        <v/>
      </c>
      <c r="K925" t="str">
        <f>IF('Takip Edilen Türk Futbolcular'!K27="","",'Takip Edilen Türk Futbolcular'!K27)</f>
        <v/>
      </c>
      <c r="L925" t="str">
        <f>IF('Takip Edilen Türk Futbolcular'!L27="","",'Takip Edilen Türk Futbolcular'!L27)</f>
        <v/>
      </c>
      <c r="M925" t="str">
        <f>IF('Takip Edilen Türk Futbolcular'!M27="","",'Takip Edilen Türk Futbolcular'!M27)</f>
        <v/>
      </c>
      <c r="N925" t="str">
        <f>IF('Takip Edilen Türk Futbolcular'!N27="","",'Takip Edilen Türk Futbolcular'!N27)</f>
        <v/>
      </c>
      <c r="O925" t="str">
        <f>IF('Takip Edilen Türk Futbolcular'!O27="","",'Takip Edilen Türk Futbolcular'!O27)</f>
        <v/>
      </c>
      <c r="P925" t="str">
        <f>IF('Takip Edilen Türk Futbolcular'!P27="","",'Takip Edilen Türk Futbolcular'!P27)</f>
        <v/>
      </c>
      <c r="Q925" t="str">
        <f>IF('Takip Edilen Türk Futbolcular'!Q27="","",'Takip Edilen Türk Futbolcular'!Q27)</f>
        <v/>
      </c>
      <c r="R925" t="str">
        <f>IF('Takip Edilen Türk Futbolcular'!R27="","",'Takip Edilen Türk Futbolcular'!R27)</f>
        <v/>
      </c>
      <c r="S925" t="str">
        <f>IF('Takip Edilen Türk Futbolcular'!S27="","",'Takip Edilen Türk Futbolcular'!S27)</f>
        <v/>
      </c>
      <c r="T925" s="2" t="str">
        <f>IF('Takip Edilen Türk Futbolcular'!T27="","",'Takip Edilen Türk Futbolcular'!T27)</f>
        <v/>
      </c>
      <c r="U925" t="s">
        <v>935</v>
      </c>
      <c r="V925">
        <v>27</v>
      </c>
      <c r="W925" t="str">
        <f ca="1">IF(AND($A925&lt;&gt;"",ISNUMBER($G925),$G925&gt;=TODAY(),$G925&lt;=EDATE(TODAY(),12)),COUNTIFS($G$2:$G$1001,"&gt;="&amp;TODAY(),$G$2:$G$1001,"&lt;"&amp;$G925,$A$2:$A$1001,"&lt;&gt;")+COUNTIFS($G$2:$G925,$G925,$A$2:$A925,"&lt;&gt;"),"")</f>
        <v/>
      </c>
      <c r="X925" t="str">
        <f>IF(AND($A925&lt;&gt;"",ISNUMBER($C925),$C925&gt;=DATE(2003,1,1)),COUNTIFS($C$2:$C925,"&gt;="&amp;DATE(2003,1,1),$A$2:$A925,"&lt;&gt;"),"")</f>
        <v/>
      </c>
    </row>
    <row r="926" spans="1:24">
      <c r="A926" t="str">
        <f>IF('Takip Edilen Türk Futbolcular'!A28="","",'Takip Edilen Türk Futbolcular'!A28)</f>
        <v/>
      </c>
      <c r="B926" t="str">
        <f>IF('Takip Edilen Türk Futbolcular'!B28="","",'Takip Edilen Türk Futbolcular'!B28)</f>
        <v/>
      </c>
      <c r="C926" s="2" t="str">
        <f>IF('Takip Edilen Türk Futbolcular'!C28="","",'Takip Edilen Türk Futbolcular'!C28)</f>
        <v/>
      </c>
      <c r="D926" t="str">
        <f ca="1">IF('Takip Edilen Türk Futbolcular'!D28="","",'Takip Edilen Türk Futbolcular'!D28)</f>
        <v/>
      </c>
      <c r="E926" t="str">
        <f>IF('Takip Edilen Türk Futbolcular'!E28="","",'Takip Edilen Türk Futbolcular'!E28)</f>
        <v>Forvet</v>
      </c>
      <c r="F926" t="str">
        <f>IF('Takip Edilen Türk Futbolcular'!F28="","",'Takip Edilen Türk Futbolcular'!F28)</f>
        <v/>
      </c>
      <c r="G926" s="2" t="str">
        <f>IF('Takip Edilen Türk Futbolcular'!G28="","",'Takip Edilen Türk Futbolcular'!G28)</f>
        <v/>
      </c>
      <c r="H926" t="str">
        <f>IF('Takip Edilen Türk Futbolcular'!H28="","",'Takip Edilen Türk Futbolcular'!H28)</f>
        <v/>
      </c>
      <c r="I926" t="str">
        <f>IF('Takip Edilen Türk Futbolcular'!A28="","",'Takip Edilen Türk Futbolcular'!I28)</f>
        <v/>
      </c>
      <c r="J926" t="str">
        <f>IF('Takip Edilen Türk Futbolcular'!A28="","",'Takip Edilen Türk Futbolcular'!J28)</f>
        <v/>
      </c>
      <c r="K926" t="str">
        <f>IF('Takip Edilen Türk Futbolcular'!K28="","",'Takip Edilen Türk Futbolcular'!K28)</f>
        <v/>
      </c>
      <c r="L926" t="str">
        <f>IF('Takip Edilen Türk Futbolcular'!L28="","",'Takip Edilen Türk Futbolcular'!L28)</f>
        <v/>
      </c>
      <c r="M926" t="str">
        <f>IF('Takip Edilen Türk Futbolcular'!M28="","",'Takip Edilen Türk Futbolcular'!M28)</f>
        <v/>
      </c>
      <c r="N926" t="str">
        <f>IF('Takip Edilen Türk Futbolcular'!N28="","",'Takip Edilen Türk Futbolcular'!N28)</f>
        <v/>
      </c>
      <c r="O926" t="str">
        <f>IF('Takip Edilen Türk Futbolcular'!O28="","",'Takip Edilen Türk Futbolcular'!O28)</f>
        <v/>
      </c>
      <c r="P926" t="str">
        <f>IF('Takip Edilen Türk Futbolcular'!P28="","",'Takip Edilen Türk Futbolcular'!P28)</f>
        <v/>
      </c>
      <c r="Q926" t="str">
        <f>IF('Takip Edilen Türk Futbolcular'!Q28="","",'Takip Edilen Türk Futbolcular'!Q28)</f>
        <v/>
      </c>
      <c r="R926" t="str">
        <f>IF('Takip Edilen Türk Futbolcular'!R28="","",'Takip Edilen Türk Futbolcular'!R28)</f>
        <v/>
      </c>
      <c r="S926" t="str">
        <f>IF('Takip Edilen Türk Futbolcular'!S28="","",'Takip Edilen Türk Futbolcular'!S28)</f>
        <v/>
      </c>
      <c r="T926" s="2" t="str">
        <f>IF('Takip Edilen Türk Futbolcular'!T28="","",'Takip Edilen Türk Futbolcular'!T28)</f>
        <v/>
      </c>
      <c r="U926" t="s">
        <v>935</v>
      </c>
      <c r="V926">
        <v>28</v>
      </c>
      <c r="W926" t="str">
        <f ca="1">IF(AND($A926&lt;&gt;"",ISNUMBER($G926),$G926&gt;=TODAY(),$G926&lt;=EDATE(TODAY(),12)),COUNTIFS($G$2:$G$1001,"&gt;="&amp;TODAY(),$G$2:$G$1001,"&lt;"&amp;$G926,$A$2:$A$1001,"&lt;&gt;")+COUNTIFS($G$2:$G926,$G926,$A$2:$A926,"&lt;&gt;"),"")</f>
        <v/>
      </c>
      <c r="X926" t="str">
        <f>IF(AND($A926&lt;&gt;"",ISNUMBER($C926),$C926&gt;=DATE(2003,1,1)),COUNTIFS($C$2:$C926,"&gt;="&amp;DATE(2003,1,1),$A$2:$A926,"&lt;&gt;"),"")</f>
        <v/>
      </c>
    </row>
    <row r="927" spans="1:24">
      <c r="A927" t="str">
        <f>IF('Takip Edilen Türk Futbolcular'!A29="","",'Takip Edilen Türk Futbolcular'!A29)</f>
        <v/>
      </c>
      <c r="B927" t="str">
        <f>IF('Takip Edilen Türk Futbolcular'!B29="","",'Takip Edilen Türk Futbolcular'!B29)</f>
        <v/>
      </c>
      <c r="C927" s="2" t="str">
        <f>IF('Takip Edilen Türk Futbolcular'!C29="","",'Takip Edilen Türk Futbolcular'!C29)</f>
        <v/>
      </c>
      <c r="D927" t="str">
        <f ca="1">IF('Takip Edilen Türk Futbolcular'!D29="","",'Takip Edilen Türk Futbolcular'!D29)</f>
        <v/>
      </c>
      <c r="E927" t="str">
        <f>IF('Takip Edilen Türk Futbolcular'!E29="","",'Takip Edilen Türk Futbolcular'!E29)</f>
        <v>Forvet</v>
      </c>
      <c r="F927" t="str">
        <f>IF('Takip Edilen Türk Futbolcular'!F29="","",'Takip Edilen Türk Futbolcular'!F29)</f>
        <v/>
      </c>
      <c r="G927" s="2" t="str">
        <f>IF('Takip Edilen Türk Futbolcular'!G29="","",'Takip Edilen Türk Futbolcular'!G29)</f>
        <v/>
      </c>
      <c r="H927" t="str">
        <f>IF('Takip Edilen Türk Futbolcular'!H29="","",'Takip Edilen Türk Futbolcular'!H29)</f>
        <v/>
      </c>
      <c r="I927" t="str">
        <f>IF('Takip Edilen Türk Futbolcular'!A29="","",'Takip Edilen Türk Futbolcular'!I29)</f>
        <v/>
      </c>
      <c r="J927" t="str">
        <f>IF('Takip Edilen Türk Futbolcular'!A29="","",'Takip Edilen Türk Futbolcular'!J29)</f>
        <v/>
      </c>
      <c r="K927" t="str">
        <f>IF('Takip Edilen Türk Futbolcular'!K29="","",'Takip Edilen Türk Futbolcular'!K29)</f>
        <v/>
      </c>
      <c r="L927" t="str">
        <f>IF('Takip Edilen Türk Futbolcular'!L29="","",'Takip Edilen Türk Futbolcular'!L29)</f>
        <v/>
      </c>
      <c r="M927" t="str">
        <f>IF('Takip Edilen Türk Futbolcular'!M29="","",'Takip Edilen Türk Futbolcular'!M29)</f>
        <v/>
      </c>
      <c r="N927" t="str">
        <f>IF('Takip Edilen Türk Futbolcular'!N29="","",'Takip Edilen Türk Futbolcular'!N29)</f>
        <v/>
      </c>
      <c r="O927" t="str">
        <f>IF('Takip Edilen Türk Futbolcular'!O29="","",'Takip Edilen Türk Futbolcular'!O29)</f>
        <v/>
      </c>
      <c r="P927" t="str">
        <f>IF('Takip Edilen Türk Futbolcular'!P29="","",'Takip Edilen Türk Futbolcular'!P29)</f>
        <v/>
      </c>
      <c r="Q927" t="str">
        <f>IF('Takip Edilen Türk Futbolcular'!Q29="","",'Takip Edilen Türk Futbolcular'!Q29)</f>
        <v/>
      </c>
      <c r="R927" t="str">
        <f>IF('Takip Edilen Türk Futbolcular'!R29="","",'Takip Edilen Türk Futbolcular'!R29)</f>
        <v/>
      </c>
      <c r="S927" t="str">
        <f>IF('Takip Edilen Türk Futbolcular'!S29="","",'Takip Edilen Türk Futbolcular'!S29)</f>
        <v/>
      </c>
      <c r="T927" s="2" t="str">
        <f>IF('Takip Edilen Türk Futbolcular'!T29="","",'Takip Edilen Türk Futbolcular'!T29)</f>
        <v/>
      </c>
      <c r="U927" t="s">
        <v>935</v>
      </c>
      <c r="V927">
        <v>29</v>
      </c>
      <c r="W927" t="str">
        <f ca="1">IF(AND($A927&lt;&gt;"",ISNUMBER($G927),$G927&gt;=TODAY(),$G927&lt;=EDATE(TODAY(),12)),COUNTIFS($G$2:$G$1001,"&gt;="&amp;TODAY(),$G$2:$G$1001,"&lt;"&amp;$G927,$A$2:$A$1001,"&lt;&gt;")+COUNTIFS($G$2:$G927,$G927,$A$2:$A927,"&lt;&gt;"),"")</f>
        <v/>
      </c>
      <c r="X927" t="str">
        <f>IF(AND($A927&lt;&gt;"",ISNUMBER($C927),$C927&gt;=DATE(2003,1,1)),COUNTIFS($C$2:$C927,"&gt;="&amp;DATE(2003,1,1),$A$2:$A927,"&lt;&gt;"),"")</f>
        <v/>
      </c>
    </row>
    <row r="928" spans="1:24">
      <c r="A928" t="str">
        <f>IF('Takip Edilen Türk Futbolcular'!A30="","",'Takip Edilen Türk Futbolcular'!A30)</f>
        <v/>
      </c>
      <c r="B928" t="str">
        <f>IF('Takip Edilen Türk Futbolcular'!B30="","",'Takip Edilen Türk Futbolcular'!B30)</f>
        <v/>
      </c>
      <c r="C928" s="2" t="str">
        <f>IF('Takip Edilen Türk Futbolcular'!C30="","",'Takip Edilen Türk Futbolcular'!C30)</f>
        <v/>
      </c>
      <c r="D928" t="str">
        <f ca="1">IF('Takip Edilen Türk Futbolcular'!D30="","",'Takip Edilen Türk Futbolcular'!D30)</f>
        <v/>
      </c>
      <c r="E928" t="str">
        <f>IF('Takip Edilen Türk Futbolcular'!E30="","",'Takip Edilen Türk Futbolcular'!E30)</f>
        <v>Forvet</v>
      </c>
      <c r="F928" t="str">
        <f>IF('Takip Edilen Türk Futbolcular'!F30="","",'Takip Edilen Türk Futbolcular'!F30)</f>
        <v/>
      </c>
      <c r="G928" s="2" t="str">
        <f>IF('Takip Edilen Türk Futbolcular'!G30="","",'Takip Edilen Türk Futbolcular'!G30)</f>
        <v/>
      </c>
      <c r="H928" t="str">
        <f>IF('Takip Edilen Türk Futbolcular'!H30="","",'Takip Edilen Türk Futbolcular'!H30)</f>
        <v/>
      </c>
      <c r="I928" t="str">
        <f>IF('Takip Edilen Türk Futbolcular'!A30="","",'Takip Edilen Türk Futbolcular'!I30)</f>
        <v/>
      </c>
      <c r="J928" t="str">
        <f>IF('Takip Edilen Türk Futbolcular'!A30="","",'Takip Edilen Türk Futbolcular'!J30)</f>
        <v/>
      </c>
      <c r="K928" t="str">
        <f>IF('Takip Edilen Türk Futbolcular'!K30="","",'Takip Edilen Türk Futbolcular'!K30)</f>
        <v/>
      </c>
      <c r="L928" t="str">
        <f>IF('Takip Edilen Türk Futbolcular'!L30="","",'Takip Edilen Türk Futbolcular'!L30)</f>
        <v/>
      </c>
      <c r="M928" t="str">
        <f>IF('Takip Edilen Türk Futbolcular'!M30="","",'Takip Edilen Türk Futbolcular'!M30)</f>
        <v/>
      </c>
      <c r="N928" t="str">
        <f>IF('Takip Edilen Türk Futbolcular'!N30="","",'Takip Edilen Türk Futbolcular'!N30)</f>
        <v/>
      </c>
      <c r="O928" t="str">
        <f>IF('Takip Edilen Türk Futbolcular'!O30="","",'Takip Edilen Türk Futbolcular'!O30)</f>
        <v/>
      </c>
      <c r="P928" t="str">
        <f>IF('Takip Edilen Türk Futbolcular'!P30="","",'Takip Edilen Türk Futbolcular'!P30)</f>
        <v/>
      </c>
      <c r="Q928" t="str">
        <f>IF('Takip Edilen Türk Futbolcular'!Q30="","",'Takip Edilen Türk Futbolcular'!Q30)</f>
        <v/>
      </c>
      <c r="R928" t="str">
        <f>IF('Takip Edilen Türk Futbolcular'!R30="","",'Takip Edilen Türk Futbolcular'!R30)</f>
        <v/>
      </c>
      <c r="S928" t="str">
        <f>IF('Takip Edilen Türk Futbolcular'!S30="","",'Takip Edilen Türk Futbolcular'!S30)</f>
        <v/>
      </c>
      <c r="T928" s="2" t="str">
        <f>IF('Takip Edilen Türk Futbolcular'!T30="","",'Takip Edilen Türk Futbolcular'!T30)</f>
        <v/>
      </c>
      <c r="U928" t="s">
        <v>935</v>
      </c>
      <c r="V928">
        <v>30</v>
      </c>
      <c r="W928" t="str">
        <f ca="1">IF(AND($A928&lt;&gt;"",ISNUMBER($G928),$G928&gt;=TODAY(),$G928&lt;=EDATE(TODAY(),12)),COUNTIFS($G$2:$G$1001,"&gt;="&amp;TODAY(),$G$2:$G$1001,"&lt;"&amp;$G928,$A$2:$A$1001,"&lt;&gt;")+COUNTIFS($G$2:$G928,$G928,$A$2:$A928,"&lt;&gt;"),"")</f>
        <v/>
      </c>
      <c r="X928" t="str">
        <f>IF(AND($A928&lt;&gt;"",ISNUMBER($C928),$C928&gt;=DATE(2003,1,1)),COUNTIFS($C$2:$C928,"&gt;="&amp;DATE(2003,1,1),$A$2:$A928,"&lt;&gt;"),"")</f>
        <v/>
      </c>
    </row>
    <row r="929" spans="1:24">
      <c r="A929" t="str">
        <f>IF('Takip Edilen Türk Futbolcular'!A31="","",'Takip Edilen Türk Futbolcular'!A31)</f>
        <v/>
      </c>
      <c r="B929" t="str">
        <f>IF('Takip Edilen Türk Futbolcular'!B31="","",'Takip Edilen Türk Futbolcular'!B31)</f>
        <v/>
      </c>
      <c r="C929" s="2" t="str">
        <f>IF('Takip Edilen Türk Futbolcular'!C31="","",'Takip Edilen Türk Futbolcular'!C31)</f>
        <v/>
      </c>
      <c r="D929" t="str">
        <f ca="1">IF('Takip Edilen Türk Futbolcular'!D31="","",'Takip Edilen Türk Futbolcular'!D31)</f>
        <v/>
      </c>
      <c r="E929" t="str">
        <f>IF('Takip Edilen Türk Futbolcular'!E31="","",'Takip Edilen Türk Futbolcular'!E31)</f>
        <v>Forvet</v>
      </c>
      <c r="F929" t="str">
        <f>IF('Takip Edilen Türk Futbolcular'!F31="","",'Takip Edilen Türk Futbolcular'!F31)</f>
        <v/>
      </c>
      <c r="G929" s="2" t="str">
        <f>IF('Takip Edilen Türk Futbolcular'!G31="","",'Takip Edilen Türk Futbolcular'!G31)</f>
        <v/>
      </c>
      <c r="H929" t="str">
        <f>IF('Takip Edilen Türk Futbolcular'!H31="","",'Takip Edilen Türk Futbolcular'!H31)</f>
        <v/>
      </c>
      <c r="I929" t="str">
        <f>IF('Takip Edilen Türk Futbolcular'!A31="","",'Takip Edilen Türk Futbolcular'!I31)</f>
        <v/>
      </c>
      <c r="J929" t="str">
        <f>IF('Takip Edilen Türk Futbolcular'!A31="","",'Takip Edilen Türk Futbolcular'!J31)</f>
        <v/>
      </c>
      <c r="K929" t="str">
        <f>IF('Takip Edilen Türk Futbolcular'!K31="","",'Takip Edilen Türk Futbolcular'!K31)</f>
        <v/>
      </c>
      <c r="L929" t="str">
        <f>IF('Takip Edilen Türk Futbolcular'!L31="","",'Takip Edilen Türk Futbolcular'!L31)</f>
        <v/>
      </c>
      <c r="M929" t="str">
        <f>IF('Takip Edilen Türk Futbolcular'!M31="","",'Takip Edilen Türk Futbolcular'!M31)</f>
        <v/>
      </c>
      <c r="N929" t="str">
        <f>IF('Takip Edilen Türk Futbolcular'!N31="","",'Takip Edilen Türk Futbolcular'!N31)</f>
        <v/>
      </c>
      <c r="O929" t="str">
        <f>IF('Takip Edilen Türk Futbolcular'!O31="","",'Takip Edilen Türk Futbolcular'!O31)</f>
        <v/>
      </c>
      <c r="P929" t="str">
        <f>IF('Takip Edilen Türk Futbolcular'!P31="","",'Takip Edilen Türk Futbolcular'!P31)</f>
        <v/>
      </c>
      <c r="Q929" t="str">
        <f>IF('Takip Edilen Türk Futbolcular'!Q31="","",'Takip Edilen Türk Futbolcular'!Q31)</f>
        <v/>
      </c>
      <c r="R929" t="str">
        <f>IF('Takip Edilen Türk Futbolcular'!R31="","",'Takip Edilen Türk Futbolcular'!R31)</f>
        <v/>
      </c>
      <c r="S929" t="str">
        <f>IF('Takip Edilen Türk Futbolcular'!S31="","",'Takip Edilen Türk Futbolcular'!S31)</f>
        <v/>
      </c>
      <c r="T929" s="2" t="str">
        <f>IF('Takip Edilen Türk Futbolcular'!T31="","",'Takip Edilen Türk Futbolcular'!T31)</f>
        <v/>
      </c>
      <c r="U929" t="s">
        <v>935</v>
      </c>
      <c r="V929">
        <v>31</v>
      </c>
      <c r="W929" t="str">
        <f ca="1">IF(AND($A929&lt;&gt;"",ISNUMBER($G929),$G929&gt;=TODAY(),$G929&lt;=EDATE(TODAY(),12)),COUNTIFS($G$2:$G$1001,"&gt;="&amp;TODAY(),$G$2:$G$1001,"&lt;"&amp;$G929,$A$2:$A$1001,"&lt;&gt;")+COUNTIFS($G$2:$G929,$G929,$A$2:$A929,"&lt;&gt;"),"")</f>
        <v/>
      </c>
      <c r="X929" t="str">
        <f>IF(AND($A929&lt;&gt;"",ISNUMBER($C929),$C929&gt;=DATE(2003,1,1)),COUNTIFS($C$2:$C929,"&gt;="&amp;DATE(2003,1,1),$A$2:$A929,"&lt;&gt;"),"")</f>
        <v/>
      </c>
    </row>
    <row r="930" spans="1:24">
      <c r="A930" t="str">
        <f>IF('Takip Edilen Türk Futbolcular'!A32="","",'Takip Edilen Türk Futbolcular'!A32)</f>
        <v/>
      </c>
      <c r="B930" t="str">
        <f>IF('Takip Edilen Türk Futbolcular'!B32="","",'Takip Edilen Türk Futbolcular'!B32)</f>
        <v/>
      </c>
      <c r="C930" s="2" t="str">
        <f>IF('Takip Edilen Türk Futbolcular'!C32="","",'Takip Edilen Türk Futbolcular'!C32)</f>
        <v/>
      </c>
      <c r="D930" t="str">
        <f ca="1">IF('Takip Edilen Türk Futbolcular'!D32="","",'Takip Edilen Türk Futbolcular'!D32)</f>
        <v/>
      </c>
      <c r="E930" t="str">
        <f>IF('Takip Edilen Türk Futbolcular'!E32="","",'Takip Edilen Türk Futbolcular'!E32)</f>
        <v>Forvet</v>
      </c>
      <c r="F930" t="str">
        <f>IF('Takip Edilen Türk Futbolcular'!F32="","",'Takip Edilen Türk Futbolcular'!F32)</f>
        <v/>
      </c>
      <c r="G930" s="2" t="str">
        <f>IF('Takip Edilen Türk Futbolcular'!G32="","",'Takip Edilen Türk Futbolcular'!G32)</f>
        <v/>
      </c>
      <c r="H930" t="str">
        <f>IF('Takip Edilen Türk Futbolcular'!H32="","",'Takip Edilen Türk Futbolcular'!H32)</f>
        <v/>
      </c>
      <c r="I930" t="str">
        <f>IF('Takip Edilen Türk Futbolcular'!A32="","",'Takip Edilen Türk Futbolcular'!I32)</f>
        <v/>
      </c>
      <c r="J930" t="str">
        <f>IF('Takip Edilen Türk Futbolcular'!A32="","",'Takip Edilen Türk Futbolcular'!J32)</f>
        <v/>
      </c>
      <c r="K930" t="str">
        <f>IF('Takip Edilen Türk Futbolcular'!K32="","",'Takip Edilen Türk Futbolcular'!K32)</f>
        <v/>
      </c>
      <c r="L930" t="str">
        <f>IF('Takip Edilen Türk Futbolcular'!L32="","",'Takip Edilen Türk Futbolcular'!L32)</f>
        <v/>
      </c>
      <c r="M930" t="str">
        <f>IF('Takip Edilen Türk Futbolcular'!M32="","",'Takip Edilen Türk Futbolcular'!M32)</f>
        <v/>
      </c>
      <c r="N930" t="str">
        <f>IF('Takip Edilen Türk Futbolcular'!N32="","",'Takip Edilen Türk Futbolcular'!N32)</f>
        <v/>
      </c>
      <c r="O930" t="str">
        <f>IF('Takip Edilen Türk Futbolcular'!O32="","",'Takip Edilen Türk Futbolcular'!O32)</f>
        <v/>
      </c>
      <c r="P930" t="str">
        <f>IF('Takip Edilen Türk Futbolcular'!P32="","",'Takip Edilen Türk Futbolcular'!P32)</f>
        <v/>
      </c>
      <c r="Q930" t="str">
        <f>IF('Takip Edilen Türk Futbolcular'!Q32="","",'Takip Edilen Türk Futbolcular'!Q32)</f>
        <v/>
      </c>
      <c r="R930" t="str">
        <f>IF('Takip Edilen Türk Futbolcular'!R32="","",'Takip Edilen Türk Futbolcular'!R32)</f>
        <v/>
      </c>
      <c r="S930" t="str">
        <f>IF('Takip Edilen Türk Futbolcular'!S32="","",'Takip Edilen Türk Futbolcular'!S32)</f>
        <v/>
      </c>
      <c r="T930" s="2" t="str">
        <f>IF('Takip Edilen Türk Futbolcular'!T32="","",'Takip Edilen Türk Futbolcular'!T32)</f>
        <v/>
      </c>
      <c r="U930" t="s">
        <v>935</v>
      </c>
      <c r="V930">
        <v>32</v>
      </c>
      <c r="W930" t="str">
        <f ca="1">IF(AND($A930&lt;&gt;"",ISNUMBER($G930),$G930&gt;=TODAY(),$G930&lt;=EDATE(TODAY(),12)),COUNTIFS($G$2:$G$1001,"&gt;="&amp;TODAY(),$G$2:$G$1001,"&lt;"&amp;$G930,$A$2:$A$1001,"&lt;&gt;")+COUNTIFS($G$2:$G930,$G930,$A$2:$A930,"&lt;&gt;"),"")</f>
        <v/>
      </c>
      <c r="X930" t="str">
        <f>IF(AND($A930&lt;&gt;"",ISNUMBER($C930),$C930&gt;=DATE(2003,1,1)),COUNTIFS($C$2:$C930,"&gt;="&amp;DATE(2003,1,1),$A$2:$A930,"&lt;&gt;"),"")</f>
        <v/>
      </c>
    </row>
    <row r="931" spans="1:24">
      <c r="A931" t="str">
        <f>IF('Takip Edilen Türk Futbolcular'!A33="","",'Takip Edilen Türk Futbolcular'!A33)</f>
        <v/>
      </c>
      <c r="B931" t="str">
        <f>IF('Takip Edilen Türk Futbolcular'!B33="","",'Takip Edilen Türk Futbolcular'!B33)</f>
        <v/>
      </c>
      <c r="C931" s="2" t="str">
        <f>IF('Takip Edilen Türk Futbolcular'!C33="","",'Takip Edilen Türk Futbolcular'!C33)</f>
        <v/>
      </c>
      <c r="D931" t="str">
        <f ca="1">IF('Takip Edilen Türk Futbolcular'!D33="","",'Takip Edilen Türk Futbolcular'!D33)</f>
        <v/>
      </c>
      <c r="E931" t="str">
        <f>IF('Takip Edilen Türk Futbolcular'!E33="","",'Takip Edilen Türk Futbolcular'!E33)</f>
        <v>Forvet</v>
      </c>
      <c r="F931" t="str">
        <f>IF('Takip Edilen Türk Futbolcular'!F33="","",'Takip Edilen Türk Futbolcular'!F33)</f>
        <v/>
      </c>
      <c r="G931" s="2" t="str">
        <f>IF('Takip Edilen Türk Futbolcular'!G33="","",'Takip Edilen Türk Futbolcular'!G33)</f>
        <v/>
      </c>
      <c r="H931" t="str">
        <f>IF('Takip Edilen Türk Futbolcular'!H33="","",'Takip Edilen Türk Futbolcular'!H33)</f>
        <v/>
      </c>
      <c r="I931" t="str">
        <f>IF('Takip Edilen Türk Futbolcular'!A33="","",'Takip Edilen Türk Futbolcular'!I33)</f>
        <v/>
      </c>
      <c r="J931" t="str">
        <f>IF('Takip Edilen Türk Futbolcular'!A33="","",'Takip Edilen Türk Futbolcular'!J33)</f>
        <v/>
      </c>
      <c r="K931" t="str">
        <f>IF('Takip Edilen Türk Futbolcular'!K33="","",'Takip Edilen Türk Futbolcular'!K33)</f>
        <v/>
      </c>
      <c r="L931" t="str">
        <f>IF('Takip Edilen Türk Futbolcular'!L33="","",'Takip Edilen Türk Futbolcular'!L33)</f>
        <v/>
      </c>
      <c r="M931" t="str">
        <f>IF('Takip Edilen Türk Futbolcular'!M33="","",'Takip Edilen Türk Futbolcular'!M33)</f>
        <v/>
      </c>
      <c r="N931" t="str">
        <f>IF('Takip Edilen Türk Futbolcular'!N33="","",'Takip Edilen Türk Futbolcular'!N33)</f>
        <v/>
      </c>
      <c r="O931" t="str">
        <f>IF('Takip Edilen Türk Futbolcular'!O33="","",'Takip Edilen Türk Futbolcular'!O33)</f>
        <v/>
      </c>
      <c r="P931" t="str">
        <f>IF('Takip Edilen Türk Futbolcular'!P33="","",'Takip Edilen Türk Futbolcular'!P33)</f>
        <v/>
      </c>
      <c r="Q931" t="str">
        <f>IF('Takip Edilen Türk Futbolcular'!Q33="","",'Takip Edilen Türk Futbolcular'!Q33)</f>
        <v/>
      </c>
      <c r="R931" t="str">
        <f>IF('Takip Edilen Türk Futbolcular'!R33="","",'Takip Edilen Türk Futbolcular'!R33)</f>
        <v/>
      </c>
      <c r="S931" t="str">
        <f>IF('Takip Edilen Türk Futbolcular'!S33="","",'Takip Edilen Türk Futbolcular'!S33)</f>
        <v/>
      </c>
      <c r="T931" s="2" t="str">
        <f>IF('Takip Edilen Türk Futbolcular'!T33="","",'Takip Edilen Türk Futbolcular'!T33)</f>
        <v/>
      </c>
      <c r="U931" t="s">
        <v>935</v>
      </c>
      <c r="V931">
        <v>33</v>
      </c>
      <c r="W931" t="str">
        <f ca="1">IF(AND($A931&lt;&gt;"",ISNUMBER($G931),$G931&gt;=TODAY(),$G931&lt;=EDATE(TODAY(),12)),COUNTIFS($G$2:$G$1001,"&gt;="&amp;TODAY(),$G$2:$G$1001,"&lt;"&amp;$G931,$A$2:$A$1001,"&lt;&gt;")+COUNTIFS($G$2:$G931,$G931,$A$2:$A931,"&lt;&gt;"),"")</f>
        <v/>
      </c>
      <c r="X931" t="str">
        <f>IF(AND($A931&lt;&gt;"",ISNUMBER($C931),$C931&gt;=DATE(2003,1,1)),COUNTIFS($C$2:$C931,"&gt;="&amp;DATE(2003,1,1),$A$2:$A931,"&lt;&gt;"),"")</f>
        <v/>
      </c>
    </row>
    <row r="932" spans="1:24">
      <c r="A932" t="str">
        <f>IF('Takip Edilen Türk Futbolcular'!A34="","",'Takip Edilen Türk Futbolcular'!A34)</f>
        <v/>
      </c>
      <c r="B932" t="str">
        <f>IF('Takip Edilen Türk Futbolcular'!B34="","",'Takip Edilen Türk Futbolcular'!B34)</f>
        <v/>
      </c>
      <c r="C932" s="2" t="str">
        <f>IF('Takip Edilen Türk Futbolcular'!C34="","",'Takip Edilen Türk Futbolcular'!C34)</f>
        <v/>
      </c>
      <c r="D932" t="str">
        <f ca="1">IF('Takip Edilen Türk Futbolcular'!D34="","",'Takip Edilen Türk Futbolcular'!D34)</f>
        <v/>
      </c>
      <c r="E932" t="str">
        <f>IF('Takip Edilen Türk Futbolcular'!E34="","",'Takip Edilen Türk Futbolcular'!E34)</f>
        <v>Forvet</v>
      </c>
      <c r="F932" t="str">
        <f>IF('Takip Edilen Türk Futbolcular'!F34="","",'Takip Edilen Türk Futbolcular'!F34)</f>
        <v/>
      </c>
      <c r="G932" s="2" t="str">
        <f>IF('Takip Edilen Türk Futbolcular'!G34="","",'Takip Edilen Türk Futbolcular'!G34)</f>
        <v/>
      </c>
      <c r="H932" t="str">
        <f>IF('Takip Edilen Türk Futbolcular'!H34="","",'Takip Edilen Türk Futbolcular'!H34)</f>
        <v/>
      </c>
      <c r="I932" t="str">
        <f>IF('Takip Edilen Türk Futbolcular'!A34="","",'Takip Edilen Türk Futbolcular'!I34)</f>
        <v/>
      </c>
      <c r="J932" t="str">
        <f>IF('Takip Edilen Türk Futbolcular'!A34="","",'Takip Edilen Türk Futbolcular'!J34)</f>
        <v/>
      </c>
      <c r="K932" t="str">
        <f>IF('Takip Edilen Türk Futbolcular'!K34="","",'Takip Edilen Türk Futbolcular'!K34)</f>
        <v/>
      </c>
      <c r="L932" t="str">
        <f>IF('Takip Edilen Türk Futbolcular'!L34="","",'Takip Edilen Türk Futbolcular'!L34)</f>
        <v/>
      </c>
      <c r="M932" t="str">
        <f>IF('Takip Edilen Türk Futbolcular'!M34="","",'Takip Edilen Türk Futbolcular'!M34)</f>
        <v/>
      </c>
      <c r="N932" t="str">
        <f>IF('Takip Edilen Türk Futbolcular'!N34="","",'Takip Edilen Türk Futbolcular'!N34)</f>
        <v/>
      </c>
      <c r="O932" t="str">
        <f>IF('Takip Edilen Türk Futbolcular'!O34="","",'Takip Edilen Türk Futbolcular'!O34)</f>
        <v/>
      </c>
      <c r="P932" t="str">
        <f>IF('Takip Edilen Türk Futbolcular'!P34="","",'Takip Edilen Türk Futbolcular'!P34)</f>
        <v/>
      </c>
      <c r="Q932" t="str">
        <f>IF('Takip Edilen Türk Futbolcular'!Q34="","",'Takip Edilen Türk Futbolcular'!Q34)</f>
        <v/>
      </c>
      <c r="R932" t="str">
        <f>IF('Takip Edilen Türk Futbolcular'!R34="","",'Takip Edilen Türk Futbolcular'!R34)</f>
        <v/>
      </c>
      <c r="S932" t="str">
        <f>IF('Takip Edilen Türk Futbolcular'!S34="","",'Takip Edilen Türk Futbolcular'!S34)</f>
        <v/>
      </c>
      <c r="T932" s="2" t="str">
        <f>IF('Takip Edilen Türk Futbolcular'!T34="","",'Takip Edilen Türk Futbolcular'!T34)</f>
        <v/>
      </c>
      <c r="U932" t="s">
        <v>935</v>
      </c>
      <c r="V932">
        <v>34</v>
      </c>
      <c r="W932" t="str">
        <f ca="1">IF(AND($A932&lt;&gt;"",ISNUMBER($G932),$G932&gt;=TODAY(),$G932&lt;=EDATE(TODAY(),12)),COUNTIFS($G$2:$G$1001,"&gt;="&amp;TODAY(),$G$2:$G$1001,"&lt;"&amp;$G932,$A$2:$A$1001,"&lt;&gt;")+COUNTIFS($G$2:$G932,$G932,$A$2:$A932,"&lt;&gt;"),"")</f>
        <v/>
      </c>
      <c r="X932" t="str">
        <f>IF(AND($A932&lt;&gt;"",ISNUMBER($C932),$C932&gt;=DATE(2003,1,1)),COUNTIFS($C$2:$C932,"&gt;="&amp;DATE(2003,1,1),$A$2:$A932,"&lt;&gt;"),"")</f>
        <v/>
      </c>
    </row>
    <row r="933" spans="1:24">
      <c r="A933" t="str">
        <f>IF('Takip Edilen Türk Futbolcular'!A35="","",'Takip Edilen Türk Futbolcular'!A35)</f>
        <v/>
      </c>
      <c r="B933" t="str">
        <f>IF('Takip Edilen Türk Futbolcular'!B35="","",'Takip Edilen Türk Futbolcular'!B35)</f>
        <v/>
      </c>
      <c r="C933" s="2" t="str">
        <f>IF('Takip Edilen Türk Futbolcular'!C35="","",'Takip Edilen Türk Futbolcular'!C35)</f>
        <v/>
      </c>
      <c r="D933" t="str">
        <f ca="1">IF('Takip Edilen Türk Futbolcular'!D35="","",'Takip Edilen Türk Futbolcular'!D35)</f>
        <v/>
      </c>
      <c r="E933" t="str">
        <f>IF('Takip Edilen Türk Futbolcular'!E35="","",'Takip Edilen Türk Futbolcular'!E35)</f>
        <v>Forvet</v>
      </c>
      <c r="F933" t="str">
        <f>IF('Takip Edilen Türk Futbolcular'!F35="","",'Takip Edilen Türk Futbolcular'!F35)</f>
        <v/>
      </c>
      <c r="G933" s="2" t="str">
        <f>IF('Takip Edilen Türk Futbolcular'!G35="","",'Takip Edilen Türk Futbolcular'!G35)</f>
        <v/>
      </c>
      <c r="H933" t="str">
        <f>IF('Takip Edilen Türk Futbolcular'!H35="","",'Takip Edilen Türk Futbolcular'!H35)</f>
        <v/>
      </c>
      <c r="I933" t="str">
        <f>IF('Takip Edilen Türk Futbolcular'!A35="","",'Takip Edilen Türk Futbolcular'!I35)</f>
        <v/>
      </c>
      <c r="J933" t="str">
        <f>IF('Takip Edilen Türk Futbolcular'!A35="","",'Takip Edilen Türk Futbolcular'!J35)</f>
        <v/>
      </c>
      <c r="K933" t="str">
        <f>IF('Takip Edilen Türk Futbolcular'!K35="","",'Takip Edilen Türk Futbolcular'!K35)</f>
        <v/>
      </c>
      <c r="L933" t="str">
        <f>IF('Takip Edilen Türk Futbolcular'!L35="","",'Takip Edilen Türk Futbolcular'!L35)</f>
        <v/>
      </c>
      <c r="M933" t="str">
        <f>IF('Takip Edilen Türk Futbolcular'!M35="","",'Takip Edilen Türk Futbolcular'!M35)</f>
        <v/>
      </c>
      <c r="N933" t="str">
        <f>IF('Takip Edilen Türk Futbolcular'!N35="","",'Takip Edilen Türk Futbolcular'!N35)</f>
        <v/>
      </c>
      <c r="O933" t="str">
        <f>IF('Takip Edilen Türk Futbolcular'!O35="","",'Takip Edilen Türk Futbolcular'!O35)</f>
        <v/>
      </c>
      <c r="P933" t="str">
        <f>IF('Takip Edilen Türk Futbolcular'!P35="","",'Takip Edilen Türk Futbolcular'!P35)</f>
        <v/>
      </c>
      <c r="Q933" t="str">
        <f>IF('Takip Edilen Türk Futbolcular'!Q35="","",'Takip Edilen Türk Futbolcular'!Q35)</f>
        <v/>
      </c>
      <c r="R933" t="str">
        <f>IF('Takip Edilen Türk Futbolcular'!R35="","",'Takip Edilen Türk Futbolcular'!R35)</f>
        <v/>
      </c>
      <c r="S933" t="str">
        <f>IF('Takip Edilen Türk Futbolcular'!S35="","",'Takip Edilen Türk Futbolcular'!S35)</f>
        <v/>
      </c>
      <c r="T933" s="2" t="str">
        <f>IF('Takip Edilen Türk Futbolcular'!T35="","",'Takip Edilen Türk Futbolcular'!T35)</f>
        <v/>
      </c>
      <c r="U933" t="s">
        <v>935</v>
      </c>
      <c r="V933">
        <v>35</v>
      </c>
      <c r="W933" t="str">
        <f ca="1">IF(AND($A933&lt;&gt;"",ISNUMBER($G933),$G933&gt;=TODAY(),$G933&lt;=EDATE(TODAY(),12)),COUNTIFS($G$2:$G$1001,"&gt;="&amp;TODAY(),$G$2:$G$1001,"&lt;"&amp;$G933,$A$2:$A$1001,"&lt;&gt;")+COUNTIFS($G$2:$G933,$G933,$A$2:$A933,"&lt;&gt;"),"")</f>
        <v/>
      </c>
      <c r="X933" t="str">
        <f>IF(AND($A933&lt;&gt;"",ISNUMBER($C933),$C933&gt;=DATE(2003,1,1)),COUNTIFS($C$2:$C933,"&gt;="&amp;DATE(2003,1,1),$A$2:$A933,"&lt;&gt;"),"")</f>
        <v/>
      </c>
    </row>
    <row r="934" spans="1:24">
      <c r="A934" t="str">
        <f>IF('Takip Edilen Türk Futbolcular'!A36="","",'Takip Edilen Türk Futbolcular'!A36)</f>
        <v/>
      </c>
      <c r="B934" t="str">
        <f>IF('Takip Edilen Türk Futbolcular'!B36="","",'Takip Edilen Türk Futbolcular'!B36)</f>
        <v/>
      </c>
      <c r="C934" s="2" t="str">
        <f>IF('Takip Edilen Türk Futbolcular'!C36="","",'Takip Edilen Türk Futbolcular'!C36)</f>
        <v/>
      </c>
      <c r="D934" t="str">
        <f ca="1">IF('Takip Edilen Türk Futbolcular'!D36="","",'Takip Edilen Türk Futbolcular'!D36)</f>
        <v/>
      </c>
      <c r="E934" t="str">
        <f>IF('Takip Edilen Türk Futbolcular'!E36="","",'Takip Edilen Türk Futbolcular'!E36)</f>
        <v>Forvet</v>
      </c>
      <c r="F934" t="str">
        <f>IF('Takip Edilen Türk Futbolcular'!F36="","",'Takip Edilen Türk Futbolcular'!F36)</f>
        <v/>
      </c>
      <c r="G934" s="2" t="str">
        <f>IF('Takip Edilen Türk Futbolcular'!G36="","",'Takip Edilen Türk Futbolcular'!G36)</f>
        <v/>
      </c>
      <c r="H934" t="str">
        <f>IF('Takip Edilen Türk Futbolcular'!H36="","",'Takip Edilen Türk Futbolcular'!H36)</f>
        <v/>
      </c>
      <c r="I934" t="str">
        <f>IF('Takip Edilen Türk Futbolcular'!A36="","",'Takip Edilen Türk Futbolcular'!I36)</f>
        <v/>
      </c>
      <c r="J934" t="str">
        <f>IF('Takip Edilen Türk Futbolcular'!A36="","",'Takip Edilen Türk Futbolcular'!J36)</f>
        <v/>
      </c>
      <c r="K934" t="str">
        <f>IF('Takip Edilen Türk Futbolcular'!K36="","",'Takip Edilen Türk Futbolcular'!K36)</f>
        <v/>
      </c>
      <c r="L934" t="str">
        <f>IF('Takip Edilen Türk Futbolcular'!L36="","",'Takip Edilen Türk Futbolcular'!L36)</f>
        <v/>
      </c>
      <c r="M934" t="str">
        <f>IF('Takip Edilen Türk Futbolcular'!M36="","",'Takip Edilen Türk Futbolcular'!M36)</f>
        <v/>
      </c>
      <c r="N934" t="str">
        <f>IF('Takip Edilen Türk Futbolcular'!N36="","",'Takip Edilen Türk Futbolcular'!N36)</f>
        <v/>
      </c>
      <c r="O934" t="str">
        <f>IF('Takip Edilen Türk Futbolcular'!O36="","",'Takip Edilen Türk Futbolcular'!O36)</f>
        <v/>
      </c>
      <c r="P934" t="str">
        <f>IF('Takip Edilen Türk Futbolcular'!P36="","",'Takip Edilen Türk Futbolcular'!P36)</f>
        <v/>
      </c>
      <c r="Q934" t="str">
        <f>IF('Takip Edilen Türk Futbolcular'!Q36="","",'Takip Edilen Türk Futbolcular'!Q36)</f>
        <v/>
      </c>
      <c r="R934" t="str">
        <f>IF('Takip Edilen Türk Futbolcular'!R36="","",'Takip Edilen Türk Futbolcular'!R36)</f>
        <v/>
      </c>
      <c r="S934" t="str">
        <f>IF('Takip Edilen Türk Futbolcular'!S36="","",'Takip Edilen Türk Futbolcular'!S36)</f>
        <v/>
      </c>
      <c r="T934" s="2" t="str">
        <f>IF('Takip Edilen Türk Futbolcular'!T36="","",'Takip Edilen Türk Futbolcular'!T36)</f>
        <v/>
      </c>
      <c r="U934" t="s">
        <v>935</v>
      </c>
      <c r="V934">
        <v>36</v>
      </c>
      <c r="W934" t="str">
        <f ca="1">IF(AND($A934&lt;&gt;"",ISNUMBER($G934),$G934&gt;=TODAY(),$G934&lt;=EDATE(TODAY(),12)),COUNTIFS($G$2:$G$1001,"&gt;="&amp;TODAY(),$G$2:$G$1001,"&lt;"&amp;$G934,$A$2:$A$1001,"&lt;&gt;")+COUNTIFS($G$2:$G934,$G934,$A$2:$A934,"&lt;&gt;"),"")</f>
        <v/>
      </c>
      <c r="X934" t="str">
        <f>IF(AND($A934&lt;&gt;"",ISNUMBER($C934),$C934&gt;=DATE(2003,1,1)),COUNTIFS($C$2:$C934,"&gt;="&amp;DATE(2003,1,1),$A$2:$A934,"&lt;&gt;"),"")</f>
        <v/>
      </c>
    </row>
    <row r="935" spans="1:24">
      <c r="A935" t="str">
        <f>IF('Takip Edilen Türk Futbolcular'!A37="","",'Takip Edilen Türk Futbolcular'!A37)</f>
        <v/>
      </c>
      <c r="B935" t="str">
        <f>IF('Takip Edilen Türk Futbolcular'!B37="","",'Takip Edilen Türk Futbolcular'!B37)</f>
        <v/>
      </c>
      <c r="C935" s="2" t="str">
        <f>IF('Takip Edilen Türk Futbolcular'!C37="","",'Takip Edilen Türk Futbolcular'!C37)</f>
        <v/>
      </c>
      <c r="D935" t="str">
        <f ca="1">IF('Takip Edilen Türk Futbolcular'!D37="","",'Takip Edilen Türk Futbolcular'!D37)</f>
        <v/>
      </c>
      <c r="E935" t="str">
        <f>IF('Takip Edilen Türk Futbolcular'!E37="","",'Takip Edilen Türk Futbolcular'!E37)</f>
        <v>Forvet</v>
      </c>
      <c r="F935" t="str">
        <f>IF('Takip Edilen Türk Futbolcular'!F37="","",'Takip Edilen Türk Futbolcular'!F37)</f>
        <v/>
      </c>
      <c r="G935" s="2" t="str">
        <f>IF('Takip Edilen Türk Futbolcular'!G37="","",'Takip Edilen Türk Futbolcular'!G37)</f>
        <v/>
      </c>
      <c r="H935" t="str">
        <f>IF('Takip Edilen Türk Futbolcular'!H37="","",'Takip Edilen Türk Futbolcular'!H37)</f>
        <v/>
      </c>
      <c r="I935" t="str">
        <f>IF('Takip Edilen Türk Futbolcular'!A37="","",'Takip Edilen Türk Futbolcular'!I37)</f>
        <v/>
      </c>
      <c r="J935" t="str">
        <f>IF('Takip Edilen Türk Futbolcular'!A37="","",'Takip Edilen Türk Futbolcular'!J37)</f>
        <v/>
      </c>
      <c r="K935" t="str">
        <f>IF('Takip Edilen Türk Futbolcular'!K37="","",'Takip Edilen Türk Futbolcular'!K37)</f>
        <v/>
      </c>
      <c r="L935" t="str">
        <f>IF('Takip Edilen Türk Futbolcular'!L37="","",'Takip Edilen Türk Futbolcular'!L37)</f>
        <v/>
      </c>
      <c r="M935" t="str">
        <f>IF('Takip Edilen Türk Futbolcular'!M37="","",'Takip Edilen Türk Futbolcular'!M37)</f>
        <v/>
      </c>
      <c r="N935" t="str">
        <f>IF('Takip Edilen Türk Futbolcular'!N37="","",'Takip Edilen Türk Futbolcular'!N37)</f>
        <v/>
      </c>
      <c r="O935" t="str">
        <f>IF('Takip Edilen Türk Futbolcular'!O37="","",'Takip Edilen Türk Futbolcular'!O37)</f>
        <v/>
      </c>
      <c r="P935" t="str">
        <f>IF('Takip Edilen Türk Futbolcular'!P37="","",'Takip Edilen Türk Futbolcular'!P37)</f>
        <v/>
      </c>
      <c r="Q935" t="str">
        <f>IF('Takip Edilen Türk Futbolcular'!Q37="","",'Takip Edilen Türk Futbolcular'!Q37)</f>
        <v/>
      </c>
      <c r="R935" t="str">
        <f>IF('Takip Edilen Türk Futbolcular'!R37="","",'Takip Edilen Türk Futbolcular'!R37)</f>
        <v/>
      </c>
      <c r="S935" t="str">
        <f>IF('Takip Edilen Türk Futbolcular'!S37="","",'Takip Edilen Türk Futbolcular'!S37)</f>
        <v/>
      </c>
      <c r="T935" s="2" t="str">
        <f>IF('Takip Edilen Türk Futbolcular'!T37="","",'Takip Edilen Türk Futbolcular'!T37)</f>
        <v/>
      </c>
      <c r="U935" t="s">
        <v>935</v>
      </c>
      <c r="V935">
        <v>37</v>
      </c>
      <c r="W935" t="str">
        <f ca="1">IF(AND($A935&lt;&gt;"",ISNUMBER($G935),$G935&gt;=TODAY(),$G935&lt;=EDATE(TODAY(),12)),COUNTIFS($G$2:$G$1001,"&gt;="&amp;TODAY(),$G$2:$G$1001,"&lt;"&amp;$G935,$A$2:$A$1001,"&lt;&gt;")+COUNTIFS($G$2:$G935,$G935,$A$2:$A935,"&lt;&gt;"),"")</f>
        <v/>
      </c>
      <c r="X935" t="str">
        <f>IF(AND($A935&lt;&gt;"",ISNUMBER($C935),$C935&gt;=DATE(2003,1,1)),COUNTIFS($C$2:$C935,"&gt;="&amp;DATE(2003,1,1),$A$2:$A935,"&lt;&gt;"),"")</f>
        <v/>
      </c>
    </row>
    <row r="936" spans="1:24">
      <c r="A936" t="str">
        <f>IF('Takip Edilen Türk Futbolcular'!A38="","",'Takip Edilen Türk Futbolcular'!A38)</f>
        <v/>
      </c>
      <c r="B936" t="str">
        <f>IF('Takip Edilen Türk Futbolcular'!B38="","",'Takip Edilen Türk Futbolcular'!B38)</f>
        <v/>
      </c>
      <c r="C936" s="2" t="str">
        <f>IF('Takip Edilen Türk Futbolcular'!C38="","",'Takip Edilen Türk Futbolcular'!C38)</f>
        <v/>
      </c>
      <c r="D936" t="str">
        <f ca="1">IF('Takip Edilen Türk Futbolcular'!D38="","",'Takip Edilen Türk Futbolcular'!D38)</f>
        <v/>
      </c>
      <c r="E936" t="str">
        <f>IF('Takip Edilen Türk Futbolcular'!E38="","",'Takip Edilen Türk Futbolcular'!E38)</f>
        <v>Forvet</v>
      </c>
      <c r="F936" t="str">
        <f>IF('Takip Edilen Türk Futbolcular'!F38="","",'Takip Edilen Türk Futbolcular'!F38)</f>
        <v/>
      </c>
      <c r="G936" s="2" t="str">
        <f>IF('Takip Edilen Türk Futbolcular'!G38="","",'Takip Edilen Türk Futbolcular'!G38)</f>
        <v/>
      </c>
      <c r="H936" t="str">
        <f>IF('Takip Edilen Türk Futbolcular'!H38="","",'Takip Edilen Türk Futbolcular'!H38)</f>
        <v/>
      </c>
      <c r="I936" t="str">
        <f>IF('Takip Edilen Türk Futbolcular'!A38="","",'Takip Edilen Türk Futbolcular'!I38)</f>
        <v/>
      </c>
      <c r="J936" t="str">
        <f>IF('Takip Edilen Türk Futbolcular'!A38="","",'Takip Edilen Türk Futbolcular'!J38)</f>
        <v/>
      </c>
      <c r="K936" t="str">
        <f>IF('Takip Edilen Türk Futbolcular'!K38="","",'Takip Edilen Türk Futbolcular'!K38)</f>
        <v/>
      </c>
      <c r="L936" t="str">
        <f>IF('Takip Edilen Türk Futbolcular'!L38="","",'Takip Edilen Türk Futbolcular'!L38)</f>
        <v/>
      </c>
      <c r="M936" t="str">
        <f>IF('Takip Edilen Türk Futbolcular'!M38="","",'Takip Edilen Türk Futbolcular'!M38)</f>
        <v/>
      </c>
      <c r="N936" t="str">
        <f>IF('Takip Edilen Türk Futbolcular'!N38="","",'Takip Edilen Türk Futbolcular'!N38)</f>
        <v/>
      </c>
      <c r="O936" t="str">
        <f>IF('Takip Edilen Türk Futbolcular'!O38="","",'Takip Edilen Türk Futbolcular'!O38)</f>
        <v/>
      </c>
      <c r="P936" t="str">
        <f>IF('Takip Edilen Türk Futbolcular'!P38="","",'Takip Edilen Türk Futbolcular'!P38)</f>
        <v/>
      </c>
      <c r="Q936" t="str">
        <f>IF('Takip Edilen Türk Futbolcular'!Q38="","",'Takip Edilen Türk Futbolcular'!Q38)</f>
        <v/>
      </c>
      <c r="R936" t="str">
        <f>IF('Takip Edilen Türk Futbolcular'!R38="","",'Takip Edilen Türk Futbolcular'!R38)</f>
        <v/>
      </c>
      <c r="S936" t="str">
        <f>IF('Takip Edilen Türk Futbolcular'!S38="","",'Takip Edilen Türk Futbolcular'!S38)</f>
        <v/>
      </c>
      <c r="T936" s="2" t="str">
        <f>IF('Takip Edilen Türk Futbolcular'!T38="","",'Takip Edilen Türk Futbolcular'!T38)</f>
        <v/>
      </c>
      <c r="U936" t="s">
        <v>935</v>
      </c>
      <c r="V936">
        <v>38</v>
      </c>
      <c r="W936" t="str">
        <f ca="1">IF(AND($A936&lt;&gt;"",ISNUMBER($G936),$G936&gt;=TODAY(),$G936&lt;=EDATE(TODAY(),12)),COUNTIFS($G$2:$G$1001,"&gt;="&amp;TODAY(),$G$2:$G$1001,"&lt;"&amp;$G936,$A$2:$A$1001,"&lt;&gt;")+COUNTIFS($G$2:$G936,$G936,$A$2:$A936,"&lt;&gt;"),"")</f>
        <v/>
      </c>
      <c r="X936" t="str">
        <f>IF(AND($A936&lt;&gt;"",ISNUMBER($C936),$C936&gt;=DATE(2003,1,1)),COUNTIFS($C$2:$C936,"&gt;="&amp;DATE(2003,1,1),$A$2:$A936,"&lt;&gt;"),"")</f>
        <v/>
      </c>
    </row>
    <row r="937" spans="1:24">
      <c r="A937" t="str">
        <f>IF('Takip Edilen Türk Futbolcular'!A39="","",'Takip Edilen Türk Futbolcular'!A39)</f>
        <v/>
      </c>
      <c r="B937" t="str">
        <f>IF('Takip Edilen Türk Futbolcular'!B39="","",'Takip Edilen Türk Futbolcular'!B39)</f>
        <v/>
      </c>
      <c r="C937" s="2" t="str">
        <f>IF('Takip Edilen Türk Futbolcular'!C39="","",'Takip Edilen Türk Futbolcular'!C39)</f>
        <v/>
      </c>
      <c r="D937" t="str">
        <f ca="1">IF('Takip Edilen Türk Futbolcular'!D39="","",'Takip Edilen Türk Futbolcular'!D39)</f>
        <v/>
      </c>
      <c r="E937" t="str">
        <f>IF('Takip Edilen Türk Futbolcular'!E39="","",'Takip Edilen Türk Futbolcular'!E39)</f>
        <v>Forvet</v>
      </c>
      <c r="F937" t="str">
        <f>IF('Takip Edilen Türk Futbolcular'!F39="","",'Takip Edilen Türk Futbolcular'!F39)</f>
        <v/>
      </c>
      <c r="G937" s="2" t="str">
        <f>IF('Takip Edilen Türk Futbolcular'!G39="","",'Takip Edilen Türk Futbolcular'!G39)</f>
        <v/>
      </c>
      <c r="H937" t="str">
        <f>IF('Takip Edilen Türk Futbolcular'!H39="","",'Takip Edilen Türk Futbolcular'!H39)</f>
        <v/>
      </c>
      <c r="I937" t="str">
        <f>IF('Takip Edilen Türk Futbolcular'!A39="","",'Takip Edilen Türk Futbolcular'!I39)</f>
        <v/>
      </c>
      <c r="J937" t="str">
        <f>IF('Takip Edilen Türk Futbolcular'!A39="","",'Takip Edilen Türk Futbolcular'!J39)</f>
        <v/>
      </c>
      <c r="K937" t="str">
        <f>IF('Takip Edilen Türk Futbolcular'!K39="","",'Takip Edilen Türk Futbolcular'!K39)</f>
        <v/>
      </c>
      <c r="L937" t="str">
        <f>IF('Takip Edilen Türk Futbolcular'!L39="","",'Takip Edilen Türk Futbolcular'!L39)</f>
        <v/>
      </c>
      <c r="M937" t="str">
        <f>IF('Takip Edilen Türk Futbolcular'!M39="","",'Takip Edilen Türk Futbolcular'!M39)</f>
        <v/>
      </c>
      <c r="N937" t="str">
        <f>IF('Takip Edilen Türk Futbolcular'!N39="","",'Takip Edilen Türk Futbolcular'!N39)</f>
        <v/>
      </c>
      <c r="O937" t="str">
        <f>IF('Takip Edilen Türk Futbolcular'!O39="","",'Takip Edilen Türk Futbolcular'!O39)</f>
        <v/>
      </c>
      <c r="P937" t="str">
        <f>IF('Takip Edilen Türk Futbolcular'!P39="","",'Takip Edilen Türk Futbolcular'!P39)</f>
        <v/>
      </c>
      <c r="Q937" t="str">
        <f>IF('Takip Edilen Türk Futbolcular'!Q39="","",'Takip Edilen Türk Futbolcular'!Q39)</f>
        <v/>
      </c>
      <c r="R937" t="str">
        <f>IF('Takip Edilen Türk Futbolcular'!R39="","",'Takip Edilen Türk Futbolcular'!R39)</f>
        <v/>
      </c>
      <c r="S937" t="str">
        <f>IF('Takip Edilen Türk Futbolcular'!S39="","",'Takip Edilen Türk Futbolcular'!S39)</f>
        <v/>
      </c>
      <c r="T937" s="2" t="str">
        <f>IF('Takip Edilen Türk Futbolcular'!T39="","",'Takip Edilen Türk Futbolcular'!T39)</f>
        <v/>
      </c>
      <c r="U937" t="s">
        <v>935</v>
      </c>
      <c r="V937">
        <v>39</v>
      </c>
      <c r="W937" t="str">
        <f ca="1">IF(AND($A937&lt;&gt;"",ISNUMBER($G937),$G937&gt;=TODAY(),$G937&lt;=EDATE(TODAY(),12)),COUNTIFS($G$2:$G$1001,"&gt;="&amp;TODAY(),$G$2:$G$1001,"&lt;"&amp;$G937,$A$2:$A$1001,"&lt;&gt;")+COUNTIFS($G$2:$G937,$G937,$A$2:$A937,"&lt;&gt;"),"")</f>
        <v/>
      </c>
      <c r="X937" t="str">
        <f>IF(AND($A937&lt;&gt;"",ISNUMBER($C937),$C937&gt;=DATE(2003,1,1)),COUNTIFS($C$2:$C937,"&gt;="&amp;DATE(2003,1,1),$A$2:$A937,"&lt;&gt;"),"")</f>
        <v/>
      </c>
    </row>
    <row r="938" spans="1:24">
      <c r="A938" t="str">
        <f>IF('Takip Edilen Türk Futbolcular'!A40="","",'Takip Edilen Türk Futbolcular'!A40)</f>
        <v/>
      </c>
      <c r="B938" t="str">
        <f>IF('Takip Edilen Türk Futbolcular'!B40="","",'Takip Edilen Türk Futbolcular'!B40)</f>
        <v/>
      </c>
      <c r="C938" s="2" t="str">
        <f>IF('Takip Edilen Türk Futbolcular'!C40="","",'Takip Edilen Türk Futbolcular'!C40)</f>
        <v/>
      </c>
      <c r="D938" t="str">
        <f ca="1">IF('Takip Edilen Türk Futbolcular'!D40="","",'Takip Edilen Türk Futbolcular'!D40)</f>
        <v/>
      </c>
      <c r="E938" t="str">
        <f>IF('Takip Edilen Türk Futbolcular'!E40="","",'Takip Edilen Türk Futbolcular'!E40)</f>
        <v>Forvet</v>
      </c>
      <c r="F938" t="str">
        <f>IF('Takip Edilen Türk Futbolcular'!F40="","",'Takip Edilen Türk Futbolcular'!F40)</f>
        <v/>
      </c>
      <c r="G938" s="2" t="str">
        <f>IF('Takip Edilen Türk Futbolcular'!G40="","",'Takip Edilen Türk Futbolcular'!G40)</f>
        <v/>
      </c>
      <c r="H938" t="str">
        <f>IF('Takip Edilen Türk Futbolcular'!H40="","",'Takip Edilen Türk Futbolcular'!H40)</f>
        <v/>
      </c>
      <c r="I938" t="str">
        <f>IF('Takip Edilen Türk Futbolcular'!A40="","",'Takip Edilen Türk Futbolcular'!I40)</f>
        <v/>
      </c>
      <c r="J938" t="str">
        <f>IF('Takip Edilen Türk Futbolcular'!A40="","",'Takip Edilen Türk Futbolcular'!J40)</f>
        <v/>
      </c>
      <c r="K938" t="str">
        <f>IF('Takip Edilen Türk Futbolcular'!K40="","",'Takip Edilen Türk Futbolcular'!K40)</f>
        <v/>
      </c>
      <c r="L938" t="str">
        <f>IF('Takip Edilen Türk Futbolcular'!L40="","",'Takip Edilen Türk Futbolcular'!L40)</f>
        <v/>
      </c>
      <c r="M938" t="str">
        <f>IF('Takip Edilen Türk Futbolcular'!M40="","",'Takip Edilen Türk Futbolcular'!M40)</f>
        <v/>
      </c>
      <c r="N938" t="str">
        <f>IF('Takip Edilen Türk Futbolcular'!N40="","",'Takip Edilen Türk Futbolcular'!N40)</f>
        <v/>
      </c>
      <c r="O938" t="str">
        <f>IF('Takip Edilen Türk Futbolcular'!O40="","",'Takip Edilen Türk Futbolcular'!O40)</f>
        <v/>
      </c>
      <c r="P938" t="str">
        <f>IF('Takip Edilen Türk Futbolcular'!P40="","",'Takip Edilen Türk Futbolcular'!P40)</f>
        <v/>
      </c>
      <c r="Q938" t="str">
        <f>IF('Takip Edilen Türk Futbolcular'!Q40="","",'Takip Edilen Türk Futbolcular'!Q40)</f>
        <v/>
      </c>
      <c r="R938" t="str">
        <f>IF('Takip Edilen Türk Futbolcular'!R40="","",'Takip Edilen Türk Futbolcular'!R40)</f>
        <v/>
      </c>
      <c r="S938" t="str">
        <f>IF('Takip Edilen Türk Futbolcular'!S40="","",'Takip Edilen Türk Futbolcular'!S40)</f>
        <v/>
      </c>
      <c r="T938" s="2" t="str">
        <f>IF('Takip Edilen Türk Futbolcular'!T40="","",'Takip Edilen Türk Futbolcular'!T40)</f>
        <v/>
      </c>
      <c r="U938" t="s">
        <v>935</v>
      </c>
      <c r="V938">
        <v>40</v>
      </c>
      <c r="W938" t="str">
        <f ca="1">IF(AND($A938&lt;&gt;"",ISNUMBER($G938),$G938&gt;=TODAY(),$G938&lt;=EDATE(TODAY(),12)),COUNTIFS($G$2:$G$1001,"&gt;="&amp;TODAY(),$G$2:$G$1001,"&lt;"&amp;$G938,$A$2:$A$1001,"&lt;&gt;")+COUNTIFS($G$2:$G938,$G938,$A$2:$A938,"&lt;&gt;"),"")</f>
        <v/>
      </c>
      <c r="X938" t="str">
        <f>IF(AND($A938&lt;&gt;"",ISNUMBER($C938),$C938&gt;=DATE(2003,1,1)),COUNTIFS($C$2:$C938,"&gt;="&amp;DATE(2003,1,1),$A$2:$A938,"&lt;&gt;"),"")</f>
        <v/>
      </c>
    </row>
    <row r="939" spans="1:24">
      <c r="A939" t="str">
        <f>IF('Takip Edilen Türk Futbolcular'!A41="","",'Takip Edilen Türk Futbolcular'!A41)</f>
        <v/>
      </c>
      <c r="B939" t="str">
        <f>IF('Takip Edilen Türk Futbolcular'!B41="","",'Takip Edilen Türk Futbolcular'!B41)</f>
        <v/>
      </c>
      <c r="C939" s="2" t="str">
        <f>IF('Takip Edilen Türk Futbolcular'!C41="","",'Takip Edilen Türk Futbolcular'!C41)</f>
        <v/>
      </c>
      <c r="D939" t="str">
        <f ca="1">IF('Takip Edilen Türk Futbolcular'!D41="","",'Takip Edilen Türk Futbolcular'!D41)</f>
        <v/>
      </c>
      <c r="E939" t="str">
        <f>IF('Takip Edilen Türk Futbolcular'!E41="","",'Takip Edilen Türk Futbolcular'!E41)</f>
        <v>Forvet</v>
      </c>
      <c r="F939" t="str">
        <f>IF('Takip Edilen Türk Futbolcular'!F41="","",'Takip Edilen Türk Futbolcular'!F41)</f>
        <v/>
      </c>
      <c r="G939" s="2" t="str">
        <f>IF('Takip Edilen Türk Futbolcular'!G41="","",'Takip Edilen Türk Futbolcular'!G41)</f>
        <v/>
      </c>
      <c r="H939" t="str">
        <f>IF('Takip Edilen Türk Futbolcular'!H41="","",'Takip Edilen Türk Futbolcular'!H41)</f>
        <v/>
      </c>
      <c r="I939" t="str">
        <f>IF('Takip Edilen Türk Futbolcular'!A41="","",'Takip Edilen Türk Futbolcular'!I41)</f>
        <v/>
      </c>
      <c r="J939" t="str">
        <f>IF('Takip Edilen Türk Futbolcular'!A41="","",'Takip Edilen Türk Futbolcular'!J41)</f>
        <v/>
      </c>
      <c r="K939" t="str">
        <f>IF('Takip Edilen Türk Futbolcular'!K41="","",'Takip Edilen Türk Futbolcular'!K41)</f>
        <v/>
      </c>
      <c r="L939" t="str">
        <f>IF('Takip Edilen Türk Futbolcular'!L41="","",'Takip Edilen Türk Futbolcular'!L41)</f>
        <v/>
      </c>
      <c r="M939" t="str">
        <f>IF('Takip Edilen Türk Futbolcular'!M41="","",'Takip Edilen Türk Futbolcular'!M41)</f>
        <v/>
      </c>
      <c r="N939" t="str">
        <f>IF('Takip Edilen Türk Futbolcular'!N41="","",'Takip Edilen Türk Futbolcular'!N41)</f>
        <v/>
      </c>
      <c r="O939" t="str">
        <f>IF('Takip Edilen Türk Futbolcular'!O41="","",'Takip Edilen Türk Futbolcular'!O41)</f>
        <v/>
      </c>
      <c r="P939" t="str">
        <f>IF('Takip Edilen Türk Futbolcular'!P41="","",'Takip Edilen Türk Futbolcular'!P41)</f>
        <v/>
      </c>
      <c r="Q939" t="str">
        <f>IF('Takip Edilen Türk Futbolcular'!Q41="","",'Takip Edilen Türk Futbolcular'!Q41)</f>
        <v/>
      </c>
      <c r="R939" t="str">
        <f>IF('Takip Edilen Türk Futbolcular'!R41="","",'Takip Edilen Türk Futbolcular'!R41)</f>
        <v/>
      </c>
      <c r="S939" t="str">
        <f>IF('Takip Edilen Türk Futbolcular'!S41="","",'Takip Edilen Türk Futbolcular'!S41)</f>
        <v/>
      </c>
      <c r="T939" s="2" t="str">
        <f>IF('Takip Edilen Türk Futbolcular'!T41="","",'Takip Edilen Türk Futbolcular'!T41)</f>
        <v/>
      </c>
      <c r="U939" t="s">
        <v>935</v>
      </c>
      <c r="V939">
        <v>41</v>
      </c>
      <c r="W939" t="str">
        <f ca="1">IF(AND($A939&lt;&gt;"",ISNUMBER($G939),$G939&gt;=TODAY(),$G939&lt;=EDATE(TODAY(),12)),COUNTIFS($G$2:$G$1001,"&gt;="&amp;TODAY(),$G$2:$G$1001,"&lt;"&amp;$G939,$A$2:$A$1001,"&lt;&gt;")+COUNTIFS($G$2:$G939,$G939,$A$2:$A939,"&lt;&gt;"),"")</f>
        <v/>
      </c>
      <c r="X939" t="str">
        <f>IF(AND($A939&lt;&gt;"",ISNUMBER($C939),$C939&gt;=DATE(2003,1,1)),COUNTIFS($C$2:$C939,"&gt;="&amp;DATE(2003,1,1),$A$2:$A939,"&lt;&gt;"),"")</f>
        <v/>
      </c>
    </row>
    <row r="940" spans="1:24">
      <c r="A940" t="str">
        <f>IF('Takip Edilen Türk Futbolcular'!A42="","",'Takip Edilen Türk Futbolcular'!A42)</f>
        <v/>
      </c>
      <c r="B940" t="str">
        <f>IF('Takip Edilen Türk Futbolcular'!B42="","",'Takip Edilen Türk Futbolcular'!B42)</f>
        <v/>
      </c>
      <c r="C940" s="2" t="str">
        <f>IF('Takip Edilen Türk Futbolcular'!C42="","",'Takip Edilen Türk Futbolcular'!C42)</f>
        <v/>
      </c>
      <c r="D940" t="str">
        <f ca="1">IF('Takip Edilen Türk Futbolcular'!D42="","",'Takip Edilen Türk Futbolcular'!D42)</f>
        <v/>
      </c>
      <c r="E940" t="str">
        <f>IF('Takip Edilen Türk Futbolcular'!E42="","",'Takip Edilen Türk Futbolcular'!E42)</f>
        <v>Forvet</v>
      </c>
      <c r="F940" t="str">
        <f>IF('Takip Edilen Türk Futbolcular'!F42="","",'Takip Edilen Türk Futbolcular'!F42)</f>
        <v/>
      </c>
      <c r="G940" s="2" t="str">
        <f>IF('Takip Edilen Türk Futbolcular'!G42="","",'Takip Edilen Türk Futbolcular'!G42)</f>
        <v/>
      </c>
      <c r="H940" t="str">
        <f>IF('Takip Edilen Türk Futbolcular'!H42="","",'Takip Edilen Türk Futbolcular'!H42)</f>
        <v/>
      </c>
      <c r="I940" t="str">
        <f>IF('Takip Edilen Türk Futbolcular'!A42="","",'Takip Edilen Türk Futbolcular'!I42)</f>
        <v/>
      </c>
      <c r="J940" t="str">
        <f>IF('Takip Edilen Türk Futbolcular'!A42="","",'Takip Edilen Türk Futbolcular'!J42)</f>
        <v/>
      </c>
      <c r="K940" t="str">
        <f>IF('Takip Edilen Türk Futbolcular'!K42="","",'Takip Edilen Türk Futbolcular'!K42)</f>
        <v/>
      </c>
      <c r="L940" t="str">
        <f>IF('Takip Edilen Türk Futbolcular'!L42="","",'Takip Edilen Türk Futbolcular'!L42)</f>
        <v/>
      </c>
      <c r="M940" t="str">
        <f>IF('Takip Edilen Türk Futbolcular'!M42="","",'Takip Edilen Türk Futbolcular'!M42)</f>
        <v/>
      </c>
      <c r="N940" t="str">
        <f>IF('Takip Edilen Türk Futbolcular'!N42="","",'Takip Edilen Türk Futbolcular'!N42)</f>
        <v/>
      </c>
      <c r="O940" t="str">
        <f>IF('Takip Edilen Türk Futbolcular'!O42="","",'Takip Edilen Türk Futbolcular'!O42)</f>
        <v/>
      </c>
      <c r="P940" t="str">
        <f>IF('Takip Edilen Türk Futbolcular'!P42="","",'Takip Edilen Türk Futbolcular'!P42)</f>
        <v/>
      </c>
      <c r="Q940" t="str">
        <f>IF('Takip Edilen Türk Futbolcular'!Q42="","",'Takip Edilen Türk Futbolcular'!Q42)</f>
        <v/>
      </c>
      <c r="R940" t="str">
        <f>IF('Takip Edilen Türk Futbolcular'!R42="","",'Takip Edilen Türk Futbolcular'!R42)</f>
        <v/>
      </c>
      <c r="S940" t="str">
        <f>IF('Takip Edilen Türk Futbolcular'!S42="","",'Takip Edilen Türk Futbolcular'!S42)</f>
        <v/>
      </c>
      <c r="T940" s="2" t="str">
        <f>IF('Takip Edilen Türk Futbolcular'!T42="","",'Takip Edilen Türk Futbolcular'!T42)</f>
        <v/>
      </c>
      <c r="U940" t="s">
        <v>935</v>
      </c>
      <c r="V940">
        <v>42</v>
      </c>
      <c r="W940" t="str">
        <f ca="1">IF(AND($A940&lt;&gt;"",ISNUMBER($G940),$G940&gt;=TODAY(),$G940&lt;=EDATE(TODAY(),12)),COUNTIFS($G$2:$G$1001,"&gt;="&amp;TODAY(),$G$2:$G$1001,"&lt;"&amp;$G940,$A$2:$A$1001,"&lt;&gt;")+COUNTIFS($G$2:$G940,$G940,$A$2:$A940,"&lt;&gt;"),"")</f>
        <v/>
      </c>
      <c r="X940" t="str">
        <f>IF(AND($A940&lt;&gt;"",ISNUMBER($C940),$C940&gt;=DATE(2003,1,1)),COUNTIFS($C$2:$C940,"&gt;="&amp;DATE(2003,1,1),$A$2:$A940,"&lt;&gt;"),"")</f>
        <v/>
      </c>
    </row>
    <row r="941" spans="1:24">
      <c r="A941" t="str">
        <f>IF('Takip Edilen Türk Futbolcular'!A43="","",'Takip Edilen Türk Futbolcular'!A43)</f>
        <v/>
      </c>
      <c r="B941" t="str">
        <f>IF('Takip Edilen Türk Futbolcular'!B43="","",'Takip Edilen Türk Futbolcular'!B43)</f>
        <v/>
      </c>
      <c r="C941" s="2" t="str">
        <f>IF('Takip Edilen Türk Futbolcular'!C43="","",'Takip Edilen Türk Futbolcular'!C43)</f>
        <v/>
      </c>
      <c r="D941" t="str">
        <f ca="1">IF('Takip Edilen Türk Futbolcular'!D43="","",'Takip Edilen Türk Futbolcular'!D43)</f>
        <v/>
      </c>
      <c r="E941" t="str">
        <f>IF('Takip Edilen Türk Futbolcular'!E43="","",'Takip Edilen Türk Futbolcular'!E43)</f>
        <v>Forvet</v>
      </c>
      <c r="F941" t="str">
        <f>IF('Takip Edilen Türk Futbolcular'!F43="","",'Takip Edilen Türk Futbolcular'!F43)</f>
        <v/>
      </c>
      <c r="G941" s="2" t="str">
        <f>IF('Takip Edilen Türk Futbolcular'!G43="","",'Takip Edilen Türk Futbolcular'!G43)</f>
        <v/>
      </c>
      <c r="H941" t="str">
        <f>IF('Takip Edilen Türk Futbolcular'!H43="","",'Takip Edilen Türk Futbolcular'!H43)</f>
        <v/>
      </c>
      <c r="I941" t="str">
        <f>IF('Takip Edilen Türk Futbolcular'!A43="","",'Takip Edilen Türk Futbolcular'!I43)</f>
        <v/>
      </c>
      <c r="J941" t="str">
        <f>IF('Takip Edilen Türk Futbolcular'!A43="","",'Takip Edilen Türk Futbolcular'!J43)</f>
        <v/>
      </c>
      <c r="K941" t="str">
        <f>IF('Takip Edilen Türk Futbolcular'!K43="","",'Takip Edilen Türk Futbolcular'!K43)</f>
        <v/>
      </c>
      <c r="L941" t="str">
        <f>IF('Takip Edilen Türk Futbolcular'!L43="","",'Takip Edilen Türk Futbolcular'!L43)</f>
        <v/>
      </c>
      <c r="M941" t="str">
        <f>IF('Takip Edilen Türk Futbolcular'!M43="","",'Takip Edilen Türk Futbolcular'!M43)</f>
        <v/>
      </c>
      <c r="N941" t="str">
        <f>IF('Takip Edilen Türk Futbolcular'!N43="","",'Takip Edilen Türk Futbolcular'!N43)</f>
        <v/>
      </c>
      <c r="O941" t="str">
        <f>IF('Takip Edilen Türk Futbolcular'!O43="","",'Takip Edilen Türk Futbolcular'!O43)</f>
        <v/>
      </c>
      <c r="P941" t="str">
        <f>IF('Takip Edilen Türk Futbolcular'!P43="","",'Takip Edilen Türk Futbolcular'!P43)</f>
        <v/>
      </c>
      <c r="Q941" t="str">
        <f>IF('Takip Edilen Türk Futbolcular'!Q43="","",'Takip Edilen Türk Futbolcular'!Q43)</f>
        <v/>
      </c>
      <c r="R941" t="str">
        <f>IF('Takip Edilen Türk Futbolcular'!R43="","",'Takip Edilen Türk Futbolcular'!R43)</f>
        <v/>
      </c>
      <c r="S941" t="str">
        <f>IF('Takip Edilen Türk Futbolcular'!S43="","",'Takip Edilen Türk Futbolcular'!S43)</f>
        <v/>
      </c>
      <c r="T941" s="2" t="str">
        <f>IF('Takip Edilen Türk Futbolcular'!T43="","",'Takip Edilen Türk Futbolcular'!T43)</f>
        <v/>
      </c>
      <c r="U941" t="s">
        <v>935</v>
      </c>
      <c r="V941">
        <v>43</v>
      </c>
      <c r="W941" t="str">
        <f ca="1">IF(AND($A941&lt;&gt;"",ISNUMBER($G941),$G941&gt;=TODAY(),$G941&lt;=EDATE(TODAY(),12)),COUNTIFS($G$2:$G$1001,"&gt;="&amp;TODAY(),$G$2:$G$1001,"&lt;"&amp;$G941,$A$2:$A$1001,"&lt;&gt;")+COUNTIFS($G$2:$G941,$G941,$A$2:$A941,"&lt;&gt;"),"")</f>
        <v/>
      </c>
      <c r="X941" t="str">
        <f>IF(AND($A941&lt;&gt;"",ISNUMBER($C941),$C941&gt;=DATE(2003,1,1)),COUNTIFS($C$2:$C941,"&gt;="&amp;DATE(2003,1,1),$A$2:$A941,"&lt;&gt;"),"")</f>
        <v/>
      </c>
    </row>
    <row r="942" spans="1:24">
      <c r="A942" t="str">
        <f>IF('Takip Edilen Türk Futbolcular'!A44="","",'Takip Edilen Türk Futbolcular'!A44)</f>
        <v/>
      </c>
      <c r="B942" t="str">
        <f>IF('Takip Edilen Türk Futbolcular'!B44="","",'Takip Edilen Türk Futbolcular'!B44)</f>
        <v/>
      </c>
      <c r="C942" s="2" t="str">
        <f>IF('Takip Edilen Türk Futbolcular'!C44="","",'Takip Edilen Türk Futbolcular'!C44)</f>
        <v/>
      </c>
      <c r="D942" t="str">
        <f ca="1">IF('Takip Edilen Türk Futbolcular'!D44="","",'Takip Edilen Türk Futbolcular'!D44)</f>
        <v/>
      </c>
      <c r="E942" t="str">
        <f>IF('Takip Edilen Türk Futbolcular'!E44="","",'Takip Edilen Türk Futbolcular'!E44)</f>
        <v>Forvet</v>
      </c>
      <c r="F942" t="str">
        <f>IF('Takip Edilen Türk Futbolcular'!F44="","",'Takip Edilen Türk Futbolcular'!F44)</f>
        <v/>
      </c>
      <c r="G942" s="2" t="str">
        <f>IF('Takip Edilen Türk Futbolcular'!G44="","",'Takip Edilen Türk Futbolcular'!G44)</f>
        <v/>
      </c>
      <c r="H942" t="str">
        <f>IF('Takip Edilen Türk Futbolcular'!H44="","",'Takip Edilen Türk Futbolcular'!H44)</f>
        <v/>
      </c>
      <c r="I942" t="str">
        <f>IF('Takip Edilen Türk Futbolcular'!A44="","",'Takip Edilen Türk Futbolcular'!I44)</f>
        <v/>
      </c>
      <c r="J942" t="str">
        <f>IF('Takip Edilen Türk Futbolcular'!A44="","",'Takip Edilen Türk Futbolcular'!J44)</f>
        <v/>
      </c>
      <c r="K942" t="str">
        <f>IF('Takip Edilen Türk Futbolcular'!K44="","",'Takip Edilen Türk Futbolcular'!K44)</f>
        <v/>
      </c>
      <c r="L942" t="str">
        <f>IF('Takip Edilen Türk Futbolcular'!L44="","",'Takip Edilen Türk Futbolcular'!L44)</f>
        <v/>
      </c>
      <c r="M942" t="str">
        <f>IF('Takip Edilen Türk Futbolcular'!M44="","",'Takip Edilen Türk Futbolcular'!M44)</f>
        <v/>
      </c>
      <c r="N942" t="str">
        <f>IF('Takip Edilen Türk Futbolcular'!N44="","",'Takip Edilen Türk Futbolcular'!N44)</f>
        <v/>
      </c>
      <c r="O942" t="str">
        <f>IF('Takip Edilen Türk Futbolcular'!O44="","",'Takip Edilen Türk Futbolcular'!O44)</f>
        <v/>
      </c>
      <c r="P942" t="str">
        <f>IF('Takip Edilen Türk Futbolcular'!P44="","",'Takip Edilen Türk Futbolcular'!P44)</f>
        <v/>
      </c>
      <c r="Q942" t="str">
        <f>IF('Takip Edilen Türk Futbolcular'!Q44="","",'Takip Edilen Türk Futbolcular'!Q44)</f>
        <v/>
      </c>
      <c r="R942" t="str">
        <f>IF('Takip Edilen Türk Futbolcular'!R44="","",'Takip Edilen Türk Futbolcular'!R44)</f>
        <v/>
      </c>
      <c r="S942" t="str">
        <f>IF('Takip Edilen Türk Futbolcular'!S44="","",'Takip Edilen Türk Futbolcular'!S44)</f>
        <v/>
      </c>
      <c r="T942" s="2" t="str">
        <f>IF('Takip Edilen Türk Futbolcular'!T44="","",'Takip Edilen Türk Futbolcular'!T44)</f>
        <v/>
      </c>
      <c r="U942" t="s">
        <v>935</v>
      </c>
      <c r="V942">
        <v>44</v>
      </c>
      <c r="W942" t="str">
        <f ca="1">IF(AND($A942&lt;&gt;"",ISNUMBER($G942),$G942&gt;=TODAY(),$G942&lt;=EDATE(TODAY(),12)),COUNTIFS($G$2:$G$1001,"&gt;="&amp;TODAY(),$G$2:$G$1001,"&lt;"&amp;$G942,$A$2:$A$1001,"&lt;&gt;")+COUNTIFS($G$2:$G942,$G942,$A$2:$A942,"&lt;&gt;"),"")</f>
        <v/>
      </c>
      <c r="X942" t="str">
        <f>IF(AND($A942&lt;&gt;"",ISNUMBER($C942),$C942&gt;=DATE(2003,1,1)),COUNTIFS($C$2:$C942,"&gt;="&amp;DATE(2003,1,1),$A$2:$A942,"&lt;&gt;"),"")</f>
        <v/>
      </c>
    </row>
    <row r="943" spans="1:24">
      <c r="A943" t="str">
        <f>IF('Takip Edilen Türk Futbolcular'!A45="","",'Takip Edilen Türk Futbolcular'!A45)</f>
        <v/>
      </c>
      <c r="B943" t="str">
        <f>IF('Takip Edilen Türk Futbolcular'!B45="","",'Takip Edilen Türk Futbolcular'!B45)</f>
        <v/>
      </c>
      <c r="C943" s="2" t="str">
        <f>IF('Takip Edilen Türk Futbolcular'!C45="","",'Takip Edilen Türk Futbolcular'!C45)</f>
        <v/>
      </c>
      <c r="D943" t="str">
        <f ca="1">IF('Takip Edilen Türk Futbolcular'!D45="","",'Takip Edilen Türk Futbolcular'!D45)</f>
        <v/>
      </c>
      <c r="E943" t="str">
        <f>IF('Takip Edilen Türk Futbolcular'!E45="","",'Takip Edilen Türk Futbolcular'!E45)</f>
        <v>Forvet</v>
      </c>
      <c r="F943" t="str">
        <f>IF('Takip Edilen Türk Futbolcular'!F45="","",'Takip Edilen Türk Futbolcular'!F45)</f>
        <v/>
      </c>
      <c r="G943" s="2" t="str">
        <f>IF('Takip Edilen Türk Futbolcular'!G45="","",'Takip Edilen Türk Futbolcular'!G45)</f>
        <v/>
      </c>
      <c r="H943" t="str">
        <f>IF('Takip Edilen Türk Futbolcular'!H45="","",'Takip Edilen Türk Futbolcular'!H45)</f>
        <v/>
      </c>
      <c r="I943" t="str">
        <f>IF('Takip Edilen Türk Futbolcular'!A45="","",'Takip Edilen Türk Futbolcular'!I45)</f>
        <v/>
      </c>
      <c r="J943" t="str">
        <f>IF('Takip Edilen Türk Futbolcular'!A45="","",'Takip Edilen Türk Futbolcular'!J45)</f>
        <v/>
      </c>
      <c r="K943" t="str">
        <f>IF('Takip Edilen Türk Futbolcular'!K45="","",'Takip Edilen Türk Futbolcular'!K45)</f>
        <v/>
      </c>
      <c r="L943" t="str">
        <f>IF('Takip Edilen Türk Futbolcular'!L45="","",'Takip Edilen Türk Futbolcular'!L45)</f>
        <v/>
      </c>
      <c r="M943" t="str">
        <f>IF('Takip Edilen Türk Futbolcular'!M45="","",'Takip Edilen Türk Futbolcular'!M45)</f>
        <v/>
      </c>
      <c r="N943" t="str">
        <f>IF('Takip Edilen Türk Futbolcular'!N45="","",'Takip Edilen Türk Futbolcular'!N45)</f>
        <v/>
      </c>
      <c r="O943" t="str">
        <f>IF('Takip Edilen Türk Futbolcular'!O45="","",'Takip Edilen Türk Futbolcular'!O45)</f>
        <v/>
      </c>
      <c r="P943" t="str">
        <f>IF('Takip Edilen Türk Futbolcular'!P45="","",'Takip Edilen Türk Futbolcular'!P45)</f>
        <v/>
      </c>
      <c r="Q943" t="str">
        <f>IF('Takip Edilen Türk Futbolcular'!Q45="","",'Takip Edilen Türk Futbolcular'!Q45)</f>
        <v/>
      </c>
      <c r="R943" t="str">
        <f>IF('Takip Edilen Türk Futbolcular'!R45="","",'Takip Edilen Türk Futbolcular'!R45)</f>
        <v/>
      </c>
      <c r="S943" t="str">
        <f>IF('Takip Edilen Türk Futbolcular'!S45="","",'Takip Edilen Türk Futbolcular'!S45)</f>
        <v/>
      </c>
      <c r="T943" s="2" t="str">
        <f>IF('Takip Edilen Türk Futbolcular'!T45="","",'Takip Edilen Türk Futbolcular'!T45)</f>
        <v/>
      </c>
      <c r="U943" t="s">
        <v>935</v>
      </c>
      <c r="V943">
        <v>45</v>
      </c>
      <c r="W943" t="str">
        <f ca="1">IF(AND($A943&lt;&gt;"",ISNUMBER($G943),$G943&gt;=TODAY(),$G943&lt;=EDATE(TODAY(),12)),COUNTIFS($G$2:$G$1001,"&gt;="&amp;TODAY(),$G$2:$G$1001,"&lt;"&amp;$G943,$A$2:$A$1001,"&lt;&gt;")+COUNTIFS($G$2:$G943,$G943,$A$2:$A943,"&lt;&gt;"),"")</f>
        <v/>
      </c>
      <c r="X943" t="str">
        <f>IF(AND($A943&lt;&gt;"",ISNUMBER($C943),$C943&gt;=DATE(2003,1,1)),COUNTIFS($C$2:$C943,"&gt;="&amp;DATE(2003,1,1),$A$2:$A943,"&lt;&gt;"),"")</f>
        <v/>
      </c>
    </row>
    <row r="944" spans="1:24">
      <c r="A944" t="str">
        <f>IF('Takip Edilen Türk Futbolcular'!A46="","",'Takip Edilen Türk Futbolcular'!A46)</f>
        <v/>
      </c>
      <c r="B944" t="str">
        <f>IF('Takip Edilen Türk Futbolcular'!B46="","",'Takip Edilen Türk Futbolcular'!B46)</f>
        <v/>
      </c>
      <c r="C944" s="2" t="str">
        <f>IF('Takip Edilen Türk Futbolcular'!C46="","",'Takip Edilen Türk Futbolcular'!C46)</f>
        <v/>
      </c>
      <c r="D944" t="str">
        <f ca="1">IF('Takip Edilen Türk Futbolcular'!D46="","",'Takip Edilen Türk Futbolcular'!D46)</f>
        <v/>
      </c>
      <c r="E944" t="str">
        <f>IF('Takip Edilen Türk Futbolcular'!E46="","",'Takip Edilen Türk Futbolcular'!E46)</f>
        <v>Forvet</v>
      </c>
      <c r="F944" t="str">
        <f>IF('Takip Edilen Türk Futbolcular'!F46="","",'Takip Edilen Türk Futbolcular'!F46)</f>
        <v/>
      </c>
      <c r="G944" s="2" t="str">
        <f>IF('Takip Edilen Türk Futbolcular'!G46="","",'Takip Edilen Türk Futbolcular'!G46)</f>
        <v/>
      </c>
      <c r="H944" t="str">
        <f>IF('Takip Edilen Türk Futbolcular'!H46="","",'Takip Edilen Türk Futbolcular'!H46)</f>
        <v/>
      </c>
      <c r="I944" t="str">
        <f>IF('Takip Edilen Türk Futbolcular'!A46="","",'Takip Edilen Türk Futbolcular'!I46)</f>
        <v/>
      </c>
      <c r="J944" t="str">
        <f>IF('Takip Edilen Türk Futbolcular'!A46="","",'Takip Edilen Türk Futbolcular'!J46)</f>
        <v/>
      </c>
      <c r="K944" t="str">
        <f>IF('Takip Edilen Türk Futbolcular'!K46="","",'Takip Edilen Türk Futbolcular'!K46)</f>
        <v/>
      </c>
      <c r="L944" t="str">
        <f>IF('Takip Edilen Türk Futbolcular'!L46="","",'Takip Edilen Türk Futbolcular'!L46)</f>
        <v/>
      </c>
      <c r="M944" t="str">
        <f>IF('Takip Edilen Türk Futbolcular'!M46="","",'Takip Edilen Türk Futbolcular'!M46)</f>
        <v/>
      </c>
      <c r="N944" t="str">
        <f>IF('Takip Edilen Türk Futbolcular'!N46="","",'Takip Edilen Türk Futbolcular'!N46)</f>
        <v/>
      </c>
      <c r="O944" t="str">
        <f>IF('Takip Edilen Türk Futbolcular'!O46="","",'Takip Edilen Türk Futbolcular'!O46)</f>
        <v/>
      </c>
      <c r="P944" t="str">
        <f>IF('Takip Edilen Türk Futbolcular'!P46="","",'Takip Edilen Türk Futbolcular'!P46)</f>
        <v/>
      </c>
      <c r="Q944" t="str">
        <f>IF('Takip Edilen Türk Futbolcular'!Q46="","",'Takip Edilen Türk Futbolcular'!Q46)</f>
        <v/>
      </c>
      <c r="R944" t="str">
        <f>IF('Takip Edilen Türk Futbolcular'!R46="","",'Takip Edilen Türk Futbolcular'!R46)</f>
        <v/>
      </c>
      <c r="S944" t="str">
        <f>IF('Takip Edilen Türk Futbolcular'!S46="","",'Takip Edilen Türk Futbolcular'!S46)</f>
        <v/>
      </c>
      <c r="T944" s="2" t="str">
        <f>IF('Takip Edilen Türk Futbolcular'!T46="","",'Takip Edilen Türk Futbolcular'!T46)</f>
        <v/>
      </c>
      <c r="U944" t="s">
        <v>935</v>
      </c>
      <c r="V944">
        <v>46</v>
      </c>
      <c r="W944" t="str">
        <f ca="1">IF(AND($A944&lt;&gt;"",ISNUMBER($G944),$G944&gt;=TODAY(),$G944&lt;=EDATE(TODAY(),12)),COUNTIFS($G$2:$G$1001,"&gt;="&amp;TODAY(),$G$2:$G$1001,"&lt;"&amp;$G944,$A$2:$A$1001,"&lt;&gt;")+COUNTIFS($G$2:$G944,$G944,$A$2:$A944,"&lt;&gt;"),"")</f>
        <v/>
      </c>
      <c r="X944" t="str">
        <f>IF(AND($A944&lt;&gt;"",ISNUMBER($C944),$C944&gt;=DATE(2003,1,1)),COUNTIFS($C$2:$C944,"&gt;="&amp;DATE(2003,1,1),$A$2:$A944,"&lt;&gt;"),"")</f>
        <v/>
      </c>
    </row>
    <row r="945" spans="1:24">
      <c r="A945" t="str">
        <f>IF('Takip Edilen Türk Futbolcular'!A47="","",'Takip Edilen Türk Futbolcular'!A47)</f>
        <v/>
      </c>
      <c r="B945" t="str">
        <f>IF('Takip Edilen Türk Futbolcular'!B47="","",'Takip Edilen Türk Futbolcular'!B47)</f>
        <v/>
      </c>
      <c r="C945" s="2" t="str">
        <f>IF('Takip Edilen Türk Futbolcular'!C47="","",'Takip Edilen Türk Futbolcular'!C47)</f>
        <v/>
      </c>
      <c r="D945" t="str">
        <f ca="1">IF('Takip Edilen Türk Futbolcular'!D47="","",'Takip Edilen Türk Futbolcular'!D47)</f>
        <v/>
      </c>
      <c r="E945" t="str">
        <f>IF('Takip Edilen Türk Futbolcular'!E47="","",'Takip Edilen Türk Futbolcular'!E47)</f>
        <v>Forvet</v>
      </c>
      <c r="F945" t="str">
        <f>IF('Takip Edilen Türk Futbolcular'!F47="","",'Takip Edilen Türk Futbolcular'!F47)</f>
        <v/>
      </c>
      <c r="G945" s="2" t="str">
        <f>IF('Takip Edilen Türk Futbolcular'!G47="","",'Takip Edilen Türk Futbolcular'!G47)</f>
        <v/>
      </c>
      <c r="H945" t="str">
        <f>IF('Takip Edilen Türk Futbolcular'!H47="","",'Takip Edilen Türk Futbolcular'!H47)</f>
        <v/>
      </c>
      <c r="I945" t="str">
        <f>IF('Takip Edilen Türk Futbolcular'!A47="","",'Takip Edilen Türk Futbolcular'!I47)</f>
        <v/>
      </c>
      <c r="J945" t="str">
        <f>IF('Takip Edilen Türk Futbolcular'!A47="","",'Takip Edilen Türk Futbolcular'!J47)</f>
        <v/>
      </c>
      <c r="K945" t="str">
        <f>IF('Takip Edilen Türk Futbolcular'!K47="","",'Takip Edilen Türk Futbolcular'!K47)</f>
        <v/>
      </c>
      <c r="L945" t="str">
        <f>IF('Takip Edilen Türk Futbolcular'!L47="","",'Takip Edilen Türk Futbolcular'!L47)</f>
        <v/>
      </c>
      <c r="M945" t="str">
        <f>IF('Takip Edilen Türk Futbolcular'!M47="","",'Takip Edilen Türk Futbolcular'!M47)</f>
        <v/>
      </c>
      <c r="N945" t="str">
        <f>IF('Takip Edilen Türk Futbolcular'!N47="","",'Takip Edilen Türk Futbolcular'!N47)</f>
        <v/>
      </c>
      <c r="O945" t="str">
        <f>IF('Takip Edilen Türk Futbolcular'!O47="","",'Takip Edilen Türk Futbolcular'!O47)</f>
        <v/>
      </c>
      <c r="P945" t="str">
        <f>IF('Takip Edilen Türk Futbolcular'!P47="","",'Takip Edilen Türk Futbolcular'!P47)</f>
        <v/>
      </c>
      <c r="Q945" t="str">
        <f>IF('Takip Edilen Türk Futbolcular'!Q47="","",'Takip Edilen Türk Futbolcular'!Q47)</f>
        <v/>
      </c>
      <c r="R945" t="str">
        <f>IF('Takip Edilen Türk Futbolcular'!R47="","",'Takip Edilen Türk Futbolcular'!R47)</f>
        <v/>
      </c>
      <c r="S945" t="str">
        <f>IF('Takip Edilen Türk Futbolcular'!S47="","",'Takip Edilen Türk Futbolcular'!S47)</f>
        <v/>
      </c>
      <c r="T945" s="2" t="str">
        <f>IF('Takip Edilen Türk Futbolcular'!T47="","",'Takip Edilen Türk Futbolcular'!T47)</f>
        <v/>
      </c>
      <c r="U945" t="s">
        <v>935</v>
      </c>
      <c r="V945">
        <v>47</v>
      </c>
      <c r="W945" t="str">
        <f ca="1">IF(AND($A945&lt;&gt;"",ISNUMBER($G945),$G945&gt;=TODAY(),$G945&lt;=EDATE(TODAY(),12)),COUNTIFS($G$2:$G$1001,"&gt;="&amp;TODAY(),$G$2:$G$1001,"&lt;"&amp;$G945,$A$2:$A$1001,"&lt;&gt;")+COUNTIFS($G$2:$G945,$G945,$A$2:$A945,"&lt;&gt;"),"")</f>
        <v/>
      </c>
      <c r="X945" t="str">
        <f>IF(AND($A945&lt;&gt;"",ISNUMBER($C945),$C945&gt;=DATE(2003,1,1)),COUNTIFS($C$2:$C945,"&gt;="&amp;DATE(2003,1,1),$A$2:$A945,"&lt;&gt;"),"")</f>
        <v/>
      </c>
    </row>
    <row r="946" spans="1:24">
      <c r="A946" t="str">
        <f>IF('Takip Edilen Türk Futbolcular'!A48="","",'Takip Edilen Türk Futbolcular'!A48)</f>
        <v/>
      </c>
      <c r="B946" t="str">
        <f>IF('Takip Edilen Türk Futbolcular'!B48="","",'Takip Edilen Türk Futbolcular'!B48)</f>
        <v/>
      </c>
      <c r="C946" s="2" t="str">
        <f>IF('Takip Edilen Türk Futbolcular'!C48="","",'Takip Edilen Türk Futbolcular'!C48)</f>
        <v/>
      </c>
      <c r="D946" t="str">
        <f ca="1">IF('Takip Edilen Türk Futbolcular'!D48="","",'Takip Edilen Türk Futbolcular'!D48)</f>
        <v/>
      </c>
      <c r="E946" t="str">
        <f>IF('Takip Edilen Türk Futbolcular'!E48="","",'Takip Edilen Türk Futbolcular'!E48)</f>
        <v>Forvet</v>
      </c>
      <c r="F946" t="str">
        <f>IF('Takip Edilen Türk Futbolcular'!F48="","",'Takip Edilen Türk Futbolcular'!F48)</f>
        <v/>
      </c>
      <c r="G946" s="2" t="str">
        <f>IF('Takip Edilen Türk Futbolcular'!G48="","",'Takip Edilen Türk Futbolcular'!G48)</f>
        <v/>
      </c>
      <c r="H946" t="str">
        <f>IF('Takip Edilen Türk Futbolcular'!H48="","",'Takip Edilen Türk Futbolcular'!H48)</f>
        <v/>
      </c>
      <c r="I946" t="str">
        <f>IF('Takip Edilen Türk Futbolcular'!A48="","",'Takip Edilen Türk Futbolcular'!I48)</f>
        <v/>
      </c>
      <c r="J946" t="str">
        <f>IF('Takip Edilen Türk Futbolcular'!A48="","",'Takip Edilen Türk Futbolcular'!J48)</f>
        <v/>
      </c>
      <c r="K946" t="str">
        <f>IF('Takip Edilen Türk Futbolcular'!K48="","",'Takip Edilen Türk Futbolcular'!K48)</f>
        <v/>
      </c>
      <c r="L946" t="str">
        <f>IF('Takip Edilen Türk Futbolcular'!L48="","",'Takip Edilen Türk Futbolcular'!L48)</f>
        <v/>
      </c>
      <c r="M946" t="str">
        <f>IF('Takip Edilen Türk Futbolcular'!M48="","",'Takip Edilen Türk Futbolcular'!M48)</f>
        <v/>
      </c>
      <c r="N946" t="str">
        <f>IF('Takip Edilen Türk Futbolcular'!N48="","",'Takip Edilen Türk Futbolcular'!N48)</f>
        <v/>
      </c>
      <c r="O946" t="str">
        <f>IF('Takip Edilen Türk Futbolcular'!O48="","",'Takip Edilen Türk Futbolcular'!O48)</f>
        <v/>
      </c>
      <c r="P946" t="str">
        <f>IF('Takip Edilen Türk Futbolcular'!P48="","",'Takip Edilen Türk Futbolcular'!P48)</f>
        <v/>
      </c>
      <c r="Q946" t="str">
        <f>IF('Takip Edilen Türk Futbolcular'!Q48="","",'Takip Edilen Türk Futbolcular'!Q48)</f>
        <v/>
      </c>
      <c r="R946" t="str">
        <f>IF('Takip Edilen Türk Futbolcular'!R48="","",'Takip Edilen Türk Futbolcular'!R48)</f>
        <v/>
      </c>
      <c r="S946" t="str">
        <f>IF('Takip Edilen Türk Futbolcular'!S48="","",'Takip Edilen Türk Futbolcular'!S48)</f>
        <v/>
      </c>
      <c r="T946" s="2" t="str">
        <f>IF('Takip Edilen Türk Futbolcular'!T48="","",'Takip Edilen Türk Futbolcular'!T48)</f>
        <v/>
      </c>
      <c r="U946" t="s">
        <v>935</v>
      </c>
      <c r="V946">
        <v>48</v>
      </c>
      <c r="W946" t="str">
        <f ca="1">IF(AND($A946&lt;&gt;"",ISNUMBER($G946),$G946&gt;=TODAY(),$G946&lt;=EDATE(TODAY(),12)),COUNTIFS($G$2:$G$1001,"&gt;="&amp;TODAY(),$G$2:$G$1001,"&lt;"&amp;$G946,$A$2:$A$1001,"&lt;&gt;")+COUNTIFS($G$2:$G946,$G946,$A$2:$A946,"&lt;&gt;"),"")</f>
        <v/>
      </c>
      <c r="X946" t="str">
        <f>IF(AND($A946&lt;&gt;"",ISNUMBER($C946),$C946&gt;=DATE(2003,1,1)),COUNTIFS($C$2:$C946,"&gt;="&amp;DATE(2003,1,1),$A$2:$A946,"&lt;&gt;"),"")</f>
        <v/>
      </c>
    </row>
    <row r="947" spans="1:24">
      <c r="A947" t="str">
        <f>IF('Takip Edilen Türk Futbolcular'!A49="","",'Takip Edilen Türk Futbolcular'!A49)</f>
        <v/>
      </c>
      <c r="B947" t="str">
        <f>IF('Takip Edilen Türk Futbolcular'!B49="","",'Takip Edilen Türk Futbolcular'!B49)</f>
        <v/>
      </c>
      <c r="C947" s="2" t="str">
        <f>IF('Takip Edilen Türk Futbolcular'!C49="","",'Takip Edilen Türk Futbolcular'!C49)</f>
        <v/>
      </c>
      <c r="D947" t="str">
        <f ca="1">IF('Takip Edilen Türk Futbolcular'!D49="","",'Takip Edilen Türk Futbolcular'!D49)</f>
        <v/>
      </c>
      <c r="E947" t="str">
        <f>IF('Takip Edilen Türk Futbolcular'!E49="","",'Takip Edilen Türk Futbolcular'!E49)</f>
        <v>Forvet</v>
      </c>
      <c r="F947" t="str">
        <f>IF('Takip Edilen Türk Futbolcular'!F49="","",'Takip Edilen Türk Futbolcular'!F49)</f>
        <v/>
      </c>
      <c r="G947" s="2" t="str">
        <f>IF('Takip Edilen Türk Futbolcular'!G49="","",'Takip Edilen Türk Futbolcular'!G49)</f>
        <v/>
      </c>
      <c r="H947" t="str">
        <f>IF('Takip Edilen Türk Futbolcular'!H49="","",'Takip Edilen Türk Futbolcular'!H49)</f>
        <v/>
      </c>
      <c r="I947" t="str">
        <f>IF('Takip Edilen Türk Futbolcular'!A49="","",'Takip Edilen Türk Futbolcular'!I49)</f>
        <v/>
      </c>
      <c r="J947" t="str">
        <f>IF('Takip Edilen Türk Futbolcular'!A49="","",'Takip Edilen Türk Futbolcular'!J49)</f>
        <v/>
      </c>
      <c r="K947" t="str">
        <f>IF('Takip Edilen Türk Futbolcular'!K49="","",'Takip Edilen Türk Futbolcular'!K49)</f>
        <v/>
      </c>
      <c r="L947" t="str">
        <f>IF('Takip Edilen Türk Futbolcular'!L49="","",'Takip Edilen Türk Futbolcular'!L49)</f>
        <v/>
      </c>
      <c r="M947" t="str">
        <f>IF('Takip Edilen Türk Futbolcular'!M49="","",'Takip Edilen Türk Futbolcular'!M49)</f>
        <v/>
      </c>
      <c r="N947" t="str">
        <f>IF('Takip Edilen Türk Futbolcular'!N49="","",'Takip Edilen Türk Futbolcular'!N49)</f>
        <v/>
      </c>
      <c r="O947" t="str">
        <f>IF('Takip Edilen Türk Futbolcular'!O49="","",'Takip Edilen Türk Futbolcular'!O49)</f>
        <v/>
      </c>
      <c r="P947" t="str">
        <f>IF('Takip Edilen Türk Futbolcular'!P49="","",'Takip Edilen Türk Futbolcular'!P49)</f>
        <v/>
      </c>
      <c r="Q947" t="str">
        <f>IF('Takip Edilen Türk Futbolcular'!Q49="","",'Takip Edilen Türk Futbolcular'!Q49)</f>
        <v/>
      </c>
      <c r="R947" t="str">
        <f>IF('Takip Edilen Türk Futbolcular'!R49="","",'Takip Edilen Türk Futbolcular'!R49)</f>
        <v/>
      </c>
      <c r="S947" t="str">
        <f>IF('Takip Edilen Türk Futbolcular'!S49="","",'Takip Edilen Türk Futbolcular'!S49)</f>
        <v/>
      </c>
      <c r="T947" s="2" t="str">
        <f>IF('Takip Edilen Türk Futbolcular'!T49="","",'Takip Edilen Türk Futbolcular'!T49)</f>
        <v/>
      </c>
      <c r="U947" t="s">
        <v>935</v>
      </c>
      <c r="V947">
        <v>49</v>
      </c>
      <c r="W947" t="str">
        <f ca="1">IF(AND($A947&lt;&gt;"",ISNUMBER($G947),$G947&gt;=TODAY(),$G947&lt;=EDATE(TODAY(),12)),COUNTIFS($G$2:$G$1001,"&gt;="&amp;TODAY(),$G$2:$G$1001,"&lt;"&amp;$G947,$A$2:$A$1001,"&lt;&gt;")+COUNTIFS($G$2:$G947,$G947,$A$2:$A947,"&lt;&gt;"),"")</f>
        <v/>
      </c>
      <c r="X947" t="str">
        <f>IF(AND($A947&lt;&gt;"",ISNUMBER($C947),$C947&gt;=DATE(2003,1,1)),COUNTIFS($C$2:$C947,"&gt;="&amp;DATE(2003,1,1),$A$2:$A947,"&lt;&gt;"),"")</f>
        <v/>
      </c>
    </row>
    <row r="948" spans="1:24">
      <c r="A948" t="str">
        <f>IF('Takip Edilen Türk Futbolcular'!A50="","",'Takip Edilen Türk Futbolcular'!A50)</f>
        <v/>
      </c>
      <c r="B948" t="str">
        <f>IF('Takip Edilen Türk Futbolcular'!B50="","",'Takip Edilen Türk Futbolcular'!B50)</f>
        <v/>
      </c>
      <c r="C948" s="2" t="str">
        <f>IF('Takip Edilen Türk Futbolcular'!C50="","",'Takip Edilen Türk Futbolcular'!C50)</f>
        <v/>
      </c>
      <c r="D948" t="str">
        <f ca="1">IF('Takip Edilen Türk Futbolcular'!D50="","",'Takip Edilen Türk Futbolcular'!D50)</f>
        <v/>
      </c>
      <c r="E948" t="str">
        <f>IF('Takip Edilen Türk Futbolcular'!E50="","",'Takip Edilen Türk Futbolcular'!E50)</f>
        <v>Forvet</v>
      </c>
      <c r="F948" t="str">
        <f>IF('Takip Edilen Türk Futbolcular'!F50="","",'Takip Edilen Türk Futbolcular'!F50)</f>
        <v/>
      </c>
      <c r="G948" s="2" t="str">
        <f>IF('Takip Edilen Türk Futbolcular'!G50="","",'Takip Edilen Türk Futbolcular'!G50)</f>
        <v/>
      </c>
      <c r="H948" t="str">
        <f>IF('Takip Edilen Türk Futbolcular'!H50="","",'Takip Edilen Türk Futbolcular'!H50)</f>
        <v/>
      </c>
      <c r="I948" t="str">
        <f>IF('Takip Edilen Türk Futbolcular'!A50="","",'Takip Edilen Türk Futbolcular'!I50)</f>
        <v/>
      </c>
      <c r="J948" t="str">
        <f>IF('Takip Edilen Türk Futbolcular'!A50="","",'Takip Edilen Türk Futbolcular'!J50)</f>
        <v/>
      </c>
      <c r="K948" t="str">
        <f>IF('Takip Edilen Türk Futbolcular'!K50="","",'Takip Edilen Türk Futbolcular'!K50)</f>
        <v/>
      </c>
      <c r="L948" t="str">
        <f>IF('Takip Edilen Türk Futbolcular'!L50="","",'Takip Edilen Türk Futbolcular'!L50)</f>
        <v/>
      </c>
      <c r="M948" t="str">
        <f>IF('Takip Edilen Türk Futbolcular'!M50="","",'Takip Edilen Türk Futbolcular'!M50)</f>
        <v/>
      </c>
      <c r="N948" t="str">
        <f>IF('Takip Edilen Türk Futbolcular'!N50="","",'Takip Edilen Türk Futbolcular'!N50)</f>
        <v/>
      </c>
      <c r="O948" t="str">
        <f>IF('Takip Edilen Türk Futbolcular'!O50="","",'Takip Edilen Türk Futbolcular'!O50)</f>
        <v/>
      </c>
      <c r="P948" t="str">
        <f>IF('Takip Edilen Türk Futbolcular'!P50="","",'Takip Edilen Türk Futbolcular'!P50)</f>
        <v/>
      </c>
      <c r="Q948" t="str">
        <f>IF('Takip Edilen Türk Futbolcular'!Q50="","",'Takip Edilen Türk Futbolcular'!Q50)</f>
        <v/>
      </c>
      <c r="R948" t="str">
        <f>IF('Takip Edilen Türk Futbolcular'!R50="","",'Takip Edilen Türk Futbolcular'!R50)</f>
        <v/>
      </c>
      <c r="S948" t="str">
        <f>IF('Takip Edilen Türk Futbolcular'!S50="","",'Takip Edilen Türk Futbolcular'!S50)</f>
        <v/>
      </c>
      <c r="T948" s="2" t="str">
        <f>IF('Takip Edilen Türk Futbolcular'!T50="","",'Takip Edilen Türk Futbolcular'!T50)</f>
        <v/>
      </c>
      <c r="U948" t="s">
        <v>935</v>
      </c>
      <c r="V948">
        <v>50</v>
      </c>
      <c r="W948" t="str">
        <f ca="1">IF(AND($A948&lt;&gt;"",ISNUMBER($G948),$G948&gt;=TODAY(),$G948&lt;=EDATE(TODAY(),12)),COUNTIFS($G$2:$G$1001,"&gt;="&amp;TODAY(),$G$2:$G$1001,"&lt;"&amp;$G948,$A$2:$A$1001,"&lt;&gt;")+COUNTIFS($G$2:$G948,$G948,$A$2:$A948,"&lt;&gt;"),"")</f>
        <v/>
      </c>
      <c r="X948" t="str">
        <f>IF(AND($A948&lt;&gt;"",ISNUMBER($C948),$C948&gt;=DATE(2003,1,1)),COUNTIFS($C$2:$C948,"&gt;="&amp;DATE(2003,1,1),$A$2:$A948,"&lt;&gt;"),"")</f>
        <v/>
      </c>
    </row>
    <row r="949" spans="1:24">
      <c r="A949" t="str">
        <f>IF('Takip Edilen Türk Futbolcular'!A51="","",'Takip Edilen Türk Futbolcular'!A51)</f>
        <v/>
      </c>
      <c r="B949" t="str">
        <f>IF('Takip Edilen Türk Futbolcular'!B51="","",'Takip Edilen Türk Futbolcular'!B51)</f>
        <v/>
      </c>
      <c r="C949" s="2" t="str">
        <f>IF('Takip Edilen Türk Futbolcular'!C51="","",'Takip Edilen Türk Futbolcular'!C51)</f>
        <v/>
      </c>
      <c r="D949" t="str">
        <f ca="1">IF('Takip Edilen Türk Futbolcular'!D51="","",'Takip Edilen Türk Futbolcular'!D51)</f>
        <v/>
      </c>
      <c r="E949" t="str">
        <f>IF('Takip Edilen Türk Futbolcular'!E51="","",'Takip Edilen Türk Futbolcular'!E51)</f>
        <v>Forvet</v>
      </c>
      <c r="F949" t="str">
        <f>IF('Takip Edilen Türk Futbolcular'!F51="","",'Takip Edilen Türk Futbolcular'!F51)</f>
        <v/>
      </c>
      <c r="G949" s="2" t="str">
        <f>IF('Takip Edilen Türk Futbolcular'!G51="","",'Takip Edilen Türk Futbolcular'!G51)</f>
        <v/>
      </c>
      <c r="H949" t="str">
        <f>IF('Takip Edilen Türk Futbolcular'!H51="","",'Takip Edilen Türk Futbolcular'!H51)</f>
        <v/>
      </c>
      <c r="I949" t="str">
        <f>IF('Takip Edilen Türk Futbolcular'!A51="","",'Takip Edilen Türk Futbolcular'!I51)</f>
        <v/>
      </c>
      <c r="J949" t="str">
        <f>IF('Takip Edilen Türk Futbolcular'!A51="","",'Takip Edilen Türk Futbolcular'!J51)</f>
        <v/>
      </c>
      <c r="K949" t="str">
        <f>IF('Takip Edilen Türk Futbolcular'!K51="","",'Takip Edilen Türk Futbolcular'!K51)</f>
        <v/>
      </c>
      <c r="L949" t="str">
        <f>IF('Takip Edilen Türk Futbolcular'!L51="","",'Takip Edilen Türk Futbolcular'!L51)</f>
        <v/>
      </c>
      <c r="M949" t="str">
        <f>IF('Takip Edilen Türk Futbolcular'!M51="","",'Takip Edilen Türk Futbolcular'!M51)</f>
        <v/>
      </c>
      <c r="N949" t="str">
        <f>IF('Takip Edilen Türk Futbolcular'!N51="","",'Takip Edilen Türk Futbolcular'!N51)</f>
        <v/>
      </c>
      <c r="O949" t="str">
        <f>IF('Takip Edilen Türk Futbolcular'!O51="","",'Takip Edilen Türk Futbolcular'!O51)</f>
        <v/>
      </c>
      <c r="P949" t="str">
        <f>IF('Takip Edilen Türk Futbolcular'!P51="","",'Takip Edilen Türk Futbolcular'!P51)</f>
        <v/>
      </c>
      <c r="Q949" t="str">
        <f>IF('Takip Edilen Türk Futbolcular'!Q51="","",'Takip Edilen Türk Futbolcular'!Q51)</f>
        <v/>
      </c>
      <c r="R949" t="str">
        <f>IF('Takip Edilen Türk Futbolcular'!R51="","",'Takip Edilen Türk Futbolcular'!R51)</f>
        <v/>
      </c>
      <c r="S949" t="str">
        <f>IF('Takip Edilen Türk Futbolcular'!S51="","",'Takip Edilen Türk Futbolcular'!S51)</f>
        <v/>
      </c>
      <c r="T949" s="2" t="str">
        <f>IF('Takip Edilen Türk Futbolcular'!T51="","",'Takip Edilen Türk Futbolcular'!T51)</f>
        <v/>
      </c>
      <c r="U949" t="s">
        <v>935</v>
      </c>
      <c r="V949">
        <v>51</v>
      </c>
      <c r="W949" t="str">
        <f ca="1">IF(AND($A949&lt;&gt;"",ISNUMBER($G949),$G949&gt;=TODAY(),$G949&lt;=EDATE(TODAY(),12)),COUNTIFS($G$2:$G$1001,"&gt;="&amp;TODAY(),$G$2:$G$1001,"&lt;"&amp;$G949,$A$2:$A$1001,"&lt;&gt;")+COUNTIFS($G$2:$G949,$G949,$A$2:$A949,"&lt;&gt;"),"")</f>
        <v/>
      </c>
      <c r="X949" t="str">
        <f>IF(AND($A949&lt;&gt;"",ISNUMBER($C949),$C949&gt;=DATE(2003,1,1)),COUNTIFS($C$2:$C949,"&gt;="&amp;DATE(2003,1,1),$A$2:$A949,"&lt;&gt;"),"")</f>
        <v/>
      </c>
    </row>
    <row r="950" spans="1:24">
      <c r="A950" t="str">
        <f>IF('Takip Edilen Türk Futbolcular'!A52="","",'Takip Edilen Türk Futbolcular'!A52)</f>
        <v/>
      </c>
      <c r="B950" t="str">
        <f>IF('Takip Edilen Türk Futbolcular'!B52="","",'Takip Edilen Türk Futbolcular'!B52)</f>
        <v/>
      </c>
      <c r="C950" s="2" t="str">
        <f>IF('Takip Edilen Türk Futbolcular'!C52="","",'Takip Edilen Türk Futbolcular'!C52)</f>
        <v/>
      </c>
      <c r="D950" t="str">
        <f ca="1">IF('Takip Edilen Türk Futbolcular'!D52="","",'Takip Edilen Türk Futbolcular'!D52)</f>
        <v/>
      </c>
      <c r="E950" t="str">
        <f>IF('Takip Edilen Türk Futbolcular'!E52="","",'Takip Edilen Türk Futbolcular'!E52)</f>
        <v>Forvet</v>
      </c>
      <c r="F950" t="str">
        <f>IF('Takip Edilen Türk Futbolcular'!F52="","",'Takip Edilen Türk Futbolcular'!F52)</f>
        <v/>
      </c>
      <c r="G950" s="2" t="str">
        <f>IF('Takip Edilen Türk Futbolcular'!G52="","",'Takip Edilen Türk Futbolcular'!G52)</f>
        <v/>
      </c>
      <c r="H950" t="str">
        <f>IF('Takip Edilen Türk Futbolcular'!H52="","",'Takip Edilen Türk Futbolcular'!H52)</f>
        <v/>
      </c>
      <c r="I950" t="str">
        <f>IF('Takip Edilen Türk Futbolcular'!A52="","",'Takip Edilen Türk Futbolcular'!I52)</f>
        <v/>
      </c>
      <c r="J950" t="str">
        <f>IF('Takip Edilen Türk Futbolcular'!A52="","",'Takip Edilen Türk Futbolcular'!J52)</f>
        <v/>
      </c>
      <c r="K950" t="str">
        <f>IF('Takip Edilen Türk Futbolcular'!K52="","",'Takip Edilen Türk Futbolcular'!K52)</f>
        <v/>
      </c>
      <c r="L950" t="str">
        <f>IF('Takip Edilen Türk Futbolcular'!L52="","",'Takip Edilen Türk Futbolcular'!L52)</f>
        <v/>
      </c>
      <c r="M950" t="str">
        <f>IF('Takip Edilen Türk Futbolcular'!M52="","",'Takip Edilen Türk Futbolcular'!M52)</f>
        <v/>
      </c>
      <c r="N950" t="str">
        <f>IF('Takip Edilen Türk Futbolcular'!N52="","",'Takip Edilen Türk Futbolcular'!N52)</f>
        <v/>
      </c>
      <c r="O950" t="str">
        <f>IF('Takip Edilen Türk Futbolcular'!O52="","",'Takip Edilen Türk Futbolcular'!O52)</f>
        <v/>
      </c>
      <c r="P950" t="str">
        <f>IF('Takip Edilen Türk Futbolcular'!P52="","",'Takip Edilen Türk Futbolcular'!P52)</f>
        <v/>
      </c>
      <c r="Q950" t="str">
        <f>IF('Takip Edilen Türk Futbolcular'!Q52="","",'Takip Edilen Türk Futbolcular'!Q52)</f>
        <v/>
      </c>
      <c r="R950" t="str">
        <f>IF('Takip Edilen Türk Futbolcular'!R52="","",'Takip Edilen Türk Futbolcular'!R52)</f>
        <v/>
      </c>
      <c r="S950" t="str">
        <f>IF('Takip Edilen Türk Futbolcular'!S52="","",'Takip Edilen Türk Futbolcular'!S52)</f>
        <v/>
      </c>
      <c r="T950" s="2" t="str">
        <f>IF('Takip Edilen Türk Futbolcular'!T52="","",'Takip Edilen Türk Futbolcular'!T52)</f>
        <v/>
      </c>
      <c r="U950" t="s">
        <v>935</v>
      </c>
      <c r="V950">
        <v>52</v>
      </c>
      <c r="W950" t="str">
        <f ca="1">IF(AND($A950&lt;&gt;"",ISNUMBER($G950),$G950&gt;=TODAY(),$G950&lt;=EDATE(TODAY(),12)),COUNTIFS($G$2:$G$1001,"&gt;="&amp;TODAY(),$G$2:$G$1001,"&lt;"&amp;$G950,$A$2:$A$1001,"&lt;&gt;")+COUNTIFS($G$2:$G950,$G950,$A$2:$A950,"&lt;&gt;"),"")</f>
        <v/>
      </c>
      <c r="X950" t="str">
        <f>IF(AND($A950&lt;&gt;"",ISNUMBER($C950),$C950&gt;=DATE(2003,1,1)),COUNTIFS($C$2:$C950,"&gt;="&amp;DATE(2003,1,1),$A$2:$A950,"&lt;&gt;"),"")</f>
        <v/>
      </c>
    </row>
    <row r="951" spans="1:24">
      <c r="A951" t="str">
        <f>IF('Takip Edilen Türk Futbolcular'!A53="","",'Takip Edilen Türk Futbolcular'!A53)</f>
        <v/>
      </c>
      <c r="B951" t="str">
        <f>IF('Takip Edilen Türk Futbolcular'!B53="","",'Takip Edilen Türk Futbolcular'!B53)</f>
        <v/>
      </c>
      <c r="C951" s="2" t="str">
        <f>IF('Takip Edilen Türk Futbolcular'!C53="","",'Takip Edilen Türk Futbolcular'!C53)</f>
        <v/>
      </c>
      <c r="D951" t="str">
        <f ca="1">IF('Takip Edilen Türk Futbolcular'!D53="","",'Takip Edilen Türk Futbolcular'!D53)</f>
        <v/>
      </c>
      <c r="E951" t="str">
        <f>IF('Takip Edilen Türk Futbolcular'!E53="","",'Takip Edilen Türk Futbolcular'!E53)</f>
        <v>Forvet</v>
      </c>
      <c r="F951" t="str">
        <f>IF('Takip Edilen Türk Futbolcular'!F53="","",'Takip Edilen Türk Futbolcular'!F53)</f>
        <v/>
      </c>
      <c r="G951" s="2" t="str">
        <f>IF('Takip Edilen Türk Futbolcular'!G53="","",'Takip Edilen Türk Futbolcular'!G53)</f>
        <v/>
      </c>
      <c r="H951" t="str">
        <f>IF('Takip Edilen Türk Futbolcular'!H53="","",'Takip Edilen Türk Futbolcular'!H53)</f>
        <v/>
      </c>
      <c r="I951" t="str">
        <f>IF('Takip Edilen Türk Futbolcular'!A53="","",'Takip Edilen Türk Futbolcular'!I53)</f>
        <v/>
      </c>
      <c r="J951" t="str">
        <f>IF('Takip Edilen Türk Futbolcular'!A53="","",'Takip Edilen Türk Futbolcular'!J53)</f>
        <v/>
      </c>
      <c r="K951" t="str">
        <f>IF('Takip Edilen Türk Futbolcular'!K53="","",'Takip Edilen Türk Futbolcular'!K53)</f>
        <v/>
      </c>
      <c r="L951" t="str">
        <f>IF('Takip Edilen Türk Futbolcular'!L53="","",'Takip Edilen Türk Futbolcular'!L53)</f>
        <v/>
      </c>
      <c r="M951" t="str">
        <f>IF('Takip Edilen Türk Futbolcular'!M53="","",'Takip Edilen Türk Futbolcular'!M53)</f>
        <v/>
      </c>
      <c r="N951" t="str">
        <f>IF('Takip Edilen Türk Futbolcular'!N53="","",'Takip Edilen Türk Futbolcular'!N53)</f>
        <v/>
      </c>
      <c r="O951" t="str">
        <f>IF('Takip Edilen Türk Futbolcular'!O53="","",'Takip Edilen Türk Futbolcular'!O53)</f>
        <v/>
      </c>
      <c r="P951" t="str">
        <f>IF('Takip Edilen Türk Futbolcular'!P53="","",'Takip Edilen Türk Futbolcular'!P53)</f>
        <v/>
      </c>
      <c r="Q951" t="str">
        <f>IF('Takip Edilen Türk Futbolcular'!Q53="","",'Takip Edilen Türk Futbolcular'!Q53)</f>
        <v/>
      </c>
      <c r="R951" t="str">
        <f>IF('Takip Edilen Türk Futbolcular'!R53="","",'Takip Edilen Türk Futbolcular'!R53)</f>
        <v/>
      </c>
      <c r="S951" t="str">
        <f>IF('Takip Edilen Türk Futbolcular'!S53="","",'Takip Edilen Türk Futbolcular'!S53)</f>
        <v/>
      </c>
      <c r="T951" s="2" t="str">
        <f>IF('Takip Edilen Türk Futbolcular'!T53="","",'Takip Edilen Türk Futbolcular'!T53)</f>
        <v/>
      </c>
      <c r="U951" t="s">
        <v>935</v>
      </c>
      <c r="V951">
        <v>53</v>
      </c>
      <c r="W951" t="str">
        <f ca="1">IF(AND($A951&lt;&gt;"",ISNUMBER($G951),$G951&gt;=TODAY(),$G951&lt;=EDATE(TODAY(),12)),COUNTIFS($G$2:$G$1001,"&gt;="&amp;TODAY(),$G$2:$G$1001,"&lt;"&amp;$G951,$A$2:$A$1001,"&lt;&gt;")+COUNTIFS($G$2:$G951,$G951,$A$2:$A951,"&lt;&gt;"),"")</f>
        <v/>
      </c>
      <c r="X951" t="str">
        <f>IF(AND($A951&lt;&gt;"",ISNUMBER($C951),$C951&gt;=DATE(2003,1,1)),COUNTIFS($C$2:$C951,"&gt;="&amp;DATE(2003,1,1),$A$2:$A951,"&lt;&gt;"),"")</f>
        <v/>
      </c>
    </row>
    <row r="952" spans="1:24">
      <c r="A952" t="str">
        <f>IF('Takip Edilen Türk Futbolcular'!A54="","",'Takip Edilen Türk Futbolcular'!A54)</f>
        <v/>
      </c>
      <c r="B952" t="str">
        <f>IF('Takip Edilen Türk Futbolcular'!B54="","",'Takip Edilen Türk Futbolcular'!B54)</f>
        <v/>
      </c>
      <c r="C952" s="2" t="str">
        <f>IF('Takip Edilen Türk Futbolcular'!C54="","",'Takip Edilen Türk Futbolcular'!C54)</f>
        <v/>
      </c>
      <c r="D952" t="str">
        <f ca="1">IF('Takip Edilen Türk Futbolcular'!D54="","",'Takip Edilen Türk Futbolcular'!D54)</f>
        <v/>
      </c>
      <c r="E952" t="str">
        <f>IF('Takip Edilen Türk Futbolcular'!E54="","",'Takip Edilen Türk Futbolcular'!E54)</f>
        <v>Forvet</v>
      </c>
      <c r="F952" t="str">
        <f>IF('Takip Edilen Türk Futbolcular'!F54="","",'Takip Edilen Türk Futbolcular'!F54)</f>
        <v/>
      </c>
      <c r="G952" s="2" t="str">
        <f>IF('Takip Edilen Türk Futbolcular'!G54="","",'Takip Edilen Türk Futbolcular'!G54)</f>
        <v/>
      </c>
      <c r="H952" t="str">
        <f>IF('Takip Edilen Türk Futbolcular'!H54="","",'Takip Edilen Türk Futbolcular'!H54)</f>
        <v/>
      </c>
      <c r="I952" t="str">
        <f>IF('Takip Edilen Türk Futbolcular'!A54="","",'Takip Edilen Türk Futbolcular'!I54)</f>
        <v/>
      </c>
      <c r="J952" t="str">
        <f>IF('Takip Edilen Türk Futbolcular'!A54="","",'Takip Edilen Türk Futbolcular'!J54)</f>
        <v/>
      </c>
      <c r="K952" t="str">
        <f>IF('Takip Edilen Türk Futbolcular'!K54="","",'Takip Edilen Türk Futbolcular'!K54)</f>
        <v/>
      </c>
      <c r="L952" t="str">
        <f>IF('Takip Edilen Türk Futbolcular'!L54="","",'Takip Edilen Türk Futbolcular'!L54)</f>
        <v/>
      </c>
      <c r="M952" t="str">
        <f>IF('Takip Edilen Türk Futbolcular'!M54="","",'Takip Edilen Türk Futbolcular'!M54)</f>
        <v/>
      </c>
      <c r="N952" t="str">
        <f>IF('Takip Edilen Türk Futbolcular'!N54="","",'Takip Edilen Türk Futbolcular'!N54)</f>
        <v/>
      </c>
      <c r="O952" t="str">
        <f>IF('Takip Edilen Türk Futbolcular'!O54="","",'Takip Edilen Türk Futbolcular'!O54)</f>
        <v/>
      </c>
      <c r="P952" t="str">
        <f>IF('Takip Edilen Türk Futbolcular'!P54="","",'Takip Edilen Türk Futbolcular'!P54)</f>
        <v/>
      </c>
      <c r="Q952" t="str">
        <f>IF('Takip Edilen Türk Futbolcular'!Q54="","",'Takip Edilen Türk Futbolcular'!Q54)</f>
        <v/>
      </c>
      <c r="R952" t="str">
        <f>IF('Takip Edilen Türk Futbolcular'!R54="","",'Takip Edilen Türk Futbolcular'!R54)</f>
        <v/>
      </c>
      <c r="S952" t="str">
        <f>IF('Takip Edilen Türk Futbolcular'!S54="","",'Takip Edilen Türk Futbolcular'!S54)</f>
        <v/>
      </c>
      <c r="T952" s="2" t="str">
        <f>IF('Takip Edilen Türk Futbolcular'!T54="","",'Takip Edilen Türk Futbolcular'!T54)</f>
        <v/>
      </c>
      <c r="U952" t="s">
        <v>935</v>
      </c>
      <c r="V952">
        <v>54</v>
      </c>
      <c r="W952" t="str">
        <f ca="1">IF(AND($A952&lt;&gt;"",ISNUMBER($G952),$G952&gt;=TODAY(),$G952&lt;=EDATE(TODAY(),12)),COUNTIFS($G$2:$G$1001,"&gt;="&amp;TODAY(),$G$2:$G$1001,"&lt;"&amp;$G952,$A$2:$A$1001,"&lt;&gt;")+COUNTIFS($G$2:$G952,$G952,$A$2:$A952,"&lt;&gt;"),"")</f>
        <v/>
      </c>
      <c r="X952" t="str">
        <f>IF(AND($A952&lt;&gt;"",ISNUMBER($C952),$C952&gt;=DATE(2003,1,1)),COUNTIFS($C$2:$C952,"&gt;="&amp;DATE(2003,1,1),$A$2:$A952,"&lt;&gt;"),"")</f>
        <v/>
      </c>
    </row>
    <row r="953" spans="1:24">
      <c r="A953" t="str">
        <f>IF('Takip Edilen Türk Futbolcular'!A55="","",'Takip Edilen Türk Futbolcular'!A55)</f>
        <v/>
      </c>
      <c r="B953" t="str">
        <f>IF('Takip Edilen Türk Futbolcular'!B55="","",'Takip Edilen Türk Futbolcular'!B55)</f>
        <v/>
      </c>
      <c r="C953" s="2" t="str">
        <f>IF('Takip Edilen Türk Futbolcular'!C55="","",'Takip Edilen Türk Futbolcular'!C55)</f>
        <v/>
      </c>
      <c r="D953" t="str">
        <f ca="1">IF('Takip Edilen Türk Futbolcular'!D55="","",'Takip Edilen Türk Futbolcular'!D55)</f>
        <v/>
      </c>
      <c r="E953" t="str">
        <f>IF('Takip Edilen Türk Futbolcular'!E55="","",'Takip Edilen Türk Futbolcular'!E55)</f>
        <v>Forvet</v>
      </c>
      <c r="F953" t="str">
        <f>IF('Takip Edilen Türk Futbolcular'!F55="","",'Takip Edilen Türk Futbolcular'!F55)</f>
        <v/>
      </c>
      <c r="G953" s="2" t="str">
        <f>IF('Takip Edilen Türk Futbolcular'!G55="","",'Takip Edilen Türk Futbolcular'!G55)</f>
        <v/>
      </c>
      <c r="H953" t="str">
        <f>IF('Takip Edilen Türk Futbolcular'!H55="","",'Takip Edilen Türk Futbolcular'!H55)</f>
        <v/>
      </c>
      <c r="I953" t="str">
        <f>IF('Takip Edilen Türk Futbolcular'!A55="","",'Takip Edilen Türk Futbolcular'!I55)</f>
        <v/>
      </c>
      <c r="J953" t="str">
        <f>IF('Takip Edilen Türk Futbolcular'!A55="","",'Takip Edilen Türk Futbolcular'!J55)</f>
        <v/>
      </c>
      <c r="K953" t="str">
        <f>IF('Takip Edilen Türk Futbolcular'!K55="","",'Takip Edilen Türk Futbolcular'!K55)</f>
        <v/>
      </c>
      <c r="L953" t="str">
        <f>IF('Takip Edilen Türk Futbolcular'!L55="","",'Takip Edilen Türk Futbolcular'!L55)</f>
        <v/>
      </c>
      <c r="M953" t="str">
        <f>IF('Takip Edilen Türk Futbolcular'!M55="","",'Takip Edilen Türk Futbolcular'!M55)</f>
        <v/>
      </c>
      <c r="N953" t="str">
        <f>IF('Takip Edilen Türk Futbolcular'!N55="","",'Takip Edilen Türk Futbolcular'!N55)</f>
        <v/>
      </c>
      <c r="O953" t="str">
        <f>IF('Takip Edilen Türk Futbolcular'!O55="","",'Takip Edilen Türk Futbolcular'!O55)</f>
        <v/>
      </c>
      <c r="P953" t="str">
        <f>IF('Takip Edilen Türk Futbolcular'!P55="","",'Takip Edilen Türk Futbolcular'!P55)</f>
        <v/>
      </c>
      <c r="Q953" t="str">
        <f>IF('Takip Edilen Türk Futbolcular'!Q55="","",'Takip Edilen Türk Futbolcular'!Q55)</f>
        <v/>
      </c>
      <c r="R953" t="str">
        <f>IF('Takip Edilen Türk Futbolcular'!R55="","",'Takip Edilen Türk Futbolcular'!R55)</f>
        <v/>
      </c>
      <c r="S953" t="str">
        <f>IF('Takip Edilen Türk Futbolcular'!S55="","",'Takip Edilen Türk Futbolcular'!S55)</f>
        <v/>
      </c>
      <c r="T953" s="2" t="str">
        <f>IF('Takip Edilen Türk Futbolcular'!T55="","",'Takip Edilen Türk Futbolcular'!T55)</f>
        <v/>
      </c>
      <c r="U953" t="s">
        <v>935</v>
      </c>
      <c r="V953">
        <v>55</v>
      </c>
      <c r="W953" t="str">
        <f ca="1">IF(AND($A953&lt;&gt;"",ISNUMBER($G953),$G953&gt;=TODAY(),$G953&lt;=EDATE(TODAY(),12)),COUNTIFS($G$2:$G$1001,"&gt;="&amp;TODAY(),$G$2:$G$1001,"&lt;"&amp;$G953,$A$2:$A$1001,"&lt;&gt;")+COUNTIFS($G$2:$G953,$G953,$A$2:$A953,"&lt;&gt;"),"")</f>
        <v/>
      </c>
      <c r="X953" t="str">
        <f>IF(AND($A953&lt;&gt;"",ISNUMBER($C953),$C953&gt;=DATE(2003,1,1)),COUNTIFS($C$2:$C953,"&gt;="&amp;DATE(2003,1,1),$A$2:$A953,"&lt;&gt;"),"")</f>
        <v/>
      </c>
    </row>
    <row r="954" spans="1:24">
      <c r="A954" t="str">
        <f>IF('Takip Edilen Türk Futbolcular'!A56="","",'Takip Edilen Türk Futbolcular'!A56)</f>
        <v/>
      </c>
      <c r="B954" t="str">
        <f>IF('Takip Edilen Türk Futbolcular'!B56="","",'Takip Edilen Türk Futbolcular'!B56)</f>
        <v/>
      </c>
      <c r="C954" s="2" t="str">
        <f>IF('Takip Edilen Türk Futbolcular'!C56="","",'Takip Edilen Türk Futbolcular'!C56)</f>
        <v/>
      </c>
      <c r="D954" t="str">
        <f ca="1">IF('Takip Edilen Türk Futbolcular'!D56="","",'Takip Edilen Türk Futbolcular'!D56)</f>
        <v/>
      </c>
      <c r="E954" t="str">
        <f>IF('Takip Edilen Türk Futbolcular'!E56="","",'Takip Edilen Türk Futbolcular'!E56)</f>
        <v>Forvet</v>
      </c>
      <c r="F954" t="str">
        <f>IF('Takip Edilen Türk Futbolcular'!F56="","",'Takip Edilen Türk Futbolcular'!F56)</f>
        <v/>
      </c>
      <c r="G954" s="2" t="str">
        <f>IF('Takip Edilen Türk Futbolcular'!G56="","",'Takip Edilen Türk Futbolcular'!G56)</f>
        <v/>
      </c>
      <c r="H954" t="str">
        <f>IF('Takip Edilen Türk Futbolcular'!H56="","",'Takip Edilen Türk Futbolcular'!H56)</f>
        <v/>
      </c>
      <c r="I954" t="str">
        <f>IF('Takip Edilen Türk Futbolcular'!A56="","",'Takip Edilen Türk Futbolcular'!I56)</f>
        <v/>
      </c>
      <c r="J954" t="str">
        <f>IF('Takip Edilen Türk Futbolcular'!A56="","",'Takip Edilen Türk Futbolcular'!J56)</f>
        <v/>
      </c>
      <c r="K954" t="str">
        <f>IF('Takip Edilen Türk Futbolcular'!K56="","",'Takip Edilen Türk Futbolcular'!K56)</f>
        <v/>
      </c>
      <c r="L954" t="str">
        <f>IF('Takip Edilen Türk Futbolcular'!L56="","",'Takip Edilen Türk Futbolcular'!L56)</f>
        <v/>
      </c>
      <c r="M954" t="str">
        <f>IF('Takip Edilen Türk Futbolcular'!M56="","",'Takip Edilen Türk Futbolcular'!M56)</f>
        <v/>
      </c>
      <c r="N954" t="str">
        <f>IF('Takip Edilen Türk Futbolcular'!N56="","",'Takip Edilen Türk Futbolcular'!N56)</f>
        <v/>
      </c>
      <c r="O954" t="str">
        <f>IF('Takip Edilen Türk Futbolcular'!O56="","",'Takip Edilen Türk Futbolcular'!O56)</f>
        <v/>
      </c>
      <c r="P954" t="str">
        <f>IF('Takip Edilen Türk Futbolcular'!P56="","",'Takip Edilen Türk Futbolcular'!P56)</f>
        <v/>
      </c>
      <c r="Q954" t="str">
        <f>IF('Takip Edilen Türk Futbolcular'!Q56="","",'Takip Edilen Türk Futbolcular'!Q56)</f>
        <v/>
      </c>
      <c r="R954" t="str">
        <f>IF('Takip Edilen Türk Futbolcular'!R56="","",'Takip Edilen Türk Futbolcular'!R56)</f>
        <v/>
      </c>
      <c r="S954" t="str">
        <f>IF('Takip Edilen Türk Futbolcular'!S56="","",'Takip Edilen Türk Futbolcular'!S56)</f>
        <v/>
      </c>
      <c r="T954" s="2" t="str">
        <f>IF('Takip Edilen Türk Futbolcular'!T56="","",'Takip Edilen Türk Futbolcular'!T56)</f>
        <v/>
      </c>
      <c r="U954" t="s">
        <v>935</v>
      </c>
      <c r="V954">
        <v>56</v>
      </c>
      <c r="W954" t="str">
        <f ca="1">IF(AND($A954&lt;&gt;"",ISNUMBER($G954),$G954&gt;=TODAY(),$G954&lt;=EDATE(TODAY(),12)),COUNTIFS($G$2:$G$1001,"&gt;="&amp;TODAY(),$G$2:$G$1001,"&lt;"&amp;$G954,$A$2:$A$1001,"&lt;&gt;")+COUNTIFS($G$2:$G954,$G954,$A$2:$A954,"&lt;&gt;"),"")</f>
        <v/>
      </c>
      <c r="X954" t="str">
        <f>IF(AND($A954&lt;&gt;"",ISNUMBER($C954),$C954&gt;=DATE(2003,1,1)),COUNTIFS($C$2:$C954,"&gt;="&amp;DATE(2003,1,1),$A$2:$A954,"&lt;&gt;"),"")</f>
        <v/>
      </c>
    </row>
    <row r="955" spans="1:24">
      <c r="A955" t="str">
        <f>IF('Takip Edilen Türk Futbolcular'!A57="","",'Takip Edilen Türk Futbolcular'!A57)</f>
        <v/>
      </c>
      <c r="B955" t="str">
        <f>IF('Takip Edilen Türk Futbolcular'!B57="","",'Takip Edilen Türk Futbolcular'!B57)</f>
        <v/>
      </c>
      <c r="C955" s="2" t="str">
        <f>IF('Takip Edilen Türk Futbolcular'!C57="","",'Takip Edilen Türk Futbolcular'!C57)</f>
        <v/>
      </c>
      <c r="D955" t="str">
        <f ca="1">IF('Takip Edilen Türk Futbolcular'!D57="","",'Takip Edilen Türk Futbolcular'!D57)</f>
        <v/>
      </c>
      <c r="E955" t="str">
        <f>IF('Takip Edilen Türk Futbolcular'!E57="","",'Takip Edilen Türk Futbolcular'!E57)</f>
        <v>Forvet</v>
      </c>
      <c r="F955" t="str">
        <f>IF('Takip Edilen Türk Futbolcular'!F57="","",'Takip Edilen Türk Futbolcular'!F57)</f>
        <v/>
      </c>
      <c r="G955" s="2" t="str">
        <f>IF('Takip Edilen Türk Futbolcular'!G57="","",'Takip Edilen Türk Futbolcular'!G57)</f>
        <v/>
      </c>
      <c r="H955" t="str">
        <f>IF('Takip Edilen Türk Futbolcular'!H57="","",'Takip Edilen Türk Futbolcular'!H57)</f>
        <v/>
      </c>
      <c r="I955" t="str">
        <f>IF('Takip Edilen Türk Futbolcular'!A57="","",'Takip Edilen Türk Futbolcular'!I57)</f>
        <v/>
      </c>
      <c r="J955" t="str">
        <f>IF('Takip Edilen Türk Futbolcular'!A57="","",'Takip Edilen Türk Futbolcular'!J57)</f>
        <v/>
      </c>
      <c r="K955" t="str">
        <f>IF('Takip Edilen Türk Futbolcular'!K57="","",'Takip Edilen Türk Futbolcular'!K57)</f>
        <v/>
      </c>
      <c r="L955" t="str">
        <f>IF('Takip Edilen Türk Futbolcular'!L57="","",'Takip Edilen Türk Futbolcular'!L57)</f>
        <v/>
      </c>
      <c r="M955" t="str">
        <f>IF('Takip Edilen Türk Futbolcular'!M57="","",'Takip Edilen Türk Futbolcular'!M57)</f>
        <v/>
      </c>
      <c r="N955" t="str">
        <f>IF('Takip Edilen Türk Futbolcular'!N57="","",'Takip Edilen Türk Futbolcular'!N57)</f>
        <v/>
      </c>
      <c r="O955" t="str">
        <f>IF('Takip Edilen Türk Futbolcular'!O57="","",'Takip Edilen Türk Futbolcular'!O57)</f>
        <v/>
      </c>
      <c r="P955" t="str">
        <f>IF('Takip Edilen Türk Futbolcular'!P57="","",'Takip Edilen Türk Futbolcular'!P57)</f>
        <v/>
      </c>
      <c r="Q955" t="str">
        <f>IF('Takip Edilen Türk Futbolcular'!Q57="","",'Takip Edilen Türk Futbolcular'!Q57)</f>
        <v/>
      </c>
      <c r="R955" t="str">
        <f>IF('Takip Edilen Türk Futbolcular'!R57="","",'Takip Edilen Türk Futbolcular'!R57)</f>
        <v/>
      </c>
      <c r="S955" t="str">
        <f>IF('Takip Edilen Türk Futbolcular'!S57="","",'Takip Edilen Türk Futbolcular'!S57)</f>
        <v/>
      </c>
      <c r="T955" s="2" t="str">
        <f>IF('Takip Edilen Türk Futbolcular'!T57="","",'Takip Edilen Türk Futbolcular'!T57)</f>
        <v/>
      </c>
      <c r="U955" t="s">
        <v>935</v>
      </c>
      <c r="V955">
        <v>57</v>
      </c>
      <c r="W955" t="str">
        <f ca="1">IF(AND($A955&lt;&gt;"",ISNUMBER($G955),$G955&gt;=TODAY(),$G955&lt;=EDATE(TODAY(),12)),COUNTIFS($G$2:$G$1001,"&gt;="&amp;TODAY(),$G$2:$G$1001,"&lt;"&amp;$G955,$A$2:$A$1001,"&lt;&gt;")+COUNTIFS($G$2:$G955,$G955,$A$2:$A955,"&lt;&gt;"),"")</f>
        <v/>
      </c>
      <c r="X955" t="str">
        <f>IF(AND($A955&lt;&gt;"",ISNUMBER($C955),$C955&gt;=DATE(2003,1,1)),COUNTIFS($C$2:$C955,"&gt;="&amp;DATE(2003,1,1),$A$2:$A955,"&lt;&gt;"),"")</f>
        <v/>
      </c>
    </row>
    <row r="956" spans="1:24">
      <c r="A956" t="str">
        <f>IF('Takip Edilen Türk Futbolcular'!A58="","",'Takip Edilen Türk Futbolcular'!A58)</f>
        <v/>
      </c>
      <c r="B956" t="str">
        <f>IF('Takip Edilen Türk Futbolcular'!B58="","",'Takip Edilen Türk Futbolcular'!B58)</f>
        <v/>
      </c>
      <c r="C956" s="2" t="str">
        <f>IF('Takip Edilen Türk Futbolcular'!C58="","",'Takip Edilen Türk Futbolcular'!C58)</f>
        <v/>
      </c>
      <c r="D956" t="str">
        <f ca="1">IF('Takip Edilen Türk Futbolcular'!D58="","",'Takip Edilen Türk Futbolcular'!D58)</f>
        <v/>
      </c>
      <c r="E956" t="str">
        <f>IF('Takip Edilen Türk Futbolcular'!E58="","",'Takip Edilen Türk Futbolcular'!E58)</f>
        <v>Forvet</v>
      </c>
      <c r="F956" t="str">
        <f>IF('Takip Edilen Türk Futbolcular'!F58="","",'Takip Edilen Türk Futbolcular'!F58)</f>
        <v/>
      </c>
      <c r="G956" s="2" t="str">
        <f>IF('Takip Edilen Türk Futbolcular'!G58="","",'Takip Edilen Türk Futbolcular'!G58)</f>
        <v/>
      </c>
      <c r="H956" t="str">
        <f>IF('Takip Edilen Türk Futbolcular'!H58="","",'Takip Edilen Türk Futbolcular'!H58)</f>
        <v/>
      </c>
      <c r="I956" t="str">
        <f>IF('Takip Edilen Türk Futbolcular'!A58="","",'Takip Edilen Türk Futbolcular'!I58)</f>
        <v/>
      </c>
      <c r="J956" t="str">
        <f>IF('Takip Edilen Türk Futbolcular'!A58="","",'Takip Edilen Türk Futbolcular'!J58)</f>
        <v/>
      </c>
      <c r="K956" t="str">
        <f>IF('Takip Edilen Türk Futbolcular'!K58="","",'Takip Edilen Türk Futbolcular'!K58)</f>
        <v/>
      </c>
      <c r="L956" t="str">
        <f>IF('Takip Edilen Türk Futbolcular'!L58="","",'Takip Edilen Türk Futbolcular'!L58)</f>
        <v/>
      </c>
      <c r="M956" t="str">
        <f>IF('Takip Edilen Türk Futbolcular'!M58="","",'Takip Edilen Türk Futbolcular'!M58)</f>
        <v/>
      </c>
      <c r="N956" t="str">
        <f>IF('Takip Edilen Türk Futbolcular'!N58="","",'Takip Edilen Türk Futbolcular'!N58)</f>
        <v/>
      </c>
      <c r="O956" t="str">
        <f>IF('Takip Edilen Türk Futbolcular'!O58="","",'Takip Edilen Türk Futbolcular'!O58)</f>
        <v/>
      </c>
      <c r="P956" t="str">
        <f>IF('Takip Edilen Türk Futbolcular'!P58="","",'Takip Edilen Türk Futbolcular'!P58)</f>
        <v/>
      </c>
      <c r="Q956" t="str">
        <f>IF('Takip Edilen Türk Futbolcular'!Q58="","",'Takip Edilen Türk Futbolcular'!Q58)</f>
        <v/>
      </c>
      <c r="R956" t="str">
        <f>IF('Takip Edilen Türk Futbolcular'!R58="","",'Takip Edilen Türk Futbolcular'!R58)</f>
        <v/>
      </c>
      <c r="S956" t="str">
        <f>IF('Takip Edilen Türk Futbolcular'!S58="","",'Takip Edilen Türk Futbolcular'!S58)</f>
        <v/>
      </c>
      <c r="T956" s="2" t="str">
        <f>IF('Takip Edilen Türk Futbolcular'!T58="","",'Takip Edilen Türk Futbolcular'!T58)</f>
        <v/>
      </c>
      <c r="U956" t="s">
        <v>935</v>
      </c>
      <c r="V956">
        <v>58</v>
      </c>
      <c r="W956" t="str">
        <f ca="1">IF(AND($A956&lt;&gt;"",ISNUMBER($G956),$G956&gt;=TODAY(),$G956&lt;=EDATE(TODAY(),12)),COUNTIFS($G$2:$G$1001,"&gt;="&amp;TODAY(),$G$2:$G$1001,"&lt;"&amp;$G956,$A$2:$A$1001,"&lt;&gt;")+COUNTIFS($G$2:$G956,$G956,$A$2:$A956,"&lt;&gt;"),"")</f>
        <v/>
      </c>
      <c r="X956" t="str">
        <f>IF(AND($A956&lt;&gt;"",ISNUMBER($C956),$C956&gt;=DATE(2003,1,1)),COUNTIFS($C$2:$C956,"&gt;="&amp;DATE(2003,1,1),$A$2:$A956,"&lt;&gt;"),"")</f>
        <v/>
      </c>
    </row>
    <row r="957" spans="1:24">
      <c r="A957" t="str">
        <f>IF('Takip Edilen Türk Futbolcular'!A59="","",'Takip Edilen Türk Futbolcular'!A59)</f>
        <v/>
      </c>
      <c r="B957" t="str">
        <f>IF('Takip Edilen Türk Futbolcular'!B59="","",'Takip Edilen Türk Futbolcular'!B59)</f>
        <v/>
      </c>
      <c r="C957" s="2" t="str">
        <f>IF('Takip Edilen Türk Futbolcular'!C59="","",'Takip Edilen Türk Futbolcular'!C59)</f>
        <v/>
      </c>
      <c r="D957" t="str">
        <f ca="1">IF('Takip Edilen Türk Futbolcular'!D59="","",'Takip Edilen Türk Futbolcular'!D59)</f>
        <v/>
      </c>
      <c r="E957" t="str">
        <f>IF('Takip Edilen Türk Futbolcular'!E59="","",'Takip Edilen Türk Futbolcular'!E59)</f>
        <v>Forvet</v>
      </c>
      <c r="F957" t="str">
        <f>IF('Takip Edilen Türk Futbolcular'!F59="","",'Takip Edilen Türk Futbolcular'!F59)</f>
        <v/>
      </c>
      <c r="G957" s="2" t="str">
        <f>IF('Takip Edilen Türk Futbolcular'!G59="","",'Takip Edilen Türk Futbolcular'!G59)</f>
        <v/>
      </c>
      <c r="H957" t="str">
        <f>IF('Takip Edilen Türk Futbolcular'!H59="","",'Takip Edilen Türk Futbolcular'!H59)</f>
        <v/>
      </c>
      <c r="I957" t="str">
        <f>IF('Takip Edilen Türk Futbolcular'!A59="","",'Takip Edilen Türk Futbolcular'!I59)</f>
        <v/>
      </c>
      <c r="J957" t="str">
        <f>IF('Takip Edilen Türk Futbolcular'!A59="","",'Takip Edilen Türk Futbolcular'!J59)</f>
        <v/>
      </c>
      <c r="K957" t="str">
        <f>IF('Takip Edilen Türk Futbolcular'!K59="","",'Takip Edilen Türk Futbolcular'!K59)</f>
        <v/>
      </c>
      <c r="L957" t="str">
        <f>IF('Takip Edilen Türk Futbolcular'!L59="","",'Takip Edilen Türk Futbolcular'!L59)</f>
        <v/>
      </c>
      <c r="M957" t="str">
        <f>IF('Takip Edilen Türk Futbolcular'!M59="","",'Takip Edilen Türk Futbolcular'!M59)</f>
        <v/>
      </c>
      <c r="N957" t="str">
        <f>IF('Takip Edilen Türk Futbolcular'!N59="","",'Takip Edilen Türk Futbolcular'!N59)</f>
        <v/>
      </c>
      <c r="O957" t="str">
        <f>IF('Takip Edilen Türk Futbolcular'!O59="","",'Takip Edilen Türk Futbolcular'!O59)</f>
        <v/>
      </c>
      <c r="P957" t="str">
        <f>IF('Takip Edilen Türk Futbolcular'!P59="","",'Takip Edilen Türk Futbolcular'!P59)</f>
        <v/>
      </c>
      <c r="Q957" t="str">
        <f>IF('Takip Edilen Türk Futbolcular'!Q59="","",'Takip Edilen Türk Futbolcular'!Q59)</f>
        <v/>
      </c>
      <c r="R957" t="str">
        <f>IF('Takip Edilen Türk Futbolcular'!R59="","",'Takip Edilen Türk Futbolcular'!R59)</f>
        <v/>
      </c>
      <c r="S957" t="str">
        <f>IF('Takip Edilen Türk Futbolcular'!S59="","",'Takip Edilen Türk Futbolcular'!S59)</f>
        <v/>
      </c>
      <c r="T957" s="2" t="str">
        <f>IF('Takip Edilen Türk Futbolcular'!T59="","",'Takip Edilen Türk Futbolcular'!T59)</f>
        <v/>
      </c>
      <c r="U957" t="s">
        <v>935</v>
      </c>
      <c r="V957">
        <v>59</v>
      </c>
      <c r="W957" t="str">
        <f ca="1">IF(AND($A957&lt;&gt;"",ISNUMBER($G957),$G957&gt;=TODAY(),$G957&lt;=EDATE(TODAY(),12)),COUNTIFS($G$2:$G$1001,"&gt;="&amp;TODAY(),$G$2:$G$1001,"&lt;"&amp;$G957,$A$2:$A$1001,"&lt;&gt;")+COUNTIFS($G$2:$G957,$G957,$A$2:$A957,"&lt;&gt;"),"")</f>
        <v/>
      </c>
      <c r="X957" t="str">
        <f>IF(AND($A957&lt;&gt;"",ISNUMBER($C957),$C957&gt;=DATE(2003,1,1)),COUNTIFS($C$2:$C957,"&gt;="&amp;DATE(2003,1,1),$A$2:$A957,"&lt;&gt;"),"")</f>
        <v/>
      </c>
    </row>
    <row r="958" spans="1:24">
      <c r="A958" t="str">
        <f>IF('Takip Edilen Türk Futbolcular'!A60="","",'Takip Edilen Türk Futbolcular'!A60)</f>
        <v/>
      </c>
      <c r="B958" t="str">
        <f>IF('Takip Edilen Türk Futbolcular'!B60="","",'Takip Edilen Türk Futbolcular'!B60)</f>
        <v/>
      </c>
      <c r="C958" s="2" t="str">
        <f>IF('Takip Edilen Türk Futbolcular'!C60="","",'Takip Edilen Türk Futbolcular'!C60)</f>
        <v/>
      </c>
      <c r="D958" t="str">
        <f ca="1">IF('Takip Edilen Türk Futbolcular'!D60="","",'Takip Edilen Türk Futbolcular'!D60)</f>
        <v/>
      </c>
      <c r="E958" t="str">
        <f>IF('Takip Edilen Türk Futbolcular'!E60="","",'Takip Edilen Türk Futbolcular'!E60)</f>
        <v>Forvet</v>
      </c>
      <c r="F958" t="str">
        <f>IF('Takip Edilen Türk Futbolcular'!F60="","",'Takip Edilen Türk Futbolcular'!F60)</f>
        <v/>
      </c>
      <c r="G958" s="2" t="str">
        <f>IF('Takip Edilen Türk Futbolcular'!G60="","",'Takip Edilen Türk Futbolcular'!G60)</f>
        <v/>
      </c>
      <c r="H958" t="str">
        <f>IF('Takip Edilen Türk Futbolcular'!H60="","",'Takip Edilen Türk Futbolcular'!H60)</f>
        <v/>
      </c>
      <c r="I958" t="str">
        <f>IF('Takip Edilen Türk Futbolcular'!A60="","",'Takip Edilen Türk Futbolcular'!I60)</f>
        <v/>
      </c>
      <c r="J958" t="str">
        <f>IF('Takip Edilen Türk Futbolcular'!A60="","",'Takip Edilen Türk Futbolcular'!J60)</f>
        <v/>
      </c>
      <c r="K958" t="str">
        <f>IF('Takip Edilen Türk Futbolcular'!K60="","",'Takip Edilen Türk Futbolcular'!K60)</f>
        <v/>
      </c>
      <c r="L958" t="str">
        <f>IF('Takip Edilen Türk Futbolcular'!L60="","",'Takip Edilen Türk Futbolcular'!L60)</f>
        <v/>
      </c>
      <c r="M958" t="str">
        <f>IF('Takip Edilen Türk Futbolcular'!M60="","",'Takip Edilen Türk Futbolcular'!M60)</f>
        <v/>
      </c>
      <c r="N958" t="str">
        <f>IF('Takip Edilen Türk Futbolcular'!N60="","",'Takip Edilen Türk Futbolcular'!N60)</f>
        <v/>
      </c>
      <c r="O958" t="str">
        <f>IF('Takip Edilen Türk Futbolcular'!O60="","",'Takip Edilen Türk Futbolcular'!O60)</f>
        <v/>
      </c>
      <c r="P958" t="str">
        <f>IF('Takip Edilen Türk Futbolcular'!P60="","",'Takip Edilen Türk Futbolcular'!P60)</f>
        <v/>
      </c>
      <c r="Q958" t="str">
        <f>IF('Takip Edilen Türk Futbolcular'!Q60="","",'Takip Edilen Türk Futbolcular'!Q60)</f>
        <v/>
      </c>
      <c r="R958" t="str">
        <f>IF('Takip Edilen Türk Futbolcular'!R60="","",'Takip Edilen Türk Futbolcular'!R60)</f>
        <v/>
      </c>
      <c r="S958" t="str">
        <f>IF('Takip Edilen Türk Futbolcular'!S60="","",'Takip Edilen Türk Futbolcular'!S60)</f>
        <v/>
      </c>
      <c r="T958" s="2" t="str">
        <f>IF('Takip Edilen Türk Futbolcular'!T60="","",'Takip Edilen Türk Futbolcular'!T60)</f>
        <v/>
      </c>
      <c r="U958" t="s">
        <v>935</v>
      </c>
      <c r="V958">
        <v>60</v>
      </c>
      <c r="W958" t="str">
        <f ca="1">IF(AND($A958&lt;&gt;"",ISNUMBER($G958),$G958&gt;=TODAY(),$G958&lt;=EDATE(TODAY(),12)),COUNTIFS($G$2:$G$1001,"&gt;="&amp;TODAY(),$G$2:$G$1001,"&lt;"&amp;$G958,$A$2:$A$1001,"&lt;&gt;")+COUNTIFS($G$2:$G958,$G958,$A$2:$A958,"&lt;&gt;"),"")</f>
        <v/>
      </c>
      <c r="X958" t="str">
        <f>IF(AND($A958&lt;&gt;"",ISNUMBER($C958),$C958&gt;=DATE(2003,1,1)),COUNTIFS($C$2:$C958,"&gt;="&amp;DATE(2003,1,1),$A$2:$A958,"&lt;&gt;"),"")</f>
        <v/>
      </c>
    </row>
    <row r="959" spans="1:24">
      <c r="A959" t="str">
        <f>IF('Takip Edilen Türk Futbolcular'!A61="","",'Takip Edilen Türk Futbolcular'!A61)</f>
        <v/>
      </c>
      <c r="B959" t="str">
        <f>IF('Takip Edilen Türk Futbolcular'!B61="","",'Takip Edilen Türk Futbolcular'!B61)</f>
        <v/>
      </c>
      <c r="C959" s="2" t="str">
        <f>IF('Takip Edilen Türk Futbolcular'!C61="","",'Takip Edilen Türk Futbolcular'!C61)</f>
        <v/>
      </c>
      <c r="D959" t="str">
        <f ca="1">IF('Takip Edilen Türk Futbolcular'!D61="","",'Takip Edilen Türk Futbolcular'!D61)</f>
        <v/>
      </c>
      <c r="E959" t="str">
        <f>IF('Takip Edilen Türk Futbolcular'!E61="","",'Takip Edilen Türk Futbolcular'!E61)</f>
        <v>Forvet</v>
      </c>
      <c r="F959" t="str">
        <f>IF('Takip Edilen Türk Futbolcular'!F61="","",'Takip Edilen Türk Futbolcular'!F61)</f>
        <v/>
      </c>
      <c r="G959" s="2" t="str">
        <f>IF('Takip Edilen Türk Futbolcular'!G61="","",'Takip Edilen Türk Futbolcular'!G61)</f>
        <v/>
      </c>
      <c r="H959" t="str">
        <f>IF('Takip Edilen Türk Futbolcular'!H61="","",'Takip Edilen Türk Futbolcular'!H61)</f>
        <v/>
      </c>
      <c r="I959" t="str">
        <f>IF('Takip Edilen Türk Futbolcular'!A61="","",'Takip Edilen Türk Futbolcular'!I61)</f>
        <v/>
      </c>
      <c r="J959" t="str">
        <f>IF('Takip Edilen Türk Futbolcular'!A61="","",'Takip Edilen Türk Futbolcular'!J61)</f>
        <v/>
      </c>
      <c r="K959" t="str">
        <f>IF('Takip Edilen Türk Futbolcular'!K61="","",'Takip Edilen Türk Futbolcular'!K61)</f>
        <v/>
      </c>
      <c r="L959" t="str">
        <f>IF('Takip Edilen Türk Futbolcular'!L61="","",'Takip Edilen Türk Futbolcular'!L61)</f>
        <v/>
      </c>
      <c r="M959" t="str">
        <f>IF('Takip Edilen Türk Futbolcular'!M61="","",'Takip Edilen Türk Futbolcular'!M61)</f>
        <v/>
      </c>
      <c r="N959" t="str">
        <f>IF('Takip Edilen Türk Futbolcular'!N61="","",'Takip Edilen Türk Futbolcular'!N61)</f>
        <v/>
      </c>
      <c r="O959" t="str">
        <f>IF('Takip Edilen Türk Futbolcular'!O61="","",'Takip Edilen Türk Futbolcular'!O61)</f>
        <v/>
      </c>
      <c r="P959" t="str">
        <f>IF('Takip Edilen Türk Futbolcular'!P61="","",'Takip Edilen Türk Futbolcular'!P61)</f>
        <v/>
      </c>
      <c r="Q959" t="str">
        <f>IF('Takip Edilen Türk Futbolcular'!Q61="","",'Takip Edilen Türk Futbolcular'!Q61)</f>
        <v/>
      </c>
      <c r="R959" t="str">
        <f>IF('Takip Edilen Türk Futbolcular'!R61="","",'Takip Edilen Türk Futbolcular'!R61)</f>
        <v/>
      </c>
      <c r="S959" t="str">
        <f>IF('Takip Edilen Türk Futbolcular'!S61="","",'Takip Edilen Türk Futbolcular'!S61)</f>
        <v/>
      </c>
      <c r="T959" s="2" t="str">
        <f>IF('Takip Edilen Türk Futbolcular'!T61="","",'Takip Edilen Türk Futbolcular'!T61)</f>
        <v/>
      </c>
      <c r="U959" t="s">
        <v>935</v>
      </c>
      <c r="V959">
        <v>61</v>
      </c>
      <c r="W959" t="str">
        <f ca="1">IF(AND($A959&lt;&gt;"",ISNUMBER($G959),$G959&gt;=TODAY(),$G959&lt;=EDATE(TODAY(),12)),COUNTIFS($G$2:$G$1001,"&gt;="&amp;TODAY(),$G$2:$G$1001,"&lt;"&amp;$G959,$A$2:$A$1001,"&lt;&gt;")+COUNTIFS($G$2:$G959,$G959,$A$2:$A959,"&lt;&gt;"),"")</f>
        <v/>
      </c>
      <c r="X959" t="str">
        <f>IF(AND($A959&lt;&gt;"",ISNUMBER($C959),$C959&gt;=DATE(2003,1,1)),COUNTIFS($C$2:$C959,"&gt;="&amp;DATE(2003,1,1),$A$2:$A959,"&lt;&gt;"),"")</f>
        <v/>
      </c>
    </row>
    <row r="960" spans="1:24">
      <c r="A960" t="str">
        <f>IF('Takip Edilen Türk Futbolcular'!A62="","",'Takip Edilen Türk Futbolcular'!A62)</f>
        <v/>
      </c>
      <c r="B960" t="str">
        <f>IF('Takip Edilen Türk Futbolcular'!B62="","",'Takip Edilen Türk Futbolcular'!B62)</f>
        <v/>
      </c>
      <c r="C960" s="2" t="str">
        <f>IF('Takip Edilen Türk Futbolcular'!C62="","",'Takip Edilen Türk Futbolcular'!C62)</f>
        <v/>
      </c>
      <c r="D960" t="str">
        <f ca="1">IF('Takip Edilen Türk Futbolcular'!D62="","",'Takip Edilen Türk Futbolcular'!D62)</f>
        <v/>
      </c>
      <c r="E960" t="str">
        <f>IF('Takip Edilen Türk Futbolcular'!E62="","",'Takip Edilen Türk Futbolcular'!E62)</f>
        <v>Forvet</v>
      </c>
      <c r="F960" t="str">
        <f>IF('Takip Edilen Türk Futbolcular'!F62="","",'Takip Edilen Türk Futbolcular'!F62)</f>
        <v/>
      </c>
      <c r="G960" s="2" t="str">
        <f>IF('Takip Edilen Türk Futbolcular'!G62="","",'Takip Edilen Türk Futbolcular'!G62)</f>
        <v/>
      </c>
      <c r="H960" t="str">
        <f>IF('Takip Edilen Türk Futbolcular'!H62="","",'Takip Edilen Türk Futbolcular'!H62)</f>
        <v/>
      </c>
      <c r="I960" t="str">
        <f>IF('Takip Edilen Türk Futbolcular'!A62="","",'Takip Edilen Türk Futbolcular'!I62)</f>
        <v/>
      </c>
      <c r="J960" t="str">
        <f>IF('Takip Edilen Türk Futbolcular'!A62="","",'Takip Edilen Türk Futbolcular'!J62)</f>
        <v/>
      </c>
      <c r="K960" t="str">
        <f>IF('Takip Edilen Türk Futbolcular'!K62="","",'Takip Edilen Türk Futbolcular'!K62)</f>
        <v/>
      </c>
      <c r="L960" t="str">
        <f>IF('Takip Edilen Türk Futbolcular'!L62="","",'Takip Edilen Türk Futbolcular'!L62)</f>
        <v/>
      </c>
      <c r="M960" t="str">
        <f>IF('Takip Edilen Türk Futbolcular'!M62="","",'Takip Edilen Türk Futbolcular'!M62)</f>
        <v/>
      </c>
      <c r="N960" t="str">
        <f>IF('Takip Edilen Türk Futbolcular'!N62="","",'Takip Edilen Türk Futbolcular'!N62)</f>
        <v/>
      </c>
      <c r="O960" t="str">
        <f>IF('Takip Edilen Türk Futbolcular'!O62="","",'Takip Edilen Türk Futbolcular'!O62)</f>
        <v/>
      </c>
      <c r="P960" t="str">
        <f>IF('Takip Edilen Türk Futbolcular'!P62="","",'Takip Edilen Türk Futbolcular'!P62)</f>
        <v/>
      </c>
      <c r="Q960" t="str">
        <f>IF('Takip Edilen Türk Futbolcular'!Q62="","",'Takip Edilen Türk Futbolcular'!Q62)</f>
        <v/>
      </c>
      <c r="R960" t="str">
        <f>IF('Takip Edilen Türk Futbolcular'!R62="","",'Takip Edilen Türk Futbolcular'!R62)</f>
        <v/>
      </c>
      <c r="S960" t="str">
        <f>IF('Takip Edilen Türk Futbolcular'!S62="","",'Takip Edilen Türk Futbolcular'!S62)</f>
        <v/>
      </c>
      <c r="T960" s="2" t="str">
        <f>IF('Takip Edilen Türk Futbolcular'!T62="","",'Takip Edilen Türk Futbolcular'!T62)</f>
        <v/>
      </c>
      <c r="U960" t="s">
        <v>935</v>
      </c>
      <c r="V960">
        <v>62</v>
      </c>
      <c r="W960" t="str">
        <f ca="1">IF(AND($A960&lt;&gt;"",ISNUMBER($G960),$G960&gt;=TODAY(),$G960&lt;=EDATE(TODAY(),12)),COUNTIFS($G$2:$G$1001,"&gt;="&amp;TODAY(),$G$2:$G$1001,"&lt;"&amp;$G960,$A$2:$A$1001,"&lt;&gt;")+COUNTIFS($G$2:$G960,$G960,$A$2:$A960,"&lt;&gt;"),"")</f>
        <v/>
      </c>
      <c r="X960" t="str">
        <f>IF(AND($A960&lt;&gt;"",ISNUMBER($C960),$C960&gt;=DATE(2003,1,1)),COUNTIFS($C$2:$C960,"&gt;="&amp;DATE(2003,1,1),$A$2:$A960,"&lt;&gt;"),"")</f>
        <v/>
      </c>
    </row>
    <row r="961" spans="1:24">
      <c r="A961" t="str">
        <f>IF('Takip Edilen Türk Futbolcular'!A63="","",'Takip Edilen Türk Futbolcular'!A63)</f>
        <v/>
      </c>
      <c r="B961" t="str">
        <f>IF('Takip Edilen Türk Futbolcular'!B63="","",'Takip Edilen Türk Futbolcular'!B63)</f>
        <v/>
      </c>
      <c r="C961" s="2" t="str">
        <f>IF('Takip Edilen Türk Futbolcular'!C63="","",'Takip Edilen Türk Futbolcular'!C63)</f>
        <v/>
      </c>
      <c r="D961" t="str">
        <f ca="1">IF('Takip Edilen Türk Futbolcular'!D63="","",'Takip Edilen Türk Futbolcular'!D63)</f>
        <v/>
      </c>
      <c r="E961" t="str">
        <f>IF('Takip Edilen Türk Futbolcular'!E63="","",'Takip Edilen Türk Futbolcular'!E63)</f>
        <v>Forvet</v>
      </c>
      <c r="F961" t="str">
        <f>IF('Takip Edilen Türk Futbolcular'!F63="","",'Takip Edilen Türk Futbolcular'!F63)</f>
        <v/>
      </c>
      <c r="G961" s="2" t="str">
        <f>IF('Takip Edilen Türk Futbolcular'!G63="","",'Takip Edilen Türk Futbolcular'!G63)</f>
        <v/>
      </c>
      <c r="H961" t="str">
        <f>IF('Takip Edilen Türk Futbolcular'!H63="","",'Takip Edilen Türk Futbolcular'!H63)</f>
        <v/>
      </c>
      <c r="I961" t="str">
        <f>IF('Takip Edilen Türk Futbolcular'!A63="","",'Takip Edilen Türk Futbolcular'!I63)</f>
        <v/>
      </c>
      <c r="J961" t="str">
        <f>IF('Takip Edilen Türk Futbolcular'!A63="","",'Takip Edilen Türk Futbolcular'!J63)</f>
        <v/>
      </c>
      <c r="K961" t="str">
        <f>IF('Takip Edilen Türk Futbolcular'!K63="","",'Takip Edilen Türk Futbolcular'!K63)</f>
        <v/>
      </c>
      <c r="L961" t="str">
        <f>IF('Takip Edilen Türk Futbolcular'!L63="","",'Takip Edilen Türk Futbolcular'!L63)</f>
        <v/>
      </c>
      <c r="M961" t="str">
        <f>IF('Takip Edilen Türk Futbolcular'!M63="","",'Takip Edilen Türk Futbolcular'!M63)</f>
        <v/>
      </c>
      <c r="N961" t="str">
        <f>IF('Takip Edilen Türk Futbolcular'!N63="","",'Takip Edilen Türk Futbolcular'!N63)</f>
        <v/>
      </c>
      <c r="O961" t="str">
        <f>IF('Takip Edilen Türk Futbolcular'!O63="","",'Takip Edilen Türk Futbolcular'!O63)</f>
        <v/>
      </c>
      <c r="P961" t="str">
        <f>IF('Takip Edilen Türk Futbolcular'!P63="","",'Takip Edilen Türk Futbolcular'!P63)</f>
        <v/>
      </c>
      <c r="Q961" t="str">
        <f>IF('Takip Edilen Türk Futbolcular'!Q63="","",'Takip Edilen Türk Futbolcular'!Q63)</f>
        <v/>
      </c>
      <c r="R961" t="str">
        <f>IF('Takip Edilen Türk Futbolcular'!R63="","",'Takip Edilen Türk Futbolcular'!R63)</f>
        <v/>
      </c>
      <c r="S961" t="str">
        <f>IF('Takip Edilen Türk Futbolcular'!S63="","",'Takip Edilen Türk Futbolcular'!S63)</f>
        <v/>
      </c>
      <c r="T961" s="2" t="str">
        <f>IF('Takip Edilen Türk Futbolcular'!T63="","",'Takip Edilen Türk Futbolcular'!T63)</f>
        <v/>
      </c>
      <c r="U961" t="s">
        <v>935</v>
      </c>
      <c r="V961">
        <v>63</v>
      </c>
      <c r="W961" t="str">
        <f ca="1">IF(AND($A961&lt;&gt;"",ISNUMBER($G961),$G961&gt;=TODAY(),$G961&lt;=EDATE(TODAY(),12)),COUNTIFS($G$2:$G$1001,"&gt;="&amp;TODAY(),$G$2:$G$1001,"&lt;"&amp;$G961,$A$2:$A$1001,"&lt;&gt;")+COUNTIFS($G$2:$G961,$G961,$A$2:$A961,"&lt;&gt;"),"")</f>
        <v/>
      </c>
      <c r="X961" t="str">
        <f>IF(AND($A961&lt;&gt;"",ISNUMBER($C961),$C961&gt;=DATE(2003,1,1)),COUNTIFS($C$2:$C961,"&gt;="&amp;DATE(2003,1,1),$A$2:$A961,"&lt;&gt;"),"")</f>
        <v/>
      </c>
    </row>
    <row r="962" spans="1:24">
      <c r="A962" t="str">
        <f>IF('Takip Edilen Türk Futbolcular'!A64="","",'Takip Edilen Türk Futbolcular'!A64)</f>
        <v/>
      </c>
      <c r="B962" t="str">
        <f>IF('Takip Edilen Türk Futbolcular'!B64="","",'Takip Edilen Türk Futbolcular'!B64)</f>
        <v/>
      </c>
      <c r="C962" s="2" t="str">
        <f>IF('Takip Edilen Türk Futbolcular'!C64="","",'Takip Edilen Türk Futbolcular'!C64)</f>
        <v/>
      </c>
      <c r="D962" t="str">
        <f ca="1">IF('Takip Edilen Türk Futbolcular'!D64="","",'Takip Edilen Türk Futbolcular'!D64)</f>
        <v/>
      </c>
      <c r="E962" t="str">
        <f>IF('Takip Edilen Türk Futbolcular'!E64="","",'Takip Edilen Türk Futbolcular'!E64)</f>
        <v>Forvet</v>
      </c>
      <c r="F962" t="str">
        <f>IF('Takip Edilen Türk Futbolcular'!F64="","",'Takip Edilen Türk Futbolcular'!F64)</f>
        <v/>
      </c>
      <c r="G962" s="2" t="str">
        <f>IF('Takip Edilen Türk Futbolcular'!G64="","",'Takip Edilen Türk Futbolcular'!G64)</f>
        <v/>
      </c>
      <c r="H962" t="str">
        <f>IF('Takip Edilen Türk Futbolcular'!H64="","",'Takip Edilen Türk Futbolcular'!H64)</f>
        <v/>
      </c>
      <c r="I962" t="str">
        <f>IF('Takip Edilen Türk Futbolcular'!A64="","",'Takip Edilen Türk Futbolcular'!I64)</f>
        <v/>
      </c>
      <c r="J962" t="str">
        <f>IF('Takip Edilen Türk Futbolcular'!A64="","",'Takip Edilen Türk Futbolcular'!J64)</f>
        <v/>
      </c>
      <c r="K962" t="str">
        <f>IF('Takip Edilen Türk Futbolcular'!K64="","",'Takip Edilen Türk Futbolcular'!K64)</f>
        <v/>
      </c>
      <c r="L962" t="str">
        <f>IF('Takip Edilen Türk Futbolcular'!L64="","",'Takip Edilen Türk Futbolcular'!L64)</f>
        <v/>
      </c>
      <c r="M962" t="str">
        <f>IF('Takip Edilen Türk Futbolcular'!M64="","",'Takip Edilen Türk Futbolcular'!M64)</f>
        <v/>
      </c>
      <c r="N962" t="str">
        <f>IF('Takip Edilen Türk Futbolcular'!N64="","",'Takip Edilen Türk Futbolcular'!N64)</f>
        <v/>
      </c>
      <c r="O962" t="str">
        <f>IF('Takip Edilen Türk Futbolcular'!O64="","",'Takip Edilen Türk Futbolcular'!O64)</f>
        <v/>
      </c>
      <c r="P962" t="str">
        <f>IF('Takip Edilen Türk Futbolcular'!P64="","",'Takip Edilen Türk Futbolcular'!P64)</f>
        <v/>
      </c>
      <c r="Q962" t="str">
        <f>IF('Takip Edilen Türk Futbolcular'!Q64="","",'Takip Edilen Türk Futbolcular'!Q64)</f>
        <v/>
      </c>
      <c r="R962" t="str">
        <f>IF('Takip Edilen Türk Futbolcular'!R64="","",'Takip Edilen Türk Futbolcular'!R64)</f>
        <v/>
      </c>
      <c r="S962" t="str">
        <f>IF('Takip Edilen Türk Futbolcular'!S64="","",'Takip Edilen Türk Futbolcular'!S64)</f>
        <v/>
      </c>
      <c r="T962" s="2" t="str">
        <f>IF('Takip Edilen Türk Futbolcular'!T64="","",'Takip Edilen Türk Futbolcular'!T64)</f>
        <v/>
      </c>
      <c r="U962" t="s">
        <v>935</v>
      </c>
      <c r="V962">
        <v>64</v>
      </c>
      <c r="W962" t="str">
        <f ca="1">IF(AND($A962&lt;&gt;"",ISNUMBER($G962),$G962&gt;=TODAY(),$G962&lt;=EDATE(TODAY(),12)),COUNTIFS($G$2:$G$1001,"&gt;="&amp;TODAY(),$G$2:$G$1001,"&lt;"&amp;$G962,$A$2:$A$1001,"&lt;&gt;")+COUNTIFS($G$2:$G962,$G962,$A$2:$A962,"&lt;&gt;"),"")</f>
        <v/>
      </c>
      <c r="X962" t="str">
        <f>IF(AND($A962&lt;&gt;"",ISNUMBER($C962),$C962&gt;=DATE(2003,1,1)),COUNTIFS($C$2:$C962,"&gt;="&amp;DATE(2003,1,1),$A$2:$A962,"&lt;&gt;"),"")</f>
        <v/>
      </c>
    </row>
    <row r="963" spans="1:24">
      <c r="A963" t="str">
        <f>IF('Takip Edilen Türk Futbolcular'!A65="","",'Takip Edilen Türk Futbolcular'!A65)</f>
        <v/>
      </c>
      <c r="B963" t="str">
        <f>IF('Takip Edilen Türk Futbolcular'!B65="","",'Takip Edilen Türk Futbolcular'!B65)</f>
        <v/>
      </c>
      <c r="C963" s="2" t="str">
        <f>IF('Takip Edilen Türk Futbolcular'!C65="","",'Takip Edilen Türk Futbolcular'!C65)</f>
        <v/>
      </c>
      <c r="D963" t="str">
        <f ca="1">IF('Takip Edilen Türk Futbolcular'!D65="","",'Takip Edilen Türk Futbolcular'!D65)</f>
        <v/>
      </c>
      <c r="E963" t="str">
        <f>IF('Takip Edilen Türk Futbolcular'!E65="","",'Takip Edilen Türk Futbolcular'!E65)</f>
        <v>Forvet</v>
      </c>
      <c r="F963" t="str">
        <f>IF('Takip Edilen Türk Futbolcular'!F65="","",'Takip Edilen Türk Futbolcular'!F65)</f>
        <v/>
      </c>
      <c r="G963" s="2" t="str">
        <f>IF('Takip Edilen Türk Futbolcular'!G65="","",'Takip Edilen Türk Futbolcular'!G65)</f>
        <v/>
      </c>
      <c r="H963" t="str">
        <f>IF('Takip Edilen Türk Futbolcular'!H65="","",'Takip Edilen Türk Futbolcular'!H65)</f>
        <v/>
      </c>
      <c r="I963" t="str">
        <f>IF('Takip Edilen Türk Futbolcular'!A65="","",'Takip Edilen Türk Futbolcular'!I65)</f>
        <v/>
      </c>
      <c r="J963" t="str">
        <f>IF('Takip Edilen Türk Futbolcular'!A65="","",'Takip Edilen Türk Futbolcular'!J65)</f>
        <v/>
      </c>
      <c r="K963" t="str">
        <f>IF('Takip Edilen Türk Futbolcular'!K65="","",'Takip Edilen Türk Futbolcular'!K65)</f>
        <v/>
      </c>
      <c r="L963" t="str">
        <f>IF('Takip Edilen Türk Futbolcular'!L65="","",'Takip Edilen Türk Futbolcular'!L65)</f>
        <v/>
      </c>
      <c r="M963" t="str">
        <f>IF('Takip Edilen Türk Futbolcular'!M65="","",'Takip Edilen Türk Futbolcular'!M65)</f>
        <v/>
      </c>
      <c r="N963" t="str">
        <f>IF('Takip Edilen Türk Futbolcular'!N65="","",'Takip Edilen Türk Futbolcular'!N65)</f>
        <v/>
      </c>
      <c r="O963" t="str">
        <f>IF('Takip Edilen Türk Futbolcular'!O65="","",'Takip Edilen Türk Futbolcular'!O65)</f>
        <v/>
      </c>
      <c r="P963" t="str">
        <f>IF('Takip Edilen Türk Futbolcular'!P65="","",'Takip Edilen Türk Futbolcular'!P65)</f>
        <v/>
      </c>
      <c r="Q963" t="str">
        <f>IF('Takip Edilen Türk Futbolcular'!Q65="","",'Takip Edilen Türk Futbolcular'!Q65)</f>
        <v/>
      </c>
      <c r="R963" t="str">
        <f>IF('Takip Edilen Türk Futbolcular'!R65="","",'Takip Edilen Türk Futbolcular'!R65)</f>
        <v/>
      </c>
      <c r="S963" t="str">
        <f>IF('Takip Edilen Türk Futbolcular'!S65="","",'Takip Edilen Türk Futbolcular'!S65)</f>
        <v/>
      </c>
      <c r="T963" s="2" t="str">
        <f>IF('Takip Edilen Türk Futbolcular'!T65="","",'Takip Edilen Türk Futbolcular'!T65)</f>
        <v/>
      </c>
      <c r="U963" t="s">
        <v>935</v>
      </c>
      <c r="V963">
        <v>65</v>
      </c>
      <c r="W963" t="str">
        <f ca="1">IF(AND($A963&lt;&gt;"",ISNUMBER($G963),$G963&gt;=TODAY(),$G963&lt;=EDATE(TODAY(),12)),COUNTIFS($G$2:$G$1001,"&gt;="&amp;TODAY(),$G$2:$G$1001,"&lt;"&amp;$G963,$A$2:$A$1001,"&lt;&gt;")+COUNTIFS($G$2:$G963,$G963,$A$2:$A963,"&lt;&gt;"),"")</f>
        <v/>
      </c>
      <c r="X963" t="str">
        <f>IF(AND($A963&lt;&gt;"",ISNUMBER($C963),$C963&gt;=DATE(2003,1,1)),COUNTIFS($C$2:$C963,"&gt;="&amp;DATE(2003,1,1),$A$2:$A963,"&lt;&gt;"),"")</f>
        <v/>
      </c>
    </row>
    <row r="964" spans="1:24">
      <c r="A964" t="str">
        <f>IF('Takip Edilen Türk Futbolcular'!A66="","",'Takip Edilen Türk Futbolcular'!A66)</f>
        <v/>
      </c>
      <c r="B964" t="str">
        <f>IF('Takip Edilen Türk Futbolcular'!B66="","",'Takip Edilen Türk Futbolcular'!B66)</f>
        <v/>
      </c>
      <c r="C964" s="2" t="str">
        <f>IF('Takip Edilen Türk Futbolcular'!C66="","",'Takip Edilen Türk Futbolcular'!C66)</f>
        <v/>
      </c>
      <c r="D964" t="str">
        <f ca="1">IF('Takip Edilen Türk Futbolcular'!D66="","",'Takip Edilen Türk Futbolcular'!D66)</f>
        <v/>
      </c>
      <c r="E964" t="str">
        <f>IF('Takip Edilen Türk Futbolcular'!E66="","",'Takip Edilen Türk Futbolcular'!E66)</f>
        <v>Forvet</v>
      </c>
      <c r="F964" t="str">
        <f>IF('Takip Edilen Türk Futbolcular'!F66="","",'Takip Edilen Türk Futbolcular'!F66)</f>
        <v/>
      </c>
      <c r="G964" s="2" t="str">
        <f>IF('Takip Edilen Türk Futbolcular'!G66="","",'Takip Edilen Türk Futbolcular'!G66)</f>
        <v/>
      </c>
      <c r="H964" t="str">
        <f>IF('Takip Edilen Türk Futbolcular'!H66="","",'Takip Edilen Türk Futbolcular'!H66)</f>
        <v/>
      </c>
      <c r="I964" t="str">
        <f>IF('Takip Edilen Türk Futbolcular'!A66="","",'Takip Edilen Türk Futbolcular'!I66)</f>
        <v/>
      </c>
      <c r="J964" t="str">
        <f>IF('Takip Edilen Türk Futbolcular'!A66="","",'Takip Edilen Türk Futbolcular'!J66)</f>
        <v/>
      </c>
      <c r="K964" t="str">
        <f>IF('Takip Edilen Türk Futbolcular'!K66="","",'Takip Edilen Türk Futbolcular'!K66)</f>
        <v/>
      </c>
      <c r="L964" t="str">
        <f>IF('Takip Edilen Türk Futbolcular'!L66="","",'Takip Edilen Türk Futbolcular'!L66)</f>
        <v/>
      </c>
      <c r="M964" t="str">
        <f>IF('Takip Edilen Türk Futbolcular'!M66="","",'Takip Edilen Türk Futbolcular'!M66)</f>
        <v/>
      </c>
      <c r="N964" t="str">
        <f>IF('Takip Edilen Türk Futbolcular'!N66="","",'Takip Edilen Türk Futbolcular'!N66)</f>
        <v/>
      </c>
      <c r="O964" t="str">
        <f>IF('Takip Edilen Türk Futbolcular'!O66="","",'Takip Edilen Türk Futbolcular'!O66)</f>
        <v/>
      </c>
      <c r="P964" t="str">
        <f>IF('Takip Edilen Türk Futbolcular'!P66="","",'Takip Edilen Türk Futbolcular'!P66)</f>
        <v/>
      </c>
      <c r="Q964" t="str">
        <f>IF('Takip Edilen Türk Futbolcular'!Q66="","",'Takip Edilen Türk Futbolcular'!Q66)</f>
        <v/>
      </c>
      <c r="R964" t="str">
        <f>IF('Takip Edilen Türk Futbolcular'!R66="","",'Takip Edilen Türk Futbolcular'!R66)</f>
        <v/>
      </c>
      <c r="S964" t="str">
        <f>IF('Takip Edilen Türk Futbolcular'!S66="","",'Takip Edilen Türk Futbolcular'!S66)</f>
        <v/>
      </c>
      <c r="T964" s="2" t="str">
        <f>IF('Takip Edilen Türk Futbolcular'!T66="","",'Takip Edilen Türk Futbolcular'!T66)</f>
        <v/>
      </c>
      <c r="U964" t="s">
        <v>935</v>
      </c>
      <c r="V964">
        <v>66</v>
      </c>
      <c r="W964" t="str">
        <f ca="1">IF(AND($A964&lt;&gt;"",ISNUMBER($G964),$G964&gt;=TODAY(),$G964&lt;=EDATE(TODAY(),12)),COUNTIFS($G$2:$G$1001,"&gt;="&amp;TODAY(),$G$2:$G$1001,"&lt;"&amp;$G964,$A$2:$A$1001,"&lt;&gt;")+COUNTIFS($G$2:$G964,$G964,$A$2:$A964,"&lt;&gt;"),"")</f>
        <v/>
      </c>
      <c r="X964" t="str">
        <f>IF(AND($A964&lt;&gt;"",ISNUMBER($C964),$C964&gt;=DATE(2003,1,1)),COUNTIFS($C$2:$C964,"&gt;="&amp;DATE(2003,1,1),$A$2:$A964,"&lt;&gt;"),"")</f>
        <v/>
      </c>
    </row>
    <row r="965" spans="1:24">
      <c r="A965" t="str">
        <f>IF('Takip Edilen Türk Futbolcular'!A67="","",'Takip Edilen Türk Futbolcular'!A67)</f>
        <v/>
      </c>
      <c r="B965" t="str">
        <f>IF('Takip Edilen Türk Futbolcular'!B67="","",'Takip Edilen Türk Futbolcular'!B67)</f>
        <v/>
      </c>
      <c r="C965" s="2" t="str">
        <f>IF('Takip Edilen Türk Futbolcular'!C67="","",'Takip Edilen Türk Futbolcular'!C67)</f>
        <v/>
      </c>
      <c r="D965" t="str">
        <f ca="1">IF('Takip Edilen Türk Futbolcular'!D67="","",'Takip Edilen Türk Futbolcular'!D67)</f>
        <v/>
      </c>
      <c r="E965" t="str">
        <f>IF('Takip Edilen Türk Futbolcular'!E67="","",'Takip Edilen Türk Futbolcular'!E67)</f>
        <v>Forvet</v>
      </c>
      <c r="F965" t="str">
        <f>IF('Takip Edilen Türk Futbolcular'!F67="","",'Takip Edilen Türk Futbolcular'!F67)</f>
        <v/>
      </c>
      <c r="G965" s="2" t="str">
        <f>IF('Takip Edilen Türk Futbolcular'!G67="","",'Takip Edilen Türk Futbolcular'!G67)</f>
        <v/>
      </c>
      <c r="H965" t="str">
        <f>IF('Takip Edilen Türk Futbolcular'!H67="","",'Takip Edilen Türk Futbolcular'!H67)</f>
        <v/>
      </c>
      <c r="I965" t="str">
        <f>IF('Takip Edilen Türk Futbolcular'!A67="","",'Takip Edilen Türk Futbolcular'!I67)</f>
        <v/>
      </c>
      <c r="J965" t="str">
        <f>IF('Takip Edilen Türk Futbolcular'!A67="","",'Takip Edilen Türk Futbolcular'!J67)</f>
        <v/>
      </c>
      <c r="K965" t="str">
        <f>IF('Takip Edilen Türk Futbolcular'!K67="","",'Takip Edilen Türk Futbolcular'!K67)</f>
        <v/>
      </c>
      <c r="L965" t="str">
        <f>IF('Takip Edilen Türk Futbolcular'!L67="","",'Takip Edilen Türk Futbolcular'!L67)</f>
        <v/>
      </c>
      <c r="M965" t="str">
        <f>IF('Takip Edilen Türk Futbolcular'!M67="","",'Takip Edilen Türk Futbolcular'!M67)</f>
        <v/>
      </c>
      <c r="N965" t="str">
        <f>IF('Takip Edilen Türk Futbolcular'!N67="","",'Takip Edilen Türk Futbolcular'!N67)</f>
        <v/>
      </c>
      <c r="O965" t="str">
        <f>IF('Takip Edilen Türk Futbolcular'!O67="","",'Takip Edilen Türk Futbolcular'!O67)</f>
        <v/>
      </c>
      <c r="P965" t="str">
        <f>IF('Takip Edilen Türk Futbolcular'!P67="","",'Takip Edilen Türk Futbolcular'!P67)</f>
        <v/>
      </c>
      <c r="Q965" t="str">
        <f>IF('Takip Edilen Türk Futbolcular'!Q67="","",'Takip Edilen Türk Futbolcular'!Q67)</f>
        <v/>
      </c>
      <c r="R965" t="str">
        <f>IF('Takip Edilen Türk Futbolcular'!R67="","",'Takip Edilen Türk Futbolcular'!R67)</f>
        <v/>
      </c>
      <c r="S965" t="str">
        <f>IF('Takip Edilen Türk Futbolcular'!S67="","",'Takip Edilen Türk Futbolcular'!S67)</f>
        <v/>
      </c>
      <c r="T965" s="2" t="str">
        <f>IF('Takip Edilen Türk Futbolcular'!T67="","",'Takip Edilen Türk Futbolcular'!T67)</f>
        <v/>
      </c>
      <c r="U965" t="s">
        <v>935</v>
      </c>
      <c r="V965">
        <v>67</v>
      </c>
      <c r="W965" t="str">
        <f ca="1">IF(AND($A965&lt;&gt;"",ISNUMBER($G965),$G965&gt;=TODAY(),$G965&lt;=EDATE(TODAY(),12)),COUNTIFS($G$2:$G$1001,"&gt;="&amp;TODAY(),$G$2:$G$1001,"&lt;"&amp;$G965,$A$2:$A$1001,"&lt;&gt;")+COUNTIFS($G$2:$G965,$G965,$A$2:$A965,"&lt;&gt;"),"")</f>
        <v/>
      </c>
      <c r="X965" t="str">
        <f>IF(AND($A965&lt;&gt;"",ISNUMBER($C965),$C965&gt;=DATE(2003,1,1)),COUNTIFS($C$2:$C965,"&gt;="&amp;DATE(2003,1,1),$A$2:$A965,"&lt;&gt;"),"")</f>
        <v/>
      </c>
    </row>
    <row r="966" spans="1:24">
      <c r="A966" t="str">
        <f>IF('Takip Edilen Türk Futbolcular'!A68="","",'Takip Edilen Türk Futbolcular'!A68)</f>
        <v/>
      </c>
      <c r="B966" t="str">
        <f>IF('Takip Edilen Türk Futbolcular'!B68="","",'Takip Edilen Türk Futbolcular'!B68)</f>
        <v/>
      </c>
      <c r="C966" s="2" t="str">
        <f>IF('Takip Edilen Türk Futbolcular'!C68="","",'Takip Edilen Türk Futbolcular'!C68)</f>
        <v/>
      </c>
      <c r="D966" t="str">
        <f ca="1">IF('Takip Edilen Türk Futbolcular'!D68="","",'Takip Edilen Türk Futbolcular'!D68)</f>
        <v/>
      </c>
      <c r="E966" t="str">
        <f>IF('Takip Edilen Türk Futbolcular'!E68="","",'Takip Edilen Türk Futbolcular'!E68)</f>
        <v>Forvet</v>
      </c>
      <c r="F966" t="str">
        <f>IF('Takip Edilen Türk Futbolcular'!F68="","",'Takip Edilen Türk Futbolcular'!F68)</f>
        <v/>
      </c>
      <c r="G966" s="2" t="str">
        <f>IF('Takip Edilen Türk Futbolcular'!G68="","",'Takip Edilen Türk Futbolcular'!G68)</f>
        <v/>
      </c>
      <c r="H966" t="str">
        <f>IF('Takip Edilen Türk Futbolcular'!H68="","",'Takip Edilen Türk Futbolcular'!H68)</f>
        <v/>
      </c>
      <c r="I966" t="str">
        <f>IF('Takip Edilen Türk Futbolcular'!A68="","",'Takip Edilen Türk Futbolcular'!I68)</f>
        <v/>
      </c>
      <c r="J966" t="str">
        <f>IF('Takip Edilen Türk Futbolcular'!A68="","",'Takip Edilen Türk Futbolcular'!J68)</f>
        <v/>
      </c>
      <c r="K966" t="str">
        <f>IF('Takip Edilen Türk Futbolcular'!K68="","",'Takip Edilen Türk Futbolcular'!K68)</f>
        <v/>
      </c>
      <c r="L966" t="str">
        <f>IF('Takip Edilen Türk Futbolcular'!L68="","",'Takip Edilen Türk Futbolcular'!L68)</f>
        <v/>
      </c>
      <c r="M966" t="str">
        <f>IF('Takip Edilen Türk Futbolcular'!M68="","",'Takip Edilen Türk Futbolcular'!M68)</f>
        <v/>
      </c>
      <c r="N966" t="str">
        <f>IF('Takip Edilen Türk Futbolcular'!N68="","",'Takip Edilen Türk Futbolcular'!N68)</f>
        <v/>
      </c>
      <c r="O966" t="str">
        <f>IF('Takip Edilen Türk Futbolcular'!O68="","",'Takip Edilen Türk Futbolcular'!O68)</f>
        <v/>
      </c>
      <c r="P966" t="str">
        <f>IF('Takip Edilen Türk Futbolcular'!P68="","",'Takip Edilen Türk Futbolcular'!P68)</f>
        <v/>
      </c>
      <c r="Q966" t="str">
        <f>IF('Takip Edilen Türk Futbolcular'!Q68="","",'Takip Edilen Türk Futbolcular'!Q68)</f>
        <v/>
      </c>
      <c r="R966" t="str">
        <f>IF('Takip Edilen Türk Futbolcular'!R68="","",'Takip Edilen Türk Futbolcular'!R68)</f>
        <v/>
      </c>
      <c r="S966" t="str">
        <f>IF('Takip Edilen Türk Futbolcular'!S68="","",'Takip Edilen Türk Futbolcular'!S68)</f>
        <v/>
      </c>
      <c r="T966" s="2" t="str">
        <f>IF('Takip Edilen Türk Futbolcular'!T68="","",'Takip Edilen Türk Futbolcular'!T68)</f>
        <v/>
      </c>
      <c r="U966" t="s">
        <v>935</v>
      </c>
      <c r="V966">
        <v>68</v>
      </c>
      <c r="W966" t="str">
        <f ca="1">IF(AND($A966&lt;&gt;"",ISNUMBER($G966),$G966&gt;=TODAY(),$G966&lt;=EDATE(TODAY(),12)),COUNTIFS($G$2:$G$1001,"&gt;="&amp;TODAY(),$G$2:$G$1001,"&lt;"&amp;$G966,$A$2:$A$1001,"&lt;&gt;")+COUNTIFS($G$2:$G966,$G966,$A$2:$A966,"&lt;&gt;"),"")</f>
        <v/>
      </c>
      <c r="X966" t="str">
        <f>IF(AND($A966&lt;&gt;"",ISNUMBER($C966),$C966&gt;=DATE(2003,1,1)),COUNTIFS($C$2:$C966,"&gt;="&amp;DATE(2003,1,1),$A$2:$A966,"&lt;&gt;"),"")</f>
        <v/>
      </c>
    </row>
    <row r="967" spans="1:24">
      <c r="A967" t="str">
        <f>IF('Takip Edilen Türk Futbolcular'!A69="","",'Takip Edilen Türk Futbolcular'!A69)</f>
        <v/>
      </c>
      <c r="B967" t="str">
        <f>IF('Takip Edilen Türk Futbolcular'!B69="","",'Takip Edilen Türk Futbolcular'!B69)</f>
        <v/>
      </c>
      <c r="C967" s="2" t="str">
        <f>IF('Takip Edilen Türk Futbolcular'!C69="","",'Takip Edilen Türk Futbolcular'!C69)</f>
        <v/>
      </c>
      <c r="D967" t="str">
        <f ca="1">IF('Takip Edilen Türk Futbolcular'!D69="","",'Takip Edilen Türk Futbolcular'!D69)</f>
        <v/>
      </c>
      <c r="E967" t="str">
        <f>IF('Takip Edilen Türk Futbolcular'!E69="","",'Takip Edilen Türk Futbolcular'!E69)</f>
        <v>Forvet</v>
      </c>
      <c r="F967" t="str">
        <f>IF('Takip Edilen Türk Futbolcular'!F69="","",'Takip Edilen Türk Futbolcular'!F69)</f>
        <v/>
      </c>
      <c r="G967" s="2" t="str">
        <f>IF('Takip Edilen Türk Futbolcular'!G69="","",'Takip Edilen Türk Futbolcular'!G69)</f>
        <v/>
      </c>
      <c r="H967" t="str">
        <f>IF('Takip Edilen Türk Futbolcular'!H69="","",'Takip Edilen Türk Futbolcular'!H69)</f>
        <v/>
      </c>
      <c r="I967" t="str">
        <f>IF('Takip Edilen Türk Futbolcular'!A69="","",'Takip Edilen Türk Futbolcular'!I69)</f>
        <v/>
      </c>
      <c r="J967" t="str">
        <f>IF('Takip Edilen Türk Futbolcular'!A69="","",'Takip Edilen Türk Futbolcular'!J69)</f>
        <v/>
      </c>
      <c r="K967" t="str">
        <f>IF('Takip Edilen Türk Futbolcular'!K69="","",'Takip Edilen Türk Futbolcular'!K69)</f>
        <v/>
      </c>
      <c r="L967" t="str">
        <f>IF('Takip Edilen Türk Futbolcular'!L69="","",'Takip Edilen Türk Futbolcular'!L69)</f>
        <v/>
      </c>
      <c r="M967" t="str">
        <f>IF('Takip Edilen Türk Futbolcular'!M69="","",'Takip Edilen Türk Futbolcular'!M69)</f>
        <v/>
      </c>
      <c r="N967" t="str">
        <f>IF('Takip Edilen Türk Futbolcular'!N69="","",'Takip Edilen Türk Futbolcular'!N69)</f>
        <v/>
      </c>
      <c r="O967" t="str">
        <f>IF('Takip Edilen Türk Futbolcular'!O69="","",'Takip Edilen Türk Futbolcular'!O69)</f>
        <v/>
      </c>
      <c r="P967" t="str">
        <f>IF('Takip Edilen Türk Futbolcular'!P69="","",'Takip Edilen Türk Futbolcular'!P69)</f>
        <v/>
      </c>
      <c r="Q967" t="str">
        <f>IF('Takip Edilen Türk Futbolcular'!Q69="","",'Takip Edilen Türk Futbolcular'!Q69)</f>
        <v/>
      </c>
      <c r="R967" t="str">
        <f>IF('Takip Edilen Türk Futbolcular'!R69="","",'Takip Edilen Türk Futbolcular'!R69)</f>
        <v/>
      </c>
      <c r="S967" t="str">
        <f>IF('Takip Edilen Türk Futbolcular'!S69="","",'Takip Edilen Türk Futbolcular'!S69)</f>
        <v/>
      </c>
      <c r="T967" s="2" t="str">
        <f>IF('Takip Edilen Türk Futbolcular'!T69="","",'Takip Edilen Türk Futbolcular'!T69)</f>
        <v/>
      </c>
      <c r="U967" t="s">
        <v>935</v>
      </c>
      <c r="V967">
        <v>69</v>
      </c>
      <c r="W967" t="str">
        <f ca="1">IF(AND($A967&lt;&gt;"",ISNUMBER($G967),$G967&gt;=TODAY(),$G967&lt;=EDATE(TODAY(),12)),COUNTIFS($G$2:$G$1001,"&gt;="&amp;TODAY(),$G$2:$G$1001,"&lt;"&amp;$G967,$A$2:$A$1001,"&lt;&gt;")+COUNTIFS($G$2:$G967,$G967,$A$2:$A967,"&lt;&gt;"),"")</f>
        <v/>
      </c>
      <c r="X967" t="str">
        <f>IF(AND($A967&lt;&gt;"",ISNUMBER($C967),$C967&gt;=DATE(2003,1,1)),COUNTIFS($C$2:$C967,"&gt;="&amp;DATE(2003,1,1),$A$2:$A967,"&lt;&gt;"),"")</f>
        <v/>
      </c>
    </row>
    <row r="968" spans="1:24">
      <c r="A968" t="str">
        <f>IF('Takip Edilen Türk Futbolcular'!A70="","",'Takip Edilen Türk Futbolcular'!A70)</f>
        <v/>
      </c>
      <c r="B968" t="str">
        <f>IF('Takip Edilen Türk Futbolcular'!B70="","",'Takip Edilen Türk Futbolcular'!B70)</f>
        <v/>
      </c>
      <c r="C968" s="2" t="str">
        <f>IF('Takip Edilen Türk Futbolcular'!C70="","",'Takip Edilen Türk Futbolcular'!C70)</f>
        <v/>
      </c>
      <c r="D968" t="str">
        <f ca="1">IF('Takip Edilen Türk Futbolcular'!D70="","",'Takip Edilen Türk Futbolcular'!D70)</f>
        <v/>
      </c>
      <c r="E968" t="str">
        <f>IF('Takip Edilen Türk Futbolcular'!E70="","",'Takip Edilen Türk Futbolcular'!E70)</f>
        <v>Forvet</v>
      </c>
      <c r="F968" t="str">
        <f>IF('Takip Edilen Türk Futbolcular'!F70="","",'Takip Edilen Türk Futbolcular'!F70)</f>
        <v/>
      </c>
      <c r="G968" s="2" t="str">
        <f>IF('Takip Edilen Türk Futbolcular'!G70="","",'Takip Edilen Türk Futbolcular'!G70)</f>
        <v/>
      </c>
      <c r="H968" t="str">
        <f>IF('Takip Edilen Türk Futbolcular'!H70="","",'Takip Edilen Türk Futbolcular'!H70)</f>
        <v/>
      </c>
      <c r="I968" t="str">
        <f>IF('Takip Edilen Türk Futbolcular'!A70="","",'Takip Edilen Türk Futbolcular'!I70)</f>
        <v/>
      </c>
      <c r="J968" t="str">
        <f>IF('Takip Edilen Türk Futbolcular'!A70="","",'Takip Edilen Türk Futbolcular'!J70)</f>
        <v/>
      </c>
      <c r="K968" t="str">
        <f>IF('Takip Edilen Türk Futbolcular'!K70="","",'Takip Edilen Türk Futbolcular'!K70)</f>
        <v/>
      </c>
      <c r="L968" t="str">
        <f>IF('Takip Edilen Türk Futbolcular'!L70="","",'Takip Edilen Türk Futbolcular'!L70)</f>
        <v/>
      </c>
      <c r="M968" t="str">
        <f>IF('Takip Edilen Türk Futbolcular'!M70="","",'Takip Edilen Türk Futbolcular'!M70)</f>
        <v/>
      </c>
      <c r="N968" t="str">
        <f>IF('Takip Edilen Türk Futbolcular'!N70="","",'Takip Edilen Türk Futbolcular'!N70)</f>
        <v/>
      </c>
      <c r="O968" t="str">
        <f>IF('Takip Edilen Türk Futbolcular'!O70="","",'Takip Edilen Türk Futbolcular'!O70)</f>
        <v/>
      </c>
      <c r="P968" t="str">
        <f>IF('Takip Edilen Türk Futbolcular'!P70="","",'Takip Edilen Türk Futbolcular'!P70)</f>
        <v/>
      </c>
      <c r="Q968" t="str">
        <f>IF('Takip Edilen Türk Futbolcular'!Q70="","",'Takip Edilen Türk Futbolcular'!Q70)</f>
        <v/>
      </c>
      <c r="R968" t="str">
        <f>IF('Takip Edilen Türk Futbolcular'!R70="","",'Takip Edilen Türk Futbolcular'!R70)</f>
        <v/>
      </c>
      <c r="S968" t="str">
        <f>IF('Takip Edilen Türk Futbolcular'!S70="","",'Takip Edilen Türk Futbolcular'!S70)</f>
        <v/>
      </c>
      <c r="T968" s="2" t="str">
        <f>IF('Takip Edilen Türk Futbolcular'!T70="","",'Takip Edilen Türk Futbolcular'!T70)</f>
        <v/>
      </c>
      <c r="U968" t="s">
        <v>935</v>
      </c>
      <c r="V968">
        <v>70</v>
      </c>
      <c r="W968" t="str">
        <f ca="1">IF(AND($A968&lt;&gt;"",ISNUMBER($G968),$G968&gt;=TODAY(),$G968&lt;=EDATE(TODAY(),12)),COUNTIFS($G$2:$G$1001,"&gt;="&amp;TODAY(),$G$2:$G$1001,"&lt;"&amp;$G968,$A$2:$A$1001,"&lt;&gt;")+COUNTIFS($G$2:$G968,$G968,$A$2:$A968,"&lt;&gt;"),"")</f>
        <v/>
      </c>
      <c r="X968" t="str">
        <f>IF(AND($A968&lt;&gt;"",ISNUMBER($C968),$C968&gt;=DATE(2003,1,1)),COUNTIFS($C$2:$C968,"&gt;="&amp;DATE(2003,1,1),$A$2:$A968,"&lt;&gt;"),"")</f>
        <v/>
      </c>
    </row>
    <row r="969" spans="1:24">
      <c r="A969" t="str">
        <f>IF('Takip Edilen Türk Futbolcular'!A71="","",'Takip Edilen Türk Futbolcular'!A71)</f>
        <v/>
      </c>
      <c r="B969" t="str">
        <f>IF('Takip Edilen Türk Futbolcular'!B71="","",'Takip Edilen Türk Futbolcular'!B71)</f>
        <v/>
      </c>
      <c r="C969" s="2" t="str">
        <f>IF('Takip Edilen Türk Futbolcular'!C71="","",'Takip Edilen Türk Futbolcular'!C71)</f>
        <v/>
      </c>
      <c r="D969" t="str">
        <f ca="1">IF('Takip Edilen Türk Futbolcular'!D71="","",'Takip Edilen Türk Futbolcular'!D71)</f>
        <v/>
      </c>
      <c r="E969" t="str">
        <f>IF('Takip Edilen Türk Futbolcular'!E71="","",'Takip Edilen Türk Futbolcular'!E71)</f>
        <v>Forvet</v>
      </c>
      <c r="F969" t="str">
        <f>IF('Takip Edilen Türk Futbolcular'!F71="","",'Takip Edilen Türk Futbolcular'!F71)</f>
        <v/>
      </c>
      <c r="G969" s="2" t="str">
        <f>IF('Takip Edilen Türk Futbolcular'!G71="","",'Takip Edilen Türk Futbolcular'!G71)</f>
        <v/>
      </c>
      <c r="H969" t="str">
        <f>IF('Takip Edilen Türk Futbolcular'!H71="","",'Takip Edilen Türk Futbolcular'!H71)</f>
        <v/>
      </c>
      <c r="I969" t="str">
        <f>IF('Takip Edilen Türk Futbolcular'!A71="","",'Takip Edilen Türk Futbolcular'!I71)</f>
        <v/>
      </c>
      <c r="J969" t="str">
        <f>IF('Takip Edilen Türk Futbolcular'!A71="","",'Takip Edilen Türk Futbolcular'!J71)</f>
        <v/>
      </c>
      <c r="K969" t="str">
        <f>IF('Takip Edilen Türk Futbolcular'!K71="","",'Takip Edilen Türk Futbolcular'!K71)</f>
        <v/>
      </c>
      <c r="L969" t="str">
        <f>IF('Takip Edilen Türk Futbolcular'!L71="","",'Takip Edilen Türk Futbolcular'!L71)</f>
        <v/>
      </c>
      <c r="M969" t="str">
        <f>IF('Takip Edilen Türk Futbolcular'!M71="","",'Takip Edilen Türk Futbolcular'!M71)</f>
        <v/>
      </c>
      <c r="N969" t="str">
        <f>IF('Takip Edilen Türk Futbolcular'!N71="","",'Takip Edilen Türk Futbolcular'!N71)</f>
        <v/>
      </c>
      <c r="O969" t="str">
        <f>IF('Takip Edilen Türk Futbolcular'!O71="","",'Takip Edilen Türk Futbolcular'!O71)</f>
        <v/>
      </c>
      <c r="P969" t="str">
        <f>IF('Takip Edilen Türk Futbolcular'!P71="","",'Takip Edilen Türk Futbolcular'!P71)</f>
        <v/>
      </c>
      <c r="Q969" t="str">
        <f>IF('Takip Edilen Türk Futbolcular'!Q71="","",'Takip Edilen Türk Futbolcular'!Q71)</f>
        <v/>
      </c>
      <c r="R969" t="str">
        <f>IF('Takip Edilen Türk Futbolcular'!R71="","",'Takip Edilen Türk Futbolcular'!R71)</f>
        <v/>
      </c>
      <c r="S969" t="str">
        <f>IF('Takip Edilen Türk Futbolcular'!S71="","",'Takip Edilen Türk Futbolcular'!S71)</f>
        <v/>
      </c>
      <c r="T969" s="2" t="str">
        <f>IF('Takip Edilen Türk Futbolcular'!T71="","",'Takip Edilen Türk Futbolcular'!T71)</f>
        <v/>
      </c>
      <c r="U969" t="s">
        <v>935</v>
      </c>
      <c r="V969">
        <v>71</v>
      </c>
      <c r="W969" t="str">
        <f ca="1">IF(AND($A969&lt;&gt;"",ISNUMBER($G969),$G969&gt;=TODAY(),$G969&lt;=EDATE(TODAY(),12)),COUNTIFS($G$2:$G$1001,"&gt;="&amp;TODAY(),$G$2:$G$1001,"&lt;"&amp;$G969,$A$2:$A$1001,"&lt;&gt;")+COUNTIFS($G$2:$G969,$G969,$A$2:$A969,"&lt;&gt;"),"")</f>
        <v/>
      </c>
      <c r="X969" t="str">
        <f>IF(AND($A969&lt;&gt;"",ISNUMBER($C969),$C969&gt;=DATE(2003,1,1)),COUNTIFS($C$2:$C969,"&gt;="&amp;DATE(2003,1,1),$A$2:$A969,"&lt;&gt;"),"")</f>
        <v/>
      </c>
    </row>
    <row r="970" spans="1:24">
      <c r="A970" t="str">
        <f>IF('Takip Edilen Türk Futbolcular'!A72="","",'Takip Edilen Türk Futbolcular'!A72)</f>
        <v/>
      </c>
      <c r="B970" t="str">
        <f>IF('Takip Edilen Türk Futbolcular'!B72="","",'Takip Edilen Türk Futbolcular'!B72)</f>
        <v/>
      </c>
      <c r="C970" s="2" t="str">
        <f>IF('Takip Edilen Türk Futbolcular'!C72="","",'Takip Edilen Türk Futbolcular'!C72)</f>
        <v/>
      </c>
      <c r="D970" t="str">
        <f ca="1">IF('Takip Edilen Türk Futbolcular'!D72="","",'Takip Edilen Türk Futbolcular'!D72)</f>
        <v/>
      </c>
      <c r="E970" t="str">
        <f>IF('Takip Edilen Türk Futbolcular'!E72="","",'Takip Edilen Türk Futbolcular'!E72)</f>
        <v>Forvet</v>
      </c>
      <c r="F970" t="str">
        <f>IF('Takip Edilen Türk Futbolcular'!F72="","",'Takip Edilen Türk Futbolcular'!F72)</f>
        <v/>
      </c>
      <c r="G970" s="2" t="str">
        <f>IF('Takip Edilen Türk Futbolcular'!G72="","",'Takip Edilen Türk Futbolcular'!G72)</f>
        <v/>
      </c>
      <c r="H970" t="str">
        <f>IF('Takip Edilen Türk Futbolcular'!H72="","",'Takip Edilen Türk Futbolcular'!H72)</f>
        <v/>
      </c>
      <c r="I970" t="str">
        <f>IF('Takip Edilen Türk Futbolcular'!A72="","",'Takip Edilen Türk Futbolcular'!I72)</f>
        <v/>
      </c>
      <c r="J970" t="str">
        <f>IF('Takip Edilen Türk Futbolcular'!A72="","",'Takip Edilen Türk Futbolcular'!J72)</f>
        <v/>
      </c>
      <c r="K970" t="str">
        <f>IF('Takip Edilen Türk Futbolcular'!K72="","",'Takip Edilen Türk Futbolcular'!K72)</f>
        <v/>
      </c>
      <c r="L970" t="str">
        <f>IF('Takip Edilen Türk Futbolcular'!L72="","",'Takip Edilen Türk Futbolcular'!L72)</f>
        <v/>
      </c>
      <c r="M970" t="str">
        <f>IF('Takip Edilen Türk Futbolcular'!M72="","",'Takip Edilen Türk Futbolcular'!M72)</f>
        <v/>
      </c>
      <c r="N970" t="str">
        <f>IF('Takip Edilen Türk Futbolcular'!N72="","",'Takip Edilen Türk Futbolcular'!N72)</f>
        <v/>
      </c>
      <c r="O970" t="str">
        <f>IF('Takip Edilen Türk Futbolcular'!O72="","",'Takip Edilen Türk Futbolcular'!O72)</f>
        <v/>
      </c>
      <c r="P970" t="str">
        <f>IF('Takip Edilen Türk Futbolcular'!P72="","",'Takip Edilen Türk Futbolcular'!P72)</f>
        <v/>
      </c>
      <c r="Q970" t="str">
        <f>IF('Takip Edilen Türk Futbolcular'!Q72="","",'Takip Edilen Türk Futbolcular'!Q72)</f>
        <v/>
      </c>
      <c r="R970" t="str">
        <f>IF('Takip Edilen Türk Futbolcular'!R72="","",'Takip Edilen Türk Futbolcular'!R72)</f>
        <v/>
      </c>
      <c r="S970" t="str">
        <f>IF('Takip Edilen Türk Futbolcular'!S72="","",'Takip Edilen Türk Futbolcular'!S72)</f>
        <v/>
      </c>
      <c r="T970" s="2" t="str">
        <f>IF('Takip Edilen Türk Futbolcular'!T72="","",'Takip Edilen Türk Futbolcular'!T72)</f>
        <v/>
      </c>
      <c r="U970" t="s">
        <v>935</v>
      </c>
      <c r="V970">
        <v>72</v>
      </c>
      <c r="W970" t="str">
        <f ca="1">IF(AND($A970&lt;&gt;"",ISNUMBER($G970),$G970&gt;=TODAY(),$G970&lt;=EDATE(TODAY(),12)),COUNTIFS($G$2:$G$1001,"&gt;="&amp;TODAY(),$G$2:$G$1001,"&lt;"&amp;$G970,$A$2:$A$1001,"&lt;&gt;")+COUNTIFS($G$2:$G970,$G970,$A$2:$A970,"&lt;&gt;"),"")</f>
        <v/>
      </c>
      <c r="X970" t="str">
        <f>IF(AND($A970&lt;&gt;"",ISNUMBER($C970),$C970&gt;=DATE(2003,1,1)),COUNTIFS($C$2:$C970,"&gt;="&amp;DATE(2003,1,1),$A$2:$A970,"&lt;&gt;"),"")</f>
        <v/>
      </c>
    </row>
    <row r="971" spans="1:24">
      <c r="A971" t="str">
        <f>IF('Takip Edilen Türk Futbolcular'!A73="","",'Takip Edilen Türk Futbolcular'!A73)</f>
        <v/>
      </c>
      <c r="B971" t="str">
        <f>IF('Takip Edilen Türk Futbolcular'!B73="","",'Takip Edilen Türk Futbolcular'!B73)</f>
        <v/>
      </c>
      <c r="C971" s="2" t="str">
        <f>IF('Takip Edilen Türk Futbolcular'!C73="","",'Takip Edilen Türk Futbolcular'!C73)</f>
        <v/>
      </c>
      <c r="D971" t="str">
        <f ca="1">IF('Takip Edilen Türk Futbolcular'!D73="","",'Takip Edilen Türk Futbolcular'!D73)</f>
        <v/>
      </c>
      <c r="E971" t="str">
        <f>IF('Takip Edilen Türk Futbolcular'!E73="","",'Takip Edilen Türk Futbolcular'!E73)</f>
        <v>Forvet</v>
      </c>
      <c r="F971" t="str">
        <f>IF('Takip Edilen Türk Futbolcular'!F73="","",'Takip Edilen Türk Futbolcular'!F73)</f>
        <v/>
      </c>
      <c r="G971" s="2" t="str">
        <f>IF('Takip Edilen Türk Futbolcular'!G73="","",'Takip Edilen Türk Futbolcular'!G73)</f>
        <v/>
      </c>
      <c r="H971" t="str">
        <f>IF('Takip Edilen Türk Futbolcular'!H73="","",'Takip Edilen Türk Futbolcular'!H73)</f>
        <v/>
      </c>
      <c r="I971" t="str">
        <f>IF('Takip Edilen Türk Futbolcular'!A73="","",'Takip Edilen Türk Futbolcular'!I73)</f>
        <v/>
      </c>
      <c r="J971" t="str">
        <f>IF('Takip Edilen Türk Futbolcular'!A73="","",'Takip Edilen Türk Futbolcular'!J73)</f>
        <v/>
      </c>
      <c r="K971" t="str">
        <f>IF('Takip Edilen Türk Futbolcular'!K73="","",'Takip Edilen Türk Futbolcular'!K73)</f>
        <v/>
      </c>
      <c r="L971" t="str">
        <f>IF('Takip Edilen Türk Futbolcular'!L73="","",'Takip Edilen Türk Futbolcular'!L73)</f>
        <v/>
      </c>
      <c r="M971" t="str">
        <f>IF('Takip Edilen Türk Futbolcular'!M73="","",'Takip Edilen Türk Futbolcular'!M73)</f>
        <v/>
      </c>
      <c r="N971" t="str">
        <f>IF('Takip Edilen Türk Futbolcular'!N73="","",'Takip Edilen Türk Futbolcular'!N73)</f>
        <v/>
      </c>
      <c r="O971" t="str">
        <f>IF('Takip Edilen Türk Futbolcular'!O73="","",'Takip Edilen Türk Futbolcular'!O73)</f>
        <v/>
      </c>
      <c r="P971" t="str">
        <f>IF('Takip Edilen Türk Futbolcular'!P73="","",'Takip Edilen Türk Futbolcular'!P73)</f>
        <v/>
      </c>
      <c r="Q971" t="str">
        <f>IF('Takip Edilen Türk Futbolcular'!Q73="","",'Takip Edilen Türk Futbolcular'!Q73)</f>
        <v/>
      </c>
      <c r="R971" t="str">
        <f>IF('Takip Edilen Türk Futbolcular'!R73="","",'Takip Edilen Türk Futbolcular'!R73)</f>
        <v/>
      </c>
      <c r="S971" t="str">
        <f>IF('Takip Edilen Türk Futbolcular'!S73="","",'Takip Edilen Türk Futbolcular'!S73)</f>
        <v/>
      </c>
      <c r="T971" s="2" t="str">
        <f>IF('Takip Edilen Türk Futbolcular'!T73="","",'Takip Edilen Türk Futbolcular'!T73)</f>
        <v/>
      </c>
      <c r="U971" t="s">
        <v>935</v>
      </c>
      <c r="V971">
        <v>73</v>
      </c>
      <c r="W971" t="str">
        <f ca="1">IF(AND($A971&lt;&gt;"",ISNUMBER($G971),$G971&gt;=TODAY(),$G971&lt;=EDATE(TODAY(),12)),COUNTIFS($G$2:$G$1001,"&gt;="&amp;TODAY(),$G$2:$G$1001,"&lt;"&amp;$G971,$A$2:$A$1001,"&lt;&gt;")+COUNTIFS($G$2:$G971,$G971,$A$2:$A971,"&lt;&gt;"),"")</f>
        <v/>
      </c>
      <c r="X971" t="str">
        <f>IF(AND($A971&lt;&gt;"",ISNUMBER($C971),$C971&gt;=DATE(2003,1,1)),COUNTIFS($C$2:$C971,"&gt;="&amp;DATE(2003,1,1),$A$2:$A971,"&lt;&gt;"),"")</f>
        <v/>
      </c>
    </row>
    <row r="972" spans="1:24">
      <c r="A972" t="str">
        <f>IF('Takip Edilen Türk Futbolcular'!A74="","",'Takip Edilen Türk Futbolcular'!A74)</f>
        <v/>
      </c>
      <c r="B972" t="str">
        <f>IF('Takip Edilen Türk Futbolcular'!B74="","",'Takip Edilen Türk Futbolcular'!B74)</f>
        <v/>
      </c>
      <c r="C972" s="2" t="str">
        <f>IF('Takip Edilen Türk Futbolcular'!C74="","",'Takip Edilen Türk Futbolcular'!C74)</f>
        <v/>
      </c>
      <c r="D972" t="str">
        <f ca="1">IF('Takip Edilen Türk Futbolcular'!D74="","",'Takip Edilen Türk Futbolcular'!D74)</f>
        <v/>
      </c>
      <c r="E972" t="str">
        <f>IF('Takip Edilen Türk Futbolcular'!E74="","",'Takip Edilen Türk Futbolcular'!E74)</f>
        <v>Forvet</v>
      </c>
      <c r="F972" t="str">
        <f>IF('Takip Edilen Türk Futbolcular'!F74="","",'Takip Edilen Türk Futbolcular'!F74)</f>
        <v/>
      </c>
      <c r="G972" s="2" t="str">
        <f>IF('Takip Edilen Türk Futbolcular'!G74="","",'Takip Edilen Türk Futbolcular'!G74)</f>
        <v/>
      </c>
      <c r="H972" t="str">
        <f>IF('Takip Edilen Türk Futbolcular'!H74="","",'Takip Edilen Türk Futbolcular'!H74)</f>
        <v/>
      </c>
      <c r="I972" t="str">
        <f>IF('Takip Edilen Türk Futbolcular'!A74="","",'Takip Edilen Türk Futbolcular'!I74)</f>
        <v/>
      </c>
      <c r="J972" t="str">
        <f>IF('Takip Edilen Türk Futbolcular'!A74="","",'Takip Edilen Türk Futbolcular'!J74)</f>
        <v/>
      </c>
      <c r="K972" t="str">
        <f>IF('Takip Edilen Türk Futbolcular'!K74="","",'Takip Edilen Türk Futbolcular'!K74)</f>
        <v/>
      </c>
      <c r="L972" t="str">
        <f>IF('Takip Edilen Türk Futbolcular'!L74="","",'Takip Edilen Türk Futbolcular'!L74)</f>
        <v/>
      </c>
      <c r="M972" t="str">
        <f>IF('Takip Edilen Türk Futbolcular'!M74="","",'Takip Edilen Türk Futbolcular'!M74)</f>
        <v/>
      </c>
      <c r="N972" t="str">
        <f>IF('Takip Edilen Türk Futbolcular'!N74="","",'Takip Edilen Türk Futbolcular'!N74)</f>
        <v/>
      </c>
      <c r="O972" t="str">
        <f>IF('Takip Edilen Türk Futbolcular'!O74="","",'Takip Edilen Türk Futbolcular'!O74)</f>
        <v/>
      </c>
      <c r="P972" t="str">
        <f>IF('Takip Edilen Türk Futbolcular'!P74="","",'Takip Edilen Türk Futbolcular'!P74)</f>
        <v/>
      </c>
      <c r="Q972" t="str">
        <f>IF('Takip Edilen Türk Futbolcular'!Q74="","",'Takip Edilen Türk Futbolcular'!Q74)</f>
        <v/>
      </c>
      <c r="R972" t="str">
        <f>IF('Takip Edilen Türk Futbolcular'!R74="","",'Takip Edilen Türk Futbolcular'!R74)</f>
        <v/>
      </c>
      <c r="S972" t="str">
        <f>IF('Takip Edilen Türk Futbolcular'!S74="","",'Takip Edilen Türk Futbolcular'!S74)</f>
        <v/>
      </c>
      <c r="T972" s="2" t="str">
        <f>IF('Takip Edilen Türk Futbolcular'!T74="","",'Takip Edilen Türk Futbolcular'!T74)</f>
        <v/>
      </c>
      <c r="U972" t="s">
        <v>935</v>
      </c>
      <c r="V972">
        <v>74</v>
      </c>
      <c r="W972" t="str">
        <f ca="1">IF(AND($A972&lt;&gt;"",ISNUMBER($G972),$G972&gt;=TODAY(),$G972&lt;=EDATE(TODAY(),12)),COUNTIFS($G$2:$G$1001,"&gt;="&amp;TODAY(),$G$2:$G$1001,"&lt;"&amp;$G972,$A$2:$A$1001,"&lt;&gt;")+COUNTIFS($G$2:$G972,$G972,$A$2:$A972,"&lt;&gt;"),"")</f>
        <v/>
      </c>
      <c r="X972" t="str">
        <f>IF(AND($A972&lt;&gt;"",ISNUMBER($C972),$C972&gt;=DATE(2003,1,1)),COUNTIFS($C$2:$C972,"&gt;="&amp;DATE(2003,1,1),$A$2:$A972,"&lt;&gt;"),"")</f>
        <v/>
      </c>
    </row>
    <row r="973" spans="1:24">
      <c r="A973" t="str">
        <f>IF('Takip Edilen Türk Futbolcular'!A75="","",'Takip Edilen Türk Futbolcular'!A75)</f>
        <v/>
      </c>
      <c r="B973" t="str">
        <f>IF('Takip Edilen Türk Futbolcular'!B75="","",'Takip Edilen Türk Futbolcular'!B75)</f>
        <v/>
      </c>
      <c r="C973" s="2" t="str">
        <f>IF('Takip Edilen Türk Futbolcular'!C75="","",'Takip Edilen Türk Futbolcular'!C75)</f>
        <v/>
      </c>
      <c r="D973" t="str">
        <f ca="1">IF('Takip Edilen Türk Futbolcular'!D75="","",'Takip Edilen Türk Futbolcular'!D75)</f>
        <v/>
      </c>
      <c r="E973" t="str">
        <f>IF('Takip Edilen Türk Futbolcular'!E75="","",'Takip Edilen Türk Futbolcular'!E75)</f>
        <v>Forvet</v>
      </c>
      <c r="F973" t="str">
        <f>IF('Takip Edilen Türk Futbolcular'!F75="","",'Takip Edilen Türk Futbolcular'!F75)</f>
        <v/>
      </c>
      <c r="G973" s="2" t="str">
        <f>IF('Takip Edilen Türk Futbolcular'!G75="","",'Takip Edilen Türk Futbolcular'!G75)</f>
        <v/>
      </c>
      <c r="H973" t="str">
        <f>IF('Takip Edilen Türk Futbolcular'!H75="","",'Takip Edilen Türk Futbolcular'!H75)</f>
        <v/>
      </c>
      <c r="I973" t="str">
        <f>IF('Takip Edilen Türk Futbolcular'!A75="","",'Takip Edilen Türk Futbolcular'!I75)</f>
        <v/>
      </c>
      <c r="J973" t="str">
        <f>IF('Takip Edilen Türk Futbolcular'!A75="","",'Takip Edilen Türk Futbolcular'!J75)</f>
        <v/>
      </c>
      <c r="K973" t="str">
        <f>IF('Takip Edilen Türk Futbolcular'!K75="","",'Takip Edilen Türk Futbolcular'!K75)</f>
        <v/>
      </c>
      <c r="L973" t="str">
        <f>IF('Takip Edilen Türk Futbolcular'!L75="","",'Takip Edilen Türk Futbolcular'!L75)</f>
        <v/>
      </c>
      <c r="M973" t="str">
        <f>IF('Takip Edilen Türk Futbolcular'!M75="","",'Takip Edilen Türk Futbolcular'!M75)</f>
        <v/>
      </c>
      <c r="N973" t="str">
        <f>IF('Takip Edilen Türk Futbolcular'!N75="","",'Takip Edilen Türk Futbolcular'!N75)</f>
        <v/>
      </c>
      <c r="O973" t="str">
        <f>IF('Takip Edilen Türk Futbolcular'!O75="","",'Takip Edilen Türk Futbolcular'!O75)</f>
        <v/>
      </c>
      <c r="P973" t="str">
        <f>IF('Takip Edilen Türk Futbolcular'!P75="","",'Takip Edilen Türk Futbolcular'!P75)</f>
        <v/>
      </c>
      <c r="Q973" t="str">
        <f>IF('Takip Edilen Türk Futbolcular'!Q75="","",'Takip Edilen Türk Futbolcular'!Q75)</f>
        <v/>
      </c>
      <c r="R973" t="str">
        <f>IF('Takip Edilen Türk Futbolcular'!R75="","",'Takip Edilen Türk Futbolcular'!R75)</f>
        <v/>
      </c>
      <c r="S973" t="str">
        <f>IF('Takip Edilen Türk Futbolcular'!S75="","",'Takip Edilen Türk Futbolcular'!S75)</f>
        <v/>
      </c>
      <c r="T973" s="2" t="str">
        <f>IF('Takip Edilen Türk Futbolcular'!T75="","",'Takip Edilen Türk Futbolcular'!T75)</f>
        <v/>
      </c>
      <c r="U973" t="s">
        <v>935</v>
      </c>
      <c r="V973">
        <v>75</v>
      </c>
      <c r="W973" t="str">
        <f ca="1">IF(AND($A973&lt;&gt;"",ISNUMBER($G973),$G973&gt;=TODAY(),$G973&lt;=EDATE(TODAY(),12)),COUNTIFS($G$2:$G$1001,"&gt;="&amp;TODAY(),$G$2:$G$1001,"&lt;"&amp;$G973,$A$2:$A$1001,"&lt;&gt;")+COUNTIFS($G$2:$G973,$G973,$A$2:$A973,"&lt;&gt;"),"")</f>
        <v/>
      </c>
      <c r="X973" t="str">
        <f>IF(AND($A973&lt;&gt;"",ISNUMBER($C973),$C973&gt;=DATE(2003,1,1)),COUNTIFS($C$2:$C973,"&gt;="&amp;DATE(2003,1,1),$A$2:$A973,"&lt;&gt;"),"")</f>
        <v/>
      </c>
    </row>
    <row r="974" spans="1:24">
      <c r="A974" t="str">
        <f>IF('Takip Edilen Türk Futbolcular'!A76="","",'Takip Edilen Türk Futbolcular'!A76)</f>
        <v/>
      </c>
      <c r="B974" t="str">
        <f>IF('Takip Edilen Türk Futbolcular'!B76="","",'Takip Edilen Türk Futbolcular'!B76)</f>
        <v/>
      </c>
      <c r="C974" s="2" t="str">
        <f>IF('Takip Edilen Türk Futbolcular'!C76="","",'Takip Edilen Türk Futbolcular'!C76)</f>
        <v/>
      </c>
      <c r="D974" t="str">
        <f ca="1">IF('Takip Edilen Türk Futbolcular'!D76="","",'Takip Edilen Türk Futbolcular'!D76)</f>
        <v/>
      </c>
      <c r="E974" t="str">
        <f>IF('Takip Edilen Türk Futbolcular'!E76="","",'Takip Edilen Türk Futbolcular'!E76)</f>
        <v>Forvet</v>
      </c>
      <c r="F974" t="str">
        <f>IF('Takip Edilen Türk Futbolcular'!F76="","",'Takip Edilen Türk Futbolcular'!F76)</f>
        <v/>
      </c>
      <c r="G974" s="2" t="str">
        <f>IF('Takip Edilen Türk Futbolcular'!G76="","",'Takip Edilen Türk Futbolcular'!G76)</f>
        <v/>
      </c>
      <c r="H974" t="str">
        <f>IF('Takip Edilen Türk Futbolcular'!H76="","",'Takip Edilen Türk Futbolcular'!H76)</f>
        <v/>
      </c>
      <c r="I974" t="str">
        <f>IF('Takip Edilen Türk Futbolcular'!A76="","",'Takip Edilen Türk Futbolcular'!I76)</f>
        <v/>
      </c>
      <c r="J974" t="str">
        <f>IF('Takip Edilen Türk Futbolcular'!A76="","",'Takip Edilen Türk Futbolcular'!J76)</f>
        <v/>
      </c>
      <c r="K974" t="str">
        <f>IF('Takip Edilen Türk Futbolcular'!K76="","",'Takip Edilen Türk Futbolcular'!K76)</f>
        <v/>
      </c>
      <c r="L974" t="str">
        <f>IF('Takip Edilen Türk Futbolcular'!L76="","",'Takip Edilen Türk Futbolcular'!L76)</f>
        <v/>
      </c>
      <c r="M974" t="str">
        <f>IF('Takip Edilen Türk Futbolcular'!M76="","",'Takip Edilen Türk Futbolcular'!M76)</f>
        <v/>
      </c>
      <c r="N974" t="str">
        <f>IF('Takip Edilen Türk Futbolcular'!N76="","",'Takip Edilen Türk Futbolcular'!N76)</f>
        <v/>
      </c>
      <c r="O974" t="str">
        <f>IF('Takip Edilen Türk Futbolcular'!O76="","",'Takip Edilen Türk Futbolcular'!O76)</f>
        <v/>
      </c>
      <c r="P974" t="str">
        <f>IF('Takip Edilen Türk Futbolcular'!P76="","",'Takip Edilen Türk Futbolcular'!P76)</f>
        <v/>
      </c>
      <c r="Q974" t="str">
        <f>IF('Takip Edilen Türk Futbolcular'!Q76="","",'Takip Edilen Türk Futbolcular'!Q76)</f>
        <v/>
      </c>
      <c r="R974" t="str">
        <f>IF('Takip Edilen Türk Futbolcular'!R76="","",'Takip Edilen Türk Futbolcular'!R76)</f>
        <v/>
      </c>
      <c r="S974" t="str">
        <f>IF('Takip Edilen Türk Futbolcular'!S76="","",'Takip Edilen Türk Futbolcular'!S76)</f>
        <v/>
      </c>
      <c r="T974" s="2" t="str">
        <f>IF('Takip Edilen Türk Futbolcular'!T76="","",'Takip Edilen Türk Futbolcular'!T76)</f>
        <v/>
      </c>
      <c r="U974" t="s">
        <v>935</v>
      </c>
      <c r="V974">
        <v>76</v>
      </c>
      <c r="W974" t="str">
        <f ca="1">IF(AND($A974&lt;&gt;"",ISNUMBER($G974),$G974&gt;=TODAY(),$G974&lt;=EDATE(TODAY(),12)),COUNTIFS($G$2:$G$1001,"&gt;="&amp;TODAY(),$G$2:$G$1001,"&lt;"&amp;$G974,$A$2:$A$1001,"&lt;&gt;")+COUNTIFS($G$2:$G974,$G974,$A$2:$A974,"&lt;&gt;"),"")</f>
        <v/>
      </c>
      <c r="X974" t="str">
        <f>IF(AND($A974&lt;&gt;"",ISNUMBER($C974),$C974&gt;=DATE(2003,1,1)),COUNTIFS($C$2:$C974,"&gt;="&amp;DATE(2003,1,1),$A$2:$A974,"&lt;&gt;"),"")</f>
        <v/>
      </c>
    </row>
    <row r="975" spans="1:24">
      <c r="A975" t="str">
        <f>IF('Takip Edilen Türk Futbolcular'!A77="","",'Takip Edilen Türk Futbolcular'!A77)</f>
        <v/>
      </c>
      <c r="B975" t="str">
        <f>IF('Takip Edilen Türk Futbolcular'!B77="","",'Takip Edilen Türk Futbolcular'!B77)</f>
        <v/>
      </c>
      <c r="C975" s="2" t="str">
        <f>IF('Takip Edilen Türk Futbolcular'!C77="","",'Takip Edilen Türk Futbolcular'!C77)</f>
        <v/>
      </c>
      <c r="D975" t="str">
        <f ca="1">IF('Takip Edilen Türk Futbolcular'!D77="","",'Takip Edilen Türk Futbolcular'!D77)</f>
        <v/>
      </c>
      <c r="E975" t="str">
        <f>IF('Takip Edilen Türk Futbolcular'!E77="","",'Takip Edilen Türk Futbolcular'!E77)</f>
        <v>Forvet</v>
      </c>
      <c r="F975" t="str">
        <f>IF('Takip Edilen Türk Futbolcular'!F77="","",'Takip Edilen Türk Futbolcular'!F77)</f>
        <v/>
      </c>
      <c r="G975" s="2" t="str">
        <f>IF('Takip Edilen Türk Futbolcular'!G77="","",'Takip Edilen Türk Futbolcular'!G77)</f>
        <v/>
      </c>
      <c r="H975" t="str">
        <f>IF('Takip Edilen Türk Futbolcular'!H77="","",'Takip Edilen Türk Futbolcular'!H77)</f>
        <v/>
      </c>
      <c r="I975" t="str">
        <f>IF('Takip Edilen Türk Futbolcular'!A77="","",'Takip Edilen Türk Futbolcular'!I77)</f>
        <v/>
      </c>
      <c r="J975" t="str">
        <f>IF('Takip Edilen Türk Futbolcular'!A77="","",'Takip Edilen Türk Futbolcular'!J77)</f>
        <v/>
      </c>
      <c r="K975" t="str">
        <f>IF('Takip Edilen Türk Futbolcular'!K77="","",'Takip Edilen Türk Futbolcular'!K77)</f>
        <v/>
      </c>
      <c r="L975" t="str">
        <f>IF('Takip Edilen Türk Futbolcular'!L77="","",'Takip Edilen Türk Futbolcular'!L77)</f>
        <v/>
      </c>
      <c r="M975" t="str">
        <f>IF('Takip Edilen Türk Futbolcular'!M77="","",'Takip Edilen Türk Futbolcular'!M77)</f>
        <v/>
      </c>
      <c r="N975" t="str">
        <f>IF('Takip Edilen Türk Futbolcular'!N77="","",'Takip Edilen Türk Futbolcular'!N77)</f>
        <v/>
      </c>
      <c r="O975" t="str">
        <f>IF('Takip Edilen Türk Futbolcular'!O77="","",'Takip Edilen Türk Futbolcular'!O77)</f>
        <v/>
      </c>
      <c r="P975" t="str">
        <f>IF('Takip Edilen Türk Futbolcular'!P77="","",'Takip Edilen Türk Futbolcular'!P77)</f>
        <v/>
      </c>
      <c r="Q975" t="str">
        <f>IF('Takip Edilen Türk Futbolcular'!Q77="","",'Takip Edilen Türk Futbolcular'!Q77)</f>
        <v/>
      </c>
      <c r="R975" t="str">
        <f>IF('Takip Edilen Türk Futbolcular'!R77="","",'Takip Edilen Türk Futbolcular'!R77)</f>
        <v/>
      </c>
      <c r="S975" t="str">
        <f>IF('Takip Edilen Türk Futbolcular'!S77="","",'Takip Edilen Türk Futbolcular'!S77)</f>
        <v/>
      </c>
      <c r="T975" s="2" t="str">
        <f>IF('Takip Edilen Türk Futbolcular'!T77="","",'Takip Edilen Türk Futbolcular'!T77)</f>
        <v/>
      </c>
      <c r="U975" t="s">
        <v>935</v>
      </c>
      <c r="V975">
        <v>77</v>
      </c>
      <c r="W975" t="str">
        <f ca="1">IF(AND($A975&lt;&gt;"",ISNUMBER($G975),$G975&gt;=TODAY(),$G975&lt;=EDATE(TODAY(),12)),COUNTIFS($G$2:$G$1001,"&gt;="&amp;TODAY(),$G$2:$G$1001,"&lt;"&amp;$G975,$A$2:$A$1001,"&lt;&gt;")+COUNTIFS($G$2:$G975,$G975,$A$2:$A975,"&lt;&gt;"),"")</f>
        <v/>
      </c>
      <c r="X975" t="str">
        <f>IF(AND($A975&lt;&gt;"",ISNUMBER($C975),$C975&gt;=DATE(2003,1,1)),COUNTIFS($C$2:$C975,"&gt;="&amp;DATE(2003,1,1),$A$2:$A975,"&lt;&gt;"),"")</f>
        <v/>
      </c>
    </row>
    <row r="976" spans="1:24">
      <c r="A976" t="str">
        <f>IF('Takip Edilen Türk Futbolcular'!A78="","",'Takip Edilen Türk Futbolcular'!A78)</f>
        <v/>
      </c>
      <c r="B976" t="str">
        <f>IF('Takip Edilen Türk Futbolcular'!B78="","",'Takip Edilen Türk Futbolcular'!B78)</f>
        <v/>
      </c>
      <c r="C976" s="2" t="str">
        <f>IF('Takip Edilen Türk Futbolcular'!C78="","",'Takip Edilen Türk Futbolcular'!C78)</f>
        <v/>
      </c>
      <c r="D976" t="str">
        <f ca="1">IF('Takip Edilen Türk Futbolcular'!D78="","",'Takip Edilen Türk Futbolcular'!D78)</f>
        <v/>
      </c>
      <c r="E976" t="str">
        <f>IF('Takip Edilen Türk Futbolcular'!E78="","",'Takip Edilen Türk Futbolcular'!E78)</f>
        <v>Forvet</v>
      </c>
      <c r="F976" t="str">
        <f>IF('Takip Edilen Türk Futbolcular'!F78="","",'Takip Edilen Türk Futbolcular'!F78)</f>
        <v/>
      </c>
      <c r="G976" s="2" t="str">
        <f>IF('Takip Edilen Türk Futbolcular'!G78="","",'Takip Edilen Türk Futbolcular'!G78)</f>
        <v/>
      </c>
      <c r="H976" t="str">
        <f>IF('Takip Edilen Türk Futbolcular'!H78="","",'Takip Edilen Türk Futbolcular'!H78)</f>
        <v/>
      </c>
      <c r="I976" t="str">
        <f>IF('Takip Edilen Türk Futbolcular'!A78="","",'Takip Edilen Türk Futbolcular'!I78)</f>
        <v/>
      </c>
      <c r="J976" t="str">
        <f>IF('Takip Edilen Türk Futbolcular'!A78="","",'Takip Edilen Türk Futbolcular'!J78)</f>
        <v/>
      </c>
      <c r="K976" t="str">
        <f>IF('Takip Edilen Türk Futbolcular'!K78="","",'Takip Edilen Türk Futbolcular'!K78)</f>
        <v/>
      </c>
      <c r="L976" t="str">
        <f>IF('Takip Edilen Türk Futbolcular'!L78="","",'Takip Edilen Türk Futbolcular'!L78)</f>
        <v/>
      </c>
      <c r="M976" t="str">
        <f>IF('Takip Edilen Türk Futbolcular'!M78="","",'Takip Edilen Türk Futbolcular'!M78)</f>
        <v/>
      </c>
      <c r="N976" t="str">
        <f>IF('Takip Edilen Türk Futbolcular'!N78="","",'Takip Edilen Türk Futbolcular'!N78)</f>
        <v/>
      </c>
      <c r="O976" t="str">
        <f>IF('Takip Edilen Türk Futbolcular'!O78="","",'Takip Edilen Türk Futbolcular'!O78)</f>
        <v/>
      </c>
      <c r="P976" t="str">
        <f>IF('Takip Edilen Türk Futbolcular'!P78="","",'Takip Edilen Türk Futbolcular'!P78)</f>
        <v/>
      </c>
      <c r="Q976" t="str">
        <f>IF('Takip Edilen Türk Futbolcular'!Q78="","",'Takip Edilen Türk Futbolcular'!Q78)</f>
        <v/>
      </c>
      <c r="R976" t="str">
        <f>IF('Takip Edilen Türk Futbolcular'!R78="","",'Takip Edilen Türk Futbolcular'!R78)</f>
        <v/>
      </c>
      <c r="S976" t="str">
        <f>IF('Takip Edilen Türk Futbolcular'!S78="","",'Takip Edilen Türk Futbolcular'!S78)</f>
        <v/>
      </c>
      <c r="T976" s="2" t="str">
        <f>IF('Takip Edilen Türk Futbolcular'!T78="","",'Takip Edilen Türk Futbolcular'!T78)</f>
        <v/>
      </c>
      <c r="U976" t="s">
        <v>935</v>
      </c>
      <c r="V976">
        <v>78</v>
      </c>
      <c r="W976" t="str">
        <f ca="1">IF(AND($A976&lt;&gt;"",ISNUMBER($G976),$G976&gt;=TODAY(),$G976&lt;=EDATE(TODAY(),12)),COUNTIFS($G$2:$G$1001,"&gt;="&amp;TODAY(),$G$2:$G$1001,"&lt;"&amp;$G976,$A$2:$A$1001,"&lt;&gt;")+COUNTIFS($G$2:$G976,$G976,$A$2:$A976,"&lt;&gt;"),"")</f>
        <v/>
      </c>
      <c r="X976" t="str">
        <f>IF(AND($A976&lt;&gt;"",ISNUMBER($C976),$C976&gt;=DATE(2003,1,1)),COUNTIFS($C$2:$C976,"&gt;="&amp;DATE(2003,1,1),$A$2:$A976,"&lt;&gt;"),"")</f>
        <v/>
      </c>
    </row>
    <row r="977" spans="1:24">
      <c r="A977" t="str">
        <f>IF('Takip Edilen Türk Futbolcular'!A79="","",'Takip Edilen Türk Futbolcular'!A79)</f>
        <v/>
      </c>
      <c r="B977" t="str">
        <f>IF('Takip Edilen Türk Futbolcular'!B79="","",'Takip Edilen Türk Futbolcular'!B79)</f>
        <v/>
      </c>
      <c r="C977" s="2" t="str">
        <f>IF('Takip Edilen Türk Futbolcular'!C79="","",'Takip Edilen Türk Futbolcular'!C79)</f>
        <v/>
      </c>
      <c r="D977" t="str">
        <f ca="1">IF('Takip Edilen Türk Futbolcular'!D79="","",'Takip Edilen Türk Futbolcular'!D79)</f>
        <v/>
      </c>
      <c r="E977" t="str">
        <f>IF('Takip Edilen Türk Futbolcular'!E79="","",'Takip Edilen Türk Futbolcular'!E79)</f>
        <v>Forvet</v>
      </c>
      <c r="F977" t="str">
        <f>IF('Takip Edilen Türk Futbolcular'!F79="","",'Takip Edilen Türk Futbolcular'!F79)</f>
        <v/>
      </c>
      <c r="G977" s="2" t="str">
        <f>IF('Takip Edilen Türk Futbolcular'!G79="","",'Takip Edilen Türk Futbolcular'!G79)</f>
        <v/>
      </c>
      <c r="H977" t="str">
        <f>IF('Takip Edilen Türk Futbolcular'!H79="","",'Takip Edilen Türk Futbolcular'!H79)</f>
        <v/>
      </c>
      <c r="I977" t="str">
        <f>IF('Takip Edilen Türk Futbolcular'!A79="","",'Takip Edilen Türk Futbolcular'!I79)</f>
        <v/>
      </c>
      <c r="J977" t="str">
        <f>IF('Takip Edilen Türk Futbolcular'!A79="","",'Takip Edilen Türk Futbolcular'!J79)</f>
        <v/>
      </c>
      <c r="K977" t="str">
        <f>IF('Takip Edilen Türk Futbolcular'!K79="","",'Takip Edilen Türk Futbolcular'!K79)</f>
        <v/>
      </c>
      <c r="L977" t="str">
        <f>IF('Takip Edilen Türk Futbolcular'!L79="","",'Takip Edilen Türk Futbolcular'!L79)</f>
        <v/>
      </c>
      <c r="M977" t="str">
        <f>IF('Takip Edilen Türk Futbolcular'!M79="","",'Takip Edilen Türk Futbolcular'!M79)</f>
        <v/>
      </c>
      <c r="N977" t="str">
        <f>IF('Takip Edilen Türk Futbolcular'!N79="","",'Takip Edilen Türk Futbolcular'!N79)</f>
        <v/>
      </c>
      <c r="O977" t="str">
        <f>IF('Takip Edilen Türk Futbolcular'!O79="","",'Takip Edilen Türk Futbolcular'!O79)</f>
        <v/>
      </c>
      <c r="P977" t="str">
        <f>IF('Takip Edilen Türk Futbolcular'!P79="","",'Takip Edilen Türk Futbolcular'!P79)</f>
        <v/>
      </c>
      <c r="Q977" t="str">
        <f>IF('Takip Edilen Türk Futbolcular'!Q79="","",'Takip Edilen Türk Futbolcular'!Q79)</f>
        <v/>
      </c>
      <c r="R977" t="str">
        <f>IF('Takip Edilen Türk Futbolcular'!R79="","",'Takip Edilen Türk Futbolcular'!R79)</f>
        <v/>
      </c>
      <c r="S977" t="str">
        <f>IF('Takip Edilen Türk Futbolcular'!S79="","",'Takip Edilen Türk Futbolcular'!S79)</f>
        <v/>
      </c>
      <c r="T977" s="2" t="str">
        <f>IF('Takip Edilen Türk Futbolcular'!T79="","",'Takip Edilen Türk Futbolcular'!T79)</f>
        <v/>
      </c>
      <c r="U977" t="s">
        <v>935</v>
      </c>
      <c r="V977">
        <v>79</v>
      </c>
      <c r="W977" t="str">
        <f ca="1">IF(AND($A977&lt;&gt;"",ISNUMBER($G977),$G977&gt;=TODAY(),$G977&lt;=EDATE(TODAY(),12)),COUNTIFS($G$2:$G$1001,"&gt;="&amp;TODAY(),$G$2:$G$1001,"&lt;"&amp;$G977,$A$2:$A$1001,"&lt;&gt;")+COUNTIFS($G$2:$G977,$G977,$A$2:$A977,"&lt;&gt;"),"")</f>
        <v/>
      </c>
      <c r="X977" t="str">
        <f>IF(AND($A977&lt;&gt;"",ISNUMBER($C977),$C977&gt;=DATE(2003,1,1)),COUNTIFS($C$2:$C977,"&gt;="&amp;DATE(2003,1,1),$A$2:$A977,"&lt;&gt;"),"")</f>
        <v/>
      </c>
    </row>
    <row r="978" spans="1:24">
      <c r="A978" t="str">
        <f>IF('Takip Edilen Türk Futbolcular'!A80="","",'Takip Edilen Türk Futbolcular'!A80)</f>
        <v/>
      </c>
      <c r="B978" t="str">
        <f>IF('Takip Edilen Türk Futbolcular'!B80="","",'Takip Edilen Türk Futbolcular'!B80)</f>
        <v/>
      </c>
      <c r="C978" s="2" t="str">
        <f>IF('Takip Edilen Türk Futbolcular'!C80="","",'Takip Edilen Türk Futbolcular'!C80)</f>
        <v/>
      </c>
      <c r="D978" t="str">
        <f ca="1">IF('Takip Edilen Türk Futbolcular'!D80="","",'Takip Edilen Türk Futbolcular'!D80)</f>
        <v/>
      </c>
      <c r="E978" t="str">
        <f>IF('Takip Edilen Türk Futbolcular'!E80="","",'Takip Edilen Türk Futbolcular'!E80)</f>
        <v>Forvet</v>
      </c>
      <c r="F978" t="str">
        <f>IF('Takip Edilen Türk Futbolcular'!F80="","",'Takip Edilen Türk Futbolcular'!F80)</f>
        <v/>
      </c>
      <c r="G978" s="2" t="str">
        <f>IF('Takip Edilen Türk Futbolcular'!G80="","",'Takip Edilen Türk Futbolcular'!G80)</f>
        <v/>
      </c>
      <c r="H978" t="str">
        <f>IF('Takip Edilen Türk Futbolcular'!H80="","",'Takip Edilen Türk Futbolcular'!H80)</f>
        <v/>
      </c>
      <c r="I978" t="str">
        <f>IF('Takip Edilen Türk Futbolcular'!A80="","",'Takip Edilen Türk Futbolcular'!I80)</f>
        <v/>
      </c>
      <c r="J978" t="str">
        <f>IF('Takip Edilen Türk Futbolcular'!A80="","",'Takip Edilen Türk Futbolcular'!J80)</f>
        <v/>
      </c>
      <c r="K978" t="str">
        <f>IF('Takip Edilen Türk Futbolcular'!K80="","",'Takip Edilen Türk Futbolcular'!K80)</f>
        <v/>
      </c>
      <c r="L978" t="str">
        <f>IF('Takip Edilen Türk Futbolcular'!L80="","",'Takip Edilen Türk Futbolcular'!L80)</f>
        <v/>
      </c>
      <c r="M978" t="str">
        <f>IF('Takip Edilen Türk Futbolcular'!M80="","",'Takip Edilen Türk Futbolcular'!M80)</f>
        <v/>
      </c>
      <c r="N978" t="str">
        <f>IF('Takip Edilen Türk Futbolcular'!N80="","",'Takip Edilen Türk Futbolcular'!N80)</f>
        <v/>
      </c>
      <c r="O978" t="str">
        <f>IF('Takip Edilen Türk Futbolcular'!O80="","",'Takip Edilen Türk Futbolcular'!O80)</f>
        <v/>
      </c>
      <c r="P978" t="str">
        <f>IF('Takip Edilen Türk Futbolcular'!P80="","",'Takip Edilen Türk Futbolcular'!P80)</f>
        <v/>
      </c>
      <c r="Q978" t="str">
        <f>IF('Takip Edilen Türk Futbolcular'!Q80="","",'Takip Edilen Türk Futbolcular'!Q80)</f>
        <v/>
      </c>
      <c r="R978" t="str">
        <f>IF('Takip Edilen Türk Futbolcular'!R80="","",'Takip Edilen Türk Futbolcular'!R80)</f>
        <v/>
      </c>
      <c r="S978" t="str">
        <f>IF('Takip Edilen Türk Futbolcular'!S80="","",'Takip Edilen Türk Futbolcular'!S80)</f>
        <v/>
      </c>
      <c r="T978" s="2" t="str">
        <f>IF('Takip Edilen Türk Futbolcular'!T80="","",'Takip Edilen Türk Futbolcular'!T80)</f>
        <v/>
      </c>
      <c r="U978" t="s">
        <v>935</v>
      </c>
      <c r="V978">
        <v>80</v>
      </c>
      <c r="W978" t="str">
        <f ca="1">IF(AND($A978&lt;&gt;"",ISNUMBER($G978),$G978&gt;=TODAY(),$G978&lt;=EDATE(TODAY(),12)),COUNTIFS($G$2:$G$1001,"&gt;="&amp;TODAY(),$G$2:$G$1001,"&lt;"&amp;$G978,$A$2:$A$1001,"&lt;&gt;")+COUNTIFS($G$2:$G978,$G978,$A$2:$A978,"&lt;&gt;"),"")</f>
        <v/>
      </c>
      <c r="X978" t="str">
        <f>IF(AND($A978&lt;&gt;"",ISNUMBER($C978),$C978&gt;=DATE(2003,1,1)),COUNTIFS($C$2:$C978,"&gt;="&amp;DATE(2003,1,1),$A$2:$A978,"&lt;&gt;"),"")</f>
        <v/>
      </c>
    </row>
    <row r="979" spans="1:24">
      <c r="A979" t="str">
        <f>IF('Takip Edilen Türk Futbolcular'!A81="","",'Takip Edilen Türk Futbolcular'!A81)</f>
        <v/>
      </c>
      <c r="B979" t="str">
        <f>IF('Takip Edilen Türk Futbolcular'!B81="","",'Takip Edilen Türk Futbolcular'!B81)</f>
        <v/>
      </c>
      <c r="C979" s="2" t="str">
        <f>IF('Takip Edilen Türk Futbolcular'!C81="","",'Takip Edilen Türk Futbolcular'!C81)</f>
        <v/>
      </c>
      <c r="D979" t="str">
        <f ca="1">IF('Takip Edilen Türk Futbolcular'!D81="","",'Takip Edilen Türk Futbolcular'!D81)</f>
        <v/>
      </c>
      <c r="E979" t="str">
        <f>IF('Takip Edilen Türk Futbolcular'!E81="","",'Takip Edilen Türk Futbolcular'!E81)</f>
        <v>Forvet</v>
      </c>
      <c r="F979" t="str">
        <f>IF('Takip Edilen Türk Futbolcular'!F81="","",'Takip Edilen Türk Futbolcular'!F81)</f>
        <v/>
      </c>
      <c r="G979" s="2" t="str">
        <f>IF('Takip Edilen Türk Futbolcular'!G81="","",'Takip Edilen Türk Futbolcular'!G81)</f>
        <v/>
      </c>
      <c r="H979" t="str">
        <f>IF('Takip Edilen Türk Futbolcular'!H81="","",'Takip Edilen Türk Futbolcular'!H81)</f>
        <v/>
      </c>
      <c r="I979" t="str">
        <f>IF('Takip Edilen Türk Futbolcular'!A81="","",'Takip Edilen Türk Futbolcular'!I81)</f>
        <v/>
      </c>
      <c r="J979" t="str">
        <f>IF('Takip Edilen Türk Futbolcular'!A81="","",'Takip Edilen Türk Futbolcular'!J81)</f>
        <v/>
      </c>
      <c r="K979" t="str">
        <f>IF('Takip Edilen Türk Futbolcular'!K81="","",'Takip Edilen Türk Futbolcular'!K81)</f>
        <v/>
      </c>
      <c r="L979" t="str">
        <f>IF('Takip Edilen Türk Futbolcular'!L81="","",'Takip Edilen Türk Futbolcular'!L81)</f>
        <v/>
      </c>
      <c r="M979" t="str">
        <f>IF('Takip Edilen Türk Futbolcular'!M81="","",'Takip Edilen Türk Futbolcular'!M81)</f>
        <v/>
      </c>
      <c r="N979" t="str">
        <f>IF('Takip Edilen Türk Futbolcular'!N81="","",'Takip Edilen Türk Futbolcular'!N81)</f>
        <v/>
      </c>
      <c r="O979" t="str">
        <f>IF('Takip Edilen Türk Futbolcular'!O81="","",'Takip Edilen Türk Futbolcular'!O81)</f>
        <v/>
      </c>
      <c r="P979" t="str">
        <f>IF('Takip Edilen Türk Futbolcular'!P81="","",'Takip Edilen Türk Futbolcular'!P81)</f>
        <v/>
      </c>
      <c r="Q979" t="str">
        <f>IF('Takip Edilen Türk Futbolcular'!Q81="","",'Takip Edilen Türk Futbolcular'!Q81)</f>
        <v/>
      </c>
      <c r="R979" t="str">
        <f>IF('Takip Edilen Türk Futbolcular'!R81="","",'Takip Edilen Türk Futbolcular'!R81)</f>
        <v/>
      </c>
      <c r="S979" t="str">
        <f>IF('Takip Edilen Türk Futbolcular'!S81="","",'Takip Edilen Türk Futbolcular'!S81)</f>
        <v/>
      </c>
      <c r="T979" s="2" t="str">
        <f>IF('Takip Edilen Türk Futbolcular'!T81="","",'Takip Edilen Türk Futbolcular'!T81)</f>
        <v/>
      </c>
      <c r="U979" t="s">
        <v>935</v>
      </c>
      <c r="V979">
        <v>81</v>
      </c>
      <c r="W979" t="str">
        <f ca="1">IF(AND($A979&lt;&gt;"",ISNUMBER($G979),$G979&gt;=TODAY(),$G979&lt;=EDATE(TODAY(),12)),COUNTIFS($G$2:$G$1001,"&gt;="&amp;TODAY(),$G$2:$G$1001,"&lt;"&amp;$G979,$A$2:$A$1001,"&lt;&gt;")+COUNTIFS($G$2:$G979,$G979,$A$2:$A979,"&lt;&gt;"),"")</f>
        <v/>
      </c>
      <c r="X979" t="str">
        <f>IF(AND($A979&lt;&gt;"",ISNUMBER($C979),$C979&gt;=DATE(2003,1,1)),COUNTIFS($C$2:$C979,"&gt;="&amp;DATE(2003,1,1),$A$2:$A979,"&lt;&gt;"),"")</f>
        <v/>
      </c>
    </row>
    <row r="980" spans="1:24">
      <c r="A980" t="str">
        <f>IF('Takip Edilen Türk Futbolcular'!A82="","",'Takip Edilen Türk Futbolcular'!A82)</f>
        <v/>
      </c>
      <c r="B980" t="str">
        <f>IF('Takip Edilen Türk Futbolcular'!B82="","",'Takip Edilen Türk Futbolcular'!B82)</f>
        <v/>
      </c>
      <c r="C980" s="2" t="str">
        <f>IF('Takip Edilen Türk Futbolcular'!C82="","",'Takip Edilen Türk Futbolcular'!C82)</f>
        <v/>
      </c>
      <c r="D980" t="str">
        <f ca="1">IF('Takip Edilen Türk Futbolcular'!D82="","",'Takip Edilen Türk Futbolcular'!D82)</f>
        <v/>
      </c>
      <c r="E980" t="str">
        <f>IF('Takip Edilen Türk Futbolcular'!E82="","",'Takip Edilen Türk Futbolcular'!E82)</f>
        <v>Forvet</v>
      </c>
      <c r="F980" t="str">
        <f>IF('Takip Edilen Türk Futbolcular'!F82="","",'Takip Edilen Türk Futbolcular'!F82)</f>
        <v/>
      </c>
      <c r="G980" s="2" t="str">
        <f>IF('Takip Edilen Türk Futbolcular'!G82="","",'Takip Edilen Türk Futbolcular'!G82)</f>
        <v/>
      </c>
      <c r="H980" t="str">
        <f>IF('Takip Edilen Türk Futbolcular'!H82="","",'Takip Edilen Türk Futbolcular'!H82)</f>
        <v/>
      </c>
      <c r="I980" t="str">
        <f>IF('Takip Edilen Türk Futbolcular'!A82="","",'Takip Edilen Türk Futbolcular'!I82)</f>
        <v/>
      </c>
      <c r="J980" t="str">
        <f>IF('Takip Edilen Türk Futbolcular'!A82="","",'Takip Edilen Türk Futbolcular'!J82)</f>
        <v/>
      </c>
      <c r="K980" t="str">
        <f>IF('Takip Edilen Türk Futbolcular'!K82="","",'Takip Edilen Türk Futbolcular'!K82)</f>
        <v/>
      </c>
      <c r="L980" t="str">
        <f>IF('Takip Edilen Türk Futbolcular'!L82="","",'Takip Edilen Türk Futbolcular'!L82)</f>
        <v/>
      </c>
      <c r="M980" t="str">
        <f>IF('Takip Edilen Türk Futbolcular'!M82="","",'Takip Edilen Türk Futbolcular'!M82)</f>
        <v/>
      </c>
      <c r="N980" t="str">
        <f>IF('Takip Edilen Türk Futbolcular'!N82="","",'Takip Edilen Türk Futbolcular'!N82)</f>
        <v/>
      </c>
      <c r="O980" t="str">
        <f>IF('Takip Edilen Türk Futbolcular'!O82="","",'Takip Edilen Türk Futbolcular'!O82)</f>
        <v/>
      </c>
      <c r="P980" t="str">
        <f>IF('Takip Edilen Türk Futbolcular'!P82="","",'Takip Edilen Türk Futbolcular'!P82)</f>
        <v/>
      </c>
      <c r="Q980" t="str">
        <f>IF('Takip Edilen Türk Futbolcular'!Q82="","",'Takip Edilen Türk Futbolcular'!Q82)</f>
        <v/>
      </c>
      <c r="R980" t="str">
        <f>IF('Takip Edilen Türk Futbolcular'!R82="","",'Takip Edilen Türk Futbolcular'!R82)</f>
        <v/>
      </c>
      <c r="S980" t="str">
        <f>IF('Takip Edilen Türk Futbolcular'!S82="","",'Takip Edilen Türk Futbolcular'!S82)</f>
        <v/>
      </c>
      <c r="T980" s="2" t="str">
        <f>IF('Takip Edilen Türk Futbolcular'!T82="","",'Takip Edilen Türk Futbolcular'!T82)</f>
        <v/>
      </c>
      <c r="U980" t="s">
        <v>935</v>
      </c>
      <c r="V980">
        <v>82</v>
      </c>
      <c r="W980" t="str">
        <f ca="1">IF(AND($A980&lt;&gt;"",ISNUMBER($G980),$G980&gt;=TODAY(),$G980&lt;=EDATE(TODAY(),12)),COUNTIFS($G$2:$G$1001,"&gt;="&amp;TODAY(),$G$2:$G$1001,"&lt;"&amp;$G980,$A$2:$A$1001,"&lt;&gt;")+COUNTIFS($G$2:$G980,$G980,$A$2:$A980,"&lt;&gt;"),"")</f>
        <v/>
      </c>
      <c r="X980" t="str">
        <f>IF(AND($A980&lt;&gt;"",ISNUMBER($C980),$C980&gt;=DATE(2003,1,1)),COUNTIFS($C$2:$C980,"&gt;="&amp;DATE(2003,1,1),$A$2:$A980,"&lt;&gt;"),"")</f>
        <v/>
      </c>
    </row>
    <row r="981" spans="1:24">
      <c r="A981" t="str">
        <f>IF('Takip Edilen Türk Futbolcular'!A83="","",'Takip Edilen Türk Futbolcular'!A83)</f>
        <v/>
      </c>
      <c r="B981" t="str">
        <f>IF('Takip Edilen Türk Futbolcular'!B83="","",'Takip Edilen Türk Futbolcular'!B83)</f>
        <v/>
      </c>
      <c r="C981" s="2" t="str">
        <f>IF('Takip Edilen Türk Futbolcular'!C83="","",'Takip Edilen Türk Futbolcular'!C83)</f>
        <v/>
      </c>
      <c r="D981" t="str">
        <f ca="1">IF('Takip Edilen Türk Futbolcular'!D83="","",'Takip Edilen Türk Futbolcular'!D83)</f>
        <v/>
      </c>
      <c r="E981" t="str">
        <f>IF('Takip Edilen Türk Futbolcular'!E83="","",'Takip Edilen Türk Futbolcular'!E83)</f>
        <v>Forvet</v>
      </c>
      <c r="F981" t="str">
        <f>IF('Takip Edilen Türk Futbolcular'!F83="","",'Takip Edilen Türk Futbolcular'!F83)</f>
        <v/>
      </c>
      <c r="G981" s="2" t="str">
        <f>IF('Takip Edilen Türk Futbolcular'!G83="","",'Takip Edilen Türk Futbolcular'!G83)</f>
        <v/>
      </c>
      <c r="H981" t="str">
        <f>IF('Takip Edilen Türk Futbolcular'!H83="","",'Takip Edilen Türk Futbolcular'!H83)</f>
        <v/>
      </c>
      <c r="I981" t="str">
        <f>IF('Takip Edilen Türk Futbolcular'!A83="","",'Takip Edilen Türk Futbolcular'!I83)</f>
        <v/>
      </c>
      <c r="J981" t="str">
        <f>IF('Takip Edilen Türk Futbolcular'!A83="","",'Takip Edilen Türk Futbolcular'!J83)</f>
        <v/>
      </c>
      <c r="K981" t="str">
        <f>IF('Takip Edilen Türk Futbolcular'!K83="","",'Takip Edilen Türk Futbolcular'!K83)</f>
        <v/>
      </c>
      <c r="L981" t="str">
        <f>IF('Takip Edilen Türk Futbolcular'!L83="","",'Takip Edilen Türk Futbolcular'!L83)</f>
        <v/>
      </c>
      <c r="M981" t="str">
        <f>IF('Takip Edilen Türk Futbolcular'!M83="","",'Takip Edilen Türk Futbolcular'!M83)</f>
        <v/>
      </c>
      <c r="N981" t="str">
        <f>IF('Takip Edilen Türk Futbolcular'!N83="","",'Takip Edilen Türk Futbolcular'!N83)</f>
        <v/>
      </c>
      <c r="O981" t="str">
        <f>IF('Takip Edilen Türk Futbolcular'!O83="","",'Takip Edilen Türk Futbolcular'!O83)</f>
        <v/>
      </c>
      <c r="P981" t="str">
        <f>IF('Takip Edilen Türk Futbolcular'!P83="","",'Takip Edilen Türk Futbolcular'!P83)</f>
        <v/>
      </c>
      <c r="Q981" t="str">
        <f>IF('Takip Edilen Türk Futbolcular'!Q83="","",'Takip Edilen Türk Futbolcular'!Q83)</f>
        <v/>
      </c>
      <c r="R981" t="str">
        <f>IF('Takip Edilen Türk Futbolcular'!R83="","",'Takip Edilen Türk Futbolcular'!R83)</f>
        <v/>
      </c>
      <c r="S981" t="str">
        <f>IF('Takip Edilen Türk Futbolcular'!S83="","",'Takip Edilen Türk Futbolcular'!S83)</f>
        <v/>
      </c>
      <c r="T981" s="2" t="str">
        <f>IF('Takip Edilen Türk Futbolcular'!T83="","",'Takip Edilen Türk Futbolcular'!T83)</f>
        <v/>
      </c>
      <c r="U981" t="s">
        <v>935</v>
      </c>
      <c r="V981">
        <v>83</v>
      </c>
      <c r="W981" t="str">
        <f ca="1">IF(AND($A981&lt;&gt;"",ISNUMBER($G981),$G981&gt;=TODAY(),$G981&lt;=EDATE(TODAY(),12)),COUNTIFS($G$2:$G$1001,"&gt;="&amp;TODAY(),$G$2:$G$1001,"&lt;"&amp;$G981,$A$2:$A$1001,"&lt;&gt;")+COUNTIFS($G$2:$G981,$G981,$A$2:$A981,"&lt;&gt;"),"")</f>
        <v/>
      </c>
      <c r="X981" t="str">
        <f>IF(AND($A981&lt;&gt;"",ISNUMBER($C981),$C981&gt;=DATE(2003,1,1)),COUNTIFS($C$2:$C981,"&gt;="&amp;DATE(2003,1,1),$A$2:$A981,"&lt;&gt;"),"")</f>
        <v/>
      </c>
    </row>
    <row r="982" spans="1:24">
      <c r="A982" t="str">
        <f>IF('Takip Edilen Türk Futbolcular'!A84="","",'Takip Edilen Türk Futbolcular'!A84)</f>
        <v/>
      </c>
      <c r="B982" t="str">
        <f>IF('Takip Edilen Türk Futbolcular'!B84="","",'Takip Edilen Türk Futbolcular'!B84)</f>
        <v/>
      </c>
      <c r="C982" s="2" t="str">
        <f>IF('Takip Edilen Türk Futbolcular'!C84="","",'Takip Edilen Türk Futbolcular'!C84)</f>
        <v/>
      </c>
      <c r="D982" t="str">
        <f ca="1">IF('Takip Edilen Türk Futbolcular'!D84="","",'Takip Edilen Türk Futbolcular'!D84)</f>
        <v/>
      </c>
      <c r="E982" t="str">
        <f>IF('Takip Edilen Türk Futbolcular'!E84="","",'Takip Edilen Türk Futbolcular'!E84)</f>
        <v>Forvet</v>
      </c>
      <c r="F982" t="str">
        <f>IF('Takip Edilen Türk Futbolcular'!F84="","",'Takip Edilen Türk Futbolcular'!F84)</f>
        <v/>
      </c>
      <c r="G982" s="2" t="str">
        <f>IF('Takip Edilen Türk Futbolcular'!G84="","",'Takip Edilen Türk Futbolcular'!G84)</f>
        <v/>
      </c>
      <c r="H982" t="str">
        <f>IF('Takip Edilen Türk Futbolcular'!H84="","",'Takip Edilen Türk Futbolcular'!H84)</f>
        <v/>
      </c>
      <c r="I982" t="str">
        <f>IF('Takip Edilen Türk Futbolcular'!A84="","",'Takip Edilen Türk Futbolcular'!I84)</f>
        <v/>
      </c>
      <c r="J982" t="str">
        <f>IF('Takip Edilen Türk Futbolcular'!A84="","",'Takip Edilen Türk Futbolcular'!J84)</f>
        <v/>
      </c>
      <c r="K982" t="str">
        <f>IF('Takip Edilen Türk Futbolcular'!K84="","",'Takip Edilen Türk Futbolcular'!K84)</f>
        <v/>
      </c>
      <c r="L982" t="str">
        <f>IF('Takip Edilen Türk Futbolcular'!L84="","",'Takip Edilen Türk Futbolcular'!L84)</f>
        <v/>
      </c>
      <c r="M982" t="str">
        <f>IF('Takip Edilen Türk Futbolcular'!M84="","",'Takip Edilen Türk Futbolcular'!M84)</f>
        <v/>
      </c>
      <c r="N982" t="str">
        <f>IF('Takip Edilen Türk Futbolcular'!N84="","",'Takip Edilen Türk Futbolcular'!N84)</f>
        <v/>
      </c>
      <c r="O982" t="str">
        <f>IF('Takip Edilen Türk Futbolcular'!O84="","",'Takip Edilen Türk Futbolcular'!O84)</f>
        <v/>
      </c>
      <c r="P982" t="str">
        <f>IF('Takip Edilen Türk Futbolcular'!P84="","",'Takip Edilen Türk Futbolcular'!P84)</f>
        <v/>
      </c>
      <c r="Q982" t="str">
        <f>IF('Takip Edilen Türk Futbolcular'!Q84="","",'Takip Edilen Türk Futbolcular'!Q84)</f>
        <v/>
      </c>
      <c r="R982" t="str">
        <f>IF('Takip Edilen Türk Futbolcular'!R84="","",'Takip Edilen Türk Futbolcular'!R84)</f>
        <v/>
      </c>
      <c r="S982" t="str">
        <f>IF('Takip Edilen Türk Futbolcular'!S84="","",'Takip Edilen Türk Futbolcular'!S84)</f>
        <v/>
      </c>
      <c r="T982" s="2" t="str">
        <f>IF('Takip Edilen Türk Futbolcular'!T84="","",'Takip Edilen Türk Futbolcular'!T84)</f>
        <v/>
      </c>
      <c r="U982" t="s">
        <v>935</v>
      </c>
      <c r="V982">
        <v>84</v>
      </c>
      <c r="W982" t="str">
        <f ca="1">IF(AND($A982&lt;&gt;"",ISNUMBER($G982),$G982&gt;=TODAY(),$G982&lt;=EDATE(TODAY(),12)),COUNTIFS($G$2:$G$1001,"&gt;="&amp;TODAY(),$G$2:$G$1001,"&lt;"&amp;$G982,$A$2:$A$1001,"&lt;&gt;")+COUNTIFS($G$2:$G982,$G982,$A$2:$A982,"&lt;&gt;"),"")</f>
        <v/>
      </c>
      <c r="X982" t="str">
        <f>IF(AND($A982&lt;&gt;"",ISNUMBER($C982),$C982&gt;=DATE(2003,1,1)),COUNTIFS($C$2:$C982,"&gt;="&amp;DATE(2003,1,1),$A$2:$A982,"&lt;&gt;"),"")</f>
        <v/>
      </c>
    </row>
    <row r="983" spans="1:24">
      <c r="A983" t="str">
        <f>IF('Takip Edilen Türk Futbolcular'!A85="","",'Takip Edilen Türk Futbolcular'!A85)</f>
        <v/>
      </c>
      <c r="B983" t="str">
        <f>IF('Takip Edilen Türk Futbolcular'!B85="","",'Takip Edilen Türk Futbolcular'!B85)</f>
        <v/>
      </c>
      <c r="C983" s="2" t="str">
        <f>IF('Takip Edilen Türk Futbolcular'!C85="","",'Takip Edilen Türk Futbolcular'!C85)</f>
        <v/>
      </c>
      <c r="D983" t="str">
        <f ca="1">IF('Takip Edilen Türk Futbolcular'!D85="","",'Takip Edilen Türk Futbolcular'!D85)</f>
        <v/>
      </c>
      <c r="E983" t="str">
        <f>IF('Takip Edilen Türk Futbolcular'!E85="","",'Takip Edilen Türk Futbolcular'!E85)</f>
        <v>Forvet</v>
      </c>
      <c r="F983" t="str">
        <f>IF('Takip Edilen Türk Futbolcular'!F85="","",'Takip Edilen Türk Futbolcular'!F85)</f>
        <v/>
      </c>
      <c r="G983" s="2" t="str">
        <f>IF('Takip Edilen Türk Futbolcular'!G85="","",'Takip Edilen Türk Futbolcular'!G85)</f>
        <v/>
      </c>
      <c r="H983" t="str">
        <f>IF('Takip Edilen Türk Futbolcular'!H85="","",'Takip Edilen Türk Futbolcular'!H85)</f>
        <v/>
      </c>
      <c r="I983" t="str">
        <f>IF('Takip Edilen Türk Futbolcular'!A85="","",'Takip Edilen Türk Futbolcular'!I85)</f>
        <v/>
      </c>
      <c r="J983" t="str">
        <f>IF('Takip Edilen Türk Futbolcular'!A85="","",'Takip Edilen Türk Futbolcular'!J85)</f>
        <v/>
      </c>
      <c r="K983" t="str">
        <f>IF('Takip Edilen Türk Futbolcular'!K85="","",'Takip Edilen Türk Futbolcular'!K85)</f>
        <v/>
      </c>
      <c r="L983" t="str">
        <f>IF('Takip Edilen Türk Futbolcular'!L85="","",'Takip Edilen Türk Futbolcular'!L85)</f>
        <v/>
      </c>
      <c r="M983" t="str">
        <f>IF('Takip Edilen Türk Futbolcular'!M85="","",'Takip Edilen Türk Futbolcular'!M85)</f>
        <v/>
      </c>
      <c r="N983" t="str">
        <f>IF('Takip Edilen Türk Futbolcular'!N85="","",'Takip Edilen Türk Futbolcular'!N85)</f>
        <v/>
      </c>
      <c r="O983" t="str">
        <f>IF('Takip Edilen Türk Futbolcular'!O85="","",'Takip Edilen Türk Futbolcular'!O85)</f>
        <v/>
      </c>
      <c r="P983" t="str">
        <f>IF('Takip Edilen Türk Futbolcular'!P85="","",'Takip Edilen Türk Futbolcular'!P85)</f>
        <v/>
      </c>
      <c r="Q983" t="str">
        <f>IF('Takip Edilen Türk Futbolcular'!Q85="","",'Takip Edilen Türk Futbolcular'!Q85)</f>
        <v/>
      </c>
      <c r="R983" t="str">
        <f>IF('Takip Edilen Türk Futbolcular'!R85="","",'Takip Edilen Türk Futbolcular'!R85)</f>
        <v/>
      </c>
      <c r="S983" t="str">
        <f>IF('Takip Edilen Türk Futbolcular'!S85="","",'Takip Edilen Türk Futbolcular'!S85)</f>
        <v/>
      </c>
      <c r="T983" s="2" t="str">
        <f>IF('Takip Edilen Türk Futbolcular'!T85="","",'Takip Edilen Türk Futbolcular'!T85)</f>
        <v/>
      </c>
      <c r="U983" t="s">
        <v>935</v>
      </c>
      <c r="V983">
        <v>85</v>
      </c>
      <c r="W983" t="str">
        <f ca="1">IF(AND($A983&lt;&gt;"",ISNUMBER($G983),$G983&gt;=TODAY(),$G983&lt;=EDATE(TODAY(),12)),COUNTIFS($G$2:$G$1001,"&gt;="&amp;TODAY(),$G$2:$G$1001,"&lt;"&amp;$G983,$A$2:$A$1001,"&lt;&gt;")+COUNTIFS($G$2:$G983,$G983,$A$2:$A983,"&lt;&gt;"),"")</f>
        <v/>
      </c>
      <c r="X983" t="str">
        <f>IF(AND($A983&lt;&gt;"",ISNUMBER($C983),$C983&gt;=DATE(2003,1,1)),COUNTIFS($C$2:$C983,"&gt;="&amp;DATE(2003,1,1),$A$2:$A983,"&lt;&gt;"),"")</f>
        <v/>
      </c>
    </row>
    <row r="984" spans="1:24">
      <c r="A984" t="str">
        <f>IF('Takip Edilen Türk Futbolcular'!A86="","",'Takip Edilen Türk Futbolcular'!A86)</f>
        <v/>
      </c>
      <c r="B984" t="str">
        <f>IF('Takip Edilen Türk Futbolcular'!B86="","",'Takip Edilen Türk Futbolcular'!B86)</f>
        <v/>
      </c>
      <c r="C984" s="2" t="str">
        <f>IF('Takip Edilen Türk Futbolcular'!C86="","",'Takip Edilen Türk Futbolcular'!C86)</f>
        <v/>
      </c>
      <c r="D984" t="str">
        <f ca="1">IF('Takip Edilen Türk Futbolcular'!D86="","",'Takip Edilen Türk Futbolcular'!D86)</f>
        <v/>
      </c>
      <c r="E984" t="str">
        <f>IF('Takip Edilen Türk Futbolcular'!E86="","",'Takip Edilen Türk Futbolcular'!E86)</f>
        <v>Forvet</v>
      </c>
      <c r="F984" t="str">
        <f>IF('Takip Edilen Türk Futbolcular'!F86="","",'Takip Edilen Türk Futbolcular'!F86)</f>
        <v/>
      </c>
      <c r="G984" s="2" t="str">
        <f>IF('Takip Edilen Türk Futbolcular'!G86="","",'Takip Edilen Türk Futbolcular'!G86)</f>
        <v/>
      </c>
      <c r="H984" t="str">
        <f>IF('Takip Edilen Türk Futbolcular'!H86="","",'Takip Edilen Türk Futbolcular'!H86)</f>
        <v/>
      </c>
      <c r="I984" t="str">
        <f>IF('Takip Edilen Türk Futbolcular'!A86="","",'Takip Edilen Türk Futbolcular'!I86)</f>
        <v/>
      </c>
      <c r="J984" t="str">
        <f>IF('Takip Edilen Türk Futbolcular'!A86="","",'Takip Edilen Türk Futbolcular'!J86)</f>
        <v/>
      </c>
      <c r="K984" t="str">
        <f>IF('Takip Edilen Türk Futbolcular'!K86="","",'Takip Edilen Türk Futbolcular'!K86)</f>
        <v/>
      </c>
      <c r="L984" t="str">
        <f>IF('Takip Edilen Türk Futbolcular'!L86="","",'Takip Edilen Türk Futbolcular'!L86)</f>
        <v/>
      </c>
      <c r="M984" t="str">
        <f>IF('Takip Edilen Türk Futbolcular'!M86="","",'Takip Edilen Türk Futbolcular'!M86)</f>
        <v/>
      </c>
      <c r="N984" t="str">
        <f>IF('Takip Edilen Türk Futbolcular'!N86="","",'Takip Edilen Türk Futbolcular'!N86)</f>
        <v/>
      </c>
      <c r="O984" t="str">
        <f>IF('Takip Edilen Türk Futbolcular'!O86="","",'Takip Edilen Türk Futbolcular'!O86)</f>
        <v/>
      </c>
      <c r="P984" t="str">
        <f>IF('Takip Edilen Türk Futbolcular'!P86="","",'Takip Edilen Türk Futbolcular'!P86)</f>
        <v/>
      </c>
      <c r="Q984" t="str">
        <f>IF('Takip Edilen Türk Futbolcular'!Q86="","",'Takip Edilen Türk Futbolcular'!Q86)</f>
        <v/>
      </c>
      <c r="R984" t="str">
        <f>IF('Takip Edilen Türk Futbolcular'!R86="","",'Takip Edilen Türk Futbolcular'!R86)</f>
        <v/>
      </c>
      <c r="S984" t="str">
        <f>IF('Takip Edilen Türk Futbolcular'!S86="","",'Takip Edilen Türk Futbolcular'!S86)</f>
        <v/>
      </c>
      <c r="T984" s="2" t="str">
        <f>IF('Takip Edilen Türk Futbolcular'!T86="","",'Takip Edilen Türk Futbolcular'!T86)</f>
        <v/>
      </c>
      <c r="U984" t="s">
        <v>935</v>
      </c>
      <c r="V984">
        <v>86</v>
      </c>
      <c r="W984" t="str">
        <f ca="1">IF(AND($A984&lt;&gt;"",ISNUMBER($G984),$G984&gt;=TODAY(),$G984&lt;=EDATE(TODAY(),12)),COUNTIFS($G$2:$G$1001,"&gt;="&amp;TODAY(),$G$2:$G$1001,"&lt;"&amp;$G984,$A$2:$A$1001,"&lt;&gt;")+COUNTIFS($G$2:$G984,$G984,$A$2:$A984,"&lt;&gt;"),"")</f>
        <v/>
      </c>
      <c r="X984" t="str">
        <f>IF(AND($A984&lt;&gt;"",ISNUMBER($C984),$C984&gt;=DATE(2003,1,1)),COUNTIFS($C$2:$C984,"&gt;="&amp;DATE(2003,1,1),$A$2:$A984,"&lt;&gt;"),"")</f>
        <v/>
      </c>
    </row>
    <row r="985" spans="1:24">
      <c r="A985" t="str">
        <f>IF('Takip Edilen Türk Futbolcular'!A87="","",'Takip Edilen Türk Futbolcular'!A87)</f>
        <v/>
      </c>
      <c r="B985" t="str">
        <f>IF('Takip Edilen Türk Futbolcular'!B87="","",'Takip Edilen Türk Futbolcular'!B87)</f>
        <v/>
      </c>
      <c r="C985" s="2" t="str">
        <f>IF('Takip Edilen Türk Futbolcular'!C87="","",'Takip Edilen Türk Futbolcular'!C87)</f>
        <v/>
      </c>
      <c r="D985" t="str">
        <f ca="1">IF('Takip Edilen Türk Futbolcular'!D87="","",'Takip Edilen Türk Futbolcular'!D87)</f>
        <v/>
      </c>
      <c r="E985" t="str">
        <f>IF('Takip Edilen Türk Futbolcular'!E87="","",'Takip Edilen Türk Futbolcular'!E87)</f>
        <v>Forvet</v>
      </c>
      <c r="F985" t="str">
        <f>IF('Takip Edilen Türk Futbolcular'!F87="","",'Takip Edilen Türk Futbolcular'!F87)</f>
        <v/>
      </c>
      <c r="G985" s="2" t="str">
        <f>IF('Takip Edilen Türk Futbolcular'!G87="","",'Takip Edilen Türk Futbolcular'!G87)</f>
        <v/>
      </c>
      <c r="H985" t="str">
        <f>IF('Takip Edilen Türk Futbolcular'!H87="","",'Takip Edilen Türk Futbolcular'!H87)</f>
        <v/>
      </c>
      <c r="I985" t="str">
        <f>IF('Takip Edilen Türk Futbolcular'!A87="","",'Takip Edilen Türk Futbolcular'!I87)</f>
        <v/>
      </c>
      <c r="J985" t="str">
        <f>IF('Takip Edilen Türk Futbolcular'!A87="","",'Takip Edilen Türk Futbolcular'!J87)</f>
        <v/>
      </c>
      <c r="K985" t="str">
        <f>IF('Takip Edilen Türk Futbolcular'!K87="","",'Takip Edilen Türk Futbolcular'!K87)</f>
        <v/>
      </c>
      <c r="L985" t="str">
        <f>IF('Takip Edilen Türk Futbolcular'!L87="","",'Takip Edilen Türk Futbolcular'!L87)</f>
        <v/>
      </c>
      <c r="M985" t="str">
        <f>IF('Takip Edilen Türk Futbolcular'!M87="","",'Takip Edilen Türk Futbolcular'!M87)</f>
        <v/>
      </c>
      <c r="N985" t="str">
        <f>IF('Takip Edilen Türk Futbolcular'!N87="","",'Takip Edilen Türk Futbolcular'!N87)</f>
        <v/>
      </c>
      <c r="O985" t="str">
        <f>IF('Takip Edilen Türk Futbolcular'!O87="","",'Takip Edilen Türk Futbolcular'!O87)</f>
        <v/>
      </c>
      <c r="P985" t="str">
        <f>IF('Takip Edilen Türk Futbolcular'!P87="","",'Takip Edilen Türk Futbolcular'!P87)</f>
        <v/>
      </c>
      <c r="Q985" t="str">
        <f>IF('Takip Edilen Türk Futbolcular'!Q87="","",'Takip Edilen Türk Futbolcular'!Q87)</f>
        <v/>
      </c>
      <c r="R985" t="str">
        <f>IF('Takip Edilen Türk Futbolcular'!R87="","",'Takip Edilen Türk Futbolcular'!R87)</f>
        <v/>
      </c>
      <c r="S985" t="str">
        <f>IF('Takip Edilen Türk Futbolcular'!S87="","",'Takip Edilen Türk Futbolcular'!S87)</f>
        <v/>
      </c>
      <c r="T985" s="2" t="str">
        <f>IF('Takip Edilen Türk Futbolcular'!T87="","",'Takip Edilen Türk Futbolcular'!T87)</f>
        <v/>
      </c>
      <c r="U985" t="s">
        <v>935</v>
      </c>
      <c r="V985">
        <v>87</v>
      </c>
      <c r="W985" t="str">
        <f ca="1">IF(AND($A985&lt;&gt;"",ISNUMBER($G985),$G985&gt;=TODAY(),$G985&lt;=EDATE(TODAY(),12)),COUNTIFS($G$2:$G$1001,"&gt;="&amp;TODAY(),$G$2:$G$1001,"&lt;"&amp;$G985,$A$2:$A$1001,"&lt;&gt;")+COUNTIFS($G$2:$G985,$G985,$A$2:$A985,"&lt;&gt;"),"")</f>
        <v/>
      </c>
      <c r="X985" t="str">
        <f>IF(AND($A985&lt;&gt;"",ISNUMBER($C985),$C985&gt;=DATE(2003,1,1)),COUNTIFS($C$2:$C985,"&gt;="&amp;DATE(2003,1,1),$A$2:$A985,"&lt;&gt;"),"")</f>
        <v/>
      </c>
    </row>
    <row r="986" spans="1:24">
      <c r="A986" t="str">
        <f>IF('Takip Edilen Türk Futbolcular'!A88="","",'Takip Edilen Türk Futbolcular'!A88)</f>
        <v/>
      </c>
      <c r="B986" t="str">
        <f>IF('Takip Edilen Türk Futbolcular'!B88="","",'Takip Edilen Türk Futbolcular'!B88)</f>
        <v/>
      </c>
      <c r="C986" s="2" t="str">
        <f>IF('Takip Edilen Türk Futbolcular'!C88="","",'Takip Edilen Türk Futbolcular'!C88)</f>
        <v/>
      </c>
      <c r="D986" t="str">
        <f ca="1">IF('Takip Edilen Türk Futbolcular'!D88="","",'Takip Edilen Türk Futbolcular'!D88)</f>
        <v/>
      </c>
      <c r="E986" t="str">
        <f>IF('Takip Edilen Türk Futbolcular'!E88="","",'Takip Edilen Türk Futbolcular'!E88)</f>
        <v>Forvet</v>
      </c>
      <c r="F986" t="str">
        <f>IF('Takip Edilen Türk Futbolcular'!F88="","",'Takip Edilen Türk Futbolcular'!F88)</f>
        <v/>
      </c>
      <c r="G986" s="2" t="str">
        <f>IF('Takip Edilen Türk Futbolcular'!G88="","",'Takip Edilen Türk Futbolcular'!G88)</f>
        <v/>
      </c>
      <c r="H986" t="str">
        <f>IF('Takip Edilen Türk Futbolcular'!H88="","",'Takip Edilen Türk Futbolcular'!H88)</f>
        <v/>
      </c>
      <c r="I986" t="str">
        <f>IF('Takip Edilen Türk Futbolcular'!A88="","",'Takip Edilen Türk Futbolcular'!I88)</f>
        <v/>
      </c>
      <c r="J986" t="str">
        <f>IF('Takip Edilen Türk Futbolcular'!A88="","",'Takip Edilen Türk Futbolcular'!J88)</f>
        <v/>
      </c>
      <c r="K986" t="str">
        <f>IF('Takip Edilen Türk Futbolcular'!K88="","",'Takip Edilen Türk Futbolcular'!K88)</f>
        <v/>
      </c>
      <c r="L986" t="str">
        <f>IF('Takip Edilen Türk Futbolcular'!L88="","",'Takip Edilen Türk Futbolcular'!L88)</f>
        <v/>
      </c>
      <c r="M986" t="str">
        <f>IF('Takip Edilen Türk Futbolcular'!M88="","",'Takip Edilen Türk Futbolcular'!M88)</f>
        <v/>
      </c>
      <c r="N986" t="str">
        <f>IF('Takip Edilen Türk Futbolcular'!N88="","",'Takip Edilen Türk Futbolcular'!N88)</f>
        <v/>
      </c>
      <c r="O986" t="str">
        <f>IF('Takip Edilen Türk Futbolcular'!O88="","",'Takip Edilen Türk Futbolcular'!O88)</f>
        <v/>
      </c>
      <c r="P986" t="str">
        <f>IF('Takip Edilen Türk Futbolcular'!P88="","",'Takip Edilen Türk Futbolcular'!P88)</f>
        <v/>
      </c>
      <c r="Q986" t="str">
        <f>IF('Takip Edilen Türk Futbolcular'!Q88="","",'Takip Edilen Türk Futbolcular'!Q88)</f>
        <v/>
      </c>
      <c r="R986" t="str">
        <f>IF('Takip Edilen Türk Futbolcular'!R88="","",'Takip Edilen Türk Futbolcular'!R88)</f>
        <v/>
      </c>
      <c r="S986" t="str">
        <f>IF('Takip Edilen Türk Futbolcular'!S88="","",'Takip Edilen Türk Futbolcular'!S88)</f>
        <v/>
      </c>
      <c r="T986" s="2" t="str">
        <f>IF('Takip Edilen Türk Futbolcular'!T88="","",'Takip Edilen Türk Futbolcular'!T88)</f>
        <v/>
      </c>
      <c r="U986" t="s">
        <v>935</v>
      </c>
      <c r="V986">
        <v>88</v>
      </c>
      <c r="W986" t="str">
        <f ca="1">IF(AND($A986&lt;&gt;"",ISNUMBER($G986),$G986&gt;=TODAY(),$G986&lt;=EDATE(TODAY(),12)),COUNTIFS($G$2:$G$1001,"&gt;="&amp;TODAY(),$G$2:$G$1001,"&lt;"&amp;$G986,$A$2:$A$1001,"&lt;&gt;")+COUNTIFS($G$2:$G986,$G986,$A$2:$A986,"&lt;&gt;"),"")</f>
        <v/>
      </c>
      <c r="X986" t="str">
        <f>IF(AND($A986&lt;&gt;"",ISNUMBER($C986),$C986&gt;=DATE(2003,1,1)),COUNTIFS($C$2:$C986,"&gt;="&amp;DATE(2003,1,1),$A$2:$A986,"&lt;&gt;"),"")</f>
        <v/>
      </c>
    </row>
    <row r="987" spans="1:24">
      <c r="A987" t="str">
        <f>IF('Takip Edilen Türk Futbolcular'!A89="","",'Takip Edilen Türk Futbolcular'!A89)</f>
        <v/>
      </c>
      <c r="B987" t="str">
        <f>IF('Takip Edilen Türk Futbolcular'!B89="","",'Takip Edilen Türk Futbolcular'!B89)</f>
        <v/>
      </c>
      <c r="C987" s="2" t="str">
        <f>IF('Takip Edilen Türk Futbolcular'!C89="","",'Takip Edilen Türk Futbolcular'!C89)</f>
        <v/>
      </c>
      <c r="D987" t="str">
        <f ca="1">IF('Takip Edilen Türk Futbolcular'!D89="","",'Takip Edilen Türk Futbolcular'!D89)</f>
        <v/>
      </c>
      <c r="E987" t="str">
        <f>IF('Takip Edilen Türk Futbolcular'!E89="","",'Takip Edilen Türk Futbolcular'!E89)</f>
        <v>Forvet</v>
      </c>
      <c r="F987" t="str">
        <f>IF('Takip Edilen Türk Futbolcular'!F89="","",'Takip Edilen Türk Futbolcular'!F89)</f>
        <v/>
      </c>
      <c r="G987" s="2" t="str">
        <f>IF('Takip Edilen Türk Futbolcular'!G89="","",'Takip Edilen Türk Futbolcular'!G89)</f>
        <v/>
      </c>
      <c r="H987" t="str">
        <f>IF('Takip Edilen Türk Futbolcular'!H89="","",'Takip Edilen Türk Futbolcular'!H89)</f>
        <v/>
      </c>
      <c r="I987" t="str">
        <f>IF('Takip Edilen Türk Futbolcular'!A89="","",'Takip Edilen Türk Futbolcular'!I89)</f>
        <v/>
      </c>
      <c r="J987" t="str">
        <f>IF('Takip Edilen Türk Futbolcular'!A89="","",'Takip Edilen Türk Futbolcular'!J89)</f>
        <v/>
      </c>
      <c r="K987" t="str">
        <f>IF('Takip Edilen Türk Futbolcular'!K89="","",'Takip Edilen Türk Futbolcular'!K89)</f>
        <v/>
      </c>
      <c r="L987" t="str">
        <f>IF('Takip Edilen Türk Futbolcular'!L89="","",'Takip Edilen Türk Futbolcular'!L89)</f>
        <v/>
      </c>
      <c r="M987" t="str">
        <f>IF('Takip Edilen Türk Futbolcular'!M89="","",'Takip Edilen Türk Futbolcular'!M89)</f>
        <v/>
      </c>
      <c r="N987" t="str">
        <f>IF('Takip Edilen Türk Futbolcular'!N89="","",'Takip Edilen Türk Futbolcular'!N89)</f>
        <v/>
      </c>
      <c r="O987" t="str">
        <f>IF('Takip Edilen Türk Futbolcular'!O89="","",'Takip Edilen Türk Futbolcular'!O89)</f>
        <v/>
      </c>
      <c r="P987" t="str">
        <f>IF('Takip Edilen Türk Futbolcular'!P89="","",'Takip Edilen Türk Futbolcular'!P89)</f>
        <v/>
      </c>
      <c r="Q987" t="str">
        <f>IF('Takip Edilen Türk Futbolcular'!Q89="","",'Takip Edilen Türk Futbolcular'!Q89)</f>
        <v/>
      </c>
      <c r="R987" t="str">
        <f>IF('Takip Edilen Türk Futbolcular'!R89="","",'Takip Edilen Türk Futbolcular'!R89)</f>
        <v/>
      </c>
      <c r="S987" t="str">
        <f>IF('Takip Edilen Türk Futbolcular'!S89="","",'Takip Edilen Türk Futbolcular'!S89)</f>
        <v/>
      </c>
      <c r="T987" s="2" t="str">
        <f>IF('Takip Edilen Türk Futbolcular'!T89="","",'Takip Edilen Türk Futbolcular'!T89)</f>
        <v/>
      </c>
      <c r="U987" t="s">
        <v>935</v>
      </c>
      <c r="V987">
        <v>89</v>
      </c>
      <c r="W987" t="str">
        <f ca="1">IF(AND($A987&lt;&gt;"",ISNUMBER($G987),$G987&gt;=TODAY(),$G987&lt;=EDATE(TODAY(),12)),COUNTIFS($G$2:$G$1001,"&gt;="&amp;TODAY(),$G$2:$G$1001,"&lt;"&amp;$G987,$A$2:$A$1001,"&lt;&gt;")+COUNTIFS($G$2:$G987,$G987,$A$2:$A987,"&lt;&gt;"),"")</f>
        <v/>
      </c>
      <c r="X987" t="str">
        <f>IF(AND($A987&lt;&gt;"",ISNUMBER($C987),$C987&gt;=DATE(2003,1,1)),COUNTIFS($C$2:$C987,"&gt;="&amp;DATE(2003,1,1),$A$2:$A987,"&lt;&gt;"),"")</f>
        <v/>
      </c>
    </row>
    <row r="988" spans="1:24">
      <c r="A988" t="str">
        <f>IF('Takip Edilen Türk Futbolcular'!A90="","",'Takip Edilen Türk Futbolcular'!A90)</f>
        <v/>
      </c>
      <c r="B988" t="str">
        <f>IF('Takip Edilen Türk Futbolcular'!B90="","",'Takip Edilen Türk Futbolcular'!B90)</f>
        <v/>
      </c>
      <c r="C988" s="2" t="str">
        <f>IF('Takip Edilen Türk Futbolcular'!C90="","",'Takip Edilen Türk Futbolcular'!C90)</f>
        <v/>
      </c>
      <c r="D988" t="str">
        <f ca="1">IF('Takip Edilen Türk Futbolcular'!D90="","",'Takip Edilen Türk Futbolcular'!D90)</f>
        <v/>
      </c>
      <c r="E988" t="str">
        <f>IF('Takip Edilen Türk Futbolcular'!E90="","",'Takip Edilen Türk Futbolcular'!E90)</f>
        <v>Forvet</v>
      </c>
      <c r="F988" t="str">
        <f>IF('Takip Edilen Türk Futbolcular'!F90="","",'Takip Edilen Türk Futbolcular'!F90)</f>
        <v/>
      </c>
      <c r="G988" s="2" t="str">
        <f>IF('Takip Edilen Türk Futbolcular'!G90="","",'Takip Edilen Türk Futbolcular'!G90)</f>
        <v/>
      </c>
      <c r="H988" t="str">
        <f>IF('Takip Edilen Türk Futbolcular'!H90="","",'Takip Edilen Türk Futbolcular'!H90)</f>
        <v/>
      </c>
      <c r="I988" t="str">
        <f>IF('Takip Edilen Türk Futbolcular'!A90="","",'Takip Edilen Türk Futbolcular'!I90)</f>
        <v/>
      </c>
      <c r="J988" t="str">
        <f>IF('Takip Edilen Türk Futbolcular'!A90="","",'Takip Edilen Türk Futbolcular'!J90)</f>
        <v/>
      </c>
      <c r="K988" t="str">
        <f>IF('Takip Edilen Türk Futbolcular'!K90="","",'Takip Edilen Türk Futbolcular'!K90)</f>
        <v/>
      </c>
      <c r="L988" t="str">
        <f>IF('Takip Edilen Türk Futbolcular'!L90="","",'Takip Edilen Türk Futbolcular'!L90)</f>
        <v/>
      </c>
      <c r="M988" t="str">
        <f>IF('Takip Edilen Türk Futbolcular'!M90="","",'Takip Edilen Türk Futbolcular'!M90)</f>
        <v/>
      </c>
      <c r="N988" t="str">
        <f>IF('Takip Edilen Türk Futbolcular'!N90="","",'Takip Edilen Türk Futbolcular'!N90)</f>
        <v/>
      </c>
      <c r="O988" t="str">
        <f>IF('Takip Edilen Türk Futbolcular'!O90="","",'Takip Edilen Türk Futbolcular'!O90)</f>
        <v/>
      </c>
      <c r="P988" t="str">
        <f>IF('Takip Edilen Türk Futbolcular'!P90="","",'Takip Edilen Türk Futbolcular'!P90)</f>
        <v/>
      </c>
      <c r="Q988" t="str">
        <f>IF('Takip Edilen Türk Futbolcular'!Q90="","",'Takip Edilen Türk Futbolcular'!Q90)</f>
        <v/>
      </c>
      <c r="R988" t="str">
        <f>IF('Takip Edilen Türk Futbolcular'!R90="","",'Takip Edilen Türk Futbolcular'!R90)</f>
        <v/>
      </c>
      <c r="S988" t="str">
        <f>IF('Takip Edilen Türk Futbolcular'!S90="","",'Takip Edilen Türk Futbolcular'!S90)</f>
        <v/>
      </c>
      <c r="T988" s="2" t="str">
        <f>IF('Takip Edilen Türk Futbolcular'!T90="","",'Takip Edilen Türk Futbolcular'!T90)</f>
        <v/>
      </c>
      <c r="U988" t="s">
        <v>935</v>
      </c>
      <c r="V988">
        <v>90</v>
      </c>
      <c r="W988" t="str">
        <f ca="1">IF(AND($A988&lt;&gt;"",ISNUMBER($G988),$G988&gt;=TODAY(),$G988&lt;=EDATE(TODAY(),12)),COUNTIFS($G$2:$G$1001,"&gt;="&amp;TODAY(),$G$2:$G$1001,"&lt;"&amp;$G988,$A$2:$A$1001,"&lt;&gt;")+COUNTIFS($G$2:$G988,$G988,$A$2:$A988,"&lt;&gt;"),"")</f>
        <v/>
      </c>
      <c r="X988" t="str">
        <f>IF(AND($A988&lt;&gt;"",ISNUMBER($C988),$C988&gt;=DATE(2003,1,1)),COUNTIFS($C$2:$C988,"&gt;="&amp;DATE(2003,1,1),$A$2:$A988,"&lt;&gt;"),"")</f>
        <v/>
      </c>
    </row>
    <row r="989" spans="1:24">
      <c r="A989" t="str">
        <f>IF('Takip Edilen Türk Futbolcular'!A91="","",'Takip Edilen Türk Futbolcular'!A91)</f>
        <v/>
      </c>
      <c r="B989" t="str">
        <f>IF('Takip Edilen Türk Futbolcular'!B91="","",'Takip Edilen Türk Futbolcular'!B91)</f>
        <v/>
      </c>
      <c r="C989" s="2" t="str">
        <f>IF('Takip Edilen Türk Futbolcular'!C91="","",'Takip Edilen Türk Futbolcular'!C91)</f>
        <v/>
      </c>
      <c r="D989" t="str">
        <f ca="1">IF('Takip Edilen Türk Futbolcular'!D91="","",'Takip Edilen Türk Futbolcular'!D91)</f>
        <v/>
      </c>
      <c r="E989" t="str">
        <f>IF('Takip Edilen Türk Futbolcular'!E91="","",'Takip Edilen Türk Futbolcular'!E91)</f>
        <v>Forvet</v>
      </c>
      <c r="F989" t="str">
        <f>IF('Takip Edilen Türk Futbolcular'!F91="","",'Takip Edilen Türk Futbolcular'!F91)</f>
        <v/>
      </c>
      <c r="G989" s="2" t="str">
        <f>IF('Takip Edilen Türk Futbolcular'!G91="","",'Takip Edilen Türk Futbolcular'!G91)</f>
        <v/>
      </c>
      <c r="H989" t="str">
        <f>IF('Takip Edilen Türk Futbolcular'!H91="","",'Takip Edilen Türk Futbolcular'!H91)</f>
        <v/>
      </c>
      <c r="I989" t="str">
        <f>IF('Takip Edilen Türk Futbolcular'!A91="","",'Takip Edilen Türk Futbolcular'!I91)</f>
        <v/>
      </c>
      <c r="J989" t="str">
        <f>IF('Takip Edilen Türk Futbolcular'!A91="","",'Takip Edilen Türk Futbolcular'!J91)</f>
        <v/>
      </c>
      <c r="K989" t="str">
        <f>IF('Takip Edilen Türk Futbolcular'!K91="","",'Takip Edilen Türk Futbolcular'!K91)</f>
        <v/>
      </c>
      <c r="L989" t="str">
        <f>IF('Takip Edilen Türk Futbolcular'!L91="","",'Takip Edilen Türk Futbolcular'!L91)</f>
        <v/>
      </c>
      <c r="M989" t="str">
        <f>IF('Takip Edilen Türk Futbolcular'!M91="","",'Takip Edilen Türk Futbolcular'!M91)</f>
        <v/>
      </c>
      <c r="N989" t="str">
        <f>IF('Takip Edilen Türk Futbolcular'!N91="","",'Takip Edilen Türk Futbolcular'!N91)</f>
        <v/>
      </c>
      <c r="O989" t="str">
        <f>IF('Takip Edilen Türk Futbolcular'!O91="","",'Takip Edilen Türk Futbolcular'!O91)</f>
        <v/>
      </c>
      <c r="P989" t="str">
        <f>IF('Takip Edilen Türk Futbolcular'!P91="","",'Takip Edilen Türk Futbolcular'!P91)</f>
        <v/>
      </c>
      <c r="Q989" t="str">
        <f>IF('Takip Edilen Türk Futbolcular'!Q91="","",'Takip Edilen Türk Futbolcular'!Q91)</f>
        <v/>
      </c>
      <c r="R989" t="str">
        <f>IF('Takip Edilen Türk Futbolcular'!R91="","",'Takip Edilen Türk Futbolcular'!R91)</f>
        <v/>
      </c>
      <c r="S989" t="str">
        <f>IF('Takip Edilen Türk Futbolcular'!S91="","",'Takip Edilen Türk Futbolcular'!S91)</f>
        <v/>
      </c>
      <c r="T989" s="2" t="str">
        <f>IF('Takip Edilen Türk Futbolcular'!T91="","",'Takip Edilen Türk Futbolcular'!T91)</f>
        <v/>
      </c>
      <c r="U989" t="s">
        <v>935</v>
      </c>
      <c r="V989">
        <v>91</v>
      </c>
      <c r="W989" t="str">
        <f ca="1">IF(AND($A989&lt;&gt;"",ISNUMBER($G989),$G989&gt;=TODAY(),$G989&lt;=EDATE(TODAY(),12)),COUNTIFS($G$2:$G$1001,"&gt;="&amp;TODAY(),$G$2:$G$1001,"&lt;"&amp;$G989,$A$2:$A$1001,"&lt;&gt;")+COUNTIFS($G$2:$G989,$G989,$A$2:$A989,"&lt;&gt;"),"")</f>
        <v/>
      </c>
      <c r="X989" t="str">
        <f>IF(AND($A989&lt;&gt;"",ISNUMBER($C989),$C989&gt;=DATE(2003,1,1)),COUNTIFS($C$2:$C989,"&gt;="&amp;DATE(2003,1,1),$A$2:$A989,"&lt;&gt;"),"")</f>
        <v/>
      </c>
    </row>
    <row r="990" spans="1:24">
      <c r="A990" t="str">
        <f>IF('Takip Edilen Türk Futbolcular'!A92="","",'Takip Edilen Türk Futbolcular'!A92)</f>
        <v/>
      </c>
      <c r="B990" t="str">
        <f>IF('Takip Edilen Türk Futbolcular'!B92="","",'Takip Edilen Türk Futbolcular'!B92)</f>
        <v/>
      </c>
      <c r="C990" s="2" t="str">
        <f>IF('Takip Edilen Türk Futbolcular'!C92="","",'Takip Edilen Türk Futbolcular'!C92)</f>
        <v/>
      </c>
      <c r="D990" t="str">
        <f ca="1">IF('Takip Edilen Türk Futbolcular'!D92="","",'Takip Edilen Türk Futbolcular'!D92)</f>
        <v/>
      </c>
      <c r="E990" t="str">
        <f>IF('Takip Edilen Türk Futbolcular'!E92="","",'Takip Edilen Türk Futbolcular'!E92)</f>
        <v>Forvet</v>
      </c>
      <c r="F990" t="str">
        <f>IF('Takip Edilen Türk Futbolcular'!F92="","",'Takip Edilen Türk Futbolcular'!F92)</f>
        <v/>
      </c>
      <c r="G990" s="2" t="str">
        <f>IF('Takip Edilen Türk Futbolcular'!G92="","",'Takip Edilen Türk Futbolcular'!G92)</f>
        <v/>
      </c>
      <c r="H990" t="str">
        <f>IF('Takip Edilen Türk Futbolcular'!H92="","",'Takip Edilen Türk Futbolcular'!H92)</f>
        <v/>
      </c>
      <c r="I990" t="str">
        <f>IF('Takip Edilen Türk Futbolcular'!A92="","",'Takip Edilen Türk Futbolcular'!I92)</f>
        <v/>
      </c>
      <c r="J990" t="str">
        <f>IF('Takip Edilen Türk Futbolcular'!A92="","",'Takip Edilen Türk Futbolcular'!J92)</f>
        <v/>
      </c>
      <c r="K990" t="str">
        <f>IF('Takip Edilen Türk Futbolcular'!K92="","",'Takip Edilen Türk Futbolcular'!K92)</f>
        <v/>
      </c>
      <c r="L990" t="str">
        <f>IF('Takip Edilen Türk Futbolcular'!L92="","",'Takip Edilen Türk Futbolcular'!L92)</f>
        <v/>
      </c>
      <c r="M990" t="str">
        <f>IF('Takip Edilen Türk Futbolcular'!M92="","",'Takip Edilen Türk Futbolcular'!M92)</f>
        <v/>
      </c>
      <c r="N990" t="str">
        <f>IF('Takip Edilen Türk Futbolcular'!N92="","",'Takip Edilen Türk Futbolcular'!N92)</f>
        <v/>
      </c>
      <c r="O990" t="str">
        <f>IF('Takip Edilen Türk Futbolcular'!O92="","",'Takip Edilen Türk Futbolcular'!O92)</f>
        <v/>
      </c>
      <c r="P990" t="str">
        <f>IF('Takip Edilen Türk Futbolcular'!P92="","",'Takip Edilen Türk Futbolcular'!P92)</f>
        <v/>
      </c>
      <c r="Q990" t="str">
        <f>IF('Takip Edilen Türk Futbolcular'!Q92="","",'Takip Edilen Türk Futbolcular'!Q92)</f>
        <v/>
      </c>
      <c r="R990" t="str">
        <f>IF('Takip Edilen Türk Futbolcular'!R92="","",'Takip Edilen Türk Futbolcular'!R92)</f>
        <v/>
      </c>
      <c r="S990" t="str">
        <f>IF('Takip Edilen Türk Futbolcular'!S92="","",'Takip Edilen Türk Futbolcular'!S92)</f>
        <v/>
      </c>
      <c r="T990" s="2" t="str">
        <f>IF('Takip Edilen Türk Futbolcular'!T92="","",'Takip Edilen Türk Futbolcular'!T92)</f>
        <v/>
      </c>
      <c r="U990" t="s">
        <v>935</v>
      </c>
      <c r="V990">
        <v>92</v>
      </c>
      <c r="W990" t="str">
        <f ca="1">IF(AND($A990&lt;&gt;"",ISNUMBER($G990),$G990&gt;=TODAY(),$G990&lt;=EDATE(TODAY(),12)),COUNTIFS($G$2:$G$1001,"&gt;="&amp;TODAY(),$G$2:$G$1001,"&lt;"&amp;$G990,$A$2:$A$1001,"&lt;&gt;")+COUNTIFS($G$2:$G990,$G990,$A$2:$A990,"&lt;&gt;"),"")</f>
        <v/>
      </c>
      <c r="X990" t="str">
        <f>IF(AND($A990&lt;&gt;"",ISNUMBER($C990),$C990&gt;=DATE(2003,1,1)),COUNTIFS($C$2:$C990,"&gt;="&amp;DATE(2003,1,1),$A$2:$A990,"&lt;&gt;"),"")</f>
        <v/>
      </c>
    </row>
    <row r="991" spans="1:24">
      <c r="A991" t="str">
        <f>IF('Takip Edilen Türk Futbolcular'!A93="","",'Takip Edilen Türk Futbolcular'!A93)</f>
        <v/>
      </c>
      <c r="B991" t="str">
        <f>IF('Takip Edilen Türk Futbolcular'!B93="","",'Takip Edilen Türk Futbolcular'!B93)</f>
        <v/>
      </c>
      <c r="C991" s="2" t="str">
        <f>IF('Takip Edilen Türk Futbolcular'!C93="","",'Takip Edilen Türk Futbolcular'!C93)</f>
        <v/>
      </c>
      <c r="D991" t="str">
        <f ca="1">IF('Takip Edilen Türk Futbolcular'!D93="","",'Takip Edilen Türk Futbolcular'!D93)</f>
        <v/>
      </c>
      <c r="E991" t="str">
        <f>IF('Takip Edilen Türk Futbolcular'!E93="","",'Takip Edilen Türk Futbolcular'!E93)</f>
        <v>Forvet</v>
      </c>
      <c r="F991" t="str">
        <f>IF('Takip Edilen Türk Futbolcular'!F93="","",'Takip Edilen Türk Futbolcular'!F93)</f>
        <v/>
      </c>
      <c r="G991" s="2" t="str">
        <f>IF('Takip Edilen Türk Futbolcular'!G93="","",'Takip Edilen Türk Futbolcular'!G93)</f>
        <v/>
      </c>
      <c r="H991" t="str">
        <f>IF('Takip Edilen Türk Futbolcular'!H93="","",'Takip Edilen Türk Futbolcular'!H93)</f>
        <v/>
      </c>
      <c r="I991" t="str">
        <f>IF('Takip Edilen Türk Futbolcular'!A93="","",'Takip Edilen Türk Futbolcular'!I93)</f>
        <v/>
      </c>
      <c r="J991" t="str">
        <f>IF('Takip Edilen Türk Futbolcular'!A93="","",'Takip Edilen Türk Futbolcular'!J93)</f>
        <v/>
      </c>
      <c r="K991" t="str">
        <f>IF('Takip Edilen Türk Futbolcular'!K93="","",'Takip Edilen Türk Futbolcular'!K93)</f>
        <v/>
      </c>
      <c r="L991" t="str">
        <f>IF('Takip Edilen Türk Futbolcular'!L93="","",'Takip Edilen Türk Futbolcular'!L93)</f>
        <v/>
      </c>
      <c r="M991" t="str">
        <f>IF('Takip Edilen Türk Futbolcular'!M93="","",'Takip Edilen Türk Futbolcular'!M93)</f>
        <v/>
      </c>
      <c r="N991" t="str">
        <f>IF('Takip Edilen Türk Futbolcular'!N93="","",'Takip Edilen Türk Futbolcular'!N93)</f>
        <v/>
      </c>
      <c r="O991" t="str">
        <f>IF('Takip Edilen Türk Futbolcular'!O93="","",'Takip Edilen Türk Futbolcular'!O93)</f>
        <v/>
      </c>
      <c r="P991" t="str">
        <f>IF('Takip Edilen Türk Futbolcular'!P93="","",'Takip Edilen Türk Futbolcular'!P93)</f>
        <v/>
      </c>
      <c r="Q991" t="str">
        <f>IF('Takip Edilen Türk Futbolcular'!Q93="","",'Takip Edilen Türk Futbolcular'!Q93)</f>
        <v/>
      </c>
      <c r="R991" t="str">
        <f>IF('Takip Edilen Türk Futbolcular'!R93="","",'Takip Edilen Türk Futbolcular'!R93)</f>
        <v/>
      </c>
      <c r="S991" t="str">
        <f>IF('Takip Edilen Türk Futbolcular'!S93="","",'Takip Edilen Türk Futbolcular'!S93)</f>
        <v/>
      </c>
      <c r="T991" s="2" t="str">
        <f>IF('Takip Edilen Türk Futbolcular'!T93="","",'Takip Edilen Türk Futbolcular'!T93)</f>
        <v/>
      </c>
      <c r="U991" t="s">
        <v>935</v>
      </c>
      <c r="V991">
        <v>93</v>
      </c>
      <c r="W991" t="str">
        <f ca="1">IF(AND($A991&lt;&gt;"",ISNUMBER($G991),$G991&gt;=TODAY(),$G991&lt;=EDATE(TODAY(),12)),COUNTIFS($G$2:$G$1001,"&gt;="&amp;TODAY(),$G$2:$G$1001,"&lt;"&amp;$G991,$A$2:$A$1001,"&lt;&gt;")+COUNTIFS($G$2:$G991,$G991,$A$2:$A991,"&lt;&gt;"),"")</f>
        <v/>
      </c>
      <c r="X991" t="str">
        <f>IF(AND($A991&lt;&gt;"",ISNUMBER($C991),$C991&gt;=DATE(2003,1,1)),COUNTIFS($C$2:$C991,"&gt;="&amp;DATE(2003,1,1),$A$2:$A991,"&lt;&gt;"),"")</f>
        <v/>
      </c>
    </row>
    <row r="992" spans="1:24">
      <c r="A992" t="str">
        <f>IF('Takip Edilen Türk Futbolcular'!A94="","",'Takip Edilen Türk Futbolcular'!A94)</f>
        <v/>
      </c>
      <c r="B992" t="str">
        <f>IF('Takip Edilen Türk Futbolcular'!B94="","",'Takip Edilen Türk Futbolcular'!B94)</f>
        <v/>
      </c>
      <c r="C992" s="2" t="str">
        <f>IF('Takip Edilen Türk Futbolcular'!C94="","",'Takip Edilen Türk Futbolcular'!C94)</f>
        <v/>
      </c>
      <c r="D992" t="str">
        <f ca="1">IF('Takip Edilen Türk Futbolcular'!D94="","",'Takip Edilen Türk Futbolcular'!D94)</f>
        <v/>
      </c>
      <c r="E992" t="str">
        <f>IF('Takip Edilen Türk Futbolcular'!E94="","",'Takip Edilen Türk Futbolcular'!E94)</f>
        <v>Forvet</v>
      </c>
      <c r="F992" t="str">
        <f>IF('Takip Edilen Türk Futbolcular'!F94="","",'Takip Edilen Türk Futbolcular'!F94)</f>
        <v/>
      </c>
      <c r="G992" s="2" t="str">
        <f>IF('Takip Edilen Türk Futbolcular'!G94="","",'Takip Edilen Türk Futbolcular'!G94)</f>
        <v/>
      </c>
      <c r="H992" t="str">
        <f>IF('Takip Edilen Türk Futbolcular'!H94="","",'Takip Edilen Türk Futbolcular'!H94)</f>
        <v/>
      </c>
      <c r="I992" t="str">
        <f>IF('Takip Edilen Türk Futbolcular'!A94="","",'Takip Edilen Türk Futbolcular'!I94)</f>
        <v/>
      </c>
      <c r="J992" t="str">
        <f>IF('Takip Edilen Türk Futbolcular'!A94="","",'Takip Edilen Türk Futbolcular'!J94)</f>
        <v/>
      </c>
      <c r="K992" t="str">
        <f>IF('Takip Edilen Türk Futbolcular'!K94="","",'Takip Edilen Türk Futbolcular'!K94)</f>
        <v/>
      </c>
      <c r="L992" t="str">
        <f>IF('Takip Edilen Türk Futbolcular'!L94="","",'Takip Edilen Türk Futbolcular'!L94)</f>
        <v/>
      </c>
      <c r="M992" t="str">
        <f>IF('Takip Edilen Türk Futbolcular'!M94="","",'Takip Edilen Türk Futbolcular'!M94)</f>
        <v/>
      </c>
      <c r="N992" t="str">
        <f>IF('Takip Edilen Türk Futbolcular'!N94="","",'Takip Edilen Türk Futbolcular'!N94)</f>
        <v/>
      </c>
      <c r="O992" t="str">
        <f>IF('Takip Edilen Türk Futbolcular'!O94="","",'Takip Edilen Türk Futbolcular'!O94)</f>
        <v/>
      </c>
      <c r="P992" t="str">
        <f>IF('Takip Edilen Türk Futbolcular'!P94="","",'Takip Edilen Türk Futbolcular'!P94)</f>
        <v/>
      </c>
      <c r="Q992" t="str">
        <f>IF('Takip Edilen Türk Futbolcular'!Q94="","",'Takip Edilen Türk Futbolcular'!Q94)</f>
        <v/>
      </c>
      <c r="R992" t="str">
        <f>IF('Takip Edilen Türk Futbolcular'!R94="","",'Takip Edilen Türk Futbolcular'!R94)</f>
        <v/>
      </c>
      <c r="S992" t="str">
        <f>IF('Takip Edilen Türk Futbolcular'!S94="","",'Takip Edilen Türk Futbolcular'!S94)</f>
        <v/>
      </c>
      <c r="T992" s="2" t="str">
        <f>IF('Takip Edilen Türk Futbolcular'!T94="","",'Takip Edilen Türk Futbolcular'!T94)</f>
        <v/>
      </c>
      <c r="U992" t="s">
        <v>935</v>
      </c>
      <c r="V992">
        <v>94</v>
      </c>
      <c r="W992" t="str">
        <f ca="1">IF(AND($A992&lt;&gt;"",ISNUMBER($G992),$G992&gt;=TODAY(),$G992&lt;=EDATE(TODAY(),12)),COUNTIFS($G$2:$G$1001,"&gt;="&amp;TODAY(),$G$2:$G$1001,"&lt;"&amp;$G992,$A$2:$A$1001,"&lt;&gt;")+COUNTIFS($G$2:$G992,$G992,$A$2:$A992,"&lt;&gt;"),"")</f>
        <v/>
      </c>
      <c r="X992" t="str">
        <f>IF(AND($A992&lt;&gt;"",ISNUMBER($C992),$C992&gt;=DATE(2003,1,1)),COUNTIFS($C$2:$C992,"&gt;="&amp;DATE(2003,1,1),$A$2:$A992,"&lt;&gt;"),"")</f>
        <v/>
      </c>
    </row>
    <row r="993" spans="1:24">
      <c r="A993" t="str">
        <f>IF('Takip Edilen Türk Futbolcular'!A95="","",'Takip Edilen Türk Futbolcular'!A95)</f>
        <v/>
      </c>
      <c r="B993" t="str">
        <f>IF('Takip Edilen Türk Futbolcular'!B95="","",'Takip Edilen Türk Futbolcular'!B95)</f>
        <v/>
      </c>
      <c r="C993" s="2" t="str">
        <f>IF('Takip Edilen Türk Futbolcular'!C95="","",'Takip Edilen Türk Futbolcular'!C95)</f>
        <v/>
      </c>
      <c r="D993" t="str">
        <f ca="1">IF('Takip Edilen Türk Futbolcular'!D95="","",'Takip Edilen Türk Futbolcular'!D95)</f>
        <v/>
      </c>
      <c r="E993" t="str">
        <f>IF('Takip Edilen Türk Futbolcular'!E95="","",'Takip Edilen Türk Futbolcular'!E95)</f>
        <v>Forvet</v>
      </c>
      <c r="F993" t="str">
        <f>IF('Takip Edilen Türk Futbolcular'!F95="","",'Takip Edilen Türk Futbolcular'!F95)</f>
        <v/>
      </c>
      <c r="G993" s="2" t="str">
        <f>IF('Takip Edilen Türk Futbolcular'!G95="","",'Takip Edilen Türk Futbolcular'!G95)</f>
        <v/>
      </c>
      <c r="H993" t="str">
        <f>IF('Takip Edilen Türk Futbolcular'!H95="","",'Takip Edilen Türk Futbolcular'!H95)</f>
        <v/>
      </c>
      <c r="I993" t="str">
        <f>IF('Takip Edilen Türk Futbolcular'!A95="","",'Takip Edilen Türk Futbolcular'!I95)</f>
        <v/>
      </c>
      <c r="J993" t="str">
        <f>IF('Takip Edilen Türk Futbolcular'!A95="","",'Takip Edilen Türk Futbolcular'!J95)</f>
        <v/>
      </c>
      <c r="K993" t="str">
        <f>IF('Takip Edilen Türk Futbolcular'!K95="","",'Takip Edilen Türk Futbolcular'!K95)</f>
        <v/>
      </c>
      <c r="L993" t="str">
        <f>IF('Takip Edilen Türk Futbolcular'!L95="","",'Takip Edilen Türk Futbolcular'!L95)</f>
        <v/>
      </c>
      <c r="M993" t="str">
        <f>IF('Takip Edilen Türk Futbolcular'!M95="","",'Takip Edilen Türk Futbolcular'!M95)</f>
        <v/>
      </c>
      <c r="N993" t="str">
        <f>IF('Takip Edilen Türk Futbolcular'!N95="","",'Takip Edilen Türk Futbolcular'!N95)</f>
        <v/>
      </c>
      <c r="O993" t="str">
        <f>IF('Takip Edilen Türk Futbolcular'!O95="","",'Takip Edilen Türk Futbolcular'!O95)</f>
        <v/>
      </c>
      <c r="P993" t="str">
        <f>IF('Takip Edilen Türk Futbolcular'!P95="","",'Takip Edilen Türk Futbolcular'!P95)</f>
        <v/>
      </c>
      <c r="Q993" t="str">
        <f>IF('Takip Edilen Türk Futbolcular'!Q95="","",'Takip Edilen Türk Futbolcular'!Q95)</f>
        <v/>
      </c>
      <c r="R993" t="str">
        <f>IF('Takip Edilen Türk Futbolcular'!R95="","",'Takip Edilen Türk Futbolcular'!R95)</f>
        <v/>
      </c>
      <c r="S993" t="str">
        <f>IF('Takip Edilen Türk Futbolcular'!S95="","",'Takip Edilen Türk Futbolcular'!S95)</f>
        <v/>
      </c>
      <c r="T993" s="2" t="str">
        <f>IF('Takip Edilen Türk Futbolcular'!T95="","",'Takip Edilen Türk Futbolcular'!T95)</f>
        <v/>
      </c>
      <c r="U993" t="s">
        <v>935</v>
      </c>
      <c r="V993">
        <v>95</v>
      </c>
      <c r="W993" t="str">
        <f ca="1">IF(AND($A993&lt;&gt;"",ISNUMBER($G993),$G993&gt;=TODAY(),$G993&lt;=EDATE(TODAY(),12)),COUNTIFS($G$2:$G$1001,"&gt;="&amp;TODAY(),$G$2:$G$1001,"&lt;"&amp;$G993,$A$2:$A$1001,"&lt;&gt;")+COUNTIFS($G$2:$G993,$G993,$A$2:$A993,"&lt;&gt;"),"")</f>
        <v/>
      </c>
      <c r="X993" t="str">
        <f>IF(AND($A993&lt;&gt;"",ISNUMBER($C993),$C993&gt;=DATE(2003,1,1)),COUNTIFS($C$2:$C993,"&gt;="&amp;DATE(2003,1,1),$A$2:$A993,"&lt;&gt;"),"")</f>
        <v/>
      </c>
    </row>
    <row r="994" spans="1:24">
      <c r="A994" t="str">
        <f>IF('Takip Edilen Türk Futbolcular'!A96="","",'Takip Edilen Türk Futbolcular'!A96)</f>
        <v/>
      </c>
      <c r="B994" t="str">
        <f>IF('Takip Edilen Türk Futbolcular'!B96="","",'Takip Edilen Türk Futbolcular'!B96)</f>
        <v/>
      </c>
      <c r="C994" s="2" t="str">
        <f>IF('Takip Edilen Türk Futbolcular'!C96="","",'Takip Edilen Türk Futbolcular'!C96)</f>
        <v/>
      </c>
      <c r="D994" t="str">
        <f ca="1">IF('Takip Edilen Türk Futbolcular'!D96="","",'Takip Edilen Türk Futbolcular'!D96)</f>
        <v/>
      </c>
      <c r="E994" t="str">
        <f>IF('Takip Edilen Türk Futbolcular'!E96="","",'Takip Edilen Türk Futbolcular'!E96)</f>
        <v>Forvet</v>
      </c>
      <c r="F994" t="str">
        <f>IF('Takip Edilen Türk Futbolcular'!F96="","",'Takip Edilen Türk Futbolcular'!F96)</f>
        <v/>
      </c>
      <c r="G994" s="2" t="str">
        <f>IF('Takip Edilen Türk Futbolcular'!G96="","",'Takip Edilen Türk Futbolcular'!G96)</f>
        <v/>
      </c>
      <c r="H994" t="str">
        <f>IF('Takip Edilen Türk Futbolcular'!H96="","",'Takip Edilen Türk Futbolcular'!H96)</f>
        <v/>
      </c>
      <c r="I994" t="str">
        <f>IF('Takip Edilen Türk Futbolcular'!A96="","",'Takip Edilen Türk Futbolcular'!I96)</f>
        <v/>
      </c>
      <c r="J994" t="str">
        <f>IF('Takip Edilen Türk Futbolcular'!A96="","",'Takip Edilen Türk Futbolcular'!J96)</f>
        <v/>
      </c>
      <c r="K994" t="str">
        <f>IF('Takip Edilen Türk Futbolcular'!K96="","",'Takip Edilen Türk Futbolcular'!K96)</f>
        <v/>
      </c>
      <c r="L994" t="str">
        <f>IF('Takip Edilen Türk Futbolcular'!L96="","",'Takip Edilen Türk Futbolcular'!L96)</f>
        <v/>
      </c>
      <c r="M994" t="str">
        <f>IF('Takip Edilen Türk Futbolcular'!M96="","",'Takip Edilen Türk Futbolcular'!M96)</f>
        <v/>
      </c>
      <c r="N994" t="str">
        <f>IF('Takip Edilen Türk Futbolcular'!N96="","",'Takip Edilen Türk Futbolcular'!N96)</f>
        <v/>
      </c>
      <c r="O994" t="str">
        <f>IF('Takip Edilen Türk Futbolcular'!O96="","",'Takip Edilen Türk Futbolcular'!O96)</f>
        <v/>
      </c>
      <c r="P994" t="str">
        <f>IF('Takip Edilen Türk Futbolcular'!P96="","",'Takip Edilen Türk Futbolcular'!P96)</f>
        <v/>
      </c>
      <c r="Q994" t="str">
        <f>IF('Takip Edilen Türk Futbolcular'!Q96="","",'Takip Edilen Türk Futbolcular'!Q96)</f>
        <v/>
      </c>
      <c r="R994" t="str">
        <f>IF('Takip Edilen Türk Futbolcular'!R96="","",'Takip Edilen Türk Futbolcular'!R96)</f>
        <v/>
      </c>
      <c r="S994" t="str">
        <f>IF('Takip Edilen Türk Futbolcular'!S96="","",'Takip Edilen Türk Futbolcular'!S96)</f>
        <v/>
      </c>
      <c r="T994" s="2" t="str">
        <f>IF('Takip Edilen Türk Futbolcular'!T96="","",'Takip Edilen Türk Futbolcular'!T96)</f>
        <v/>
      </c>
      <c r="U994" t="s">
        <v>935</v>
      </c>
      <c r="V994">
        <v>96</v>
      </c>
      <c r="W994" t="str">
        <f ca="1">IF(AND($A994&lt;&gt;"",ISNUMBER($G994),$G994&gt;=TODAY(),$G994&lt;=EDATE(TODAY(),12)),COUNTIFS($G$2:$G$1001,"&gt;="&amp;TODAY(),$G$2:$G$1001,"&lt;"&amp;$G994,$A$2:$A$1001,"&lt;&gt;")+COUNTIFS($G$2:$G994,$G994,$A$2:$A994,"&lt;&gt;"),"")</f>
        <v/>
      </c>
      <c r="X994" t="str">
        <f>IF(AND($A994&lt;&gt;"",ISNUMBER($C994),$C994&gt;=DATE(2003,1,1)),COUNTIFS($C$2:$C994,"&gt;="&amp;DATE(2003,1,1),$A$2:$A994,"&lt;&gt;"),"")</f>
        <v/>
      </c>
    </row>
    <row r="995" spans="1:24">
      <c r="A995" t="str">
        <f>IF('Takip Edilen Türk Futbolcular'!A97="","",'Takip Edilen Türk Futbolcular'!A97)</f>
        <v/>
      </c>
      <c r="B995" t="str">
        <f>IF('Takip Edilen Türk Futbolcular'!B97="","",'Takip Edilen Türk Futbolcular'!B97)</f>
        <v/>
      </c>
      <c r="C995" s="2" t="str">
        <f>IF('Takip Edilen Türk Futbolcular'!C97="","",'Takip Edilen Türk Futbolcular'!C97)</f>
        <v/>
      </c>
      <c r="D995" t="str">
        <f ca="1">IF('Takip Edilen Türk Futbolcular'!D97="","",'Takip Edilen Türk Futbolcular'!D97)</f>
        <v/>
      </c>
      <c r="E995" t="str">
        <f>IF('Takip Edilen Türk Futbolcular'!E97="","",'Takip Edilen Türk Futbolcular'!E97)</f>
        <v>Forvet</v>
      </c>
      <c r="F995" t="str">
        <f>IF('Takip Edilen Türk Futbolcular'!F97="","",'Takip Edilen Türk Futbolcular'!F97)</f>
        <v/>
      </c>
      <c r="G995" s="2" t="str">
        <f>IF('Takip Edilen Türk Futbolcular'!G97="","",'Takip Edilen Türk Futbolcular'!G97)</f>
        <v/>
      </c>
      <c r="H995" t="str">
        <f>IF('Takip Edilen Türk Futbolcular'!H97="","",'Takip Edilen Türk Futbolcular'!H97)</f>
        <v/>
      </c>
      <c r="I995" t="str">
        <f>IF('Takip Edilen Türk Futbolcular'!A97="","",'Takip Edilen Türk Futbolcular'!I97)</f>
        <v/>
      </c>
      <c r="J995" t="str">
        <f>IF('Takip Edilen Türk Futbolcular'!A97="","",'Takip Edilen Türk Futbolcular'!J97)</f>
        <v/>
      </c>
      <c r="K995" t="str">
        <f>IF('Takip Edilen Türk Futbolcular'!K97="","",'Takip Edilen Türk Futbolcular'!K97)</f>
        <v/>
      </c>
      <c r="L995" t="str">
        <f>IF('Takip Edilen Türk Futbolcular'!L97="","",'Takip Edilen Türk Futbolcular'!L97)</f>
        <v/>
      </c>
      <c r="M995" t="str">
        <f>IF('Takip Edilen Türk Futbolcular'!M97="","",'Takip Edilen Türk Futbolcular'!M97)</f>
        <v/>
      </c>
      <c r="N995" t="str">
        <f>IF('Takip Edilen Türk Futbolcular'!N97="","",'Takip Edilen Türk Futbolcular'!N97)</f>
        <v/>
      </c>
      <c r="O995" t="str">
        <f>IF('Takip Edilen Türk Futbolcular'!O97="","",'Takip Edilen Türk Futbolcular'!O97)</f>
        <v/>
      </c>
      <c r="P995" t="str">
        <f>IF('Takip Edilen Türk Futbolcular'!P97="","",'Takip Edilen Türk Futbolcular'!P97)</f>
        <v/>
      </c>
      <c r="Q995" t="str">
        <f>IF('Takip Edilen Türk Futbolcular'!Q97="","",'Takip Edilen Türk Futbolcular'!Q97)</f>
        <v/>
      </c>
      <c r="R995" t="str">
        <f>IF('Takip Edilen Türk Futbolcular'!R97="","",'Takip Edilen Türk Futbolcular'!R97)</f>
        <v/>
      </c>
      <c r="S995" t="str">
        <f>IF('Takip Edilen Türk Futbolcular'!S97="","",'Takip Edilen Türk Futbolcular'!S97)</f>
        <v/>
      </c>
      <c r="T995" s="2" t="str">
        <f>IF('Takip Edilen Türk Futbolcular'!T97="","",'Takip Edilen Türk Futbolcular'!T97)</f>
        <v/>
      </c>
      <c r="U995" t="s">
        <v>935</v>
      </c>
      <c r="V995">
        <v>97</v>
      </c>
      <c r="W995" t="str">
        <f ca="1">IF(AND($A995&lt;&gt;"",ISNUMBER($G995),$G995&gt;=TODAY(),$G995&lt;=EDATE(TODAY(),12)),COUNTIFS($G$2:$G$1001,"&gt;="&amp;TODAY(),$G$2:$G$1001,"&lt;"&amp;$G995,$A$2:$A$1001,"&lt;&gt;")+COUNTIFS($G$2:$G995,$G995,$A$2:$A995,"&lt;&gt;"),"")</f>
        <v/>
      </c>
      <c r="X995" t="str">
        <f>IF(AND($A995&lt;&gt;"",ISNUMBER($C995),$C995&gt;=DATE(2003,1,1)),COUNTIFS($C$2:$C995,"&gt;="&amp;DATE(2003,1,1),$A$2:$A995,"&lt;&gt;"),"")</f>
        <v/>
      </c>
    </row>
    <row r="996" spans="1:24">
      <c r="A996" t="str">
        <f>IF('Takip Edilen Türk Futbolcular'!A98="","",'Takip Edilen Türk Futbolcular'!A98)</f>
        <v/>
      </c>
      <c r="B996" t="str">
        <f>IF('Takip Edilen Türk Futbolcular'!B98="","",'Takip Edilen Türk Futbolcular'!B98)</f>
        <v/>
      </c>
      <c r="C996" s="2" t="str">
        <f>IF('Takip Edilen Türk Futbolcular'!C98="","",'Takip Edilen Türk Futbolcular'!C98)</f>
        <v/>
      </c>
      <c r="D996" t="str">
        <f ca="1">IF('Takip Edilen Türk Futbolcular'!D98="","",'Takip Edilen Türk Futbolcular'!D98)</f>
        <v/>
      </c>
      <c r="E996" t="str">
        <f>IF('Takip Edilen Türk Futbolcular'!E98="","",'Takip Edilen Türk Futbolcular'!E98)</f>
        <v>Forvet</v>
      </c>
      <c r="F996" t="str">
        <f>IF('Takip Edilen Türk Futbolcular'!F98="","",'Takip Edilen Türk Futbolcular'!F98)</f>
        <v/>
      </c>
      <c r="G996" s="2" t="str">
        <f>IF('Takip Edilen Türk Futbolcular'!G98="","",'Takip Edilen Türk Futbolcular'!G98)</f>
        <v/>
      </c>
      <c r="H996" t="str">
        <f>IF('Takip Edilen Türk Futbolcular'!H98="","",'Takip Edilen Türk Futbolcular'!H98)</f>
        <v/>
      </c>
      <c r="I996" t="str">
        <f>IF('Takip Edilen Türk Futbolcular'!A98="","",'Takip Edilen Türk Futbolcular'!I98)</f>
        <v/>
      </c>
      <c r="J996" t="str">
        <f>IF('Takip Edilen Türk Futbolcular'!A98="","",'Takip Edilen Türk Futbolcular'!J98)</f>
        <v/>
      </c>
      <c r="K996" t="str">
        <f>IF('Takip Edilen Türk Futbolcular'!K98="","",'Takip Edilen Türk Futbolcular'!K98)</f>
        <v/>
      </c>
      <c r="L996" t="str">
        <f>IF('Takip Edilen Türk Futbolcular'!L98="","",'Takip Edilen Türk Futbolcular'!L98)</f>
        <v/>
      </c>
      <c r="M996" t="str">
        <f>IF('Takip Edilen Türk Futbolcular'!M98="","",'Takip Edilen Türk Futbolcular'!M98)</f>
        <v/>
      </c>
      <c r="N996" t="str">
        <f>IF('Takip Edilen Türk Futbolcular'!N98="","",'Takip Edilen Türk Futbolcular'!N98)</f>
        <v/>
      </c>
      <c r="O996" t="str">
        <f>IF('Takip Edilen Türk Futbolcular'!O98="","",'Takip Edilen Türk Futbolcular'!O98)</f>
        <v/>
      </c>
      <c r="P996" t="str">
        <f>IF('Takip Edilen Türk Futbolcular'!P98="","",'Takip Edilen Türk Futbolcular'!P98)</f>
        <v/>
      </c>
      <c r="Q996" t="str">
        <f>IF('Takip Edilen Türk Futbolcular'!Q98="","",'Takip Edilen Türk Futbolcular'!Q98)</f>
        <v/>
      </c>
      <c r="R996" t="str">
        <f>IF('Takip Edilen Türk Futbolcular'!R98="","",'Takip Edilen Türk Futbolcular'!R98)</f>
        <v/>
      </c>
      <c r="S996" t="str">
        <f>IF('Takip Edilen Türk Futbolcular'!S98="","",'Takip Edilen Türk Futbolcular'!S98)</f>
        <v/>
      </c>
      <c r="T996" s="2" t="str">
        <f>IF('Takip Edilen Türk Futbolcular'!T98="","",'Takip Edilen Türk Futbolcular'!T98)</f>
        <v/>
      </c>
      <c r="U996" t="s">
        <v>935</v>
      </c>
      <c r="V996">
        <v>98</v>
      </c>
      <c r="W996" t="str">
        <f ca="1">IF(AND($A996&lt;&gt;"",ISNUMBER($G996),$G996&gt;=TODAY(),$G996&lt;=EDATE(TODAY(),12)),COUNTIFS($G$2:$G$1001,"&gt;="&amp;TODAY(),$G$2:$G$1001,"&lt;"&amp;$G996,$A$2:$A$1001,"&lt;&gt;")+COUNTIFS($G$2:$G996,$G996,$A$2:$A996,"&lt;&gt;"),"")</f>
        <v/>
      </c>
      <c r="X996" t="str">
        <f>IF(AND($A996&lt;&gt;"",ISNUMBER($C996),$C996&gt;=DATE(2003,1,1)),COUNTIFS($C$2:$C996,"&gt;="&amp;DATE(2003,1,1),$A$2:$A996,"&lt;&gt;"),"")</f>
        <v/>
      </c>
    </row>
    <row r="997" spans="1:24">
      <c r="A997" t="str">
        <f>IF('Takip Edilen Türk Futbolcular'!A99="","",'Takip Edilen Türk Futbolcular'!A99)</f>
        <v/>
      </c>
      <c r="B997" t="str">
        <f>IF('Takip Edilen Türk Futbolcular'!B99="","",'Takip Edilen Türk Futbolcular'!B99)</f>
        <v/>
      </c>
      <c r="C997" s="2" t="str">
        <f>IF('Takip Edilen Türk Futbolcular'!C99="","",'Takip Edilen Türk Futbolcular'!C99)</f>
        <v/>
      </c>
      <c r="D997" t="str">
        <f ca="1">IF('Takip Edilen Türk Futbolcular'!D99="","",'Takip Edilen Türk Futbolcular'!D99)</f>
        <v/>
      </c>
      <c r="E997" t="str">
        <f>IF('Takip Edilen Türk Futbolcular'!E99="","",'Takip Edilen Türk Futbolcular'!E99)</f>
        <v>Forvet</v>
      </c>
      <c r="F997" t="str">
        <f>IF('Takip Edilen Türk Futbolcular'!F99="","",'Takip Edilen Türk Futbolcular'!F99)</f>
        <v/>
      </c>
      <c r="G997" s="2" t="str">
        <f>IF('Takip Edilen Türk Futbolcular'!G99="","",'Takip Edilen Türk Futbolcular'!G99)</f>
        <v/>
      </c>
      <c r="H997" t="str">
        <f>IF('Takip Edilen Türk Futbolcular'!H99="","",'Takip Edilen Türk Futbolcular'!H99)</f>
        <v/>
      </c>
      <c r="I997" t="str">
        <f>IF('Takip Edilen Türk Futbolcular'!A99="","",'Takip Edilen Türk Futbolcular'!I99)</f>
        <v/>
      </c>
      <c r="J997" t="str">
        <f>IF('Takip Edilen Türk Futbolcular'!A99="","",'Takip Edilen Türk Futbolcular'!J99)</f>
        <v/>
      </c>
      <c r="K997" t="str">
        <f>IF('Takip Edilen Türk Futbolcular'!K99="","",'Takip Edilen Türk Futbolcular'!K99)</f>
        <v/>
      </c>
      <c r="L997" t="str">
        <f>IF('Takip Edilen Türk Futbolcular'!L99="","",'Takip Edilen Türk Futbolcular'!L99)</f>
        <v/>
      </c>
      <c r="M997" t="str">
        <f>IF('Takip Edilen Türk Futbolcular'!M99="","",'Takip Edilen Türk Futbolcular'!M99)</f>
        <v/>
      </c>
      <c r="N997" t="str">
        <f>IF('Takip Edilen Türk Futbolcular'!N99="","",'Takip Edilen Türk Futbolcular'!N99)</f>
        <v/>
      </c>
      <c r="O997" t="str">
        <f>IF('Takip Edilen Türk Futbolcular'!O99="","",'Takip Edilen Türk Futbolcular'!O99)</f>
        <v/>
      </c>
      <c r="P997" t="str">
        <f>IF('Takip Edilen Türk Futbolcular'!P99="","",'Takip Edilen Türk Futbolcular'!P99)</f>
        <v/>
      </c>
      <c r="Q997" t="str">
        <f>IF('Takip Edilen Türk Futbolcular'!Q99="","",'Takip Edilen Türk Futbolcular'!Q99)</f>
        <v/>
      </c>
      <c r="R997" t="str">
        <f>IF('Takip Edilen Türk Futbolcular'!R99="","",'Takip Edilen Türk Futbolcular'!R99)</f>
        <v/>
      </c>
      <c r="S997" t="str">
        <f>IF('Takip Edilen Türk Futbolcular'!S99="","",'Takip Edilen Türk Futbolcular'!S99)</f>
        <v/>
      </c>
      <c r="T997" s="2" t="str">
        <f>IF('Takip Edilen Türk Futbolcular'!T99="","",'Takip Edilen Türk Futbolcular'!T99)</f>
        <v/>
      </c>
      <c r="U997" t="s">
        <v>935</v>
      </c>
      <c r="V997">
        <v>99</v>
      </c>
      <c r="W997" t="str">
        <f ca="1">IF(AND($A997&lt;&gt;"",ISNUMBER($G997),$G997&gt;=TODAY(),$G997&lt;=EDATE(TODAY(),12)),COUNTIFS($G$2:$G$1001,"&gt;="&amp;TODAY(),$G$2:$G$1001,"&lt;"&amp;$G997,$A$2:$A$1001,"&lt;&gt;")+COUNTIFS($G$2:$G997,$G997,$A$2:$A997,"&lt;&gt;"),"")</f>
        <v/>
      </c>
      <c r="X997" t="str">
        <f>IF(AND($A997&lt;&gt;"",ISNUMBER($C997),$C997&gt;=DATE(2003,1,1)),COUNTIFS($C$2:$C997,"&gt;="&amp;DATE(2003,1,1),$A$2:$A997,"&lt;&gt;"),"")</f>
        <v/>
      </c>
    </row>
    <row r="998" spans="1:24">
      <c r="A998" t="str">
        <f>IF('Takip Edilen Türk Futbolcular'!A100="","",'Takip Edilen Türk Futbolcular'!A100)</f>
        <v/>
      </c>
      <c r="B998" t="str">
        <f>IF('Takip Edilen Türk Futbolcular'!B100="","",'Takip Edilen Türk Futbolcular'!B100)</f>
        <v/>
      </c>
      <c r="C998" s="2" t="str">
        <f>IF('Takip Edilen Türk Futbolcular'!C100="","",'Takip Edilen Türk Futbolcular'!C100)</f>
        <v/>
      </c>
      <c r="D998" t="str">
        <f ca="1">IF('Takip Edilen Türk Futbolcular'!D100="","",'Takip Edilen Türk Futbolcular'!D100)</f>
        <v/>
      </c>
      <c r="E998" t="str">
        <f>IF('Takip Edilen Türk Futbolcular'!E100="","",'Takip Edilen Türk Futbolcular'!E100)</f>
        <v>Forvet</v>
      </c>
      <c r="F998" t="str">
        <f>IF('Takip Edilen Türk Futbolcular'!F100="","",'Takip Edilen Türk Futbolcular'!F100)</f>
        <v/>
      </c>
      <c r="G998" s="2" t="str">
        <f>IF('Takip Edilen Türk Futbolcular'!G100="","",'Takip Edilen Türk Futbolcular'!G100)</f>
        <v/>
      </c>
      <c r="H998" t="str">
        <f>IF('Takip Edilen Türk Futbolcular'!H100="","",'Takip Edilen Türk Futbolcular'!H100)</f>
        <v/>
      </c>
      <c r="I998" t="str">
        <f>IF('Takip Edilen Türk Futbolcular'!A100="","",'Takip Edilen Türk Futbolcular'!I100)</f>
        <v/>
      </c>
      <c r="J998" t="str">
        <f>IF('Takip Edilen Türk Futbolcular'!A100="","",'Takip Edilen Türk Futbolcular'!J100)</f>
        <v/>
      </c>
      <c r="K998" t="str">
        <f>IF('Takip Edilen Türk Futbolcular'!K100="","",'Takip Edilen Türk Futbolcular'!K100)</f>
        <v/>
      </c>
      <c r="L998" t="str">
        <f>IF('Takip Edilen Türk Futbolcular'!L100="","",'Takip Edilen Türk Futbolcular'!L100)</f>
        <v/>
      </c>
      <c r="M998" t="str">
        <f>IF('Takip Edilen Türk Futbolcular'!M100="","",'Takip Edilen Türk Futbolcular'!M100)</f>
        <v/>
      </c>
      <c r="N998" t="str">
        <f>IF('Takip Edilen Türk Futbolcular'!N100="","",'Takip Edilen Türk Futbolcular'!N100)</f>
        <v/>
      </c>
      <c r="O998" t="str">
        <f>IF('Takip Edilen Türk Futbolcular'!O100="","",'Takip Edilen Türk Futbolcular'!O100)</f>
        <v/>
      </c>
      <c r="P998" t="str">
        <f>IF('Takip Edilen Türk Futbolcular'!P100="","",'Takip Edilen Türk Futbolcular'!P100)</f>
        <v/>
      </c>
      <c r="Q998" t="str">
        <f>IF('Takip Edilen Türk Futbolcular'!Q100="","",'Takip Edilen Türk Futbolcular'!Q100)</f>
        <v/>
      </c>
      <c r="R998" t="str">
        <f>IF('Takip Edilen Türk Futbolcular'!R100="","",'Takip Edilen Türk Futbolcular'!R100)</f>
        <v/>
      </c>
      <c r="S998" t="str">
        <f>IF('Takip Edilen Türk Futbolcular'!S100="","",'Takip Edilen Türk Futbolcular'!S100)</f>
        <v/>
      </c>
      <c r="T998" s="2" t="str">
        <f>IF('Takip Edilen Türk Futbolcular'!T100="","",'Takip Edilen Türk Futbolcular'!T100)</f>
        <v/>
      </c>
      <c r="U998" t="s">
        <v>935</v>
      </c>
      <c r="V998">
        <v>100</v>
      </c>
      <c r="W998" t="str">
        <f ca="1">IF(AND($A998&lt;&gt;"",ISNUMBER($G998),$G998&gt;=TODAY(),$G998&lt;=EDATE(TODAY(),12)),COUNTIFS($G$2:$G$1001,"&gt;="&amp;TODAY(),$G$2:$G$1001,"&lt;"&amp;$G998,$A$2:$A$1001,"&lt;&gt;")+COUNTIFS($G$2:$G998,$G998,$A$2:$A998,"&lt;&gt;"),"")</f>
        <v/>
      </c>
      <c r="X998" t="str">
        <f>IF(AND($A998&lt;&gt;"",ISNUMBER($C998),$C998&gt;=DATE(2003,1,1)),COUNTIFS($C$2:$C998,"&gt;="&amp;DATE(2003,1,1),$A$2:$A998,"&lt;&gt;"),"")</f>
        <v/>
      </c>
    </row>
    <row r="999" spans="1:24">
      <c r="A999" t="str">
        <f>IF('Takip Edilen Türk Futbolcular'!A101="","",'Takip Edilen Türk Futbolcular'!A101)</f>
        <v/>
      </c>
      <c r="B999" t="str">
        <f>IF('Takip Edilen Türk Futbolcular'!B101="","",'Takip Edilen Türk Futbolcular'!B101)</f>
        <v/>
      </c>
      <c r="C999" s="2" t="str">
        <f>IF('Takip Edilen Türk Futbolcular'!C101="","",'Takip Edilen Türk Futbolcular'!C101)</f>
        <v/>
      </c>
      <c r="D999" t="str">
        <f ca="1">IF('Takip Edilen Türk Futbolcular'!D101="","",'Takip Edilen Türk Futbolcular'!D101)</f>
        <v/>
      </c>
      <c r="E999" t="str">
        <f>IF('Takip Edilen Türk Futbolcular'!E101="","",'Takip Edilen Türk Futbolcular'!E101)</f>
        <v>Forvet</v>
      </c>
      <c r="F999" t="str">
        <f>IF('Takip Edilen Türk Futbolcular'!F101="","",'Takip Edilen Türk Futbolcular'!F101)</f>
        <v/>
      </c>
      <c r="G999" s="2" t="str">
        <f>IF('Takip Edilen Türk Futbolcular'!G101="","",'Takip Edilen Türk Futbolcular'!G101)</f>
        <v/>
      </c>
      <c r="H999" t="str">
        <f>IF('Takip Edilen Türk Futbolcular'!H101="","",'Takip Edilen Türk Futbolcular'!H101)</f>
        <v/>
      </c>
      <c r="I999" t="str">
        <f>IF('Takip Edilen Türk Futbolcular'!A101="","",'Takip Edilen Türk Futbolcular'!I101)</f>
        <v/>
      </c>
      <c r="J999" t="str">
        <f>IF('Takip Edilen Türk Futbolcular'!A101="","",'Takip Edilen Türk Futbolcular'!J101)</f>
        <v/>
      </c>
      <c r="K999" t="str">
        <f>IF('Takip Edilen Türk Futbolcular'!K101="","",'Takip Edilen Türk Futbolcular'!K101)</f>
        <v/>
      </c>
      <c r="L999" t="str">
        <f>IF('Takip Edilen Türk Futbolcular'!L101="","",'Takip Edilen Türk Futbolcular'!L101)</f>
        <v/>
      </c>
      <c r="M999" t="str">
        <f>IF('Takip Edilen Türk Futbolcular'!M101="","",'Takip Edilen Türk Futbolcular'!M101)</f>
        <v/>
      </c>
      <c r="N999" t="str">
        <f>IF('Takip Edilen Türk Futbolcular'!N101="","",'Takip Edilen Türk Futbolcular'!N101)</f>
        <v/>
      </c>
      <c r="O999" t="str">
        <f>IF('Takip Edilen Türk Futbolcular'!O101="","",'Takip Edilen Türk Futbolcular'!O101)</f>
        <v/>
      </c>
      <c r="P999" t="str">
        <f>IF('Takip Edilen Türk Futbolcular'!P101="","",'Takip Edilen Türk Futbolcular'!P101)</f>
        <v/>
      </c>
      <c r="Q999" t="str">
        <f>IF('Takip Edilen Türk Futbolcular'!Q101="","",'Takip Edilen Türk Futbolcular'!Q101)</f>
        <v/>
      </c>
      <c r="R999" t="str">
        <f>IF('Takip Edilen Türk Futbolcular'!R101="","",'Takip Edilen Türk Futbolcular'!R101)</f>
        <v/>
      </c>
      <c r="S999" t="str">
        <f>IF('Takip Edilen Türk Futbolcular'!S101="","",'Takip Edilen Türk Futbolcular'!S101)</f>
        <v/>
      </c>
      <c r="T999" s="2" t="str">
        <f>IF('Takip Edilen Türk Futbolcular'!T101="","",'Takip Edilen Türk Futbolcular'!T101)</f>
        <v/>
      </c>
      <c r="U999" t="s">
        <v>935</v>
      </c>
      <c r="V999">
        <v>101</v>
      </c>
      <c r="W999" t="str">
        <f ca="1">IF(AND($A999&lt;&gt;"",ISNUMBER($G999),$G999&gt;=TODAY(),$G999&lt;=EDATE(TODAY(),12)),COUNTIFS($G$2:$G$1001,"&gt;="&amp;TODAY(),$G$2:$G$1001,"&lt;"&amp;$G999,$A$2:$A$1001,"&lt;&gt;")+COUNTIFS($G$2:$G999,$G999,$A$2:$A999,"&lt;&gt;"),"")</f>
        <v/>
      </c>
      <c r="X999" t="str">
        <f>IF(AND($A999&lt;&gt;"",ISNUMBER($C999),$C999&gt;=DATE(2003,1,1)),COUNTIFS($C$2:$C999,"&gt;="&amp;DATE(2003,1,1),$A$2:$A999,"&lt;&gt;"),"")</f>
        <v/>
      </c>
    </row>
    <row r="1000" spans="1:24">
      <c r="A1000" t="str">
        <f>IF('Takip Edilen Türk Futbolcular'!A102="","",'Takip Edilen Türk Futbolcular'!A102)</f>
        <v/>
      </c>
      <c r="B1000" t="str">
        <f>IF('Takip Edilen Türk Futbolcular'!B102="","",'Takip Edilen Türk Futbolcular'!B102)</f>
        <v/>
      </c>
      <c r="C1000" s="2" t="str">
        <f>IF('Takip Edilen Türk Futbolcular'!C102="","",'Takip Edilen Türk Futbolcular'!C102)</f>
        <v/>
      </c>
      <c r="D1000" t="str">
        <f ca="1">IF('Takip Edilen Türk Futbolcular'!D102="","",'Takip Edilen Türk Futbolcular'!D102)</f>
        <v/>
      </c>
      <c r="E1000" t="str">
        <f>IF('Takip Edilen Türk Futbolcular'!E102="","",'Takip Edilen Türk Futbolcular'!E102)</f>
        <v>Forvet</v>
      </c>
      <c r="F1000" t="str">
        <f>IF('Takip Edilen Türk Futbolcular'!F102="","",'Takip Edilen Türk Futbolcular'!F102)</f>
        <v/>
      </c>
      <c r="G1000" s="2" t="str">
        <f>IF('Takip Edilen Türk Futbolcular'!G102="","",'Takip Edilen Türk Futbolcular'!G102)</f>
        <v/>
      </c>
      <c r="H1000" t="str">
        <f>IF('Takip Edilen Türk Futbolcular'!H102="","",'Takip Edilen Türk Futbolcular'!H102)</f>
        <v/>
      </c>
      <c r="I1000" t="str">
        <f>IF('Takip Edilen Türk Futbolcular'!A102="","",'Takip Edilen Türk Futbolcular'!I102)</f>
        <v/>
      </c>
      <c r="J1000" t="str">
        <f>IF('Takip Edilen Türk Futbolcular'!A102="","",'Takip Edilen Türk Futbolcular'!J102)</f>
        <v/>
      </c>
      <c r="K1000" t="str">
        <f>IF('Takip Edilen Türk Futbolcular'!K102="","",'Takip Edilen Türk Futbolcular'!K102)</f>
        <v/>
      </c>
      <c r="L1000" t="str">
        <f>IF('Takip Edilen Türk Futbolcular'!L102="","",'Takip Edilen Türk Futbolcular'!L102)</f>
        <v/>
      </c>
      <c r="M1000" t="str">
        <f>IF('Takip Edilen Türk Futbolcular'!M102="","",'Takip Edilen Türk Futbolcular'!M102)</f>
        <v/>
      </c>
      <c r="N1000" t="str">
        <f>IF('Takip Edilen Türk Futbolcular'!N102="","",'Takip Edilen Türk Futbolcular'!N102)</f>
        <v/>
      </c>
      <c r="O1000" t="str">
        <f>IF('Takip Edilen Türk Futbolcular'!O102="","",'Takip Edilen Türk Futbolcular'!O102)</f>
        <v/>
      </c>
      <c r="P1000" t="str">
        <f>IF('Takip Edilen Türk Futbolcular'!P102="","",'Takip Edilen Türk Futbolcular'!P102)</f>
        <v/>
      </c>
      <c r="Q1000" t="str">
        <f>IF('Takip Edilen Türk Futbolcular'!Q102="","",'Takip Edilen Türk Futbolcular'!Q102)</f>
        <v/>
      </c>
      <c r="R1000" t="str">
        <f>IF('Takip Edilen Türk Futbolcular'!R102="","",'Takip Edilen Türk Futbolcular'!R102)</f>
        <v/>
      </c>
      <c r="S1000" t="str">
        <f>IF('Takip Edilen Türk Futbolcular'!S102="","",'Takip Edilen Türk Futbolcular'!S102)</f>
        <v/>
      </c>
      <c r="T1000" s="2" t="str">
        <f>IF('Takip Edilen Türk Futbolcular'!T102="","",'Takip Edilen Türk Futbolcular'!T102)</f>
        <v/>
      </c>
      <c r="U1000" t="s">
        <v>935</v>
      </c>
      <c r="V1000">
        <v>102</v>
      </c>
      <c r="W1000" t="str">
        <f ca="1">IF(AND($A1000&lt;&gt;"",ISNUMBER($G1000),$G1000&gt;=TODAY(),$G1000&lt;=EDATE(TODAY(),12)),COUNTIFS($G$2:$G$1001,"&gt;="&amp;TODAY(),$G$2:$G$1001,"&lt;"&amp;$G1000,$A$2:$A$1001,"&lt;&gt;")+COUNTIFS($G$2:$G1000,$G1000,$A$2:$A1000,"&lt;&gt;"),"")</f>
        <v/>
      </c>
      <c r="X1000" t="str">
        <f>IF(AND($A1000&lt;&gt;"",ISNUMBER($C1000),$C1000&gt;=DATE(2003,1,1)),COUNTIFS($C$2:$C1000,"&gt;="&amp;DATE(2003,1,1),$A$2:$A1000,"&lt;&gt;"),"")</f>
        <v/>
      </c>
    </row>
    <row r="1001" spans="1:24">
      <c r="A1001" t="str">
        <f>IF('Takip Edilen Türk Futbolcular'!A103="","",'Takip Edilen Türk Futbolcular'!A103)</f>
        <v/>
      </c>
      <c r="B1001" t="str">
        <f>IF('Takip Edilen Türk Futbolcular'!B103="","",'Takip Edilen Türk Futbolcular'!B103)</f>
        <v/>
      </c>
      <c r="C1001" s="2" t="str">
        <f>IF('Takip Edilen Türk Futbolcular'!C103="","",'Takip Edilen Türk Futbolcular'!C103)</f>
        <v/>
      </c>
      <c r="D1001" t="str">
        <f ca="1">IF('Takip Edilen Türk Futbolcular'!D103="","",'Takip Edilen Türk Futbolcular'!D103)</f>
        <v/>
      </c>
      <c r="E1001" t="str">
        <f>IF('Takip Edilen Türk Futbolcular'!E103="","",'Takip Edilen Türk Futbolcular'!E103)</f>
        <v>Forvet</v>
      </c>
      <c r="F1001" t="str">
        <f>IF('Takip Edilen Türk Futbolcular'!F103="","",'Takip Edilen Türk Futbolcular'!F103)</f>
        <v/>
      </c>
      <c r="G1001" s="2" t="str">
        <f>IF('Takip Edilen Türk Futbolcular'!G103="","",'Takip Edilen Türk Futbolcular'!G103)</f>
        <v/>
      </c>
      <c r="H1001" t="str">
        <f>IF('Takip Edilen Türk Futbolcular'!H103="","",'Takip Edilen Türk Futbolcular'!H103)</f>
        <v/>
      </c>
      <c r="I1001" t="str">
        <f>IF('Takip Edilen Türk Futbolcular'!A103="","",'Takip Edilen Türk Futbolcular'!I103)</f>
        <v/>
      </c>
      <c r="J1001" t="str">
        <f>IF('Takip Edilen Türk Futbolcular'!A103="","",'Takip Edilen Türk Futbolcular'!J103)</f>
        <v/>
      </c>
      <c r="K1001" t="str">
        <f>IF('Takip Edilen Türk Futbolcular'!K103="","",'Takip Edilen Türk Futbolcular'!K103)</f>
        <v/>
      </c>
      <c r="L1001" t="str">
        <f>IF('Takip Edilen Türk Futbolcular'!L103="","",'Takip Edilen Türk Futbolcular'!L103)</f>
        <v/>
      </c>
      <c r="M1001" t="str">
        <f>IF('Takip Edilen Türk Futbolcular'!M103="","",'Takip Edilen Türk Futbolcular'!M103)</f>
        <v/>
      </c>
      <c r="N1001" t="str">
        <f>IF('Takip Edilen Türk Futbolcular'!N103="","",'Takip Edilen Türk Futbolcular'!N103)</f>
        <v/>
      </c>
      <c r="O1001" t="str">
        <f>IF('Takip Edilen Türk Futbolcular'!O103="","",'Takip Edilen Türk Futbolcular'!O103)</f>
        <v/>
      </c>
      <c r="P1001" t="str">
        <f>IF('Takip Edilen Türk Futbolcular'!P103="","",'Takip Edilen Türk Futbolcular'!P103)</f>
        <v/>
      </c>
      <c r="Q1001" t="str">
        <f>IF('Takip Edilen Türk Futbolcular'!Q103="","",'Takip Edilen Türk Futbolcular'!Q103)</f>
        <v/>
      </c>
      <c r="R1001" t="str">
        <f>IF('Takip Edilen Türk Futbolcular'!R103="","",'Takip Edilen Türk Futbolcular'!R103)</f>
        <v/>
      </c>
      <c r="S1001" t="str">
        <f>IF('Takip Edilen Türk Futbolcular'!S103="","",'Takip Edilen Türk Futbolcular'!S103)</f>
        <v/>
      </c>
      <c r="T1001" s="2" t="str">
        <f>IF('Takip Edilen Türk Futbolcular'!T103="","",'Takip Edilen Türk Futbolcular'!T103)</f>
        <v/>
      </c>
      <c r="U1001" t="s">
        <v>935</v>
      </c>
      <c r="V1001">
        <v>103</v>
      </c>
      <c r="W1001" t="str">
        <f ca="1">IF(AND($A1001&lt;&gt;"",ISNUMBER($G1001),$G1001&gt;=TODAY(),$G1001&lt;=EDATE(TODAY(),12)),COUNTIFS($G$2:$G$1001,"&gt;="&amp;TODAY(),$G$2:$G$1001,"&lt;"&amp;$G1001,$A$2:$A$1001,"&lt;&gt;")+COUNTIFS($G$2:$G1001,$G1001,$A$2:$A1001,"&lt;&gt;"),"")</f>
        <v/>
      </c>
      <c r="X1001" t="str">
        <f>IF(AND($A1001&lt;&gt;"",ISNUMBER($C1001),$C1001&gt;=DATE(2003,1,1)),COUNTIFS($C$2:$C1001,"&gt;="&amp;DATE(2003,1,1),$A$2:$A1001,"&lt;&gt;"),"")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63"/>
  <sheetViews>
    <sheetView zoomScale="137" workbookViewId="0">
      <selection activeCell="D36" sqref="D36"/>
    </sheetView>
  </sheetViews>
  <sheetFormatPr baseColWidth="10" defaultColWidth="8.83203125" defaultRowHeight="14"/>
  <cols>
    <col min="1" max="1" width="3.5" customWidth="1"/>
    <col min="2" max="2" width="24" customWidth="1"/>
    <col min="3" max="3" width="11.6640625" bestFit="1" customWidth="1"/>
    <col min="4" max="4" width="12" customWidth="1"/>
    <col min="11" max="11" width="11.5" bestFit="1" customWidth="1"/>
    <col min="12" max="12" width="10.6640625" bestFit="1" customWidth="1"/>
    <col min="13" max="13" width="10.83203125" bestFit="1" customWidth="1"/>
    <col min="14" max="14" width="12.1640625" bestFit="1" customWidth="1"/>
    <col min="15" max="15" width="47.1640625" customWidth="1"/>
  </cols>
  <sheetData>
    <row r="1" spans="1:15" ht="21" customHeight="1">
      <c r="A1" s="94" t="s">
        <v>936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3" spans="1:15" ht="16" customHeight="1">
      <c r="A3" s="30" t="s">
        <v>937</v>
      </c>
      <c r="B3" s="30" t="s">
        <v>1</v>
      </c>
      <c r="C3" s="30" t="s">
        <v>5</v>
      </c>
      <c r="D3" s="30" t="s">
        <v>938</v>
      </c>
      <c r="E3" s="30" t="s">
        <v>939</v>
      </c>
      <c r="F3" s="30" t="s">
        <v>940</v>
      </c>
      <c r="G3" s="30" t="s">
        <v>941</v>
      </c>
      <c r="H3" s="30" t="s">
        <v>942</v>
      </c>
      <c r="I3" s="30" t="s">
        <v>943</v>
      </c>
      <c r="J3" s="30" t="s">
        <v>944</v>
      </c>
      <c r="K3" s="30" t="s">
        <v>945</v>
      </c>
      <c r="L3" s="30" t="s">
        <v>946</v>
      </c>
      <c r="M3" s="30" t="s">
        <v>947</v>
      </c>
      <c r="N3" s="30" t="s">
        <v>948</v>
      </c>
      <c r="O3" s="30" t="s">
        <v>949</v>
      </c>
    </row>
    <row r="4" spans="1:15">
      <c r="A4" s="50">
        <f t="shared" ref="A4:A35" si="0">IF(B4="","",ROW()-3)</f>
        <v>1</v>
      </c>
      <c r="B4" s="50" t="s">
        <v>950</v>
      </c>
      <c r="C4" s="50" t="s">
        <v>951</v>
      </c>
      <c r="D4" s="50">
        <v>4</v>
      </c>
      <c r="E4" s="50">
        <v>4</v>
      </c>
      <c r="F4" s="50">
        <v>4</v>
      </c>
      <c r="G4" s="50">
        <v>360</v>
      </c>
      <c r="H4" s="50"/>
      <c r="I4" s="50"/>
      <c r="J4" s="50"/>
      <c r="K4" s="50">
        <v>0</v>
      </c>
      <c r="L4" s="50" t="str">
        <f t="shared" ref="L4:L35" si="1">IF(COUNTA(H4:I4)=0,"",SUM(H4:I4))</f>
        <v/>
      </c>
      <c r="M4" s="50">
        <f t="shared" ref="M4:M35" si="2">IF(OR(G4="",G4=0),"",ROUND(SUM(H4:I4)*90/G4,2))</f>
        <v>0</v>
      </c>
      <c r="N4" s="50">
        <f t="shared" ref="N4:N35" si="3">IF(OR(E4="",E4=0,G4=""),"",ROUND(G4/E4,1))</f>
        <v>90</v>
      </c>
      <c r="O4" s="51"/>
    </row>
    <row r="5" spans="1:15">
      <c r="A5" s="50">
        <f t="shared" si="0"/>
        <v>2</v>
      </c>
      <c r="B5" s="50" t="s">
        <v>952</v>
      </c>
      <c r="C5" s="50" t="s">
        <v>951</v>
      </c>
      <c r="D5" s="50">
        <v>4</v>
      </c>
      <c r="E5" s="50"/>
      <c r="F5" s="50"/>
      <c r="G5" s="50"/>
      <c r="H5" s="50"/>
      <c r="I5" s="50"/>
      <c r="J5" s="50"/>
      <c r="K5" s="50"/>
      <c r="L5" s="50" t="str">
        <f t="shared" si="1"/>
        <v/>
      </c>
      <c r="M5" s="50" t="str">
        <f t="shared" si="2"/>
        <v/>
      </c>
      <c r="N5" s="50" t="str">
        <f t="shared" si="3"/>
        <v/>
      </c>
      <c r="O5" s="51"/>
    </row>
    <row r="6" spans="1:15">
      <c r="A6" s="50">
        <f t="shared" si="0"/>
        <v>3</v>
      </c>
      <c r="B6" s="50" t="s">
        <v>953</v>
      </c>
      <c r="C6" s="50" t="s">
        <v>951</v>
      </c>
      <c r="D6" s="50"/>
      <c r="E6" s="50"/>
      <c r="F6" s="50"/>
      <c r="G6" s="50"/>
      <c r="H6" s="50"/>
      <c r="I6" s="50"/>
      <c r="J6" s="50"/>
      <c r="K6" s="50"/>
      <c r="L6" s="50" t="str">
        <f t="shared" si="1"/>
        <v/>
      </c>
      <c r="M6" s="50" t="str">
        <f t="shared" si="2"/>
        <v/>
      </c>
      <c r="N6" s="50" t="str">
        <f t="shared" si="3"/>
        <v/>
      </c>
      <c r="O6" s="51"/>
    </row>
    <row r="7" spans="1:15">
      <c r="A7" s="50">
        <f t="shared" si="0"/>
        <v>4</v>
      </c>
      <c r="B7" s="50" t="s">
        <v>954</v>
      </c>
      <c r="C7" s="50" t="s">
        <v>951</v>
      </c>
      <c r="D7" s="50"/>
      <c r="E7" s="50"/>
      <c r="F7" s="50"/>
      <c r="G7" s="50"/>
      <c r="H7" s="50"/>
      <c r="I7" s="50"/>
      <c r="J7" s="50"/>
      <c r="K7" s="50"/>
      <c r="L7" s="50" t="str">
        <f t="shared" si="1"/>
        <v/>
      </c>
      <c r="M7" s="50" t="str">
        <f t="shared" si="2"/>
        <v/>
      </c>
      <c r="N7" s="50" t="str">
        <f t="shared" si="3"/>
        <v/>
      </c>
      <c r="O7" s="51"/>
    </row>
    <row r="8" spans="1:15">
      <c r="A8" s="52">
        <f t="shared" si="0"/>
        <v>5</v>
      </c>
      <c r="B8" s="52" t="s">
        <v>955</v>
      </c>
      <c r="C8" s="52" t="s">
        <v>956</v>
      </c>
      <c r="D8" s="52">
        <v>4</v>
      </c>
      <c r="E8" s="52">
        <v>4</v>
      </c>
      <c r="F8" s="52">
        <v>4</v>
      </c>
      <c r="G8" s="52">
        <v>338</v>
      </c>
      <c r="H8" s="52"/>
      <c r="I8" s="52"/>
      <c r="J8" s="52"/>
      <c r="K8" s="52"/>
      <c r="L8" s="52" t="str">
        <f t="shared" si="1"/>
        <v/>
      </c>
      <c r="M8" s="52">
        <f t="shared" si="2"/>
        <v>0</v>
      </c>
      <c r="N8" s="52">
        <f t="shared" si="3"/>
        <v>84.5</v>
      </c>
      <c r="O8" s="53"/>
    </row>
    <row r="9" spans="1:15">
      <c r="A9" s="52">
        <f t="shared" si="0"/>
        <v>6</v>
      </c>
      <c r="B9" s="52" t="s">
        <v>957</v>
      </c>
      <c r="C9" s="52" t="s">
        <v>956</v>
      </c>
      <c r="D9" s="52">
        <v>4</v>
      </c>
      <c r="E9" s="52"/>
      <c r="F9" s="52"/>
      <c r="G9" s="52"/>
      <c r="H9" s="52"/>
      <c r="I9" s="52"/>
      <c r="J9" s="52"/>
      <c r="K9" s="52"/>
      <c r="L9" s="52" t="str">
        <f t="shared" si="1"/>
        <v/>
      </c>
      <c r="M9" s="52" t="str">
        <f t="shared" si="2"/>
        <v/>
      </c>
      <c r="N9" s="52" t="str">
        <f t="shared" si="3"/>
        <v/>
      </c>
      <c r="O9" s="53"/>
    </row>
    <row r="10" spans="1:15">
      <c r="A10" s="52">
        <f t="shared" si="0"/>
        <v>7</v>
      </c>
      <c r="B10" s="52" t="s">
        <v>958</v>
      </c>
      <c r="C10" s="52" t="s">
        <v>956</v>
      </c>
      <c r="D10" s="52">
        <v>4</v>
      </c>
      <c r="E10" s="52">
        <v>3</v>
      </c>
      <c r="F10" s="52">
        <v>3</v>
      </c>
      <c r="G10" s="52">
        <v>270</v>
      </c>
      <c r="H10" s="52"/>
      <c r="I10" s="52"/>
      <c r="J10" s="52"/>
      <c r="K10" s="52"/>
      <c r="L10" s="52" t="str">
        <f t="shared" si="1"/>
        <v/>
      </c>
      <c r="M10" s="52">
        <f t="shared" si="2"/>
        <v>0</v>
      </c>
      <c r="N10" s="52">
        <f t="shared" si="3"/>
        <v>90</v>
      </c>
      <c r="O10" s="53"/>
    </row>
    <row r="11" spans="1:15">
      <c r="A11" s="52">
        <f t="shared" si="0"/>
        <v>8</v>
      </c>
      <c r="B11" s="52" t="s">
        <v>959</v>
      </c>
      <c r="C11" s="52" t="s">
        <v>956</v>
      </c>
      <c r="D11" s="52">
        <v>3</v>
      </c>
      <c r="E11" s="52">
        <v>1</v>
      </c>
      <c r="F11" s="52">
        <v>1</v>
      </c>
      <c r="G11" s="52">
        <v>90</v>
      </c>
      <c r="H11" s="52"/>
      <c r="I11" s="52"/>
      <c r="J11" s="52"/>
      <c r="K11" s="52"/>
      <c r="L11" s="52" t="str">
        <f t="shared" si="1"/>
        <v/>
      </c>
      <c r="M11" s="52">
        <f t="shared" si="2"/>
        <v>0</v>
      </c>
      <c r="N11" s="52">
        <f t="shared" si="3"/>
        <v>90</v>
      </c>
      <c r="O11" s="53"/>
    </row>
    <row r="12" spans="1:15">
      <c r="A12" s="52">
        <f t="shared" si="0"/>
        <v>9</v>
      </c>
      <c r="B12" s="52" t="s">
        <v>960</v>
      </c>
      <c r="C12" s="52" t="s">
        <v>956</v>
      </c>
      <c r="D12" s="52"/>
      <c r="E12" s="52"/>
      <c r="F12" s="52"/>
      <c r="G12" s="52"/>
      <c r="H12" s="52"/>
      <c r="I12" s="52"/>
      <c r="J12" s="52"/>
      <c r="K12" s="52"/>
      <c r="L12" s="52" t="str">
        <f t="shared" si="1"/>
        <v/>
      </c>
      <c r="M12" s="52" t="str">
        <f t="shared" si="2"/>
        <v/>
      </c>
      <c r="N12" s="52" t="str">
        <f t="shared" si="3"/>
        <v/>
      </c>
      <c r="O12" s="53"/>
    </row>
    <row r="13" spans="1:15">
      <c r="A13" s="54">
        <f t="shared" si="0"/>
        <v>10</v>
      </c>
      <c r="B13" s="54" t="s">
        <v>961</v>
      </c>
      <c r="C13" s="54" t="s">
        <v>962</v>
      </c>
      <c r="D13" s="54">
        <v>4</v>
      </c>
      <c r="E13" s="54">
        <v>4</v>
      </c>
      <c r="F13" s="54">
        <v>4</v>
      </c>
      <c r="G13" s="54">
        <v>360</v>
      </c>
      <c r="H13" s="54"/>
      <c r="I13" s="54"/>
      <c r="J13" s="54">
        <v>1</v>
      </c>
      <c r="K13" s="54"/>
      <c r="L13" s="54" t="str">
        <f t="shared" si="1"/>
        <v/>
      </c>
      <c r="M13" s="54">
        <f t="shared" si="2"/>
        <v>0</v>
      </c>
      <c r="N13" s="54">
        <f t="shared" si="3"/>
        <v>90</v>
      </c>
      <c r="O13" s="55"/>
    </row>
    <row r="14" spans="1:15">
      <c r="A14" s="54">
        <f t="shared" si="0"/>
        <v>11</v>
      </c>
      <c r="B14" s="54" t="s">
        <v>963</v>
      </c>
      <c r="C14" s="54" t="s">
        <v>962</v>
      </c>
      <c r="D14" s="54">
        <v>4</v>
      </c>
      <c r="E14" s="54"/>
      <c r="F14" s="54"/>
      <c r="G14" s="54"/>
      <c r="H14" s="54"/>
      <c r="I14" s="54"/>
      <c r="J14" s="54"/>
      <c r="K14" s="54"/>
      <c r="L14" s="54" t="str">
        <f t="shared" si="1"/>
        <v/>
      </c>
      <c r="M14" s="54" t="str">
        <f t="shared" si="2"/>
        <v/>
      </c>
      <c r="N14" s="54" t="str">
        <f t="shared" si="3"/>
        <v/>
      </c>
      <c r="O14" s="55"/>
    </row>
    <row r="15" spans="1:15">
      <c r="A15" s="54">
        <f t="shared" si="0"/>
        <v>12</v>
      </c>
      <c r="B15" s="54" t="s">
        <v>964</v>
      </c>
      <c r="C15" s="54" t="s">
        <v>962</v>
      </c>
      <c r="D15" s="54"/>
      <c r="E15" s="54"/>
      <c r="F15" s="54"/>
      <c r="G15" s="54"/>
      <c r="H15" s="54"/>
      <c r="I15" s="54"/>
      <c r="J15" s="54"/>
      <c r="K15" s="54"/>
      <c r="L15" s="54" t="str">
        <f t="shared" si="1"/>
        <v/>
      </c>
      <c r="M15" s="54" t="str">
        <f t="shared" si="2"/>
        <v/>
      </c>
      <c r="N15" s="54" t="str">
        <f t="shared" si="3"/>
        <v/>
      </c>
      <c r="O15" s="55"/>
    </row>
    <row r="16" spans="1:15">
      <c r="A16" s="56">
        <f t="shared" si="0"/>
        <v>13</v>
      </c>
      <c r="B16" s="56" t="s">
        <v>965</v>
      </c>
      <c r="C16" s="56" t="s">
        <v>966</v>
      </c>
      <c r="D16" s="56">
        <v>4</v>
      </c>
      <c r="E16" s="56">
        <v>4</v>
      </c>
      <c r="F16" s="56">
        <v>4</v>
      </c>
      <c r="G16" s="56">
        <v>360</v>
      </c>
      <c r="H16" s="56">
        <v>1</v>
      </c>
      <c r="I16" s="56">
        <v>1</v>
      </c>
      <c r="J16" s="56"/>
      <c r="K16" s="56"/>
      <c r="L16" s="56">
        <f t="shared" si="1"/>
        <v>2</v>
      </c>
      <c r="M16" s="56">
        <f t="shared" si="2"/>
        <v>0.5</v>
      </c>
      <c r="N16" s="56">
        <f t="shared" si="3"/>
        <v>90</v>
      </c>
      <c r="O16" s="57"/>
    </row>
    <row r="17" spans="1:15">
      <c r="A17" s="56">
        <f t="shared" si="0"/>
        <v>14</v>
      </c>
      <c r="B17" s="56" t="s">
        <v>967</v>
      </c>
      <c r="C17" s="56" t="s">
        <v>966</v>
      </c>
      <c r="D17" s="56">
        <v>2</v>
      </c>
      <c r="E17" s="56"/>
      <c r="F17" s="56"/>
      <c r="G17" s="56"/>
      <c r="H17" s="56"/>
      <c r="I17" s="56"/>
      <c r="J17" s="56"/>
      <c r="K17" s="56"/>
      <c r="L17" s="56" t="str">
        <f t="shared" si="1"/>
        <v/>
      </c>
      <c r="M17" s="56" t="str">
        <f t="shared" si="2"/>
        <v/>
      </c>
      <c r="N17" s="56" t="str">
        <f t="shared" si="3"/>
        <v/>
      </c>
      <c r="O17" s="57"/>
    </row>
    <row r="18" spans="1:15">
      <c r="A18" s="58">
        <f t="shared" si="0"/>
        <v>15</v>
      </c>
      <c r="B18" s="58" t="s">
        <v>968</v>
      </c>
      <c r="C18" s="58" t="s">
        <v>969</v>
      </c>
      <c r="D18" s="58">
        <v>3</v>
      </c>
      <c r="E18" s="58">
        <v>3</v>
      </c>
      <c r="F18" s="58">
        <v>3</v>
      </c>
      <c r="G18" s="58">
        <v>213</v>
      </c>
      <c r="H18" s="58"/>
      <c r="I18" s="58"/>
      <c r="J18" s="58">
        <v>1</v>
      </c>
      <c r="K18" s="58"/>
      <c r="L18" s="58" t="str">
        <f t="shared" si="1"/>
        <v/>
      </c>
      <c r="M18" s="58">
        <f t="shared" si="2"/>
        <v>0</v>
      </c>
      <c r="N18" s="58">
        <f t="shared" si="3"/>
        <v>71</v>
      </c>
      <c r="O18" s="59"/>
    </row>
    <row r="19" spans="1:15">
      <c r="A19" s="58">
        <f t="shared" si="0"/>
        <v>16</v>
      </c>
      <c r="B19" s="58" t="s">
        <v>970</v>
      </c>
      <c r="C19" s="58" t="s">
        <v>969</v>
      </c>
      <c r="D19" s="58">
        <v>4</v>
      </c>
      <c r="E19" s="58">
        <v>4</v>
      </c>
      <c r="F19" s="58">
        <v>3</v>
      </c>
      <c r="G19" s="58">
        <v>191</v>
      </c>
      <c r="H19" s="58"/>
      <c r="I19" s="58"/>
      <c r="J19" s="58"/>
      <c r="K19" s="58"/>
      <c r="L19" s="58" t="str">
        <f t="shared" si="1"/>
        <v/>
      </c>
      <c r="M19" s="58">
        <f t="shared" si="2"/>
        <v>0</v>
      </c>
      <c r="N19" s="58">
        <f t="shared" si="3"/>
        <v>47.8</v>
      </c>
      <c r="O19" s="59"/>
    </row>
    <row r="20" spans="1:15">
      <c r="A20" s="58">
        <f t="shared" si="0"/>
        <v>17</v>
      </c>
      <c r="B20" s="58" t="s">
        <v>971</v>
      </c>
      <c r="C20" s="58" t="s">
        <v>969</v>
      </c>
      <c r="D20" s="58">
        <v>4</v>
      </c>
      <c r="E20" s="58">
        <v>3</v>
      </c>
      <c r="F20" s="58">
        <v>2</v>
      </c>
      <c r="G20" s="58">
        <v>132</v>
      </c>
      <c r="H20" s="58"/>
      <c r="I20" s="58"/>
      <c r="J20" s="58"/>
      <c r="K20" s="58"/>
      <c r="L20" s="58" t="str">
        <f t="shared" si="1"/>
        <v/>
      </c>
      <c r="M20" s="58">
        <f t="shared" si="2"/>
        <v>0</v>
      </c>
      <c r="N20" s="58">
        <f t="shared" si="3"/>
        <v>44</v>
      </c>
      <c r="O20" s="59"/>
    </row>
    <row r="21" spans="1:15">
      <c r="A21" s="58">
        <f t="shared" si="0"/>
        <v>18</v>
      </c>
      <c r="B21" s="58" t="s">
        <v>972</v>
      </c>
      <c r="C21" s="58" t="s">
        <v>969</v>
      </c>
      <c r="D21" s="58">
        <v>4</v>
      </c>
      <c r="E21" s="58">
        <v>4</v>
      </c>
      <c r="F21" s="58">
        <v>3</v>
      </c>
      <c r="G21" s="58">
        <v>235</v>
      </c>
      <c r="H21" s="58"/>
      <c r="I21" s="58">
        <v>1</v>
      </c>
      <c r="J21" s="58"/>
      <c r="K21" s="58"/>
      <c r="L21" s="58">
        <f t="shared" si="1"/>
        <v>1</v>
      </c>
      <c r="M21" s="58">
        <f t="shared" si="2"/>
        <v>0.38</v>
      </c>
      <c r="N21" s="58">
        <f t="shared" si="3"/>
        <v>58.8</v>
      </c>
      <c r="O21" s="59"/>
    </row>
    <row r="22" spans="1:15">
      <c r="A22" s="58">
        <f t="shared" si="0"/>
        <v>19</v>
      </c>
      <c r="B22" s="58" t="s">
        <v>973</v>
      </c>
      <c r="C22" s="58" t="s">
        <v>969</v>
      </c>
      <c r="D22" s="58">
        <v>2</v>
      </c>
      <c r="E22" s="58">
        <v>2</v>
      </c>
      <c r="F22" s="58">
        <v>0</v>
      </c>
      <c r="G22" s="58">
        <v>69</v>
      </c>
      <c r="H22" s="58">
        <v>2</v>
      </c>
      <c r="I22" s="58"/>
      <c r="J22" s="58"/>
      <c r="K22" s="58"/>
      <c r="L22" s="58">
        <f t="shared" si="1"/>
        <v>2</v>
      </c>
      <c r="M22" s="58">
        <f t="shared" si="2"/>
        <v>2.61</v>
      </c>
      <c r="N22" s="58">
        <f t="shared" si="3"/>
        <v>34.5</v>
      </c>
      <c r="O22" s="59"/>
    </row>
    <row r="23" spans="1:15">
      <c r="A23" s="58">
        <f t="shared" si="0"/>
        <v>20</v>
      </c>
      <c r="B23" s="58" t="s">
        <v>974</v>
      </c>
      <c r="C23" s="58" t="s">
        <v>969</v>
      </c>
      <c r="D23" s="58">
        <v>4</v>
      </c>
      <c r="E23" s="58">
        <v>4</v>
      </c>
      <c r="F23" s="58">
        <v>3</v>
      </c>
      <c r="G23" s="58">
        <v>270</v>
      </c>
      <c r="H23" s="58">
        <v>1</v>
      </c>
      <c r="I23" s="58"/>
      <c r="J23" s="58"/>
      <c r="K23" s="58"/>
      <c r="L23" s="58">
        <f t="shared" si="1"/>
        <v>1</v>
      </c>
      <c r="M23" s="58">
        <f t="shared" si="2"/>
        <v>0.33</v>
      </c>
      <c r="N23" s="58">
        <f t="shared" si="3"/>
        <v>67.5</v>
      </c>
      <c r="O23" s="59"/>
    </row>
    <row r="24" spans="1:15">
      <c r="A24" s="58">
        <f t="shared" si="0"/>
        <v>21</v>
      </c>
      <c r="B24" s="58" t="s">
        <v>975</v>
      </c>
      <c r="C24" s="58" t="s">
        <v>969</v>
      </c>
      <c r="D24" s="58">
        <v>4</v>
      </c>
      <c r="E24" s="58">
        <v>2</v>
      </c>
      <c r="F24" s="58">
        <v>0</v>
      </c>
      <c r="G24" s="58">
        <v>36</v>
      </c>
      <c r="H24" s="58"/>
      <c r="I24" s="58"/>
      <c r="J24" s="58">
        <v>1</v>
      </c>
      <c r="K24" s="58"/>
      <c r="L24" s="58" t="str">
        <f t="shared" si="1"/>
        <v/>
      </c>
      <c r="M24" s="58">
        <f t="shared" si="2"/>
        <v>0</v>
      </c>
      <c r="N24" s="58">
        <f t="shared" si="3"/>
        <v>18</v>
      </c>
      <c r="O24" s="59"/>
    </row>
    <row r="25" spans="1:15">
      <c r="A25" s="58">
        <f t="shared" si="0"/>
        <v>22</v>
      </c>
      <c r="B25" s="58" t="s">
        <v>976</v>
      </c>
      <c r="C25" s="58" t="s">
        <v>969</v>
      </c>
      <c r="D25" s="58">
        <v>2</v>
      </c>
      <c r="E25" s="58">
        <v>1</v>
      </c>
      <c r="F25" s="58">
        <v>0</v>
      </c>
      <c r="G25" s="58">
        <v>18</v>
      </c>
      <c r="H25" s="58"/>
      <c r="I25" s="58"/>
      <c r="J25" s="58"/>
      <c r="K25" s="58"/>
      <c r="L25" s="58" t="str">
        <f t="shared" si="1"/>
        <v/>
      </c>
      <c r="M25" s="58">
        <f t="shared" si="2"/>
        <v>0</v>
      </c>
      <c r="N25" s="58">
        <f t="shared" si="3"/>
        <v>18</v>
      </c>
      <c r="O25" s="59"/>
    </row>
    <row r="26" spans="1:15">
      <c r="A26" s="60">
        <f t="shared" si="0"/>
        <v>23</v>
      </c>
      <c r="B26" s="60" t="s">
        <v>977</v>
      </c>
      <c r="C26" s="60" t="s">
        <v>978</v>
      </c>
      <c r="D26" s="60">
        <v>2</v>
      </c>
      <c r="E26" s="60">
        <v>2</v>
      </c>
      <c r="F26" s="60">
        <v>1</v>
      </c>
      <c r="G26" s="60">
        <v>117</v>
      </c>
      <c r="H26" s="60"/>
      <c r="I26" s="60">
        <v>1</v>
      </c>
      <c r="J26" s="60"/>
      <c r="K26" s="60"/>
      <c r="L26" s="60">
        <f t="shared" si="1"/>
        <v>1</v>
      </c>
      <c r="M26" s="60">
        <f t="shared" si="2"/>
        <v>0.77</v>
      </c>
      <c r="N26" s="60">
        <f t="shared" si="3"/>
        <v>58.5</v>
      </c>
      <c r="O26" s="61"/>
    </row>
    <row r="27" spans="1:15">
      <c r="A27" s="60">
        <f t="shared" si="0"/>
        <v>24</v>
      </c>
      <c r="B27" s="60" t="s">
        <v>979</v>
      </c>
      <c r="C27" s="60" t="s">
        <v>978</v>
      </c>
      <c r="D27" s="60">
        <v>2</v>
      </c>
      <c r="E27" s="60">
        <v>2</v>
      </c>
      <c r="F27" s="60">
        <v>2</v>
      </c>
      <c r="G27" s="60">
        <v>160</v>
      </c>
      <c r="H27" s="60">
        <v>2</v>
      </c>
      <c r="I27" s="60">
        <v>1</v>
      </c>
      <c r="J27" s="60">
        <v>1</v>
      </c>
      <c r="K27" s="60"/>
      <c r="L27" s="60">
        <f t="shared" si="1"/>
        <v>3</v>
      </c>
      <c r="M27" s="60">
        <f t="shared" si="2"/>
        <v>1.69</v>
      </c>
      <c r="N27" s="60">
        <f t="shared" si="3"/>
        <v>80</v>
      </c>
      <c r="O27" s="61"/>
    </row>
    <row r="28" spans="1:15">
      <c r="A28" s="60">
        <f t="shared" si="0"/>
        <v>25</v>
      </c>
      <c r="B28" s="60" t="s">
        <v>980</v>
      </c>
      <c r="C28" s="60" t="s">
        <v>978</v>
      </c>
      <c r="D28" s="60">
        <v>4</v>
      </c>
      <c r="E28" s="60">
        <v>2</v>
      </c>
      <c r="F28" s="60">
        <v>1</v>
      </c>
      <c r="G28" s="60">
        <v>91</v>
      </c>
      <c r="H28" s="60"/>
      <c r="I28" s="60"/>
      <c r="J28" s="60"/>
      <c r="K28" s="60"/>
      <c r="L28" s="60" t="str">
        <f t="shared" si="1"/>
        <v/>
      </c>
      <c r="M28" s="60">
        <f t="shared" si="2"/>
        <v>0</v>
      </c>
      <c r="N28" s="60">
        <f t="shared" si="3"/>
        <v>45.5</v>
      </c>
      <c r="O28" s="61"/>
    </row>
    <row r="29" spans="1:15">
      <c r="A29" s="62">
        <f t="shared" si="0"/>
        <v>26</v>
      </c>
      <c r="B29" s="62" t="s">
        <v>981</v>
      </c>
      <c r="C29" s="62" t="s">
        <v>982</v>
      </c>
      <c r="D29" s="62">
        <v>1</v>
      </c>
      <c r="E29" s="62">
        <v>1</v>
      </c>
      <c r="F29" s="62"/>
      <c r="G29" s="62">
        <v>9</v>
      </c>
      <c r="H29" s="62"/>
      <c r="I29" s="62"/>
      <c r="J29" s="62"/>
      <c r="K29" s="62"/>
      <c r="L29" s="62" t="str">
        <f t="shared" si="1"/>
        <v/>
      </c>
      <c r="M29" s="62">
        <f t="shared" si="2"/>
        <v>0</v>
      </c>
      <c r="N29" s="62">
        <f t="shared" si="3"/>
        <v>9</v>
      </c>
      <c r="O29" s="63"/>
    </row>
    <row r="30" spans="1:15">
      <c r="A30" s="62">
        <f t="shared" si="0"/>
        <v>27</v>
      </c>
      <c r="B30" s="62" t="s">
        <v>983</v>
      </c>
      <c r="C30" s="62" t="s">
        <v>982</v>
      </c>
      <c r="D30" s="62">
        <v>4</v>
      </c>
      <c r="E30" s="62">
        <v>4</v>
      </c>
      <c r="F30" s="62">
        <v>4</v>
      </c>
      <c r="G30" s="62">
        <v>332</v>
      </c>
      <c r="H30" s="62">
        <v>1</v>
      </c>
      <c r="I30" s="62">
        <v>1</v>
      </c>
      <c r="J30" s="62">
        <v>1</v>
      </c>
      <c r="K30" s="62"/>
      <c r="L30" s="62">
        <f t="shared" si="1"/>
        <v>2</v>
      </c>
      <c r="M30" s="62">
        <f t="shared" si="2"/>
        <v>0.54</v>
      </c>
      <c r="N30" s="62">
        <f t="shared" si="3"/>
        <v>83</v>
      </c>
      <c r="O30" s="63"/>
    </row>
    <row r="31" spans="1:15">
      <c r="A31" s="62">
        <f t="shared" si="0"/>
        <v>28</v>
      </c>
      <c r="B31" s="62" t="s">
        <v>984</v>
      </c>
      <c r="C31" s="62" t="s">
        <v>982</v>
      </c>
      <c r="D31" s="62"/>
      <c r="E31" s="62"/>
      <c r="F31" s="62"/>
      <c r="G31" s="62"/>
      <c r="H31" s="62"/>
      <c r="I31" s="62"/>
      <c r="J31" s="62"/>
      <c r="K31" s="62"/>
      <c r="L31" s="62" t="str">
        <f t="shared" si="1"/>
        <v/>
      </c>
      <c r="M31" s="62" t="str">
        <f t="shared" si="2"/>
        <v/>
      </c>
      <c r="N31" s="62" t="str">
        <f t="shared" si="3"/>
        <v/>
      </c>
      <c r="O31" s="63"/>
    </row>
    <row r="32" spans="1:15">
      <c r="A32" t="str">
        <f t="shared" si="0"/>
        <v/>
      </c>
      <c r="L32" t="str">
        <f t="shared" si="1"/>
        <v/>
      </c>
      <c r="M32" t="str">
        <f t="shared" si="2"/>
        <v/>
      </c>
      <c r="N32" t="str">
        <f t="shared" si="3"/>
        <v/>
      </c>
      <c r="O32" s="32"/>
    </row>
    <row r="33" spans="1:15">
      <c r="A33" t="str">
        <f t="shared" si="0"/>
        <v/>
      </c>
      <c r="L33" t="str">
        <f t="shared" si="1"/>
        <v/>
      </c>
      <c r="M33" t="str">
        <f t="shared" si="2"/>
        <v/>
      </c>
      <c r="N33" t="str">
        <f t="shared" si="3"/>
        <v/>
      </c>
      <c r="O33" s="32"/>
    </row>
    <row r="34" spans="1:15">
      <c r="A34" t="str">
        <f t="shared" si="0"/>
        <v/>
      </c>
      <c r="L34" t="str">
        <f t="shared" si="1"/>
        <v/>
      </c>
      <c r="M34" t="str">
        <f t="shared" si="2"/>
        <v/>
      </c>
      <c r="N34" t="str">
        <f t="shared" si="3"/>
        <v/>
      </c>
      <c r="O34" s="32"/>
    </row>
    <row r="35" spans="1:15">
      <c r="A35" t="str">
        <f t="shared" si="0"/>
        <v/>
      </c>
      <c r="L35" t="str">
        <f t="shared" si="1"/>
        <v/>
      </c>
      <c r="M35" t="str">
        <f t="shared" si="2"/>
        <v/>
      </c>
      <c r="N35" t="str">
        <f t="shared" si="3"/>
        <v/>
      </c>
      <c r="O35" s="32"/>
    </row>
    <row r="36" spans="1:15">
      <c r="A36" t="str">
        <f t="shared" ref="A36:A63" si="4">IF(B36="","",ROW()-3)</f>
        <v/>
      </c>
      <c r="L36" t="str">
        <f t="shared" ref="L36:L63" si="5">IF(COUNTA(H36:I36)=0,"",SUM(H36:I36))</f>
        <v/>
      </c>
      <c r="M36" t="str">
        <f t="shared" ref="M36:M63" si="6">IF(OR(G36="",G36=0),"",ROUND(SUM(H36:I36)*90/G36,2))</f>
        <v/>
      </c>
      <c r="N36" t="str">
        <f t="shared" ref="N36:N63" si="7">IF(OR(E36="",E36=0,G36=""),"",ROUND(G36/E36,1))</f>
        <v/>
      </c>
      <c r="O36" s="32"/>
    </row>
    <row r="37" spans="1:15">
      <c r="A37" t="str">
        <f t="shared" si="4"/>
        <v/>
      </c>
      <c r="L37" t="str">
        <f t="shared" si="5"/>
        <v/>
      </c>
      <c r="M37" t="str">
        <f t="shared" si="6"/>
        <v/>
      </c>
      <c r="N37" t="str">
        <f t="shared" si="7"/>
        <v/>
      </c>
      <c r="O37" s="32"/>
    </row>
    <row r="38" spans="1:15">
      <c r="A38" t="str">
        <f t="shared" si="4"/>
        <v/>
      </c>
      <c r="L38" t="str">
        <f t="shared" si="5"/>
        <v/>
      </c>
      <c r="M38" t="str">
        <f t="shared" si="6"/>
        <v/>
      </c>
      <c r="N38" t="str">
        <f t="shared" si="7"/>
        <v/>
      </c>
      <c r="O38" s="32"/>
    </row>
    <row r="39" spans="1:15">
      <c r="A39" t="str">
        <f t="shared" si="4"/>
        <v/>
      </c>
      <c r="L39" t="str">
        <f t="shared" si="5"/>
        <v/>
      </c>
      <c r="M39" t="str">
        <f t="shared" si="6"/>
        <v/>
      </c>
      <c r="N39" t="str">
        <f t="shared" si="7"/>
        <v/>
      </c>
      <c r="O39" s="32"/>
    </row>
    <row r="40" spans="1:15">
      <c r="A40" t="str">
        <f t="shared" si="4"/>
        <v/>
      </c>
      <c r="L40" t="str">
        <f t="shared" si="5"/>
        <v/>
      </c>
      <c r="M40" t="str">
        <f t="shared" si="6"/>
        <v/>
      </c>
      <c r="N40" t="str">
        <f t="shared" si="7"/>
        <v/>
      </c>
      <c r="O40" s="32"/>
    </row>
    <row r="41" spans="1:15">
      <c r="A41" t="str">
        <f t="shared" si="4"/>
        <v/>
      </c>
      <c r="L41" t="str">
        <f t="shared" si="5"/>
        <v/>
      </c>
      <c r="M41" t="str">
        <f t="shared" si="6"/>
        <v/>
      </c>
      <c r="N41" t="str">
        <f t="shared" si="7"/>
        <v/>
      </c>
      <c r="O41" s="32"/>
    </row>
    <row r="42" spans="1:15">
      <c r="A42" t="str">
        <f t="shared" si="4"/>
        <v/>
      </c>
      <c r="L42" t="str">
        <f t="shared" si="5"/>
        <v/>
      </c>
      <c r="M42" t="str">
        <f t="shared" si="6"/>
        <v/>
      </c>
      <c r="N42" t="str">
        <f t="shared" si="7"/>
        <v/>
      </c>
      <c r="O42" s="32"/>
    </row>
    <row r="43" spans="1:15">
      <c r="A43" t="str">
        <f t="shared" si="4"/>
        <v/>
      </c>
      <c r="L43" t="str">
        <f t="shared" si="5"/>
        <v/>
      </c>
      <c r="M43" t="str">
        <f t="shared" si="6"/>
        <v/>
      </c>
      <c r="N43" t="str">
        <f t="shared" si="7"/>
        <v/>
      </c>
      <c r="O43" s="32"/>
    </row>
    <row r="44" spans="1:15">
      <c r="A44" t="str">
        <f t="shared" si="4"/>
        <v/>
      </c>
      <c r="L44" t="str">
        <f t="shared" si="5"/>
        <v/>
      </c>
      <c r="M44" t="str">
        <f t="shared" si="6"/>
        <v/>
      </c>
      <c r="N44" t="str">
        <f t="shared" si="7"/>
        <v/>
      </c>
      <c r="O44" s="32"/>
    </row>
    <row r="45" spans="1:15">
      <c r="A45" t="str">
        <f t="shared" si="4"/>
        <v/>
      </c>
      <c r="L45" t="str">
        <f t="shared" si="5"/>
        <v/>
      </c>
      <c r="M45" t="str">
        <f t="shared" si="6"/>
        <v/>
      </c>
      <c r="N45" t="str">
        <f t="shared" si="7"/>
        <v/>
      </c>
      <c r="O45" s="32"/>
    </row>
    <row r="46" spans="1:15">
      <c r="A46" t="str">
        <f t="shared" si="4"/>
        <v/>
      </c>
      <c r="L46" t="str">
        <f t="shared" si="5"/>
        <v/>
      </c>
      <c r="M46" t="str">
        <f t="shared" si="6"/>
        <v/>
      </c>
      <c r="N46" t="str">
        <f t="shared" si="7"/>
        <v/>
      </c>
      <c r="O46" s="32"/>
    </row>
    <row r="47" spans="1:15">
      <c r="A47" t="str">
        <f t="shared" si="4"/>
        <v/>
      </c>
      <c r="L47" t="str">
        <f t="shared" si="5"/>
        <v/>
      </c>
      <c r="M47" t="str">
        <f t="shared" si="6"/>
        <v/>
      </c>
      <c r="N47" t="str">
        <f t="shared" si="7"/>
        <v/>
      </c>
      <c r="O47" s="32"/>
    </row>
    <row r="48" spans="1:15">
      <c r="A48" t="str">
        <f t="shared" si="4"/>
        <v/>
      </c>
      <c r="L48" t="str">
        <f t="shared" si="5"/>
        <v/>
      </c>
      <c r="M48" t="str">
        <f t="shared" si="6"/>
        <v/>
      </c>
      <c r="N48" t="str">
        <f t="shared" si="7"/>
        <v/>
      </c>
      <c r="O48" s="32"/>
    </row>
    <row r="49" spans="1:15">
      <c r="A49" t="str">
        <f t="shared" si="4"/>
        <v/>
      </c>
      <c r="L49" t="str">
        <f t="shared" si="5"/>
        <v/>
      </c>
      <c r="M49" t="str">
        <f t="shared" si="6"/>
        <v/>
      </c>
      <c r="N49" t="str">
        <f t="shared" si="7"/>
        <v/>
      </c>
      <c r="O49" s="32"/>
    </row>
    <row r="50" spans="1:15">
      <c r="A50" t="str">
        <f t="shared" si="4"/>
        <v/>
      </c>
      <c r="L50" t="str">
        <f t="shared" si="5"/>
        <v/>
      </c>
      <c r="M50" t="str">
        <f t="shared" si="6"/>
        <v/>
      </c>
      <c r="N50" t="str">
        <f t="shared" si="7"/>
        <v/>
      </c>
      <c r="O50" s="32"/>
    </row>
    <row r="51" spans="1:15">
      <c r="A51" t="str">
        <f t="shared" si="4"/>
        <v/>
      </c>
      <c r="L51" t="str">
        <f t="shared" si="5"/>
        <v/>
      </c>
      <c r="M51" t="str">
        <f t="shared" si="6"/>
        <v/>
      </c>
      <c r="N51" t="str">
        <f t="shared" si="7"/>
        <v/>
      </c>
      <c r="O51" s="32"/>
    </row>
    <row r="52" spans="1:15">
      <c r="A52" t="str">
        <f t="shared" si="4"/>
        <v/>
      </c>
      <c r="L52" t="str">
        <f t="shared" si="5"/>
        <v/>
      </c>
      <c r="M52" t="str">
        <f t="shared" si="6"/>
        <v/>
      </c>
      <c r="N52" t="str">
        <f t="shared" si="7"/>
        <v/>
      </c>
      <c r="O52" s="32"/>
    </row>
    <row r="53" spans="1:15">
      <c r="A53" t="str">
        <f t="shared" si="4"/>
        <v/>
      </c>
      <c r="L53" t="str">
        <f t="shared" si="5"/>
        <v/>
      </c>
      <c r="M53" t="str">
        <f t="shared" si="6"/>
        <v/>
      </c>
      <c r="N53" t="str">
        <f t="shared" si="7"/>
        <v/>
      </c>
      <c r="O53" s="32"/>
    </row>
    <row r="54" spans="1:15">
      <c r="A54" t="str">
        <f t="shared" si="4"/>
        <v/>
      </c>
      <c r="L54" t="str">
        <f t="shared" si="5"/>
        <v/>
      </c>
      <c r="M54" t="str">
        <f t="shared" si="6"/>
        <v/>
      </c>
      <c r="N54" t="str">
        <f t="shared" si="7"/>
        <v/>
      </c>
      <c r="O54" s="32"/>
    </row>
    <row r="55" spans="1:15">
      <c r="A55" t="str">
        <f t="shared" si="4"/>
        <v/>
      </c>
      <c r="L55" t="str">
        <f t="shared" si="5"/>
        <v/>
      </c>
      <c r="M55" t="str">
        <f t="shared" si="6"/>
        <v/>
      </c>
      <c r="N55" t="str">
        <f t="shared" si="7"/>
        <v/>
      </c>
      <c r="O55" s="32"/>
    </row>
    <row r="56" spans="1:15">
      <c r="A56" t="str">
        <f t="shared" si="4"/>
        <v/>
      </c>
      <c r="L56" t="str">
        <f t="shared" si="5"/>
        <v/>
      </c>
      <c r="M56" t="str">
        <f t="shared" si="6"/>
        <v/>
      </c>
      <c r="N56" t="str">
        <f t="shared" si="7"/>
        <v/>
      </c>
      <c r="O56" s="32"/>
    </row>
    <row r="57" spans="1:15">
      <c r="A57" t="str">
        <f t="shared" si="4"/>
        <v/>
      </c>
      <c r="L57" t="str">
        <f t="shared" si="5"/>
        <v/>
      </c>
      <c r="M57" t="str">
        <f t="shared" si="6"/>
        <v/>
      </c>
      <c r="N57" t="str">
        <f t="shared" si="7"/>
        <v/>
      </c>
      <c r="O57" s="32"/>
    </row>
    <row r="58" spans="1:15">
      <c r="A58" t="str">
        <f t="shared" si="4"/>
        <v/>
      </c>
      <c r="L58" t="str">
        <f t="shared" si="5"/>
        <v/>
      </c>
      <c r="M58" t="str">
        <f t="shared" si="6"/>
        <v/>
      </c>
      <c r="N58" t="str">
        <f t="shared" si="7"/>
        <v/>
      </c>
      <c r="O58" s="32"/>
    </row>
    <row r="59" spans="1:15">
      <c r="A59" t="str">
        <f t="shared" si="4"/>
        <v/>
      </c>
      <c r="L59" t="str">
        <f t="shared" si="5"/>
        <v/>
      </c>
      <c r="M59" t="str">
        <f t="shared" si="6"/>
        <v/>
      </c>
      <c r="N59" t="str">
        <f t="shared" si="7"/>
        <v/>
      </c>
      <c r="O59" s="32"/>
    </row>
    <row r="60" spans="1:15">
      <c r="A60" t="str">
        <f t="shared" si="4"/>
        <v/>
      </c>
      <c r="L60" t="str">
        <f t="shared" si="5"/>
        <v/>
      </c>
      <c r="M60" t="str">
        <f t="shared" si="6"/>
        <v/>
      </c>
      <c r="N60" t="str">
        <f t="shared" si="7"/>
        <v/>
      </c>
      <c r="O60" s="32"/>
    </row>
    <row r="61" spans="1:15">
      <c r="A61" t="str">
        <f t="shared" si="4"/>
        <v/>
      </c>
      <c r="L61" t="str">
        <f t="shared" si="5"/>
        <v/>
      </c>
      <c r="M61" t="str">
        <f t="shared" si="6"/>
        <v/>
      </c>
      <c r="N61" t="str">
        <f t="shared" si="7"/>
        <v/>
      </c>
      <c r="O61" s="32"/>
    </row>
    <row r="62" spans="1:15">
      <c r="A62" t="str">
        <f t="shared" si="4"/>
        <v/>
      </c>
      <c r="L62" t="str">
        <f t="shared" si="5"/>
        <v/>
      </c>
      <c r="M62" t="str">
        <f t="shared" si="6"/>
        <v/>
      </c>
      <c r="N62" t="str">
        <f t="shared" si="7"/>
        <v/>
      </c>
      <c r="O62" s="32"/>
    </row>
    <row r="63" spans="1:15">
      <c r="A63" t="str">
        <f t="shared" si="4"/>
        <v/>
      </c>
      <c r="L63" t="str">
        <f t="shared" si="5"/>
        <v/>
      </c>
      <c r="M63" t="str">
        <f t="shared" si="6"/>
        <v/>
      </c>
      <c r="N63" t="str">
        <f t="shared" si="7"/>
        <v/>
      </c>
      <c r="O63" s="32"/>
    </row>
  </sheetData>
  <mergeCells count="1">
    <mergeCell ref="A1:O1"/>
  </mergeCells>
  <conditionalFormatting sqref="A4:O63">
    <cfRule type="expression" dxfId="11" priority="1">
      <formula>$K4&gt;0</formula>
    </cfRule>
    <cfRule type="expression" dxfId="10" priority="2">
      <formula>$J4&gt;=4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03"/>
  <sheetViews>
    <sheetView showGridLines="0" workbookViewId="0">
      <selection activeCell="F14" sqref="F14"/>
    </sheetView>
  </sheetViews>
  <sheetFormatPr baseColWidth="10" defaultColWidth="8.83203125" defaultRowHeight="14"/>
  <cols>
    <col min="1" max="1" width="7" customWidth="1"/>
    <col min="2" max="2" width="13" customWidth="1"/>
    <col min="3" max="3" width="10" customWidth="1"/>
    <col min="4" max="4" width="16" customWidth="1"/>
    <col min="5" max="5" width="14" customWidth="1"/>
    <col min="6" max="6" width="28" customWidth="1"/>
    <col min="7" max="7" width="12" customWidth="1"/>
    <col min="8" max="8" width="18" customWidth="1"/>
    <col min="9" max="9" width="20.6640625" bestFit="1" customWidth="1"/>
    <col min="10" max="10" width="30" customWidth="1"/>
    <col min="11" max="11" width="15" customWidth="1"/>
    <col min="12" max="12" width="26" customWidth="1"/>
  </cols>
  <sheetData>
    <row r="1" spans="1:12" ht="30" customHeight="1">
      <c r="A1" s="67" t="s">
        <v>985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15" customHeight="1">
      <c r="A2" s="96"/>
      <c r="B2" s="68"/>
      <c r="C2" s="68"/>
      <c r="D2" s="68"/>
      <c r="E2" s="68"/>
      <c r="F2" s="68"/>
      <c r="G2" s="68"/>
      <c r="H2" s="68"/>
      <c r="I2" s="34"/>
      <c r="J2" s="34"/>
      <c r="K2" s="34"/>
      <c r="L2" s="34"/>
    </row>
    <row r="3" spans="1:12" ht="26" customHeight="1">
      <c r="A3" s="31" t="s">
        <v>986</v>
      </c>
      <c r="B3" s="31" t="s">
        <v>987</v>
      </c>
      <c r="C3" s="31" t="s">
        <v>988</v>
      </c>
      <c r="D3" s="31" t="s">
        <v>989</v>
      </c>
      <c r="E3" s="31" t="s">
        <v>990</v>
      </c>
      <c r="F3" s="31" t="s">
        <v>991</v>
      </c>
      <c r="G3" s="31" t="s">
        <v>992</v>
      </c>
      <c r="H3" s="31" t="s">
        <v>993</v>
      </c>
      <c r="I3" s="30" t="s">
        <v>994</v>
      </c>
      <c r="J3" s="30" t="s">
        <v>995</v>
      </c>
      <c r="K3" s="30" t="s">
        <v>996</v>
      </c>
      <c r="L3" s="30" t="s">
        <v>997</v>
      </c>
    </row>
    <row r="4" spans="1:12" ht="68" customHeight="1">
      <c r="A4" s="11">
        <v>1</v>
      </c>
      <c r="B4" s="12">
        <v>46249</v>
      </c>
      <c r="C4" s="11" t="s">
        <v>998</v>
      </c>
      <c r="D4" s="11" t="s">
        <v>999</v>
      </c>
      <c r="E4" s="13" t="s">
        <v>1000</v>
      </c>
      <c r="F4" s="12" t="s">
        <v>1001</v>
      </c>
      <c r="G4" s="13"/>
      <c r="H4" s="14"/>
      <c r="J4" s="32"/>
      <c r="K4" s="32"/>
      <c r="L4" s="32"/>
    </row>
    <row r="5" spans="1:12" ht="68" customHeight="1">
      <c r="A5" s="11">
        <v>2</v>
      </c>
      <c r="B5" s="12">
        <v>46250</v>
      </c>
      <c r="C5" s="11" t="s">
        <v>1002</v>
      </c>
      <c r="D5" s="11" t="s">
        <v>999</v>
      </c>
      <c r="E5" s="11" t="s">
        <v>1000</v>
      </c>
      <c r="F5" s="12" t="s">
        <v>1003</v>
      </c>
      <c r="G5" s="13"/>
      <c r="H5" s="14"/>
      <c r="J5" s="32"/>
      <c r="K5" s="32"/>
      <c r="L5" s="32"/>
    </row>
    <row r="6" spans="1:12" ht="68" customHeight="1">
      <c r="A6" s="15">
        <v>3</v>
      </c>
      <c r="B6" s="16">
        <v>46256</v>
      </c>
      <c r="C6" s="15" t="s">
        <v>998</v>
      </c>
      <c r="D6" s="15" t="s">
        <v>1004</v>
      </c>
      <c r="E6" s="15" t="s">
        <v>1005</v>
      </c>
      <c r="F6" s="16" t="s">
        <v>1006</v>
      </c>
      <c r="G6" s="15"/>
      <c r="H6" s="17"/>
      <c r="J6" s="32"/>
      <c r="K6" s="32"/>
      <c r="L6" s="32"/>
    </row>
    <row r="7" spans="1:12" ht="68" customHeight="1">
      <c r="A7" s="15">
        <v>4</v>
      </c>
      <c r="B7" s="16">
        <v>46257</v>
      </c>
      <c r="C7" s="15" t="s">
        <v>1007</v>
      </c>
      <c r="D7" s="15" t="s">
        <v>1008</v>
      </c>
      <c r="E7" s="15" t="s">
        <v>1005</v>
      </c>
      <c r="F7" s="16" t="s">
        <v>1009</v>
      </c>
      <c r="G7" s="15"/>
      <c r="H7" s="17"/>
      <c r="J7" s="32"/>
      <c r="K7" s="32"/>
      <c r="L7" s="32"/>
    </row>
    <row r="8" spans="1:12" ht="68" customHeight="1">
      <c r="A8" s="15">
        <v>5</v>
      </c>
      <c r="B8" s="16">
        <v>46257</v>
      </c>
      <c r="C8" s="15" t="s">
        <v>1002</v>
      </c>
      <c r="D8" s="15" t="s">
        <v>1010</v>
      </c>
      <c r="E8" s="15" t="s">
        <v>1005</v>
      </c>
      <c r="F8" s="16" t="s">
        <v>1011</v>
      </c>
      <c r="G8" s="15"/>
      <c r="H8" s="17"/>
      <c r="J8" s="32"/>
      <c r="K8" s="32"/>
      <c r="L8" s="32"/>
    </row>
    <row r="9" spans="1:12" ht="68" customHeight="1">
      <c r="A9" s="18">
        <v>6</v>
      </c>
      <c r="B9" s="19">
        <v>46262</v>
      </c>
      <c r="C9" s="18" t="s">
        <v>1002</v>
      </c>
      <c r="D9" s="18" t="s">
        <v>1004</v>
      </c>
      <c r="E9" s="18" t="s">
        <v>1000</v>
      </c>
      <c r="F9" s="19" t="s">
        <v>1012</v>
      </c>
      <c r="G9" s="18"/>
      <c r="H9" s="20"/>
      <c r="J9" s="32"/>
      <c r="K9" s="32"/>
      <c r="L9" s="32"/>
    </row>
    <row r="10" spans="1:12" ht="68" customHeight="1">
      <c r="A10" s="18">
        <v>7</v>
      </c>
      <c r="B10" s="19">
        <v>46263</v>
      </c>
      <c r="C10" s="18" t="s">
        <v>998</v>
      </c>
      <c r="D10" s="18" t="s">
        <v>1013</v>
      </c>
      <c r="E10" s="18" t="s">
        <v>1005</v>
      </c>
      <c r="F10" s="19" t="s">
        <v>1014</v>
      </c>
      <c r="G10" s="18"/>
      <c r="H10" s="20"/>
      <c r="J10" s="32"/>
      <c r="K10" s="32"/>
      <c r="L10" s="32"/>
    </row>
    <row r="11" spans="1:12" ht="68" customHeight="1">
      <c r="A11" s="18">
        <v>8</v>
      </c>
      <c r="B11" s="19">
        <v>46264</v>
      </c>
      <c r="C11" s="18" t="s">
        <v>1002</v>
      </c>
      <c r="D11" s="18" t="s">
        <v>1015</v>
      </c>
      <c r="E11" s="18" t="s">
        <v>1000</v>
      </c>
      <c r="F11" s="19" t="s">
        <v>1016</v>
      </c>
      <c r="G11" s="18"/>
      <c r="H11" s="20"/>
      <c r="J11" s="32"/>
      <c r="K11" s="32"/>
      <c r="L11" s="32"/>
    </row>
    <row r="12" spans="1:12" ht="68" customHeight="1">
      <c r="A12" s="43">
        <v>10</v>
      </c>
      <c r="B12" s="44">
        <v>46270</v>
      </c>
      <c r="C12" s="43" t="s">
        <v>1007</v>
      </c>
      <c r="D12" s="43" t="s">
        <v>1017</v>
      </c>
      <c r="E12" s="43" t="s">
        <v>1018</v>
      </c>
      <c r="F12" s="44" t="s">
        <v>1019</v>
      </c>
      <c r="G12" s="43"/>
      <c r="H12" s="45"/>
      <c r="J12" s="32"/>
      <c r="K12" s="32"/>
      <c r="L12" s="32"/>
    </row>
    <row r="13" spans="1:12" ht="68" customHeight="1">
      <c r="A13" s="43">
        <v>11</v>
      </c>
      <c r="B13" s="44">
        <v>46271</v>
      </c>
      <c r="C13" s="43" t="s">
        <v>1020</v>
      </c>
      <c r="D13" s="43" t="s">
        <v>1021</v>
      </c>
      <c r="E13" s="43" t="s">
        <v>1005</v>
      </c>
      <c r="F13" s="44" t="s">
        <v>1022</v>
      </c>
      <c r="G13" s="43"/>
      <c r="H13" s="45"/>
      <c r="J13" s="32"/>
      <c r="K13" s="32"/>
      <c r="L13" s="32"/>
    </row>
    <row r="14" spans="1:12" ht="68" customHeight="1">
      <c r="A14" s="4">
        <v>12</v>
      </c>
      <c r="B14" s="5"/>
      <c r="C14" s="4"/>
      <c r="D14" s="4"/>
      <c r="E14" s="4"/>
      <c r="F14" s="5"/>
      <c r="G14" s="4"/>
      <c r="H14" s="6"/>
      <c r="J14" s="32"/>
      <c r="K14" s="32"/>
      <c r="L14" s="32"/>
    </row>
    <row r="15" spans="1:12" ht="68" customHeight="1">
      <c r="A15" s="4">
        <v>13</v>
      </c>
      <c r="B15" s="5"/>
      <c r="C15" s="4"/>
      <c r="D15" s="4"/>
      <c r="E15" s="4"/>
      <c r="F15" s="5"/>
      <c r="G15" s="4"/>
      <c r="H15" s="6"/>
      <c r="J15" s="32"/>
      <c r="K15" s="32"/>
      <c r="L15" s="32"/>
    </row>
    <row r="16" spans="1:12" ht="68" customHeight="1">
      <c r="A16" s="4">
        <v>14</v>
      </c>
      <c r="B16" s="5"/>
      <c r="C16" s="4"/>
      <c r="D16" s="4"/>
      <c r="E16" s="4"/>
      <c r="F16" s="5"/>
      <c r="G16" s="4"/>
      <c r="H16" s="6"/>
      <c r="J16" s="32"/>
      <c r="K16" s="32"/>
      <c r="L16" s="32"/>
    </row>
    <row r="17" spans="1:12" ht="68" customHeight="1">
      <c r="A17" s="4">
        <v>15</v>
      </c>
      <c r="B17" s="5"/>
      <c r="C17" s="4"/>
      <c r="D17" s="4"/>
      <c r="E17" s="4"/>
      <c r="F17" s="5"/>
      <c r="G17" s="4"/>
      <c r="H17" s="6"/>
      <c r="J17" s="32"/>
      <c r="K17" s="32"/>
      <c r="L17" s="32"/>
    </row>
    <row r="18" spans="1:12" ht="68" customHeight="1">
      <c r="A18" s="4">
        <v>16</v>
      </c>
      <c r="B18" s="5"/>
      <c r="C18" s="4"/>
      <c r="D18" s="4"/>
      <c r="E18" s="4"/>
      <c r="F18" s="5"/>
      <c r="G18" s="4"/>
      <c r="H18" s="6"/>
      <c r="J18" s="32"/>
      <c r="K18" s="32"/>
      <c r="L18" s="32"/>
    </row>
    <row r="19" spans="1:12" ht="68" customHeight="1">
      <c r="A19" s="4"/>
      <c r="B19" s="5"/>
      <c r="C19" s="4"/>
      <c r="D19" s="4"/>
      <c r="E19" s="4"/>
      <c r="F19" s="5"/>
      <c r="G19" s="4"/>
      <c r="H19" s="6"/>
      <c r="J19" s="32"/>
      <c r="K19" s="32"/>
      <c r="L19" s="32"/>
    </row>
    <row r="20" spans="1:12" ht="68" customHeight="1">
      <c r="A20" s="4"/>
      <c r="B20" s="5"/>
      <c r="C20" s="4"/>
      <c r="D20" s="4"/>
      <c r="E20" s="4"/>
      <c r="F20" s="5"/>
      <c r="G20" s="4"/>
      <c r="H20" s="6"/>
      <c r="J20" s="32"/>
      <c r="K20" s="32"/>
      <c r="L20" s="32"/>
    </row>
    <row r="21" spans="1:12" ht="68" customHeight="1">
      <c r="A21" s="4"/>
      <c r="B21" s="5"/>
      <c r="C21" s="4"/>
      <c r="D21" s="4"/>
      <c r="E21" s="4"/>
      <c r="F21" s="5"/>
      <c r="G21" s="4"/>
      <c r="H21" s="6"/>
      <c r="J21" s="32"/>
      <c r="K21" s="32"/>
      <c r="L21" s="32"/>
    </row>
    <row r="22" spans="1:12" ht="68" customHeight="1">
      <c r="A22" s="4"/>
      <c r="B22" s="5"/>
      <c r="C22" s="4"/>
      <c r="D22" s="4"/>
      <c r="E22" s="4"/>
      <c r="F22" s="5"/>
      <c r="G22" s="4"/>
      <c r="H22" s="6"/>
      <c r="J22" s="32"/>
      <c r="K22" s="32"/>
      <c r="L22" s="32"/>
    </row>
    <row r="23" spans="1:12" ht="68" customHeight="1">
      <c r="A23" s="4"/>
      <c r="B23" s="5"/>
      <c r="C23" s="4"/>
      <c r="D23" s="4"/>
      <c r="E23" s="4"/>
      <c r="F23" s="5"/>
      <c r="G23" s="4"/>
      <c r="H23" s="6"/>
      <c r="J23" s="32"/>
      <c r="K23" s="32"/>
      <c r="L23" s="32"/>
    </row>
    <row r="24" spans="1:12" ht="68" customHeight="1">
      <c r="A24" s="4"/>
      <c r="B24" s="5"/>
      <c r="C24" s="4"/>
      <c r="D24" s="4"/>
      <c r="E24" s="4"/>
      <c r="F24" s="5"/>
      <c r="G24" s="4"/>
      <c r="H24" s="6"/>
      <c r="J24" s="32"/>
      <c r="K24" s="32"/>
      <c r="L24" s="32"/>
    </row>
    <row r="25" spans="1:12" ht="68" customHeight="1">
      <c r="A25" s="4"/>
      <c r="B25" s="5"/>
      <c r="C25" s="4"/>
      <c r="D25" s="4"/>
      <c r="E25" s="4"/>
      <c r="F25" s="5"/>
      <c r="G25" s="4"/>
      <c r="H25" s="6"/>
      <c r="J25" s="32"/>
      <c r="K25" s="32"/>
      <c r="L25" s="32"/>
    </row>
    <row r="26" spans="1:12" ht="68" customHeight="1">
      <c r="A26" s="4"/>
      <c r="B26" s="5"/>
      <c r="C26" s="4"/>
      <c r="D26" s="4"/>
      <c r="E26" s="4"/>
      <c r="F26" s="5"/>
      <c r="G26" s="4"/>
      <c r="H26" s="6"/>
      <c r="J26" s="32"/>
      <c r="K26" s="32"/>
      <c r="L26" s="32"/>
    </row>
    <row r="27" spans="1:12" ht="68" customHeight="1">
      <c r="A27" s="4"/>
      <c r="B27" s="5"/>
      <c r="C27" s="4"/>
      <c r="D27" s="4"/>
      <c r="E27" s="4"/>
      <c r="F27" s="5"/>
      <c r="G27" s="4"/>
      <c r="H27" s="6"/>
      <c r="J27" s="32"/>
      <c r="K27" s="32"/>
      <c r="L27" s="32"/>
    </row>
    <row r="28" spans="1:12" ht="68" customHeight="1">
      <c r="A28" s="4"/>
      <c r="B28" s="5"/>
      <c r="C28" s="4"/>
      <c r="D28" s="4"/>
      <c r="E28" s="4"/>
      <c r="F28" s="5"/>
      <c r="G28" s="4"/>
      <c r="H28" s="6"/>
      <c r="J28" s="32"/>
      <c r="K28" s="32"/>
      <c r="L28" s="32"/>
    </row>
    <row r="29" spans="1:12" ht="68" customHeight="1">
      <c r="A29" s="4"/>
      <c r="B29" s="5"/>
      <c r="C29" s="4"/>
      <c r="D29" s="4"/>
      <c r="E29" s="4"/>
      <c r="F29" s="5"/>
      <c r="G29" s="4"/>
      <c r="H29" s="6"/>
      <c r="J29" s="32"/>
      <c r="K29" s="32"/>
      <c r="L29" s="32"/>
    </row>
    <row r="30" spans="1:12" ht="68" customHeight="1">
      <c r="A30" s="4"/>
      <c r="B30" s="5"/>
      <c r="C30" s="4"/>
      <c r="D30" s="4"/>
      <c r="E30" s="4"/>
      <c r="F30" s="5"/>
      <c r="G30" s="4"/>
      <c r="H30" s="6"/>
      <c r="J30" s="32"/>
      <c r="K30" s="32"/>
      <c r="L30" s="32"/>
    </row>
    <row r="31" spans="1:12" ht="68" customHeight="1">
      <c r="A31" s="4"/>
      <c r="B31" s="5"/>
      <c r="C31" s="4"/>
      <c r="D31" s="4"/>
      <c r="E31" s="4"/>
      <c r="F31" s="5"/>
      <c r="G31" s="4"/>
      <c r="H31" s="6"/>
      <c r="J31" s="32"/>
      <c r="K31" s="32"/>
      <c r="L31" s="32"/>
    </row>
    <row r="32" spans="1:12" ht="68" customHeight="1">
      <c r="A32" s="4"/>
      <c r="B32" s="5"/>
      <c r="C32" s="4"/>
      <c r="D32" s="4"/>
      <c r="E32" s="4"/>
      <c r="F32" s="5"/>
      <c r="G32" s="4"/>
      <c r="H32" s="6"/>
      <c r="J32" s="32"/>
      <c r="K32" s="32"/>
      <c r="L32" s="32"/>
    </row>
    <row r="33" spans="1:12" ht="68" customHeight="1">
      <c r="A33" s="4"/>
      <c r="B33" s="5"/>
      <c r="C33" s="4"/>
      <c r="D33" s="4"/>
      <c r="E33" s="4"/>
      <c r="F33" s="5"/>
      <c r="G33" s="4"/>
      <c r="H33" s="6"/>
      <c r="J33" s="32"/>
      <c r="K33" s="32"/>
      <c r="L33" s="32"/>
    </row>
    <row r="34" spans="1:12" ht="68" customHeight="1">
      <c r="A34" s="4"/>
      <c r="B34" s="5"/>
      <c r="C34" s="4"/>
      <c r="D34" s="4"/>
      <c r="E34" s="4"/>
      <c r="F34" s="5"/>
      <c r="G34" s="4"/>
      <c r="H34" s="6"/>
      <c r="J34" s="32"/>
      <c r="K34" s="32"/>
      <c r="L34" s="32"/>
    </row>
    <row r="35" spans="1:12" ht="68" customHeight="1">
      <c r="A35" s="4"/>
      <c r="B35" s="5"/>
      <c r="C35" s="4"/>
      <c r="D35" s="4"/>
      <c r="E35" s="4"/>
      <c r="F35" s="5"/>
      <c r="G35" s="4"/>
      <c r="H35" s="6"/>
      <c r="J35" s="32"/>
      <c r="K35" s="32"/>
      <c r="L35" s="32"/>
    </row>
    <row r="36" spans="1:12" ht="68" customHeight="1">
      <c r="A36" s="4"/>
      <c r="B36" s="5"/>
      <c r="C36" s="4"/>
      <c r="D36" s="4"/>
      <c r="E36" s="4"/>
      <c r="F36" s="5"/>
      <c r="G36" s="4"/>
      <c r="H36" s="6"/>
      <c r="J36" s="32"/>
      <c r="K36" s="32"/>
      <c r="L36" s="32"/>
    </row>
    <row r="37" spans="1:12" ht="68" customHeight="1">
      <c r="A37" s="4"/>
      <c r="B37" s="5"/>
      <c r="C37" s="4"/>
      <c r="D37" s="4"/>
      <c r="E37" s="4"/>
      <c r="F37" s="5"/>
      <c r="G37" s="4"/>
      <c r="H37" s="6"/>
      <c r="J37" s="32"/>
      <c r="K37" s="32"/>
      <c r="L37" s="32"/>
    </row>
    <row r="38" spans="1:12" ht="68" customHeight="1">
      <c r="A38" s="4"/>
      <c r="B38" s="5"/>
      <c r="C38" s="4"/>
      <c r="D38" s="4"/>
      <c r="E38" s="4"/>
      <c r="F38" s="5"/>
      <c r="G38" s="4"/>
      <c r="H38" s="6"/>
      <c r="J38" s="32"/>
      <c r="K38" s="32"/>
      <c r="L38" s="32"/>
    </row>
    <row r="39" spans="1:12" ht="68" customHeight="1">
      <c r="A39" s="4"/>
      <c r="B39" s="5"/>
      <c r="C39" s="4"/>
      <c r="D39" s="4"/>
      <c r="E39" s="4"/>
      <c r="F39" s="5"/>
      <c r="G39" s="4"/>
      <c r="H39" s="6"/>
      <c r="J39" s="32"/>
      <c r="K39" s="32"/>
      <c r="L39" s="32"/>
    </row>
    <row r="40" spans="1:12" ht="68" customHeight="1">
      <c r="A40" s="4"/>
      <c r="B40" s="5"/>
      <c r="C40" s="4"/>
      <c r="D40" s="4"/>
      <c r="E40" s="4"/>
      <c r="F40" s="5"/>
      <c r="G40" s="4"/>
      <c r="H40" s="6"/>
      <c r="J40" s="32"/>
      <c r="K40" s="32"/>
      <c r="L40" s="32"/>
    </row>
    <row r="41" spans="1:12" ht="68" customHeight="1">
      <c r="A41" s="4"/>
      <c r="B41" s="5"/>
      <c r="C41" s="4"/>
      <c r="D41" s="4"/>
      <c r="E41" s="4"/>
      <c r="F41" s="5"/>
      <c r="G41" s="4"/>
      <c r="H41" s="6"/>
      <c r="J41" s="32"/>
      <c r="K41" s="32"/>
      <c r="L41" s="32"/>
    </row>
    <row r="42" spans="1:12" ht="68" customHeight="1">
      <c r="A42" s="4"/>
      <c r="B42" s="5"/>
      <c r="C42" s="4"/>
      <c r="D42" s="4"/>
      <c r="E42" s="4"/>
      <c r="F42" s="5"/>
      <c r="G42" s="4"/>
      <c r="H42" s="6"/>
      <c r="J42" s="32"/>
      <c r="K42" s="32"/>
      <c r="L42" s="32"/>
    </row>
    <row r="43" spans="1:12" ht="68" customHeight="1">
      <c r="A43" s="4"/>
      <c r="B43" s="5"/>
      <c r="C43" s="4"/>
      <c r="D43" s="4"/>
      <c r="E43" s="4"/>
      <c r="F43" s="5"/>
      <c r="G43" s="4"/>
      <c r="H43" s="6"/>
      <c r="J43" s="32"/>
      <c r="K43" s="32"/>
      <c r="L43" s="32"/>
    </row>
    <row r="44" spans="1:12" ht="68" customHeight="1">
      <c r="A44" s="4"/>
      <c r="B44" s="5"/>
      <c r="C44" s="4"/>
      <c r="D44" s="4"/>
      <c r="E44" s="4"/>
      <c r="F44" s="5"/>
      <c r="G44" s="4"/>
      <c r="H44" s="6"/>
      <c r="J44" s="32"/>
      <c r="K44" s="32"/>
      <c r="L44" s="32"/>
    </row>
    <row r="45" spans="1:12" ht="68" customHeight="1">
      <c r="A45" s="4"/>
      <c r="B45" s="5"/>
      <c r="C45" s="4"/>
      <c r="D45" s="4"/>
      <c r="E45" s="4"/>
      <c r="F45" s="5"/>
      <c r="G45" s="4"/>
      <c r="H45" s="6"/>
      <c r="J45" s="32"/>
      <c r="K45" s="32"/>
      <c r="L45" s="32"/>
    </row>
    <row r="46" spans="1:12" ht="68" customHeight="1">
      <c r="A46" s="4"/>
      <c r="B46" s="5"/>
      <c r="C46" s="4"/>
      <c r="D46" s="4"/>
      <c r="E46" s="4"/>
      <c r="F46" s="5"/>
      <c r="G46" s="4"/>
      <c r="H46" s="6"/>
      <c r="J46" s="32"/>
      <c r="K46" s="32"/>
      <c r="L46" s="32"/>
    </row>
    <row r="47" spans="1:12" ht="68" customHeight="1">
      <c r="A47" s="4"/>
      <c r="B47" s="5"/>
      <c r="C47" s="4"/>
      <c r="D47" s="4"/>
      <c r="E47" s="4"/>
      <c r="F47" s="5"/>
      <c r="G47" s="4"/>
      <c r="H47" s="6"/>
      <c r="J47" s="32"/>
      <c r="K47" s="32"/>
      <c r="L47" s="32"/>
    </row>
    <row r="48" spans="1:12" ht="68" customHeight="1">
      <c r="A48" s="4"/>
      <c r="B48" s="5"/>
      <c r="C48" s="4"/>
      <c r="D48" s="4"/>
      <c r="E48" s="4"/>
      <c r="F48" s="5"/>
      <c r="G48" s="4"/>
      <c r="H48" s="6"/>
      <c r="J48" s="32"/>
      <c r="K48" s="32"/>
      <c r="L48" s="32"/>
    </row>
    <row r="49" spans="1:12" ht="68" customHeight="1">
      <c r="A49" s="4"/>
      <c r="B49" s="5"/>
      <c r="C49" s="4"/>
      <c r="D49" s="4"/>
      <c r="E49" s="4"/>
      <c r="F49" s="5"/>
      <c r="G49" s="4"/>
      <c r="H49" s="6"/>
      <c r="J49" s="32"/>
      <c r="K49" s="32"/>
      <c r="L49" s="32"/>
    </row>
    <row r="50" spans="1:12" ht="68" customHeight="1">
      <c r="A50" s="4"/>
      <c r="B50" s="5"/>
      <c r="C50" s="4"/>
      <c r="D50" s="4"/>
      <c r="E50" s="4"/>
      <c r="F50" s="5"/>
      <c r="G50" s="4"/>
      <c r="H50" s="6"/>
      <c r="J50" s="32"/>
      <c r="K50" s="32"/>
      <c r="L50" s="32"/>
    </row>
    <row r="51" spans="1:12" ht="68" customHeight="1">
      <c r="A51" s="4"/>
      <c r="B51" s="5"/>
      <c r="C51" s="4"/>
      <c r="D51" s="4"/>
      <c r="E51" s="4"/>
      <c r="F51" s="5"/>
      <c r="G51" s="4"/>
      <c r="H51" s="6"/>
      <c r="J51" s="32"/>
      <c r="K51" s="32"/>
      <c r="L51" s="32"/>
    </row>
    <row r="52" spans="1:12" ht="68" customHeight="1">
      <c r="A52" s="4"/>
      <c r="B52" s="5"/>
      <c r="C52" s="4"/>
      <c r="D52" s="4"/>
      <c r="E52" s="4"/>
      <c r="F52" s="5"/>
      <c r="G52" s="4"/>
      <c r="H52" s="6"/>
      <c r="J52" s="32"/>
      <c r="K52" s="32"/>
      <c r="L52" s="32"/>
    </row>
    <row r="53" spans="1:12" ht="68" customHeight="1">
      <c r="A53" s="4"/>
      <c r="B53" s="5"/>
      <c r="C53" s="4"/>
      <c r="D53" s="4"/>
      <c r="E53" s="4"/>
      <c r="F53" s="5"/>
      <c r="G53" s="4"/>
      <c r="H53" s="6"/>
      <c r="J53" s="32"/>
      <c r="K53" s="32"/>
      <c r="L53" s="32"/>
    </row>
    <row r="54" spans="1:12" ht="68" customHeight="1">
      <c r="A54" s="4"/>
      <c r="B54" s="5"/>
      <c r="C54" s="4"/>
      <c r="D54" s="4"/>
      <c r="E54" s="4"/>
      <c r="F54" s="5"/>
      <c r="G54" s="4"/>
      <c r="H54" s="6"/>
      <c r="J54" s="32"/>
      <c r="K54" s="32"/>
      <c r="L54" s="32"/>
    </row>
    <row r="55" spans="1:12" ht="68" customHeight="1">
      <c r="A55" s="4"/>
      <c r="B55" s="5"/>
      <c r="C55" s="4"/>
      <c r="D55" s="4"/>
      <c r="E55" s="4"/>
      <c r="F55" s="5"/>
      <c r="G55" s="4"/>
      <c r="H55" s="6"/>
      <c r="J55" s="32"/>
      <c r="K55" s="32"/>
      <c r="L55" s="32"/>
    </row>
    <row r="56" spans="1:12" ht="68" customHeight="1">
      <c r="A56" s="4"/>
      <c r="B56" s="5"/>
      <c r="C56" s="4"/>
      <c r="D56" s="4"/>
      <c r="E56" s="4"/>
      <c r="F56" s="5"/>
      <c r="G56" s="4"/>
      <c r="H56" s="6"/>
      <c r="J56" s="32"/>
      <c r="K56" s="32"/>
      <c r="L56" s="32"/>
    </row>
    <row r="57" spans="1:12" ht="68" customHeight="1">
      <c r="A57" s="4"/>
      <c r="B57" s="5"/>
      <c r="C57" s="4"/>
      <c r="D57" s="4"/>
      <c r="E57" s="4"/>
      <c r="F57" s="5"/>
      <c r="G57" s="4"/>
      <c r="H57" s="6"/>
      <c r="J57" s="32"/>
      <c r="K57" s="32"/>
      <c r="L57" s="32"/>
    </row>
    <row r="58" spans="1:12" ht="68" customHeight="1">
      <c r="A58" s="4"/>
      <c r="B58" s="5"/>
      <c r="C58" s="4"/>
      <c r="D58" s="4"/>
      <c r="E58" s="4"/>
      <c r="F58" s="5"/>
      <c r="G58" s="4"/>
      <c r="H58" s="6"/>
      <c r="J58" s="32"/>
      <c r="K58" s="32"/>
      <c r="L58" s="32"/>
    </row>
    <row r="59" spans="1:12" ht="68" customHeight="1">
      <c r="A59" s="4"/>
      <c r="B59" s="5"/>
      <c r="C59" s="4"/>
      <c r="D59" s="4"/>
      <c r="E59" s="4"/>
      <c r="F59" s="5"/>
      <c r="G59" s="4"/>
      <c r="H59" s="6"/>
      <c r="J59" s="32"/>
      <c r="K59" s="32"/>
      <c r="L59" s="32"/>
    </row>
    <row r="60" spans="1:12" ht="68" customHeight="1">
      <c r="A60" s="4"/>
      <c r="B60" s="5"/>
      <c r="C60" s="4"/>
      <c r="D60" s="4"/>
      <c r="E60" s="4"/>
      <c r="F60" s="5"/>
      <c r="G60" s="4"/>
      <c r="H60" s="6"/>
      <c r="J60" s="32"/>
      <c r="K60" s="32"/>
      <c r="L60" s="32"/>
    </row>
    <row r="61" spans="1:12" ht="68" customHeight="1">
      <c r="A61" s="4"/>
      <c r="B61" s="5"/>
      <c r="C61" s="4"/>
      <c r="D61" s="4"/>
      <c r="E61" s="4"/>
      <c r="F61" s="5"/>
      <c r="G61" s="4"/>
      <c r="H61" s="6"/>
      <c r="J61" s="32"/>
      <c r="K61" s="32"/>
      <c r="L61" s="32"/>
    </row>
    <row r="62" spans="1:12" ht="68" customHeight="1">
      <c r="A62" s="4"/>
      <c r="B62" s="5"/>
      <c r="C62" s="4"/>
      <c r="D62" s="4"/>
      <c r="E62" s="4"/>
      <c r="F62" s="5"/>
      <c r="G62" s="4"/>
      <c r="H62" s="6"/>
      <c r="J62" s="32"/>
      <c r="K62" s="32"/>
      <c r="L62" s="32"/>
    </row>
    <row r="63" spans="1:12" ht="68" customHeight="1">
      <c r="A63" s="4"/>
      <c r="B63" s="5"/>
      <c r="C63" s="4"/>
      <c r="D63" s="4"/>
      <c r="E63" s="4"/>
      <c r="F63" s="5"/>
      <c r="G63" s="4"/>
      <c r="H63" s="6"/>
      <c r="J63" s="32"/>
      <c r="K63" s="32"/>
      <c r="L63" s="32"/>
    </row>
    <row r="64" spans="1:12" ht="68" customHeight="1">
      <c r="A64" s="4"/>
      <c r="B64" s="5"/>
      <c r="C64" s="4"/>
      <c r="D64" s="4"/>
      <c r="E64" s="4"/>
      <c r="F64" s="5"/>
      <c r="G64" s="4"/>
      <c r="H64" s="6"/>
      <c r="J64" s="32"/>
      <c r="K64" s="32"/>
      <c r="L64" s="32"/>
    </row>
    <row r="65" spans="1:12" ht="68" customHeight="1">
      <c r="A65" s="4"/>
      <c r="B65" s="5"/>
      <c r="C65" s="4"/>
      <c r="D65" s="4"/>
      <c r="E65" s="4"/>
      <c r="F65" s="5"/>
      <c r="G65" s="4"/>
      <c r="H65" s="6"/>
      <c r="J65" s="32"/>
      <c r="K65" s="32"/>
      <c r="L65" s="32"/>
    </row>
    <row r="66" spans="1:12" ht="68" customHeight="1">
      <c r="A66" s="4"/>
      <c r="B66" s="5"/>
      <c r="C66" s="4"/>
      <c r="D66" s="4"/>
      <c r="E66" s="4"/>
      <c r="F66" s="5"/>
      <c r="G66" s="4"/>
      <c r="H66" s="6"/>
      <c r="J66" s="32"/>
      <c r="K66" s="32"/>
      <c r="L66" s="32"/>
    </row>
    <row r="67" spans="1:12" ht="68" customHeight="1">
      <c r="A67" s="4"/>
      <c r="B67" s="5"/>
      <c r="C67" s="4"/>
      <c r="D67" s="4"/>
      <c r="E67" s="4"/>
      <c r="F67" s="5"/>
      <c r="G67" s="4"/>
      <c r="H67" s="6"/>
      <c r="J67" s="32"/>
      <c r="K67" s="32"/>
      <c r="L67" s="32"/>
    </row>
    <row r="68" spans="1:12" ht="68" customHeight="1">
      <c r="A68" s="4"/>
      <c r="B68" s="5"/>
      <c r="C68" s="4"/>
      <c r="D68" s="4"/>
      <c r="E68" s="4"/>
      <c r="F68" s="5"/>
      <c r="G68" s="4"/>
      <c r="H68" s="6"/>
      <c r="J68" s="32"/>
      <c r="K68" s="32"/>
      <c r="L68" s="32"/>
    </row>
    <row r="69" spans="1:12" ht="68" customHeight="1">
      <c r="A69" s="4"/>
      <c r="B69" s="5"/>
      <c r="C69" s="4"/>
      <c r="D69" s="4"/>
      <c r="E69" s="4"/>
      <c r="F69" s="5"/>
      <c r="G69" s="4"/>
      <c r="H69" s="6"/>
      <c r="J69" s="32"/>
      <c r="K69" s="32"/>
      <c r="L69" s="32"/>
    </row>
    <row r="70" spans="1:12" ht="68" customHeight="1">
      <c r="A70" s="4"/>
      <c r="B70" s="5"/>
      <c r="C70" s="4"/>
      <c r="D70" s="4"/>
      <c r="E70" s="4"/>
      <c r="F70" s="5"/>
      <c r="G70" s="4"/>
      <c r="H70" s="6"/>
      <c r="J70" s="32"/>
      <c r="K70" s="32"/>
      <c r="L70" s="32"/>
    </row>
    <row r="71" spans="1:12" ht="68" customHeight="1">
      <c r="A71" s="4"/>
      <c r="B71" s="5"/>
      <c r="C71" s="4"/>
      <c r="D71" s="4"/>
      <c r="E71" s="4"/>
      <c r="F71" s="5"/>
      <c r="G71" s="4"/>
      <c r="H71" s="6"/>
      <c r="J71" s="32"/>
      <c r="K71" s="32"/>
      <c r="L71" s="32"/>
    </row>
    <row r="72" spans="1:12" ht="68" customHeight="1">
      <c r="A72" s="4"/>
      <c r="B72" s="5"/>
      <c r="C72" s="4"/>
      <c r="D72" s="4"/>
      <c r="E72" s="4"/>
      <c r="F72" s="5"/>
      <c r="G72" s="4"/>
      <c r="H72" s="6"/>
      <c r="J72" s="32"/>
      <c r="K72" s="32"/>
      <c r="L72" s="32"/>
    </row>
    <row r="73" spans="1:12" ht="68" customHeight="1">
      <c r="A73" s="4"/>
      <c r="B73" s="5"/>
      <c r="C73" s="4"/>
      <c r="D73" s="4"/>
      <c r="E73" s="4"/>
      <c r="F73" s="5"/>
      <c r="G73" s="4"/>
      <c r="H73" s="6"/>
      <c r="J73" s="32"/>
      <c r="K73" s="32"/>
      <c r="L73" s="32"/>
    </row>
    <row r="74" spans="1:12" ht="68" customHeight="1">
      <c r="A74" s="4"/>
      <c r="B74" s="5"/>
      <c r="C74" s="4"/>
      <c r="D74" s="4"/>
      <c r="E74" s="4"/>
      <c r="F74" s="5"/>
      <c r="G74" s="4"/>
      <c r="H74" s="6"/>
      <c r="J74" s="32"/>
      <c r="K74" s="32"/>
      <c r="L74" s="32"/>
    </row>
    <row r="75" spans="1:12" ht="68" customHeight="1">
      <c r="A75" s="4"/>
      <c r="B75" s="5"/>
      <c r="C75" s="4"/>
      <c r="D75" s="4"/>
      <c r="E75" s="4"/>
      <c r="F75" s="5"/>
      <c r="G75" s="4"/>
      <c r="H75" s="6"/>
      <c r="J75" s="32"/>
      <c r="K75" s="32"/>
      <c r="L75" s="32"/>
    </row>
    <row r="76" spans="1:12" ht="68" customHeight="1">
      <c r="A76" s="4"/>
      <c r="B76" s="5"/>
      <c r="C76" s="4"/>
      <c r="D76" s="4"/>
      <c r="E76" s="4"/>
      <c r="F76" s="5"/>
      <c r="G76" s="4"/>
      <c r="H76" s="6"/>
      <c r="J76" s="32"/>
      <c r="K76" s="32"/>
      <c r="L76" s="32"/>
    </row>
    <row r="77" spans="1:12" ht="68" customHeight="1">
      <c r="A77" s="4"/>
      <c r="B77" s="5"/>
      <c r="C77" s="4"/>
      <c r="D77" s="4"/>
      <c r="E77" s="4"/>
      <c r="F77" s="5"/>
      <c r="G77" s="4"/>
      <c r="H77" s="6"/>
      <c r="J77" s="32"/>
      <c r="K77" s="32"/>
      <c r="L77" s="32"/>
    </row>
    <row r="78" spans="1:12" ht="68" customHeight="1">
      <c r="A78" s="4"/>
      <c r="B78" s="5"/>
      <c r="C78" s="4"/>
      <c r="D78" s="4"/>
      <c r="E78" s="4"/>
      <c r="F78" s="5"/>
      <c r="G78" s="4"/>
      <c r="H78" s="6"/>
      <c r="J78" s="32"/>
      <c r="K78" s="32"/>
      <c r="L78" s="32"/>
    </row>
    <row r="79" spans="1:12" ht="68" customHeight="1">
      <c r="A79" s="4"/>
      <c r="B79" s="5"/>
      <c r="C79" s="4"/>
      <c r="D79" s="4"/>
      <c r="E79" s="4"/>
      <c r="F79" s="5"/>
      <c r="G79" s="4"/>
      <c r="H79" s="6"/>
      <c r="J79" s="32"/>
      <c r="K79" s="32"/>
      <c r="L79" s="32"/>
    </row>
    <row r="80" spans="1:12" ht="68" customHeight="1">
      <c r="A80" s="4"/>
      <c r="B80" s="5"/>
      <c r="C80" s="4"/>
      <c r="D80" s="4"/>
      <c r="E80" s="4"/>
      <c r="F80" s="5"/>
      <c r="G80" s="4"/>
      <c r="H80" s="6"/>
      <c r="J80" s="32"/>
      <c r="K80" s="32"/>
      <c r="L80" s="32"/>
    </row>
    <row r="81" spans="1:12" ht="68" customHeight="1">
      <c r="A81" s="4"/>
      <c r="B81" s="5"/>
      <c r="C81" s="4"/>
      <c r="D81" s="4"/>
      <c r="E81" s="4"/>
      <c r="F81" s="5"/>
      <c r="G81" s="4"/>
      <c r="H81" s="6"/>
      <c r="J81" s="32"/>
      <c r="K81" s="32"/>
      <c r="L81" s="32"/>
    </row>
    <row r="82" spans="1:12" ht="68" customHeight="1">
      <c r="A82" s="4"/>
      <c r="B82" s="5"/>
      <c r="C82" s="4"/>
      <c r="D82" s="4"/>
      <c r="E82" s="4"/>
      <c r="F82" s="5"/>
      <c r="G82" s="4"/>
      <c r="H82" s="6"/>
      <c r="J82" s="32"/>
      <c r="K82" s="32"/>
      <c r="L82" s="32"/>
    </row>
    <row r="83" spans="1:12" ht="68" customHeight="1">
      <c r="A83" s="4"/>
      <c r="B83" s="5"/>
      <c r="C83" s="4"/>
      <c r="D83" s="4"/>
      <c r="E83" s="4"/>
      <c r="F83" s="5"/>
      <c r="G83" s="4"/>
      <c r="H83" s="6"/>
      <c r="J83" s="32"/>
      <c r="K83" s="32"/>
      <c r="L83" s="32"/>
    </row>
    <row r="84" spans="1:12" ht="68" customHeight="1">
      <c r="A84" s="4"/>
      <c r="B84" s="5"/>
      <c r="C84" s="4"/>
      <c r="D84" s="4"/>
      <c r="E84" s="4"/>
      <c r="F84" s="5"/>
      <c r="G84" s="4"/>
      <c r="H84" s="6"/>
      <c r="J84" s="32"/>
      <c r="K84" s="32"/>
      <c r="L84" s="32"/>
    </row>
    <row r="85" spans="1:12" ht="68" customHeight="1">
      <c r="A85" s="4"/>
      <c r="B85" s="5"/>
      <c r="C85" s="4"/>
      <c r="D85" s="4"/>
      <c r="E85" s="4"/>
      <c r="F85" s="5"/>
      <c r="G85" s="4"/>
      <c r="H85" s="6"/>
      <c r="J85" s="32"/>
      <c r="K85" s="32"/>
      <c r="L85" s="32"/>
    </row>
    <row r="86" spans="1:12" ht="68" customHeight="1">
      <c r="A86" s="4"/>
      <c r="B86" s="5"/>
      <c r="C86" s="4"/>
      <c r="D86" s="4"/>
      <c r="E86" s="4"/>
      <c r="F86" s="5"/>
      <c r="G86" s="4"/>
      <c r="H86" s="6"/>
      <c r="J86" s="32"/>
      <c r="K86" s="32"/>
      <c r="L86" s="32"/>
    </row>
    <row r="87" spans="1:12" ht="68" customHeight="1">
      <c r="A87" s="4"/>
      <c r="B87" s="5"/>
      <c r="C87" s="4"/>
      <c r="D87" s="4"/>
      <c r="E87" s="4"/>
      <c r="F87" s="5"/>
      <c r="G87" s="4"/>
      <c r="H87" s="6"/>
      <c r="J87" s="32"/>
      <c r="K87" s="32"/>
      <c r="L87" s="32"/>
    </row>
    <row r="88" spans="1:12" ht="68" customHeight="1">
      <c r="A88" s="4"/>
      <c r="B88" s="5"/>
      <c r="C88" s="4"/>
      <c r="D88" s="4"/>
      <c r="E88" s="4"/>
      <c r="F88" s="5"/>
      <c r="G88" s="4"/>
      <c r="H88" s="6"/>
      <c r="J88" s="32"/>
      <c r="K88" s="32"/>
      <c r="L88" s="32"/>
    </row>
    <row r="89" spans="1:12" ht="68" customHeight="1">
      <c r="A89" s="4"/>
      <c r="B89" s="5"/>
      <c r="C89" s="4"/>
      <c r="D89" s="4"/>
      <c r="E89" s="4"/>
      <c r="F89" s="5"/>
      <c r="G89" s="4"/>
      <c r="H89" s="6"/>
      <c r="J89" s="32"/>
      <c r="K89" s="32"/>
      <c r="L89" s="32"/>
    </row>
    <row r="90" spans="1:12" ht="68" customHeight="1">
      <c r="A90" s="4"/>
      <c r="B90" s="5"/>
      <c r="C90" s="4"/>
      <c r="D90" s="4"/>
      <c r="E90" s="4"/>
      <c r="F90" s="5"/>
      <c r="G90" s="4"/>
      <c r="H90" s="6"/>
      <c r="J90" s="32"/>
      <c r="K90" s="32"/>
      <c r="L90" s="32"/>
    </row>
    <row r="91" spans="1:12" ht="68" customHeight="1">
      <c r="A91" s="4"/>
      <c r="B91" s="5"/>
      <c r="C91" s="4"/>
      <c r="D91" s="4"/>
      <c r="E91" s="4"/>
      <c r="F91" s="5"/>
      <c r="G91" s="4"/>
      <c r="H91" s="6"/>
      <c r="J91" s="32"/>
      <c r="K91" s="32"/>
      <c r="L91" s="32"/>
    </row>
    <row r="92" spans="1:12" ht="68" customHeight="1">
      <c r="A92" s="4"/>
      <c r="B92" s="5"/>
      <c r="C92" s="4"/>
      <c r="D92" s="4"/>
      <c r="E92" s="4"/>
      <c r="F92" s="5"/>
      <c r="G92" s="4"/>
      <c r="H92" s="6"/>
      <c r="J92" s="32"/>
      <c r="K92" s="32"/>
      <c r="L92" s="32"/>
    </row>
    <row r="93" spans="1:12" ht="68" customHeight="1">
      <c r="A93" s="4"/>
      <c r="B93" s="5"/>
      <c r="C93" s="4"/>
      <c r="D93" s="4"/>
      <c r="E93" s="4"/>
      <c r="F93" s="5"/>
      <c r="G93" s="4"/>
      <c r="H93" s="6"/>
      <c r="J93" s="32"/>
      <c r="K93" s="32"/>
      <c r="L93" s="32"/>
    </row>
    <row r="94" spans="1:12" ht="68" customHeight="1">
      <c r="A94" s="4"/>
      <c r="B94" s="5"/>
      <c r="C94" s="4"/>
      <c r="D94" s="4"/>
      <c r="E94" s="4"/>
      <c r="F94" s="5"/>
      <c r="G94" s="4"/>
      <c r="H94" s="6"/>
      <c r="J94" s="32"/>
      <c r="K94" s="32"/>
      <c r="L94" s="32"/>
    </row>
    <row r="95" spans="1:12" ht="68" customHeight="1">
      <c r="A95" s="4"/>
      <c r="B95" s="5"/>
      <c r="C95" s="4"/>
      <c r="D95" s="4"/>
      <c r="E95" s="4"/>
      <c r="F95" s="5"/>
      <c r="G95" s="4"/>
      <c r="H95" s="6"/>
      <c r="J95" s="32"/>
      <c r="K95" s="32"/>
      <c r="L95" s="32"/>
    </row>
    <row r="96" spans="1:12" ht="68" customHeight="1">
      <c r="A96" s="4"/>
      <c r="B96" s="5"/>
      <c r="C96" s="4"/>
      <c r="D96" s="4"/>
      <c r="E96" s="4"/>
      <c r="F96" s="5"/>
      <c r="G96" s="4"/>
      <c r="H96" s="6"/>
      <c r="J96" s="32"/>
      <c r="K96" s="32"/>
      <c r="L96" s="32"/>
    </row>
    <row r="97" spans="1:12" ht="68" customHeight="1">
      <c r="A97" s="4"/>
      <c r="B97" s="5"/>
      <c r="C97" s="4"/>
      <c r="D97" s="4"/>
      <c r="E97" s="4"/>
      <c r="F97" s="5"/>
      <c r="G97" s="4"/>
      <c r="H97" s="6"/>
      <c r="J97" s="32"/>
      <c r="K97" s="32"/>
      <c r="L97" s="32"/>
    </row>
    <row r="98" spans="1:12" ht="68" customHeight="1">
      <c r="A98" s="4"/>
      <c r="B98" s="5"/>
      <c r="C98" s="4"/>
      <c r="D98" s="4"/>
      <c r="E98" s="4"/>
      <c r="F98" s="5"/>
      <c r="G98" s="4"/>
      <c r="H98" s="6"/>
      <c r="J98" s="32"/>
      <c r="K98" s="32"/>
      <c r="L98" s="32"/>
    </row>
    <row r="99" spans="1:12" ht="68" customHeight="1">
      <c r="A99" s="4"/>
      <c r="B99" s="5"/>
      <c r="C99" s="4"/>
      <c r="D99" s="4"/>
      <c r="E99" s="4"/>
      <c r="F99" s="5"/>
      <c r="G99" s="4"/>
      <c r="H99" s="6"/>
      <c r="J99" s="32"/>
      <c r="K99" s="32"/>
      <c r="L99" s="32"/>
    </row>
    <row r="100" spans="1:12" ht="68" customHeight="1">
      <c r="A100" s="4"/>
      <c r="B100" s="5"/>
      <c r="C100" s="4"/>
      <c r="D100" s="4"/>
      <c r="E100" s="4"/>
      <c r="F100" s="5"/>
      <c r="G100" s="4"/>
      <c r="H100" s="6"/>
      <c r="J100" s="32"/>
      <c r="K100" s="32"/>
      <c r="L100" s="32"/>
    </row>
    <row r="101" spans="1:12" ht="68" customHeight="1">
      <c r="A101" s="4"/>
      <c r="B101" s="5"/>
      <c r="C101" s="4"/>
      <c r="D101" s="4"/>
      <c r="E101" s="4"/>
      <c r="F101" s="5"/>
      <c r="G101" s="4"/>
      <c r="H101" s="6"/>
      <c r="J101" s="32"/>
      <c r="K101" s="32"/>
      <c r="L101" s="32"/>
    </row>
    <row r="102" spans="1:12" ht="68" customHeight="1">
      <c r="A102" s="4"/>
      <c r="B102" s="5"/>
      <c r="C102" s="4"/>
      <c r="D102" s="4"/>
      <c r="E102" s="4"/>
      <c r="F102" s="5"/>
      <c r="G102" s="4"/>
      <c r="H102" s="6"/>
      <c r="J102" s="32"/>
      <c r="K102" s="32"/>
      <c r="L102" s="32"/>
    </row>
    <row r="103" spans="1:12" ht="68" customHeight="1">
      <c r="A103" s="4"/>
      <c r="B103" s="5"/>
      <c r="C103" s="4"/>
      <c r="D103" s="4"/>
      <c r="E103" s="4"/>
      <c r="F103" s="5"/>
      <c r="H103" s="6"/>
      <c r="J103" s="32"/>
      <c r="K103" s="32"/>
      <c r="L103" s="32"/>
    </row>
  </sheetData>
  <mergeCells count="2">
    <mergeCell ref="A2:H2"/>
    <mergeCell ref="A1:L1"/>
  </mergeCells>
  <conditionalFormatting sqref="A4:L103">
    <cfRule type="expression" dxfId="9" priority="15">
      <formula>$K4="Tamamlandı"</formula>
    </cfRule>
    <cfRule type="expression" dxfId="8" priority="16">
      <formula>$K4="Hazırlanıyor"</formula>
    </cfRule>
  </conditionalFormatting>
  <conditionalFormatting sqref="F4:F103">
    <cfRule type="expression" dxfId="7" priority="4">
      <formula>AND($F4&lt;&gt;"",$F4&gt;=TODAY(),$F4&lt;=EDATE(TODAY(),6))</formula>
    </cfRule>
    <cfRule type="expression" dxfId="6" priority="5">
      <formula>AND($F4&lt;&gt;"",$F4&gt;EDATE(TODAY(),6),$F4&lt;=EDATE(TODAY(),12))</formula>
    </cfRule>
  </conditionalFormatting>
  <conditionalFormatting sqref="G4:G102">
    <cfRule type="expression" dxfId="5" priority="1">
      <formula>$G4="Yeşil"</formula>
    </cfRule>
    <cfRule type="expression" dxfId="4" priority="2">
      <formula>$G4="Turuncu"</formula>
    </cfRule>
    <cfRule type="expression" dxfId="3" priority="3">
      <formula>$G4="Kırmızı"</formula>
    </cfRule>
  </conditionalFormatting>
  <conditionalFormatting sqref="H5:H103">
    <cfRule type="expression" dxfId="2" priority="6">
      <formula>$G4="Yeşil"</formula>
    </cfRule>
    <cfRule type="expression" dxfId="1" priority="7">
      <formula>$G4="Turuncu"</formula>
    </cfRule>
    <cfRule type="expression" dxfId="0" priority="8">
      <formula>$G4="Kırmızı"</formula>
    </cfRule>
  </conditionalFormatting>
  <dataValidations count="2">
    <dataValidation type="list" sqref="G4:G102" xr:uid="{00000000-0002-0000-1300-000000000000}">
      <formula1>"Yeşil,Turuncu,Kırmızı"</formula1>
    </dataValidation>
    <dataValidation type="list" sqref="K4:K103" xr:uid="{00000000-0002-0000-1300-000001000000}">
      <formula1>"Bekliyor,Hazırlanıyor,Tamamlandı"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20</vt:i4>
      </vt:variant>
    </vt:vector>
  </HeadingPairs>
  <TitlesOfParts>
    <vt:vector size="20" baseType="lpstr">
      <vt:lpstr>Dashboard</vt:lpstr>
      <vt:lpstr>A Liste</vt:lpstr>
      <vt:lpstr>B Liste</vt:lpstr>
      <vt:lpstr>Takip Edilecekler</vt:lpstr>
      <vt:lpstr>Yeniden İzlenecekler</vt:lpstr>
      <vt:lpstr>Kontenjan Futbolcular</vt:lpstr>
      <vt:lpstr>Sözleşmesi Bitenler</vt:lpstr>
      <vt:lpstr>Kaleciler</vt:lpstr>
      <vt:lpstr>Stoperler</vt:lpstr>
      <vt:lpstr>Sağ Bekler</vt:lpstr>
      <vt:lpstr>Sol Bekler</vt:lpstr>
      <vt:lpstr>6 Numaralar</vt:lpstr>
      <vt:lpstr>8 Numaralar</vt:lpstr>
      <vt:lpstr>10 Numaralar</vt:lpstr>
      <vt:lpstr>Kanatlar</vt:lpstr>
      <vt:lpstr>Forvetler</vt:lpstr>
      <vt:lpstr>Takip Edilen Türk Futbolcular</vt:lpstr>
      <vt:lpstr>Veri Merkezi</vt:lpstr>
      <vt:lpstr>Mevcut Kadro</vt:lpstr>
      <vt:lpstr>Canlı İzlenen Maçlar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Onur Baş</cp:lastModifiedBy>
  <dcterms:created xsi:type="dcterms:W3CDTF">2026-08-30T10:16:27Z</dcterms:created>
  <dcterms:modified xsi:type="dcterms:W3CDTF">2026-10-06T15:36:23Z</dcterms:modified>
</cp:coreProperties>
</file>